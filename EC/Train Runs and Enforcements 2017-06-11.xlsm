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Trips'!$A$2:$J$62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3" i="1" l="1"/>
  <c r="X144" i="1"/>
  <c r="X145" i="1"/>
  <c r="X146" i="1"/>
  <c r="X147" i="1"/>
  <c r="X148" i="1"/>
  <c r="X149" i="1"/>
  <c r="X150" i="1"/>
  <c r="K82" i="1"/>
  <c r="M82" i="1"/>
  <c r="N82" i="1" s="1"/>
  <c r="V82" i="1"/>
  <c r="AA82" i="1"/>
  <c r="AB82" i="1"/>
  <c r="AC82" i="1"/>
  <c r="AD82" i="1"/>
  <c r="AE82" i="1"/>
  <c r="AF82" i="1"/>
  <c r="AH82" i="1"/>
  <c r="AM82" i="1"/>
  <c r="AN8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S14" i="3" s="1"/>
  <c r="Y35" i="1"/>
  <c r="Z35" i="1"/>
  <c r="AB35" i="1"/>
  <c r="AC35" i="1"/>
  <c r="AD35" i="1"/>
  <c r="T35" i="1" s="1"/>
  <c r="AE35" i="1"/>
  <c r="R14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R18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G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S17" i="3" s="1"/>
  <c r="Y71" i="1"/>
  <c r="Z71" i="1"/>
  <c r="AA71" i="1" s="1"/>
  <c r="AB71" i="1"/>
  <c r="AC71" i="1"/>
  <c r="AD71" i="1"/>
  <c r="T71" i="1" s="1"/>
  <c r="AE71" i="1"/>
  <c r="AF71" i="1"/>
  <c r="AG71" i="1"/>
  <c r="AH71" i="1"/>
  <c r="AM71" i="1"/>
  <c r="AN71" i="1"/>
  <c r="K72" i="1"/>
  <c r="L72" i="1"/>
  <c r="M72" i="1"/>
  <c r="N72" i="1" s="1"/>
  <c r="V72" i="1"/>
  <c r="S16" i="3" s="1"/>
  <c r="Y72" i="1"/>
  <c r="Z72" i="1"/>
  <c r="AB72" i="1"/>
  <c r="AC72" i="1"/>
  <c r="AD72" i="1"/>
  <c r="X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/>
  <c r="V74" i="1"/>
  <c r="Y74" i="1"/>
  <c r="Z74" i="1"/>
  <c r="AA74" i="1" s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R19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S20" i="3" s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93" i="1"/>
  <c r="AM93" i="1"/>
  <c r="AN93" i="1"/>
  <c r="K158" i="1"/>
  <c r="L158" i="1"/>
  <c r="M158" i="1"/>
  <c r="N158" i="1" s="1"/>
  <c r="V158" i="1"/>
  <c r="S31" i="3" s="1"/>
  <c r="Y158" i="1"/>
  <c r="Z158" i="1"/>
  <c r="AB158" i="1"/>
  <c r="AC158" i="1"/>
  <c r="AD158" i="1"/>
  <c r="AG158" i="1" s="1"/>
  <c r="AI158" i="1" s="1"/>
  <c r="AE158" i="1"/>
  <c r="R31" i="3" s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K167" i="1"/>
  <c r="L167" i="1"/>
  <c r="M167" i="1"/>
  <c r="N167" i="1" s="1"/>
  <c r="V167" i="1"/>
  <c r="S32" i="3" s="1"/>
  <c r="Y167" i="1"/>
  <c r="Z167" i="1"/>
  <c r="AB167" i="1"/>
  <c r="AC167" i="1"/>
  <c r="AD167" i="1"/>
  <c r="AE167" i="1"/>
  <c r="AF167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T173" i="1"/>
  <c r="V173" i="1"/>
  <c r="Y173" i="1"/>
  <c r="Z173" i="1"/>
  <c r="AA173" i="1" s="1"/>
  <c r="W173" i="1" s="1"/>
  <c r="AB173" i="1"/>
  <c r="AC173" i="1"/>
  <c r="AD173" i="1"/>
  <c r="AG173" i="1" s="1"/>
  <c r="AE173" i="1"/>
  <c r="AF173" i="1"/>
  <c r="AH110" i="1"/>
  <c r="AM110" i="1"/>
  <c r="AN110" i="1"/>
  <c r="K174" i="1"/>
  <c r="L174" i="1"/>
  <c r="M174" i="1"/>
  <c r="N174" i="1" s="1"/>
  <c r="V174" i="1"/>
  <c r="S28" i="3" s="1"/>
  <c r="Y174" i="1"/>
  <c r="Z174" i="1"/>
  <c r="AB174" i="1"/>
  <c r="AC174" i="1"/>
  <c r="AD174" i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AM112" i="1"/>
  <c r="AN112" i="1"/>
  <c r="K176" i="1"/>
  <c r="L176" i="1"/>
  <c r="M176" i="1"/>
  <c r="N176" i="1" s="1"/>
  <c r="V176" i="1"/>
  <c r="S36" i="3" s="1"/>
  <c r="Y176" i="1"/>
  <c r="Z176" i="1"/>
  <c r="AB176" i="1"/>
  <c r="AC176" i="1"/>
  <c r="AD176" i="1"/>
  <c r="T176" i="1" s="1"/>
  <c r="AE176" i="1"/>
  <c r="AF176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4" i="1"/>
  <c r="AM114" i="1"/>
  <c r="AN114" i="1"/>
  <c r="K177" i="1"/>
  <c r="L177" i="1"/>
  <c r="M177" i="1"/>
  <c r="N177" i="1" s="1"/>
  <c r="V177" i="1"/>
  <c r="S34" i="3" s="1"/>
  <c r="Y177" i="1"/>
  <c r="Z177" i="1"/>
  <c r="AB177" i="1"/>
  <c r="AC177" i="1"/>
  <c r="AD177" i="1"/>
  <c r="T177" i="1" s="1"/>
  <c r="AE177" i="1"/>
  <c r="AF177" i="1"/>
  <c r="AH115" i="1"/>
  <c r="AM115" i="1"/>
  <c r="AN115" i="1"/>
  <c r="K178" i="1"/>
  <c r="L178" i="1"/>
  <c r="M178" i="1"/>
  <c r="N178" i="1" s="1"/>
  <c r="V178" i="1"/>
  <c r="S25" i="3" s="1"/>
  <c r="Y178" i="1"/>
  <c r="Z178" i="1"/>
  <c r="AB178" i="1"/>
  <c r="AC178" i="1"/>
  <c r="AD178" i="1"/>
  <c r="T178" i="1" s="1"/>
  <c r="AE178" i="1"/>
  <c r="R25" i="3" s="1"/>
  <c r="AF178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7" i="1"/>
  <c r="AM117" i="1"/>
  <c r="AN117" i="1"/>
  <c r="K180" i="1"/>
  <c r="L180" i="1"/>
  <c r="M180" i="1"/>
  <c r="N180" i="1" s="1"/>
  <c r="V180" i="1"/>
  <c r="S30" i="3" s="1"/>
  <c r="Y180" i="1"/>
  <c r="Z180" i="1"/>
  <c r="AB180" i="1"/>
  <c r="AC180" i="1"/>
  <c r="AD180" i="1"/>
  <c r="AG180" i="1" s="1"/>
  <c r="AE180" i="1"/>
  <c r="R37" i="3" s="1"/>
  <c r="AF180" i="1"/>
  <c r="AH118" i="1"/>
  <c r="AM118" i="1"/>
  <c r="AN118" i="1"/>
  <c r="K181" i="1"/>
  <c r="L181" i="1"/>
  <c r="M181" i="1"/>
  <c r="N181" i="1" s="1"/>
  <c r="V181" i="1"/>
  <c r="S26" i="3" s="1"/>
  <c r="Y181" i="1"/>
  <c r="Z181" i="1"/>
  <c r="AB181" i="1"/>
  <c r="AC181" i="1"/>
  <c r="AD181" i="1"/>
  <c r="T181" i="1" s="1"/>
  <c r="AE181" i="1"/>
  <c r="R26" i="3" s="1"/>
  <c r="AF181" i="1"/>
  <c r="AH119" i="1"/>
  <c r="AM119" i="1"/>
  <c r="AN119" i="1"/>
  <c r="K182" i="1"/>
  <c r="L182" i="1"/>
  <c r="M182" i="1"/>
  <c r="N182" i="1" s="1"/>
  <c r="V182" i="1"/>
  <c r="S38" i="3" s="1"/>
  <c r="Y182" i="1"/>
  <c r="Z182" i="1"/>
  <c r="AB182" i="1"/>
  <c r="AC182" i="1"/>
  <c r="AD182" i="1"/>
  <c r="AG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4" i="1"/>
  <c r="AM124" i="1"/>
  <c r="AN124" i="1"/>
  <c r="K95" i="1"/>
  <c r="L95" i="1"/>
  <c r="M95" i="1"/>
  <c r="N95" i="1" s="1"/>
  <c r="V95" i="1"/>
  <c r="S23" i="3" s="1"/>
  <c r="Y95" i="1"/>
  <c r="Z95" i="1"/>
  <c r="AB95" i="1"/>
  <c r="AC95" i="1"/>
  <c r="AD95" i="1"/>
  <c r="T95" i="1" s="1"/>
  <c r="AE95" i="1"/>
  <c r="R23" i="3" s="1"/>
  <c r="AF95" i="1"/>
  <c r="AH125" i="1"/>
  <c r="AM125" i="1"/>
  <c r="AN125" i="1"/>
  <c r="K187" i="1"/>
  <c r="L187" i="1"/>
  <c r="M187" i="1"/>
  <c r="N187" i="1" s="1"/>
  <c r="V187" i="1"/>
  <c r="S27" i="3" s="1"/>
  <c r="Y187" i="1"/>
  <c r="Z187" i="1"/>
  <c r="AB187" i="1"/>
  <c r="AC187" i="1"/>
  <c r="AD187" i="1"/>
  <c r="AG187" i="1" s="1"/>
  <c r="AE187" i="1"/>
  <c r="AF187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R39" i="3" s="1"/>
  <c r="AF190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7" i="1"/>
  <c r="AM137" i="1"/>
  <c r="AN13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5" i="1"/>
  <c r="AM145" i="1"/>
  <c r="AN145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6" i="1"/>
  <c r="AM146" i="1"/>
  <c r="AN146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7" i="1"/>
  <c r="AM147" i="1"/>
  <c r="AN147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8" i="1"/>
  <c r="AM148" i="1"/>
  <c r="AN148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49" i="1"/>
  <c r="AM149" i="1"/>
  <c r="AN149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0" i="1"/>
  <c r="AM150" i="1"/>
  <c r="AN150" i="1"/>
  <c r="K117" i="1"/>
  <c r="L117" i="1"/>
  <c r="M117" i="1"/>
  <c r="N117" i="1"/>
  <c r="V117" i="1"/>
  <c r="Y117" i="1"/>
  <c r="Z117" i="1"/>
  <c r="AB117" i="1"/>
  <c r="AC117" i="1"/>
  <c r="AD117" i="1"/>
  <c r="AG117" i="1" s="1"/>
  <c r="AE117" i="1"/>
  <c r="AF117" i="1"/>
  <c r="AH151" i="1"/>
  <c r="AM151" i="1"/>
  <c r="AN151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2" i="1"/>
  <c r="AM152" i="1"/>
  <c r="AN152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3" i="1"/>
  <c r="AM153" i="1"/>
  <c r="AN153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54" i="1"/>
  <c r="AM154" i="1"/>
  <c r="AN154" i="1"/>
  <c r="K121" i="1"/>
  <c r="L121" i="1"/>
  <c r="M121" i="1"/>
  <c r="N121" i="1" s="1"/>
  <c r="V121" i="1"/>
  <c r="S24" i="3" s="1"/>
  <c r="Y121" i="1"/>
  <c r="Z121" i="1"/>
  <c r="AB121" i="1"/>
  <c r="AC121" i="1"/>
  <c r="AD121" i="1"/>
  <c r="AG121" i="1" s="1"/>
  <c r="AE121" i="1"/>
  <c r="R24" i="3" s="1"/>
  <c r="AF121" i="1"/>
  <c r="AH155" i="1"/>
  <c r="AM155" i="1"/>
  <c r="AN155" i="1"/>
  <c r="K122" i="1"/>
  <c r="L122" i="1"/>
  <c r="M122" i="1"/>
  <c r="N122" i="1" s="1"/>
  <c r="V122" i="1"/>
  <c r="S7" i="3" s="1"/>
  <c r="Y122" i="1"/>
  <c r="Z122" i="1"/>
  <c r="AB122" i="1"/>
  <c r="AC122" i="1"/>
  <c r="AD122" i="1"/>
  <c r="T122" i="1" s="1"/>
  <c r="AE122" i="1"/>
  <c r="AF122" i="1"/>
  <c r="AH156" i="1"/>
  <c r="AM156" i="1"/>
  <c r="AN156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S15" i="3" s="1"/>
  <c r="Y124" i="1"/>
  <c r="Z124" i="1"/>
  <c r="AB124" i="1"/>
  <c r="AC124" i="1"/>
  <c r="AD124" i="1"/>
  <c r="AE124" i="1"/>
  <c r="R15" i="3" s="1"/>
  <c r="AF124" i="1"/>
  <c r="AH157" i="1"/>
  <c r="AM157" i="1"/>
  <c r="AN157" i="1"/>
  <c r="K125" i="1"/>
  <c r="L125" i="1"/>
  <c r="M125" i="1"/>
  <c r="N125" i="1"/>
  <c r="V125" i="1"/>
  <c r="Y125" i="1"/>
  <c r="Z125" i="1"/>
  <c r="AB125" i="1"/>
  <c r="AC125" i="1"/>
  <c r="AD125" i="1"/>
  <c r="AG125" i="1" s="1"/>
  <c r="AE125" i="1"/>
  <c r="AF125" i="1"/>
  <c r="AH158" i="1"/>
  <c r="AM158" i="1"/>
  <c r="AN158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59" i="1"/>
  <c r="AM159" i="1"/>
  <c r="AN159" i="1"/>
  <c r="K127" i="1"/>
  <c r="L127" i="1"/>
  <c r="M127" i="1"/>
  <c r="N127" i="1" s="1"/>
  <c r="V127" i="1"/>
  <c r="S10" i="3" s="1"/>
  <c r="Y127" i="1"/>
  <c r="Z127" i="1"/>
  <c r="AA127" i="1" s="1"/>
  <c r="AB127" i="1"/>
  <c r="AC127" i="1"/>
  <c r="AD127" i="1"/>
  <c r="AG127" i="1" s="1"/>
  <c r="AE127" i="1"/>
  <c r="AF127" i="1"/>
  <c r="AH160" i="1"/>
  <c r="AM160" i="1"/>
  <c r="AN160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61" i="1"/>
  <c r="AM161" i="1"/>
  <c r="AN161" i="1"/>
  <c r="K129" i="1"/>
  <c r="L129" i="1"/>
  <c r="M129" i="1"/>
  <c r="N129" i="1" s="1"/>
  <c r="V129" i="1"/>
  <c r="S11" i="3" s="1"/>
  <c r="Y129" i="1"/>
  <c r="Z129" i="1"/>
  <c r="AB129" i="1"/>
  <c r="AC129" i="1"/>
  <c r="AD129" i="1"/>
  <c r="T129" i="1" s="1"/>
  <c r="AE129" i="1"/>
  <c r="R11" i="3" s="1"/>
  <c r="AF129" i="1"/>
  <c r="AH162" i="1"/>
  <c r="AM162" i="1"/>
  <c r="AN162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3" i="1"/>
  <c r="AM163" i="1"/>
  <c r="AN163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4" i="1"/>
  <c r="AM164" i="1"/>
  <c r="AN164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65" i="1"/>
  <c r="AM165" i="1"/>
  <c r="AN165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6" i="1"/>
  <c r="AM166" i="1"/>
  <c r="AN166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7" i="1"/>
  <c r="AM167" i="1"/>
  <c r="AN167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68" i="1"/>
  <c r="AM168" i="1"/>
  <c r="AN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AN169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0" i="1"/>
  <c r="AM170" i="1"/>
  <c r="AN170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S13" i="3" s="1"/>
  <c r="Y142" i="1"/>
  <c r="Z142" i="1"/>
  <c r="AB142" i="1"/>
  <c r="AC142" i="1"/>
  <c r="AD142" i="1"/>
  <c r="AG142" i="1" s="1"/>
  <c r="AE142" i="1"/>
  <c r="R13" i="3" s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R12" i="3" s="1"/>
  <c r="AF144" i="1"/>
  <c r="AH178" i="1"/>
  <c r="AM178" i="1"/>
  <c r="AN178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AH192" i="1"/>
  <c r="AM192" i="1"/>
  <c r="AN19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M31" i="3"/>
  <c r="U31" i="3"/>
  <c r="T31" i="3" s="1"/>
  <c r="V31" i="3"/>
  <c r="W31" i="3"/>
  <c r="X31" i="3"/>
  <c r="AC31" i="3"/>
  <c r="M14" i="3"/>
  <c r="U14" i="3"/>
  <c r="V14" i="3"/>
  <c r="W14" i="3"/>
  <c r="X14" i="3"/>
  <c r="M8" i="3"/>
  <c r="R8" i="3"/>
  <c r="S8" i="3"/>
  <c r="U8" i="3"/>
  <c r="AC8" i="3" s="1"/>
  <c r="V8" i="3"/>
  <c r="W8" i="3"/>
  <c r="X8" i="3"/>
  <c r="M21" i="3"/>
  <c r="R21" i="3"/>
  <c r="S21" i="3"/>
  <c r="U21" i="3"/>
  <c r="T21" i="3" s="1"/>
  <c r="V21" i="3"/>
  <c r="W21" i="3"/>
  <c r="X21" i="3"/>
  <c r="M18" i="3"/>
  <c r="S18" i="3"/>
  <c r="U18" i="3"/>
  <c r="T18" i="3" s="1"/>
  <c r="V18" i="3"/>
  <c r="W18" i="3"/>
  <c r="X18" i="3"/>
  <c r="M32" i="3"/>
  <c r="R32" i="3"/>
  <c r="U32" i="3"/>
  <c r="V32" i="3"/>
  <c r="W32" i="3"/>
  <c r="X32" i="3"/>
  <c r="AC32" i="3"/>
  <c r="M17" i="3"/>
  <c r="R17" i="3"/>
  <c r="U17" i="3"/>
  <c r="AC17" i="3" s="1"/>
  <c r="V17" i="3"/>
  <c r="W17" i="3"/>
  <c r="X17" i="3"/>
  <c r="M22" i="3"/>
  <c r="R22" i="3"/>
  <c r="S22" i="3"/>
  <c r="U22" i="3"/>
  <c r="T22" i="3" s="1"/>
  <c r="V22" i="3"/>
  <c r="W22" i="3"/>
  <c r="X22" i="3"/>
  <c r="AC22" i="3"/>
  <c r="M16" i="3"/>
  <c r="R16" i="3"/>
  <c r="U16" i="3"/>
  <c r="T16" i="3" s="1"/>
  <c r="V16" i="3"/>
  <c r="W16" i="3"/>
  <c r="X16" i="3"/>
  <c r="AC16" i="3"/>
  <c r="M19" i="3"/>
  <c r="S19" i="3"/>
  <c r="U19" i="3"/>
  <c r="V19" i="3"/>
  <c r="W19" i="3"/>
  <c r="X19" i="3"/>
  <c r="M28" i="3"/>
  <c r="R28" i="3"/>
  <c r="U28" i="3"/>
  <c r="V28" i="3"/>
  <c r="W28" i="3"/>
  <c r="X28" i="3"/>
  <c r="M29" i="3"/>
  <c r="R29" i="3"/>
  <c r="U29" i="3"/>
  <c r="AD19" i="3" s="1"/>
  <c r="V29" i="3"/>
  <c r="W29" i="3"/>
  <c r="X29" i="3"/>
  <c r="M23" i="3"/>
  <c r="U23" i="3"/>
  <c r="V23" i="3"/>
  <c r="W23" i="3"/>
  <c r="X23" i="3"/>
  <c r="AC23" i="3"/>
  <c r="M20" i="3"/>
  <c r="R20" i="3"/>
  <c r="U20" i="3"/>
  <c r="V20" i="3"/>
  <c r="W20" i="3"/>
  <c r="X20" i="3"/>
  <c r="M33" i="3"/>
  <c r="R33" i="3"/>
  <c r="S33" i="3"/>
  <c r="U33" i="3"/>
  <c r="AC33" i="3" s="1"/>
  <c r="V33" i="3"/>
  <c r="W33" i="3"/>
  <c r="X33" i="3"/>
  <c r="M35" i="3"/>
  <c r="U35" i="3"/>
  <c r="V35" i="3"/>
  <c r="W35" i="3"/>
  <c r="X35" i="3"/>
  <c r="AC35" i="3"/>
  <c r="M36" i="3"/>
  <c r="U36" i="3"/>
  <c r="T36" i="3" s="1"/>
  <c r="V36" i="3"/>
  <c r="W36" i="3"/>
  <c r="X36" i="3"/>
  <c r="AC36" i="3"/>
  <c r="M34" i="3"/>
  <c r="R34" i="3"/>
  <c r="U34" i="3"/>
  <c r="V34" i="3"/>
  <c r="W34" i="3"/>
  <c r="X34" i="3"/>
  <c r="M25" i="3"/>
  <c r="U25" i="3"/>
  <c r="AC25" i="3" s="1"/>
  <c r="V25" i="3"/>
  <c r="W25" i="3"/>
  <c r="X25" i="3"/>
  <c r="M30" i="3"/>
  <c r="U30" i="3"/>
  <c r="AC30" i="3" s="1"/>
  <c r="V30" i="3"/>
  <c r="W30" i="3"/>
  <c r="X30" i="3"/>
  <c r="M37" i="3"/>
  <c r="U37" i="3"/>
  <c r="T37" i="3" s="1"/>
  <c r="V37" i="3"/>
  <c r="W37" i="3"/>
  <c r="X37" i="3"/>
  <c r="AC37" i="3"/>
  <c r="M26" i="3"/>
  <c r="U26" i="3"/>
  <c r="V26" i="3"/>
  <c r="W26" i="3"/>
  <c r="X26" i="3"/>
  <c r="AC26" i="3"/>
  <c r="M24" i="3"/>
  <c r="U24" i="3"/>
  <c r="AC24" i="3" s="1"/>
  <c r="V24" i="3"/>
  <c r="W24" i="3"/>
  <c r="X24" i="3"/>
  <c r="M10" i="3"/>
  <c r="U10" i="3"/>
  <c r="T10" i="3" s="1"/>
  <c r="V10" i="3"/>
  <c r="W10" i="3"/>
  <c r="X10" i="3"/>
  <c r="M9" i="3"/>
  <c r="S9" i="3"/>
  <c r="U9" i="3"/>
  <c r="T9" i="3" s="1"/>
  <c r="V9" i="3"/>
  <c r="W9" i="3"/>
  <c r="X9" i="3"/>
  <c r="AC9" i="3"/>
  <c r="M11" i="3"/>
  <c r="U11" i="3"/>
  <c r="V11" i="3"/>
  <c r="W11" i="3"/>
  <c r="X11" i="3"/>
  <c r="M38" i="3"/>
  <c r="R38" i="3"/>
  <c r="U38" i="3"/>
  <c r="AC38" i="3" s="1"/>
  <c r="V38" i="3"/>
  <c r="W38" i="3"/>
  <c r="X38" i="3"/>
  <c r="M7" i="3"/>
  <c r="R7" i="3"/>
  <c r="U7" i="3"/>
  <c r="V7" i="3"/>
  <c r="W7" i="3"/>
  <c r="X7" i="3"/>
  <c r="AC7" i="3"/>
  <c r="M15" i="3"/>
  <c r="U15" i="3"/>
  <c r="T15" i="3" s="1"/>
  <c r="V15" i="3"/>
  <c r="W15" i="3"/>
  <c r="X15" i="3"/>
  <c r="AC15" i="3"/>
  <c r="AD36" i="3"/>
  <c r="M27" i="3"/>
  <c r="R27" i="3"/>
  <c r="U27" i="3"/>
  <c r="V27" i="3"/>
  <c r="W27" i="3"/>
  <c r="X27" i="3"/>
  <c r="AC27" i="3"/>
  <c r="M13" i="3"/>
  <c r="U13" i="3"/>
  <c r="AC13" i="3" s="1"/>
  <c r="V13" i="3"/>
  <c r="W13" i="3"/>
  <c r="X13" i="3"/>
  <c r="M39" i="3"/>
  <c r="S39" i="3"/>
  <c r="U39" i="3"/>
  <c r="V39" i="3"/>
  <c r="W39" i="3"/>
  <c r="X39" i="3"/>
  <c r="AC39" i="3"/>
  <c r="M12" i="3"/>
  <c r="S12" i="3"/>
  <c r="U12" i="3"/>
  <c r="T12" i="3" s="1"/>
  <c r="V12" i="3"/>
  <c r="W12" i="3"/>
  <c r="X12" i="3"/>
  <c r="AC12" i="3" l="1"/>
  <c r="AC18" i="3"/>
  <c r="AC10" i="3"/>
  <c r="Y34" i="3"/>
  <c r="AA24" i="1"/>
  <c r="X82" i="1"/>
  <c r="AC29" i="3"/>
  <c r="AG147" i="1"/>
  <c r="X158" i="1"/>
  <c r="AI109" i="1"/>
  <c r="X182" i="1"/>
  <c r="AG181" i="1"/>
  <c r="X157" i="1"/>
  <c r="Y20" i="3"/>
  <c r="Y33" i="3"/>
  <c r="AA147" i="1"/>
  <c r="AA145" i="1"/>
  <c r="X156" i="1"/>
  <c r="AC21" i="3"/>
  <c r="X85" i="1"/>
  <c r="X140" i="1"/>
  <c r="S35" i="3"/>
  <c r="Y8" i="3"/>
  <c r="AA118" i="1"/>
  <c r="X28" i="1"/>
  <c r="AG27" i="1"/>
  <c r="U27" i="1" s="1"/>
  <c r="S27" i="1" s="1"/>
  <c r="X139" i="1"/>
  <c r="Y27" i="3"/>
  <c r="Y7" i="3"/>
  <c r="Y24" i="3"/>
  <c r="Y28" i="3"/>
  <c r="AA124" i="1"/>
  <c r="AA176" i="1"/>
  <c r="X173" i="1"/>
  <c r="AI90" i="1"/>
  <c r="X76" i="1"/>
  <c r="X142" i="1"/>
  <c r="X138" i="1"/>
  <c r="AA153" i="1"/>
  <c r="AG140" i="1"/>
  <c r="AI127" i="1"/>
  <c r="X121" i="1"/>
  <c r="AA36" i="1"/>
  <c r="W36" i="1" s="1"/>
  <c r="AA25" i="1"/>
  <c r="X141" i="1"/>
  <c r="X137" i="1"/>
  <c r="AA195" i="1"/>
  <c r="AA149" i="1"/>
  <c r="X135" i="1"/>
  <c r="AG136" i="1"/>
  <c r="U136" i="1" s="1"/>
  <c r="S136" i="1" s="1"/>
  <c r="X136" i="1"/>
  <c r="AA114" i="1"/>
  <c r="AA183" i="1"/>
  <c r="AG176" i="1"/>
  <c r="W176" i="1" s="1"/>
  <c r="X175" i="1"/>
  <c r="X81" i="1"/>
  <c r="Y12" i="3"/>
  <c r="Y11" i="3"/>
  <c r="R30" i="3"/>
  <c r="AD21" i="3"/>
  <c r="Y19" i="3"/>
  <c r="Y16" i="3"/>
  <c r="AA202" i="1"/>
  <c r="X191" i="1"/>
  <c r="X154" i="1"/>
  <c r="AA140" i="1"/>
  <c r="W140" i="1" s="1"/>
  <c r="T128" i="1"/>
  <c r="AI125" i="1"/>
  <c r="AA123" i="1"/>
  <c r="W123" i="1" s="1"/>
  <c r="AA121" i="1"/>
  <c r="W121" i="1" s="1"/>
  <c r="T121" i="1"/>
  <c r="AI119" i="1"/>
  <c r="AI117" i="1"/>
  <c r="AA100" i="1"/>
  <c r="AG95" i="1"/>
  <c r="AA179" i="1"/>
  <c r="W179" i="1" s="1"/>
  <c r="T166" i="1"/>
  <c r="U166" i="1" s="1"/>
  <c r="S166" i="1" s="1"/>
  <c r="AA92" i="1"/>
  <c r="W92" i="1" s="1"/>
  <c r="AA86" i="1"/>
  <c r="AA84" i="1"/>
  <c r="AA75" i="1"/>
  <c r="X74" i="1"/>
  <c r="AA72" i="1"/>
  <c r="AA54" i="1"/>
  <c r="AA50" i="1"/>
  <c r="W50" i="1" s="1"/>
  <c r="AA48" i="1"/>
  <c r="W48" i="1" s="1"/>
  <c r="T42" i="1"/>
  <c r="AA16" i="1"/>
  <c r="Y38" i="3"/>
  <c r="AA134" i="1"/>
  <c r="AA175" i="1"/>
  <c r="W175" i="1" s="1"/>
  <c r="T175" i="1"/>
  <c r="U175" i="1" s="1"/>
  <c r="S175" i="1" s="1"/>
  <c r="AA174" i="1"/>
  <c r="AA169" i="1"/>
  <c r="T158" i="1"/>
  <c r="AA157" i="1"/>
  <c r="W157" i="1" s="1"/>
  <c r="AA89" i="1"/>
  <c r="AA70" i="1"/>
  <c r="W70" i="1" s="1"/>
  <c r="AA66" i="1"/>
  <c r="W66" i="1" s="1"/>
  <c r="AA64" i="1"/>
  <c r="AA42" i="1"/>
  <c r="AA37" i="1"/>
  <c r="AA29" i="1"/>
  <c r="X86" i="1"/>
  <c r="X83" i="1"/>
  <c r="T82" i="1"/>
  <c r="AG82" i="1"/>
  <c r="R10" i="3"/>
  <c r="R9" i="3"/>
  <c r="R36" i="3"/>
  <c r="R35" i="3"/>
  <c r="T159" i="1"/>
  <c r="AG159" i="1"/>
  <c r="T75" i="1"/>
  <c r="AG75" i="1"/>
  <c r="AI75" i="1" s="1"/>
  <c r="AG46" i="1"/>
  <c r="AI46" i="1" s="1"/>
  <c r="X46" i="1"/>
  <c r="T199" i="1"/>
  <c r="X199" i="1"/>
  <c r="AG199" i="1"/>
  <c r="T23" i="3"/>
  <c r="AD23" i="3"/>
  <c r="AG99" i="1"/>
  <c r="X99" i="1"/>
  <c r="AD37" i="3"/>
  <c r="Y10" i="3"/>
  <c r="Y29" i="3"/>
  <c r="AG198" i="1"/>
  <c r="X198" i="1"/>
  <c r="AG183" i="1"/>
  <c r="T183" i="1"/>
  <c r="AG160" i="1"/>
  <c r="T47" i="1"/>
  <c r="X47" i="1"/>
  <c r="AG47" i="1"/>
  <c r="AE23" i="3"/>
  <c r="T35" i="3"/>
  <c r="AE35" i="3"/>
  <c r="AG68" i="1"/>
  <c r="AI68" i="1" s="1"/>
  <c r="T68" i="1"/>
  <c r="AD17" i="3"/>
  <c r="Y17" i="3"/>
  <c r="AD35" i="3"/>
  <c r="Y23" i="3"/>
  <c r="AC28" i="3"/>
  <c r="AD28" i="3"/>
  <c r="T93" i="1"/>
  <c r="AG93" i="1"/>
  <c r="AD29" i="3"/>
  <c r="AD25" i="3"/>
  <c r="T191" i="1"/>
  <c r="AA156" i="1"/>
  <c r="AA132" i="1"/>
  <c r="AA130" i="1"/>
  <c r="AI115" i="1"/>
  <c r="AA108" i="1"/>
  <c r="AA104" i="1"/>
  <c r="AA102" i="1"/>
  <c r="AI97" i="1"/>
  <c r="AA188" i="1"/>
  <c r="AA166" i="1"/>
  <c r="W166" i="1" s="1"/>
  <c r="AA158" i="1"/>
  <c r="W158" i="1" s="1"/>
  <c r="AA91" i="1"/>
  <c r="AA83" i="1"/>
  <c r="AA78" i="1"/>
  <c r="W78" i="1" s="1"/>
  <c r="AA62" i="1"/>
  <c r="W62" i="1" s="1"/>
  <c r="AA59" i="1"/>
  <c r="AA53" i="1"/>
  <c r="AA41" i="1"/>
  <c r="W41" i="1" s="1"/>
  <c r="X21" i="1"/>
  <c r="AG17" i="1"/>
  <c r="AI17" i="1" s="1"/>
  <c r="X17" i="1"/>
  <c r="W147" i="1"/>
  <c r="X106" i="1"/>
  <c r="X94" i="1"/>
  <c r="X55" i="1"/>
  <c r="X51" i="1"/>
  <c r="AE39" i="3"/>
  <c r="AD33" i="3"/>
  <c r="AD31" i="3"/>
  <c r="AE31" i="3"/>
  <c r="Y26" i="3"/>
  <c r="S37" i="3"/>
  <c r="Y36" i="3"/>
  <c r="S29" i="3"/>
  <c r="Y14" i="3"/>
  <c r="Y31" i="3"/>
  <c r="X203" i="1"/>
  <c r="AA197" i="1"/>
  <c r="AG191" i="1"/>
  <c r="AA142" i="1"/>
  <c r="W142" i="1" s="1"/>
  <c r="X113" i="1"/>
  <c r="AG112" i="1"/>
  <c r="U112" i="1" s="1"/>
  <c r="S112" i="1" s="1"/>
  <c r="AA111" i="1"/>
  <c r="W111" i="1" s="1"/>
  <c r="AA207" i="1"/>
  <c r="W207" i="1" s="1"/>
  <c r="AA101" i="1"/>
  <c r="W101" i="1" s="1"/>
  <c r="AA99" i="1"/>
  <c r="AG190" i="1"/>
  <c r="AA93" i="1"/>
  <c r="W93" i="1" s="1"/>
  <c r="AA164" i="1"/>
  <c r="W164" i="1" s="1"/>
  <c r="AA159" i="1"/>
  <c r="W159" i="1" s="1"/>
  <c r="AI89" i="1"/>
  <c r="AG88" i="1"/>
  <c r="AI88" i="1" s="1"/>
  <c r="AA87" i="1"/>
  <c r="W87" i="1" s="1"/>
  <c r="AG83" i="1"/>
  <c r="U83" i="1" s="1"/>
  <c r="S83" i="1" s="1"/>
  <c r="X78" i="1"/>
  <c r="T72" i="1"/>
  <c r="AA61" i="1"/>
  <c r="AG59" i="1"/>
  <c r="AI59" i="1" s="1"/>
  <c r="AA46" i="1"/>
  <c r="AA40" i="1"/>
  <c r="AA33" i="1"/>
  <c r="W33" i="1" s="1"/>
  <c r="T32" i="1"/>
  <c r="U32" i="1" s="1"/>
  <c r="S32" i="1" s="1"/>
  <c r="X30" i="1"/>
  <c r="X25" i="1"/>
  <c r="X24" i="1"/>
  <c r="T21" i="1"/>
  <c r="AA14" i="1"/>
  <c r="T201" i="1"/>
  <c r="X202" i="1"/>
  <c r="T152" i="1"/>
  <c r="X153" i="1"/>
  <c r="T203" i="1"/>
  <c r="T155" i="1"/>
  <c r="U155" i="1" s="1"/>
  <c r="S155" i="1" s="1"/>
  <c r="AG155" i="1"/>
  <c r="AI155" i="1" s="1"/>
  <c r="T209" i="1"/>
  <c r="X209" i="1"/>
  <c r="AG209" i="1"/>
  <c r="AI209" i="1" s="1"/>
  <c r="T196" i="1"/>
  <c r="AG196" i="1"/>
  <c r="AI196" i="1" s="1"/>
  <c r="W89" i="1"/>
  <c r="W149" i="1"/>
  <c r="X118" i="1"/>
  <c r="T105" i="1"/>
  <c r="AI93" i="1"/>
  <c r="X88" i="1"/>
  <c r="W71" i="1"/>
  <c r="X195" i="1"/>
  <c r="AA213" i="1"/>
  <c r="AA204" i="1"/>
  <c r="AA201" i="1"/>
  <c r="AA196" i="1"/>
  <c r="AA194" i="1"/>
  <c r="W194" i="1" s="1"/>
  <c r="AA155" i="1"/>
  <c r="W155" i="1" s="1"/>
  <c r="AG150" i="1"/>
  <c r="U150" i="1" s="1"/>
  <c r="AA146" i="1"/>
  <c r="AG143" i="1"/>
  <c r="AI143" i="1" s="1"/>
  <c r="AA135" i="1"/>
  <c r="W135" i="1" s="1"/>
  <c r="AG133" i="1"/>
  <c r="U133" i="1" s="1"/>
  <c r="S133" i="1" s="1"/>
  <c r="AA129" i="1"/>
  <c r="AA116" i="1"/>
  <c r="AG114" i="1"/>
  <c r="W114" i="1" s="1"/>
  <c r="X114" i="1"/>
  <c r="AI111" i="1"/>
  <c r="AG110" i="1"/>
  <c r="U110" i="1" s="1"/>
  <c r="X110" i="1"/>
  <c r="X109" i="1"/>
  <c r="AG108" i="1"/>
  <c r="U108" i="1" s="1"/>
  <c r="S108" i="1" s="1"/>
  <c r="T106" i="1"/>
  <c r="AA105" i="1"/>
  <c r="W105" i="1" s="1"/>
  <c r="X208" i="1"/>
  <c r="AA208" i="1"/>
  <c r="AI99" i="1"/>
  <c r="AA186" i="1"/>
  <c r="W186" i="1" s="1"/>
  <c r="T186" i="1"/>
  <c r="U186" i="1" s="1"/>
  <c r="S186" i="1" s="1"/>
  <c r="AA172" i="1"/>
  <c r="X171" i="1"/>
  <c r="AG170" i="1"/>
  <c r="U170" i="1" s="1"/>
  <c r="S170" i="1" s="1"/>
  <c r="T164" i="1"/>
  <c r="U164" i="1" s="1"/>
  <c r="S164" i="1" s="1"/>
  <c r="AA163" i="1"/>
  <c r="X162" i="1"/>
  <c r="AG161" i="1"/>
  <c r="AI161" i="1" s="1"/>
  <c r="X161" i="1"/>
  <c r="X92" i="1"/>
  <c r="T84" i="1"/>
  <c r="X75" i="1"/>
  <c r="AA69" i="1"/>
  <c r="AA68" i="1"/>
  <c r="X67" i="1"/>
  <c r="AA67" i="1"/>
  <c r="X63" i="1"/>
  <c r="AA58" i="1"/>
  <c r="AA56" i="1"/>
  <c r="AA45" i="1"/>
  <c r="T40" i="1"/>
  <c r="U40" i="1" s="1"/>
  <c r="S40" i="1" s="1"/>
  <c r="T36" i="1"/>
  <c r="U36" i="1" s="1"/>
  <c r="S36" i="1" s="1"/>
  <c r="X34" i="1"/>
  <c r="AA32" i="1"/>
  <c r="W32" i="1" s="1"/>
  <c r="AA28" i="1"/>
  <c r="W28" i="1" s="1"/>
  <c r="AG26" i="1"/>
  <c r="AI26" i="1" s="1"/>
  <c r="AA23" i="1"/>
  <c r="X20" i="1"/>
  <c r="X16" i="1"/>
  <c r="X15" i="1"/>
  <c r="W60" i="1"/>
  <c r="X58" i="1"/>
  <c r="T55" i="1"/>
  <c r="T51" i="1"/>
  <c r="X38" i="1"/>
  <c r="AI27" i="1"/>
  <c r="AA22" i="1"/>
  <c r="AA206" i="1"/>
  <c r="AA205" i="1"/>
  <c r="AA198" i="1"/>
  <c r="AA148" i="1"/>
  <c r="AA141" i="1"/>
  <c r="AA138" i="1"/>
  <c r="W138" i="1" s="1"/>
  <c r="AA133" i="1"/>
  <c r="AA131" i="1"/>
  <c r="AI123" i="1"/>
  <c r="AI121" i="1"/>
  <c r="AG116" i="1"/>
  <c r="U116" i="1" s="1"/>
  <c r="S116" i="1" s="1"/>
  <c r="AI113" i="1"/>
  <c r="AA112" i="1"/>
  <c r="AI107" i="1"/>
  <c r="AG106" i="1"/>
  <c r="AI103" i="1"/>
  <c r="AI101" i="1"/>
  <c r="AG100" i="1"/>
  <c r="X100" i="1"/>
  <c r="AA98" i="1"/>
  <c r="AA190" i="1"/>
  <c r="W190" i="1" s="1"/>
  <c r="AA95" i="1"/>
  <c r="W95" i="1" s="1"/>
  <c r="X186" i="1"/>
  <c r="T179" i="1"/>
  <c r="U179" i="1" s="1"/>
  <c r="S179" i="1" s="1"/>
  <c r="AA177" i="1"/>
  <c r="AG172" i="1"/>
  <c r="U172" i="1" s="1"/>
  <c r="S172" i="1" s="1"/>
  <c r="AA165" i="1"/>
  <c r="AA161" i="1"/>
  <c r="AG80" i="1"/>
  <c r="X80" i="1"/>
  <c r="AA57" i="1"/>
  <c r="AG45" i="1"/>
  <c r="U45" i="1" s="1"/>
  <c r="S45" i="1" s="1"/>
  <c r="AA43" i="1"/>
  <c r="AA26" i="1"/>
  <c r="AA20" i="1"/>
  <c r="W20" i="1" s="1"/>
  <c r="AA15" i="1"/>
  <c r="W15" i="1" s="1"/>
  <c r="X212" i="1"/>
  <c r="AG213" i="1"/>
  <c r="U213" i="1" s="1"/>
  <c r="S213" i="1" s="1"/>
  <c r="X213" i="1"/>
  <c r="AA212" i="1"/>
  <c r="W212" i="1" s="1"/>
  <c r="T212" i="1"/>
  <c r="AA210" i="1"/>
  <c r="AA209" i="1"/>
  <c r="W209" i="1" s="1"/>
  <c r="AG206" i="1"/>
  <c r="W206" i="1" s="1"/>
  <c r="X206" i="1"/>
  <c r="AA211" i="1"/>
  <c r="T210" i="1"/>
  <c r="U210" i="1" s="1"/>
  <c r="S210" i="1" s="1"/>
  <c r="AG210" i="1"/>
  <c r="AI210" i="1" s="1"/>
  <c r="AA214" i="1"/>
  <c r="AG203" i="1"/>
  <c r="U203" i="1" s="1"/>
  <c r="S203" i="1" s="1"/>
  <c r="AA200" i="1"/>
  <c r="AA199" i="1"/>
  <c r="W199" i="1" s="1"/>
  <c r="T198" i="1"/>
  <c r="T195" i="1"/>
  <c r="AG192" i="1"/>
  <c r="U192" i="1" s="1"/>
  <c r="S192" i="1" s="1"/>
  <c r="AG154" i="1"/>
  <c r="AA152" i="1"/>
  <c r="AA151" i="1"/>
  <c r="AA150" i="1"/>
  <c r="W150" i="1" s="1"/>
  <c r="T149" i="1"/>
  <c r="T146" i="1"/>
  <c r="AG144" i="1"/>
  <c r="U144" i="1" s="1"/>
  <c r="S144" i="1" s="1"/>
  <c r="AG139" i="1"/>
  <c r="AA137" i="1"/>
  <c r="AA136" i="1"/>
  <c r="T135" i="1"/>
  <c r="U135" i="1" s="1"/>
  <c r="S135" i="1" s="1"/>
  <c r="T132" i="1"/>
  <c r="AG129" i="1"/>
  <c r="X127" i="1"/>
  <c r="X125" i="1"/>
  <c r="AG122" i="1"/>
  <c r="U122" i="1" s="1"/>
  <c r="S122" i="1" s="1"/>
  <c r="X122" i="1"/>
  <c r="AG120" i="1"/>
  <c r="AI150" i="1"/>
  <c r="AA113" i="1"/>
  <c r="W113" i="1" s="1"/>
  <c r="T113" i="1"/>
  <c r="AA110" i="1"/>
  <c r="X105" i="1"/>
  <c r="AA103" i="1"/>
  <c r="X207" i="1"/>
  <c r="T99" i="1"/>
  <c r="U99" i="1" s="1"/>
  <c r="S99" i="1" s="1"/>
  <c r="AA97" i="1"/>
  <c r="W97" i="1" s="1"/>
  <c r="AA96" i="1"/>
  <c r="AA189" i="1"/>
  <c r="AA187" i="1"/>
  <c r="W187" i="1" s="1"/>
  <c r="T187" i="1"/>
  <c r="U187" i="1" s="1"/>
  <c r="S187" i="1" s="1"/>
  <c r="AG185" i="1"/>
  <c r="AA184" i="1"/>
  <c r="W184" i="1" s="1"/>
  <c r="T184" i="1"/>
  <c r="U184" i="1" s="1"/>
  <c r="S184" i="1" s="1"/>
  <c r="AA180" i="1"/>
  <c r="W180" i="1" s="1"/>
  <c r="T180" i="1"/>
  <c r="AG94" i="1"/>
  <c r="T94" i="1"/>
  <c r="U94" i="1" s="1"/>
  <c r="S94" i="1" s="1"/>
  <c r="AG168" i="1"/>
  <c r="U168" i="1" s="1"/>
  <c r="S168" i="1" s="1"/>
  <c r="AG165" i="1"/>
  <c r="U165" i="1" s="1"/>
  <c r="S165" i="1" s="1"/>
  <c r="X165" i="1"/>
  <c r="X166" i="1"/>
  <c r="AI41" i="1"/>
  <c r="AI37" i="1"/>
  <c r="T194" i="1"/>
  <c r="T145" i="1"/>
  <c r="U145" i="1" s="1"/>
  <c r="S145" i="1" s="1"/>
  <c r="T131" i="1"/>
  <c r="U131" i="1" s="1"/>
  <c r="S131" i="1" s="1"/>
  <c r="AA119" i="1"/>
  <c r="T118" i="1"/>
  <c r="AA117" i="1"/>
  <c r="W117" i="1" s="1"/>
  <c r="T117" i="1"/>
  <c r="U117" i="1" s="1"/>
  <c r="S117" i="1" s="1"/>
  <c r="AA107" i="1"/>
  <c r="T208" i="1"/>
  <c r="U95" i="1"/>
  <c r="S95" i="1" s="1"/>
  <c r="AI95" i="1"/>
  <c r="AG167" i="1"/>
  <c r="T167" i="1"/>
  <c r="AI79" i="1"/>
  <c r="AG195" i="1"/>
  <c r="AA193" i="1"/>
  <c r="AA192" i="1"/>
  <c r="AA191" i="1"/>
  <c r="W191" i="1" s="1"/>
  <c r="AG151" i="1"/>
  <c r="U151" i="1" s="1"/>
  <c r="S151" i="1" s="1"/>
  <c r="AG146" i="1"/>
  <c r="AA144" i="1"/>
  <c r="AA143" i="1"/>
  <c r="W143" i="1" s="1"/>
  <c r="T142" i="1"/>
  <c r="U142" i="1" s="1"/>
  <c r="S142" i="1" s="1"/>
  <c r="AG137" i="1"/>
  <c r="AI137" i="1" s="1"/>
  <c r="AG132" i="1"/>
  <c r="AA128" i="1"/>
  <c r="T127" i="1"/>
  <c r="U127" i="1" s="1"/>
  <c r="S127" i="1" s="1"/>
  <c r="AA126" i="1"/>
  <c r="AA125" i="1"/>
  <c r="W125" i="1" s="1"/>
  <c r="T125" i="1"/>
  <c r="W120" i="1"/>
  <c r="T207" i="1"/>
  <c r="U207" i="1" s="1"/>
  <c r="S207" i="1" s="1"/>
  <c r="AI129" i="1"/>
  <c r="X187" i="1"/>
  <c r="X184" i="1"/>
  <c r="X180" i="1"/>
  <c r="AA178" i="1"/>
  <c r="AG177" i="1"/>
  <c r="W177" i="1" s="1"/>
  <c r="AG169" i="1"/>
  <c r="AI169" i="1" s="1"/>
  <c r="X169" i="1"/>
  <c r="AA168" i="1"/>
  <c r="X167" i="1"/>
  <c r="AI87" i="1"/>
  <c r="AI29" i="1"/>
  <c r="AA203" i="1"/>
  <c r="T202" i="1"/>
  <c r="U202" i="1" s="1"/>
  <c r="S202" i="1" s="1"/>
  <c r="X194" i="1"/>
  <c r="U191" i="1"/>
  <c r="AA154" i="1"/>
  <c r="W154" i="1" s="1"/>
  <c r="T153" i="1"/>
  <c r="U143" i="1"/>
  <c r="AA139" i="1"/>
  <c r="T138" i="1"/>
  <c r="X131" i="1"/>
  <c r="AG128" i="1"/>
  <c r="U128" i="1" s="1"/>
  <c r="S128" i="1" s="1"/>
  <c r="AA122" i="1"/>
  <c r="AG118" i="1"/>
  <c r="X117" i="1"/>
  <c r="AA115" i="1"/>
  <c r="W115" i="1" s="1"/>
  <c r="AA109" i="1"/>
  <c r="T109" i="1"/>
  <c r="AA106" i="1"/>
  <c r="W106" i="1" s="1"/>
  <c r="AI105" i="1"/>
  <c r="AG104" i="1"/>
  <c r="AG208" i="1"/>
  <c r="U190" i="1"/>
  <c r="S190" i="1" s="1"/>
  <c r="AG188" i="1"/>
  <c r="W188" i="1" s="1"/>
  <c r="AA185" i="1"/>
  <c r="AA182" i="1"/>
  <c r="T182" i="1"/>
  <c r="U182" i="1" s="1"/>
  <c r="S182" i="1" s="1"/>
  <c r="AA181" i="1"/>
  <c r="W181" i="1" s="1"/>
  <c r="AG178" i="1"/>
  <c r="X178" i="1"/>
  <c r="U176" i="1"/>
  <c r="S176" i="1" s="1"/>
  <c r="T174" i="1"/>
  <c r="AG174" i="1"/>
  <c r="W174" i="1" s="1"/>
  <c r="AI33" i="1"/>
  <c r="AA167" i="1"/>
  <c r="W167" i="1" s="1"/>
  <c r="X164" i="1"/>
  <c r="AA162" i="1"/>
  <c r="W162" i="1" s="1"/>
  <c r="T162" i="1"/>
  <c r="U162" i="1" s="1"/>
  <c r="S162" i="1" s="1"/>
  <c r="AA160" i="1"/>
  <c r="T160" i="1"/>
  <c r="AA90" i="1"/>
  <c r="W90" i="1" s="1"/>
  <c r="X87" i="1"/>
  <c r="AA81" i="1"/>
  <c r="X79" i="1"/>
  <c r="AA77" i="1"/>
  <c r="AA76" i="1"/>
  <c r="T76" i="1"/>
  <c r="T74" i="1"/>
  <c r="U74" i="1" s="1"/>
  <c r="S74" i="1" s="1"/>
  <c r="X68" i="1"/>
  <c r="T67" i="1"/>
  <c r="X62" i="1"/>
  <c r="U59" i="1"/>
  <c r="S59" i="1" s="1"/>
  <c r="X59" i="1"/>
  <c r="X54" i="1"/>
  <c r="AA52" i="1"/>
  <c r="W52" i="1" s="1"/>
  <c r="X50" i="1"/>
  <c r="AA47" i="1"/>
  <c r="T46" i="1"/>
  <c r="X42" i="1"/>
  <c r="X41" i="1"/>
  <c r="X40" i="1"/>
  <c r="X37" i="1"/>
  <c r="X36" i="1"/>
  <c r="X33" i="1"/>
  <c r="X32" i="1"/>
  <c r="X29" i="1"/>
  <c r="X26" i="1"/>
  <c r="U161" i="1"/>
  <c r="S161" i="1" s="1"/>
  <c r="W79" i="1"/>
  <c r="U71" i="1"/>
  <c r="T70" i="1"/>
  <c r="U70" i="1" s="1"/>
  <c r="S70" i="1" s="1"/>
  <c r="T66" i="1"/>
  <c r="T58" i="1"/>
  <c r="W37" i="1"/>
  <c r="W29" i="1"/>
  <c r="T25" i="1"/>
  <c r="T16" i="1"/>
  <c r="T157" i="1"/>
  <c r="U157" i="1" s="1"/>
  <c r="S157" i="1" s="1"/>
  <c r="T87" i="1"/>
  <c r="U87" i="1" s="1"/>
  <c r="S87" i="1" s="1"/>
  <c r="T79" i="1"/>
  <c r="U79" i="1" s="1"/>
  <c r="S79" i="1" s="1"/>
  <c r="AG76" i="1"/>
  <c r="AI76" i="1" s="1"/>
  <c r="X71" i="1"/>
  <c r="AG67" i="1"/>
  <c r="AA63" i="1"/>
  <c r="T62" i="1"/>
  <c r="U62" i="1" s="1"/>
  <c r="S62" i="1" s="1"/>
  <c r="AG58" i="1"/>
  <c r="AI56" i="1"/>
  <c r="AA55" i="1"/>
  <c r="T54" i="1"/>
  <c r="AA51" i="1"/>
  <c r="T50" i="1"/>
  <c r="U50" i="1" s="1"/>
  <c r="S50" i="1" s="1"/>
  <c r="AG43" i="1"/>
  <c r="W43" i="1" s="1"/>
  <c r="T41" i="1"/>
  <c r="U41" i="1" s="1"/>
  <c r="S41" i="1" s="1"/>
  <c r="AA39" i="1"/>
  <c r="T37" i="1"/>
  <c r="U37" i="1" s="1"/>
  <c r="S37" i="1" s="1"/>
  <c r="AA35" i="1"/>
  <c r="T33" i="1"/>
  <c r="U33" i="1" s="1"/>
  <c r="S33" i="1" s="1"/>
  <c r="AA31" i="1"/>
  <c r="T29" i="1"/>
  <c r="U29" i="1" s="1"/>
  <c r="S29" i="1" s="1"/>
  <c r="AG25" i="1"/>
  <c r="T24" i="1"/>
  <c r="U24" i="1" s="1"/>
  <c r="S24" i="1" s="1"/>
  <c r="AA21" i="1"/>
  <c r="T20" i="1"/>
  <c r="U20" i="1" s="1"/>
  <c r="S20" i="1" s="1"/>
  <c r="AG16" i="1"/>
  <c r="W16" i="1" s="1"/>
  <c r="T15" i="1"/>
  <c r="U15" i="1" s="1"/>
  <c r="S15" i="1" s="1"/>
  <c r="AA94" i="1"/>
  <c r="W94" i="1" s="1"/>
  <c r="AA171" i="1"/>
  <c r="T171" i="1"/>
  <c r="AG163" i="1"/>
  <c r="U163" i="1" s="1"/>
  <c r="S163" i="1" s="1"/>
  <c r="T92" i="1"/>
  <c r="U92" i="1" s="1"/>
  <c r="S92" i="1" s="1"/>
  <c r="T90" i="1"/>
  <c r="U90" i="1" s="1"/>
  <c r="S90" i="1" s="1"/>
  <c r="AA88" i="1"/>
  <c r="AG84" i="1"/>
  <c r="W84" i="1" s="1"/>
  <c r="AI83" i="1"/>
  <c r="AA80" i="1"/>
  <c r="W80" i="1" s="1"/>
  <c r="T78" i="1"/>
  <c r="AG72" i="1"/>
  <c r="W72" i="1" s="1"/>
  <c r="AI71" i="1"/>
  <c r="X70" i="1"/>
  <c r="X66" i="1"/>
  <c r="AG64" i="1"/>
  <c r="AI64" i="1" s="1"/>
  <c r="AG63" i="1"/>
  <c r="AG55" i="1"/>
  <c r="W55" i="1" s="1"/>
  <c r="AG53" i="1"/>
  <c r="AG51" i="1"/>
  <c r="AI47" i="1"/>
  <c r="AA44" i="1"/>
  <c r="W44" i="1" s="1"/>
  <c r="AG39" i="1"/>
  <c r="AA38" i="1"/>
  <c r="W38" i="1" s="1"/>
  <c r="T38" i="1"/>
  <c r="AG35" i="1"/>
  <c r="AI35" i="1" s="1"/>
  <c r="AA34" i="1"/>
  <c r="W34" i="1" s="1"/>
  <c r="T34" i="1"/>
  <c r="U34" i="1" s="1"/>
  <c r="S34" i="1" s="1"/>
  <c r="AG31" i="1"/>
  <c r="AI31" i="1" s="1"/>
  <c r="AA30" i="1"/>
  <c r="W30" i="1" s="1"/>
  <c r="T30" i="1"/>
  <c r="T28" i="1"/>
  <c r="U28" i="1" s="1"/>
  <c r="S28" i="1" s="1"/>
  <c r="AA27" i="1"/>
  <c r="AG21" i="1"/>
  <c r="AI21" i="1" s="1"/>
  <c r="AA17" i="1"/>
  <c r="W17" i="1" s="1"/>
  <c r="U206" i="1"/>
  <c r="S206" i="1" s="1"/>
  <c r="AI208" i="1"/>
  <c r="W202" i="1"/>
  <c r="W153" i="1"/>
  <c r="AI160" i="1"/>
  <c r="U153" i="1"/>
  <c r="S153" i="1" s="1"/>
  <c r="U138" i="1"/>
  <c r="S138" i="1" s="1"/>
  <c r="U149" i="1"/>
  <c r="S149" i="1" s="1"/>
  <c r="AI184" i="1"/>
  <c r="W145" i="1"/>
  <c r="W131" i="1"/>
  <c r="U212" i="1"/>
  <c r="S212" i="1" s="1"/>
  <c r="AI212" i="1"/>
  <c r="U194" i="1"/>
  <c r="S194" i="1" s="1"/>
  <c r="AI180" i="1"/>
  <c r="AI164" i="1"/>
  <c r="W127" i="1"/>
  <c r="AG214" i="1"/>
  <c r="W214" i="1" s="1"/>
  <c r="AG204" i="1"/>
  <c r="AG200" i="1"/>
  <c r="U147" i="1"/>
  <c r="S147" i="1" s="1"/>
  <c r="U140" i="1"/>
  <c r="S140" i="1" s="1"/>
  <c r="U129" i="1"/>
  <c r="S129" i="1" s="1"/>
  <c r="T124" i="1"/>
  <c r="X124" i="1"/>
  <c r="AI153" i="1"/>
  <c r="AI142" i="1"/>
  <c r="X214" i="1"/>
  <c r="AG211" i="1"/>
  <c r="X210" i="1"/>
  <c r="AG205" i="1"/>
  <c r="AI205" i="1" s="1"/>
  <c r="X204" i="1"/>
  <c r="AG201" i="1"/>
  <c r="W201" i="1" s="1"/>
  <c r="X200" i="1"/>
  <c r="AG197" i="1"/>
  <c r="AI197" i="1" s="1"/>
  <c r="X196" i="1"/>
  <c r="AG193" i="1"/>
  <c r="AI193" i="1" s="1"/>
  <c r="X192" i="1"/>
  <c r="S191" i="1"/>
  <c r="AG156" i="1"/>
  <c r="X155" i="1"/>
  <c r="AG152" i="1"/>
  <c r="AI152" i="1" s="1"/>
  <c r="X151" i="1"/>
  <c r="AI185" i="1"/>
  <c r="S150" i="1"/>
  <c r="AG148" i="1"/>
  <c r="AI181" i="1"/>
  <c r="S143" i="1"/>
  <c r="AG141" i="1"/>
  <c r="AI173" i="1"/>
  <c r="AG134" i="1"/>
  <c r="AI134" i="1" s="1"/>
  <c r="X133" i="1"/>
  <c r="AI165" i="1"/>
  <c r="AG130" i="1"/>
  <c r="AI130" i="1" s="1"/>
  <c r="X129" i="1"/>
  <c r="AG126" i="1"/>
  <c r="AG124" i="1"/>
  <c r="T123" i="1"/>
  <c r="U123" i="1" s="1"/>
  <c r="S123" i="1" s="1"/>
  <c r="AI145" i="1"/>
  <c r="W109" i="1"/>
  <c r="AI140" i="1"/>
  <c r="U105" i="1"/>
  <c r="S105" i="1" s="1"/>
  <c r="U104" i="1"/>
  <c r="S104" i="1" s="1"/>
  <c r="AI135" i="1"/>
  <c r="X211" i="1"/>
  <c r="X205" i="1"/>
  <c r="X201" i="1"/>
  <c r="X197" i="1"/>
  <c r="X193" i="1"/>
  <c r="AI194" i="1"/>
  <c r="AI190" i="1"/>
  <c r="X152" i="1"/>
  <c r="AI186" i="1"/>
  <c r="AI182" i="1"/>
  <c r="AI178" i="1"/>
  <c r="AI174" i="1"/>
  <c r="X134" i="1"/>
  <c r="AI166" i="1"/>
  <c r="X130" i="1"/>
  <c r="AI162" i="1"/>
  <c r="X126" i="1"/>
  <c r="U125" i="1"/>
  <c r="S125" i="1" s="1"/>
  <c r="U121" i="1"/>
  <c r="S121" i="1" s="1"/>
  <c r="U120" i="1"/>
  <c r="S120" i="1" s="1"/>
  <c r="AI149" i="1"/>
  <c r="AI144" i="1"/>
  <c r="U109" i="1"/>
  <c r="S109" i="1" s="1"/>
  <c r="W103" i="1"/>
  <c r="X123" i="1"/>
  <c r="W119" i="1"/>
  <c r="AI147" i="1"/>
  <c r="U113" i="1"/>
  <c r="S113" i="1" s="1"/>
  <c r="W107" i="1"/>
  <c r="AI138" i="1"/>
  <c r="AI131" i="1"/>
  <c r="X119" i="1"/>
  <c r="T119" i="1"/>
  <c r="U119" i="1" s="1"/>
  <c r="S119" i="1" s="1"/>
  <c r="X115" i="1"/>
  <c r="T115" i="1"/>
  <c r="U115" i="1" s="1"/>
  <c r="S115" i="1" s="1"/>
  <c r="X111" i="1"/>
  <c r="T111" i="1"/>
  <c r="U111" i="1" s="1"/>
  <c r="S111" i="1" s="1"/>
  <c r="S110" i="1"/>
  <c r="X107" i="1"/>
  <c r="T107" i="1"/>
  <c r="U107" i="1" s="1"/>
  <c r="S107" i="1" s="1"/>
  <c r="X103" i="1"/>
  <c r="T103" i="1"/>
  <c r="U103" i="1" s="1"/>
  <c r="S103" i="1" s="1"/>
  <c r="AG102" i="1"/>
  <c r="X101" i="1"/>
  <c r="T101" i="1"/>
  <c r="U101" i="1" s="1"/>
  <c r="S101" i="1" s="1"/>
  <c r="AG98" i="1"/>
  <c r="AI98" i="1" s="1"/>
  <c r="X97" i="1"/>
  <c r="T97" i="1"/>
  <c r="U97" i="1" s="1"/>
  <c r="S97" i="1" s="1"/>
  <c r="U171" i="1"/>
  <c r="S171" i="1" s="1"/>
  <c r="X120" i="1"/>
  <c r="X116" i="1"/>
  <c r="X112" i="1"/>
  <c r="X108" i="1"/>
  <c r="X104" i="1"/>
  <c r="X102" i="1"/>
  <c r="X98" i="1"/>
  <c r="X96" i="1"/>
  <c r="W182" i="1"/>
  <c r="W178" i="1"/>
  <c r="AI110" i="1"/>
  <c r="U173" i="1"/>
  <c r="S173" i="1" s="1"/>
  <c r="AI104" i="1"/>
  <c r="U93" i="1"/>
  <c r="S93" i="1" s="1"/>
  <c r="AI96" i="1"/>
  <c r="AG189" i="1"/>
  <c r="AI189" i="1" s="1"/>
  <c r="X190" i="1"/>
  <c r="AI124" i="1"/>
  <c r="AI120" i="1"/>
  <c r="U178" i="1"/>
  <c r="S178" i="1" s="1"/>
  <c r="U169" i="1"/>
  <c r="S169" i="1" s="1"/>
  <c r="W96" i="1"/>
  <c r="T96" i="1"/>
  <c r="U96" i="1" s="1"/>
  <c r="S96" i="1" s="1"/>
  <c r="X189" i="1"/>
  <c r="AI126" i="1"/>
  <c r="AI118" i="1"/>
  <c r="U180" i="1"/>
  <c r="S180" i="1" s="1"/>
  <c r="U174" i="1"/>
  <c r="S174" i="1" s="1"/>
  <c r="W171" i="1"/>
  <c r="AI102" i="1"/>
  <c r="AI94" i="1"/>
  <c r="U158" i="1"/>
  <c r="S158" i="1" s="1"/>
  <c r="AI92" i="1"/>
  <c r="X95" i="1"/>
  <c r="X183" i="1"/>
  <c r="X179" i="1"/>
  <c r="X176" i="1"/>
  <c r="X172" i="1"/>
  <c r="X168" i="1"/>
  <c r="X90" i="1"/>
  <c r="T89" i="1"/>
  <c r="U89" i="1" s="1"/>
  <c r="S89" i="1" s="1"/>
  <c r="X89" i="1"/>
  <c r="AI74" i="1"/>
  <c r="U185" i="1"/>
  <c r="S185" i="1" s="1"/>
  <c r="U181" i="1"/>
  <c r="S181" i="1" s="1"/>
  <c r="AG91" i="1"/>
  <c r="AI70" i="1"/>
  <c r="U66" i="1"/>
  <c r="S66" i="1" s="1"/>
  <c r="AI66" i="1"/>
  <c r="X188" i="1"/>
  <c r="X185" i="1"/>
  <c r="X181" i="1"/>
  <c r="X177" i="1"/>
  <c r="X174" i="1"/>
  <c r="X170" i="1"/>
  <c r="X93" i="1"/>
  <c r="X163" i="1"/>
  <c r="X91" i="1"/>
  <c r="AI62" i="1"/>
  <c r="U78" i="1"/>
  <c r="S78" i="1" s="1"/>
  <c r="AI78" i="1"/>
  <c r="W74" i="1"/>
  <c r="U84" i="1"/>
  <c r="S84" i="1" s="1"/>
  <c r="U80" i="1"/>
  <c r="S80" i="1" s="1"/>
  <c r="U68" i="1"/>
  <c r="S68" i="1" s="1"/>
  <c r="U64" i="1"/>
  <c r="S64" i="1" s="1"/>
  <c r="U60" i="1"/>
  <c r="S60" i="1" s="1"/>
  <c r="AI44" i="1"/>
  <c r="AI38" i="1"/>
  <c r="U38" i="1"/>
  <c r="S38" i="1" s="1"/>
  <c r="AI34" i="1"/>
  <c r="AI30" i="1"/>
  <c r="U30" i="1"/>
  <c r="S30" i="1" s="1"/>
  <c r="AG85" i="1"/>
  <c r="AG81" i="1"/>
  <c r="AG77" i="1"/>
  <c r="W77" i="1" s="1"/>
  <c r="AG73" i="1"/>
  <c r="W73" i="1" s="1"/>
  <c r="S71" i="1"/>
  <c r="AG69" i="1"/>
  <c r="AG65" i="1"/>
  <c r="W65" i="1" s="1"/>
  <c r="X64" i="1"/>
  <c r="AG61" i="1"/>
  <c r="X60" i="1"/>
  <c r="AG57" i="1"/>
  <c r="W56" i="1"/>
  <c r="T56" i="1"/>
  <c r="U56" i="1" s="1"/>
  <c r="S56" i="1" s="1"/>
  <c r="W54" i="1"/>
  <c r="AI52" i="1"/>
  <c r="W24" i="1"/>
  <c r="AG86" i="1"/>
  <c r="W86" i="1" s="1"/>
  <c r="AI80" i="1"/>
  <c r="X77" i="1"/>
  <c r="X73" i="1"/>
  <c r="AI72" i="1"/>
  <c r="X69" i="1"/>
  <c r="X65" i="1"/>
  <c r="X61" i="1"/>
  <c r="AI60" i="1"/>
  <c r="X57" i="1"/>
  <c r="AI54" i="1"/>
  <c r="U54" i="1"/>
  <c r="S54" i="1" s="1"/>
  <c r="AI50" i="1"/>
  <c r="W42" i="1"/>
  <c r="W40" i="1"/>
  <c r="AI24" i="1"/>
  <c r="AI20" i="1"/>
  <c r="AI15" i="1"/>
  <c r="X56" i="1"/>
  <c r="AI48" i="1"/>
  <c r="AI42" i="1"/>
  <c r="U42" i="1"/>
  <c r="S42" i="1" s="1"/>
  <c r="AI40" i="1"/>
  <c r="AI36" i="1"/>
  <c r="U35" i="1"/>
  <c r="S35" i="1" s="1"/>
  <c r="AI32" i="1"/>
  <c r="U31" i="1"/>
  <c r="S31" i="1" s="1"/>
  <c r="AI28" i="1"/>
  <c r="X52" i="1"/>
  <c r="T52" i="1"/>
  <c r="U52" i="1" s="1"/>
  <c r="S52" i="1" s="1"/>
  <c r="AG49" i="1"/>
  <c r="X48" i="1"/>
  <c r="T48" i="1"/>
  <c r="U48" i="1" s="1"/>
  <c r="S48" i="1" s="1"/>
  <c r="X44" i="1"/>
  <c r="T44" i="1"/>
  <c r="U44" i="1" s="1"/>
  <c r="S44" i="1" s="1"/>
  <c r="U17" i="1"/>
  <c r="S17" i="1" s="1"/>
  <c r="X53" i="1"/>
  <c r="X49" i="1"/>
  <c r="X45" i="1"/>
  <c r="AG22" i="1"/>
  <c r="AG18" i="1"/>
  <c r="W18" i="1" s="1"/>
  <c r="AG14" i="1"/>
  <c r="AG23" i="1"/>
  <c r="X22" i="1"/>
  <c r="AG19" i="1"/>
  <c r="X18" i="1"/>
  <c r="X43" i="1"/>
  <c r="X39" i="1"/>
  <c r="X35" i="1"/>
  <c r="X31" i="1"/>
  <c r="X27" i="1"/>
  <c r="X23" i="1"/>
  <c r="X19" i="1"/>
  <c r="T39" i="3"/>
  <c r="AE27" i="3"/>
  <c r="AD20" i="3"/>
  <c r="AD12" i="3"/>
  <c r="Y32" i="3"/>
  <c r="Y21" i="3"/>
  <c r="AD9" i="3"/>
  <c r="AD39" i="3"/>
  <c r="Y13" i="3"/>
  <c r="Y15" i="3"/>
  <c r="Y25" i="3"/>
  <c r="AC20" i="3"/>
  <c r="AE19" i="3"/>
  <c r="Y22" i="3"/>
  <c r="AE11" i="3"/>
  <c r="AD8" i="3"/>
  <c r="AD15" i="3"/>
  <c r="AE15" i="3"/>
  <c r="AD13" i="3"/>
  <c r="Y9" i="3"/>
  <c r="Y39" i="3"/>
  <c r="T7" i="3"/>
  <c r="AD32" i="3"/>
  <c r="Y37" i="3"/>
  <c r="AD27" i="3"/>
  <c r="AC34" i="3"/>
  <c r="Y35" i="3"/>
  <c r="T29" i="3"/>
  <c r="AD16" i="3"/>
  <c r="Y18" i="3"/>
  <c r="AD11" i="3"/>
  <c r="AC14" i="3"/>
  <c r="AC11" i="3"/>
  <c r="T30" i="3"/>
  <c r="AD24" i="3"/>
  <c r="AC19" i="3"/>
  <c r="Y30" i="3"/>
  <c r="AE30" i="3"/>
  <c r="T24" i="3"/>
  <c r="AE26" i="3"/>
  <c r="T25" i="3"/>
  <c r="AE18" i="3"/>
  <c r="T28" i="3"/>
  <c r="AE14" i="3"/>
  <c r="T17" i="3"/>
  <c r="AE10" i="3"/>
  <c r="T8" i="3"/>
  <c r="AE38" i="3"/>
  <c r="T13" i="3"/>
  <c r="AE34" i="3"/>
  <c r="T38" i="3"/>
  <c r="AE22" i="3"/>
  <c r="T33" i="3"/>
  <c r="AD38" i="3"/>
  <c r="T27" i="3"/>
  <c r="AD34" i="3"/>
  <c r="AE29" i="3"/>
  <c r="T26" i="3"/>
  <c r="AD26" i="3"/>
  <c r="AE25" i="3"/>
  <c r="T34" i="3"/>
  <c r="AD22" i="3"/>
  <c r="AE21" i="3"/>
  <c r="T20" i="3"/>
  <c r="AD18" i="3"/>
  <c r="AE17" i="3"/>
  <c r="T19" i="3"/>
  <c r="AD14" i="3"/>
  <c r="AE13" i="3"/>
  <c r="T32" i="3"/>
  <c r="AD10" i="3"/>
  <c r="AE9" i="3"/>
  <c r="T14" i="3"/>
  <c r="AE37" i="3"/>
  <c r="AE33" i="3"/>
  <c r="T11" i="3"/>
  <c r="AD30" i="3"/>
  <c r="AE36" i="3"/>
  <c r="AE32" i="3"/>
  <c r="AE28" i="3"/>
  <c r="AE24" i="3"/>
  <c r="AE20" i="3"/>
  <c r="AE16" i="3"/>
  <c r="AE12" i="3"/>
  <c r="AE8" i="3"/>
  <c r="S40" i="3"/>
  <c r="M40" i="3"/>
  <c r="R40" i="3"/>
  <c r="U40" i="3"/>
  <c r="T40" i="3" s="1"/>
  <c r="V40" i="3"/>
  <c r="W40" i="3"/>
  <c r="X40" i="3"/>
  <c r="AI55" i="1" l="1"/>
  <c r="AI172" i="1"/>
  <c r="W165" i="1"/>
  <c r="U106" i="1"/>
  <c r="S106" i="1" s="1"/>
  <c r="AI151" i="1"/>
  <c r="W110" i="1"/>
  <c r="W68" i="1"/>
  <c r="W169" i="1"/>
  <c r="W185" i="1"/>
  <c r="U167" i="1"/>
  <c r="S167" i="1" s="1"/>
  <c r="W99" i="1"/>
  <c r="AI84" i="1"/>
  <c r="W61" i="1"/>
  <c r="AI106" i="1"/>
  <c r="AI114" i="1"/>
  <c r="AI192" i="1"/>
  <c r="U114" i="1"/>
  <c r="S114" i="1" s="1"/>
  <c r="W192" i="1"/>
  <c r="W100" i="1"/>
  <c r="W75" i="1"/>
  <c r="U72" i="1"/>
  <c r="S72" i="1" s="1"/>
  <c r="AI116" i="1"/>
  <c r="AI170" i="1"/>
  <c r="W67" i="1"/>
  <c r="W104" i="1"/>
  <c r="W139" i="1"/>
  <c r="W136" i="1"/>
  <c r="U160" i="1"/>
  <c r="S160" i="1" s="1"/>
  <c r="U198" i="1"/>
  <c r="S198" i="1" s="1"/>
  <c r="U159" i="1"/>
  <c r="S159" i="1" s="1"/>
  <c r="W200" i="1"/>
  <c r="AI168" i="1"/>
  <c r="AI176" i="1"/>
  <c r="W27" i="1"/>
  <c r="W168" i="1"/>
  <c r="U21" i="1"/>
  <c r="S21" i="1" s="1"/>
  <c r="AI108" i="1"/>
  <c r="AI198" i="1"/>
  <c r="W64" i="1"/>
  <c r="W163" i="1"/>
  <c r="U76" i="1"/>
  <c r="S76" i="1" s="1"/>
  <c r="W198" i="1"/>
  <c r="U26" i="1"/>
  <c r="S26" i="1" s="1"/>
  <c r="U46" i="1"/>
  <c r="S46" i="1" s="1"/>
  <c r="W144" i="1"/>
  <c r="W129" i="1"/>
  <c r="W26" i="1"/>
  <c r="W59" i="1"/>
  <c r="W83" i="1"/>
  <c r="U47" i="1"/>
  <c r="S47" i="1" s="1"/>
  <c r="U183" i="1"/>
  <c r="S183" i="1" s="1"/>
  <c r="U199" i="1"/>
  <c r="S199" i="1" s="1"/>
  <c r="U75" i="1"/>
  <c r="S75" i="1" s="1"/>
  <c r="AI112" i="1"/>
  <c r="AI177" i="1"/>
  <c r="W204" i="1"/>
  <c r="AI45" i="1"/>
  <c r="U55" i="1"/>
  <c r="S55" i="1" s="1"/>
  <c r="W47" i="1"/>
  <c r="W160" i="1"/>
  <c r="W112" i="1"/>
  <c r="W46" i="1"/>
  <c r="U82" i="1"/>
  <c r="S82" i="1" s="1"/>
  <c r="AI82" i="1"/>
  <c r="W82" i="1"/>
  <c r="W88" i="1"/>
  <c r="AI122" i="1"/>
  <c r="U188" i="1"/>
  <c r="S188" i="1" s="1"/>
  <c r="AI133" i="1"/>
  <c r="W122" i="1"/>
  <c r="AI213" i="1"/>
  <c r="U137" i="1"/>
  <c r="S137" i="1" s="1"/>
  <c r="U132" i="1"/>
  <c r="S132" i="1" s="1"/>
  <c r="U195" i="1"/>
  <c r="S195" i="1" s="1"/>
  <c r="U100" i="1"/>
  <c r="S100" i="1" s="1"/>
  <c r="W133" i="1"/>
  <c r="W108" i="1"/>
  <c r="U88" i="1"/>
  <c r="S88" i="1" s="1"/>
  <c r="U177" i="1"/>
  <c r="S177" i="1" s="1"/>
  <c r="AI100" i="1"/>
  <c r="W172" i="1"/>
  <c r="W203" i="1"/>
  <c r="W196" i="1"/>
  <c r="W183" i="1"/>
  <c r="U196" i="1"/>
  <c r="S196" i="1" s="1"/>
  <c r="AI188" i="1"/>
  <c r="U208" i="1"/>
  <c r="S208" i="1" s="1"/>
  <c r="U118" i="1"/>
  <c r="S118" i="1" s="1"/>
  <c r="W161" i="1"/>
  <c r="U209" i="1"/>
  <c r="S209" i="1" s="1"/>
  <c r="W21" i="1"/>
  <c r="W116" i="1"/>
  <c r="AI201" i="1"/>
  <c r="W118" i="1"/>
  <c r="W76" i="1"/>
  <c r="W170" i="1"/>
  <c r="AI204" i="1"/>
  <c r="W45" i="1"/>
  <c r="W141" i="1"/>
  <c r="AI141" i="1"/>
  <c r="W148" i="1"/>
  <c r="AI148" i="1"/>
  <c r="W156" i="1"/>
  <c r="AI156" i="1"/>
  <c r="U39" i="1"/>
  <c r="S39" i="1" s="1"/>
  <c r="AI39" i="1"/>
  <c r="U51" i="1"/>
  <c r="S51" i="1" s="1"/>
  <c r="AI51" i="1"/>
  <c r="W31" i="1"/>
  <c r="W39" i="1"/>
  <c r="W51" i="1"/>
  <c r="U58" i="1"/>
  <c r="S58" i="1" s="1"/>
  <c r="AI58" i="1"/>
  <c r="W58" i="1"/>
  <c r="W132" i="1"/>
  <c r="W195" i="1"/>
  <c r="W210" i="1"/>
  <c r="U53" i="1"/>
  <c r="S53" i="1" s="1"/>
  <c r="AI53" i="1"/>
  <c r="U16" i="1"/>
  <c r="S16" i="1" s="1"/>
  <c r="AI16" i="1"/>
  <c r="U25" i="1"/>
  <c r="S25" i="1" s="1"/>
  <c r="AI25" i="1"/>
  <c r="W25" i="1"/>
  <c r="W208" i="1"/>
  <c r="W128" i="1"/>
  <c r="U146" i="1"/>
  <c r="S146" i="1" s="1"/>
  <c r="AI146" i="1"/>
  <c r="W137" i="1"/>
  <c r="W151" i="1"/>
  <c r="AI200" i="1"/>
  <c r="W35" i="1"/>
  <c r="U43" i="1"/>
  <c r="S43" i="1" s="1"/>
  <c r="AI43" i="1"/>
  <c r="W63" i="1"/>
  <c r="W53" i="1"/>
  <c r="W146" i="1"/>
  <c r="U63" i="1"/>
  <c r="S63" i="1" s="1"/>
  <c r="AI63" i="1"/>
  <c r="U67" i="1"/>
  <c r="S67" i="1" s="1"/>
  <c r="AI67" i="1"/>
  <c r="U139" i="1"/>
  <c r="S139" i="1" s="1"/>
  <c r="AI139" i="1"/>
  <c r="U154" i="1"/>
  <c r="S154" i="1" s="1"/>
  <c r="AI154" i="1"/>
  <c r="W213" i="1"/>
  <c r="AI57" i="1"/>
  <c r="U57" i="1"/>
  <c r="S57" i="1" s="1"/>
  <c r="AI69" i="1"/>
  <c r="U69" i="1"/>
  <c r="S69" i="1" s="1"/>
  <c r="AI81" i="1"/>
  <c r="U81" i="1"/>
  <c r="S81" i="1" s="1"/>
  <c r="W57" i="1"/>
  <c r="AI132" i="1"/>
  <c r="U98" i="1"/>
  <c r="S98" i="1" s="1"/>
  <c r="AI136" i="1"/>
  <c r="U102" i="1"/>
  <c r="S102" i="1" s="1"/>
  <c r="W98" i="1"/>
  <c r="W102" i="1"/>
  <c r="U23" i="1"/>
  <c r="S23" i="1" s="1"/>
  <c r="AI23" i="1"/>
  <c r="AI85" i="1"/>
  <c r="U85" i="1"/>
  <c r="S85" i="1" s="1"/>
  <c r="W69" i="1"/>
  <c r="AI91" i="1"/>
  <c r="U91" i="1"/>
  <c r="S91" i="1" s="1"/>
  <c r="W81" i="1"/>
  <c r="U189" i="1"/>
  <c r="S189" i="1" s="1"/>
  <c r="AI128" i="1"/>
  <c r="W91" i="1"/>
  <c r="AI157" i="1"/>
  <c r="U124" i="1"/>
  <c r="S124" i="1" s="1"/>
  <c r="AI214" i="1"/>
  <c r="U214" i="1"/>
  <c r="S214" i="1" s="1"/>
  <c r="AI22" i="1"/>
  <c r="U22" i="1"/>
  <c r="S22" i="1" s="1"/>
  <c r="AI49" i="1"/>
  <c r="U49" i="1"/>
  <c r="S49" i="1" s="1"/>
  <c r="AI14" i="1"/>
  <c r="U14" i="1"/>
  <c r="S14" i="1" s="1"/>
  <c r="W49" i="1"/>
  <c r="W14" i="1"/>
  <c r="W22" i="1"/>
  <c r="AI65" i="1"/>
  <c r="U65" i="1"/>
  <c r="S65" i="1" s="1"/>
  <c r="AI73" i="1"/>
  <c r="U73" i="1"/>
  <c r="S73" i="1" s="1"/>
  <c r="W189" i="1"/>
  <c r="AI159" i="1"/>
  <c r="U126" i="1"/>
  <c r="S126" i="1" s="1"/>
  <c r="AI163" i="1"/>
  <c r="U130" i="1"/>
  <c r="S130" i="1" s="1"/>
  <c r="AI167" i="1"/>
  <c r="U134" i="1"/>
  <c r="S134" i="1" s="1"/>
  <c r="AI171" i="1"/>
  <c r="AI175" i="1"/>
  <c r="U141" i="1"/>
  <c r="S141" i="1" s="1"/>
  <c r="AI179" i="1"/>
  <c r="AI183" i="1"/>
  <c r="U148" i="1"/>
  <c r="S148" i="1" s="1"/>
  <c r="AI187" i="1"/>
  <c r="U152" i="1"/>
  <c r="S152" i="1" s="1"/>
  <c r="AI191" i="1"/>
  <c r="U156" i="1"/>
  <c r="S156" i="1" s="1"/>
  <c r="AI195" i="1"/>
  <c r="U193" i="1"/>
  <c r="S193" i="1" s="1"/>
  <c r="AI199" i="1"/>
  <c r="U197" i="1"/>
  <c r="S197" i="1" s="1"/>
  <c r="AI203" i="1"/>
  <c r="U201" i="1"/>
  <c r="S201" i="1" s="1"/>
  <c r="AI207" i="1"/>
  <c r="U205" i="1"/>
  <c r="S205" i="1" s="1"/>
  <c r="AI211" i="1"/>
  <c r="U211" i="1"/>
  <c r="S211" i="1" s="1"/>
  <c r="AI202" i="1"/>
  <c r="U200" i="1"/>
  <c r="S200" i="1" s="1"/>
  <c r="W134" i="1"/>
  <c r="W197" i="1"/>
  <c r="W152" i="1"/>
  <c r="W205" i="1"/>
  <c r="W126" i="1"/>
  <c r="W130" i="1"/>
  <c r="W193" i="1"/>
  <c r="U19" i="1"/>
  <c r="S19" i="1" s="1"/>
  <c r="AI19" i="1"/>
  <c r="AI18" i="1"/>
  <c r="U18" i="1"/>
  <c r="S18" i="1" s="1"/>
  <c r="W19" i="1"/>
  <c r="W23" i="1"/>
  <c r="U86" i="1"/>
  <c r="S86" i="1" s="1"/>
  <c r="AI86" i="1"/>
  <c r="AI61" i="1"/>
  <c r="U61" i="1"/>
  <c r="S61" i="1" s="1"/>
  <c r="AI77" i="1"/>
  <c r="U77" i="1"/>
  <c r="S77" i="1" s="1"/>
  <c r="W85" i="1"/>
  <c r="AI206" i="1"/>
  <c r="U204" i="1"/>
  <c r="S204" i="1" s="1"/>
  <c r="W124" i="1"/>
  <c r="W211" i="1"/>
  <c r="AE40" i="3"/>
  <c r="AD40" i="3"/>
  <c r="AC40" i="3"/>
  <c r="Y40" i="3"/>
  <c r="Z13" i="1" l="1"/>
  <c r="Y13" i="1"/>
  <c r="O2" i="3" l="1"/>
  <c r="M28" i="5" l="1"/>
  <c r="B3" i="6" l="1"/>
  <c r="M23" i="5"/>
  <c r="G3" i="6" l="1"/>
  <c r="I3" i="6"/>
  <c r="J3" i="6"/>
  <c r="F3" i="6"/>
  <c r="AD7" i="3"/>
  <c r="AN13" i="1"/>
  <c r="AE7" i="3" l="1"/>
  <c r="K13" i="1" l="1"/>
  <c r="M13" i="1"/>
  <c r="N13" i="1" s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4" i="6" l="1"/>
  <c r="B87" i="9"/>
  <c r="B88" i="9"/>
  <c r="B89" i="9"/>
  <c r="B90" i="9"/>
  <c r="B91" i="9"/>
  <c r="B92" i="9"/>
  <c r="B5" i="6" l="1"/>
  <c r="F4" i="6"/>
  <c r="G4" i="6"/>
  <c r="I4" i="6"/>
  <c r="J4" i="6"/>
  <c r="C88" i="9"/>
  <c r="C92" i="9"/>
  <c r="C93" i="9"/>
  <c r="C90" i="9"/>
  <c r="C89" i="9"/>
  <c r="C91" i="9"/>
  <c r="B6" i="6" l="1"/>
  <c r="G5" i="6"/>
  <c r="I5" i="6"/>
  <c r="J5" i="6"/>
  <c r="F5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6" i="6" l="1"/>
  <c r="G6" i="6"/>
  <c r="I6" i="6"/>
  <c r="J6" i="6"/>
  <c r="B7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7" i="6" l="1"/>
  <c r="F7" i="6"/>
  <c r="G7" i="6"/>
  <c r="J7" i="6"/>
  <c r="B8" i="6"/>
  <c r="B55" i="9"/>
  <c r="B56" i="9"/>
  <c r="B57" i="9"/>
  <c r="B58" i="9"/>
  <c r="B59" i="9"/>
  <c r="B60" i="9"/>
  <c r="B61" i="9"/>
  <c r="B62" i="9"/>
  <c r="C63" i="9" s="1"/>
  <c r="F8" i="6" l="1"/>
  <c r="I8" i="6"/>
  <c r="G8" i="6"/>
  <c r="J8" i="6"/>
  <c r="B9" i="6"/>
  <c r="C61" i="9"/>
  <c r="C57" i="9"/>
  <c r="C59" i="9"/>
  <c r="C62" i="9"/>
  <c r="C60" i="9"/>
  <c r="C58" i="9"/>
  <c r="C56" i="9"/>
  <c r="G9" i="6" l="1"/>
  <c r="I9" i="6"/>
  <c r="J9" i="6"/>
  <c r="F9" i="6"/>
  <c r="B10" i="6"/>
  <c r="B50" i="9"/>
  <c r="B51" i="9"/>
  <c r="B52" i="9"/>
  <c r="B53" i="9"/>
  <c r="B54" i="9"/>
  <c r="F10" i="6" l="1"/>
  <c r="G10" i="6"/>
  <c r="I10" i="6"/>
  <c r="J10" i="6"/>
  <c r="B11" i="6"/>
  <c r="C52" i="9"/>
  <c r="C54" i="9"/>
  <c r="C55" i="9"/>
  <c r="C53" i="9"/>
  <c r="C51" i="9"/>
  <c r="G11" i="6" l="1"/>
  <c r="I11" i="6"/>
  <c r="J11" i="6"/>
  <c r="F11" i="6"/>
  <c r="B1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3" i="6" l="1"/>
  <c r="F12" i="6"/>
  <c r="G12" i="6"/>
  <c r="I12" i="6"/>
  <c r="J12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3" i="6" l="1"/>
  <c r="I13" i="6"/>
  <c r="J13" i="6"/>
  <c r="F13" i="6"/>
  <c r="B14" i="6"/>
  <c r="V13" i="1"/>
  <c r="B31" i="9"/>
  <c r="B32" i="9"/>
  <c r="C33" i="9" s="1"/>
  <c r="F14" i="6" l="1"/>
  <c r="G14" i="6"/>
  <c r="I14" i="6"/>
  <c r="J14" i="6"/>
  <c r="B15" i="6"/>
  <c r="C32" i="9"/>
  <c r="G15" i="6" l="1"/>
  <c r="I15" i="6"/>
  <c r="F15" i="6"/>
  <c r="H15" i="6"/>
  <c r="J15" i="6"/>
  <c r="B1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31" i="3" s="1"/>
  <c r="G43" i="4"/>
  <c r="G44" i="4"/>
  <c r="G45" i="4"/>
  <c r="N14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21" i="3" s="1"/>
  <c r="G70" i="4"/>
  <c r="G71" i="4"/>
  <c r="N8" i="3" s="1"/>
  <c r="G72" i="4"/>
  <c r="G73" i="4"/>
  <c r="G74" i="4"/>
  <c r="G75" i="4"/>
  <c r="G76" i="4"/>
  <c r="N18" i="3" s="1"/>
  <c r="G77" i="4"/>
  <c r="G78" i="4"/>
  <c r="G79" i="4"/>
  <c r="G80" i="4"/>
  <c r="G81" i="4"/>
  <c r="G82" i="4"/>
  <c r="G83" i="4"/>
  <c r="G84" i="4"/>
  <c r="G85" i="4"/>
  <c r="G86" i="4"/>
  <c r="G87" i="4"/>
  <c r="G88" i="4"/>
  <c r="N32" i="3" s="1"/>
  <c r="G89" i="4"/>
  <c r="G90" i="4"/>
  <c r="N17" i="3" s="1"/>
  <c r="G91" i="4"/>
  <c r="G92" i="4"/>
  <c r="G93" i="4"/>
  <c r="G94" i="4"/>
  <c r="G95" i="4"/>
  <c r="N22" i="3" s="1"/>
  <c r="G96" i="4"/>
  <c r="G97" i="4"/>
  <c r="G98" i="4"/>
  <c r="G99" i="4"/>
  <c r="N16" i="3" s="1"/>
  <c r="G100" i="4"/>
  <c r="G101" i="4"/>
  <c r="G102" i="4"/>
  <c r="G103" i="4"/>
  <c r="G104" i="4"/>
  <c r="N19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23" i="3" s="1"/>
  <c r="G120" i="4"/>
  <c r="G121" i="4"/>
  <c r="N20" i="3" s="1"/>
  <c r="G122" i="4"/>
  <c r="G123" i="4"/>
  <c r="G124" i="4"/>
  <c r="G125" i="4"/>
  <c r="N33" i="3" s="1"/>
  <c r="G126" i="4"/>
  <c r="G127" i="4"/>
  <c r="G128" i="4"/>
  <c r="G129" i="4"/>
  <c r="G130" i="4"/>
  <c r="G131" i="4"/>
  <c r="G132" i="4"/>
  <c r="G133" i="4"/>
  <c r="G134" i="4"/>
  <c r="G135" i="4"/>
  <c r="N34" i="3" s="1"/>
  <c r="G136" i="4"/>
  <c r="G137" i="4"/>
  <c r="G138" i="4"/>
  <c r="G139" i="4"/>
  <c r="G140" i="4"/>
  <c r="G141" i="4"/>
  <c r="G142" i="4"/>
  <c r="N25" i="3" s="1"/>
  <c r="G143" i="4"/>
  <c r="G144" i="4"/>
  <c r="G145" i="4"/>
  <c r="G146" i="4"/>
  <c r="G147" i="4"/>
  <c r="G148" i="4"/>
  <c r="G149" i="4"/>
  <c r="G150" i="4"/>
  <c r="G151" i="4"/>
  <c r="N24" i="3" s="1"/>
  <c r="G152" i="4"/>
  <c r="G153" i="4"/>
  <c r="G154" i="4"/>
  <c r="G155" i="4"/>
  <c r="G156" i="4"/>
  <c r="G157" i="4"/>
  <c r="N26" i="3" s="1"/>
  <c r="G158" i="4"/>
  <c r="G159" i="4"/>
  <c r="G160" i="4"/>
  <c r="G161" i="4"/>
  <c r="G162" i="4"/>
  <c r="G163" i="4"/>
  <c r="N7" i="3" s="1"/>
  <c r="G164" i="4"/>
  <c r="N11" i="3" s="1"/>
  <c r="G165" i="4"/>
  <c r="N38" i="3" s="1"/>
  <c r="G166" i="4"/>
  <c r="N15" i="3" s="1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27" i="3" s="1"/>
  <c r="G186" i="4"/>
  <c r="G187" i="4"/>
  <c r="G188" i="4"/>
  <c r="G189" i="4"/>
  <c r="G190" i="4"/>
  <c r="G191" i="4"/>
  <c r="G192" i="4"/>
  <c r="G193" i="4"/>
  <c r="N13" i="3" s="1"/>
  <c r="G194" i="4"/>
  <c r="G195" i="4"/>
  <c r="N12" i="3" s="1"/>
  <c r="G196" i="4"/>
  <c r="N39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29" i="3"/>
  <c r="N10" i="3"/>
  <c r="N9" i="3"/>
  <c r="N37" i="3"/>
  <c r="N30" i="3"/>
  <c r="N36" i="3"/>
  <c r="N35" i="3"/>
  <c r="H12" i="6"/>
  <c r="N40" i="3"/>
  <c r="H3" i="6"/>
  <c r="H6" i="6"/>
  <c r="H14" i="6"/>
  <c r="H9" i="6"/>
  <c r="H13" i="6"/>
  <c r="H7" i="6"/>
  <c r="H4" i="6"/>
  <c r="H5" i="6"/>
  <c r="H10" i="6"/>
  <c r="H11" i="6"/>
  <c r="H8" i="6"/>
  <c r="F16" i="6"/>
  <c r="I16" i="6"/>
  <c r="G16" i="6"/>
  <c r="H16" i="6"/>
  <c r="J16" i="6"/>
  <c r="B17" i="6"/>
  <c r="L13" i="1"/>
  <c r="G17" i="6" l="1"/>
  <c r="I17" i="6"/>
  <c r="J17" i="6"/>
  <c r="F17" i="6"/>
  <c r="H17" i="6"/>
  <c r="B1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8" i="6" l="1"/>
  <c r="G18" i="6"/>
  <c r="I18" i="6"/>
  <c r="J18" i="6"/>
  <c r="H18" i="6"/>
  <c r="B1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9" i="6" l="1"/>
  <c r="H19" i="6"/>
  <c r="J19" i="6"/>
  <c r="I19" i="6"/>
  <c r="F19" i="6"/>
  <c r="B2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1" i="6" l="1"/>
  <c r="F20" i="6"/>
  <c r="G20" i="6"/>
  <c r="I20" i="6"/>
  <c r="H20" i="6"/>
  <c r="J20" i="6"/>
  <c r="M30" i="5"/>
  <c r="M29" i="5"/>
  <c r="M27" i="5"/>
  <c r="G21" i="6" l="1"/>
  <c r="I21" i="6"/>
  <c r="J21" i="6"/>
  <c r="H21" i="6"/>
  <c r="F21" i="6"/>
  <c r="B22" i="6"/>
  <c r="M26" i="5"/>
  <c r="B23" i="6" l="1"/>
  <c r="F22" i="6"/>
  <c r="G22" i="6"/>
  <c r="H22" i="6"/>
  <c r="J22" i="6"/>
  <c r="I22" i="6"/>
  <c r="AH13" i="1"/>
  <c r="J7" i="1"/>
  <c r="G23" i="6" l="1"/>
  <c r="F23" i="6"/>
  <c r="H23" i="6"/>
  <c r="J23" i="6"/>
  <c r="I23" i="6"/>
  <c r="B24" i="6"/>
  <c r="X6" i="1"/>
  <c r="W6" i="1"/>
  <c r="V6" i="1"/>
  <c r="S6" i="1"/>
  <c r="R2" i="1"/>
  <c r="I2" i="1"/>
  <c r="O6" i="1"/>
  <c r="N6" i="1"/>
  <c r="M6" i="1"/>
  <c r="J6" i="1"/>
  <c r="B25" i="6" l="1"/>
  <c r="I24" i="6"/>
  <c r="G24" i="6"/>
  <c r="H24" i="6"/>
  <c r="J24" i="6"/>
  <c r="F24" i="6"/>
  <c r="P3" i="5"/>
  <c r="G25" i="6" l="1"/>
  <c r="I25" i="6"/>
  <c r="J25" i="6"/>
  <c r="F25" i="6"/>
  <c r="H25" i="6"/>
  <c r="B26" i="6"/>
  <c r="M18" i="5"/>
  <c r="B27" i="6" l="1"/>
  <c r="F26" i="6"/>
  <c r="G26" i="6"/>
  <c r="I26" i="6"/>
  <c r="J26" i="6"/>
  <c r="H26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7" i="6" l="1"/>
  <c r="I27" i="6"/>
  <c r="J27" i="6"/>
  <c r="F27" i="6"/>
  <c r="H27" i="6"/>
  <c r="B2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9" i="6" l="1"/>
  <c r="F28" i="6"/>
  <c r="G28" i="6"/>
  <c r="I28" i="6"/>
  <c r="H28" i="6"/>
  <c r="J28" i="6"/>
  <c r="G259" i="4"/>
  <c r="G260" i="4"/>
  <c r="G261" i="4"/>
  <c r="G262" i="4"/>
  <c r="G263" i="4"/>
  <c r="G264" i="4"/>
  <c r="G265" i="4"/>
  <c r="B30" i="6" l="1"/>
  <c r="G29" i="6"/>
  <c r="I29" i="6"/>
  <c r="H29" i="6"/>
  <c r="J29" i="6"/>
  <c r="F29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G30" i="6"/>
  <c r="I30" i="6"/>
  <c r="J30" i="6"/>
  <c r="H30" i="6"/>
  <c r="B31" i="6"/>
  <c r="U13" i="1"/>
  <c r="S13" i="1" s="1"/>
  <c r="O3" i="3"/>
  <c r="H31" i="6" l="1"/>
  <c r="I31" i="6"/>
  <c r="F31" i="6"/>
  <c r="G31" i="6"/>
  <c r="J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3" i="6" l="1"/>
  <c r="F33" i="6" s="1"/>
  <c r="F32" i="6"/>
  <c r="G32" i="6"/>
  <c r="I32" i="6"/>
  <c r="H32" i="6"/>
  <c r="J32" i="6"/>
  <c r="J8" i="1"/>
  <c r="J4" i="1"/>
  <c r="S8" i="1"/>
  <c r="S4" i="1"/>
  <c r="J33" i="6" l="1"/>
  <c r="I33" i="6"/>
  <c r="G33" i="6"/>
  <c r="H33" i="6"/>
  <c r="B34" i="6"/>
  <c r="S9" i="1"/>
  <c r="J9" i="1"/>
  <c r="B35" i="6" l="1"/>
  <c r="H34" i="6"/>
  <c r="J34" i="6"/>
  <c r="F34" i="6"/>
  <c r="G34" i="6"/>
  <c r="I34" i="6"/>
  <c r="S11" i="1"/>
  <c r="A11" i="1"/>
  <c r="B36" i="6" l="1"/>
  <c r="F35" i="6"/>
  <c r="I35" i="6"/>
  <c r="J35" i="6"/>
  <c r="G35" i="6"/>
  <c r="H35" i="6"/>
  <c r="B1" i="6"/>
  <c r="A5" i="3"/>
  <c r="B37" i="6" l="1"/>
  <c r="G36" i="6"/>
  <c r="H36" i="6"/>
  <c r="F36" i="6"/>
  <c r="I36" i="6"/>
  <c r="J36" i="6"/>
  <c r="G37" i="6" l="1"/>
  <c r="H37" i="6"/>
  <c r="I37" i="6"/>
  <c r="J37" i="6"/>
  <c r="F37" i="6"/>
  <c r="B38" i="6"/>
  <c r="H38" i="6" l="1"/>
  <c r="F38" i="6"/>
  <c r="G38" i="6"/>
  <c r="I38" i="6"/>
  <c r="J38" i="6"/>
  <c r="B39" i="6"/>
  <c r="B40" i="6" l="1"/>
  <c r="G39" i="6"/>
  <c r="H39" i="6"/>
  <c r="I39" i="6"/>
  <c r="J39" i="6"/>
  <c r="F39" i="6"/>
  <c r="B41" i="6" l="1"/>
  <c r="I40" i="6"/>
  <c r="G40" i="6"/>
  <c r="F40" i="6"/>
  <c r="H40" i="6"/>
  <c r="J40" i="6"/>
  <c r="G41" i="6" l="1"/>
  <c r="F41" i="6"/>
  <c r="H41" i="6"/>
  <c r="I41" i="6"/>
  <c r="J41" i="6"/>
  <c r="B42" i="6"/>
  <c r="H42" i="6" l="1"/>
  <c r="J42" i="6"/>
  <c r="F42" i="6"/>
  <c r="G42" i="6"/>
  <c r="I42" i="6"/>
  <c r="B43" i="6"/>
  <c r="B44" i="6" l="1"/>
  <c r="F43" i="6"/>
  <c r="G43" i="6"/>
  <c r="I43" i="6"/>
  <c r="H43" i="6"/>
  <c r="J43" i="6"/>
  <c r="F44" i="6" l="1"/>
  <c r="G44" i="6"/>
  <c r="J44" i="6"/>
  <c r="H44" i="6"/>
  <c r="I44" i="6"/>
  <c r="B45" i="6"/>
  <c r="G45" i="6" l="1"/>
  <c r="J45" i="6"/>
  <c r="F45" i="6"/>
  <c r="H45" i="6"/>
  <c r="I45" i="6"/>
  <c r="B46" i="6"/>
  <c r="B47" i="6" l="1"/>
  <c r="F46" i="6"/>
  <c r="G46" i="6"/>
  <c r="H46" i="6"/>
  <c r="I46" i="6"/>
  <c r="J46" i="6"/>
  <c r="B48" i="6" l="1"/>
  <c r="J47" i="6"/>
  <c r="F47" i="6"/>
  <c r="I47" i="6"/>
  <c r="G47" i="6"/>
  <c r="H47" i="6"/>
  <c r="B49" i="6" l="1"/>
  <c r="G48" i="6"/>
  <c r="H48" i="6"/>
  <c r="F48" i="6"/>
  <c r="I48" i="6"/>
  <c r="J48" i="6"/>
  <c r="G49" i="6" l="1"/>
  <c r="I49" i="6"/>
  <c r="J49" i="6"/>
  <c r="F49" i="6"/>
  <c r="H49" i="6"/>
  <c r="B50" i="6"/>
  <c r="B51" i="6" l="1"/>
  <c r="J50" i="6"/>
  <c r="F50" i="6"/>
  <c r="H50" i="6"/>
  <c r="G50" i="6"/>
  <c r="I50" i="6"/>
  <c r="B52" i="6" l="1"/>
  <c r="H51" i="6"/>
  <c r="F51" i="6"/>
  <c r="I51" i="6"/>
  <c r="J51" i="6"/>
  <c r="G51" i="6"/>
  <c r="B54" i="6" l="1"/>
  <c r="B53" i="6"/>
  <c r="G52" i="6"/>
  <c r="H52" i="6"/>
  <c r="F52" i="6"/>
  <c r="I52" i="6"/>
  <c r="J52" i="6"/>
  <c r="G53" i="6" l="1"/>
  <c r="H53" i="6"/>
  <c r="I53" i="6"/>
  <c r="J53" i="6"/>
  <c r="F53" i="6"/>
  <c r="H54" i="6"/>
  <c r="J54" i="6"/>
  <c r="G54" i="6"/>
  <c r="I54" i="6"/>
  <c r="F5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<sst xmlns="http://schemas.openxmlformats.org/spreadsheetml/2006/main" count="2748" uniqueCount="985">
  <si>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</si>
  <si>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</si>
  <si>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</si>
  <si>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</si>
  <si>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</si>
  <si>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</si>
  <si>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</si>
  <si>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</si>
  <si>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</si>
  <si>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</si>
  <si>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</si>
  <si>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</si>
  <si>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</si>
  <si>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</si>
  <si>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</si>
  <si>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</si>
  <si>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</si>
  <si>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</si>
  <si>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</si>
  <si>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</si>
  <si>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</si>
  <si>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</si>
  <si>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</si>
  <si>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</si>
  <si>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</si>
  <si>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</si>
  <si>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</si>
  <si>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</si>
  <si>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</si>
  <si>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</si>
  <si>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</si>
  <si>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</si>
  <si>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</si>
  <si>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</si>
  <si>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</si>
  <si>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</si>
  <si>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</si>
  <si>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</si>
  <si>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</si>
  <si>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</si>
  <si>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</si>
  <si>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</si>
  <si>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</si>
  <si>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</si>
  <si>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</si>
  <si>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</si>
  <si>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</si>
  <si>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</si>
  <si>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</si>
  <si>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</si>
  <si>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</si>
  <si>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</si>
  <si>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</si>
  <si>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</si>
  <si>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</si>
  <si>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</si>
  <si>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</si>
  <si>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</si>
  <si>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</si>
  <si>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</si>
  <si>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</si>
  <si>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</si>
  <si>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</si>
  <si>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</si>
  <si>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</si>
  <si>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</si>
  <si>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</si>
  <si>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</si>
  <si>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</si>
  <si>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</si>
  <si>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</si>
  <si>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</si>
  <si>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</si>
  <si>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</si>
  <si>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</si>
  <si>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</si>
  <si>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</si>
  <si>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</si>
  <si>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</si>
  <si>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</si>
  <si>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</si>
  <si>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</si>
  <si>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</si>
  <si>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</si>
  <si>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</si>
  <si>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</si>
  <si>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</si>
  <si>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</si>
  <si>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</si>
  <si>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</si>
  <si>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</si>
  <si>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</si>
  <si>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</si>
  <si>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</si>
  <si>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</si>
  <si>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</si>
  <si>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</si>
  <si>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</si>
  <si>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</si>
  <si>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</si>
  <si>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</si>
  <si>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</si>
  <si>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</si>
  <si>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</si>
  <si>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</si>
  <si>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</si>
  <si>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</si>
  <si>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</si>
  <si>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</si>
  <si>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</si>
  <si>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</si>
  <si>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</si>
  <si>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</si>
  <si>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</si>
  <si>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</si>
  <si>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</si>
  <si>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</si>
  <si>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</si>
  <si>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</si>
  <si>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</si>
  <si>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</si>
  <si>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</si>
  <si>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</si>
  <si>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</si>
  <si>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</si>
  <si>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</si>
  <si>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</si>
  <si>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</si>
  <si>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</si>
  <si>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</si>
  <si>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</si>
  <si>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</si>
  <si>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</si>
  <si>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</si>
  <si>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</si>
  <si>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</si>
  <si>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</si>
  <si>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</si>
  <si>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</si>
  <si>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</si>
  <si>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</si>
  <si>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</si>
  <si>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</si>
  <si>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</si>
  <si>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</si>
  <si>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</si>
  <si>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</si>
  <si>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</si>
  <si>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</si>
  <si>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</si>
  <si>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</si>
  <si>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</si>
  <si>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</si>
  <si>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</si>
  <si>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</si>
  <si>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</si>
  <si>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</si>
  <si>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</si>
  <si>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</si>
  <si>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</si>
  <si>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</si>
  <si>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</si>
  <si>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</si>
  <si>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</si>
  <si>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</si>
  <si>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</si>
  <si>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</si>
  <si>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</si>
  <si>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</si>
  <si>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</si>
  <si>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</si>
  <si>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</si>
  <si>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</si>
  <si>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</si>
  <si>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</si>
  <si>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</si>
  <si>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</si>
  <si>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</si>
  <si>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</si>
  <si>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</si>
  <si>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</si>
  <si>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</si>
  <si>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</si>
  <si>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</si>
  <si>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</si>
  <si>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</si>
  <si>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</si>
  <si>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</si>
  <si>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</si>
  <si>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</si>
  <si>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</si>
  <si>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</si>
  <si>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</si>
  <si>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</si>
  <si>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</si>
  <si>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</si>
  <si>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</si>
  <si>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</si>
  <si>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</si>
  <si>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</si>
  <si>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</si>
  <si>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</si>
  <si>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</si>
  <si>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</si>
  <si>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</si>
  <si>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</si>
  <si>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</si>
  <si>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</si>
  <si>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</si>
  <si>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</si>
  <si>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</si>
  <si>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</si>
  <si>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</si>
  <si>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</si>
  <si>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</si>
  <si>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</si>
  <si>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</si>
  <si>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</si>
  <si>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</si>
  <si>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</si>
  <si>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</si>
  <si>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</si>
  <si>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</si>
  <si>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</si>
  <si>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</si>
  <si>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</si>
  <si>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</si>
  <si>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</si>
  <si>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</si>
  <si>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</si>
  <si>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</si>
  <si>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</si>
  <si>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</si>
  <si>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</si>
  <si>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</si>
  <si>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</si>
  <si>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</si>
  <si>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</si>
  <si>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</si>
  <si>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</si>
  <si>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</si>
  <si>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</si>
  <si>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</si>
  <si>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</si>
  <si>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</si>
  <si>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</si>
  <si>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</si>
  <si>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</si>
  <si>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</si>
  <si>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</si>
  <si>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</si>
  <si>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</si>
  <si>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</si>
  <si>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</si>
  <si>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</si>
  <si>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</si>
  <si>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</si>
  <si>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</si>
  <si>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</si>
  <si>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</si>
  <si>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</si>
  <si>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</si>
  <si>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</si>
  <si>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</si>
  <si>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</si>
  <si>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</si>
  <si>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</si>
  <si>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</si>
  <si>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</si>
  <si>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</si>
  <si>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</si>
  <si>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</si>
  <si>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</si>
  <si>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</si>
  <si>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</si>
  <si>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</si>
  <si>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</si>
  <si>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</si>
  <si>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</si>
  <si>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</si>
  <si>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</si>
  <si>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</si>
  <si>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</si>
  <si>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</si>
  <si>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</si>
  <si>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</si>
  <si>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</si>
  <si>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</si>
  <si>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</si>
  <si>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</si>
  <si>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</si>
  <si>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</si>
  <si>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</si>
  <si>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</si>
  <si>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</si>
  <si>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</si>
  <si>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</si>
  <si>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</si>
  <si>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</si>
  <si>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</si>
  <si>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</si>
  <si>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</si>
  <si>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</si>
  <si>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</si>
  <si>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</si>
  <si>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</si>
  <si>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</si>
  <si>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</si>
  <si>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</si>
  <si>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</si>
  <si>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</si>
  <si>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</si>
  <si>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</si>
  <si>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</si>
  <si>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</si>
  <si>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</si>
  <si>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</si>
  <si>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</si>
  <si>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</si>
  <si>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</si>
  <si>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</si>
  <si>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</si>
  <si>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</si>
  <si>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</si>
  <si>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</si>
  <si>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</si>
  <si>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</si>
  <si>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</si>
  <si>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</si>
  <si>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</si>
  <si>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</si>
  <si>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</si>
  <si>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</si>
  <si>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</si>
  <si>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</si>
  <si>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</si>
  <si>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</si>
  <si>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</si>
  <si>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</si>
  <si>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</si>
  <si>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</si>
  <si>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</si>
  <si>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</si>
  <si>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</si>
  <si>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</si>
  <si>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</si>
  <si>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</si>
  <si>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</si>
  <si>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</si>
  <si>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</si>
  <si>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</si>
  <si>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</si>
  <si>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</si>
  <si>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</si>
  <si>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</si>
  <si>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</si>
  <si>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</si>
  <si>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</si>
  <si>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</si>
  <si>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</si>
  <si>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</si>
  <si>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</si>
  <si>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</si>
  <si>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</si>
  <si>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</si>
  <si>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</si>
  <si>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</si>
  <si>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</si>
  <si>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</si>
  <si>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</si>
  <si>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</si>
  <si>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</si>
  <si>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</si>
  <si>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</si>
  <si>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</si>
  <si>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</si>
  <si>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</si>
  <si>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</si>
  <si>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</si>
  <si>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</si>
  <si>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</si>
  <si>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</si>
  <si>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</si>
  <si>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</si>
  <si>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</si>
  <si>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</si>
  <si>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</si>
  <si>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</si>
  <si>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</si>
  <si>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</si>
  <si>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</si>
  <si>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</si>
  <si>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</si>
  <si>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</si>
  <si>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</si>
  <si>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</si>
  <si>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</si>
  <si>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</si>
  <si>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</si>
  <si>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</si>
  <si>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</si>
  <si>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</si>
  <si>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</si>
  <si>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</si>
  <si>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</si>
  <si>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</si>
  <si>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</si>
  <si>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</si>
  <si>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</si>
  <si>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</si>
  <si>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</si>
  <si>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</si>
  <si>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</si>
  <si>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</si>
  <si>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</si>
  <si>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</si>
  <si>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</si>
  <si>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</si>
  <si>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</si>
  <si>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</si>
  <si>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</si>
  <si>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</si>
  <si>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</si>
  <si>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</si>
  <si>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</si>
  <si>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</si>
  <si>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</si>
  <si>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</si>
  <si>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204:232980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</si>
  <si>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</si>
  <si>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</si>
  <si>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</si>
  <si>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</si>
  <si>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</si>
  <si>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</si>
  <si>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</si>
  <si>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</si>
  <si>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</si>
  <si>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</si>
  <si>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</si>
  <si>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</si>
  <si>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</si>
  <si>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</si>
  <si>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</si>
  <si>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</si>
  <si>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</si>
  <si>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</si>
  <si>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</si>
  <si>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</si>
  <si>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</si>
  <si>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</si>
  <si>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</si>
  <si>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</si>
  <si>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</si>
  <si>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</si>
  <si>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</si>
  <si>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</si>
  <si>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204:163</t>
  </si>
  <si>
    <t>204:232988</t>
  </si>
  <si>
    <t>204:233289</t>
  </si>
  <si>
    <t>81-01</t>
  </si>
  <si>
    <t>SUR-02</t>
  </si>
  <si>
    <t>SUR</t>
  </si>
  <si>
    <t>JEREMY</t>
  </si>
  <si>
    <t>313-01</t>
  </si>
  <si>
    <t>204:444</t>
  </si>
  <si>
    <t>204:233307</t>
  </si>
  <si>
    <t>204:437</t>
  </si>
  <si>
    <t>rtdc.l.rtdc.4016:itc</t>
  </si>
  <si>
    <t>partly-cloudy-day</t>
  </si>
  <si>
    <t>Partly Cloudy</t>
  </si>
  <si>
    <t>204:232989</t>
  </si>
  <si>
    <t>204:232986</t>
  </si>
  <si>
    <t>204:477</t>
  </si>
  <si>
    <t>rtdc.l.rtdc.4046:itc</t>
  </si>
  <si>
    <t>rtdc.l.rtdc.4045:itc</t>
  </si>
  <si>
    <t>partly-cloudy-night</t>
  </si>
  <si>
    <t>204:232983</t>
  </si>
  <si>
    <t>204:694</t>
  </si>
  <si>
    <t>300:58623</t>
  </si>
  <si>
    <t>rtdc.l.rtdc.4055:itc</t>
  </si>
  <si>
    <t>rtdc.l.rtdc.4056:itc</t>
  </si>
  <si>
    <t>rtdc.l.rtdc.4004:itc</t>
  </si>
  <si>
    <t>204:233303</t>
  </si>
  <si>
    <t>204:438</t>
  </si>
  <si>
    <t>204:232990</t>
  </si>
  <si>
    <t>204:232971</t>
  </si>
  <si>
    <t>204:136</t>
  </si>
  <si>
    <t>204:232996</t>
  </si>
  <si>
    <t>204:233000</t>
  </si>
  <si>
    <t>rtdc.l.rtdc.4015:itc</t>
  </si>
  <si>
    <t>rtdc.l.rtdc.4031:itc</t>
  </si>
  <si>
    <t>rtdc.l.rtdc.4058:itc</t>
  </si>
  <si>
    <t>rtdc.l.rtdc.4057:itc</t>
  </si>
  <si>
    <t>rtdc.l.rtdc.4032:itc</t>
  </si>
  <si>
    <t>GEBRETEKLE</t>
  </si>
  <si>
    <t>DAGNEW</t>
  </si>
  <si>
    <t>HOLCOMB</t>
  </si>
  <si>
    <t>KAMDEN</t>
  </si>
  <si>
    <t>204:233304</t>
  </si>
  <si>
    <t>204:232994</t>
  </si>
  <si>
    <t>204:233327</t>
  </si>
  <si>
    <t>204:233311</t>
  </si>
  <si>
    <t>204:233302</t>
  </si>
  <si>
    <t>204:232969</t>
  </si>
  <si>
    <t>204:161</t>
  </si>
  <si>
    <t>204:232985</t>
  </si>
  <si>
    <t>204:233321</t>
  </si>
  <si>
    <t>204:233340</t>
  </si>
  <si>
    <t>204:132</t>
  </si>
  <si>
    <t>204:233315</t>
  </si>
  <si>
    <t>204:233300</t>
  </si>
  <si>
    <t>204:233291</t>
  </si>
  <si>
    <t>300:23310</t>
  </si>
  <si>
    <t>rtdc.l.rtdc.4007:itc</t>
  </si>
  <si>
    <t>rtdc.l.rtdc.4003:itc</t>
  </si>
  <si>
    <t>rtdc.l.rtdc.4053:itc</t>
  </si>
  <si>
    <t>204:232998</t>
  </si>
  <si>
    <t>204:233305</t>
  </si>
  <si>
    <t>204:232984</t>
  </si>
  <si>
    <t>204:134</t>
  </si>
  <si>
    <t>204:233338</t>
  </si>
  <si>
    <t>204:233013</t>
  </si>
  <si>
    <t>204:233295</t>
  </si>
  <si>
    <t>204:232987</t>
  </si>
  <si>
    <t>204:233299</t>
  </si>
  <si>
    <t>204:233331</t>
  </si>
  <si>
    <t>300:23304</t>
  </si>
  <si>
    <t>300:58950</t>
  </si>
  <si>
    <t>300:58632</t>
  </si>
  <si>
    <t>225-10</t>
  </si>
  <si>
    <t>227-10</t>
  </si>
  <si>
    <t>1831-10</t>
  </si>
  <si>
    <t>52-10</t>
  </si>
  <si>
    <t>307-10</t>
  </si>
  <si>
    <t>245-10</t>
  </si>
  <si>
    <t>LALONDE</t>
  </si>
  <si>
    <t>GREGORY</t>
  </si>
  <si>
    <t>DE LA ROSA</t>
  </si>
  <si>
    <t>ALEX</t>
  </si>
  <si>
    <t>DAVIDSON</t>
  </si>
  <si>
    <t>DAVID</t>
  </si>
  <si>
    <t>MACDONALD</t>
  </si>
  <si>
    <t>BRANDNER</t>
  </si>
  <si>
    <t>MELINDA</t>
  </si>
  <si>
    <t>BRUDER</t>
  </si>
  <si>
    <t>RICHARD</t>
  </si>
  <si>
    <t>LOPES</t>
  </si>
  <si>
    <t>KIMBERLY</t>
  </si>
  <si>
    <t>BROWN</t>
  </si>
  <si>
    <t>JACOB</t>
  </si>
  <si>
    <t>ROMERO</t>
  </si>
  <si>
    <t>CHAD</t>
  </si>
  <si>
    <t>222-10</t>
  </si>
  <si>
    <t>1829-10</t>
  </si>
  <si>
    <t>224-10</t>
  </si>
  <si>
    <t>1830-10</t>
  </si>
  <si>
    <t>84-10</t>
  </si>
  <si>
    <t>229-10</t>
  </si>
  <si>
    <t>226-10</t>
  </si>
  <si>
    <t>228-10</t>
  </si>
  <si>
    <t>231-10</t>
  </si>
  <si>
    <t>1832-10</t>
  </si>
  <si>
    <t>230-10</t>
  </si>
  <si>
    <t>233-10</t>
  </si>
  <si>
    <t>1833-10</t>
  </si>
  <si>
    <t>235-10</t>
  </si>
  <si>
    <t>232-10</t>
  </si>
  <si>
    <t>1902-10</t>
  </si>
  <si>
    <t>237-10</t>
  </si>
  <si>
    <t>234-10</t>
  </si>
  <si>
    <t>236-10</t>
  </si>
  <si>
    <t>239-10</t>
  </si>
  <si>
    <t>238-10</t>
  </si>
  <si>
    <t>241-10</t>
  </si>
  <si>
    <t>243-10</t>
  </si>
  <si>
    <t>240-10</t>
  </si>
  <si>
    <t>242-10</t>
  </si>
  <si>
    <t>244-10</t>
  </si>
  <si>
    <t>309-10</t>
  </si>
  <si>
    <t>246-10</t>
  </si>
  <si>
    <t>311-10</t>
  </si>
  <si>
    <t>313-10</t>
  </si>
  <si>
    <t>300-11</t>
  </si>
  <si>
    <t>MAELZER</t>
  </si>
  <si>
    <t>KURT</t>
  </si>
  <si>
    <t>fog</t>
  </si>
  <si>
    <t>Foggy</t>
  </si>
  <si>
    <t>204:1030</t>
  </si>
  <si>
    <t>204:232993</t>
  </si>
  <si>
    <t>204:233019</t>
  </si>
  <si>
    <t>204:233347</t>
  </si>
  <si>
    <t>204:440</t>
  </si>
  <si>
    <t>204:233015</t>
  </si>
  <si>
    <t>204:233270</t>
  </si>
  <si>
    <t>204:232992</t>
  </si>
  <si>
    <t>204:233008</t>
  </si>
  <si>
    <t>204:233332</t>
  </si>
  <si>
    <t>204:232972</t>
  </si>
  <si>
    <t>204:232991</t>
  </si>
  <si>
    <t>204:480</t>
  </si>
  <si>
    <t>204:233011</t>
  </si>
  <si>
    <t>204:233274</t>
  </si>
  <si>
    <t>300:58624</t>
  </si>
  <si>
    <t>300:58636</t>
  </si>
  <si>
    <t>300:58946</t>
  </si>
  <si>
    <t>300:58935</t>
  </si>
  <si>
    <t>300:58626</t>
  </si>
  <si>
    <t>204:986</t>
  </si>
  <si>
    <t>204:990</t>
  </si>
  <si>
    <t>204:976</t>
  </si>
  <si>
    <t>300:58939</t>
  </si>
  <si>
    <t>204:233329</t>
  </si>
  <si>
    <t>204:469</t>
  </si>
  <si>
    <t>204:233314</t>
  </si>
  <si>
    <t>204:233349</t>
  </si>
  <si>
    <t>204:233278</t>
  </si>
  <si>
    <t>204:233032</t>
  </si>
  <si>
    <t>300:11672</t>
  </si>
  <si>
    <t>300:12884</t>
  </si>
  <si>
    <t>1801-11</t>
  </si>
  <si>
    <t>123-11</t>
  </si>
  <si>
    <t>143-11</t>
  </si>
  <si>
    <t>141-11</t>
  </si>
  <si>
    <t>142-11</t>
  </si>
  <si>
    <t>1810-11</t>
  </si>
  <si>
    <t>rtdc.l.rtdc.4010:itc</t>
  </si>
  <si>
    <t>159-11</t>
  </si>
  <si>
    <t>163-11</t>
  </si>
  <si>
    <t>rtdc.l.rtdc.4009:itc</t>
  </si>
  <si>
    <t>160-11</t>
  </si>
  <si>
    <t>164-11</t>
  </si>
  <si>
    <t>1817-11</t>
  </si>
  <si>
    <t>183-11</t>
  </si>
  <si>
    <t>178-11</t>
  </si>
  <si>
    <t>1818-11</t>
  </si>
  <si>
    <t>1819-11</t>
  </si>
  <si>
    <t>1820-11</t>
  </si>
  <si>
    <t>1821-11</t>
  </si>
  <si>
    <t>1823-11</t>
  </si>
  <si>
    <t>1824-11</t>
  </si>
  <si>
    <t>209-11</t>
  </si>
  <si>
    <t>215-11</t>
  </si>
  <si>
    <t>217-11</t>
  </si>
  <si>
    <t>1825-11</t>
  </si>
  <si>
    <t>210-11</t>
  </si>
  <si>
    <t>212-11</t>
  </si>
  <si>
    <t>1830-11</t>
  </si>
  <si>
    <t>230-11</t>
  </si>
  <si>
    <t>1833-11</t>
  </si>
  <si>
    <t>232-11</t>
  </si>
  <si>
    <t>101-11</t>
  </si>
  <si>
    <t>67-11</t>
  </si>
  <si>
    <t>302-11</t>
  </si>
  <si>
    <t>68-11</t>
  </si>
  <si>
    <t>304-11</t>
  </si>
  <si>
    <t>103-11</t>
  </si>
  <si>
    <t>102-11</t>
  </si>
  <si>
    <t>306-11</t>
  </si>
  <si>
    <t>105-11</t>
  </si>
  <si>
    <t>109-11</t>
  </si>
  <si>
    <t>308-11</t>
  </si>
  <si>
    <t>107-11</t>
  </si>
  <si>
    <t>104-11</t>
  </si>
  <si>
    <t>310-11</t>
  </si>
  <si>
    <t>111-11</t>
  </si>
  <si>
    <t>113-11</t>
  </si>
  <si>
    <t>106-11</t>
  </si>
  <si>
    <t>1901-11</t>
  </si>
  <si>
    <t>108-11</t>
  </si>
  <si>
    <t>110-11</t>
  </si>
  <si>
    <t>312-11</t>
  </si>
  <si>
    <t>115-11</t>
  </si>
  <si>
    <t>1800-11</t>
  </si>
  <si>
    <t>117-11</t>
  </si>
  <si>
    <t>112-11</t>
  </si>
  <si>
    <t>119-11</t>
  </si>
  <si>
    <t>114-11</t>
  </si>
  <si>
    <t>121-11</t>
  </si>
  <si>
    <t>116-11</t>
  </si>
  <si>
    <t>1802-11</t>
  </si>
  <si>
    <t>125-11</t>
  </si>
  <si>
    <t>118-11</t>
  </si>
  <si>
    <t>120-11</t>
  </si>
  <si>
    <t>122-11</t>
  </si>
  <si>
    <t>127-11</t>
  </si>
  <si>
    <t>1803-11</t>
  </si>
  <si>
    <t>124-11</t>
  </si>
  <si>
    <t>129-11</t>
  </si>
  <si>
    <t>131-11</t>
  </si>
  <si>
    <t>126-11</t>
  </si>
  <si>
    <t>1804-11</t>
  </si>
  <si>
    <t>128-11</t>
  </si>
  <si>
    <t>133-11</t>
  </si>
  <si>
    <t>135-11</t>
  </si>
  <si>
    <t>130-11</t>
  </si>
  <si>
    <t>1805-11</t>
  </si>
  <si>
    <t>137-11</t>
  </si>
  <si>
    <t>139-11</t>
  </si>
  <si>
    <t>132-11</t>
  </si>
  <si>
    <t>134-11</t>
  </si>
  <si>
    <t>1806-11</t>
  </si>
  <si>
    <t>136-11</t>
  </si>
  <si>
    <t>138-11</t>
  </si>
  <si>
    <t>1807-11</t>
  </si>
  <si>
    <t>145-11</t>
  </si>
  <si>
    <t>140-11</t>
  </si>
  <si>
    <t>147-11</t>
  </si>
  <si>
    <t>1808-11</t>
  </si>
  <si>
    <t>149-11</t>
  </si>
  <si>
    <t>144-11</t>
  </si>
  <si>
    <t>151-11</t>
  </si>
  <si>
    <t>1809-11</t>
  </si>
  <si>
    <t>146-11</t>
  </si>
  <si>
    <t>153-11</t>
  </si>
  <si>
    <t>148-11</t>
  </si>
  <si>
    <t>150-11</t>
  </si>
  <si>
    <t>155-11</t>
  </si>
  <si>
    <t>152-11</t>
  </si>
  <si>
    <t>157-11</t>
  </si>
  <si>
    <t>1811-11</t>
  </si>
  <si>
    <t>154-11</t>
  </si>
  <si>
    <t>161-11</t>
  </si>
  <si>
    <t>156-11</t>
  </si>
  <si>
    <t>158-11</t>
  </si>
  <si>
    <t>1812-11</t>
  </si>
  <si>
    <t>165-11</t>
  </si>
  <si>
    <t>167-11</t>
  </si>
  <si>
    <t>1813-11</t>
  </si>
  <si>
    <t>162-11</t>
  </si>
  <si>
    <t>169-11</t>
  </si>
  <si>
    <t>DELGADO</t>
  </si>
  <si>
    <t>DIANAH</t>
  </si>
  <si>
    <t>171-11</t>
  </si>
  <si>
    <t>166-11</t>
  </si>
  <si>
    <t>1814-11</t>
  </si>
  <si>
    <t>173-11</t>
  </si>
  <si>
    <t>168-11</t>
  </si>
  <si>
    <t>175-11</t>
  </si>
  <si>
    <t>1815-11</t>
  </si>
  <si>
    <t>177-11</t>
  </si>
  <si>
    <t>179-11</t>
  </si>
  <si>
    <t>172-11</t>
  </si>
  <si>
    <t>174-11</t>
  </si>
  <si>
    <t>1816-11</t>
  </si>
  <si>
    <t>181-11</t>
  </si>
  <si>
    <t>176-11</t>
  </si>
  <si>
    <t>185-11</t>
  </si>
  <si>
    <t>180-11</t>
  </si>
  <si>
    <t>187-11</t>
  </si>
  <si>
    <t>182-11</t>
  </si>
  <si>
    <t>189-11</t>
  </si>
  <si>
    <t>184-11</t>
  </si>
  <si>
    <t>191-11</t>
  </si>
  <si>
    <t>186-11</t>
  </si>
  <si>
    <t>193-11</t>
  </si>
  <si>
    <t>188-11</t>
  </si>
  <si>
    <t>195-11</t>
  </si>
  <si>
    <t>197-11</t>
  </si>
  <si>
    <t>190-11</t>
  </si>
  <si>
    <t>192-11</t>
  </si>
  <si>
    <t>199-11</t>
  </si>
  <si>
    <t>194-11</t>
  </si>
  <si>
    <t>201-11</t>
  </si>
  <si>
    <t>196-11</t>
  </si>
  <si>
    <t>203-11</t>
  </si>
  <si>
    <t>1822-11</t>
  </si>
  <si>
    <t>198-11</t>
  </si>
  <si>
    <t>205-11</t>
  </si>
  <si>
    <t>200-11</t>
  </si>
  <si>
    <t>207-11</t>
  </si>
  <si>
    <t>202-11</t>
  </si>
  <si>
    <t>63-11</t>
  </si>
  <si>
    <t>204-11</t>
  </si>
  <si>
    <t>65-11</t>
  </si>
  <si>
    <t>ARVIDSON</t>
  </si>
  <si>
    <t>DANIEL</t>
  </si>
  <si>
    <t>211-11</t>
  </si>
  <si>
    <t>206-11</t>
  </si>
  <si>
    <t>213-11</t>
  </si>
  <si>
    <t>50-11</t>
  </si>
  <si>
    <t>208-11</t>
  </si>
  <si>
    <t>THOMPSON</t>
  </si>
  <si>
    <t>LESTER</t>
  </si>
  <si>
    <t>219-11</t>
  </si>
  <si>
    <t>HAITHCOX</t>
  </si>
  <si>
    <t>214-11</t>
  </si>
  <si>
    <t>301-11</t>
  </si>
  <si>
    <t>1826-11</t>
  </si>
  <si>
    <t>216-11</t>
  </si>
  <si>
    <t>221-11</t>
  </si>
  <si>
    <t>218-11</t>
  </si>
  <si>
    <t>303-11</t>
  </si>
  <si>
    <t>220-11</t>
  </si>
  <si>
    <t>1827-11</t>
  </si>
  <si>
    <t>223-11</t>
  </si>
  <si>
    <t>1828-11</t>
  </si>
  <si>
    <t>305-11</t>
  </si>
  <si>
    <t>222-11</t>
  </si>
  <si>
    <t>225-11</t>
  </si>
  <si>
    <t>227-11</t>
  </si>
  <si>
    <t>1829-11</t>
  </si>
  <si>
    <t>224-11</t>
  </si>
  <si>
    <t>229-11</t>
  </si>
  <si>
    <t>226-11</t>
  </si>
  <si>
    <t>231-11</t>
  </si>
  <si>
    <t>228-11</t>
  </si>
  <si>
    <t>1831-11</t>
  </si>
  <si>
    <t>1832-11</t>
  </si>
  <si>
    <t>233-11</t>
  </si>
  <si>
    <t>235-11</t>
  </si>
  <si>
    <t>237-11</t>
  </si>
  <si>
    <t>1902-11</t>
  </si>
  <si>
    <t>234-11</t>
  </si>
  <si>
    <t>236-11</t>
  </si>
  <si>
    <t>239-11</t>
  </si>
  <si>
    <t>238-11</t>
  </si>
  <si>
    <t>241-11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</si>
  <si>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</si>
  <si>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</si>
  <si>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</si>
  <si>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</si>
  <si>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</si>
  <si>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</si>
  <si>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</si>
  <si>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</si>
  <si>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300-12</t>
  </si>
  <si>
    <t>precipType</t>
  </si>
  <si>
    <t>Mostly Cloudy</t>
  </si>
  <si>
    <t>rain</t>
  </si>
  <si>
    <t>Light Rain</t>
  </si>
  <si>
    <t>Drizzle</t>
  </si>
  <si>
    <t>204:757</t>
  </si>
  <si>
    <t>204:471</t>
  </si>
  <si>
    <t>204:233301</t>
  </si>
  <si>
    <t>204:484</t>
  </si>
  <si>
    <t>204:233001</t>
  </si>
  <si>
    <t>204:429</t>
  </si>
  <si>
    <t>204:233312</t>
  </si>
  <si>
    <t>204:232960</t>
  </si>
  <si>
    <t>204:475</t>
  </si>
  <si>
    <t>204:233316</t>
  </si>
  <si>
    <t>204:233334</t>
  </si>
  <si>
    <t>204:233264</t>
  </si>
  <si>
    <t>204:232952</t>
  </si>
  <si>
    <t>204:482</t>
  </si>
  <si>
    <t>204:233005</t>
  </si>
  <si>
    <t>204:130</t>
  </si>
  <si>
    <t>204:232951</t>
  </si>
  <si>
    <t>204:435</t>
  </si>
  <si>
    <t>204:232970</t>
  </si>
  <si>
    <t>204:233346</t>
  </si>
  <si>
    <t>204:233003</t>
  </si>
  <si>
    <t>204:233006</t>
  </si>
  <si>
    <t>204:232957</t>
  </si>
  <si>
    <t>204:233282</t>
  </si>
  <si>
    <t>204:232955</t>
  </si>
  <si>
    <t>204:167</t>
  </si>
  <si>
    <t>204:488</t>
  </si>
  <si>
    <t>204:233002</t>
  </si>
  <si>
    <t>204:233439</t>
  </si>
  <si>
    <t>204:233099</t>
  </si>
  <si>
    <t>204:1222</t>
  </si>
  <si>
    <t>204:233323</t>
  </si>
  <si>
    <t>204:233320</t>
  </si>
  <si>
    <t>204:178</t>
  </si>
  <si>
    <t>204:172</t>
  </si>
  <si>
    <t>204:232975</t>
  </si>
  <si>
    <t>300:58643</t>
  </si>
  <si>
    <t>204:974</t>
  </si>
  <si>
    <t>204:689</t>
  </si>
  <si>
    <t>300:58638</t>
  </si>
  <si>
    <t>204:978</t>
  </si>
  <si>
    <t>204:698</t>
  </si>
  <si>
    <t>300:58960</t>
  </si>
  <si>
    <t>300:58645</t>
  </si>
  <si>
    <t>204:687</t>
  </si>
  <si>
    <t>300:58948</t>
  </si>
  <si>
    <t>204:703</t>
  </si>
  <si>
    <t>204:1002</t>
  </si>
  <si>
    <t>300:58943</t>
  </si>
  <si>
    <t>300:58628</t>
  </si>
  <si>
    <t>204:981</t>
  </si>
  <si>
    <t>300:58956</t>
  </si>
  <si>
    <t>204:682</t>
  </si>
  <si>
    <t>300:58986</t>
  </si>
  <si>
    <t>300:58668</t>
  </si>
  <si>
    <t>204:1020</t>
  </si>
  <si>
    <t>300:58982</t>
  </si>
  <si>
    <t>300:58677</t>
  </si>
  <si>
    <t>204:717</t>
  </si>
  <si>
    <t>300:57608</t>
  </si>
  <si>
    <t>300:58672</t>
  </si>
  <si>
    <t>204:740</t>
  </si>
  <si>
    <t>300:58984</t>
  </si>
  <si>
    <t>300:58670</t>
  </si>
  <si>
    <t>204:701</t>
  </si>
  <si>
    <t>204:999</t>
  </si>
  <si>
    <t>300:58929</t>
  </si>
  <si>
    <t>204:983</t>
  </si>
  <si>
    <t>300:58660</t>
  </si>
  <si>
    <t>204:726</t>
  </si>
  <si>
    <t>204:1006</t>
  </si>
  <si>
    <t>300:58990</t>
  </si>
  <si>
    <t>204:233383</t>
  </si>
  <si>
    <t>204:734</t>
  </si>
  <si>
    <t>204:1004</t>
  </si>
  <si>
    <t>300:58976</t>
  </si>
  <si>
    <t>300:58649</t>
  </si>
  <si>
    <t>204:691</t>
  </si>
  <si>
    <t>204:972</t>
  </si>
  <si>
    <t>300:58690</t>
  </si>
  <si>
    <t>204:233049</t>
  </si>
  <si>
    <t>204:233330</t>
  </si>
  <si>
    <t>204:431</t>
  </si>
  <si>
    <t>300:30182</t>
  </si>
  <si>
    <t>300:58673</t>
  </si>
  <si>
    <t>300:21492</t>
  </si>
  <si>
    <t>204:495</t>
  </si>
  <si>
    <t>204:233325</t>
  </si>
  <si>
    <t>204:233415</t>
  </si>
  <si>
    <t>204:233104</t>
  </si>
  <si>
    <t>204:96</t>
  </si>
  <si>
    <t>204:233374</t>
  </si>
  <si>
    <t>204:233063</t>
  </si>
  <si>
    <t>204:233337</t>
  </si>
  <si>
    <t>204:402</t>
  </si>
  <si>
    <t>204:233059</t>
  </si>
  <si>
    <t>204:233084</t>
  </si>
  <si>
    <t>204:125</t>
  </si>
  <si>
    <t>204:233435</t>
  </si>
  <si>
    <t>204:233140</t>
  </si>
  <si>
    <t>204:116</t>
  </si>
  <si>
    <t>204:165</t>
  </si>
  <si>
    <t>204:233432</t>
  </si>
  <si>
    <t>204:233125</t>
  </si>
  <si>
    <t>204:442</t>
  </si>
  <si>
    <t>204:233318</t>
  </si>
  <si>
    <t>204:233268</t>
  </si>
  <si>
    <t>300:22391</t>
  </si>
  <si>
    <t>300:14579</t>
  </si>
  <si>
    <t>300:23316</t>
  </si>
  <si>
    <t>300:23968</t>
  </si>
  <si>
    <t>300:19115</t>
  </si>
  <si>
    <t>300:23302</t>
  </si>
  <si>
    <t>300:23586</t>
  </si>
  <si>
    <t>300:23308</t>
  </si>
  <si>
    <t>300:23442</t>
  </si>
  <si>
    <t>300:23489</t>
  </si>
  <si>
    <t>300:23459</t>
  </si>
  <si>
    <t>204:123</t>
  </si>
  <si>
    <t>300:23312</t>
  </si>
  <si>
    <t>300:23618</t>
  </si>
  <si>
    <t>300:23301</t>
  </si>
  <si>
    <t>300:23413</t>
  </si>
  <si>
    <t>204:1954</t>
  </si>
  <si>
    <t>204:1471</t>
  </si>
  <si>
    <t>300:23284</t>
  </si>
  <si>
    <t>204:1152</t>
  </si>
  <si>
    <t>300:23136</t>
  </si>
  <si>
    <t>204:418</t>
  </si>
  <si>
    <t>204:3509</t>
  </si>
  <si>
    <t>204:3181</t>
  </si>
  <si>
    <t>204:1164</t>
  </si>
  <si>
    <t>start /low /b %USERPROFILE%\Documents\GitHub\eaglep3\Utilities\DownloadLogsFromS3.py --loco 4020 --day 2017-06-12</t>
  </si>
  <si>
    <t>start /low /b %USERPROFILE%\Documents\GitHub\eaglep3\Utilities\DownloadLogsFromS3.py --loco 4041 --day 2017-06-12</t>
  </si>
  <si>
    <t>start /low /b %USERPROFILE%\Documents\GitHub\eaglep3\Utilities\DownloadLogsFromS3.py --loco 4054 --day 2017-06-11</t>
  </si>
  <si>
    <t>start /low /b %USERPROFILE%\Documents\GitHub\eaglep3\Utilities\DownloadLogsFromS3.py --loco 4010 --day 2017-06-12</t>
  </si>
  <si>
    <t>start /low /b %USERPROFILE%\Documents\GitHub\eaglep3\Utilities\DownloadLogsFromS3.py --loco 4053 --day 2017-06-12</t>
  </si>
  <si>
    <t>start /low /b %USERPROFILE%\Documents\GitHub\eaglep3\Utilities\DownloadLogsFromS3.py --loco 4040 --day 2017-06-11</t>
  </si>
  <si>
    <t>start /low /b %USERPROFILE%\Documents\GitHub\eaglep3\Utilities\DownloadLogsFromS3.py --loco 4049 --day 2017-06-12</t>
  </si>
  <si>
    <t>start /low /b %USERPROFILE%\Documents\GitHub\eaglep3\Utilities\DownloadLogsFromS3.py --loco 4009 --day 2017-06-11</t>
  </si>
  <si>
    <t>start /low /b %USERPROFILE%\Documents\GitHub\eaglep3\Utilities\DownloadLogsFromS3.py --loco 4010 --day 2017-06-11</t>
  </si>
  <si>
    <t>start /low /b %USERPROFILE%\Documents\GitHub\eaglep3\Utilities\DownloadLogsFromS3.py --loco 4049 --day 2017-06-11</t>
  </si>
  <si>
    <t>start /low /b %USERPROFILE%\Documents\GitHub\eaglep3\Utilities\DownloadLogsFromS3.py --loco 4001 --day 2017-06-11</t>
  </si>
  <si>
    <t>start /low /b %USERPROFILE%\Documents\GitHub\eaglep3\Utilities\DownloadLogsFromS3.py --loco 4050 --day 2017-06-11</t>
  </si>
  <si>
    <t>start /low /b %USERPROFILE%\Documents\GitHub\eaglep3\Utilities\DownloadLogsFromS3.py --loco 4002 --day 2017-06-11</t>
  </si>
  <si>
    <t>start /low /b %USERPROFILE%\Documents\GitHub\eaglep3\Utilities\DownloadLogsFromS3.py --loco 4042 --day 2017-06-11</t>
  </si>
  <si>
    <t>start /low /b %USERPROFILE%\Documents\GitHub\eaglep3\Utilities\DownloadLogsFromS3.py --loco 4032 --day 2017-06-11</t>
  </si>
  <si>
    <t>start /low /b %USERPROFILE%\Documents\GitHub\eaglep3\Utilities\DownloadLogsFromS3.py --loco 4031 --day 2017-06-11</t>
  </si>
  <si>
    <t>start /low /b %USERPROFILE%\Documents\GitHub\eaglep3\Utilities\DownloadLogsFromS3.py --loco 4031 --day 2017-06-12</t>
  </si>
  <si>
    <t>start /low /b %USERPROFILE%\Documents\GitHub\eaglep3\Utilities\DownloadLogsFromS3.py --loco 4032 --day 2017-06-12</t>
  </si>
  <si>
    <t>170-11</t>
  </si>
  <si>
    <t>DELGADO DIANAH</t>
  </si>
  <si>
    <t>Operator reported red fence due to Track Warrant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</si>
</sst>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>
      <selection activeCell="R20" sqref="R2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42897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42897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34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COUNTIFS($N$13:$N$9320,"&gt;0",$AG$13:$AG$9320,I1)</f>
        <v>144</v>
      </c>
      <c r="K5" s="39"/>
      <c r="L5" s="39"/>
      <c r="M5" s="40">
        <f>AVERAGEIFS($N$13:$N$9320,$AG$13:$AG$9320,I1)</f>
        <v>37.475347222571145</v>
      </c>
      <c r="N5" s="38">
        <f t="array" ref="N5">MIN(IF($AG$13:$AG$9320=I1,IF(ISNUMBER($N$13:$N$9320),IF($N$13:$N$9320&gt;0,$N$13:$N$9320))))</f>
        <v>34.73333333269693</v>
      </c>
      <c r="O5" s="3">
        <f t="array" ref="O5">MAX(IF($AG$13:$AG$9320=I1,IF(ISNUMBER($N$13:$N$9320),IF($N$13:$N$9320&gt;0,$N$13:$N$9320))))</f>
        <v>44.616666671354324</v>
      </c>
      <c r="P5" s="2"/>
      <c r="R5" s="169" t="s">
        <v>17</v>
      </c>
      <c r="S5" s="193">
        <f>COUNTIFS($N$13:$N$9320,"&gt;0",$AG$13:$AG$9320,R1)</f>
        <v>34</v>
      </c>
      <c r="T5" s="194"/>
      <c r="U5" s="194"/>
      <c r="V5" s="190">
        <f>AVERAGEIFS($N$13:$N$9320,$AG$13:$AG$9320,R1)</f>
        <v>15.360784312908757</v>
      </c>
      <c r="W5" s="191">
        <f t="array" ref="W5">MIN(IF($AG$13:$AG$9320=R1,IF(ISNUMBER($N$13:$N$9320),IF($N$13:$N$9320&gt;0,$N$13:$N$9320))))</f>
        <v>13.249999996041879</v>
      </c>
      <c r="X5" s="192">
        <f t="array" ref="X5">MAX(IF($AG$13:$AG$9320=R1,IF(ISNUMBER($N$13:$N$9320),IF($N$13:$N$9320&gt;0,$N$13:$N$9320))))</f>
        <v>22.316666665719822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COUNTIFS($P$13:$P$9320,"&gt;0",$AG$13:$AG$9320,I1)</f>
        <v>0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COUNTIFS($P$13:$P$9320,"&gt;0",$AG$13:$AG$9320,R1)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144</v>
      </c>
      <c r="K8" s="39"/>
      <c r="L8" s="39"/>
      <c r="M8" s="40">
        <f>M5</f>
        <v>37.475347222571145</v>
      </c>
      <c r="N8" s="38">
        <f>N5</f>
        <v>34.73333333269693</v>
      </c>
      <c r="O8" s="3">
        <f>O5</f>
        <v>44.616666671354324</v>
      </c>
      <c r="P8" s="2"/>
      <c r="R8" s="169" t="s">
        <v>16</v>
      </c>
      <c r="S8" s="193">
        <f>S5</f>
        <v>34</v>
      </c>
      <c r="T8" s="194"/>
      <c r="U8" s="194"/>
      <c r="V8" s="190">
        <f>V5</f>
        <v>15.360784312908757</v>
      </c>
      <c r="W8" s="191">
        <f>W5</f>
        <v>13.249999996041879</v>
      </c>
      <c r="X8" s="192">
        <f>X5</f>
        <v>22.316666665719822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1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- 2017-06-11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AVERAGE(S13:S98)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651</v>
      </c>
      <c r="B13" s="7">
        <v>4042</v>
      </c>
      <c r="C13" s="21" t="s">
        <v>204</v>
      </c>
      <c r="D13" s="21" t="s">
        <v>832</v>
      </c>
      <c r="E13" s="13">
        <v>42897.132905092592</v>
      </c>
      <c r="F13" s="13">
        <v>42897.135636574072</v>
      </c>
      <c r="G13" s="7">
        <v>1</v>
      </c>
      <c r="H13" s="21" t="s">
        <v>510</v>
      </c>
      <c r="I13" s="13">
        <v>42897.161192129628</v>
      </c>
      <c r="J13" s="7">
        <v>0</v>
      </c>
      <c r="K13" s="92" t="str">
        <f t="shared" ref="K13:K76" si="0">IF(ISEVEN(B13),(B13-1)&amp;"/"&amp;B13,B13&amp;"/"&amp;(B13+1))</f>
        <v>4041/4042</v>
      </c>
      <c r="L13" s="21" t="str">
        <f>VLOOKUP(A13,'Trips&amp;Operators'!$C$1:$G$99999,5,FALSE)</f>
        <v>MAELZER KURT</v>
      </c>
      <c r="M13" s="6">
        <f t="shared" ref="M13:M76" si="1">I13-F13</f>
        <v>2.5555555555911269E-2</v>
      </c>
      <c r="N13" s="7">
        <f t="shared" ref="N13:N76" si="2">24*60*SUM($M13:$M13)</f>
        <v>36.800000000512227</v>
      </c>
      <c r="O13" s="7"/>
      <c r="P13" s="7"/>
      <c r="Q13" s="22"/>
      <c r="R13" s="173"/>
      <c r="S13" s="176">
        <f t="shared" ref="S13:S76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-11T02:11:23-0600',mode:absolute,to:'2017-06-11T04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44" si="8">RIGHT(D13,LEN(D13)-4)/10000</f>
        <v>7.5700000000000003E-2</v>
      </c>
      <c r="Z13" s="204">
        <f t="shared" ref="Z13:Z44" si="9">RIGHT(H13,LEN(H13)-4)/10000</f>
        <v>23.331499999999998</v>
      </c>
      <c r="AA13" s="204">
        <f t="shared" ref="AA13:AA76" si="10">ABS(Z13-Y13)</f>
        <v>23.255799999999997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0101-11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/stypes="app*4042*20170611*"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4042 --swversion DE.1.0.9.0 --startMP 204:757 --initTime 2017-06-11T03:11:23 --startdatetime 2017-06-11T03:15:19 --delay 1 --endMP 204:233315 --enddatetime 2017-06-11T03:52:07 --enforcementcount 0 &gt;&gt;C:\Users\stu\Documents\GitHub\eaglep3-reporting\EC\2017-06-11-refined-times.txt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{"issue":{"subject":"","project_id":79,"tracker_id":40,"status_id":1,"priority_id":2,"assigned_to_id":23,"start_date":"2017-06-11","description":"","custom_fields":[{"id":1,"name":"Subdivision","value":"EC"},{"id":4,"name":"Milepost","value":"23.3315"},{"id":17,"name":"Train ID","value":"101-11"},{"id":16,"name":"Locomotive ID","value":"4042"},{"id":130,"name":"Impact","value":""},{"id":150,"name":"Time of Event (Mountain Time)","value":"03:52:07"},{"id":151,"name":"Denver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2017-06-11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657</v>
      </c>
      <c r="B14" s="7">
        <v>4041</v>
      </c>
      <c r="C14" s="21" t="s">
        <v>204</v>
      </c>
      <c r="D14" s="21" t="s">
        <v>488</v>
      </c>
      <c r="E14" s="13">
        <v>42897.168645833335</v>
      </c>
      <c r="F14" s="13">
        <v>42897.175254629627</v>
      </c>
      <c r="G14" s="7">
        <v>0</v>
      </c>
      <c r="H14" s="21" t="s">
        <v>363</v>
      </c>
      <c r="I14" s="13">
        <v>42897.2028125</v>
      </c>
      <c r="J14" s="7">
        <v>0</v>
      </c>
      <c r="K14" s="92" t="str">
        <f t="shared" si="0"/>
        <v>4041/4042</v>
      </c>
      <c r="L14" s="21" t="str">
        <f>VLOOKUP(A14,'Trips&amp;Operators'!$C$1:$G$99999,5,FALSE)</f>
        <v>MAELZER KURT</v>
      </c>
      <c r="M14" s="6">
        <f t="shared" si="1"/>
        <v>2.7557870373129845E-2</v>
      </c>
      <c r="N14" s="7">
        <f t="shared" si="2"/>
        <v>39.683333337306976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-11T03:02:51-0600',mode:absolute,to:'2017-06-11T05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23.299600000000002</v>
      </c>
      <c r="Z14" s="204">
        <f t="shared" si="9"/>
        <v>1.47E-2</v>
      </c>
      <c r="AA14" s="204">
        <f t="shared" si="10"/>
        <v>23.2849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0102-11</v>
      </c>
      <c r="AE14" s="80" t="str">
        <f t="shared" si="12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14" s="77" t="str">
        <f t="shared" si="13"/>
        <v>"C:\Program Files (x86)\AstroGrep\AstroGrep.exe" /e /r /s /spath="%USERPROFILE%\AppData\Local\Temp\OnboardLogs" /stypes="app*4041*20170611*"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4041 --swversion DE.1.0.9.0 --startMP 204:232996 --initTime 2017-06-11T04:02:51 --startdatetime 2017-06-11T04:12:22 --delay 0 --endMP 204:147 --enddatetime 2017-06-11T04:52:03 --enforcementcount 0 &gt;&gt;C:\Users\stu\Documents\GitHub\eaglep3-reporting\EC\2017-06-11-refined-times.txt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ID","value":"102-11"},{"id":16,"name":"Locomotive ID","value":"4041"},{"id":130,"name":"Impact","value":""},{"id":150,"name":"Time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4041 --day 2017-06-11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656</v>
      </c>
      <c r="B15" s="7">
        <v>4054</v>
      </c>
      <c r="C15" s="21" t="s">
        <v>204</v>
      </c>
      <c r="D15" s="21" t="s">
        <v>833</v>
      </c>
      <c r="E15" s="13">
        <v>42897.151550925926</v>
      </c>
      <c r="F15" s="13">
        <v>42897.156655092593</v>
      </c>
      <c r="G15" s="7">
        <v>1</v>
      </c>
      <c r="H15" s="21" t="s">
        <v>834</v>
      </c>
      <c r="I15" s="13">
        <v>42897.183611111112</v>
      </c>
      <c r="J15" s="7">
        <v>0</v>
      </c>
      <c r="K15" s="92" t="str">
        <f t="shared" si="0"/>
        <v>4053/4054</v>
      </c>
      <c r="L15" s="21" t="str">
        <f>VLOOKUP(A15,'Trips&amp;Operators'!$C$1:$G$99999,5,FALSE)</f>
        <v>WILLIAMS DONTE</v>
      </c>
      <c r="M15" s="6">
        <f t="shared" si="1"/>
        <v>2.6956018518831115E-2</v>
      </c>
      <c r="N15" s="7">
        <f t="shared" si="2"/>
        <v>38.816666667116806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-11T02:38:14-0600',mode:absolute,to:'2017-06-11T05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4.7100000000000003E-2</v>
      </c>
      <c r="Z15" s="204">
        <f t="shared" si="9"/>
        <v>23.330100000000002</v>
      </c>
      <c r="AA15" s="204">
        <f t="shared" si="10"/>
        <v>23.283000000000001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0103-11</v>
      </c>
      <c r="AE15" s="80" t="str">
        <f t="shared" si="12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15" s="77" t="str">
        <f t="shared" si="13"/>
        <v>"C:\Program Files (x86)\AstroGrep\AstroGrep.exe" /e /r /s /spath="%USERPROFILE%\AppData\Local\Temp\OnboardLogs" /stypes="app*4054*20170611*"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103-11 --locoid 4054 --swversion DE.1.0.9.0 --startMP 204:471 --initTime 2017-06-11T03:38:14 --startdatetime 2017-06-11T03:45:35 --delay 1 --endMP 204:233301 --enddatetime 2017-06-11T04:24:24 --enforcementcount 0 &gt;&gt;C:\Users\stu\Documents\GitHub\eaglep3-reporting\EC\2017-06-11-refined-times.txt</v>
      </c>
      <c r="AI1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{"issue":{"subject":"","project_id":79,"tracker_id":40,"status_id":1,"priority_id":2,"assigned_to_id":23,"start_date":"2017-06-11","description":"","custom_fields":[{"id":1,"name":"Subdivision","value":"EC"},{"id":4,"name":"Milepost","value":"23.3301"},{"id":17,"name":"Train ID","value":"103-11"},{"id":16,"name":"Locomotive ID","value":"4054"},{"id":130,"name":"Impact","value":""},{"id":150,"name":"Time of Event (Mountain Time)","value":"04:24:24"},{"id":151,"name":"Denver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4054 --day 2017-06-11</v>
      </c>
      <c r="AN1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10:24:24"},{"id":29,"name":"Sharepoint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663</v>
      </c>
      <c r="B16" s="7">
        <v>4053</v>
      </c>
      <c r="C16" s="21" t="s">
        <v>204</v>
      </c>
      <c r="D16" s="21" t="s">
        <v>519</v>
      </c>
      <c r="E16" s="13">
        <v>42897.185960648145</v>
      </c>
      <c r="F16" s="13">
        <v>42897.196018518516</v>
      </c>
      <c r="G16" s="7">
        <v>1</v>
      </c>
      <c r="H16" s="21" t="s">
        <v>351</v>
      </c>
      <c r="I16" s="13">
        <v>42897.224178240744</v>
      </c>
      <c r="J16" s="7">
        <v>0</v>
      </c>
      <c r="K16" s="92" t="str">
        <f t="shared" si="0"/>
        <v>4053/4054</v>
      </c>
      <c r="L16" s="21" t="str">
        <f>VLOOKUP(A16,'Trips&amp;Operators'!$C$1:$G$99999,5,FALSE)</f>
        <v>WILLIAMS DONTE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-11T03:27:47-0600',mode:absolute,to:'2017-06-11T06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23.298400000000001</v>
      </c>
      <c r="Z16" s="204">
        <f t="shared" si="9"/>
        <v>1.4999999999999999E-2</v>
      </c>
      <c r="AA16" s="204">
        <f t="shared" si="10"/>
        <v>23.2834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0104-11</v>
      </c>
      <c r="AE16" s="80" t="str">
        <f t="shared" si="12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16" s="77" t="str">
        <f t="shared" si="13"/>
        <v>"C:\Program Files (x86)\AstroGrep\AstroGrep.exe" /e /r /s /spath="%USERPROFILE%\AppData\Local\Temp\OnboardLogs" /stypes="app*4053*20170611*"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104-11 --locoid 4053 --swversion DE.1.0.9.0 --startMP 204:232984 --initTime 2017-06-11T04:27:47 --startdatetime 2017-06-11T04:42:16 --delay 1 --endMP 204:150 --enddatetime 2017-06-11T05:22:49 --enforcementcount 0 &gt;&gt;C:\Users\stu\Documents\GitHub\eaglep3-reporting\EC\2017-06-11-refined-times.txt</v>
      </c>
      <c r="AI1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ID","value":"104-11"},{"id":16,"name":"Locomotive ID","value":"4053"},{"id":130,"name":"Impact","value":""},{"id":150,"name":"Time of Event (Mountain Time)","value":"05:22:49"},{"id":151,"name":"Denver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4053 --day 2017-06-11</v>
      </c>
      <c r="AN1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659</v>
      </c>
      <c r="B17" s="7">
        <v>4020</v>
      </c>
      <c r="C17" s="21" t="s">
        <v>204</v>
      </c>
      <c r="D17" s="21" t="s">
        <v>835</v>
      </c>
      <c r="E17" s="13">
        <v>42897.172824074078</v>
      </c>
      <c r="F17" s="13">
        <v>42897.177256944444</v>
      </c>
      <c r="G17" s="7">
        <v>1</v>
      </c>
      <c r="H17" s="21" t="s">
        <v>510</v>
      </c>
      <c r="I17" s="13">
        <v>42897.202835648146</v>
      </c>
      <c r="J17" s="7">
        <v>0</v>
      </c>
      <c r="K17" s="92" t="str">
        <f t="shared" si="0"/>
        <v>4019/4020</v>
      </c>
      <c r="L17" s="21" t="str">
        <f>VLOOKUP(A17,'Trips&amp;Operators'!$C$1:$G$99999,5,FALSE)</f>
        <v>NEWELL JAMES</v>
      </c>
      <c r="M17" s="6">
        <f t="shared" si="1"/>
        <v>2.5578703702194616E-2</v>
      </c>
      <c r="N17" s="7">
        <f t="shared" si="2"/>
        <v>36.833333331160247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-11T03:08:52-0600',mode:absolute,to:'2017-06-11T05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4.8399999999999999E-2</v>
      </c>
      <c r="Z17" s="204">
        <f t="shared" si="9"/>
        <v>23.331499999999998</v>
      </c>
      <c r="AA17" s="204">
        <f t="shared" si="10"/>
        <v>23.283099999999997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0105-11</v>
      </c>
      <c r="AE17" s="80" t="str">
        <f t="shared" si="12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17" s="77" t="str">
        <f t="shared" si="13"/>
        <v>"C:\Program Files (x86)\AstroGrep\AstroGrep.exe" /e /r /s /spath="%USERPROFILE%\AppData\Local\Temp\OnboardLogs" /stypes="app*4020*20170611*"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105-11 --locoid 4020 --swversion DE.1.0.9.0 --startMP 204:484 --initTime 2017-06-11T04:08:52 --startdatetime 2017-06-11T04:15:15 --delay 1 --endMP 204:233315 --enddatetime 2017-06-11T04:52:05 --enforcementcount 0 &gt;&gt;C:\Users\stu\Documents\GitHub\eaglep3-reporting\EC\2017-06-11-refined-times.txt</v>
      </c>
      <c r="AI1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{"issue":{"subject":"","project_id":79,"tracker_id":40,"status_id":1,"priority_id":2,"assigned_to_id":23,"start_date":"2017-06-11","description":"","custom_fields":[{"id":1,"name":"Subdivision","value":"EC"},{"id":4,"name":"Milepost","value":"23.3315"},{"id":17,"name":"Train ID","value":"105-11"},{"id":16,"name":"Locomotive ID","value":"4020"},{"id":130,"name":"Impact","value":""},{"id":150,"name":"Time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4020 --day 2017-06-11</v>
      </c>
      <c r="AN1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667</v>
      </c>
      <c r="B18" s="7">
        <v>4019</v>
      </c>
      <c r="C18" s="21" t="s">
        <v>204</v>
      </c>
      <c r="D18" s="21" t="s">
        <v>488</v>
      </c>
      <c r="E18" s="13">
        <v>42897.211967592593</v>
      </c>
      <c r="F18" s="13">
        <v>42897.216851851852</v>
      </c>
      <c r="G18" s="7">
        <v>0</v>
      </c>
      <c r="H18" s="21" t="s">
        <v>351</v>
      </c>
      <c r="I18" s="13">
        <v>42897.24355324074</v>
      </c>
      <c r="J18" s="7">
        <v>0</v>
      </c>
      <c r="K18" s="92" t="str">
        <f t="shared" si="0"/>
        <v>4019/4020</v>
      </c>
      <c r="L18" s="21" t="str">
        <f>VLOOKUP(A18,'Trips&amp;Operators'!$C$1:$G$99999,5,FALSE)</f>
        <v>NEWELL JAMES</v>
      </c>
      <c r="M18" s="6">
        <f t="shared" si="1"/>
        <v>2.6701388887886424E-2</v>
      </c>
      <c r="N18" s="7">
        <f t="shared" si="2"/>
        <v>38.44999999855645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-11T04:05:14-0600',mode:absolute,to:'2017-06-11T06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23.299600000000002</v>
      </c>
      <c r="Z18" s="204">
        <f t="shared" si="9"/>
        <v>1.4999999999999999E-2</v>
      </c>
      <c r="AA18" s="204">
        <f t="shared" si="10"/>
        <v>23.284600000000001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0106-11</v>
      </c>
      <c r="AE18" s="80" t="str">
        <f t="shared" si="12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8" s="77" t="str">
        <f t="shared" si="13"/>
        <v>"C:\Program Files (x86)\AstroGrep\AstroGrep.exe" /e /r /s /spath="%USERPROFILE%\AppData\Local\Temp\OnboardLogs" /stypes="app*4019*20170611*"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106-11 --locoid 4019 --swversion DE.1.0.9.0 --startMP 204:232996 --initTime 2017-06-11T05:05:14 --startdatetime 2017-06-11T05:12:16 --delay 0 --endMP 204:150 --enddatetime 2017-06-11T05:50:43 --enforcementcount 0 &gt;&gt;C:\Users\stu\Documents\GitHub\eaglep3-reporting\EC\2017-06-11-refined-times.txt</v>
      </c>
      <c r="AI18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ID","value":"106-11"},{"id":16,"name":"Locomotive ID","value":"4019"},{"id":130,"name":"Impact","value":""},{"id":150,"name":"Time of Event (Mountain Time)","value":"05:50:43"},{"id":151,"name":"Denver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4019 --day 2017-06-11</v>
      </c>
      <c r="AN18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662</v>
      </c>
      <c r="B19" s="7">
        <v>4002</v>
      </c>
      <c r="C19" s="21" t="s">
        <v>204</v>
      </c>
      <c r="D19" s="21" t="s">
        <v>354</v>
      </c>
      <c r="E19" s="13">
        <v>42897.184398148151</v>
      </c>
      <c r="F19" s="13">
        <v>42897.187650462962</v>
      </c>
      <c r="G19" s="7">
        <v>2</v>
      </c>
      <c r="H19" s="21" t="s">
        <v>597</v>
      </c>
      <c r="I19" s="13">
        <v>42897.211770833332</v>
      </c>
      <c r="J19" s="7">
        <v>0</v>
      </c>
      <c r="K19" s="92" t="str">
        <f t="shared" si="0"/>
        <v>4001/4002</v>
      </c>
      <c r="L19" s="21" t="str">
        <f>VLOOKUP(A19,'Trips&amp;Operators'!$C$1:$G$99999,5,FALSE)</f>
        <v>LALONDE GREGORY</v>
      </c>
      <c r="M19" s="6">
        <f t="shared" si="1"/>
        <v>2.4120370369928423E-2</v>
      </c>
      <c r="N19" s="7">
        <f t="shared" si="2"/>
        <v>34.73333333269693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-11T03:25:32-0600',mode:absolute,to:'2017-06-11T06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4.6600000000000003E-2</v>
      </c>
      <c r="Z19" s="204">
        <f t="shared" si="9"/>
        <v>23.333200000000001</v>
      </c>
      <c r="AA19" s="204">
        <f t="shared" si="10"/>
        <v>23.2866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0107-11</v>
      </c>
      <c r="AE19" s="80" t="str">
        <f t="shared" si="12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19" s="77" t="str">
        <f t="shared" si="13"/>
        <v>"C:\Program Files (x86)\AstroGrep\AstroGrep.exe" /e /r /s /spath="%USERPROFILE%\AppData\Local\Temp\OnboardLogs" /stypes="app*4002*20170611*"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107-11 --locoid 4002 --swversion DE.1.0.9.0 --startMP 204:466 --initTime 2017-06-11T04:25:32 --startdatetime 2017-06-11T04:30:13 --delay 2 --endMP 204:233332 --enddatetime 2017-06-11T05:04:57 --enforcementcount 0 &gt;&gt;C:\Users\stu\Documents\GitHub\eaglep3-reporting\EC\2017-06-11-refined-times.txt</v>
      </c>
      <c r="AI19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{"issue":{"subject":"","project_id":79,"tracker_id":40,"status_id":1,"priority_id":2,"assigned_to_id":23,"start_date":"2017-06-11","description":"","custom_fields":[{"id":1,"name":"Subdivision","value":"EC"},{"id":4,"name":"Milepost","value":"23.3332"},{"id":17,"name":"Train ID","value":"107-11"},{"id":16,"name":"Locomotive ID","value":"4002"},{"id":130,"name":"Impact","value":""},{"id":150,"name":"Time of Event (Mountain Time)","value":"05:04:57"},{"id":151,"name":"Denver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4002 --day 2017-06-11</v>
      </c>
      <c r="AN19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669</v>
      </c>
      <c r="B20" s="7">
        <v>4001</v>
      </c>
      <c r="C20" s="21" t="s">
        <v>204</v>
      </c>
      <c r="D20" s="21" t="s">
        <v>601</v>
      </c>
      <c r="E20" s="13">
        <v>42897.217118055552</v>
      </c>
      <c r="F20" s="13">
        <v>42897.227233796293</v>
      </c>
      <c r="G20" s="7">
        <v>1</v>
      </c>
      <c r="H20" s="21" t="s">
        <v>363</v>
      </c>
      <c r="I20" s="13">
        <v>42897.253483796296</v>
      </c>
      <c r="J20" s="7">
        <v>0</v>
      </c>
      <c r="K20" s="92" t="str">
        <f t="shared" si="0"/>
        <v>4001/4002</v>
      </c>
      <c r="L20" s="21" t="str">
        <f>VLOOKUP(A20,'Trips&amp;Operators'!$C$1:$G$99999,5,FALSE)</f>
        <v>LALONDE GREGORY</v>
      </c>
      <c r="M20" s="6">
        <f t="shared" si="1"/>
        <v>2.6250000002619345E-2</v>
      </c>
      <c r="N20" s="7">
        <f t="shared" si="2"/>
        <v>37.800000003771856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-11T04:12:39-0600',mode:absolute,to:'2017-06-11T07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23.301100000000002</v>
      </c>
      <c r="Z20" s="204">
        <f t="shared" si="9"/>
        <v>1.47E-2</v>
      </c>
      <c r="AA20" s="204">
        <f t="shared" si="10"/>
        <v>23.2864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0108-11</v>
      </c>
      <c r="AE20" s="80" t="str">
        <f t="shared" si="12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20" s="77" t="str">
        <f t="shared" si="13"/>
        <v>"C:\Program Files (x86)\AstroGrep\AstroGrep.exe" /e /r /s /spath="%USERPROFILE%\AppData\Local\Temp\OnboardLogs" /stypes="app*4001*20170611*"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108-11 --locoid 4001 --swversion DE.1.0.9.0 --startMP 204:233011 --initTime 2017-06-11T05:12:39 --startdatetime 2017-06-11T05:27:13 --delay 1 --endMP 204:147 --enddatetime 2017-06-11T06:05:01 --enforcementcount 0 &gt;&gt;C:\Users\stu\Documents\GitHub\eaglep3-reporting\EC\2017-06-11-refined-times.txt</v>
      </c>
      <c r="AI20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ID","value":"108-11"},{"id":16,"name":"Locomotive ID","value":"4001"},{"id":130,"name":"Impact","value":""},{"id":150,"name":"Time of Event (Mountain Time)","value":"06:05:01"},{"id":151,"name":"Denver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4001 --day 2017-06-11</v>
      </c>
      <c r="AN20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660</v>
      </c>
      <c r="B21" s="7">
        <v>4040</v>
      </c>
      <c r="C21" s="21" t="s">
        <v>204</v>
      </c>
      <c r="D21" s="21" t="s">
        <v>473</v>
      </c>
      <c r="E21" s="13">
        <v>42897.193090277775</v>
      </c>
      <c r="F21" s="13">
        <v>42897.198101851849</v>
      </c>
      <c r="G21" s="7">
        <v>2</v>
      </c>
      <c r="H21" s="21" t="s">
        <v>508</v>
      </c>
      <c r="I21" s="13">
        <v>42897.223275462966</v>
      </c>
      <c r="J21" s="7">
        <v>0</v>
      </c>
      <c r="K21" s="92" t="str">
        <f t="shared" si="0"/>
        <v>4039/4040</v>
      </c>
      <c r="L21" s="21" t="str">
        <f>VLOOKUP(A21,'Trips&amp;Operators'!$C$1:$G$99999,5,FALSE)</f>
        <v>GEBRETEKLE DAGNEW</v>
      </c>
      <c r="M21" s="6">
        <f t="shared" si="1"/>
        <v>2.5173611116770189E-2</v>
      </c>
      <c r="N21" s="7">
        <f t="shared" si="2"/>
        <v>36.250000008149073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-11T03:38:03-0600',mode:absolute,to:'2017-06-11T06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4.7699999999999999E-2</v>
      </c>
      <c r="Z21" s="204">
        <f t="shared" si="9"/>
        <v>23.334</v>
      </c>
      <c r="AA21" s="204">
        <f t="shared" si="10"/>
        <v>23.286300000000001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0109-11</v>
      </c>
      <c r="AE21" s="80" t="str">
        <f t="shared" si="12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21" s="77" t="str">
        <f t="shared" si="13"/>
        <v>"C:\Program Files (x86)\AstroGrep\AstroGrep.exe" /e /r /s /spath="%USERPROFILE%\AppData\Local\Temp\OnboardLogs" /stypes="app*4040*20170611*"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109-11 --locoid 4040 --swversion DE.1.0.9.0 --startMP 204:477 --initTime 2017-06-11T04:38:03 --startdatetime 2017-06-11T04:45:16 --delay 2 --endMP 204:233340 --enddatetime 2017-06-11T05:21:31 --enforcementcount 0 &gt;&gt;C:\Users\stu\Documents\GitHub\eaglep3-reporting\EC\2017-06-11-refined-times.txt</v>
      </c>
      <c r="AI21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{"issue":{"subject":"","project_id":79,"tracker_id":40,"status_id":1,"priority_id":2,"assigned_to_id":23,"start_date":"2017-06-11","description":"","custom_fields":[{"id":1,"name":"Subdivision","value":"EC"},{"id":4,"name":"Milepost","value":"23.334"},{"id":17,"name":"Train ID","value":"109-11"},{"id":16,"name":"Locomotive ID","value":"4040"},{"id":130,"name":"Impact","value":""},{"id":150,"name":"Time of Event (Mountain Time)","value":"05:21:31"},{"id":151,"name":"Denver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4040 --day 2017-06-11</v>
      </c>
      <c r="AN21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670</v>
      </c>
      <c r="B22" s="7">
        <v>4039</v>
      </c>
      <c r="C22" s="21" t="s">
        <v>204</v>
      </c>
      <c r="D22" s="21" t="s">
        <v>596</v>
      </c>
      <c r="E22" s="13">
        <v>42897.224490740744</v>
      </c>
      <c r="F22" s="13">
        <v>42897.237812500003</v>
      </c>
      <c r="G22" s="7">
        <v>0</v>
      </c>
      <c r="H22" s="21" t="s">
        <v>452</v>
      </c>
      <c r="I22" s="13">
        <v>42897.263402777775</v>
      </c>
      <c r="J22" s="7">
        <v>0</v>
      </c>
      <c r="K22" s="92" t="str">
        <f t="shared" si="0"/>
        <v>4039/4040</v>
      </c>
      <c r="L22" s="21" t="str">
        <f>VLOOKUP(A22,'Trips&amp;Operators'!$C$1:$G$99999,5,FALSE)</f>
        <v>GEBRETEKLE DAGNEW</v>
      </c>
      <c r="M22" s="6">
        <f t="shared" si="1"/>
        <v>2.5590277771698311E-2</v>
      </c>
      <c r="N22" s="7">
        <f t="shared" si="2"/>
        <v>36.849999991245568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-11T04:23:16-0600',mode:absolute,to:'2017-06-11T07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23.300799999999999</v>
      </c>
      <c r="Z22" s="204">
        <f t="shared" si="9"/>
        <v>1.5599999999999999E-2</v>
      </c>
      <c r="AA22" s="204">
        <f t="shared" si="10"/>
        <v>23.2852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0110-11</v>
      </c>
      <c r="AE22" s="80" t="str">
        <f t="shared" si="12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22" s="77" t="str">
        <f t="shared" si="13"/>
        <v>"C:\Program Files (x86)\AstroGrep\AstroGrep.exe" /e /r /s /spath="%USERPROFILE%\AppData\Local\Temp\OnboardLogs" /stypes="app*4039*20170611*"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110-11 --locoid 4039 --swversion DE.1.0.9.0 --startMP 204:233008 --initTime 2017-06-11T05:23:16 --startdatetime 2017-06-11T05:42:27 --delay 0 --endMP 204:156 --enddatetime 2017-06-11T06:19:18 --enforcementcount 0 &gt;&gt;C:\Users\stu\Documents\GitHub\eaglep3-reporting\EC\2017-06-11-refined-times.txt</v>
      </c>
      <c r="AI22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ID","value":"110-11"},{"id":16,"name":"Locomotive ID","value":"4039"},{"id":130,"name":"Impact","value":""},{"id":150,"name":"Time of Event (Mountain Time)","value":"06:19:18"},{"id":151,"name":"Denver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4039 --day 2017-06-11</v>
      </c>
      <c r="AN22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4042</v>
      </c>
      <c r="C23" s="21" t="s">
        <v>204</v>
      </c>
      <c r="D23" s="21" t="s">
        <v>359</v>
      </c>
      <c r="E23" s="13">
        <v>42897.204270833332</v>
      </c>
      <c r="F23" s="13">
        <v>42897.208541666667</v>
      </c>
      <c r="G23" s="7">
        <v>1</v>
      </c>
      <c r="H23" s="21" t="s">
        <v>448</v>
      </c>
      <c r="I23" s="13">
        <v>42897.233298611114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MAELZER KURT</v>
      </c>
      <c r="M23" s="6">
        <f t="shared" si="1"/>
        <v>2.4756944447290152E-2</v>
      </c>
      <c r="N23" s="7">
        <f t="shared" si="2"/>
        <v>35.650000004097819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-11T03:54:09-0600',mode:absolute,to:'2017-06-11T06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4.4699999999999997E-2</v>
      </c>
      <c r="Z23" s="204">
        <f t="shared" si="9"/>
        <v>23.329699999999999</v>
      </c>
      <c r="AA23" s="204">
        <f t="shared" si="10"/>
        <v>23.285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0111-11</v>
      </c>
      <c r="AE23" s="80" t="str">
        <f t="shared" si="12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23" s="77" t="str">
        <f t="shared" si="13"/>
        <v>"C:\Program Files (x86)\AstroGrep\AstroGrep.exe" /e /r /s /spath="%USERPROFILE%\AppData\Local\Temp\OnboardLogs" /stypes="app*4042*20170611*"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111-11 --locoid 4042 --swversion DE.1.0.9.0 --startMP 204:447 --initTime 2017-06-11T04:54:09 --startdatetime 2017-06-11T05:00:18 --delay 1 --endMP 204:233297 --enddatetime 2017-06-11T05:35:57 --enforcementcount 0 &gt;&gt;C:\Users\stu\Documents\GitHub\eaglep3-reporting\EC\2017-06-11-refined-times.txt</v>
      </c>
      <c r="AI23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{"issue":{"subject":"","project_id":79,"tracker_id":40,"status_id":1,"priority_id":2,"assigned_to_id":23,"start_date":"2017-06-11","description":"","custom_fields":[{"id":1,"name":"Subdivision","value":"EC"},{"id":4,"name":"Milepost","value":"23.3297"},{"id":17,"name":"Train ID","value":"111-11"},{"id":16,"name":"Locomotive ID","value":"4042"},{"id":130,"name":"Impact","value":""},{"id":150,"name":"Time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2017-06-11</v>
      </c>
      <c r="AN23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675</v>
      </c>
      <c r="B24" s="7">
        <v>4041</v>
      </c>
      <c r="C24" s="21" t="s">
        <v>204</v>
      </c>
      <c r="D24" s="21" t="s">
        <v>836</v>
      </c>
      <c r="E24" s="13">
        <v>42897.242430555554</v>
      </c>
      <c r="F24" s="13">
        <v>42897.248240740744</v>
      </c>
      <c r="G24" s="7">
        <v>0</v>
      </c>
      <c r="H24" s="21" t="s">
        <v>353</v>
      </c>
      <c r="I24" s="13">
        <v>42897.274537037039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MAELZER KURT</v>
      </c>
      <c r="M24" s="6">
        <f t="shared" si="1"/>
        <v>2.6296296295186039E-2</v>
      </c>
      <c r="N24" s="7">
        <f t="shared" si="2"/>
        <v>37.866666665067896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-11T04:49:06-0600',mode:absolute,to:'2017-06-11T07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23.3001</v>
      </c>
      <c r="Z24" s="204">
        <f t="shared" si="9"/>
        <v>1.43E-2</v>
      </c>
      <c r="AA24" s="204">
        <f t="shared" si="10"/>
        <v>23.285800000000002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0112-11</v>
      </c>
      <c r="AE24" s="80" t="str">
        <f t="shared" si="12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24" s="77" t="str">
        <f t="shared" si="13"/>
        <v>"C:\Program Files (x86)\AstroGrep\AstroGrep.exe" /e /r /s /spath="%USERPROFILE%\AppData\Local\Temp\OnboardLogs" /stypes="app*4041*20170611*"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112-11 --locoid 4041 --swversion DE.1.0.9.0 --startMP 204:233001 --initTime 2017-06-11T05:49:06 --startdatetime 2017-06-11T05:57:28 --delay 0 --endMP 204:143 --enddatetime 2017-06-11T06:35:20 --enforcementcount 0 &gt;&gt;C:\Users\stu\Documents\GitHub\eaglep3-reporting\EC\2017-06-11-refined-times.txt</v>
      </c>
      <c r="AI24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{"issue":{"subject":"","project_id":79,"tracker_id":40,"status_id":1,"priority_id":2,"assigned_to_id":23,"start_date":"2017-06-11","description":"","custom_fields":[{"id":1,"name":"Subdivision","value":"EC"},{"id":4,"name":"Milepost","value":"0.0143"},{"id":17,"name":"Train ID","value":"112-11"},{"id":16,"name":"Locomotive ID","value":"4041"},{"id":130,"name":"Impact","value":""},{"id":150,"name":"Time of Event (Mountain Time)","value":"06:35:20"},{"id":151,"name":"Denver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2017-06-11</v>
      </c>
      <c r="AN24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4050</v>
      </c>
      <c r="C25" s="21" t="s">
        <v>204</v>
      </c>
      <c r="D25" s="21" t="s">
        <v>837</v>
      </c>
      <c r="E25" s="13">
        <v>42897.208101851851</v>
      </c>
      <c r="F25" s="13">
        <v>42897.218935185185</v>
      </c>
      <c r="G25" s="7">
        <v>1</v>
      </c>
      <c r="H25" s="21" t="s">
        <v>526</v>
      </c>
      <c r="I25" s="13">
        <v>42897.244363425925</v>
      </c>
      <c r="J25" s="7">
        <v>0</v>
      </c>
      <c r="K25" s="92" t="str">
        <f t="shared" si="0"/>
        <v>4049/4050</v>
      </c>
      <c r="L25" s="21" t="str">
        <f>VLOOKUP(A25,'Trips&amp;Operators'!$C$1:$G$99999,5,FALSE)</f>
        <v>GUZMAN DANNY</v>
      </c>
      <c r="M25" s="6">
        <f t="shared" si="1"/>
        <v>2.5428240740438923E-2</v>
      </c>
      <c r="N25" s="7">
        <f t="shared" si="2"/>
        <v>36.616666666232049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-11T03:59:40-0600',mode:absolute,to:'2017-06-11T06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4.2900000000000001E-2</v>
      </c>
      <c r="Z25" s="204">
        <f t="shared" si="9"/>
        <v>23.333100000000002</v>
      </c>
      <c r="AA25" s="204">
        <f t="shared" si="10"/>
        <v>23.290200000000002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0113-11</v>
      </c>
      <c r="AE25" s="80" t="str">
        <f t="shared" si="12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25" s="77" t="str">
        <f t="shared" si="13"/>
        <v>"C:\Program Files (x86)\AstroGrep\AstroGrep.exe" /e /r /s /spath="%USERPROFILE%\AppData\Local\Temp\OnboardLogs" /stypes="app*4050*20170611*"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113-11 --locoid 4050 --swversion DE.1.0.9.0 --startMP 204:429 --initTime 2017-06-11T04:59:40 --startdatetime 2017-06-11T05:15:16 --delay 1 --endMP 204:233331 --enddatetime 2017-06-11T05:51:53 --enforcementcount 0 &gt;&gt;C:\Users\stu\Documents\GitHub\eaglep3-reporting\EC\2017-06-11-refined-times.txt</v>
      </c>
      <c r="AI2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{"issue":{"subject":"","project_id":79,"tracker_id":40,"status_id":1,"priority_id":2,"assigned_to_id":23,"start_date":"2017-06-11","description":"","custom_fields":[{"id":1,"name":"Subdivision","value":"EC"},{"id":4,"name":"Milepost","value":"23.3331"},{"id":17,"name":"Train ID","value":"113-11"},{"id":16,"name":"Locomotive ID","value":"4050"},{"id":130,"name":"Impact","value":""},{"id":150,"name":"Time of Event (Mountain Time)","value":"05:51:53"},{"id":151,"name":"Denver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4050 --day 2017-06-11</v>
      </c>
      <c r="AN2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677</v>
      </c>
      <c r="B26" s="7">
        <v>4049</v>
      </c>
      <c r="C26" s="21" t="s">
        <v>204</v>
      </c>
      <c r="D26" s="21" t="s">
        <v>488</v>
      </c>
      <c r="E26" s="13">
        <v>42897.246493055558</v>
      </c>
      <c r="F26" s="13">
        <v>42897.258518518516</v>
      </c>
      <c r="G26" s="7">
        <v>1</v>
      </c>
      <c r="H26" s="21" t="s">
        <v>487</v>
      </c>
      <c r="I26" s="13">
        <v>42897.285104166665</v>
      </c>
      <c r="J26" s="7">
        <v>0</v>
      </c>
      <c r="K26" s="92" t="str">
        <f t="shared" si="0"/>
        <v>4049/4050</v>
      </c>
      <c r="L26" s="21" t="str">
        <f>VLOOKUP(A26,'Trips&amp;Operators'!$C$1:$G$99999,5,FALSE)</f>
        <v>GUZMAN DANNY</v>
      </c>
      <c r="M26" s="6">
        <f t="shared" si="1"/>
        <v>2.658564814919373E-2</v>
      </c>
      <c r="N26" s="7">
        <f t="shared" si="2"/>
        <v>38.283333334838971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-11T04:54:57-0600',mode:absolute,to:'2017-06-11T07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23.299600000000002</v>
      </c>
      <c r="Z26" s="204">
        <f t="shared" si="9"/>
        <v>1.3599999999999999E-2</v>
      </c>
      <c r="AA26" s="204">
        <f t="shared" si="10"/>
        <v>23.286000000000001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0114-11</v>
      </c>
      <c r="AE26" s="80" t="str">
        <f t="shared" si="12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26" s="77" t="str">
        <f t="shared" si="13"/>
        <v>"C:\Program Files (x86)\AstroGrep\AstroGrep.exe" /e /r /s /spath="%USERPROFILE%\AppData\Local\Temp\OnboardLogs" /stypes="app*4049*20170611*"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114-11 --locoid 4049 --swversion DE.1.0.9.0 --startMP 204:232996 --initTime 2017-06-11T05:54:57 --startdatetime 2017-06-11T06:12:16 --delay 1 --endMP 204:136 --enddatetime 2017-06-11T06:50:33 --enforcementcount 0 &gt;&gt;C:\Users\stu\Documents\GitHub\eaglep3-reporting\EC\2017-06-11-refined-times.txt</v>
      </c>
      <c r="AI2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{"issue":{"subject":"","project_id":79,"tracker_id":40,"status_id":1,"priority_id":2,"assigned_to_id":23,"start_date":"2017-06-11","description":"","custom_fields":[{"id":1,"name":"Subdivision","value":"EC"},{"id":4,"name":"Milepost","value":"0.0136"},{"id":17,"name":"Train ID","value":"114-11"},{"id":16,"name":"Locomotive ID","value":"4049"},{"id":130,"name":"Impact","value":""},{"id":150,"name":"Time of Event (Mountain Time)","value":"06:50:33"},{"id":151,"name":"Denver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4049 --day 2017-06-11</v>
      </c>
      <c r="AN2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672</v>
      </c>
      <c r="B27" s="7">
        <v>4054</v>
      </c>
      <c r="C27" s="21" t="s">
        <v>204</v>
      </c>
      <c r="D27" s="21" t="s">
        <v>396</v>
      </c>
      <c r="E27" s="13">
        <v>42897.225601851853</v>
      </c>
      <c r="F27" s="13">
        <v>42897.229398148149</v>
      </c>
      <c r="G27" s="7">
        <v>1</v>
      </c>
      <c r="H27" s="21" t="s">
        <v>838</v>
      </c>
      <c r="I27" s="13">
        <v>42897.254548611112</v>
      </c>
      <c r="J27" s="7">
        <v>0</v>
      </c>
      <c r="K27" s="92" t="str">
        <f t="shared" si="0"/>
        <v>4053/4054</v>
      </c>
      <c r="L27" s="21" t="str">
        <f>VLOOKUP(A27,'Trips&amp;Operators'!$C$1:$G$99999,5,FALSE)</f>
        <v>WILLIAMS DONTE</v>
      </c>
      <c r="M27" s="6">
        <f t="shared" si="1"/>
        <v>2.5150462963210884E-2</v>
      </c>
      <c r="N27" s="7">
        <f t="shared" si="2"/>
        <v>36.216666667023674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-11T04:24:52-0600',mode:absolute,to:'2017-06-11T07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4.6199999999999998E-2</v>
      </c>
      <c r="Z27" s="204">
        <f t="shared" si="9"/>
        <v>23.331199999999999</v>
      </c>
      <c r="AA27" s="204">
        <f t="shared" si="10"/>
        <v>23.285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0115-11</v>
      </c>
      <c r="AE27" s="80" t="str">
        <f t="shared" si="12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27" s="77" t="str">
        <f t="shared" si="13"/>
        <v>"C:\Program Files (x86)\AstroGrep\AstroGrep.exe" /e /r /s /spath="%USERPROFILE%\AppData\Local\Temp\OnboardLogs" /stypes="app*4054*20170611*"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115-11 --locoid 4054 --swversion DE.1.0.9.0 --startMP 204:462 --initTime 2017-06-11T05:24:52 --startdatetime 2017-06-11T05:30:20 --delay 1 --endMP 204:233312 --enddatetime 2017-06-11T06:06:33 --enforcementcount 0 &gt;&gt;C:\Users\stu\Documents\GitHub\eaglep3-reporting\EC\2017-06-11-refined-times.txt</v>
      </c>
      <c r="AI2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{"issue":{"subject":"","project_id":79,"tracker_id":40,"status_id":1,"priority_id":2,"assigned_to_id":23,"start_date":"2017-06-11","description":"","custom_fields":[{"id":1,"name":"Subdivision","value":"EC"},{"id":4,"name":"Milepost","value":"23.3312"},{"id":17,"name":"Train ID","value":"115-11"},{"id":16,"name":"Locomotive ID","value":"4054"},{"id":130,"name":"Impact","value":""},{"id":150,"name":"Time of Event (Mountain Time)","value":"06:06:33"},{"id":151,"name":"Denver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4054 --day 2017-06-11</v>
      </c>
      <c r="AN2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679</v>
      </c>
      <c r="B28" s="7">
        <v>4053</v>
      </c>
      <c r="C28" s="21" t="s">
        <v>204</v>
      </c>
      <c r="D28" s="21" t="s">
        <v>504</v>
      </c>
      <c r="E28" s="13">
        <v>42897.256701388891</v>
      </c>
      <c r="F28" s="13">
        <v>42897.268946759257</v>
      </c>
      <c r="G28" s="7">
        <v>1</v>
      </c>
      <c r="H28" s="21" t="s">
        <v>363</v>
      </c>
      <c r="I28" s="13">
        <v>42897.296423611115</v>
      </c>
      <c r="J28" s="7">
        <v>0</v>
      </c>
      <c r="K28" s="92" t="str">
        <f t="shared" si="0"/>
        <v>4053/4054</v>
      </c>
      <c r="L28" s="21" t="str">
        <f>VLOOKUP(A28,'Trips&amp;Operators'!$C$1:$G$99999,5,FALSE)</f>
        <v>WILLIAMS DONTE</v>
      </c>
      <c r="M28" s="6">
        <f t="shared" si="1"/>
        <v>2.7476851857500151E-2</v>
      </c>
      <c r="N28" s="7">
        <f t="shared" si="2"/>
        <v>39.566666674800217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-11T05:09:39-0600',mode:absolute,to:'2017-06-11T08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23.296900000000001</v>
      </c>
      <c r="Z28" s="204">
        <f t="shared" si="9"/>
        <v>1.47E-2</v>
      </c>
      <c r="AA28" s="204">
        <f t="shared" si="10"/>
        <v>23.2822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0116-11</v>
      </c>
      <c r="AE28" s="80" t="str">
        <f t="shared" si="12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28" s="77" t="str">
        <f t="shared" si="13"/>
        <v>"C:\Program Files (x86)\AstroGrep\AstroGrep.exe" /e /r /s /spath="%USERPROFILE%\AppData\Local\Temp\OnboardLogs" /stypes="app*4053*20170611*"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116-11 --locoid 4053 --swversion DE.1.0.9.0 --startMP 204:232969 --initTime 2017-06-11T06:09:39 --startdatetime 2017-06-11T06:27:17 --delay 1 --endMP 204:147 --enddatetime 2017-06-11T07:06:51 --enforcementcount 0 &gt;&gt;C:\Users\stu\Documents\GitHub\eaglep3-reporting\EC\2017-06-11-refined-times.txt</v>
      </c>
      <c r="AI28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ID","value":"116-11"},{"id":16,"name":"Locomotive ID","value":"4053"},{"id":130,"name":"Impact","value":""},{"id":150,"name":"Time of Event (Mountain Time)","value":"07:06:51"},{"id":151,"name":"Denver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4053 --day 2017-06-11</v>
      </c>
      <c r="AN28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674</v>
      </c>
      <c r="B29" s="7">
        <v>4010</v>
      </c>
      <c r="C29" s="21" t="s">
        <v>204</v>
      </c>
      <c r="D29" s="21" t="s">
        <v>350</v>
      </c>
      <c r="E29" s="13">
        <v>42897.238310185188</v>
      </c>
      <c r="F29" s="13">
        <v>42897.240451388891</v>
      </c>
      <c r="G29" s="7">
        <v>2</v>
      </c>
      <c r="H29" s="21" t="s">
        <v>602</v>
      </c>
      <c r="I29" s="13">
        <v>42897.265196759261</v>
      </c>
      <c r="J29" s="7">
        <v>0</v>
      </c>
      <c r="K29" s="92" t="str">
        <f t="shared" si="0"/>
        <v>4009/4010</v>
      </c>
      <c r="L29" s="21" t="str">
        <f>VLOOKUP(A29,'Trips&amp;Operators'!$C$1:$G$99999,5,FALSE)</f>
        <v>MACDONALD THOMAS</v>
      </c>
      <c r="M29" s="6">
        <f t="shared" si="1"/>
        <v>2.47453703705105E-2</v>
      </c>
      <c r="N29" s="7">
        <f t="shared" si="2"/>
        <v>35.63333333353512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-11T04:43:10-0600',mode:absolute,to:'2017-06-11T07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4.58E-2</v>
      </c>
      <c r="Z29" s="204">
        <f t="shared" si="9"/>
        <v>23.327400000000001</v>
      </c>
      <c r="AA29" s="204">
        <f t="shared" si="10"/>
        <v>23.281600000000001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0117-11</v>
      </c>
      <c r="AE29" s="80" t="str">
        <f t="shared" si="12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29" s="77" t="str">
        <f t="shared" si="13"/>
        <v>"C:\Program Files (x86)\AstroGrep\AstroGrep.exe" /e /r /s /spath="%USERPROFILE%\AppData\Local\Temp\OnboardLogs" /stypes="app*4010*20170611*"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117-11 --locoid 4010 --swversion DE.1.0.9.0 --startMP 204:458 --initTime 2017-06-11T05:43:10 --startdatetime 2017-06-11T05:46:15 --delay 2 --endMP 204:233274 --enddatetime 2017-06-11T06:21:53 --enforcementcount 0 &gt;&gt;C:\Users\stu\Documents\GitHub\eaglep3-reporting\EC\2017-06-11-refined-times.txt</v>
      </c>
      <c r="AI29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{"issue":{"subject":"","project_id":79,"tracker_id":40,"status_id":1,"priority_id":2,"assigned_to_id":23,"start_date":"2017-06-11","description":"","custom_fields":[{"id":1,"name":"Subdivision","value":"EC"},{"id":4,"name":"Milepost","value":"23.3274"},{"id":17,"name":"Train ID","value":"117-11"},{"id":16,"name":"Locomotive ID","value":"4010"},{"id":130,"name":"Impact","value":""},{"id":150,"name":"Time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4010 --day 2017-06-11</v>
      </c>
      <c r="AN29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682</v>
      </c>
      <c r="B30" s="7">
        <v>4009</v>
      </c>
      <c r="C30" s="21" t="s">
        <v>204</v>
      </c>
      <c r="D30" s="21" t="s">
        <v>839</v>
      </c>
      <c r="E30" s="13">
        <v>42897.277604166666</v>
      </c>
      <c r="F30" s="13">
        <v>42897.279467592591</v>
      </c>
      <c r="G30" s="7">
        <v>1</v>
      </c>
      <c r="H30" s="21" t="s">
        <v>195</v>
      </c>
      <c r="I30" s="13">
        <v>42897.305289351854</v>
      </c>
      <c r="J30" s="7">
        <v>0</v>
      </c>
      <c r="K30" s="92" t="str">
        <f t="shared" si="0"/>
        <v>4009/4010</v>
      </c>
      <c r="L30" s="21" t="str">
        <f>VLOOKUP(A30,'Trips&amp;Operators'!$C$1:$G$99999,5,FALSE)</f>
        <v>MACDONALD THOMAS</v>
      </c>
      <c r="M30" s="6">
        <f t="shared" si="1"/>
        <v>2.5821759263635613E-2</v>
      </c>
      <c r="N30" s="7">
        <f t="shared" si="2"/>
        <v>37.183333339635283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-11T05:39:45-0600',mode:absolute,to:'2017-06-11T08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23.295999999999999</v>
      </c>
      <c r="Z30" s="204">
        <f t="shared" si="9"/>
        <v>1.52E-2</v>
      </c>
      <c r="AA30" s="204">
        <f t="shared" si="10"/>
        <v>23.280799999999999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0118-11</v>
      </c>
      <c r="AE30" s="80" t="str">
        <f t="shared" si="12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30" s="77" t="str">
        <f t="shared" si="13"/>
        <v>"C:\Program Files (x86)\AstroGrep\AstroGrep.exe" /e /r /s /spath="%USERPROFILE%\AppData\Local\Temp\OnboardLogs" /stypes="app*4009*20170611*"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118-11 --locoid 4009 --swversion DE.1.0.9.0 --startMP 204:232960 --initTime 2017-06-11T06:39:45 --startdatetime 2017-06-11T06:42:26 --delay 1 --endMP 204:152 --enddatetime 2017-06-11T07:19:37 --enforcementcount 0 &gt;&gt;C:\Users\stu\Documents\GitHub\eaglep3-reporting\EC\2017-06-11-refined-times.txt</v>
      </c>
      <c r="AI30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{"issue":{"subject":"","project_id":79,"tracker_id":40,"status_id":1,"priority_id":2,"assigned_to_id":23,"start_date":"2017-06-11","description":"","custom_fields":[{"id":1,"name":"Subdivision","value":"EC"},{"id":4,"name":"Milepost","value":"0.0152"},{"id":17,"name":"Train ID","value":"118-11"},{"id":16,"name":"Locomotive ID","value":"4009"},{"id":130,"name":"Impact","value":""},{"id":150,"name":"Time of Event (Mountain Time)","value":"07:19:37"},{"id":151,"name":"Denver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4009 --day 2017-06-11</v>
      </c>
      <c r="AN30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676</v>
      </c>
      <c r="B31" s="7">
        <v>4020</v>
      </c>
      <c r="C31" s="21" t="s">
        <v>204</v>
      </c>
      <c r="D31" s="21" t="s">
        <v>367</v>
      </c>
      <c r="E31" s="13">
        <v>42897.245092592595</v>
      </c>
      <c r="F31" s="13">
        <v>42897.250162037039</v>
      </c>
      <c r="G31" s="7">
        <v>1</v>
      </c>
      <c r="H31" s="21" t="s">
        <v>614</v>
      </c>
      <c r="I31" s="13">
        <v>42897.274467592593</v>
      </c>
      <c r="J31" s="7">
        <v>0</v>
      </c>
      <c r="K31" s="92" t="str">
        <f t="shared" si="0"/>
        <v>4019/4020</v>
      </c>
      <c r="L31" s="21" t="str">
        <f>VLOOKUP(A31,'Trips&amp;Operators'!$C$1:$G$99999,5,FALSE)</f>
        <v>NEWELL JAMES</v>
      </c>
      <c r="M31" s="6">
        <f t="shared" si="1"/>
        <v>2.4305555554747116E-2</v>
      </c>
      <c r="N31" s="7">
        <f t="shared" si="2"/>
        <v>34.999999998835847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-11T04:52:56-0600',mode:absolute,to:'2017-06-11T07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4.5499999999999999E-2</v>
      </c>
      <c r="Z31" s="204">
        <f t="shared" si="9"/>
        <v>23.331399999999999</v>
      </c>
      <c r="AA31" s="204">
        <f t="shared" si="10"/>
        <v>23.285899999999998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0119-11</v>
      </c>
      <c r="AE31" s="80" t="str">
        <f t="shared" si="12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31" s="77" t="str">
        <f t="shared" si="13"/>
        <v>"C:\Program Files (x86)\AstroGrep\AstroGrep.exe" /e /r /s /spath="%USERPROFILE%\AppData\Local\Temp\OnboardLogs" /stypes="app*4020*20170611*"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119-11 --locoid 4020 --swversion DE.1.0.9.0 --startMP 204:455 --initTime 2017-06-11T05:52:56 --startdatetime 2017-06-11T06:00:14 --delay 1 --endMP 204:233314 --enddatetime 2017-06-11T06:35:14 --enforcementcount 0 &gt;&gt;C:\Users\stu\Documents\GitHub\eaglep3-reporting\EC\2017-06-11-refined-times.txt</v>
      </c>
      <c r="AI31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{"issue":{"subject":"","project_id":79,"tracker_id":40,"status_id":1,"priority_id":2,"assigned_to_id":23,"start_date":"2017-06-11","description":"","custom_fields":[{"id":1,"name":"Subdivision","value":"EC"},{"id":4,"name":"Milepost","value":"23.3314"},{"id":17,"name":"Train ID","value":"119-11"},{"id":16,"name":"Locomotive ID","value":"4020"},{"id":130,"name":"Impact","value":""},{"id":150,"name":"Time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4020 --day 2017-06-11</v>
      </c>
      <c r="AN31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683</v>
      </c>
      <c r="B32" s="7">
        <v>4019</v>
      </c>
      <c r="C32" s="21" t="s">
        <v>204</v>
      </c>
      <c r="D32" s="21" t="s">
        <v>500</v>
      </c>
      <c r="E32" s="13">
        <v>42897.281215277777</v>
      </c>
      <c r="F32" s="13">
        <v>42897.289756944447</v>
      </c>
      <c r="G32" s="7">
        <v>1</v>
      </c>
      <c r="H32" s="21" t="s">
        <v>452</v>
      </c>
      <c r="I32" s="13">
        <v>42897.315798611111</v>
      </c>
      <c r="J32" s="7">
        <v>0</v>
      </c>
      <c r="K32" s="92" t="str">
        <f t="shared" si="0"/>
        <v>4019/4020</v>
      </c>
      <c r="L32" s="21" t="str">
        <f>VLOOKUP(A32,'Trips&amp;Operators'!$C$1:$G$99999,5,FALSE)</f>
        <v>NEWELL JAMES</v>
      </c>
      <c r="M32" s="6">
        <f t="shared" si="1"/>
        <v>2.6041666664241347E-2</v>
      </c>
      <c r="N32" s="7">
        <f t="shared" si="2"/>
        <v>37.49999999650754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-11T05:44:57-0600',mode:absolute,to:'2017-06-11T08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23.299399999999999</v>
      </c>
      <c r="Z32" s="204">
        <f t="shared" si="9"/>
        <v>1.5599999999999999E-2</v>
      </c>
      <c r="AA32" s="204">
        <f t="shared" si="10"/>
        <v>23.283799999999999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0120-11</v>
      </c>
      <c r="AE32" s="80" t="str">
        <f t="shared" si="12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32" s="77" t="str">
        <f t="shared" si="13"/>
        <v>"C:\Program Files (x86)\AstroGrep\AstroGrep.exe" /e /r /s /spath="%USERPROFILE%\AppData\Local\Temp\OnboardLogs" /stypes="app*4019*20170611*"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120-11 --locoid 4019 --swversion DE.1.0.9.0 --startMP 204:232994 --initTime 2017-06-11T06:44:57 --startdatetime 2017-06-11T06:57:15 --delay 1 --endMP 204:156 --enddatetime 2017-06-11T07:34:45 --enforcementcount 0 &gt;&gt;C:\Users\stu\Documents\GitHub\eaglep3-reporting\EC\2017-06-11-refined-times.txt</v>
      </c>
      <c r="AI32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ID","value":"120-11"},{"id":16,"name":"Locomotive ID","value":"4019"},{"id":130,"name":"Impact","value":""},{"id":150,"name":"Time of Event (Mountain Time)","value":"07:34:45"},{"id":151,"name":"Denver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4019 --day 2017-06-11</v>
      </c>
      <c r="AN32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678</v>
      </c>
      <c r="B33" s="7">
        <v>4002</v>
      </c>
      <c r="C33" s="21" t="s">
        <v>204</v>
      </c>
      <c r="D33" s="21" t="s">
        <v>396</v>
      </c>
      <c r="E33" s="13">
        <v>42897.255567129629</v>
      </c>
      <c r="F33" s="13">
        <v>42897.26059027778</v>
      </c>
      <c r="G33" s="7">
        <v>1</v>
      </c>
      <c r="H33" s="21" t="s">
        <v>615</v>
      </c>
      <c r="I33" s="13">
        <v>42897.285462962966</v>
      </c>
      <c r="J33" s="7">
        <v>0</v>
      </c>
      <c r="K33" s="92" t="str">
        <f t="shared" si="0"/>
        <v>4001/4002</v>
      </c>
      <c r="L33" s="21" t="str">
        <f>VLOOKUP(A33,'Trips&amp;Operators'!$C$1:$G$99999,5,FALSE)</f>
        <v>LALONDE GREGORY</v>
      </c>
      <c r="M33" s="6">
        <f t="shared" si="1"/>
        <v>2.4872685185982846E-2</v>
      </c>
      <c r="N33" s="7">
        <f t="shared" si="2"/>
        <v>35.816666667815298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-11T05:08:01-0600',mode:absolute,to:'2017-06-11T07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4.6199999999999998E-2</v>
      </c>
      <c r="Z33" s="204">
        <f t="shared" si="9"/>
        <v>23.334900000000001</v>
      </c>
      <c r="AA33" s="204">
        <f t="shared" si="10"/>
        <v>23.288700000000002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0121-11</v>
      </c>
      <c r="AE33" s="80" t="str">
        <f t="shared" si="12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33" s="77" t="str">
        <f t="shared" si="13"/>
        <v>"C:\Program Files (x86)\AstroGrep\AstroGrep.exe" /e /r /s /spath="%USERPROFILE%\AppData\Local\Temp\OnboardLogs" /stypes="app*4002*20170611*"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121-11 --locoid 4002 --swversion DE.1.0.9.0 --startMP 204:462 --initTime 2017-06-11T06:08:01 --startdatetime 2017-06-11T06:15:15 --delay 1 --endMP 204:233349 --enddatetime 2017-06-11T06:51:04 --enforcementcount 0 &gt;&gt;C:\Users\stu\Documents\GitHub\eaglep3-reporting\EC\2017-06-11-refined-times.txt</v>
      </c>
      <c r="AI33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{"issue":{"subject":"","project_id":79,"tracker_id":40,"status_id":1,"priority_id":2,"assigned_to_id":23,"start_date":"2017-06-11","description":"","custom_fields":[{"id":1,"name":"Subdivision","value":"EC"},{"id":4,"name":"Milepost","value":"23.3349"},{"id":17,"name":"Train ID","value":"121-11"},{"id":16,"name":"Locomotive ID","value":"4002"},{"id":130,"name":"Impact","value":""},{"id":150,"name":"Time of Event (Mountain Time)","value":"06:51:04"},{"id":151,"name":"Denver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4002 --day 2017-06-11</v>
      </c>
      <c r="AN33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684</v>
      </c>
      <c r="B34" s="7">
        <v>4001</v>
      </c>
      <c r="C34" s="21" t="s">
        <v>204</v>
      </c>
      <c r="D34" s="21" t="s">
        <v>590</v>
      </c>
      <c r="E34" s="13">
        <v>42897.28670138889</v>
      </c>
      <c r="F34" s="13">
        <v>42897.300185185188</v>
      </c>
      <c r="G34" s="7">
        <v>0</v>
      </c>
      <c r="H34" s="21" t="s">
        <v>351</v>
      </c>
      <c r="I34" s="13">
        <v>42897.325671296298</v>
      </c>
      <c r="J34" s="7">
        <v>0</v>
      </c>
      <c r="K34" s="92" t="str">
        <f t="shared" si="0"/>
        <v>4001/4002</v>
      </c>
      <c r="L34" s="21" t="str">
        <f>VLOOKUP(A34,'Trips&amp;Operators'!$C$1:$G$99999,5,FALSE)</f>
        <v>LALONDE GREGORY</v>
      </c>
      <c r="M34" s="6">
        <f t="shared" si="1"/>
        <v>2.548611110978527E-2</v>
      </c>
      <c r="N34" s="7">
        <f t="shared" si="2"/>
        <v>36.699999998090789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-11T05:52:51-0600',mode:absolute,to:'2017-06-11T08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23.3019</v>
      </c>
      <c r="Z34" s="204">
        <f t="shared" si="9"/>
        <v>1.4999999999999999E-2</v>
      </c>
      <c r="AA34" s="204">
        <f t="shared" si="10"/>
        <v>23.286899999999999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0122-11</v>
      </c>
      <c r="AE34" s="80" t="str">
        <f t="shared" si="12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34" s="77" t="str">
        <f t="shared" si="13"/>
        <v>"C:\Program Files (x86)\AstroGrep\AstroGrep.exe" /e /r /s /spath="%USERPROFILE%\AppData\Local\Temp\OnboardLogs" /stypes="app*4001*20170611*"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122-11 --locoid 4001 --swversion DE.1.0.9.0 --startMP 204:233019 --initTime 2017-06-11T06:52:51 --startdatetime 2017-06-11T07:12:16 --delay 0 --endMP 204:150 --enddatetime 2017-06-11T07:48:58 --enforcementcount 0 &gt;&gt;C:\Users\stu\Documents\GitHub\eaglep3-reporting\EC\2017-06-11-refined-times.txt</v>
      </c>
      <c r="AI34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ID","value":"122-11"},{"id":16,"name":"Locomotive ID","value":"4001"},{"id":130,"name":"Impact","value":""},{"id":150,"name":"Time of Event (Mountain Time)","value":"07:48:58"},{"id":151,"name":"Denver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4001 --day 2017-06-11</v>
      </c>
      <c r="AN34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621</v>
      </c>
      <c r="B35" s="7">
        <v>4040</v>
      </c>
      <c r="C35" s="21" t="s">
        <v>204</v>
      </c>
      <c r="D35" s="21" t="s">
        <v>840</v>
      </c>
      <c r="E35" s="13">
        <v>42897.265706018516</v>
      </c>
      <c r="F35" s="13">
        <v>42897.270995370367</v>
      </c>
      <c r="G35" s="7">
        <v>1</v>
      </c>
      <c r="H35" s="21" t="s">
        <v>841</v>
      </c>
      <c r="I35" s="13">
        <v>42897.295277777775</v>
      </c>
      <c r="J35" s="7">
        <v>0</v>
      </c>
      <c r="K35" s="92" t="str">
        <f t="shared" si="0"/>
        <v>4039/4040</v>
      </c>
      <c r="L35" s="21" t="str">
        <f>VLOOKUP(A35,'Trips&amp;Operators'!$C$1:$G$99999,5,FALSE)</f>
        <v>GEBRETEKLE DAGNEW</v>
      </c>
      <c r="M35" s="6">
        <f t="shared" si="1"/>
        <v>2.4282407408463769E-2</v>
      </c>
      <c r="N35" s="7">
        <f t="shared" si="2"/>
        <v>34.966666668187827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-11T05:22:37-0600',mode:absolute,to:'2017-06-11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4.7500000000000001E-2</v>
      </c>
      <c r="Z35" s="204">
        <f t="shared" si="9"/>
        <v>23.331600000000002</v>
      </c>
      <c r="AA35" s="204">
        <f t="shared" si="10"/>
        <v>23.284100000000002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0123-11</v>
      </c>
      <c r="AE35" s="80" t="str">
        <f t="shared" si="12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35" s="77" t="str">
        <f t="shared" si="13"/>
        <v>"C:\Program Files (x86)\AstroGrep\AstroGrep.exe" /e /r /s /spath="%USERPROFILE%\AppData\Local\Temp\OnboardLogs" /stypes="app*4040*20170611*"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123-11 --locoid 4040 --swversion DE.1.0.9.0 --startMP 204:475 --initTime 2017-06-11T06:22:37 --startdatetime 2017-06-11T06:30:14 --delay 1 --endMP 204:233316 --enddatetime 2017-06-11T07:05:12 --enforcementcount 0 &gt;&gt;C:\Users\stu\Documents\GitHub\eaglep3-reporting\EC\2017-06-11-refined-times.txt</v>
      </c>
      <c r="AI3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{"issue":{"subject":"","project_id":79,"tracker_id":40,"status_id":1,"priority_id":2,"assigned_to_id":23,"start_date":"2017-06-11","description":"","custom_fields":[{"id":1,"name":"Subdivision","value":"EC"},{"id":4,"name":"Milepost","value":"23.3316"},{"id":17,"name":"Train ID","value":"123-11"},{"id":16,"name":"Locomotive ID","value":"4040"},{"id":130,"name":"Impact","value":""},{"id":150,"name":"Time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4040 --day 2017-06-11</v>
      </c>
      <c r="AN3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687</v>
      </c>
      <c r="B36" s="7">
        <v>4039</v>
      </c>
      <c r="C36" s="21" t="s">
        <v>204</v>
      </c>
      <c r="D36" s="21" t="s">
        <v>458</v>
      </c>
      <c r="E36" s="13">
        <v>42897.296400462961</v>
      </c>
      <c r="F36" s="13">
        <v>42897.310578703706</v>
      </c>
      <c r="G36" s="7">
        <v>1</v>
      </c>
      <c r="H36" s="21" t="s">
        <v>351</v>
      </c>
      <c r="I36" s="13">
        <v>42897.336273148147</v>
      </c>
      <c r="J36" s="7">
        <v>0</v>
      </c>
      <c r="K36" s="92" t="str">
        <f t="shared" si="0"/>
        <v>4039/4040</v>
      </c>
      <c r="L36" s="21" t="str">
        <f>VLOOKUP(A36,'Trips&amp;Operators'!$C$1:$G$99999,5,FALSE)</f>
        <v>GEBRETEKLE DAGNEW</v>
      </c>
      <c r="M36" s="6">
        <f t="shared" si="1"/>
        <v>2.569444444088731E-2</v>
      </c>
      <c r="N36" s="7">
        <f t="shared" si="2"/>
        <v>36.999999994877726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-11T06:06:49-0600',mode:absolute,to:'2017-06-11T09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23.2988</v>
      </c>
      <c r="Z36" s="204">
        <f t="shared" si="9"/>
        <v>1.4999999999999999E-2</v>
      </c>
      <c r="AA36" s="204">
        <f t="shared" si="10"/>
        <v>23.283799999999999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0124-11</v>
      </c>
      <c r="AE36" s="80" t="str">
        <f t="shared" si="12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36" s="77" t="str">
        <f t="shared" si="13"/>
        <v>"C:\Program Files (x86)\AstroGrep\AstroGrep.exe" /e /r /s /spath="%USERPROFILE%\AppData\Local\Temp\OnboardLogs" /stypes="app*4039*20170611*"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124-11 --locoid 4039 --swversion DE.1.0.9.0 --startMP 204:232988 --initTime 2017-06-11T07:06:49 --startdatetime 2017-06-11T07:27:14 --delay 1 --endMP 204:150 --enddatetime 2017-06-11T08:04:14 --enforcementcount 0 &gt;&gt;C:\Users\stu\Documents\GitHub\eaglep3-reporting\EC\2017-06-11-refined-times.txt</v>
      </c>
      <c r="AI3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ID","value":"124-11"},{"id":16,"name":"Locomotive ID","value":"4039"},{"id":130,"name":"Impact","value":""},{"id":150,"name":"Time of Event (Mountain Time)","value":"08:04:14"},{"id":151,"name":"Denver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4039 --day 2017-06-11</v>
      </c>
      <c r="AN3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681</v>
      </c>
      <c r="B37" s="7">
        <v>4042</v>
      </c>
      <c r="C37" s="21" t="s">
        <v>204</v>
      </c>
      <c r="D37" s="21" t="s">
        <v>467</v>
      </c>
      <c r="E37" s="13">
        <v>42897.276770833334</v>
      </c>
      <c r="F37" s="13">
        <v>42897.281493055554</v>
      </c>
      <c r="G37" s="7">
        <v>1</v>
      </c>
      <c r="H37" s="21" t="s">
        <v>838</v>
      </c>
      <c r="I37" s="13">
        <v>42897.306435185186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MAELZER KURT</v>
      </c>
      <c r="M37" s="6">
        <f t="shared" si="1"/>
        <v>2.4942129632108845E-2</v>
      </c>
      <c r="N37" s="7">
        <f t="shared" si="2"/>
        <v>35.916666670236737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-11T05:38:33-0600',mode:absolute,to:'2017-06-11T08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4.3700000000000003E-2</v>
      </c>
      <c r="Z37" s="204">
        <f t="shared" si="9"/>
        <v>23.331199999999999</v>
      </c>
      <c r="AA37" s="204">
        <f t="shared" si="10"/>
        <v>23.287499999999998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0125-11</v>
      </c>
      <c r="AE37" s="80" t="str">
        <f t="shared" si="12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37" s="77" t="str">
        <f t="shared" si="13"/>
        <v>"C:\Program Files (x86)\AstroGrep\AstroGrep.exe" /e /r /s /spath="%USERPROFILE%\AppData\Local\Temp\OnboardLogs" /stypes="app*4042*20170611*"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125-11 --locoid 4042 --swversion DE.1.0.9.0 --startMP 204:437 --initTime 2017-06-11T06:38:33 --startdatetime 2017-06-11T06:45:21 --delay 1 --endMP 204:233312 --enddatetime 2017-06-11T07:21:16 --enforcementcount 0 &gt;&gt;C:\Users\stu\Documents\GitHub\eaglep3-reporting\EC\2017-06-11-refined-times.txt</v>
      </c>
      <c r="AI3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{"issue":{"subject":"","project_id":79,"tracker_id":40,"status_id":1,"priority_id":2,"assigned_to_id":23,"start_date":"2017-06-11","description":"","custom_fields":[{"id":1,"name":"Subdivision","value":"EC"},{"id":4,"name":"Milepost","value":"23.3312"},{"id":17,"name":"Train ID","value":"125-11"},{"id":16,"name":"Locomotive ID","value":"4042"},{"id":130,"name":"Impact","value":""},{"id":150,"name":"Time of Event (Mountain Time)","value":"07:21:16"},{"id":151,"name":"Denver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2017-06-11</v>
      </c>
      <c r="AN3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690</v>
      </c>
      <c r="B38" s="7">
        <v>4041</v>
      </c>
      <c r="C38" s="21" t="s">
        <v>204</v>
      </c>
      <c r="D38" s="21" t="s">
        <v>593</v>
      </c>
      <c r="E38" s="13">
        <v>42897.313067129631</v>
      </c>
      <c r="F38" s="13">
        <v>42897.321076388886</v>
      </c>
      <c r="G38" s="7">
        <v>1</v>
      </c>
      <c r="H38" s="21" t="s">
        <v>363</v>
      </c>
      <c r="I38" s="13">
        <v>42897.347326388888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MAELZER KURT</v>
      </c>
      <c r="M38" s="6">
        <f t="shared" si="1"/>
        <v>2.6250000002619345E-2</v>
      </c>
      <c r="N38" s="7">
        <f t="shared" si="2"/>
        <v>37.800000003771856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-11T06:30:49-0600',mode:absolute,to:'2017-06-11T09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23.301500000000001</v>
      </c>
      <c r="Z38" s="204">
        <f t="shared" si="9"/>
        <v>1.47E-2</v>
      </c>
      <c r="AA38" s="204">
        <f t="shared" si="10"/>
        <v>23.286799999999999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0126-11</v>
      </c>
      <c r="AE38" s="80" t="str">
        <f t="shared" si="12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38" s="77" t="str">
        <f t="shared" si="13"/>
        <v>"C:\Program Files (x86)\AstroGrep\AstroGrep.exe" /e /r /s /spath="%USERPROFILE%\AppData\Local\Temp\OnboardLogs" /stypes="app*4041*20170611*"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126-11 --locoid 4041 --swversion DE.1.0.9.0 --startMP 204:233015 --initTime 2017-06-11T07:30:49 --startdatetime 2017-06-11T07:42:21 --delay 1 --endMP 204:147 --enddatetime 2017-06-11T08:20:09 --enforcementcount 0 &gt;&gt;C:\Users\stu\Documents\GitHub\eaglep3-reporting\EC\2017-06-11-refined-times.txt</v>
      </c>
      <c r="AI38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ID","value":"126-11"},{"id":16,"name":"Locomotive ID","value":"4041"},{"id":130,"name":"Impact","value":""},{"id":150,"name":"Time of Event (Mountain Time)","value":"08:20:09"},{"id":151,"name":"Denver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2017-06-11</v>
      </c>
      <c r="AN38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685</v>
      </c>
      <c r="B39" s="7">
        <v>4050</v>
      </c>
      <c r="C39" s="21" t="s">
        <v>204</v>
      </c>
      <c r="D39" s="21" t="s">
        <v>358</v>
      </c>
      <c r="E39" s="13">
        <v>42897.286712962959</v>
      </c>
      <c r="F39" s="13">
        <v>42897.29184027778</v>
      </c>
      <c r="G39" s="7">
        <v>1</v>
      </c>
      <c r="H39" s="21" t="s">
        <v>483</v>
      </c>
      <c r="I39" s="13">
        <v>42897.316828703704</v>
      </c>
      <c r="J39" s="7">
        <v>0</v>
      </c>
      <c r="K39" s="92" t="str">
        <f t="shared" si="0"/>
        <v>4049/4050</v>
      </c>
      <c r="L39" s="21" t="str">
        <f>VLOOKUP(A39,'Trips&amp;Operators'!$C$1:$G$99999,5,FALSE)</f>
        <v>GUZMAN DANNY</v>
      </c>
      <c r="M39" s="6">
        <f t="shared" si="1"/>
        <v>2.4988425924675539E-2</v>
      </c>
      <c r="N39" s="7">
        <f t="shared" si="2"/>
        <v>35.983333331532776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-11T05:52:52-0600',mode:absolute,to:'2017-06-11T08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4.53E-2</v>
      </c>
      <c r="Z39" s="204">
        <f t="shared" si="9"/>
        <v>23.330300000000001</v>
      </c>
      <c r="AA39" s="204">
        <f t="shared" si="10"/>
        <v>23.285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0127-11</v>
      </c>
      <c r="AE39" s="80" t="str">
        <f t="shared" si="12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39" s="77" t="str">
        <f t="shared" si="13"/>
        <v>"C:\Program Files (x86)\AstroGrep\AstroGrep.exe" /e /r /s /spath="%USERPROFILE%\AppData\Local\Temp\OnboardLogs" /stypes="app*4050*20170611*"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127-11 --locoid 4050 --swversion DE.1.0.9.0 --startMP 204:453 --initTime 2017-06-11T06:52:52 --startdatetime 2017-06-11T07:00:15 --delay 1 --endMP 204:233303 --enddatetime 2017-06-11T07:36:14 --enforcementcount 0 &gt;&gt;C:\Users\stu\Documents\GitHub\eaglep3-reporting\EC\2017-06-11-refined-times.txt</v>
      </c>
      <c r="AI39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{"issue":{"subject":"","project_id":79,"tracker_id":40,"status_id":1,"priority_id":2,"assigned_to_id":23,"start_date":"2017-06-11","description":"","custom_fields":[{"id":1,"name":"Subdivision","value":"EC"},{"id":4,"name":"Milepost","value":"23.3303"},{"id":17,"name":"Train ID","value":"127-11"},{"id":16,"name":"Locomotive ID","value":"4050"},{"id":130,"name":"Impact","value":""},{"id":150,"name":"Time of Event (Mountain Time)","value":"07:36:14"},{"id":151,"name":"Denver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4050 --day 2017-06-11</v>
      </c>
      <c r="AN39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692</v>
      </c>
      <c r="B40" s="7">
        <v>4049</v>
      </c>
      <c r="C40" s="21" t="s">
        <v>204</v>
      </c>
      <c r="D40" s="21" t="s">
        <v>500</v>
      </c>
      <c r="E40" s="13">
        <v>42897.318958333337</v>
      </c>
      <c r="F40" s="13">
        <v>42897.331412037034</v>
      </c>
      <c r="G40" s="7">
        <v>1</v>
      </c>
      <c r="H40" s="21" t="s">
        <v>351</v>
      </c>
      <c r="I40" s="13">
        <v>42897.358206018522</v>
      </c>
      <c r="J40" s="7">
        <v>0</v>
      </c>
      <c r="K40" s="92" t="str">
        <f t="shared" si="0"/>
        <v>4049/4050</v>
      </c>
      <c r="L40" s="21" t="str">
        <f>VLOOKUP(A40,'Trips&amp;Operators'!$C$1:$G$99999,5,FALSE)</f>
        <v>GUZMAN DANNY</v>
      </c>
      <c r="M40" s="6">
        <f t="shared" si="1"/>
        <v>2.6793981487571727E-2</v>
      </c>
      <c r="N40" s="7">
        <f t="shared" si="2"/>
        <v>38.583333342103288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-11T06:39:18-0600',mode:absolute,to:'2017-06-11T09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23.299399999999999</v>
      </c>
      <c r="Z40" s="204">
        <f t="shared" si="9"/>
        <v>1.4999999999999999E-2</v>
      </c>
      <c r="AA40" s="204">
        <f t="shared" si="10"/>
        <v>23.284399999999998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0128-11</v>
      </c>
      <c r="AE40" s="80" t="str">
        <f t="shared" si="12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40" s="77" t="str">
        <f t="shared" si="13"/>
        <v>"C:\Program Files (x86)\AstroGrep\AstroGrep.exe" /e /r /s /spath="%USERPROFILE%\AppData\Local\Temp\OnboardLogs" /stypes="app*4049*20170611*"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128-11 --locoid 4049 --swversion DE.1.0.9.0 --startMP 204:232994 --initTime 2017-06-11T07:39:18 --startdatetime 2017-06-11T07:57:14 --delay 1 --endMP 204:150 --enddatetime 2017-06-11T08:35:49 --enforcementcount 0 &gt;&gt;C:\Users\stu\Documents\GitHub\eaglep3-reporting\EC\2017-06-11-refined-times.txt</v>
      </c>
      <c r="AI40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ID","value":"128-11"},{"id":16,"name":"Locomotive ID","value":"4049"},{"id":130,"name":"Impact","value":""},{"id":150,"name":"Time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4049 --day 2017-06-11</v>
      </c>
      <c r="AN40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688</v>
      </c>
      <c r="B41" s="7">
        <v>4054</v>
      </c>
      <c r="C41" s="21" t="s">
        <v>204</v>
      </c>
      <c r="D41" s="21" t="s">
        <v>367</v>
      </c>
      <c r="E41" s="13">
        <v>42897.297962962963</v>
      </c>
      <c r="F41" s="13">
        <v>42897.302314814813</v>
      </c>
      <c r="G41" s="7">
        <v>1</v>
      </c>
      <c r="H41" s="21" t="s">
        <v>842</v>
      </c>
      <c r="I41" s="13">
        <v>42897.327962962961</v>
      </c>
      <c r="J41" s="7">
        <v>0</v>
      </c>
      <c r="K41" s="92" t="str">
        <f t="shared" si="0"/>
        <v>4053/4054</v>
      </c>
      <c r="L41" s="21" t="str">
        <f>VLOOKUP(A41,'Trips&amp;Operators'!$C$1:$G$99999,5,FALSE)</f>
        <v>WILLIAMS DONTE</v>
      </c>
      <c r="M41" s="6">
        <f t="shared" si="1"/>
        <v>2.5648148148320615E-2</v>
      </c>
      <c r="N41" s="7">
        <f t="shared" si="2"/>
        <v>36.933333333581686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-11T06:09:04-0600',mode:absolute,to:'2017-06-11T08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4.5499999999999999E-2</v>
      </c>
      <c r="Z41" s="204">
        <f t="shared" si="9"/>
        <v>23.333400000000001</v>
      </c>
      <c r="AA41" s="204">
        <f t="shared" si="10"/>
        <v>23.2879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0129-11</v>
      </c>
      <c r="AE41" s="80" t="str">
        <f t="shared" si="12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41" s="77" t="str">
        <f t="shared" si="13"/>
        <v>"C:\Program Files (x86)\AstroGrep\AstroGrep.exe" /e /r /s /spath="%USERPROFILE%\AppData\Local\Temp\OnboardLogs" /stypes="app*4054*20170611*"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129-11 --locoid 4054 --swversion DE.1.0.9.0 --startMP 204:455 --initTime 2017-06-11T07:09:04 --startdatetime 2017-06-11T07:15:20 --delay 1 --endMP 204:233334 --enddatetime 2017-06-11T07:52:16 --enforcementcount 0 &gt;&gt;C:\Users\stu\Documents\GitHub\eaglep3-reporting\EC\2017-06-11-refined-times.txt</v>
      </c>
      <c r="AI41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{"issue":{"subject":"","project_id":79,"tracker_id":40,"status_id":1,"priority_id":2,"assigned_to_id":23,"start_date":"2017-06-11","description":"","custom_fields":[{"id":1,"name":"Subdivision","value":"EC"},{"id":4,"name":"Milepost","value":"23.3334"},{"id":17,"name":"Train ID","value":"129-11"},{"id":16,"name":"Locomotive ID","value":"4054"},{"id":130,"name":"Impact","value":""},{"id":150,"name":"Time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4054 --day 2017-06-11</v>
      </c>
      <c r="AN41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695</v>
      </c>
      <c r="B42" s="7">
        <v>4053</v>
      </c>
      <c r="C42" s="21" t="s">
        <v>204</v>
      </c>
      <c r="D42" s="21" t="s">
        <v>524</v>
      </c>
      <c r="E42" s="13">
        <v>42897.330347222225</v>
      </c>
      <c r="F42" s="13">
        <v>42897.341886574075</v>
      </c>
      <c r="G42" s="7">
        <v>1</v>
      </c>
      <c r="H42" s="21" t="s">
        <v>352</v>
      </c>
      <c r="I42" s="13">
        <v>42897.370520833334</v>
      </c>
      <c r="J42" s="7">
        <v>0</v>
      </c>
      <c r="K42" s="92" t="str">
        <f t="shared" si="0"/>
        <v>4053/4054</v>
      </c>
      <c r="L42" s="21" t="str">
        <f>VLOOKUP(A42,'Trips&amp;Operators'!$C$1:$G$99999,5,FALSE)</f>
        <v>WILLIAMS DONTE</v>
      </c>
      <c r="M42" s="6">
        <f t="shared" si="1"/>
        <v>2.8634259258979E-2</v>
      </c>
      <c r="N42" s="7">
        <f t="shared" si="2"/>
        <v>41.23333333292976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-11T06:55:42-0600',mode:absolute,to:'2017-06-11T09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23.2987</v>
      </c>
      <c r="Z42" s="204">
        <f t="shared" si="9"/>
        <v>1.49E-2</v>
      </c>
      <c r="AA42" s="204">
        <f t="shared" si="10"/>
        <v>23.283799999999999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0130-11</v>
      </c>
      <c r="AE42" s="80" t="str">
        <f t="shared" si="12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42" s="77" t="str">
        <f t="shared" si="13"/>
        <v>"C:\Program Files (x86)\AstroGrep\AstroGrep.exe" /e /r /s /spath="%USERPROFILE%\AppData\Local\Temp\OnboardLogs" /stypes="app*4053*20170611*"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130-11 --locoid 4053 --swversion DE.1.0.9.0 --startMP 204:232987 --initTime 2017-06-11T07:55:42 --startdatetime 2017-06-11T08:12:19 --delay 1 --endMP 204:149 --enddatetime 2017-06-11T08:53:33 --enforcementcount 0 &gt;&gt;C:\Users\stu\Documents\GitHub\eaglep3-reporting\EC\2017-06-11-refined-times.txt</v>
      </c>
      <c r="AI42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{"issue":{"subject":"","project_id":79,"tracker_id":40,"status_id":1,"priority_id":2,"assigned_to_id":23,"start_date":"2017-06-11","description":"","custom_fields":[{"id":1,"name":"Subdivision","value":"EC"},{"id":4,"name":"Milepost","value":"0.0149"},{"id":17,"name":"Train ID","value":"130-11"},{"id":16,"name":"Locomotive ID","value":"4053"},{"id":130,"name":"Impact","value":""},{"id":150,"name":"Time of Event (Mountain Time)","value":"08:53:33"},{"id":151,"name":"Denver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4053 --day 2017-06-11</v>
      </c>
      <c r="AN42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689</v>
      </c>
      <c r="B43" s="7">
        <v>4010</v>
      </c>
      <c r="C43" s="21" t="s">
        <v>204</v>
      </c>
      <c r="D43" s="21" t="s">
        <v>367</v>
      </c>
      <c r="E43" s="13">
        <v>42897.306435185186</v>
      </c>
      <c r="F43" s="13">
        <v>42897.313009259262</v>
      </c>
      <c r="G43" s="7">
        <v>1</v>
      </c>
      <c r="H43" s="21" t="s">
        <v>843</v>
      </c>
      <c r="I43" s="13">
        <v>42897.338020833333</v>
      </c>
      <c r="J43" s="7">
        <v>0</v>
      </c>
      <c r="K43" s="92" t="str">
        <f t="shared" si="0"/>
        <v>4009/4010</v>
      </c>
      <c r="L43" s="21" t="str">
        <f>VLOOKUP(A43,'Trips&amp;Operators'!$C$1:$G$99999,5,FALSE)</f>
        <v>MACDONALD THOMAS</v>
      </c>
      <c r="M43" s="6">
        <f t="shared" si="1"/>
        <v>2.5011574070958886E-2</v>
      </c>
      <c r="N43" s="7">
        <f t="shared" si="2"/>
        <v>36.016666662180796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-11T06:21:16-0600',mode:absolute,to:'2017-06-11T09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4.5499999999999999E-2</v>
      </c>
      <c r="Z43" s="204">
        <f t="shared" si="9"/>
        <v>23.3264</v>
      </c>
      <c r="AA43" s="204">
        <f t="shared" si="10"/>
        <v>23.280899999999999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0131-11</v>
      </c>
      <c r="AE43" s="80" t="str">
        <f t="shared" si="12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43" s="77" t="str">
        <f t="shared" si="13"/>
        <v>"C:\Program Files (x86)\AstroGrep\AstroGrep.exe" /e /r /s /spath="%USERPROFILE%\AppData\Local\Temp\OnboardLogs" /stypes="app*4010*20170611*"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131-11 --locoid 4010 --swversion DE.1.0.9.0 --startMP 204:455 --initTime 2017-06-11T07:21:16 --startdatetime 2017-06-11T07:30:44 --delay 1 --endMP 204:233264 --enddatetime 2017-06-11T08:06:45 --enforcementcount 0 &gt;&gt;C:\Users\stu\Documents\GitHub\eaglep3-reporting\EC\2017-06-11-refined-times.txt</v>
      </c>
      <c r="AI43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{"issue":{"subject":"","project_id":79,"tracker_id":40,"status_id":1,"priority_id":2,"assigned_to_id":23,"start_date":"2017-06-11","description":"","custom_fields":[{"id":1,"name":"Subdivision","value":"EC"},{"id":4,"name":"Milepost","value":"23.3264"},{"id":17,"name":"Train ID","value":"131-11"},{"id":16,"name":"Locomotive ID","value":"4010"},{"id":130,"name":"Impact","value":""},{"id":150,"name":"Time of Event (Mountain Time)","value":"08:06:45"},{"id":151,"name":"Denver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4010 --day 2017-06-11</v>
      </c>
      <c r="AN43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699</v>
      </c>
      <c r="B44" s="7">
        <v>4009</v>
      </c>
      <c r="C44" s="21" t="s">
        <v>204</v>
      </c>
      <c r="D44" s="21" t="s">
        <v>844</v>
      </c>
      <c r="E44" s="13">
        <v>42897.350763888891</v>
      </c>
      <c r="F44" s="13">
        <v>42897.352349537039</v>
      </c>
      <c r="G44" s="7">
        <v>1</v>
      </c>
      <c r="H44" s="21" t="s">
        <v>363</v>
      </c>
      <c r="I44" s="13">
        <v>42897.378321759257</v>
      </c>
      <c r="J44" s="7">
        <v>0</v>
      </c>
      <c r="K44" s="92" t="str">
        <f t="shared" si="0"/>
        <v>4009/4010</v>
      </c>
      <c r="L44" s="21" t="str">
        <f>VLOOKUP(A44,'Trips&amp;Operators'!$C$1:$G$99999,5,FALSE)</f>
        <v>MACDONALD THOMAS</v>
      </c>
      <c r="M44" s="6">
        <f t="shared" si="1"/>
        <v>2.5972222218115348E-2</v>
      </c>
      <c r="N44" s="7">
        <f t="shared" si="2"/>
        <v>37.399999994086102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-11T07:25:06-0600',mode:absolute,to:'2017-06-11T10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23.295200000000001</v>
      </c>
      <c r="Z44" s="204">
        <f t="shared" si="9"/>
        <v>1.47E-2</v>
      </c>
      <c r="AA44" s="204">
        <f t="shared" si="10"/>
        <v>23.2805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0132-11</v>
      </c>
      <c r="AE44" s="80" t="str">
        <f t="shared" si="12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44" s="77" t="str">
        <f t="shared" si="13"/>
        <v>"C:\Program Files (x86)\AstroGrep\AstroGrep.exe" /e /r /s /spath="%USERPROFILE%\AppData\Local\Temp\OnboardLogs" /stypes="app*4009*20170611*"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132-11 --locoid 4009 --swversion DE.1.0.9.0 --startMP 204:232952 --initTime 2017-06-11T08:25:06 --startdatetime 2017-06-11T08:27:23 --delay 1 --endMP 204:147 --enddatetime 2017-06-11T09:04:47 --enforcementcount 0 &gt;&gt;C:\Users\stu\Documents\GitHub\eaglep3-reporting\EC\2017-06-11-refined-times.txt</v>
      </c>
      <c r="AI44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ID","value":"132-11"},{"id":16,"name":"Locomotive ID","value":"4009"},{"id":130,"name":"Impact","value":""},{"id":150,"name":"Time of Event (Mountain Time)","value":"09:04:47"},{"id":151,"name":"Denver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4009 --day 2017-06-11</v>
      </c>
      <c r="AN44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693</v>
      </c>
      <c r="B45" s="7">
        <v>4020</v>
      </c>
      <c r="C45" s="21" t="s">
        <v>204</v>
      </c>
      <c r="D45" s="21" t="s">
        <v>613</v>
      </c>
      <c r="E45" s="13">
        <v>42897.319826388892</v>
      </c>
      <c r="F45" s="13">
        <v>42897.32309027778</v>
      </c>
      <c r="G45" s="7">
        <v>1</v>
      </c>
      <c r="H45" s="21" t="s">
        <v>510</v>
      </c>
      <c r="I45" s="13">
        <v>42897.347858796296</v>
      </c>
      <c r="J45" s="7">
        <v>0</v>
      </c>
      <c r="K45" s="92" t="str">
        <f t="shared" si="0"/>
        <v>4019/4020</v>
      </c>
      <c r="L45" s="21" t="str">
        <f>VLOOKUP(A45,'Trips&amp;Operators'!$C$1:$G$99999,5,FALSE)</f>
        <v>NEWELL JAMES</v>
      </c>
      <c r="M45" s="6">
        <f t="shared" si="1"/>
        <v>2.4768518516793847E-2</v>
      </c>
      <c r="N45" s="7">
        <f t="shared" si="2"/>
        <v>35.66666666418314</v>
      </c>
      <c r="O45" s="7"/>
      <c r="P45" s="7"/>
      <c r="Q45" s="22"/>
      <c r="R45" s="173"/>
      <c r="S45" s="176">
        <f t="shared" si="3"/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-11T06:40:33-0600',mode:absolute,to:'2017-06-11T09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04" t="str">
        <f t="shared" si="6"/>
        <v>N</v>
      </c>
      <c r="X45" s="204">
        <f t="shared" ref="X45:X80" si="23">VALUE(LEFT(AD45,4))-VALUE(LEFT(AD44,4))</f>
        <v>1</v>
      </c>
      <c r="Y45" s="204">
        <f t="shared" ref="Y45:Y81" si="24">RIGHT(D45,LEN(D45)-4)/10000</f>
        <v>4.6899999999999997E-2</v>
      </c>
      <c r="Z45" s="204">
        <f t="shared" ref="Z45:Z81" si="25">RIGHT(H45,LEN(H45)-4)/10000</f>
        <v>23.331499999999998</v>
      </c>
      <c r="AA45" s="204">
        <f t="shared" si="10"/>
        <v>23.284599999999998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0133-11</v>
      </c>
      <c r="AE45" s="80" t="str">
        <f t="shared" si="12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45" s="77" t="str">
        <f t="shared" si="13"/>
        <v>"C:\Program Files (x86)\AstroGrep\AstroGrep.exe" /e /r /s /spath="%USERPROFILE%\AppData\Local\Temp\OnboardLogs" /stypes="app*4020*20170611*"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133-11 --locoid 4020 --swversion DE.1.0.9.0 --startMP 204:469 --initTime 2017-06-11T07:40:33 --startdatetime 2017-06-11T07:45:15 --delay 1 --endMP 204:233315 --enddatetime 2017-06-11T08:20:55 --enforcementcount 0 &gt;&gt;C:\Users\stu\Documents\GitHub\eaglep3-reporting\EC\2017-06-11-refined-times.txt</v>
      </c>
      <c r="AI4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{"issue":{"subject":"","project_id":79,"tracker_id":40,"status_id":1,"priority_id":2,"assigned_to_id":23,"start_date":"2017-06-11","description":"","custom_fields":[{"id":1,"name":"Subdivision","value":"EC"},{"id":4,"name":"Milepost","value":"23.3315"},{"id":17,"name":"Train ID","value":"133-11"},{"id":16,"name":"Locomotive ID","value":"4020"},{"id":130,"name":"Impact","value":""},{"id":150,"name":"Time of Event (Mountain Time)","value":"08:20:55"},{"id":151,"name":"Denver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4020 --day 2017-06-11</v>
      </c>
      <c r="AN4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700</v>
      </c>
      <c r="B46" s="7">
        <v>4019</v>
      </c>
      <c r="C46" s="21" t="s">
        <v>204</v>
      </c>
      <c r="D46" s="21" t="s">
        <v>489</v>
      </c>
      <c r="E46" s="13">
        <v>42897.352129629631</v>
      </c>
      <c r="F46" s="13">
        <v>42897.362662037034</v>
      </c>
      <c r="G46" s="7">
        <v>1</v>
      </c>
      <c r="H46" s="21" t="s">
        <v>352</v>
      </c>
      <c r="I46" s="13">
        <v>42897.388425925928</v>
      </c>
      <c r="J46" s="7">
        <v>0</v>
      </c>
      <c r="K46" s="92" t="str">
        <f t="shared" si="0"/>
        <v>4019/4020</v>
      </c>
      <c r="L46" s="21" t="str">
        <f>VLOOKUP(A46,'Trips&amp;Operators'!$C$1:$G$99999,5,FALSE)</f>
        <v>NEWELL JAMES</v>
      </c>
      <c r="M46" s="6">
        <f t="shared" si="1"/>
        <v>2.5763888894289266E-2</v>
      </c>
      <c r="N46" s="7">
        <f t="shared" si="2"/>
        <v>37.100000007776543</v>
      </c>
      <c r="O46" s="7"/>
      <c r="P46" s="7"/>
      <c r="Q46" s="22"/>
      <c r="R46" s="173"/>
      <c r="S46" s="176">
        <f t="shared" si="3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-11T07:27:04-0600',mode:absolute,to:'2017-06-11T10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04" t="str">
        <f t="shared" si="6"/>
        <v>N</v>
      </c>
      <c r="X46" s="204">
        <f t="shared" si="23"/>
        <v>1</v>
      </c>
      <c r="Y46" s="204">
        <f t="shared" si="24"/>
        <v>23.3</v>
      </c>
      <c r="Z46" s="204">
        <f t="shared" si="25"/>
        <v>1.49E-2</v>
      </c>
      <c r="AA46" s="204">
        <f t="shared" si="10"/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0134-11</v>
      </c>
      <c r="AE46" s="80" t="str">
        <f t="shared" si="12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46" s="77" t="str">
        <f t="shared" si="13"/>
        <v>"C:\Program Files (x86)\AstroGrep\AstroGrep.exe" /e /r /s /spath="%USERPROFILE%\AppData\Local\Temp\OnboardLogs" /stypes="app*4019*20170611*"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134-11 --locoid 4019 --swversion DE.1.0.9.0 --startMP 204:233000 --initTime 2017-06-11T08:27:04 --startdatetime 2017-06-11T08:42:14 --delay 1 --endMP 204:149 --enddatetime 2017-06-11T09:19:20 --enforcementcount 0 &gt;&gt;C:\Users\stu\Documents\GitHub\eaglep3-reporting\EC\2017-06-11-refined-times.txt</v>
      </c>
      <c r="AI4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{"issue":{"subject":"","project_id":79,"tracker_id":40,"status_id":1,"priority_id":2,"assigned_to_id":23,"start_date":"2017-06-11","description":"","custom_fields":[{"id":1,"name":"Subdivision","value":"EC"},{"id":4,"name":"Milepost","value":"0.0149"},{"id":17,"name":"Train ID","value":"134-11"},{"id":16,"name":"Locomotive ID","value":"4019"},{"id":130,"name":"Impact","value":""},{"id":150,"name":"Time of Event (Mountain Time)","value":"09:19:20"},{"id":151,"name":"Denver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4019 --day 2017-06-11</v>
      </c>
      <c r="AN4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694</v>
      </c>
      <c r="B47" s="7">
        <v>4002</v>
      </c>
      <c r="C47" s="21" t="s">
        <v>204</v>
      </c>
      <c r="D47" s="21" t="s">
        <v>845</v>
      </c>
      <c r="E47" s="13">
        <v>42897.328217592592</v>
      </c>
      <c r="F47" s="13">
        <v>42897.333553240744</v>
      </c>
      <c r="G47" s="7">
        <v>1</v>
      </c>
      <c r="H47" s="21" t="s">
        <v>841</v>
      </c>
      <c r="I47" s="13">
        <v>42897.357743055552</v>
      </c>
      <c r="J47" s="7">
        <v>0</v>
      </c>
      <c r="K47" s="92" t="str">
        <f t="shared" si="0"/>
        <v>4001/4002</v>
      </c>
      <c r="L47" s="21" t="str">
        <f>VLOOKUP(A47,'Trips&amp;Operators'!$C$1:$G$99999,5,FALSE)</f>
        <v>LALONDE GREGORY</v>
      </c>
      <c r="M47" s="6">
        <f t="shared" si="1"/>
        <v>2.4189814808778465E-2</v>
      </c>
      <c r="N47" s="7">
        <f t="shared" si="2"/>
        <v>34.833333324640989</v>
      </c>
      <c r="O47" s="7"/>
      <c r="P47" s="7"/>
      <c r="Q47" s="22"/>
      <c r="R47" s="173"/>
      <c r="S47" s="176">
        <f t="shared" si="3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-11T06:52:38-0600',mode:absolute,to:'2017-06-11T09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204" t="str">
        <f t="shared" si="6"/>
        <v>N</v>
      </c>
      <c r="X47" s="204">
        <f t="shared" si="23"/>
        <v>1</v>
      </c>
      <c r="Y47" s="204">
        <f t="shared" si="24"/>
        <v>4.82E-2</v>
      </c>
      <c r="Z47" s="204">
        <f t="shared" si="25"/>
        <v>23.331600000000002</v>
      </c>
      <c r="AA47" s="204">
        <f t="shared" si="10"/>
        <v>23.2834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0135-11</v>
      </c>
      <c r="AE47" s="80" t="str">
        <f t="shared" si="12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47" s="77" t="str">
        <f t="shared" si="13"/>
        <v>"C:\Program Files (x86)\AstroGrep\AstroGrep.exe" /e /r /s /spath="%USERPROFILE%\AppData\Local\Temp\OnboardLogs" /stypes="app*4002*20170611*"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135-11 --locoid 4002 --swversion DE.1.0.9.0 --startMP 204:482 --initTime 2017-06-11T07:52:38 --startdatetime 2017-06-11T08:00:19 --delay 1 --endMP 204:233316 --enddatetime 2017-06-11T08:35:09 --enforcementcount 0 &gt;&gt;C:\Users\stu\Documents\GitHub\eaglep3-reporting\EC\2017-06-11-refined-times.txt</v>
      </c>
      <c r="AI4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{"issue":{"subject":"","project_id":79,"tracker_id":40,"status_id":1,"priority_id":2,"assigned_to_id":23,"start_date":"2017-06-11","description":"","custom_fields":[{"id":1,"name":"Subdivision","value":"EC"},{"id":4,"name":"Milepost","value":"23.3316"},{"id":17,"name":"Train ID","value":"135-11"},{"id":16,"name":"Locomotive ID","value":"4002"},{"id":130,"name":"Impact","value":""},{"id":150,"name":"Time of Event (Mountain Time)","value":"08:35:09"},{"id":151,"name":"Denver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4002 --day 2017-06-11</v>
      </c>
      <c r="AN4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702</v>
      </c>
      <c r="B48" s="7">
        <v>4001</v>
      </c>
      <c r="C48" s="21" t="s">
        <v>204</v>
      </c>
      <c r="D48" s="21" t="s">
        <v>846</v>
      </c>
      <c r="E48" s="13">
        <v>42897.3594212963</v>
      </c>
      <c r="F48" s="13">
        <v>42897.373067129629</v>
      </c>
      <c r="G48" s="7">
        <v>1</v>
      </c>
      <c r="H48" s="21" t="s">
        <v>505</v>
      </c>
      <c r="I48" s="13">
        <v>42897.398530092592</v>
      </c>
      <c r="J48" s="7">
        <v>0</v>
      </c>
      <c r="K48" s="92" t="str">
        <f t="shared" si="0"/>
        <v>4001/4002</v>
      </c>
      <c r="L48" s="21" t="str">
        <f>VLOOKUP(A48,'Trips&amp;Operators'!$C$1:$G$99999,5,FALSE)</f>
        <v>LALONDE GREGORY</v>
      </c>
      <c r="M48" s="6">
        <f t="shared" si="1"/>
        <v>2.5462962963501923E-2</v>
      </c>
      <c r="N48" s="7">
        <f t="shared" si="2"/>
        <v>36.666666667442769</v>
      </c>
      <c r="O48" s="7"/>
      <c r="P48" s="7"/>
      <c r="Q48" s="22"/>
      <c r="R48" s="173"/>
      <c r="S48" s="176">
        <f t="shared" si="3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-11T07:37:34-0600',mode:absolute,to:'2017-06-11T10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204" t="str">
        <f t="shared" si="6"/>
        <v>N</v>
      </c>
      <c r="X48" s="204">
        <f t="shared" si="23"/>
        <v>1</v>
      </c>
      <c r="Y48" s="204">
        <f t="shared" si="24"/>
        <v>23.3005</v>
      </c>
      <c r="Z48" s="204">
        <f t="shared" si="25"/>
        <v>1.61E-2</v>
      </c>
      <c r="AA48" s="204">
        <f t="shared" si="10"/>
        <v>23.284399999999998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0136-11</v>
      </c>
      <c r="AE48" s="80" t="str">
        <f t="shared" si="12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48" s="77" t="str">
        <f t="shared" si="13"/>
        <v>"C:\Program Files (x86)\AstroGrep\AstroGrep.exe" /e /r /s /spath="%USERPROFILE%\AppData\Local\Temp\OnboardLogs" /stypes="app*4001*20170611*"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136-11 --locoid 4001 --swversion DE.1.0.9.0 --startMP 204:233005 --initTime 2017-06-11T08:37:34 --startdatetime 2017-06-11T08:57:13 --delay 1 --endMP 204:161 --enddatetime 2017-06-11T09:33:53 --enforcementcount 0 &gt;&gt;C:\Users\stu\Documents\GitHub\eaglep3-reporting\EC\2017-06-11-refined-times.txt</v>
      </c>
      <c r="AI48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{"issue":{"subject":"","project_id":79,"tracker_id":40,"status_id":1,"priority_id":2,"assigned_to_id":23,"start_date":"2017-06-11","description":"","custom_fields":[{"id":1,"name":"Subdivision","value":"EC"},{"id":4,"name":"Milepost","value":"0.0161"},{"id":17,"name":"Train ID","value":"136-11"},{"id":16,"name":"Locomotive ID","value":"4001"},{"id":130,"name":"Impact","value":""},{"id":150,"name":"Time of Event (Mountain Time)","value":"09:33:53"},{"id":151,"name":"Denver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4001 --day 2017-06-11</v>
      </c>
      <c r="AN48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697</v>
      </c>
      <c r="B49" s="7">
        <v>4040</v>
      </c>
      <c r="C49" s="21" t="s">
        <v>204</v>
      </c>
      <c r="D49" s="21" t="s">
        <v>350</v>
      </c>
      <c r="E49" s="13">
        <v>42897.338703703703</v>
      </c>
      <c r="F49" s="13">
        <v>42897.343912037039</v>
      </c>
      <c r="G49" s="7">
        <v>1</v>
      </c>
      <c r="H49" s="21" t="s">
        <v>591</v>
      </c>
      <c r="I49" s="13">
        <v>42897.368680555555</v>
      </c>
      <c r="J49" s="7">
        <v>0</v>
      </c>
      <c r="K49" s="92" t="str">
        <f t="shared" si="0"/>
        <v>4039/4040</v>
      </c>
      <c r="L49" s="21" t="str">
        <f>VLOOKUP(A49,'Trips&amp;Operators'!$C$1:$G$99999,5,FALSE)</f>
        <v>GEBRETEKLE DAGNEW</v>
      </c>
      <c r="M49" s="6">
        <f t="shared" si="1"/>
        <v>2.4768518516793847E-2</v>
      </c>
      <c r="N49" s="7">
        <f t="shared" si="2"/>
        <v>35.66666666418314</v>
      </c>
      <c r="O49" s="7"/>
      <c r="P49" s="7"/>
      <c r="Q49" s="22"/>
      <c r="R49" s="173"/>
      <c r="S49" s="176">
        <f t="shared" si="3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-11T07:07:44-0600',mode:absolute,to:'2017-06-11T09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204" t="str">
        <f t="shared" si="6"/>
        <v>N</v>
      </c>
      <c r="X49" s="204">
        <f t="shared" si="23"/>
        <v>1</v>
      </c>
      <c r="Y49" s="204">
        <f t="shared" si="24"/>
        <v>4.58E-2</v>
      </c>
      <c r="Z49" s="204">
        <f t="shared" si="25"/>
        <v>23.334700000000002</v>
      </c>
      <c r="AA49" s="204">
        <f t="shared" si="10"/>
        <v>23.288900000000002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0137-11</v>
      </c>
      <c r="AE49" s="80" t="str">
        <f t="shared" si="12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49" s="77" t="str">
        <f t="shared" si="13"/>
        <v>"C:\Program Files (x86)\AstroGrep\AstroGrep.exe" /e /r /s /spath="%USERPROFILE%\AppData\Local\Temp\OnboardLogs" /stypes="app*4040*20170611*"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137-11 --locoid 4040 --swversion DE.1.0.9.0 --startMP 204:458 --initTime 2017-06-11T08:07:44 --startdatetime 2017-06-11T08:15:14 --delay 1 --endMP 204:233347 --enddatetime 2017-06-11T08:50:54 --enforcementcount 0 &gt;&gt;C:\Users\stu\Documents\GitHub\eaglep3-reporting\EC\2017-06-11-refined-times.txt</v>
      </c>
      <c r="AI49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{"issue":{"subject":"","project_id":79,"tracker_id":40,"status_id":1,"priority_id":2,"assigned_to_id":23,"start_date":"2017-06-11","description":"","custom_fields":[{"id":1,"name":"Subdivision","value":"EC"},{"id":4,"name":"Milepost","value":"23.3347"},{"id":17,"name":"Train ID","value":"137-11"},{"id":16,"name":"Locomotive ID","value":"4040"},{"id":130,"name":"Impact","value":""},{"id":150,"name":"Time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4040 --day 2017-06-11</v>
      </c>
      <c r="AN49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703</v>
      </c>
      <c r="B50" s="7">
        <v>4039</v>
      </c>
      <c r="C50" s="21" t="s">
        <v>204</v>
      </c>
      <c r="D50" s="21" t="s">
        <v>506</v>
      </c>
      <c r="E50" s="13">
        <v>42897.369803240741</v>
      </c>
      <c r="F50" s="13">
        <v>42897.383518518516</v>
      </c>
      <c r="G50" s="7">
        <v>1</v>
      </c>
      <c r="H50" s="21" t="s">
        <v>351</v>
      </c>
      <c r="I50" s="13">
        <v>42897.409201388888</v>
      </c>
      <c r="J50" s="7">
        <v>0</v>
      </c>
      <c r="K50" s="92" t="str">
        <f t="shared" si="0"/>
        <v>4039/4040</v>
      </c>
      <c r="L50" s="21" t="str">
        <f>VLOOKUP(A50,'Trips&amp;Operators'!$C$1:$G$99999,5,FALSE)</f>
        <v>GEBRETEKLE DAGNEW</v>
      </c>
      <c r="M50" s="6">
        <f t="shared" si="1"/>
        <v>2.5682870371383615E-2</v>
      </c>
      <c r="N50" s="7">
        <f t="shared" si="2"/>
        <v>36.983333334792405</v>
      </c>
      <c r="O50" s="7"/>
      <c r="P50" s="7"/>
      <c r="Q50" s="22"/>
      <c r="R50" s="173"/>
      <c r="S50" s="176">
        <f t="shared" si="3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-11T07:52:31-0600',mode:absolute,to:'2017-06-11T10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204" t="str">
        <f t="shared" si="6"/>
        <v>N</v>
      </c>
      <c r="X50" s="204">
        <f t="shared" si="23"/>
        <v>1</v>
      </c>
      <c r="Y50" s="204">
        <f t="shared" si="24"/>
        <v>23.298500000000001</v>
      </c>
      <c r="Z50" s="204">
        <f t="shared" si="25"/>
        <v>1.4999999999999999E-2</v>
      </c>
      <c r="AA50" s="204">
        <f t="shared" si="10"/>
        <v>23.2835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0138-11</v>
      </c>
      <c r="AE50" s="80" t="str">
        <f t="shared" si="12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50" s="77" t="str">
        <f t="shared" si="13"/>
        <v>"C:\Program Files (x86)\AstroGrep\AstroGrep.exe" /e /r /s /spath="%USERPROFILE%\AppData\Local\Temp\OnboardLogs" /stypes="app*4039*20170611*"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138-11 --locoid 4039 --swversion DE.1.0.9.0 --startMP 204:232985 --initTime 2017-06-11T08:52:31 --startdatetime 2017-06-11T09:12:16 --delay 1 --endMP 204:150 --enddatetime 2017-06-11T09:49:15 --enforcementcount 0 &gt;&gt;C:\Users\stu\Documents\GitHub\eaglep3-reporting\EC\2017-06-11-refined-times.txt</v>
      </c>
      <c r="AI50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ID","value":"138-11"},{"id":16,"name":"Locomotive ID","value":"4039"},{"id":130,"name":"Impact","value":""},{"id":150,"name":"Time of Event (Mountain Time)","value":"09:49:15"},{"id":151,"name":"Denver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4039 --day 2017-06-11</v>
      </c>
      <c r="AN50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698</v>
      </c>
      <c r="B51" s="7">
        <v>4042</v>
      </c>
      <c r="C51" s="21" t="s">
        <v>204</v>
      </c>
      <c r="D51" s="21" t="s">
        <v>345</v>
      </c>
      <c r="E51" s="13">
        <v>42897.349143518521</v>
      </c>
      <c r="F51" s="13">
        <v>42897.354479166665</v>
      </c>
      <c r="G51" s="7">
        <v>1</v>
      </c>
      <c r="H51" s="21" t="s">
        <v>518</v>
      </c>
      <c r="I51" s="13">
        <v>42897.37903935185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MAELZER KURT</v>
      </c>
      <c r="M51" s="6">
        <f t="shared" si="1"/>
        <v>2.4560185185691807E-2</v>
      </c>
      <c r="N51" s="7">
        <f t="shared" si="2"/>
        <v>35.366666667396203</v>
      </c>
      <c r="O51" s="7"/>
      <c r="P51" s="7"/>
      <c r="Q51" s="22"/>
      <c r="R51" s="173"/>
      <c r="S51" s="176">
        <f t="shared" si="3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-11T07:22:46-0600',mode:absolute,to:'2017-06-11T10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04" t="str">
        <f t="shared" si="6"/>
        <v>N</v>
      </c>
      <c r="X51" s="204">
        <f t="shared" si="23"/>
        <v>1</v>
      </c>
      <c r="Y51" s="204">
        <f t="shared" si="24"/>
        <v>4.4900000000000002E-2</v>
      </c>
      <c r="Z51" s="204">
        <f t="shared" si="25"/>
        <v>23.330500000000001</v>
      </c>
      <c r="AA51" s="204">
        <f t="shared" si="10"/>
        <v>23.285600000000002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0139-11</v>
      </c>
      <c r="AE51" s="80" t="str">
        <f t="shared" si="12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51" s="77" t="str">
        <f t="shared" si="13"/>
        <v>"C:\Program Files (x86)\AstroGrep\AstroGrep.exe" /e /r /s /spath="%USERPROFILE%\AppData\Local\Temp\OnboardLogs" /stypes="app*4042*20170611*"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139-11 --locoid 4042 --swversion DE.1.0.9.0 --startMP 204:449 --initTime 2017-06-11T08:22:46 --startdatetime 2017-06-11T08:30:27 --delay 1 --endMP 204:233305 --enddatetime 2017-06-11T09:05:49 --enforcementcount 0 &gt;&gt;C:\Users\stu\Documents\GitHub\eaglep3-reporting\EC\2017-06-11-refined-times.txt</v>
      </c>
      <c r="AI51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{"issue":{"subject":"","project_id":79,"tracker_id":40,"status_id":1,"priority_id":2,"assigned_to_id":23,"start_date":"2017-06-11","description":"","custom_fields":[{"id":1,"name":"Subdivision","value":"EC"},{"id":4,"name":"Milepost","value":"23.3305"},{"id":17,"name":"Train ID","value":"139-11"},{"id":16,"name":"Locomotive ID","value":"4042"},{"id":130,"name":"Impact","value":""},{"id":150,"name":"Time of Event (Mountain Time)","value":"09:05:49"},{"id":151,"name":"Denver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4042 --day 2017-06-11</v>
      </c>
      <c r="AN51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706</v>
      </c>
      <c r="B52" s="7">
        <v>4041</v>
      </c>
      <c r="C52" s="21" t="s">
        <v>204</v>
      </c>
      <c r="D52" s="21" t="s">
        <v>458</v>
      </c>
      <c r="E52" s="13">
        <v>42897.383784722224</v>
      </c>
      <c r="F52" s="13">
        <v>42897.393935185188</v>
      </c>
      <c r="G52" s="7">
        <v>1</v>
      </c>
      <c r="H52" s="21" t="s">
        <v>847</v>
      </c>
      <c r="I52" s="13">
        <v>42897.420671296299</v>
      </c>
      <c r="J52" s="7">
        <v>0</v>
      </c>
      <c r="K52" s="92" t="str">
        <f t="shared" si="0"/>
        <v>4041/4042</v>
      </c>
      <c r="L52" s="21" t="str">
        <f>VLOOKUP(A52,'Trips&amp;Operators'!$C$1:$G$99999,5,FALSE)</f>
        <v>MAELZER KURT</v>
      </c>
      <c r="M52" s="6">
        <f t="shared" si="1"/>
        <v>2.6736111110949423E-2</v>
      </c>
      <c r="N52" s="7">
        <f t="shared" si="2"/>
        <v>38.499999999767169</v>
      </c>
      <c r="O52" s="7"/>
      <c r="P52" s="7"/>
      <c r="Q52" s="22"/>
      <c r="R52" s="173"/>
      <c r="S52" s="176">
        <f t="shared" si="3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-11T08:12:39-0600',mode:absolute,to:'2017-06-11T11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04" t="str">
        <f t="shared" si="6"/>
        <v>N</v>
      </c>
      <c r="X52" s="204">
        <f t="shared" si="23"/>
        <v>1</v>
      </c>
      <c r="Y52" s="204">
        <f t="shared" si="24"/>
        <v>23.2988</v>
      </c>
      <c r="Z52" s="204">
        <f t="shared" si="25"/>
        <v>1.2999999999999999E-2</v>
      </c>
      <c r="AA52" s="204">
        <f t="shared" si="10"/>
        <v>23.285799999999998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0140-11</v>
      </c>
      <c r="AE52" s="80" t="str">
        <f t="shared" si="12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52" s="77" t="str">
        <f t="shared" si="13"/>
        <v>"C:\Program Files (x86)\AstroGrep\AstroGrep.exe" /e /r /s /spath="%USERPROFILE%\AppData\Local\Temp\OnboardLogs" /stypes="app*4041*20170611*"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140-11 --locoid 4041 --swversion DE.1.0.9.0 --startMP 204:232988 --initTime 2017-06-11T09:12:39 --startdatetime 2017-06-11T09:27:16 --delay 1 --endMP 204:130 --enddatetime 2017-06-11T10:05:46 --enforcementcount 0 &gt;&gt;C:\Users\stu\Documents\GitHub\eaglep3-reporting\EC\2017-06-11-refined-times.txt</v>
      </c>
      <c r="AI52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{"issue":{"subject":"","project_id":79,"tracker_id":40,"status_id":1,"priority_id":2,"assigned_to_id":23,"start_date":"2017-06-11","description":"","custom_fields":[{"id":1,"name":"Subdivision","value":"EC"},{"id":4,"name":"Milepost","value":"0.013"},{"id":17,"name":"Train ID","value":"140-11"},{"id":16,"name":"Locomotive ID","value":"4041"},{"id":130,"name":"Impact","value":""},{"id":150,"name":"Time of Event (Mountain Time)","value":"10:05:46"},{"id":151,"name":"Denver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4041 --day 2017-06-11</v>
      </c>
      <c r="AN52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623</v>
      </c>
      <c r="B53" s="7">
        <v>4050</v>
      </c>
      <c r="C53" s="21" t="s">
        <v>204</v>
      </c>
      <c r="D53" s="21" t="s">
        <v>355</v>
      </c>
      <c r="E53" s="13">
        <v>42897.360868055555</v>
      </c>
      <c r="F53" s="13">
        <v>42897.364745370367</v>
      </c>
      <c r="G53" s="7">
        <v>2</v>
      </c>
      <c r="H53" s="21" t="s">
        <v>594</v>
      </c>
      <c r="I53" s="13">
        <v>42897.393900462965</v>
      </c>
      <c r="J53" s="7">
        <v>0</v>
      </c>
      <c r="K53" s="92" t="str">
        <f t="shared" si="0"/>
        <v>4049/4050</v>
      </c>
      <c r="L53" s="21" t="str">
        <f>VLOOKUP(A53,'Trips&amp;Operators'!$C$1:$G$99999,5,FALSE)</f>
        <v>GUZMAN DANNY</v>
      </c>
      <c r="M53" s="6">
        <f t="shared" si="1"/>
        <v>2.9155092597648036E-2</v>
      </c>
      <c r="N53" s="7">
        <f t="shared" si="2"/>
        <v>41.983333340613171</v>
      </c>
      <c r="O53" s="7"/>
      <c r="P53" s="7"/>
      <c r="Q53" s="22"/>
      <c r="R53" s="173"/>
      <c r="S53" s="176">
        <f t="shared" si="3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-11T07:39:39-0600',mode:absolute,to:'2017-06-11T10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3" s="204" t="str">
        <f t="shared" si="6"/>
        <v>N</v>
      </c>
      <c r="X53" s="204">
        <f t="shared" si="23"/>
        <v>1</v>
      </c>
      <c r="Y53" s="204">
        <f t="shared" si="24"/>
        <v>4.5100000000000001E-2</v>
      </c>
      <c r="Z53" s="204">
        <f t="shared" si="25"/>
        <v>23.327000000000002</v>
      </c>
      <c r="AA53" s="204">
        <f t="shared" si="10"/>
        <v>23.2819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0141-11</v>
      </c>
      <c r="AE53" s="80" t="str">
        <f t="shared" si="12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53" s="77" t="str">
        <f t="shared" si="13"/>
        <v>"C:\Program Files (x86)\AstroGrep\AstroGrep.exe" /e /r /s /spath="%USERPROFILE%\AppData\Local\Temp\OnboardLogs" /stypes="app*4050*20170611*"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141-11 --locoid 4050 --swversion DE.1.0.9.0 --startMP 204:451 --initTime 2017-06-11T08:39:39 --startdatetime 2017-06-11T08:45:14 --delay 2 --endMP 204:233270 --enddatetime 2017-06-11T09:27:13 --enforcementcount 0 &gt;&gt;C:\Users\stu\Documents\GitHub\eaglep3-reporting\EC\2017-06-11-refined-times.txt</v>
      </c>
      <c r="AI53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{"issue":{"subject":"","project_id":79,"tracker_id":40,"status_id":1,"priority_id":2,"assigned_to_id":23,"start_date":"2017-06-11","description":"","custom_fields":[{"id":1,"name":"Subdivision","value":"EC"},{"id":4,"name":"Milepost","value":"23.327"},{"id":17,"name":"Train ID","value":"141-11"},{"id":16,"name":"Locomotive ID","value":"4050"},{"id":130,"name":"Impact","value":""},{"id":150,"name":"Time of Event (Mountain Time)","value":"09:27:13"},{"id":151,"name":"Denver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4050 --day 2017-06-11</v>
      </c>
      <c r="AN53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624</v>
      </c>
      <c r="B54" s="7">
        <v>4049</v>
      </c>
      <c r="C54" s="21" t="s">
        <v>204</v>
      </c>
      <c r="D54" s="21" t="s">
        <v>848</v>
      </c>
      <c r="E54" s="13">
        <v>42897.399375000001</v>
      </c>
      <c r="F54" s="13">
        <v>42897.404328703706</v>
      </c>
      <c r="G54" s="7">
        <v>1</v>
      </c>
      <c r="H54" s="21" t="s">
        <v>353</v>
      </c>
      <c r="I54" s="13">
        <v>42897.431157407409</v>
      </c>
      <c r="J54" s="7">
        <v>0</v>
      </c>
      <c r="K54" s="92" t="str">
        <f t="shared" si="0"/>
        <v>4049/4050</v>
      </c>
      <c r="L54" s="21" t="str">
        <f>VLOOKUP(A54,'Trips&amp;Operators'!$C$1:$G$99999,5,FALSE)</f>
        <v>GUZMAN DANNY</v>
      </c>
      <c r="M54" s="6">
        <f t="shared" si="1"/>
        <v>2.6828703703358769E-2</v>
      </c>
      <c r="N54" s="7">
        <f t="shared" si="2"/>
        <v>38.633333332836628</v>
      </c>
      <c r="O54" s="7"/>
      <c r="P54" s="7"/>
      <c r="Q54" s="22"/>
      <c r="R54" s="173"/>
      <c r="S54" s="176">
        <f t="shared" si="3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-11T08:35:06-0600',mode:absolute,to:'2017-06-11T11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4" s="204" t="str">
        <f t="shared" si="6"/>
        <v>N</v>
      </c>
      <c r="X54" s="204">
        <f t="shared" si="23"/>
        <v>1</v>
      </c>
      <c r="Y54" s="204">
        <f t="shared" si="24"/>
        <v>23.295100000000001</v>
      </c>
      <c r="Z54" s="204">
        <f t="shared" si="25"/>
        <v>1.43E-2</v>
      </c>
      <c r="AA54" s="204">
        <f t="shared" si="10"/>
        <v>23.280800000000003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0142-11</v>
      </c>
      <c r="AE54" s="80" t="str">
        <f t="shared" si="12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54" s="77" t="str">
        <f t="shared" si="13"/>
        <v>"C:\Program Files (x86)\AstroGrep\AstroGrep.exe" /e /r /s /spath="%USERPROFILE%\AppData\Local\Temp\OnboardLogs" /stypes="app*4049*20170611*"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142-11 --locoid 4049 --swversion DE.1.0.9.0 --startMP 204:232951 --initTime 2017-06-11T09:35:06 --startdatetime 2017-06-11T09:42:14 --delay 1 --endMP 204:143 --enddatetime 2017-06-11T10:20:52 --enforcementcount 0 &gt;&gt;C:\Users\stu\Documents\GitHub\eaglep3-reporting\EC\2017-06-11-refined-times.txt</v>
      </c>
      <c r="AI54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{"issue":{"subject":"","project_id":79,"tracker_id":40,"status_id":1,"priority_id":2,"assigned_to_id":23,"start_date":"2017-06-11","description":"","custom_fields":[{"id":1,"name":"Subdivision","value":"EC"},{"id":4,"name":"Milepost","value":"0.0143"},{"id":17,"name":"Train ID","value":"142-11"},{"id":16,"name":"Locomotive ID","value":"4049"},{"id":130,"name":"Impact","value":""},{"id":150,"name":"Time of Event (Mountain Time)","value":"10:20:52"},{"id":151,"name":"Denver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4049 --day 2017-06-11</v>
      </c>
      <c r="AN54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622</v>
      </c>
      <c r="B55" s="7">
        <v>4054</v>
      </c>
      <c r="C55" s="21" t="s">
        <v>204</v>
      </c>
      <c r="D55" s="21" t="s">
        <v>350</v>
      </c>
      <c r="E55" s="13">
        <v>42897.372337962966</v>
      </c>
      <c r="F55" s="13">
        <v>42897.375196759262</v>
      </c>
      <c r="G55" s="7">
        <v>1</v>
      </c>
      <c r="H55" s="21" t="s">
        <v>525</v>
      </c>
      <c r="I55" s="13">
        <v>42897.402118055557</v>
      </c>
      <c r="J55" s="7">
        <v>0</v>
      </c>
      <c r="K55" s="92" t="str">
        <f t="shared" si="0"/>
        <v>4053/4054</v>
      </c>
      <c r="L55" s="21" t="str">
        <f>VLOOKUP(A55,'Trips&amp;Operators'!$C$1:$G$99999,5,FALSE)</f>
        <v>WILLIAMS DONTE</v>
      </c>
      <c r="M55" s="6">
        <f t="shared" si="1"/>
        <v>2.6921296295768116E-2</v>
      </c>
      <c r="N55" s="7">
        <f t="shared" si="2"/>
        <v>38.766666665906087</v>
      </c>
      <c r="O55" s="7"/>
      <c r="P55" s="7"/>
      <c r="Q55" s="22"/>
      <c r="R55" s="173"/>
      <c r="S55" s="176">
        <f t="shared" si="3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-11T07:56:10-0600',mode:absolute,to:'2017-06-11T10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204" t="str">
        <f t="shared" si="6"/>
        <v>N</v>
      </c>
      <c r="X55" s="204">
        <f t="shared" si="23"/>
        <v>1</v>
      </c>
      <c r="Y55" s="204">
        <f t="shared" si="24"/>
        <v>4.58E-2</v>
      </c>
      <c r="Z55" s="204">
        <f t="shared" si="25"/>
        <v>23.329899999999999</v>
      </c>
      <c r="AA55" s="204">
        <f t="shared" si="10"/>
        <v>23.284099999999999</v>
      </c>
      <c r="AB55" s="57" t="str">
        <f>VLOOKUP(A55,Enforcements!$C$7:$K$13,8,0)</f>
        <v>Bulletin (2)</v>
      </c>
      <c r="AC55" s="53" t="str">
        <f>VLOOKUP(A55,Enforcements!$C$7:$E$13,3,0)</f>
        <v>GRADE CROSSING</v>
      </c>
      <c r="AD55" s="54" t="str">
        <f t="shared" si="11"/>
        <v>0143-11</v>
      </c>
      <c r="AE55" s="80" t="str">
        <f t="shared" si="12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55" s="77" t="str">
        <f t="shared" si="13"/>
        <v>"C:\Program Files (x86)\AstroGrep\AstroGrep.exe" /e /r /s /spath="%USERPROFILE%\AppData\Local\Temp\OnboardLogs" /stypes="app*4054*20170611*"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143-11 --locoid 4054 --swversion DE.1.0.9.0 --startMP 204:458 --initTime 2017-06-11T08:56:10 --startdatetime 2017-06-11T09:00:17 --delay 1 --endMP 204:233299 --enddatetime 2017-06-11T09:39:03 --enforcementcount 0 &gt;&gt;C:\Users\stu\Documents\GitHub\eaglep3-reporting\EC\2017-06-11-refined-times.txt</v>
      </c>
      <c r="AI5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{"issue":{"subject":"","project_id":79,"tracker_id":40,"status_id":1,"priority_id":2,"assigned_to_id":23,"start_date":"2017-06-11","description":"","custom_fields":[{"id":1,"name":"Subdivision","value":"EC"},{"id":4,"name":"Milepost","value":"23.3299"},{"id":17,"name":"Train ID","value":"143-11"},{"id":16,"name":"Locomotive ID","value":"4054"},{"id":130,"name":"Impact","value":""},{"id":150,"name":"Time of Event (Mountain Time)","value":"09:39:03"},{"id":151,"name":"Denver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4054 --day 2017-06-11</v>
      </c>
      <c r="AN5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710</v>
      </c>
      <c r="B56" s="7">
        <v>4053</v>
      </c>
      <c r="C56" s="21" t="s">
        <v>204</v>
      </c>
      <c r="D56" s="21" t="s">
        <v>426</v>
      </c>
      <c r="E56" s="13">
        <v>42897.404560185183</v>
      </c>
      <c r="F56" s="13">
        <v>42897.414768518516</v>
      </c>
      <c r="G56" s="7">
        <v>1</v>
      </c>
      <c r="H56" s="21" t="s">
        <v>351</v>
      </c>
      <c r="I56" s="13">
        <v>42897.442800925928</v>
      </c>
      <c r="J56" s="7">
        <v>0</v>
      </c>
      <c r="K56" s="92" t="str">
        <f t="shared" si="0"/>
        <v>4053/4054</v>
      </c>
      <c r="L56" s="21" t="str">
        <f>VLOOKUP(A56,'Trips&amp;Operators'!$C$1:$G$99999,5,FALSE)</f>
        <v>WILLIAMS DONTE</v>
      </c>
      <c r="M56" s="6">
        <f t="shared" si="1"/>
        <v>2.8032407411956228E-2</v>
      </c>
      <c r="N56" s="7">
        <f t="shared" si="2"/>
        <v>40.366666673216969</v>
      </c>
      <c r="O56" s="7"/>
      <c r="P56" s="7"/>
      <c r="Q56" s="22"/>
      <c r="R56" s="173"/>
      <c r="S56" s="176">
        <f t="shared" si="3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-11T08:42:34-0600',mode:absolute,to:'2017-06-11T11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204" t="str">
        <f t="shared" si="6"/>
        <v>N</v>
      </c>
      <c r="X56" s="204">
        <f t="shared" si="23"/>
        <v>1</v>
      </c>
      <c r="Y56" s="204">
        <f t="shared" si="24"/>
        <v>23.297699999999999</v>
      </c>
      <c r="Z56" s="204">
        <f t="shared" si="25"/>
        <v>1.4999999999999999E-2</v>
      </c>
      <c r="AA56" s="204">
        <f t="shared" si="10"/>
        <v>23.282699999999998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0144-11</v>
      </c>
      <c r="AE56" s="80" t="str">
        <f t="shared" si="12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56" s="77" t="str">
        <f t="shared" si="13"/>
        <v>"C:\Program Files (x86)\AstroGrep\AstroGrep.exe" /e /r /s /spath="%USERPROFILE%\AppData\Local\Temp\OnboardLogs" /stypes="app*4053*20170611*"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144-11 --locoid 4053 --swversion DE.1.0.9.0 --startMP 204:232977 --initTime 2017-06-11T09:42:34 --startdatetime 2017-06-11T09:57:16 --delay 1 --endMP 204:150 --enddatetime 2017-06-11T10:37:38 --enforcementcount 0 &gt;&gt;C:\Users\stu\Documents\GitHub\eaglep3-reporting\EC\2017-06-11-refined-times.txt</v>
      </c>
      <c r="AI5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ID","value":"144-11"},{"id":16,"name":"Locomotive ID","value":"4053"},{"id":130,"name":"Impact","value":""},{"id":150,"name":"Time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4053 --day 2017-06-11</v>
      </c>
      <c r="AN5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705</v>
      </c>
      <c r="B57" s="7">
        <v>4010</v>
      </c>
      <c r="C57" s="21" t="s">
        <v>204</v>
      </c>
      <c r="D57" s="21" t="s">
        <v>849</v>
      </c>
      <c r="E57" s="13">
        <v>42897.383437500001</v>
      </c>
      <c r="F57" s="13">
        <v>42897.385983796295</v>
      </c>
      <c r="G57" s="7">
        <v>1</v>
      </c>
      <c r="H57" s="21" t="s">
        <v>397</v>
      </c>
      <c r="I57" s="13">
        <v>42897.410451388889</v>
      </c>
      <c r="J57" s="7">
        <v>0</v>
      </c>
      <c r="K57" s="92" t="str">
        <f t="shared" si="0"/>
        <v>4009/4010</v>
      </c>
      <c r="L57" s="21" t="str">
        <f>VLOOKUP(A57,'Trips&amp;Operators'!$C$1:$G$99999,5,FALSE)</f>
        <v>MACDONALD THOMAS</v>
      </c>
      <c r="M57" s="6">
        <f t="shared" si="1"/>
        <v>2.4467592593282461E-2</v>
      </c>
      <c r="N57" s="7">
        <f t="shared" si="2"/>
        <v>35.233333334326744</v>
      </c>
      <c r="O57" s="7"/>
      <c r="P57" s="7"/>
      <c r="Q57" s="22"/>
      <c r="R57" s="173"/>
      <c r="S57" s="176">
        <f t="shared" si="3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-11T08:12:09-0600',mode:absolute,to:'2017-06-11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204" t="str">
        <f t="shared" si="6"/>
        <v>N</v>
      </c>
      <c r="X57" s="204">
        <f t="shared" si="23"/>
        <v>1</v>
      </c>
      <c r="Y57" s="204">
        <f t="shared" si="24"/>
        <v>4.3499999999999997E-2</v>
      </c>
      <c r="Z57" s="204">
        <f t="shared" si="25"/>
        <v>23.3293</v>
      </c>
      <c r="AA57" s="204">
        <f t="shared" si="10"/>
        <v>23.285799999999998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0145-11</v>
      </c>
      <c r="AE57" s="80" t="str">
        <f t="shared" si="12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57" s="77" t="str">
        <f t="shared" si="13"/>
        <v>"C:\Program Files (x86)\AstroGrep\AstroGrep.exe" /e /r /s /spath="%USERPROFILE%\AppData\Local\Temp\OnboardLogs" /stypes="app*4010*20170611*"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145-11 --locoid 4010 --swversion DE.1.0.9.0 --startMP 204:435 --initTime 2017-06-11T09:12:09 --startdatetime 2017-06-11T09:15:49 --delay 1 --endMP 204:233293 --enddatetime 2017-06-11T09:51:03 --enforcementcount 0 &gt;&gt;C:\Users\stu\Documents\GitHub\eaglep3-reporting\EC\2017-06-11-refined-times.txt</v>
      </c>
      <c r="AI5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{"issue":{"subject":"","project_id":79,"tracker_id":40,"status_id":1,"priority_id":2,"assigned_to_id":23,"start_date":"2017-06-11","description":"","custom_fields":[{"id":1,"name":"Subdivision","value":"EC"},{"id":4,"name":"Milepost","value":"23.3293"},{"id":17,"name":"Train ID","value":"145-11"},{"id":16,"name":"Locomotive ID","value":"4010"},{"id":130,"name":"Impact","value":""},{"id":150,"name":"Time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4010 --day 2017-06-11</v>
      </c>
      <c r="AN5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713</v>
      </c>
      <c r="B58" s="7">
        <v>4009</v>
      </c>
      <c r="C58" s="21" t="s">
        <v>204</v>
      </c>
      <c r="D58" s="21" t="s">
        <v>850</v>
      </c>
      <c r="E58" s="13">
        <v>42897.419537037036</v>
      </c>
      <c r="F58" s="13">
        <v>42897.425451388888</v>
      </c>
      <c r="G58" s="7">
        <v>5</v>
      </c>
      <c r="H58" s="21" t="s">
        <v>457</v>
      </c>
      <c r="I58" s="13">
        <v>42897.450914351852</v>
      </c>
      <c r="J58" s="7">
        <v>0</v>
      </c>
      <c r="K58" s="92" t="str">
        <f t="shared" si="0"/>
        <v>4009/4010</v>
      </c>
      <c r="L58" s="21" t="str">
        <f>VLOOKUP(A58,'Trips&amp;Operators'!$C$1:$G$99999,5,FALSE)</f>
        <v>MACDONALD THOMAS</v>
      </c>
      <c r="M58" s="6">
        <f t="shared" si="1"/>
        <v>2.5462962963501923E-2</v>
      </c>
      <c r="N58" s="7">
        <f t="shared" si="2"/>
        <v>36.666666667442769</v>
      </c>
      <c r="O58" s="7"/>
      <c r="P58" s="7"/>
      <c r="Q58" s="22"/>
      <c r="R58" s="173"/>
      <c r="S58" s="176">
        <f t="shared" si="3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-11T09:04:08-0600',mode:absolute,to:'2017-06-11T11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8" s="204" t="str">
        <f t="shared" si="6"/>
        <v>N</v>
      </c>
      <c r="X58" s="204">
        <f t="shared" si="23"/>
        <v>1</v>
      </c>
      <c r="Y58" s="204">
        <f t="shared" si="24"/>
        <v>23.297000000000001</v>
      </c>
      <c r="Z58" s="204">
        <f t="shared" si="25"/>
        <v>1.6299999999999999E-2</v>
      </c>
      <c r="AA58" s="204">
        <f t="shared" si="10"/>
        <v>23.2807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0146-11</v>
      </c>
      <c r="AE58" s="80" t="str">
        <f t="shared" si="12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58" s="77" t="str">
        <f t="shared" si="13"/>
        <v>"C:\Program Files (x86)\AstroGrep\AstroGrep.exe" /e /r /s /spath="%USERPROFILE%\AppData\Local\Temp\OnboardLogs" /stypes="app*4009*20170611*"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146-11 --locoid 4009 --swversion DE.1.0.9.0 --startMP 204:232970 --initTime 2017-06-11T10:04:08 --startdatetime 2017-06-11T10:12:39 --delay 5 --endMP 204:163 --enddatetime 2017-06-11T10:49:19 --enforcementcount 0 &gt;&gt;C:\Users\stu\Documents\GitHub\eaglep3-reporting\EC\2017-06-11-refined-times.txt</v>
      </c>
      <c r="AI58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{"issue":{"subject":"","project_id":79,"tracker_id":40,"status_id":1,"priority_id":2,"assigned_to_id":23,"start_date":"2017-06-11","description":"","custom_fields":[{"id":1,"name":"Subdivision","value":"EC"},{"id":4,"name":"Milepost","value":"0.0163"},{"id":17,"name":"Train ID","value":"146-11"},{"id":16,"name":"Locomotive ID","value":"4009"},{"id":130,"name":"Impact","value":""},{"id":150,"name":"Time of Event (Mountain Time)","value":"10:49:19"},{"id":151,"name":"Denver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4009 --day 2017-06-11</v>
      </c>
      <c r="AN58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707</v>
      </c>
      <c r="B59" s="7">
        <v>4020</v>
      </c>
      <c r="C59" s="21" t="s">
        <v>204</v>
      </c>
      <c r="D59" s="21" t="s">
        <v>355</v>
      </c>
      <c r="E59" s="13">
        <v>42897.391250000001</v>
      </c>
      <c r="F59" s="13">
        <v>42897.395995370367</v>
      </c>
      <c r="G59" s="7">
        <v>1</v>
      </c>
      <c r="H59" s="21" t="s">
        <v>466</v>
      </c>
      <c r="I59" s="13">
        <v>42897.421944444446</v>
      </c>
      <c r="J59" s="7">
        <v>0</v>
      </c>
      <c r="K59" s="92" t="str">
        <f t="shared" si="0"/>
        <v>4019/4020</v>
      </c>
      <c r="L59" s="21" t="str">
        <f>VLOOKUP(A59,'Trips&amp;Operators'!$C$1:$G$99999,5,FALSE)</f>
        <v>NEWELL JAMES</v>
      </c>
      <c r="M59" s="6">
        <f t="shared" si="1"/>
        <v>2.5949074079107959E-2</v>
      </c>
      <c r="N59" s="7">
        <f t="shared" si="2"/>
        <v>37.366666673915461</v>
      </c>
      <c r="O59" s="7"/>
      <c r="P59" s="7"/>
      <c r="Q59" s="22"/>
      <c r="R59" s="173"/>
      <c r="S59" s="176">
        <f t="shared" si="3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-11T08:23:24-0600',mode:absolute,to:'2017-06-11T11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04" t="str">
        <f t="shared" si="6"/>
        <v>N</v>
      </c>
      <c r="X59" s="204">
        <f t="shared" si="23"/>
        <v>1</v>
      </c>
      <c r="Y59" s="204">
        <f t="shared" si="24"/>
        <v>4.5100000000000001E-2</v>
      </c>
      <c r="Z59" s="204">
        <f t="shared" si="25"/>
        <v>23.3307</v>
      </c>
      <c r="AA59" s="204">
        <f t="shared" si="10"/>
        <v>23.285599999999999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0147-11</v>
      </c>
      <c r="AE59" s="80" t="str">
        <f t="shared" si="12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59" s="77" t="str">
        <f t="shared" si="13"/>
        <v>"C:\Program Files (x86)\AstroGrep\AstroGrep.exe" /e /r /s /spath="%USERPROFILE%\AppData\Local\Temp\OnboardLogs" /stypes="app*4020*20170611*"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147-11 --locoid 4020 --swversion DE.1.0.9.0 --startMP 204:451 --initTime 2017-06-11T09:23:24 --startdatetime 2017-06-11T09:30:14 --delay 1 --endMP 204:233307 --enddatetime 2017-06-11T10:07:36 --enforcementcount 0 &gt;&gt;C:\Users\stu\Documents\GitHub\eaglep3-reporting\EC\2017-06-11-refined-times.txt</v>
      </c>
      <c r="AI59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{"issue":{"subject":"","project_id":79,"tracker_id":40,"status_id":1,"priority_id":2,"assigned_to_id":23,"start_date":"2017-06-11","description":"","custom_fields":[{"id":1,"name":"Subdivision","value":"EC"},{"id":4,"name":"Milepost","value":"23.3307"},{"id":17,"name":"Train ID","value":"147-11"},{"id":16,"name":"Locomotive ID","value":"4020"},{"id":130,"name":"Impact","value":""},{"id":150,"name":"Time of Event (Mountain Time)","value":"10:07:36"},{"id":151,"name":"Denver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4020 --day 2017-06-11</v>
      </c>
      <c r="AN59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715</v>
      </c>
      <c r="B60" s="7">
        <v>4019</v>
      </c>
      <c r="C60" s="21" t="s">
        <v>204</v>
      </c>
      <c r="D60" s="21" t="s">
        <v>519</v>
      </c>
      <c r="E60" s="13">
        <v>42897.42763888889</v>
      </c>
      <c r="F60" s="13">
        <v>42897.435567129629</v>
      </c>
      <c r="G60" s="7">
        <v>1</v>
      </c>
      <c r="H60" s="21" t="s">
        <v>360</v>
      </c>
      <c r="I60" s="13">
        <v>42897.461354166669</v>
      </c>
      <c r="J60" s="7">
        <v>0</v>
      </c>
      <c r="K60" s="92" t="str">
        <f t="shared" si="0"/>
        <v>4019/4020</v>
      </c>
      <c r="L60" s="21" t="str">
        <f>VLOOKUP(A60,'Trips&amp;Operators'!$C$1:$G$99999,5,FALSE)</f>
        <v>NEWELL JAMES</v>
      </c>
      <c r="M60" s="6">
        <f t="shared" si="1"/>
        <v>2.5787037040572613E-2</v>
      </c>
      <c r="N60" s="7">
        <f t="shared" si="2"/>
        <v>37.133333338424563</v>
      </c>
      <c r="O60" s="7"/>
      <c r="P60" s="7"/>
      <c r="Q60" s="22"/>
      <c r="R60" s="173"/>
      <c r="S60" s="176">
        <f t="shared" si="3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-11T09:15:48-0600',mode:absolute,to:'2017-06-11T12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04" t="str">
        <f t="shared" si="6"/>
        <v>N</v>
      </c>
      <c r="X60" s="204">
        <f t="shared" si="23"/>
        <v>1</v>
      </c>
      <c r="Y60" s="204">
        <f t="shared" si="24"/>
        <v>23.298400000000001</v>
      </c>
      <c r="Z60" s="204">
        <f t="shared" si="25"/>
        <v>1.3899999999999999E-2</v>
      </c>
      <c r="AA60" s="204">
        <f t="shared" si="10"/>
        <v>23.284500000000001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0148-11</v>
      </c>
      <c r="AE60" s="80" t="str">
        <f t="shared" si="12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60" s="77" t="str">
        <f t="shared" si="13"/>
        <v>"C:\Program Files (x86)\AstroGrep\AstroGrep.exe" /e /r /s /spath="%USERPROFILE%\AppData\Local\Temp\OnboardLogs" /stypes="app*4019*20170611*"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148-11 --locoid 4019 --swversion DE.1.0.9.0 --startMP 204:232984 --initTime 2017-06-11T10:15:48 --startdatetime 2017-06-11T10:27:13 --delay 1 --endMP 204:139 --enddatetime 2017-06-11T11:04:21 --enforcementcount 0 &gt;&gt;C:\Users\stu\Documents\GitHub\eaglep3-reporting\EC\2017-06-11-refined-times.txt</v>
      </c>
      <c r="AI60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ID","value":"148-11"},{"id":16,"name":"Locomotive ID","value":"4019"},{"id":130,"name":"Impact","value":""},{"id":150,"name":"Time of Event (Mountain Time)","value":"11:04:21"},{"id":151,"name":"Denver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4019 --day 2017-06-11</v>
      </c>
      <c r="AN60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709</v>
      </c>
      <c r="B61" s="7">
        <v>4002</v>
      </c>
      <c r="C61" s="21" t="s">
        <v>204</v>
      </c>
      <c r="D61" s="21" t="s">
        <v>359</v>
      </c>
      <c r="E61" s="13">
        <v>42897.403506944444</v>
      </c>
      <c r="F61" s="13">
        <v>42897.406400462962</v>
      </c>
      <c r="G61" s="7">
        <v>1</v>
      </c>
      <c r="H61" s="21" t="s">
        <v>851</v>
      </c>
      <c r="I61" s="13">
        <v>42897.430983796294</v>
      </c>
      <c r="J61" s="7">
        <v>0</v>
      </c>
      <c r="K61" s="92" t="str">
        <f t="shared" si="0"/>
        <v>4001/4002</v>
      </c>
      <c r="L61" s="21" t="str">
        <f>VLOOKUP(A61,'Trips&amp;Operators'!$C$1:$G$99999,5,FALSE)</f>
        <v>LALONDE GREGORY</v>
      </c>
      <c r="M61" s="6">
        <f t="shared" si="1"/>
        <v>2.4583333331975155E-2</v>
      </c>
      <c r="N61" s="7">
        <f t="shared" si="2"/>
        <v>35.399999998044223</v>
      </c>
      <c r="O61" s="7"/>
      <c r="P61" s="7"/>
      <c r="Q61" s="22"/>
      <c r="R61" s="173"/>
      <c r="S61" s="176">
        <f t="shared" si="3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-11T08:41:03-0600',mode:absolute,to:'2017-06-11T11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204" t="str">
        <f t="shared" si="6"/>
        <v>N</v>
      </c>
      <c r="X61" s="204">
        <f t="shared" si="23"/>
        <v>1</v>
      </c>
      <c r="Y61" s="204">
        <f t="shared" si="24"/>
        <v>4.4699999999999997E-2</v>
      </c>
      <c r="Z61" s="204">
        <f t="shared" si="25"/>
        <v>23.334599999999998</v>
      </c>
      <c r="AA61" s="204">
        <f t="shared" si="10"/>
        <v>23.289899999999999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0149-11</v>
      </c>
      <c r="AE61" s="80" t="str">
        <f t="shared" si="12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61" s="77" t="str">
        <f t="shared" si="13"/>
        <v>"C:\Program Files (x86)\AstroGrep\AstroGrep.exe" /e /r /s /spath="%USERPROFILE%\AppData\Local\Temp\OnboardLogs" /stypes="app*4002*20170611*"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149-11 --locoid 4002 --swversion DE.1.0.9.0 --startMP 204:447 --initTime 2017-06-11T09:41:03 --startdatetime 2017-06-11T09:45:13 --delay 1 --endMP 204:233346 --enddatetime 2017-06-11T10:20:37 --enforcementcount 0 &gt;&gt;C:\Users\stu\Documents\GitHub\eaglep3-reporting\EC\2017-06-11-refined-times.txt</v>
      </c>
      <c r="AI61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{"issue":{"subject":"","project_id":79,"tracker_id":40,"status_id":1,"priority_id":2,"assigned_to_id":23,"start_date":"2017-06-11","description":"","custom_fields":[{"id":1,"name":"Subdivision","value":"EC"},{"id":4,"name":"Milepost","value":"23.3346"},{"id":17,"name":"Train ID","value":"149-11"},{"id":16,"name":"Locomotive ID","value":"4002"},{"id":130,"name":"Impact","value":""},{"id":150,"name":"Time of Event (Mountain Time)","value":"10:20:37"},{"id":151,"name":"Denver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4002 --day 2017-06-11</v>
      </c>
      <c r="AN61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716</v>
      </c>
      <c r="B62" s="7">
        <v>4001</v>
      </c>
      <c r="C62" s="21" t="s">
        <v>204</v>
      </c>
      <c r="D62" s="21" t="s">
        <v>617</v>
      </c>
      <c r="E62" s="13">
        <v>42897.432592592595</v>
      </c>
      <c r="F62" s="13">
        <v>42897.446145833332</v>
      </c>
      <c r="G62" s="7">
        <v>1</v>
      </c>
      <c r="H62" s="21" t="s">
        <v>400</v>
      </c>
      <c r="I62" s="13">
        <v>42897.471585648149</v>
      </c>
      <c r="J62" s="7">
        <v>0</v>
      </c>
      <c r="K62" s="92" t="str">
        <f t="shared" si="0"/>
        <v>4001/4002</v>
      </c>
      <c r="L62" s="21" t="str">
        <f>VLOOKUP(A62,'Trips&amp;Operators'!$C$1:$G$99999,5,FALSE)</f>
        <v>LALONDE GREGORY</v>
      </c>
      <c r="M62" s="6">
        <f t="shared" si="1"/>
        <v>2.5439814817218576E-2</v>
      </c>
      <c r="N62" s="7">
        <f t="shared" si="2"/>
        <v>36.633333336794749</v>
      </c>
      <c r="O62" s="7"/>
      <c r="P62" s="7"/>
      <c r="Q62" s="22"/>
      <c r="R62" s="173"/>
      <c r="S62" s="176">
        <f t="shared" si="3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-11T09:22:56-0600',mode:absolute,to:'2017-06-11T12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204" t="str">
        <f t="shared" si="6"/>
        <v>N</v>
      </c>
      <c r="X62" s="204">
        <f t="shared" si="23"/>
        <v>1</v>
      </c>
      <c r="Y62" s="204">
        <f t="shared" si="24"/>
        <v>23.3032</v>
      </c>
      <c r="Z62" s="204">
        <f t="shared" si="25"/>
        <v>1.54E-2</v>
      </c>
      <c r="AA62" s="204">
        <f t="shared" si="10"/>
        <v>23.287800000000001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0150-11</v>
      </c>
      <c r="AE62" s="80" t="str">
        <f t="shared" si="12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62" s="77" t="str">
        <f t="shared" si="13"/>
        <v>"C:\Program Files (x86)\AstroGrep\AstroGrep.exe" /e /r /s /spath="%USERPROFILE%\AppData\Local\Temp\OnboardLogs" /stypes="app*4001*20170611*"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150-11 --locoid 4001 --swversion DE.1.0.9.0 --startMP 204:233032 --initTime 2017-06-11T10:22:56 --startdatetime 2017-06-11T10:42:27 --delay 1 --endMP 204:154 --enddatetime 2017-06-11T11:19:05 --enforcementcount 0 &gt;&gt;C:\Users\stu\Documents\GitHub\eaglep3-reporting\EC\2017-06-11-refined-times.txt</v>
      </c>
      <c r="AI62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{"issue":{"subject":"","project_id":79,"tracker_id":40,"status_id":1,"priority_id":2,"assigned_to_id":23,"start_date":"2017-06-11","description":"","custom_fields":[{"id":1,"name":"Subdivision","value":"EC"},{"id":4,"name":"Milepost","value":"0.0154"},{"id":17,"name":"Train ID","value":"150-11"},{"id":16,"name":"Locomotive ID","value":"4001"},{"id":130,"name":"Impact","value":""},{"id":150,"name":"Time of Event (Mountain Time)","value":"11:19:05"},{"id":151,"name":"Denver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4001 --day 2017-06-11</v>
      </c>
      <c r="AN62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711</v>
      </c>
      <c r="B63" s="7">
        <v>4040</v>
      </c>
      <c r="C63" s="21" t="s">
        <v>204</v>
      </c>
      <c r="D63" s="21" t="s">
        <v>367</v>
      </c>
      <c r="E63" s="13">
        <v>42897.411226851851</v>
      </c>
      <c r="F63" s="13">
        <v>42897.41684027778</v>
      </c>
      <c r="G63" s="7">
        <v>2</v>
      </c>
      <c r="H63" s="21" t="s">
        <v>841</v>
      </c>
      <c r="I63" s="13">
        <v>42897.441168981481</v>
      </c>
      <c r="J63" s="7">
        <v>0</v>
      </c>
      <c r="K63" s="92" t="str">
        <f t="shared" si="0"/>
        <v>4039/4040</v>
      </c>
      <c r="L63" s="21" t="str">
        <f>VLOOKUP(A63,'Trips&amp;Operators'!$C$1:$G$99999,5,FALSE)</f>
        <v>GEBRETEKLE DAGNEW</v>
      </c>
      <c r="M63" s="6">
        <f t="shared" si="1"/>
        <v>2.4328703701030463E-2</v>
      </c>
      <c r="N63" s="7">
        <f t="shared" si="2"/>
        <v>35.033333329483867</v>
      </c>
      <c r="O63" s="7"/>
      <c r="P63" s="7"/>
      <c r="Q63" s="22"/>
      <c r="R63" s="173"/>
      <c r="S63" s="176">
        <f t="shared" si="3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-11T08:52:10-0600',mode:absolute,to:'2017-06-11T11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204" t="str">
        <f t="shared" si="6"/>
        <v>N</v>
      </c>
      <c r="X63" s="204">
        <f t="shared" si="23"/>
        <v>1</v>
      </c>
      <c r="Y63" s="204">
        <f t="shared" si="24"/>
        <v>4.5499999999999999E-2</v>
      </c>
      <c r="Z63" s="204">
        <f t="shared" si="25"/>
        <v>23.331600000000002</v>
      </c>
      <c r="AA63" s="204">
        <f t="shared" si="10"/>
        <v>23.286100000000001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0151-11</v>
      </c>
      <c r="AE63" s="80" t="str">
        <f t="shared" si="12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63" s="77" t="str">
        <f t="shared" si="13"/>
        <v>"C:\Program Files (x86)\AstroGrep\AstroGrep.exe" /e /r /s /spath="%USERPROFILE%\AppData\Local\Temp\OnboardLogs" /stypes="app*4040*20170611*"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151-11 --locoid 4040 --swversion DE.1.0.9.0 --startMP 204:455 --initTime 2017-06-11T09:52:10 --startdatetime 2017-06-11T10:00:15 --delay 2 --endMP 204:233316 --enddatetime 2017-06-11T10:35:17 --enforcementcount 0 &gt;&gt;C:\Users\stu\Documents\GitHub\eaglep3-reporting\EC\2017-06-11-refined-times.txt</v>
      </c>
      <c r="AI63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{"issue":{"subject":"","project_id":79,"tracker_id":40,"status_id":1,"priority_id":2,"assigned_to_id":23,"start_date":"2017-06-11","description":"","custom_fields":[{"id":1,"name":"Subdivision","value":"EC"},{"id":4,"name":"Milepost","value":"23.3316"},{"id":17,"name":"Train ID","value":"151-11"},{"id":16,"name":"Locomotive ID","value":"4040"},{"id":130,"name":"Impact","value":""},{"id":150,"name":"Time of Event (Mountain Time)","value":"10:35:17"},{"id":151,"name":"Denver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4040 --day 2017-06-11</v>
      </c>
      <c r="AN63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718</v>
      </c>
      <c r="B64" s="7">
        <v>4039</v>
      </c>
      <c r="C64" s="21" t="s">
        <v>204</v>
      </c>
      <c r="D64" s="21" t="s">
        <v>852</v>
      </c>
      <c r="E64" s="13">
        <v>42897.442245370374</v>
      </c>
      <c r="F64" s="13">
        <v>42897.45648148148</v>
      </c>
      <c r="G64" s="7">
        <v>0</v>
      </c>
      <c r="H64" s="21" t="s">
        <v>400</v>
      </c>
      <c r="I64" s="13">
        <v>42897.482256944444</v>
      </c>
      <c r="J64" s="7">
        <v>0</v>
      </c>
      <c r="K64" s="92" t="str">
        <f t="shared" si="0"/>
        <v>4039/4040</v>
      </c>
      <c r="L64" s="21" t="str">
        <f>VLOOKUP(A64,'Trips&amp;Operators'!$C$1:$G$99999,5,FALSE)</f>
        <v>GEBRETEKLE DAGNEW</v>
      </c>
      <c r="M64" s="6">
        <f t="shared" si="1"/>
        <v>2.5775462963792961E-2</v>
      </c>
      <c r="N64" s="7">
        <f t="shared" si="2"/>
        <v>37.116666667861864</v>
      </c>
      <c r="O64" s="7"/>
      <c r="P64" s="7"/>
      <c r="Q64" s="22"/>
      <c r="R64" s="173"/>
      <c r="S64" s="176">
        <f t="shared" si="3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-11T09:36:50-0600',mode:absolute,to:'2017-06-11T12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204" t="str">
        <f t="shared" si="6"/>
        <v>N</v>
      </c>
      <c r="X64" s="204">
        <f t="shared" si="23"/>
        <v>1</v>
      </c>
      <c r="Y64" s="204">
        <f t="shared" si="24"/>
        <v>23.3003</v>
      </c>
      <c r="Z64" s="204">
        <f t="shared" si="25"/>
        <v>1.54E-2</v>
      </c>
      <c r="AA64" s="204">
        <f t="shared" si="10"/>
        <v>23.2849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0152-11</v>
      </c>
      <c r="AE64" s="80" t="str">
        <f t="shared" si="12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64" s="77" t="str">
        <f t="shared" si="13"/>
        <v>"C:\Program Files (x86)\AstroGrep\AstroGrep.exe" /e /r /s /spath="%USERPROFILE%\AppData\Local\Temp\OnboardLogs" /stypes="app*4039*20170611*"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152-11 --locoid 4039 --swversion DE.1.0.9.0 --startMP 204:233003 --initTime 2017-06-11T10:36:50 --startdatetime 2017-06-11T10:57:20 --delay 0 --endMP 204:154 --enddatetime 2017-06-11T11:34:27 --enforcementcount 0 &gt;&gt;C:\Users\stu\Documents\GitHub\eaglep3-reporting\EC\2017-06-11-refined-times.txt</v>
      </c>
      <c r="AI64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{"issue":{"subject":"","project_id":79,"tracker_id":40,"status_id":1,"priority_id":2,"assigned_to_id":23,"start_date":"2017-06-11","description":"","custom_fields":[{"id":1,"name":"Subdivision","value":"EC"},{"id":4,"name":"Milepost","value":"0.0154"},{"id":17,"name":"Train ID","value":"152-11"},{"id":16,"name":"Locomotive ID","value":"4039"},{"id":130,"name":"Impact","value":""},{"id":150,"name":"Time of Event (Mountain Time)","value":"11:34:27"},{"id":151,"name":"Denver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4039 --day 2017-06-11</v>
      </c>
      <c r="AN64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714</v>
      </c>
      <c r="B65" s="7">
        <v>4042</v>
      </c>
      <c r="C65" s="21" t="s">
        <v>204</v>
      </c>
      <c r="D65" s="21" t="s">
        <v>367</v>
      </c>
      <c r="E65" s="13">
        <v>42897.423414351855</v>
      </c>
      <c r="F65" s="13">
        <v>42897.427395833336</v>
      </c>
      <c r="G65" s="7">
        <v>1</v>
      </c>
      <c r="H65" s="21" t="s">
        <v>501</v>
      </c>
      <c r="I65" s="13">
        <v>42897.45239583333</v>
      </c>
      <c r="J65" s="7">
        <v>0</v>
      </c>
      <c r="K65" s="92" t="str">
        <f t="shared" si="0"/>
        <v>4041/4042</v>
      </c>
      <c r="L65" s="21" t="str">
        <f>VLOOKUP(A65,'Trips&amp;Operators'!$C$1:$G$99999,5,FALSE)</f>
        <v>ROBINSON KADDIBA</v>
      </c>
      <c r="M65" s="6">
        <f t="shared" si="1"/>
        <v>2.4999999994179234E-2</v>
      </c>
      <c r="N65" s="7">
        <f t="shared" si="2"/>
        <v>35.999999991618097</v>
      </c>
      <c r="O65" s="7"/>
      <c r="P65" s="7"/>
      <c r="Q65" s="22"/>
      <c r="R65" s="173"/>
      <c r="S65" s="176">
        <f t="shared" si="3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-11T09:09:43-0600',mode:absolute,to:'2017-06-11T11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04" t="str">
        <f t="shared" si="6"/>
        <v>N</v>
      </c>
      <c r="X65" s="204">
        <f t="shared" si="23"/>
        <v>1</v>
      </c>
      <c r="Y65" s="204">
        <f t="shared" si="24"/>
        <v>4.5499999999999999E-2</v>
      </c>
      <c r="Z65" s="204">
        <f t="shared" si="25"/>
        <v>23.332699999999999</v>
      </c>
      <c r="AA65" s="204">
        <f t="shared" si="10"/>
        <v>23.287199999999999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0153-11</v>
      </c>
      <c r="AE65" s="80" t="str">
        <f t="shared" si="12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65" s="77" t="str">
        <f t="shared" si="13"/>
        <v>"C:\Program Files (x86)\AstroGrep\AstroGrep.exe" /e /r /s /spath="%USERPROFILE%\AppData\Local\Temp\OnboardLogs" /stypes="app*4042*20170611*"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153-11 --locoid 4042 --swversion DE.1.0.9.0 --startMP 204:455 --initTime 2017-06-11T10:09:43 --startdatetime 2017-06-11T10:15:27 --delay 1 --endMP 204:233327 --enddatetime 2017-06-11T10:51:27 --enforcementcount 0 &gt;&gt;C:\Users\stu\Documents\GitHub\eaglep3-reporting\EC\2017-06-11-refined-times.txt</v>
      </c>
      <c r="AI6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{"issue":{"subject":"","project_id":79,"tracker_id":40,"status_id":1,"priority_id":2,"assigned_to_id":23,"start_date":"2017-06-11","description":"","custom_fields":[{"id":1,"name":"Subdivision","value":"EC"},{"id":4,"name":"Milepost","value":"23.3327"},{"id":17,"name":"Train ID","value":"153-11"},{"id":16,"name":"Locomotive ID","value":"4042"},{"id":130,"name":"Impact","value":""},{"id":150,"name":"Time of Event (Mountain Time)","value":"10:51:27"},{"id":151,"name":"Denver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4042 --day 2017-06-11</v>
      </c>
      <c r="AN6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721</v>
      </c>
      <c r="B66" s="7">
        <v>4041</v>
      </c>
      <c r="C66" s="21" t="s">
        <v>204</v>
      </c>
      <c r="D66" s="21" t="s">
        <v>853</v>
      </c>
      <c r="E66" s="13">
        <v>42897.461365740739</v>
      </c>
      <c r="F66" s="13">
        <v>42897.466817129629</v>
      </c>
      <c r="G66" s="7">
        <v>1</v>
      </c>
      <c r="H66" s="21" t="s">
        <v>362</v>
      </c>
      <c r="I66" s="13">
        <v>42897.49318287037</v>
      </c>
      <c r="J66" s="7">
        <v>0</v>
      </c>
      <c r="K66" s="92" t="str">
        <f t="shared" si="0"/>
        <v>4041/4042</v>
      </c>
      <c r="L66" s="21" t="str">
        <f>VLOOKUP(A66,'Trips&amp;Operators'!$C$1:$G$99999,5,FALSE)</f>
        <v>ROBINSON KADDIBA</v>
      </c>
      <c r="M66" s="6">
        <f t="shared" si="1"/>
        <v>2.6365740741312038E-2</v>
      </c>
      <c r="N66" s="7">
        <f t="shared" si="2"/>
        <v>37.966666667489335</v>
      </c>
      <c r="O66" s="7"/>
      <c r="P66" s="7"/>
      <c r="Q66" s="22"/>
      <c r="R66" s="173"/>
      <c r="S66" s="176">
        <f t="shared" si="3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-11T10:04:22-0600',mode:absolute,to:'2017-06-11T12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04" t="str">
        <f t="shared" si="6"/>
        <v>N</v>
      </c>
      <c r="X66" s="204">
        <f t="shared" si="23"/>
        <v>1</v>
      </c>
      <c r="Y66" s="204">
        <f t="shared" si="24"/>
        <v>23.300599999999999</v>
      </c>
      <c r="Z66" s="204">
        <f t="shared" si="25"/>
        <v>1.41E-2</v>
      </c>
      <c r="AA66" s="204">
        <f t="shared" si="10"/>
        <v>23.2865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0154-11</v>
      </c>
      <c r="AE66" s="80" t="str">
        <f t="shared" si="12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66" s="77" t="str">
        <f t="shared" si="13"/>
        <v>"C:\Program Files (x86)\AstroGrep\AstroGrep.exe" /e /r /s /spath="%USERPROFILE%\AppData\Local\Temp\OnboardLogs" /stypes="app*4041*20170611*"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154-11 --locoid 4041 --swversion DE.1.0.9.0 --startMP 204:233006 --initTime 2017-06-11T11:04:22 --startdatetime 2017-06-11T11:12:13 --delay 1 --endMP 204:141 --enddatetime 2017-06-11T11:50:11 --enforcementcount 0 &gt;&gt;C:\Users\stu\Documents\GitHub\eaglep3-reporting\EC\2017-06-11-refined-times.txt</v>
      </c>
      <c r="AI6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{"issue":{"subject":"","project_id":79,"tracker_id":40,"status_id":1,"priority_id":2,"assigned_to_id":23,"start_date":"2017-06-11","description":"","custom_fields":[{"id":1,"name":"Subdivision","value":"EC"},{"id":4,"name":"Milepost","value":"0.0141"},{"id":17,"name":"Train ID","value":"154-11"},{"id":16,"name":"Locomotive ID","value":"4041"},{"id":130,"name":"Impact","value":""},{"id":150,"name":"Time of Event (Mountain Time)","value":"11:50:11"},{"id":151,"name":"Denver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4041 --day 2017-06-11</v>
      </c>
      <c r="AN6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717</v>
      </c>
      <c r="B67" s="7">
        <v>4050</v>
      </c>
      <c r="C67" s="21" t="s">
        <v>204</v>
      </c>
      <c r="D67" s="21" t="s">
        <v>349</v>
      </c>
      <c r="E67" s="13">
        <v>42897.433078703703</v>
      </c>
      <c r="F67" s="13">
        <v>42897.4377662037</v>
      </c>
      <c r="G67" s="7">
        <v>3</v>
      </c>
      <c r="H67" s="21" t="s">
        <v>616</v>
      </c>
      <c r="I67" s="13">
        <v>42897.463009259256</v>
      </c>
      <c r="J67" s="7">
        <v>0</v>
      </c>
      <c r="K67" s="92" t="str">
        <f t="shared" si="0"/>
        <v>4049/4050</v>
      </c>
      <c r="L67" s="21" t="str">
        <f>VLOOKUP(A67,'Trips&amp;Operators'!$C$1:$G$99999,5,FALSE)</f>
        <v>GUZMAN DANNY</v>
      </c>
      <c r="M67" s="6">
        <f t="shared" si="1"/>
        <v>2.5243055555620231E-2</v>
      </c>
      <c r="N67" s="7">
        <f t="shared" si="2"/>
        <v>36.350000000093132</v>
      </c>
      <c r="O67" s="7"/>
      <c r="P67" s="7"/>
      <c r="Q67" s="22"/>
      <c r="R67" s="173"/>
      <c r="S67" s="176">
        <f t="shared" si="3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-11T09:23:38-0600',mode:absolute,to:'2017-06-11T12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204" t="str">
        <f t="shared" si="6"/>
        <v>N</v>
      </c>
      <c r="X67" s="204">
        <f t="shared" si="23"/>
        <v>1</v>
      </c>
      <c r="Y67" s="204">
        <f t="shared" si="24"/>
        <v>4.4600000000000001E-2</v>
      </c>
      <c r="Z67" s="204">
        <f t="shared" si="25"/>
        <v>23.3278</v>
      </c>
      <c r="AA67" s="204">
        <f t="shared" si="10"/>
        <v>23.283200000000001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0155-11</v>
      </c>
      <c r="AE67" s="80" t="str">
        <f t="shared" si="12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67" s="77" t="str">
        <f t="shared" si="13"/>
        <v>"C:\Program Files (x86)\AstroGrep\AstroGrep.exe" /e /r /s /spath="%USERPROFILE%\AppData\Local\Temp\OnboardLogs" /stypes="app*4050*20170611*"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155-11 --locoid 4050 --swversion DE.1.0.9.0 --startMP 204:446 --initTime 2017-06-11T10:23:38 --startdatetime 2017-06-11T10:30:23 --delay 3 --endMP 204:233278 --enddatetime 2017-06-11T11:06:44 --enforcementcount 0 &gt;&gt;C:\Users\stu\Documents\GitHub\eaglep3-reporting\EC\2017-06-11-refined-times.txt</v>
      </c>
      <c r="AI6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{"issue":{"subject":"","project_id":79,"tracker_id":40,"status_id":1,"priority_id":2,"assigned_to_id":23,"start_date":"2017-06-11","description":"","custom_fields":[{"id":1,"name":"Subdivision","value":"EC"},{"id":4,"name":"Milepost","value":"23.3278"},{"id":17,"name":"Train ID","value":"155-11"},{"id":16,"name":"Locomotive ID","value":"4050"},{"id":130,"name":"Impact","value":""},{"id":150,"name":"Time of Event (Mountain Time)","value":"11:06:44"},{"id":151,"name":"Denver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4050 --day 2017-06-11</v>
      </c>
      <c r="AN6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4049</v>
      </c>
      <c r="C68" s="21" t="s">
        <v>204</v>
      </c>
      <c r="D68" s="21" t="s">
        <v>854</v>
      </c>
      <c r="E68" s="13">
        <v>42897.465254629627</v>
      </c>
      <c r="F68" s="13">
        <v>42897.477465277778</v>
      </c>
      <c r="G68" s="7">
        <v>1</v>
      </c>
      <c r="H68" s="21" t="s">
        <v>363</v>
      </c>
      <c r="I68" s="13">
        <v>42897.504108796296</v>
      </c>
      <c r="J68" s="7">
        <v>0</v>
      </c>
      <c r="K68" s="92" t="str">
        <f t="shared" si="0"/>
        <v>4049/4050</v>
      </c>
      <c r="L68" s="21" t="str">
        <f>VLOOKUP(A68,'Trips&amp;Operators'!$C$1:$G$99999,5,FALSE)</f>
        <v>GUZMAN DANNY</v>
      </c>
      <c r="M68" s="6">
        <f t="shared" si="1"/>
        <v>2.6643518518540077E-2</v>
      </c>
      <c r="N68" s="7">
        <f t="shared" si="2"/>
        <v>38.366666666697711</v>
      </c>
      <c r="O68" s="7"/>
      <c r="P68" s="7"/>
      <c r="Q68" s="22"/>
      <c r="R68" s="173"/>
      <c r="S68" s="176">
        <f t="shared" si="3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-11T10:09:58-0600',mode:absolute,to:'2017-06-11T13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204" t="str">
        <f t="shared" si="6"/>
        <v>N</v>
      </c>
      <c r="X68" s="204">
        <f t="shared" si="23"/>
        <v>1</v>
      </c>
      <c r="Y68" s="204">
        <f t="shared" si="24"/>
        <v>23.2957</v>
      </c>
      <c r="Z68" s="204">
        <f t="shared" si="25"/>
        <v>1.47E-2</v>
      </c>
      <c r="AA68" s="204">
        <f t="shared" si="10"/>
        <v>23.280999999999999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0156-11</v>
      </c>
      <c r="AE68" s="80" t="str">
        <f t="shared" si="12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68" s="77" t="str">
        <f t="shared" si="13"/>
        <v>"C:\Program Files (x86)\AstroGrep\AstroGrep.exe" /e /r /s /spath="%USERPROFILE%\AppData\Local\Temp\OnboardLogs" /stypes="app*4049*20170611*"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156-11 --locoid 4049 --swversion DE.1.0.9.0 --startMP 204:232957 --initTime 2017-06-11T11:09:58 --startdatetime 2017-06-11T11:27:33 --delay 1 --endMP 204:147 --enddatetime 2017-06-11T12:05:55 --enforcementcount 0 &gt;&gt;C:\Users\stu\Documents\GitHub\eaglep3-reporting\EC\2017-06-11-refined-times.txt</v>
      </c>
      <c r="AI68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ID","value":"156-11"},{"id":16,"name":"Locomotive ID","value":"4049"},{"id":130,"name":"Impact","value":""},{"id":150,"name":"Time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4049 --day 2017-06-11</v>
      </c>
      <c r="AN68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719</v>
      </c>
      <c r="B69" s="7">
        <v>4054</v>
      </c>
      <c r="C69" s="21" t="s">
        <v>204</v>
      </c>
      <c r="D69" s="21" t="s">
        <v>355</v>
      </c>
      <c r="E69" s="13">
        <v>42897.444826388892</v>
      </c>
      <c r="F69" s="13">
        <v>42897.44809027778</v>
      </c>
      <c r="G69" s="7">
        <v>1</v>
      </c>
      <c r="H69" s="21" t="s">
        <v>459</v>
      </c>
      <c r="I69" s="13">
        <v>42897.473541666666</v>
      </c>
      <c r="J69" s="7">
        <v>0</v>
      </c>
      <c r="K69" s="92" t="str">
        <f t="shared" si="0"/>
        <v>4053/4054</v>
      </c>
      <c r="L69" s="21" t="str">
        <f>VLOOKUP(A69,'Trips&amp;Operators'!$C$1:$G$99999,5,FALSE)</f>
        <v>BROWN JACOB</v>
      </c>
      <c r="M69" s="6">
        <f t="shared" si="1"/>
        <v>2.545138888672227E-2</v>
      </c>
      <c r="N69" s="7">
        <f t="shared" si="2"/>
        <v>36.649999996880069</v>
      </c>
      <c r="O69" s="7"/>
      <c r="P69" s="7"/>
      <c r="Q69" s="22"/>
      <c r="R69" s="173"/>
      <c r="S69" s="176">
        <f t="shared" si="3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-11T09:40:33-0600',mode:absolute,to:'2017-06-11T12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204" t="str">
        <f t="shared" si="6"/>
        <v>N</v>
      </c>
      <c r="X69" s="204">
        <f t="shared" si="23"/>
        <v>1</v>
      </c>
      <c r="Y69" s="204">
        <f t="shared" si="24"/>
        <v>4.5100000000000001E-2</v>
      </c>
      <c r="Z69" s="204">
        <f t="shared" si="25"/>
        <v>23.328900000000001</v>
      </c>
      <c r="AA69" s="204">
        <f t="shared" si="10"/>
        <v>23.283799999999999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0157-11</v>
      </c>
      <c r="AE69" s="80" t="str">
        <f t="shared" si="12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69" s="77" t="str">
        <f t="shared" si="13"/>
        <v>"C:\Program Files (x86)\AstroGrep\AstroGrep.exe" /e /r /s /spath="%USERPROFILE%\AppData\Local\Temp\OnboardLogs" /stypes="app*4054*20170611*"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157-11 --locoid 4054 --swversion DE.1.0.9.0 --startMP 204:451 --initTime 2017-06-11T10:40:33 --startdatetime 2017-06-11T10:45:15 --delay 1 --endMP 204:233289 --enddatetime 2017-06-11T11:21:54 --enforcementcount 0 &gt;&gt;C:\Users\stu\Documents\GitHub\eaglep3-reporting\EC\2017-06-11-refined-times.txt</v>
      </c>
      <c r="AI69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{"issue":{"subject":"","project_id":79,"tracker_id":40,"status_id":1,"priority_id":2,"assigned_to_id":23,"start_date":"2017-06-11","description":"","custom_fields":[{"id":1,"name":"Subdivision","value":"EC"},{"id":4,"name":"Milepost","value":"23.3289"},{"id":17,"name":"Train ID","value":"157-11"},{"id":16,"name":"Locomotive ID","value":"4054"},{"id":130,"name":"Impact","value":""},{"id":150,"name":"Time of Event (Mountain Time)","value":"11:21:54"},{"id":151,"name":"Denver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4054 --day 2017-06-11</v>
      </c>
      <c r="AN69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724</v>
      </c>
      <c r="B70" s="7">
        <v>4053</v>
      </c>
      <c r="C70" s="21" t="s">
        <v>204</v>
      </c>
      <c r="D70" s="21" t="s">
        <v>853</v>
      </c>
      <c r="E70" s="13">
        <v>42897.482581018521</v>
      </c>
      <c r="F70" s="13">
        <v>42897.487673611111</v>
      </c>
      <c r="G70" s="7">
        <v>2</v>
      </c>
      <c r="H70" s="21" t="s">
        <v>363</v>
      </c>
      <c r="I70" s="13">
        <v>42897.514444444445</v>
      </c>
      <c r="J70" s="7">
        <v>0</v>
      </c>
      <c r="K70" s="92" t="str">
        <f t="shared" si="0"/>
        <v>4053/4054</v>
      </c>
      <c r="L70" s="21" t="str">
        <f>VLOOKUP(A70,'Trips&amp;Operators'!$C$1:$G$99999,5,FALSE)</f>
        <v>BROWN JACOB</v>
      </c>
      <c r="M70" s="6">
        <f t="shared" si="1"/>
        <v>2.6770833334012423E-2</v>
      </c>
      <c r="N70" s="7">
        <f t="shared" si="2"/>
        <v>38.550000000977889</v>
      </c>
      <c r="O70" s="7"/>
      <c r="P70" s="7"/>
      <c r="Q70" s="22"/>
      <c r="R70" s="173"/>
      <c r="S70" s="176">
        <f t="shared" si="3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-11T10:34:55-0600',mode:absolute,to:'2017-06-11T13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204" t="str">
        <f t="shared" si="6"/>
        <v>N</v>
      </c>
      <c r="X70" s="204">
        <f t="shared" si="23"/>
        <v>1</v>
      </c>
      <c r="Y70" s="204">
        <f t="shared" si="24"/>
        <v>23.300599999999999</v>
      </c>
      <c r="Z70" s="204">
        <f t="shared" si="25"/>
        <v>1.47E-2</v>
      </c>
      <c r="AA70" s="204">
        <f t="shared" si="10"/>
        <v>23.285899999999998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0158-11</v>
      </c>
      <c r="AE70" s="80" t="str">
        <f t="shared" si="12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70" s="77" t="str">
        <f t="shared" si="13"/>
        <v>"C:\Program Files (x86)\AstroGrep\AstroGrep.exe" /e /r /s /spath="%USERPROFILE%\AppData\Local\Temp\OnboardLogs" /stypes="app*4053*20170611*"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158-11 --locoid 4053 --swversion DE.1.0.9.0 --startMP 204:233006 --initTime 2017-06-11T11:34:55 --startdatetime 2017-06-11T11:42:15 --delay 2 --endMP 204:147 --enddatetime 2017-06-11T12:20:48 --enforcementcount 0 &gt;&gt;C:\Users\stu\Documents\GitHub\eaglep3-reporting\EC\2017-06-11-refined-times.txt</v>
      </c>
      <c r="AI70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ID","value":"158-11"},{"id":16,"name":"Locomotive ID","value":"4053"},{"id":130,"name":"Impact","value":""},{"id":150,"name":"Time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4053 --day 2017-06-11</v>
      </c>
      <c r="AN70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627</v>
      </c>
      <c r="B71" s="7">
        <v>4010</v>
      </c>
      <c r="C71" s="21" t="s">
        <v>204</v>
      </c>
      <c r="D71" s="21" t="s">
        <v>840</v>
      </c>
      <c r="E71" s="13">
        <v>42897.455740740741</v>
      </c>
      <c r="F71" s="13">
        <v>42897.458715277775</v>
      </c>
      <c r="G71" s="7">
        <v>3</v>
      </c>
      <c r="H71" s="21" t="s">
        <v>855</v>
      </c>
      <c r="I71" s="13">
        <v>42897.483622685184</v>
      </c>
      <c r="J71" s="7">
        <v>0</v>
      </c>
      <c r="K71" s="92" t="str">
        <f t="shared" si="0"/>
        <v>4009/4010</v>
      </c>
      <c r="L71" s="21" t="str">
        <f>VLOOKUP(A71,'Trips&amp;Operators'!$C$1:$G$99999,5,FALSE)</f>
        <v>MACDONALD THOMAS</v>
      </c>
      <c r="M71" s="6">
        <f t="shared" si="1"/>
        <v>2.4907407409045845E-2</v>
      </c>
      <c r="N71" s="7">
        <f t="shared" si="2"/>
        <v>35.866666669026017</v>
      </c>
      <c r="O71" s="7"/>
      <c r="P71" s="7"/>
      <c r="Q71" s="22"/>
      <c r="R71" s="173"/>
      <c r="S71" s="176">
        <f t="shared" si="3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-11T09:56:16-0600',mode:absolute,to:'2017-06-11T12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204" t="str">
        <f t="shared" si="6"/>
        <v>N</v>
      </c>
      <c r="X71" s="204">
        <f t="shared" si="23"/>
        <v>1</v>
      </c>
      <c r="Y71" s="204">
        <f t="shared" si="24"/>
        <v>4.7500000000000001E-2</v>
      </c>
      <c r="Z71" s="204">
        <f t="shared" si="25"/>
        <v>23.328199999999999</v>
      </c>
      <c r="AA71" s="204">
        <f t="shared" si="10"/>
        <v>23.2807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0159-11</v>
      </c>
      <c r="AE71" s="80" t="str">
        <f t="shared" si="12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71" s="77" t="str">
        <f t="shared" si="13"/>
        <v>"C:\Program Files (x86)\AstroGrep\AstroGrep.exe" /e /r /s /spath="%USERPROFILE%\AppData\Local\Temp\OnboardLogs" /stypes="app*4010*20170611*"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159-11 --locoid 4010 --swversion DE.1.0.9.0 --startMP 204:475 --initTime 2017-06-11T10:56:16 --startdatetime 2017-06-11T11:00:33 --delay 3 --endMP 204:233282 --enddatetime 2017-06-11T11:36:25 --enforcementcount 0 &gt;&gt;C:\Users\stu\Documents\GitHub\eaglep3-reporting\EC\2017-06-11-refined-times.txt</v>
      </c>
      <c r="AI71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{"issue":{"subject":"","project_id":79,"tracker_id":40,"status_id":1,"priority_id":2,"assigned_to_id":23,"start_date":"2017-06-11","description":"","custom_fields":[{"id":1,"name":"Subdivision","value":"EC"},{"id":4,"name":"Milepost","value":"23.3282"},{"id":17,"name":"Train ID","value":"159-11"},{"id":16,"name":"Locomotive ID","value":"4010"},{"id":130,"name":"Impact","value":""},{"id":150,"name":"Time of Event (Mountain Time)","value":"11:36:25"},{"id":151,"name":"Denver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4010 --day 2017-06-11</v>
      </c>
      <c r="AN71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630</v>
      </c>
      <c r="B72" s="7">
        <v>4009</v>
      </c>
      <c r="C72" s="21" t="s">
        <v>204</v>
      </c>
      <c r="D72" s="21" t="s">
        <v>856</v>
      </c>
      <c r="E72" s="13">
        <v>42897.491747685184</v>
      </c>
      <c r="F72" s="13">
        <v>42897.498530092591</v>
      </c>
      <c r="G72" s="7">
        <v>6</v>
      </c>
      <c r="H72" s="21" t="s">
        <v>857</v>
      </c>
      <c r="I72" s="13">
        <v>42897.525914351849</v>
      </c>
      <c r="J72" s="7">
        <v>0</v>
      </c>
      <c r="K72" s="92" t="str">
        <f t="shared" si="0"/>
        <v>4009/4010</v>
      </c>
      <c r="L72" s="21" t="str">
        <f>VLOOKUP(A72,'Trips&amp;Operators'!$C$1:$G$99999,5,FALSE)</f>
        <v>MACDONALD THOMAS</v>
      </c>
      <c r="M72" s="6">
        <f t="shared" si="1"/>
        <v>2.7384259257814847E-2</v>
      </c>
      <c r="N72" s="7">
        <f t="shared" si="2"/>
        <v>39.43333333125338</v>
      </c>
      <c r="O72" s="7"/>
      <c r="P72" s="7"/>
      <c r="Q72" s="22"/>
      <c r="R72" s="173"/>
      <c r="S72" s="176">
        <f t="shared" si="3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-11T10:48:07-0600',mode:absolute,to:'2017-06-11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204" t="str">
        <f t="shared" si="6"/>
        <v>N</v>
      </c>
      <c r="X72" s="204">
        <f t="shared" si="23"/>
        <v>1</v>
      </c>
      <c r="Y72" s="204">
        <f t="shared" si="24"/>
        <v>23.295500000000001</v>
      </c>
      <c r="Z72" s="204">
        <f t="shared" si="25"/>
        <v>1.67E-2</v>
      </c>
      <c r="AA72" s="204">
        <f t="shared" si="10"/>
        <v>23.2788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0160-11</v>
      </c>
      <c r="AE72" s="80" t="str">
        <f t="shared" si="12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72" s="77" t="str">
        <f t="shared" si="13"/>
        <v>"C:\Program Files (x86)\AstroGrep\AstroGrep.exe" /e /r /s /spath="%USERPROFILE%\AppData\Local\Temp\OnboardLogs" /stypes="app*4009*20170611*"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160-11 --locoid 4009 --swversion DE.1.0.9.0 --startMP 204:232955 --initTime 2017-06-11T11:48:07 --startdatetime 2017-06-11T11:57:53 --delay 6 --endMP 204:167 --enddatetime 2017-06-11T12:37:19 --enforcementcount 0 &gt;&gt;C:\Users\stu\Documents\GitHub\eaglep3-reporting\EC\2017-06-11-refined-times.txt</v>
      </c>
      <c r="AI72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{"issue":{"subject":"","project_id":79,"tracker_id":40,"status_id":1,"priority_id":2,"assigned_to_id":23,"start_date":"2017-06-11","description":"","custom_fields":[{"id":1,"name":"Subdivision","value":"EC"},{"id":4,"name":"Milepost","value":"0.0167"},{"id":17,"name":"Train ID","value":"160-11"},{"id":16,"name":"Locomotive ID","value":"4009"},{"id":130,"name":"Impact","value":""},{"id":150,"name":"Time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4009 --day 2017-06-11</v>
      </c>
      <c r="AN72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4020</v>
      </c>
      <c r="C73" s="21" t="s">
        <v>204</v>
      </c>
      <c r="D73" s="21" t="s">
        <v>858</v>
      </c>
      <c r="E73" s="13">
        <v>42897.464594907404</v>
      </c>
      <c r="F73" s="13">
        <v>42897.469351851854</v>
      </c>
      <c r="G73" s="7">
        <v>1</v>
      </c>
      <c r="H73" s="21" t="s">
        <v>507</v>
      </c>
      <c r="I73" s="13">
        <v>42897.494953703703</v>
      </c>
      <c r="J73" s="7">
        <v>0</v>
      </c>
      <c r="K73" s="92" t="str">
        <f t="shared" si="0"/>
        <v>4019/4020</v>
      </c>
      <c r="L73" s="21" t="str">
        <f>VLOOKUP(A73,'Trips&amp;Operators'!$C$1:$G$99999,5,FALSE)</f>
        <v>DAVIS MICHAEL</v>
      </c>
      <c r="M73" s="6">
        <f t="shared" si="1"/>
        <v>2.5601851848477963E-2</v>
      </c>
      <c r="N73" s="7">
        <f t="shared" si="2"/>
        <v>36.866666661808267</v>
      </c>
      <c r="O73" s="7"/>
      <c r="P73" s="7"/>
      <c r="Q73" s="22"/>
      <c r="R73" s="173"/>
      <c r="S73" s="176">
        <f t="shared" si="3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-11T10:09:01-0600',mode:absolute,to:'2017-06-11T12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04" t="str">
        <f t="shared" si="6"/>
        <v>N</v>
      </c>
      <c r="X73" s="204">
        <f t="shared" si="23"/>
        <v>1</v>
      </c>
      <c r="Y73" s="204">
        <f t="shared" si="24"/>
        <v>4.8800000000000003E-2</v>
      </c>
      <c r="Z73" s="204">
        <f t="shared" si="25"/>
        <v>23.332100000000001</v>
      </c>
      <c r="AA73" s="204">
        <f t="shared" si="10"/>
        <v>23.283300000000001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0161-11</v>
      </c>
      <c r="AE73" s="80" t="str">
        <f t="shared" si="12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73" s="77" t="str">
        <f t="shared" si="13"/>
        <v>"C:\Program Files (x86)\AstroGrep\AstroGrep.exe" /e /r /s /spath="%USERPROFILE%\AppData\Local\Temp\OnboardLogs" /stypes="app*4020*20170611*"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161-11 --locoid 4020 --swversion DE.1.0.9.0 --startMP 204:488 --initTime 2017-06-11T11:09:01 --startdatetime 2017-06-11T11:15:52 --delay 1 --endMP 204:233321 --enddatetime 2017-06-11T11:52:44 --enforcementcount 0 &gt;&gt;C:\Users\stu\Documents\GitHub\eaglep3-reporting\EC\2017-06-11-refined-times.txt</v>
      </c>
      <c r="AI73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{"issue":{"subject":"","project_id":79,"tracker_id":40,"status_id":1,"priority_id":2,"assigned_to_id":23,"start_date":"2017-06-11","description":"","custom_fields":[{"id":1,"name":"Subdivision","value":"EC"},{"id":4,"name":"Milepost","value":"23.3321"},{"id":17,"name":"Train ID","value":"161-11"},{"id":16,"name":"Locomotive ID","value":"4020"},{"id":130,"name":"Impact","value":""},{"id":150,"name":"Time of Event (Mountain Time)","value":"11:52:44"},{"id":151,"name":"Denver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4020 --day 2017-06-11</v>
      </c>
      <c r="AN73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729</v>
      </c>
      <c r="B74" s="7">
        <v>4019</v>
      </c>
      <c r="C74" s="21" t="s">
        <v>204</v>
      </c>
      <c r="D74" s="21" t="s">
        <v>859</v>
      </c>
      <c r="E74" s="13">
        <v>42897.505798611113</v>
      </c>
      <c r="F74" s="13">
        <v>42897.508773148147</v>
      </c>
      <c r="G74" s="7">
        <v>1</v>
      </c>
      <c r="H74" s="21" t="s">
        <v>351</v>
      </c>
      <c r="I74" s="13">
        <v>42897.535844907405</v>
      </c>
      <c r="J74" s="7">
        <v>0</v>
      </c>
      <c r="K74" s="92" t="str">
        <f t="shared" si="0"/>
        <v>4019/4020</v>
      </c>
      <c r="L74" s="21" t="str">
        <f>VLOOKUP(A74,'Trips&amp;Operators'!$C$1:$G$99999,5,FALSE)</f>
        <v>DAVIS MICHAEL</v>
      </c>
      <c r="M74" s="6">
        <f t="shared" si="1"/>
        <v>2.7071759257523809E-2</v>
      </c>
      <c r="N74" s="7">
        <f t="shared" si="2"/>
        <v>38.983333330834284</v>
      </c>
      <c r="O74" s="7"/>
      <c r="P74" s="7"/>
      <c r="Q74" s="22"/>
      <c r="R74" s="173"/>
      <c r="S74" s="176">
        <f t="shared" si="3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-11T11:08:21-0600',mode:absolute,to:'2017-06-11T13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04" t="str">
        <f t="shared" si="6"/>
        <v>N</v>
      </c>
      <c r="X74" s="204">
        <f t="shared" si="23"/>
        <v>1</v>
      </c>
      <c r="Y74" s="204">
        <f t="shared" si="24"/>
        <v>23.3002</v>
      </c>
      <c r="Z74" s="204">
        <f t="shared" si="25"/>
        <v>1.4999999999999999E-2</v>
      </c>
      <c r="AA74" s="204">
        <f t="shared" si="10"/>
        <v>23.2852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0162-11</v>
      </c>
      <c r="AE74" s="80" t="str">
        <f t="shared" si="12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74" s="77" t="str">
        <f t="shared" si="13"/>
        <v>"C:\Program Files (x86)\AstroGrep\AstroGrep.exe" /e /r /s /spath="%USERPROFILE%\AppData\Local\Temp\OnboardLogs" /stypes="app*4019*20170611*"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162-11 --locoid 4019 --swversion DE.1.0.9.0 --startMP 204:233002 --initTime 2017-06-11T12:08:21 --startdatetime 2017-06-11T12:12:38 --delay 1 --endMP 204:150 --enddatetime 2017-06-11T12:51:37 --enforcementcount 0 &gt;&gt;C:\Users\stu\Documents\GitHub\eaglep3-reporting\EC\2017-06-11-refined-times.txt</v>
      </c>
      <c r="AI74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ID","value":"162-11"},{"id":16,"name":"Locomotive ID","value":"4019"},{"id":130,"name":"Impact","value":""},{"id":150,"name":"Time of Event (Mountain Time)","value":"12:51:37"},{"id":151,"name":"Denver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4019 --day 2017-06-11</v>
      </c>
      <c r="AN74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628</v>
      </c>
      <c r="B75" s="7">
        <v>4002</v>
      </c>
      <c r="C75" s="21" t="s">
        <v>204</v>
      </c>
      <c r="D75" s="21" t="s">
        <v>465</v>
      </c>
      <c r="E75" s="13">
        <v>42897.474305555559</v>
      </c>
      <c r="F75" s="13">
        <v>42897.479513888888</v>
      </c>
      <c r="G75" s="7">
        <v>2</v>
      </c>
      <c r="H75" s="21" t="s">
        <v>860</v>
      </c>
      <c r="I75" s="13">
        <v>42897.506006944444</v>
      </c>
      <c r="J75" s="7">
        <v>0</v>
      </c>
      <c r="K75" s="92" t="str">
        <f t="shared" si="0"/>
        <v>4001/4002</v>
      </c>
      <c r="L75" s="21" t="str">
        <f>VLOOKUP(A75,'Trips&amp;Operators'!$C$1:$G$99999,5,FALSE)</f>
        <v>BRANDNER MELINDA</v>
      </c>
      <c r="M75" s="6">
        <f t="shared" si="1"/>
        <v>2.6493055556784384E-2</v>
      </c>
      <c r="N75" s="7">
        <f t="shared" si="2"/>
        <v>38.150000001769513</v>
      </c>
      <c r="O75" s="7"/>
      <c r="P75" s="7"/>
      <c r="Q75" s="22"/>
      <c r="R75" s="173"/>
      <c r="S75" s="176">
        <f t="shared" si="3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-11T10:23:00-0600',mode:absolute,to:'2017-06-11T13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204" t="str">
        <f t="shared" si="6"/>
        <v>N</v>
      </c>
      <c r="X75" s="204">
        <f t="shared" si="23"/>
        <v>1</v>
      </c>
      <c r="Y75" s="204">
        <f t="shared" si="24"/>
        <v>4.4400000000000002E-2</v>
      </c>
      <c r="Z75" s="204">
        <f t="shared" si="25"/>
        <v>23.343900000000001</v>
      </c>
      <c r="AA75" s="204">
        <f t="shared" si="10"/>
        <v>23.299500000000002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0163-11</v>
      </c>
      <c r="AE75" s="80" t="str">
        <f t="shared" si="12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75" s="77" t="str">
        <f t="shared" si="13"/>
        <v>"C:\Program Files (x86)\AstroGrep\AstroGrep.exe" /e /r /s /spath="%USERPROFILE%\AppData\Local\Temp\OnboardLogs" /stypes="app*4002*20170611*"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163-11 --locoid 4002 --swversion DE.1.0.9.0 --startMP 204:444 --initTime 2017-06-11T11:23:00 --startdatetime 2017-06-11T11:30:30 --delay 2 --endMP 204:233439 --enddatetime 2017-06-11T12:08:39 --enforcementcount 0 &gt;&gt;C:\Users\stu\Documents\GitHub\eaglep3-reporting\EC\2017-06-11-refined-times.txt</v>
      </c>
      <c r="AI75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{"issue":{"subject":"","project_id":79,"tracker_id":40,"status_id":1,"priority_id":2,"assigned_to_id":23,"start_date":"2017-06-11","description":"","custom_fields":[{"id":1,"name":"Subdivision","value":"EC"},{"id":4,"name":"Milepost","value":"23.3439"},{"id":17,"name":"Train ID","value":"163-11"},{"id":16,"name":"Locomotive ID","value":"4002"},{"id":130,"name":"Impact","value":""},{"id":150,"name":"Time of Event (Mountain Time)","value":"12:08:39"},{"id":151,"name":"Denver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4002 --day 2017-06-11</v>
      </c>
      <c r="AN75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631</v>
      </c>
      <c r="B76" s="7">
        <v>4001</v>
      </c>
      <c r="C76" s="21" t="s">
        <v>204</v>
      </c>
      <c r="D76" s="21" t="s">
        <v>861</v>
      </c>
      <c r="E76" s="13">
        <v>42897.515960648147</v>
      </c>
      <c r="F76" s="13">
        <v>42897.519016203703</v>
      </c>
      <c r="G76" s="7">
        <v>3</v>
      </c>
      <c r="H76" s="21" t="s">
        <v>352</v>
      </c>
      <c r="I76" s="13">
        <v>42897.546238425923</v>
      </c>
      <c r="J76" s="7">
        <v>0</v>
      </c>
      <c r="K76" s="92" t="str">
        <f t="shared" si="0"/>
        <v>4001/4002</v>
      </c>
      <c r="L76" s="21" t="str">
        <f>VLOOKUP(A76,'Trips&amp;Operators'!$C$1:$G$99999,5,FALSE)</f>
        <v>BRANDNER MELINDA</v>
      </c>
      <c r="M76" s="6">
        <f t="shared" si="1"/>
        <v>2.7222222219279502E-2</v>
      </c>
      <c r="N76" s="7">
        <f t="shared" si="2"/>
        <v>39.199999995762482</v>
      </c>
      <c r="O76" s="7"/>
      <c r="P76" s="7"/>
      <c r="Q76" s="22"/>
      <c r="R76" s="173"/>
      <c r="S76" s="176">
        <f t="shared" si="3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-11T11:22:59-0600',mode:absolute,to:'2017-06-11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204" t="str">
        <f t="shared" si="6"/>
        <v>N</v>
      </c>
      <c r="X76" s="204">
        <f t="shared" si="23"/>
        <v>1</v>
      </c>
      <c r="Y76" s="204">
        <f t="shared" si="24"/>
        <v>23.309899999999999</v>
      </c>
      <c r="Z76" s="204">
        <f t="shared" si="25"/>
        <v>1.49E-2</v>
      </c>
      <c r="AA76" s="204">
        <f t="shared" si="10"/>
        <v>23.294999999999998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0164-11</v>
      </c>
      <c r="AE76" s="80" t="str">
        <f t="shared" si="12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76" s="77" t="str">
        <f t="shared" si="13"/>
        <v>"C:\Program Files (x86)\AstroGrep\AstroGrep.exe" /e /r /s /spath="%USERPROFILE%\AppData\Local\Temp\OnboardLogs" /stypes="app*4001*20170611*"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164-11 --locoid 4001 --swversion DE.1.0.9.0 --startMP 204:233099 --initTime 2017-06-11T12:22:59 --startdatetime 2017-06-11T12:27:23 --delay 3 --endMP 204:149 --enddatetime 2017-06-11T13:06:35 --enforcementcount 0 &gt;&gt;C:\Users\stu\Documents\GitHub\eaglep3-reporting\EC\2017-06-11-refined-times.txt</v>
      </c>
      <c r="AI76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{"issue":{"subject":"","project_id":79,"tracker_id":40,"status_id":1,"priority_id":2,"assigned_to_id":23,"start_date":"2017-06-11","description":"","custom_fields":[{"id":1,"name":"Subdivision","value":"EC"},{"id":4,"name":"Milepost","value":"0.0149"},{"id":17,"name":"Train ID","value":"164-11"},{"id":16,"name":"Locomotive ID","value":"4001"},{"id":130,"name":"Impact","value":""},{"id":150,"name":"Time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4001 --day 2017-06-11</v>
      </c>
      <c r="AN76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726</v>
      </c>
      <c r="B77" s="7">
        <v>4040</v>
      </c>
      <c r="C77" s="21" t="s">
        <v>204</v>
      </c>
      <c r="D77" s="21" t="s">
        <v>345</v>
      </c>
      <c r="E77" s="13">
        <v>42897.485474537039</v>
      </c>
      <c r="F77" s="13">
        <v>42897.489803240744</v>
      </c>
      <c r="G77" s="7">
        <v>2</v>
      </c>
      <c r="H77" s="21" t="s">
        <v>838</v>
      </c>
      <c r="I77" s="13">
        <v>42897.515011574076</v>
      </c>
      <c r="J77" s="7">
        <v>0</v>
      </c>
      <c r="K77" s="92" t="str">
        <f t="shared" ref="K77:K140" si="26">IF(ISEVEN(B77),(B77-1)&amp;"/"&amp;B77,B77&amp;"/"&amp;(B77+1))</f>
        <v>4039/4040</v>
      </c>
      <c r="L77" s="21" t="str">
        <f>VLOOKUP(A77,'Trips&amp;Operators'!$C$1:$G$99999,5,FALSE)</f>
        <v>BRUDER RICHARD</v>
      </c>
      <c r="M77" s="6">
        <f t="shared" ref="M77:M140" si="27">I77-F77</f>
        <v>2.5208333332557231E-2</v>
      </c>
      <c r="N77" s="7">
        <f t="shared" ref="N77:N140" si="28">24*60*SUM($M77:$M77)</f>
        <v>36.299999998882413</v>
      </c>
      <c r="O77" s="7"/>
      <c r="P77" s="7"/>
      <c r="Q77" s="22"/>
      <c r="R77" s="173"/>
      <c r="S77" s="176">
        <f t="shared" ref="S77:S140" si="29">SUM(U77:U77)/IF(AG77="EC",12,1)</f>
        <v>1</v>
      </c>
      <c r="T77" s="202" t="str">
        <f t="shared" ref="T77:T140" si="3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-11T10:39:05-0600',mode:absolute,to:'2017-06-11T13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204" t="str">
        <f t="shared" ref="W77:W140" si="32">IF(AA77&lt;IF(AG77="EC",23,5.65),"Y","N")</f>
        <v>N</v>
      </c>
      <c r="X77" s="204">
        <f t="shared" si="23"/>
        <v>1</v>
      </c>
      <c r="Y77" s="204">
        <f t="shared" si="24"/>
        <v>4.4900000000000002E-2</v>
      </c>
      <c r="Z77" s="204">
        <f t="shared" si="25"/>
        <v>23.331199999999999</v>
      </c>
      <c r="AA77" s="204">
        <f t="shared" ref="AA77:AA140" si="33">ABS(Z77-Y77)</f>
        <v>23.286300000000001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4">IF(LEN(A77)=6,"0"&amp;A77,A77)</f>
        <v>0165-11</v>
      </c>
      <c r="AE77" s="80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77" s="77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/stypes="app*4040*20170611*"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37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165-11 --locoid 4040 --swversion DE.1.0.9.0 --startMP 204:449 --initTime 2017-06-11T11:39:05 --startdatetime 2017-06-11T11:45:19 --delay 2 --endMP 204:233312 --enddatetime 2017-06-11T12:21:37 --enforcementcount 0 &gt;&gt;C:\Users\stu\Documents\GitHub\eaglep3-reporting\EC\2017-06-11-refined-times.txt</v>
      </c>
      <c r="AI77" s="99" t="str">
        <f t="shared" si="20"/>
        <v>echo {"issue":{"subject":"","project_id":79,"tracker_id":40,"status_id":1,"priority_id":2,"assigned_to_id":23,"start_date":"2017-06-11","description":"","custom_fields":[{"id":1,"name":"Subdivision","value":"EC"},{"id":4,"name":"Milepost","value":"23.3312"},{"id":17,"name":"Train ID","value":"165-11"},{"id":16,"name":"Locomotive ID","value":"4040"},{"id":130,"name":"Impact","value":""},{"id":150,"name":"Time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4040 --day 2017-06-11</v>
      </c>
      <c r="AN77" s="154" t="str">
        <f t="shared" si="2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734</v>
      </c>
      <c r="B78" s="7">
        <v>4039</v>
      </c>
      <c r="C78" s="21" t="s">
        <v>204</v>
      </c>
      <c r="D78" s="21" t="s">
        <v>471</v>
      </c>
      <c r="E78" s="13">
        <v>42897.523900462962</v>
      </c>
      <c r="F78" s="13">
        <v>42897.529351851852</v>
      </c>
      <c r="G78" s="7">
        <v>1</v>
      </c>
      <c r="H78" s="21" t="s">
        <v>457</v>
      </c>
      <c r="I78" s="13">
        <v>42897.555196759262</v>
      </c>
      <c r="J78" s="7">
        <v>0</v>
      </c>
      <c r="K78" s="92" t="str">
        <f t="shared" si="26"/>
        <v>4039/4040</v>
      </c>
      <c r="L78" s="21" t="str">
        <f>VLOOKUP(A78,'Trips&amp;Operators'!$C$1:$G$99999,5,FALSE)</f>
        <v>BRUDER RICHARD</v>
      </c>
      <c r="M78" s="6">
        <f t="shared" si="27"/>
        <v>2.584490740991896E-2</v>
      </c>
      <c r="N78" s="7">
        <f t="shared" si="28"/>
        <v>37.216666670283303</v>
      </c>
      <c r="O78" s="7"/>
      <c r="P78" s="7"/>
      <c r="Q78" s="22"/>
      <c r="R78" s="173"/>
      <c r="S78" s="176">
        <f t="shared" si="29"/>
        <v>1</v>
      </c>
      <c r="T78" s="202" t="str">
        <f t="shared" si="30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-06-11T11:34:25-0600',mode:absolute,to:'2017-06-11T14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204" t="str">
        <f t="shared" si="32"/>
        <v>N</v>
      </c>
      <c r="X78" s="204">
        <f t="shared" si="23"/>
        <v>1</v>
      </c>
      <c r="Y78" s="204">
        <f t="shared" si="24"/>
        <v>23.2989</v>
      </c>
      <c r="Z78" s="204">
        <f t="shared" si="25"/>
        <v>1.6299999999999999E-2</v>
      </c>
      <c r="AA78" s="204">
        <f t="shared" si="33"/>
        <v>23.282599999999999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4"/>
        <v>0166-11</v>
      </c>
      <c r="AE78" s="80" t="str">
        <f t="shared" si="35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78" s="77" t="str">
        <f t="shared" si="36"/>
        <v>"C:\Program Files (x86)\AstroGrep\AstroGrep.exe" /e /r /s /spath="%USERPROFILE%\AppData\Local\Temp\OnboardLogs" /stypes="app*4039*20170611*" /stext=" 19:.+((SYSTEM_STATE.+slice.+state.+changed )|(ment ac)|(multiple cpu faults)|(system.+state.+changed )|(\[timeout)|(PRM\|1\|D)|(kpr)|(kdp)|(train st.+moving)|(\|lc)|(penalty))"</v>
      </c>
      <c r="AG78" s="1" t="str">
        <f t="shared" si="37"/>
        <v>EC</v>
      </c>
      <c r="AH78" s="81" t="str">
        <f t="shared" ref="AH78:AH140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166-11 --locoid 4039 --swversion DE.1.0.9.0 --startMP 204:232989 --initTime 2017-06-11T12:34:25 --startdatetime 2017-06-11T12:42:16 --delay 1 --endMP 204:163 --enddatetime 2017-06-11T13:19:29 --enforcementcount 0 &gt;&gt;C:\Users\stu\Documents\GitHub\eaglep3-reporting\EC\2017-06-11-refined-times.txt</v>
      </c>
      <c r="AI78" s="99" t="str">
        <f t="shared" ref="AI78:AI140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{"issue":{"subject":"","project_id":79,"tracker_id":40,"status_id":1,"priority_id":2,"assigned_to_id":23,"start_date":"2017-06-11","description":"","custom_fields":[{"id":1,"name":"Subdivision","value":"EC"},{"id":4,"name":"Milepost","value":"0.0163"},{"id":17,"name":"Train ID","value":"166-11"},{"id":16,"name":"Locomotive ID","value":"4039"},{"id":130,"name":"Impact","value":""},{"id":150,"name":"Time of Event (Mountain Time)","value":"13:19:29"},{"id":151,"name":"Denver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0" si="40">"start /low /b "&amp;dls3logs&amp;" --loco "&amp;B78&amp;" --day "&amp;TEXT(F78,"YYYY-MM-DD")</f>
        <v>start /low /b %USERPROFILE%\Documents\GitHub\eaglep3\Utilities\DownloadLogsFromS3.py --loco 4039 --day 2017-06-11</v>
      </c>
      <c r="AN78" s="154" t="str">
        <f t="shared" ref="AN78:AN140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727</v>
      </c>
      <c r="B79" s="7">
        <v>4042</v>
      </c>
      <c r="C79" s="21" t="s">
        <v>204</v>
      </c>
      <c r="D79" s="21" t="s">
        <v>833</v>
      </c>
      <c r="E79" s="13">
        <v>42897.496157407404</v>
      </c>
      <c r="F79" s="13">
        <v>42897.500173611108</v>
      </c>
      <c r="G79" s="7">
        <v>1</v>
      </c>
      <c r="H79" s="21" t="s">
        <v>855</v>
      </c>
      <c r="I79" s="13">
        <v>42897.525104166663</v>
      </c>
      <c r="J79" s="7">
        <v>0</v>
      </c>
      <c r="K79" s="92" t="str">
        <f t="shared" si="26"/>
        <v>4041/4042</v>
      </c>
      <c r="L79" s="21" t="str">
        <f>VLOOKUP(A79,'Trips&amp;Operators'!$C$1:$G$99999,5,FALSE)</f>
        <v>ROBINSON KADDIBA</v>
      </c>
      <c r="M79" s="6">
        <f t="shared" si="27"/>
        <v>2.4930555555329192E-2</v>
      </c>
      <c r="N79" s="7">
        <f t="shared" si="28"/>
        <v>35.899999999674037</v>
      </c>
      <c r="O79" s="7"/>
      <c r="P79" s="7"/>
      <c r="Q79" s="22"/>
      <c r="R79" s="173"/>
      <c r="S79" s="176">
        <f t="shared" si="29"/>
        <v>1</v>
      </c>
      <c r="T79" s="202" t="str">
        <f t="shared" si="30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-06-11T10:54:28-0600',mode:absolute,to:'2017-06-11T13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 t="shared" si="32"/>
        <v>N</v>
      </c>
      <c r="X79" s="204">
        <f t="shared" si="23"/>
        <v>1</v>
      </c>
      <c r="Y79" s="204">
        <f t="shared" si="24"/>
        <v>4.7100000000000003E-2</v>
      </c>
      <c r="Z79" s="204">
        <f t="shared" si="25"/>
        <v>23.328199999999999</v>
      </c>
      <c r="AA79" s="204">
        <f t="shared" si="33"/>
        <v>23.281099999999999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4"/>
        <v>0167-11</v>
      </c>
      <c r="AE79" s="80" t="str">
        <f t="shared" si="35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79" s="77" t="str">
        <f t="shared" si="36"/>
        <v>"C:\Program Files (x86)\AstroGrep\AstroGrep.exe" /e /r /s /spath="%USERPROFILE%\AppData\Local\Temp\OnboardLogs" /stypes="app*4042*20170611*" /stext=" 18:.+((SYSTEM_STATE.+slice.+state.+changed )|(ment ac)|(multiple cpu faults)|(system.+state.+changed )|(\[timeout)|(PRM\|1\|D)|(kpr)|(kdp)|(train st.+moving)|(\|lc)|(penalty))"</v>
      </c>
      <c r="AG79" s="1" t="str">
        <f t="shared" si="37"/>
        <v>EC</v>
      </c>
      <c r="AH79" s="81" t="str">
        <f t="shared" si="38"/>
        <v>"%USERPROFILE%\Documents\GitHub\eaglep3\Utilities\RefineRTDCRunTimes.py" --tripid 167-11 --locoid 4042 --swversion DE.1.0.9.0 --startMP 204:471 --initTime 2017-06-11T11:54:28 --startdatetime 2017-06-11T12:00:15 --delay 1 --endMP 204:233282 --enddatetime 2017-06-11T12:36:09 --enforcementcount 0 &gt;&gt;C:\Users\stu\Documents\GitHub\eaglep3-reporting\EC\2017-06-11-refined-times.txt</v>
      </c>
      <c r="AI7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{"issue":{"subject":"","project_id":79,"tracker_id":40,"status_id":1,"priority_id":2,"assigned_to_id":23,"start_date":"2017-06-11","description":"","custom_fields":[{"id":1,"name":"Subdivision","value":"EC"},{"id":4,"name":"Milepost","value":"23.3282"},{"id":17,"name":"Train ID","value":"167-11"},{"id":16,"name":"Locomotive ID","value":"4042"},{"id":130,"name":"Impact","value":""},{"id":150,"name":"Time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0"/>
        <v>start /low /b %USERPROFILE%\Documents\GitHub\eaglep3\Utilities\DownloadLogsFromS3.py --loco 4042 --day 2017-06-11</v>
      </c>
      <c r="AN79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737</v>
      </c>
      <c r="B80" s="7">
        <v>4041</v>
      </c>
      <c r="C80" s="21" t="s">
        <v>204</v>
      </c>
      <c r="D80" s="21" t="s">
        <v>504</v>
      </c>
      <c r="E80" s="13">
        <v>42897.533263888887</v>
      </c>
      <c r="F80" s="13">
        <v>42897.539733796293</v>
      </c>
      <c r="G80" s="7">
        <v>8</v>
      </c>
      <c r="H80" s="21" t="s">
        <v>505</v>
      </c>
      <c r="I80" s="13">
        <v>42897.566874999997</v>
      </c>
      <c r="J80" s="7">
        <v>0</v>
      </c>
      <c r="K80" s="92" t="str">
        <f t="shared" si="26"/>
        <v>4041/4042</v>
      </c>
      <c r="L80" s="21" t="str">
        <f>VLOOKUP(A80,'Trips&amp;Operators'!$C$1:$G$99999,5,FALSE)</f>
        <v>ROBINSON KADDIBA</v>
      </c>
      <c r="M80" s="6">
        <f t="shared" si="27"/>
        <v>2.7141203703649808E-2</v>
      </c>
      <c r="N80" s="7">
        <f t="shared" si="28"/>
        <v>39.083333333255723</v>
      </c>
      <c r="O80" s="7"/>
      <c r="P80" s="7"/>
      <c r="Q80" s="22"/>
      <c r="R80" s="173"/>
      <c r="S80" s="176">
        <f t="shared" si="29"/>
        <v>1</v>
      </c>
      <c r="T80" s="202" t="str">
        <f t="shared" si="30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-06-11T11:47:54-0600',mode:absolute,to:'2017-06-11T14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 t="shared" si="32"/>
        <v>N</v>
      </c>
      <c r="X80" s="204">
        <f t="shared" si="23"/>
        <v>1</v>
      </c>
      <c r="Y80" s="204">
        <f t="shared" si="24"/>
        <v>23.296900000000001</v>
      </c>
      <c r="Z80" s="204">
        <f t="shared" si="25"/>
        <v>1.61E-2</v>
      </c>
      <c r="AA80" s="204">
        <f t="shared" si="33"/>
        <v>23.280799999999999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4"/>
        <v>0168-11</v>
      </c>
      <c r="AE80" s="80" t="str">
        <f t="shared" si="35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80" s="77" t="str">
        <f t="shared" si="36"/>
        <v>"C:\Program Files (x86)\AstroGrep\AstroGrep.exe" /e /r /s /spath="%USERPROFILE%\AppData\Local\Temp\OnboardLogs" /stypes="app*4041*20170611*" /stext=" 19:.+((SYSTEM_STATE.+slice.+state.+changed )|(ment ac)|(multiple cpu faults)|(system.+state.+changed )|(\[timeout)|(PRM\|1\|D)|(kpr)|(kdp)|(train st.+moving)|(\|lc)|(penalty))"</v>
      </c>
      <c r="AG80" s="1" t="str">
        <f t="shared" si="37"/>
        <v>EC</v>
      </c>
      <c r="AH80" s="81" t="str">
        <f t="shared" si="38"/>
        <v>"%USERPROFILE%\Documents\GitHub\eaglep3\Utilities\RefineRTDCRunTimes.py" --tripid 168-11 --locoid 4041 --swversion DE.1.0.9.0 --startMP 204:232969 --initTime 2017-06-11T12:47:54 --startdatetime 2017-06-11T12:57:13 --delay 8 --endMP 204:161 --enddatetime 2017-06-11T13:36:18 --enforcementcount 0 &gt;&gt;C:\Users\stu\Documents\GitHub\eaglep3-reporting\EC\2017-06-11-refined-times.txt</v>
      </c>
      <c r="AI8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{"issue":{"subject":"","project_id":79,"tracker_id":40,"status_id":1,"priority_id":2,"assigned_to_id":23,"start_date":"2017-06-11","description":"","custom_fields":[{"id":1,"name":"Subdivision","value":"EC"},{"id":4,"name":"Milepost","value":"0.0161"},{"id":17,"name":"Train ID","value":"168-11"},{"id":16,"name":"Locomotive ID","value":"4041"},{"id":130,"name":"Impact","value":""},{"id":150,"name":"Time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0"/>
        <v>start /low /b %USERPROFILE%\Documents\GitHub\eaglep3\Utilities\DownloadLogsFromS3.py --loco 4041 --day 2017-06-11</v>
      </c>
      <c r="AN80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730</v>
      </c>
      <c r="B81" s="7">
        <v>4050</v>
      </c>
      <c r="C81" s="21" t="s">
        <v>204</v>
      </c>
      <c r="D81" s="21" t="s">
        <v>862</v>
      </c>
      <c r="E81" s="13">
        <v>42897.506157407406</v>
      </c>
      <c r="F81" s="13">
        <v>42897.510578703703</v>
      </c>
      <c r="G81" s="7">
        <v>6</v>
      </c>
      <c r="H81" s="21" t="s">
        <v>863</v>
      </c>
      <c r="I81" s="13">
        <v>42897.535266203704</v>
      </c>
      <c r="J81" s="7">
        <v>0</v>
      </c>
      <c r="K81" s="92" t="str">
        <f t="shared" si="26"/>
        <v>4049/4050</v>
      </c>
      <c r="L81" s="21" t="str">
        <f>VLOOKUP(A81,'Trips&amp;Operators'!$C$1:$G$99999,5,FALSE)</f>
        <v>DELGADO DIANAH</v>
      </c>
      <c r="M81" s="6">
        <f t="shared" si="27"/>
        <v>2.4687500001164153E-2</v>
      </c>
      <c r="N81" s="7">
        <f t="shared" si="28"/>
        <v>35.550000001676381</v>
      </c>
      <c r="O81" s="7"/>
      <c r="P81" s="7"/>
      <c r="Q81" s="22"/>
      <c r="R81" s="173"/>
      <c r="S81" s="176">
        <f t="shared" si="29"/>
        <v>1</v>
      </c>
      <c r="T81" s="202" t="str">
        <f t="shared" si="3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-06-11T11:08:52-0600',mode:absolute,to:'2017-06-11T13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1" s="204" t="str">
        <f t="shared" si="32"/>
        <v>N</v>
      </c>
      <c r="X81" s="204">
        <f t="shared" ref="X81:X86" si="42">VALUE(LEFT(AD81,4))-VALUE(LEFT(AD80,4))</f>
        <v>1</v>
      </c>
      <c r="Y81" s="204">
        <f t="shared" si="24"/>
        <v>0.1222</v>
      </c>
      <c r="Z81" s="204">
        <f t="shared" si="25"/>
        <v>23.3323</v>
      </c>
      <c r="AA81" s="204">
        <f t="shared" si="33"/>
        <v>23.210100000000001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4"/>
        <v>0169-11</v>
      </c>
      <c r="AE81" s="80" t="str">
        <f t="shared" si="35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81" s="77" t="str">
        <f t="shared" si="36"/>
        <v>"C:\Program Files (x86)\AstroGrep\AstroGrep.exe" /e /r /s /spath="%USERPROFILE%\AppData\Local\Temp\OnboardLogs" /stypes="app*4050*20170611*" /stext=" 18:.+((SYSTEM_STATE.+slice.+state.+changed )|(ment ac)|(multiple cpu faults)|(system.+state.+changed )|(\[timeout)|(PRM\|1\|D)|(kpr)|(kdp)|(train st.+moving)|(\|lc)|(penalty))"</v>
      </c>
      <c r="AG81" s="1" t="str">
        <f t="shared" si="37"/>
        <v>EC</v>
      </c>
      <c r="AH81" s="81" t="str">
        <f t="shared" si="38"/>
        <v>"%USERPROFILE%\Documents\GitHub\eaglep3\Utilities\RefineRTDCRunTimes.py" --tripid 169-11 --locoid 4050 --swversion DE.1.0.9.0 --startMP 204:1222 --initTime 2017-06-11T12:08:52 --startdatetime 2017-06-11T12:15:14 --delay 6 --endMP 204:233323 --enddatetime 2017-06-11T12:50:47 --enforcementcount 0 &gt;&gt;C:\Users\stu\Documents\GitHub\eaglep3-reporting\EC\2017-06-11-refined-times.txt</v>
      </c>
      <c r="AI81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{"issue":{"subject":"","project_id":79,"tracker_id":40,"status_id":1,"priority_id":2,"assigned_to_id":23,"start_date":"2017-06-11","description":"","custom_fields":[{"id":1,"name":"Subdivision","value":"EC"},{"id":4,"name":"Milepost","value":"23.3323"},{"id":17,"name":"Train ID","value":"169-11"},{"id":16,"name":"Locomotive ID","value":"4050"},{"id":130,"name":"Impact","value":""},{"id":150,"name":"Time of Event (Mountain Time)","value":"12:50:47"},{"id":151,"name":"Denver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0"/>
        <v>start /low /b %USERPROFILE%\Documents\GitHub\eaglep3\Utilities\DownloadLogsFromS3.py --loco 4050 --day 2017-06-11</v>
      </c>
      <c r="AN81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982</v>
      </c>
      <c r="B82" s="7">
        <v>4049</v>
      </c>
      <c r="C82" s="21" t="s">
        <v>204</v>
      </c>
      <c r="D82" s="21" t="s">
        <v>862</v>
      </c>
      <c r="E82" s="13">
        <v>42897.506157407406</v>
      </c>
      <c r="F82" s="13">
        <v>42897.550162037034</v>
      </c>
      <c r="G82" s="7">
        <v>6</v>
      </c>
      <c r="H82" s="21" t="s">
        <v>863</v>
      </c>
      <c r="I82" s="13">
        <v>42897.576111111113</v>
      </c>
      <c r="J82" s="7">
        <v>0</v>
      </c>
      <c r="K82" s="92" t="str">
        <f t="shared" si="26"/>
        <v>4049/4050</v>
      </c>
      <c r="L82" s="21" t="s">
        <v>983</v>
      </c>
      <c r="M82" s="6">
        <f t="shared" si="27"/>
        <v>2.5949074079107959E-2</v>
      </c>
      <c r="N82" s="7">
        <f t="shared" si="28"/>
        <v>37.366666673915461</v>
      </c>
      <c r="O82" s="7"/>
      <c r="P82" s="7"/>
      <c r="Q82" s="22"/>
      <c r="R82" s="173"/>
      <c r="S82" s="176">
        <f t="shared" si="29"/>
        <v>1</v>
      </c>
      <c r="T82" s="202" t="str">
        <f t="shared" si="3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-06-11T11:08:52-0600',mode:absolute,to:'2017-06-11T14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2" s="204" t="str">
        <f t="shared" si="32"/>
        <v>N</v>
      </c>
      <c r="X82" s="204">
        <f t="shared" si="42"/>
        <v>1</v>
      </c>
      <c r="Y82" s="204">
        <v>23.296900000000001</v>
      </c>
      <c r="Z82" s="204">
        <v>1.61E-2</v>
      </c>
      <c r="AA82" s="204">
        <f t="shared" si="33"/>
        <v>23.280799999999999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4"/>
        <v>0170-11</v>
      </c>
      <c r="AE82" s="80" t="str">
        <f t="shared" si="35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82" s="77" t="str">
        <f t="shared" si="36"/>
        <v>"C:\Program Files (x86)\AstroGrep\AstroGrep.exe" /e /r /s /spath="%USERPROFILE%\AppData\Local\Temp\OnboardLogs" /stypes="app*4049*20170611*" /stext=" 19:.+((SYSTEM_STATE.+slice.+state.+changed )|(ment ac)|(multiple cpu faults)|(system.+state.+changed )|(\[timeout)|(PRM\|1\|D)|(kpr)|(kdp)|(train st.+moving)|(\|lc)|(penalty))"</v>
      </c>
      <c r="AG82" s="1" t="str">
        <f t="shared" si="37"/>
        <v>EC</v>
      </c>
      <c r="AH82" s="81" t="str">
        <f t="shared" ref="AH82" si="43"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170-11 --locoid 4049 --swversion DE.1.0.9.0 --startMP 204:1222 --initTime 2017-06-11T12:08:52 --startdatetime 2017-06-11T13:12:14 --delay 6 --endMP 204:233323 --enddatetime 2017-06-11T13:49:36 --enforcementcount 0 &gt;&gt;C:\Users\stu\Documents\GitHub\eaglep3-reporting\EC\2017-06-11-refined-times.txt</v>
      </c>
      <c r="AI82" s="99" t="str">
        <f t="shared" ref="AI82" si="44"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{"issue":{"subject":"","project_id":79,"tracker_id":40,"status_id":1,"priority_id":2,"assigned_to_id":23,"start_date":"2017-06-11","description":"","custom_fields":[{"id":1,"name":"Subdivision","value":"EC"},{"id":4,"name":"Milepost","value":"0.0161"},{"id":17,"name":"Train ID","value":"170-11"},{"id":16,"name":"Locomotive ID","value":"4049"},{"id":130,"name":"Impact","value":""},{"id":150,"name":"Time of Event (Mountain Time)","value":"13:49:36"},{"id":151,"name":"Denver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ref="AM82" si="45">"start /low /b "&amp;dls3logs&amp;" --loco "&amp;B82&amp;" --day "&amp;TEXT(F82,"YYYY-MM-DD")</f>
        <v>start /low /b %USERPROFILE%\Documents\GitHub\eaglep3\Utilities\DownloadLogsFromS3.py --loco 4049 --day 2017-06-11</v>
      </c>
      <c r="AN82" s="154" t="str">
        <f t="shared" ref="AN82" si="46">"echo {""issue"":{""subject"":"""&amp;R82&amp;""",""project_id"":30,""tracker_id"":4,""status_id"":"&amp;redmine_status_wcr&amp;",""priority_id"":"&amp;redmine_priority_wcr&amp;",""assigned_to_id"":"&amp;redmine_assignee_wcr&amp;",""start_date"":"""&amp;TEXT(I82-utc_offset/24,"YYYY-mm-dd")&amp;""",""description"":"""&amp;AJ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</row>
    <row r="83" spans="1:91" s="1" customFormat="1" x14ac:dyDescent="0.25">
      <c r="A83" s="32" t="s">
        <v>733</v>
      </c>
      <c r="B83" s="7">
        <v>4054</v>
      </c>
      <c r="C83" s="21" t="s">
        <v>204</v>
      </c>
      <c r="D83" s="21" t="s">
        <v>358</v>
      </c>
      <c r="E83" s="13">
        <v>42897.517407407409</v>
      </c>
      <c r="F83" s="13">
        <v>42897.521006944444</v>
      </c>
      <c r="G83" s="7">
        <v>1</v>
      </c>
      <c r="H83" s="21" t="s">
        <v>864</v>
      </c>
      <c r="I83" s="13">
        <v>42897.546851851854</v>
      </c>
      <c r="J83" s="7">
        <v>0</v>
      </c>
      <c r="K83" s="92" t="str">
        <f t="shared" si="26"/>
        <v>4053/4054</v>
      </c>
      <c r="L83" s="21" t="str">
        <f>VLOOKUP(A83,'Trips&amp;Operators'!$C$1:$G$99999,5,FALSE)</f>
        <v>BROWN JACOB</v>
      </c>
      <c r="M83" s="6">
        <f t="shared" si="27"/>
        <v>2.584490740991896E-2</v>
      </c>
      <c r="N83" s="7">
        <f t="shared" si="28"/>
        <v>37.216666670283303</v>
      </c>
      <c r="O83" s="7"/>
      <c r="P83" s="7"/>
      <c r="Q83" s="22"/>
      <c r="R83" s="173"/>
      <c r="S83" s="176">
        <f t="shared" si="29"/>
        <v>1</v>
      </c>
      <c r="T83" s="202" t="str">
        <f t="shared" si="3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-06-11T11:25:04-0600',mode:absolute,to:'2017-06-11T14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204" t="str">
        <f t="shared" si="32"/>
        <v>N</v>
      </c>
      <c r="X83" s="204">
        <f t="shared" si="42"/>
        <v>1</v>
      </c>
      <c r="Y83" s="204">
        <f t="shared" ref="Y83:Y114" si="47">RIGHT(D83,LEN(D83)-4)/10000</f>
        <v>4.53E-2</v>
      </c>
      <c r="Z83" s="204">
        <f t="shared" ref="Z83:Z114" si="48">RIGHT(H83,LEN(H83)-4)/10000</f>
        <v>23.332000000000001</v>
      </c>
      <c r="AA83" s="204">
        <f t="shared" si="33"/>
        <v>23.2867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4"/>
        <v>0171-11</v>
      </c>
      <c r="AE83" s="80" t="str">
        <f t="shared" si="35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83" s="77" t="str">
        <f t="shared" si="36"/>
        <v>"C:\Program Files (x86)\AstroGrep\AstroGrep.exe" /e /r /s /spath="%USERPROFILE%\AppData\Local\Temp\OnboardLogs" /stypes="app*4054*20170611*" /stext=" 19:.+((SYSTEM_STATE.+slice.+state.+changed )|(ment ac)|(multiple cpu faults)|(system.+state.+changed )|(\[timeout)|(PRM\|1\|D)|(kpr)|(kdp)|(train st.+moving)|(\|lc)|(penalty))"</v>
      </c>
      <c r="AG83" s="1" t="str">
        <f t="shared" si="37"/>
        <v>EC</v>
      </c>
      <c r="AH83" s="81" t="str">
        <f t="shared" si="38"/>
        <v>"%USERPROFILE%\Documents\GitHub\eaglep3\Utilities\RefineRTDCRunTimes.py" --tripid 171-11 --locoid 4054 --swversion DE.1.0.9.0 --startMP 204:453 --initTime 2017-06-11T12:25:04 --startdatetime 2017-06-11T12:30:15 --delay 1 --endMP 204:233320 --enddatetime 2017-06-11T13:07:28 --enforcementcount 0 &gt;&gt;C:\Users\stu\Documents\GitHub\eaglep3-reporting\EC\2017-06-11-refined-times.txt</v>
      </c>
      <c r="AI83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{"issue":{"subject":"","project_id":79,"tracker_id":40,"status_id":1,"priority_id":2,"assigned_to_id":23,"start_date":"2017-06-11","description":"","custom_fields":[{"id":1,"name":"Subdivision","value":"EC"},{"id":4,"name":"Milepost","value":"23.332"},{"id":17,"name":"Train ID","value":"171-11"},{"id":16,"name":"Locomotive ID","value":"4054"},{"id":130,"name":"Impact","value":""},{"id":150,"name":"Time of Event (Mountain Time)","value":"13:07:28"},{"id":151,"name":"Denver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0"/>
        <v>start /low /b %USERPROFILE%\Documents\GitHub\eaglep3\Utilities\DownloadLogsFromS3.py --loco 4054 --day 2017-06-11</v>
      </c>
      <c r="AN83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742</v>
      </c>
      <c r="B84" s="7">
        <v>4053</v>
      </c>
      <c r="C84" s="21" t="s">
        <v>204</v>
      </c>
      <c r="D84" s="21" t="s">
        <v>852</v>
      </c>
      <c r="E84" s="13">
        <v>42897.557557870372</v>
      </c>
      <c r="F84" s="13">
        <v>42897.560925925929</v>
      </c>
      <c r="G84" s="7">
        <v>1</v>
      </c>
      <c r="H84" s="21" t="s">
        <v>353</v>
      </c>
      <c r="I84" s="13">
        <v>42897.587708333333</v>
      </c>
      <c r="J84" s="7">
        <v>0</v>
      </c>
      <c r="K84" s="92" t="str">
        <f t="shared" si="26"/>
        <v>4053/4054</v>
      </c>
      <c r="L84" s="21" t="str">
        <f>VLOOKUP(A84,'Trips&amp;Operators'!$C$1:$G$99999,5,FALSE)</f>
        <v>BROWN JACOB</v>
      </c>
      <c r="M84" s="6">
        <f t="shared" si="27"/>
        <v>2.6782407403516117E-2</v>
      </c>
      <c r="N84" s="7">
        <f t="shared" si="28"/>
        <v>38.566666661063209</v>
      </c>
      <c r="O84" s="7"/>
      <c r="P84" s="7"/>
      <c r="Q84" s="22"/>
      <c r="R84" s="173"/>
      <c r="S84" s="176">
        <f t="shared" si="29"/>
        <v>1</v>
      </c>
      <c r="T84" s="202" t="str">
        <f t="shared" si="3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-06-11T12:22:53-0600',mode:absolute,to:'2017-06-11T15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204" t="str">
        <f t="shared" si="32"/>
        <v>N</v>
      </c>
      <c r="X84" s="204">
        <f t="shared" si="42"/>
        <v>1</v>
      </c>
      <c r="Y84" s="204">
        <f t="shared" si="47"/>
        <v>23.3003</v>
      </c>
      <c r="Z84" s="204">
        <f t="shared" si="48"/>
        <v>1.43E-2</v>
      </c>
      <c r="AA84" s="204">
        <f t="shared" si="33"/>
        <v>23.286000000000001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4"/>
        <v>0172-11</v>
      </c>
      <c r="AE84" s="80" t="str">
        <f t="shared" si="35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84" s="77" t="str">
        <f t="shared" si="36"/>
        <v>"C:\Program Files (x86)\AstroGrep\AstroGrep.exe" /e /r /s /spath="%USERPROFILE%\AppData\Local\Temp\OnboardLogs" /stypes="app*4053*20170611*" /stext=" 20:.+((SYSTEM_STATE.+slice.+state.+changed )|(ment ac)|(multiple cpu faults)|(system.+state.+changed )|(\[timeout)|(PRM\|1\|D)|(kpr)|(kdp)|(train st.+moving)|(\|lc)|(penalty))"</v>
      </c>
      <c r="AG84" s="1" t="str">
        <f t="shared" si="37"/>
        <v>EC</v>
      </c>
      <c r="AH84" s="81" t="str">
        <f t="shared" si="38"/>
        <v>"%USERPROFILE%\Documents\GitHub\eaglep3\Utilities\RefineRTDCRunTimes.py" --tripid 172-11 --locoid 4053 --swversion DE.1.0.9.0 --startMP 204:233003 --initTime 2017-06-11T13:22:53 --startdatetime 2017-06-11T13:27:44 --delay 1 --endMP 204:143 --enddatetime 2017-06-11T14:06:18 --enforcementcount 0 &gt;&gt;C:\Users\stu\Documents\GitHub\eaglep3-reporting\EC\2017-06-11-refined-times.txt</v>
      </c>
      <c r="AI84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{"issue":{"subject":"","project_id":79,"tracker_id":40,"status_id":1,"priority_id":2,"assigned_to_id":23,"start_date":"2017-06-11","description":"","custom_fields":[{"id":1,"name":"Subdivision","value":"EC"},{"id":4,"name":"Milepost","value":"0.0143"},{"id":17,"name":"Train ID","value":"172-11"},{"id":16,"name":"Locomotive ID","value":"4053"},{"id":130,"name":"Impact","value":""},{"id":150,"name":"Time of Event (Mountain Time)","value":"14:06:18"},{"id":151,"name":"Denver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0"/>
        <v>start /low /b %USERPROFILE%\Documents\GitHub\eaglep3\Utilities\DownloadLogsFromS3.py --loco 4053 --day 2017-06-11</v>
      </c>
      <c r="AN84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736</v>
      </c>
      <c r="B85" s="7">
        <v>4010</v>
      </c>
      <c r="C85" s="21" t="s">
        <v>204</v>
      </c>
      <c r="D85" s="21" t="s">
        <v>465</v>
      </c>
      <c r="E85" s="13">
        <v>42897.52815972222</v>
      </c>
      <c r="F85" s="13">
        <v>42897.531423611108</v>
      </c>
      <c r="G85" s="7">
        <v>1</v>
      </c>
      <c r="H85" s="21" t="s">
        <v>499</v>
      </c>
      <c r="I85" s="13">
        <v>42897.55667824074</v>
      </c>
      <c r="J85" s="7">
        <v>0</v>
      </c>
      <c r="K85" s="92" t="str">
        <f t="shared" si="26"/>
        <v>4009/4010</v>
      </c>
      <c r="L85" s="21" t="str">
        <f>VLOOKUP(A85,'Trips&amp;Operators'!$C$1:$G$99999,5,FALSE)</f>
        <v>LOPES KIMBERLY</v>
      </c>
      <c r="M85" s="6">
        <f t="shared" si="27"/>
        <v>2.5254629632399883E-2</v>
      </c>
      <c r="N85" s="7">
        <f t="shared" si="28"/>
        <v>36.366666670655832</v>
      </c>
      <c r="O85" s="7"/>
      <c r="P85" s="7"/>
      <c r="Q85" s="22"/>
      <c r="R85" s="173"/>
      <c r="S85" s="176">
        <f t="shared" si="29"/>
        <v>1</v>
      </c>
      <c r="T85" s="202" t="str">
        <f t="shared" si="3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-06-11T11:40:33-0600',mode:absolute,to:'2017-06-11T14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204" t="str">
        <f t="shared" si="32"/>
        <v>N</v>
      </c>
      <c r="X85" s="204">
        <f t="shared" si="42"/>
        <v>1</v>
      </c>
      <c r="Y85" s="204">
        <f t="shared" si="47"/>
        <v>4.4400000000000002E-2</v>
      </c>
      <c r="Z85" s="204">
        <f t="shared" si="48"/>
        <v>23.330400000000001</v>
      </c>
      <c r="AA85" s="204">
        <f t="shared" si="33"/>
        <v>23.286000000000001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4"/>
        <v>0173-11</v>
      </c>
      <c r="AE85" s="80" t="str">
        <f t="shared" si="35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85" s="77" t="str">
        <f t="shared" si="36"/>
        <v>"C:\Program Files (x86)\AstroGrep\AstroGrep.exe" /e /r /s /spath="%USERPROFILE%\AppData\Local\Temp\OnboardLogs" /stypes="app*4010*20170611*" /stext=" 19:.+((SYSTEM_STATE.+slice.+state.+changed )|(ment ac)|(multiple cpu faults)|(system.+state.+changed )|(\[timeout)|(PRM\|1\|D)|(kpr)|(kdp)|(train st.+moving)|(\|lc)|(penalty))"</v>
      </c>
      <c r="AG85" s="1" t="str">
        <f t="shared" si="37"/>
        <v>EC</v>
      </c>
      <c r="AH85" s="81" t="str">
        <f t="shared" si="38"/>
        <v>"%USERPROFILE%\Documents\GitHub\eaglep3\Utilities\RefineRTDCRunTimes.py" --tripid 173-11 --locoid 4010 --swversion DE.1.0.9.0 --startMP 204:444 --initTime 2017-06-11T12:40:33 --startdatetime 2017-06-11T12:45:15 --delay 1 --endMP 204:233304 --enddatetime 2017-06-11T13:21:37 --enforcementcount 0 &gt;&gt;C:\Users\stu\Documents\GitHub\eaglep3-reporting\EC\2017-06-11-refined-times.txt</v>
      </c>
      <c r="AI85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{"issue":{"subject":"","project_id":79,"tracker_id":40,"status_id":1,"priority_id":2,"assigned_to_id":23,"start_date":"2017-06-11","description":"","custom_fields":[{"id":1,"name":"Subdivision","value":"EC"},{"id":4,"name":"Milepost","value":"23.3304"},{"id":17,"name":"Train ID","value":"173-11"},{"id":16,"name":"Locomotive ID","value":"4010"},{"id":130,"name":"Impact","value":""},{"id":150,"name":"Time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0"/>
        <v>start /low /b %USERPROFILE%\Documents\GitHub\eaglep3\Utilities\DownloadLogsFromS3.py --loco 4010 --day 2017-06-11</v>
      </c>
      <c r="AN85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743</v>
      </c>
      <c r="B86" s="7">
        <v>4009</v>
      </c>
      <c r="C86" s="21" t="s">
        <v>204</v>
      </c>
      <c r="D86" s="21" t="s">
        <v>517</v>
      </c>
      <c r="E86" s="13">
        <v>42897.566701388889</v>
      </c>
      <c r="F86" s="13">
        <v>42897.571296296293</v>
      </c>
      <c r="G86" s="7">
        <v>1</v>
      </c>
      <c r="H86" s="21" t="s">
        <v>351</v>
      </c>
      <c r="I86" s="13">
        <v>42897.596967592595</v>
      </c>
      <c r="J86" s="7">
        <v>0</v>
      </c>
      <c r="K86" s="92" t="str">
        <f t="shared" si="26"/>
        <v>4009/4010</v>
      </c>
      <c r="L86" s="21" t="str">
        <f>VLOOKUP(A86,'Trips&amp;Operators'!$C$1:$G$99999,5,FALSE)</f>
        <v>LOPES KIMBERLY</v>
      </c>
      <c r="M86" s="6">
        <f t="shared" si="27"/>
        <v>2.567129630187992E-2</v>
      </c>
      <c r="N86" s="7">
        <f t="shared" si="28"/>
        <v>36.966666674707085</v>
      </c>
      <c r="O86" s="7"/>
      <c r="P86" s="7"/>
      <c r="Q86" s="22"/>
      <c r="R86" s="173"/>
      <c r="S86" s="176">
        <f t="shared" si="29"/>
        <v>1</v>
      </c>
      <c r="T86" s="202" t="str">
        <f t="shared" si="3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-06-11T12:36:03-0600',mode:absolute,to:'2017-06-11T15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204" t="str">
        <f t="shared" si="32"/>
        <v>N</v>
      </c>
      <c r="X86" s="204">
        <f t="shared" si="42"/>
        <v>1</v>
      </c>
      <c r="Y86" s="204">
        <f t="shared" si="47"/>
        <v>23.299800000000001</v>
      </c>
      <c r="Z86" s="204">
        <f t="shared" si="48"/>
        <v>1.4999999999999999E-2</v>
      </c>
      <c r="AA86" s="204">
        <f t="shared" si="33"/>
        <v>23.284800000000001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4"/>
        <v>0174-11</v>
      </c>
      <c r="AE86" s="80" t="str">
        <f t="shared" si="35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86" s="77" t="str">
        <f t="shared" si="36"/>
        <v>"C:\Program Files (x86)\AstroGrep\AstroGrep.exe" /e /r /s /spath="%USERPROFILE%\AppData\Local\Temp\OnboardLogs" /stypes="app*4009*20170611*" /stext=" 20:.+((SYSTEM_STATE.+slice.+state.+changed )|(ment ac)|(multiple cpu faults)|(system.+state.+changed )|(\[timeout)|(PRM\|1\|D)|(kpr)|(kdp)|(train st.+moving)|(\|lc)|(penalty))"</v>
      </c>
      <c r="AG86" s="1" t="str">
        <f t="shared" si="37"/>
        <v>EC</v>
      </c>
      <c r="AH86" s="81" t="str">
        <f t="shared" si="38"/>
        <v>"%USERPROFILE%\Documents\GitHub\eaglep3\Utilities\RefineRTDCRunTimes.py" --tripid 174-11 --locoid 4009 --swversion DE.1.0.9.0 --startMP 204:232998 --initTime 2017-06-11T13:36:03 --startdatetime 2017-06-11T13:42:40 --delay 1 --endMP 204:150 --enddatetime 2017-06-11T14:19:38 --enforcementcount 0 &gt;&gt;C:\Users\stu\Documents\GitHub\eaglep3-reporting\EC\2017-06-11-refined-times.txt</v>
      </c>
      <c r="AI86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ID","value":"174-11"},{"id":16,"name":"Locomotive ID","value":"4009"},{"id":130,"name":"Impact","value":""},{"id":150,"name":"Time of Event (Mountain Time)","value":"14:19:38"},{"id":151,"name":"Denver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0"/>
        <v>start /low /b %USERPROFILE%\Documents\GitHub\eaglep3\Utilities\DownloadLogsFromS3.py --loco 4009 --day 2017-06-11</v>
      </c>
      <c r="AN86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738</v>
      </c>
      <c r="B87" s="7">
        <v>4020</v>
      </c>
      <c r="C87" s="21" t="s">
        <v>204</v>
      </c>
      <c r="D87" s="21" t="s">
        <v>345</v>
      </c>
      <c r="E87" s="13">
        <v>42897.54010416667</v>
      </c>
      <c r="F87" s="13">
        <v>42897.542187500003</v>
      </c>
      <c r="G87" s="7">
        <v>1</v>
      </c>
      <c r="H87" s="21" t="s">
        <v>502</v>
      </c>
      <c r="I87" s="13">
        <v>42897.567696759259</v>
      </c>
      <c r="J87" s="7">
        <v>0</v>
      </c>
      <c r="K87" s="92" t="str">
        <f t="shared" si="26"/>
        <v>4019/4020</v>
      </c>
      <c r="L87" s="21" t="str">
        <f>VLOOKUP(A87,'Trips&amp;Operators'!$C$1:$G$99999,5,FALSE)</f>
        <v>DAVIS MICHAEL</v>
      </c>
      <c r="M87" s="6">
        <f t="shared" si="27"/>
        <v>2.5509259256068617E-2</v>
      </c>
      <c r="N87" s="7">
        <f t="shared" si="28"/>
        <v>36.733333328738809</v>
      </c>
      <c r="O87" s="7"/>
      <c r="P87" s="7"/>
      <c r="Q87" s="22"/>
      <c r="R87" s="173"/>
      <c r="S87" s="176">
        <f t="shared" si="29"/>
        <v>1</v>
      </c>
      <c r="T87" s="202" t="str">
        <f t="shared" si="30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-06-11T11:57:45-0600',mode:absolute,to:'2017-06-11T14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04" t="str">
        <f t="shared" si="32"/>
        <v>N</v>
      </c>
      <c r="X87" s="204">
        <f t="shared" ref="X87:X118" si="49">VALUE(LEFT(AD87,4))-VALUE(LEFT(AD86,4))</f>
        <v>1</v>
      </c>
      <c r="Y87" s="204">
        <f t="shared" si="47"/>
        <v>4.4900000000000002E-2</v>
      </c>
      <c r="Z87" s="204">
        <f t="shared" si="48"/>
        <v>23.331099999999999</v>
      </c>
      <c r="AA87" s="204">
        <f t="shared" si="33"/>
        <v>23.286200000000001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4"/>
        <v>0175-11</v>
      </c>
      <c r="AE87" s="80" t="str">
        <f t="shared" si="35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87" s="77" t="str">
        <f t="shared" si="36"/>
        <v>"C:\Program Files (x86)\AstroGrep\AstroGrep.exe" /e /r /s /spath="%USERPROFILE%\AppData\Local\Temp\OnboardLogs" /stypes="app*4020*20170611*" /stext=" 19:.+((SYSTEM_STATE.+slice.+state.+changed )|(ment ac)|(multiple cpu faults)|(system.+state.+changed )|(\[timeout)|(PRM\|1\|D)|(kpr)|(kdp)|(train st.+moving)|(\|lc)|(penalty))"</v>
      </c>
      <c r="AG87" s="1" t="str">
        <f t="shared" si="37"/>
        <v>EC</v>
      </c>
      <c r="AH87" s="81" t="str">
        <f t="shared" si="38"/>
        <v>"%USERPROFILE%\Documents\GitHub\eaglep3\Utilities\RefineRTDCRunTimes.py" --tripid 175-11 --locoid 4020 --swversion DE.1.0.9.0 --startMP 204:449 --initTime 2017-06-11T12:57:45 --startdatetime 2017-06-11T13:00:45 --delay 1 --endMP 204:233311 --enddatetime 2017-06-11T13:37:29 --enforcementcount 0 &gt;&gt;C:\Users\stu\Documents\GitHub\eaglep3-reporting\EC\2017-06-11-refined-times.txt</v>
      </c>
      <c r="AI87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{"issue":{"subject":"","project_id":79,"tracker_id":40,"status_id":1,"priority_id":2,"assigned_to_id":23,"start_date":"2017-06-11","description":"","custom_fields":[{"id":1,"name":"Subdivision","value":"EC"},{"id":4,"name":"Milepost","value":"23.3311"},{"id":17,"name":"Train ID","value":"175-11"},{"id":16,"name":"Locomotive ID","value":"4020"},{"id":130,"name":"Impact","value":""},{"id":150,"name":"Time of Event (Mountain Time)","value":"13:37:29"},{"id":151,"name":"Denver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0"/>
        <v>start /low /b %USERPROFILE%\Documents\GitHub\eaglep3\Utilities\DownloadLogsFromS3.py --loco 4020 --day 2017-06-11</v>
      </c>
      <c r="AN87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746</v>
      </c>
      <c r="B88" s="7">
        <v>4019</v>
      </c>
      <c r="C88" s="21" t="s">
        <v>204</v>
      </c>
      <c r="D88" s="21" t="s">
        <v>458</v>
      </c>
      <c r="E88" s="13">
        <v>42897.579571759263</v>
      </c>
      <c r="F88" s="13">
        <v>42897.581666666665</v>
      </c>
      <c r="G88" s="7">
        <v>1</v>
      </c>
      <c r="H88" s="21" t="s">
        <v>865</v>
      </c>
      <c r="I88" s="13">
        <v>42897.608483796299</v>
      </c>
      <c r="J88" s="7">
        <v>0</v>
      </c>
      <c r="K88" s="92" t="str">
        <f t="shared" si="26"/>
        <v>4019/4020</v>
      </c>
      <c r="L88" s="21" t="str">
        <f>VLOOKUP(A88,'Trips&amp;Operators'!$C$1:$G$99999,5,FALSE)</f>
        <v>DAVIS MICHAEL</v>
      </c>
      <c r="M88" s="6">
        <f t="shared" si="27"/>
        <v>2.6817129633855075E-2</v>
      </c>
      <c r="N88" s="7">
        <f t="shared" si="28"/>
        <v>38.616666672751307</v>
      </c>
      <c r="O88" s="7"/>
      <c r="P88" s="7"/>
      <c r="Q88" s="22"/>
      <c r="R88" s="173"/>
      <c r="S88" s="176">
        <f t="shared" si="29"/>
        <v>1</v>
      </c>
      <c r="T88" s="202" t="str">
        <f t="shared" si="3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-06-11T12:54:35-0600',mode:absolute,to:'2017-06-11T15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04" t="str">
        <f t="shared" si="32"/>
        <v>N</v>
      </c>
      <c r="X88" s="204">
        <f t="shared" si="49"/>
        <v>1</v>
      </c>
      <c r="Y88" s="204">
        <f t="shared" si="47"/>
        <v>23.2988</v>
      </c>
      <c r="Z88" s="204">
        <f t="shared" si="48"/>
        <v>1.78E-2</v>
      </c>
      <c r="AA88" s="204">
        <f t="shared" si="33"/>
        <v>23.280999999999999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4"/>
        <v>0176-11</v>
      </c>
      <c r="AE88" s="80" t="str">
        <f t="shared" si="35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88" s="77" t="str">
        <f t="shared" si="36"/>
        <v>"C:\Program Files (x86)\AstroGrep\AstroGrep.exe" /e /r /s /spath="%USERPROFILE%\AppData\Local\Temp\OnboardLogs" /stypes="app*4019*20170611*" /stext=" 20:.+((SYSTEM_STATE.+slice.+state.+changed )|(ment ac)|(multiple cpu faults)|(system.+state.+changed )|(\[timeout)|(PRM\|1\|D)|(kpr)|(kdp)|(train st.+moving)|(\|lc)|(penalty))"</v>
      </c>
      <c r="AG88" s="1" t="str">
        <f t="shared" si="37"/>
        <v>EC</v>
      </c>
      <c r="AH88" s="81" t="str">
        <f t="shared" si="38"/>
        <v>"%USERPROFILE%\Documents\GitHub\eaglep3\Utilities\RefineRTDCRunTimes.py" --tripid 176-11 --locoid 4019 --swversion DE.1.0.9.0 --startMP 204:232988 --initTime 2017-06-11T13:54:35 --startdatetime 2017-06-11T13:57:36 --delay 1 --endMP 204:178 --enddatetime 2017-06-11T14:36:13 --enforcementcount 0 &gt;&gt;C:\Users\stu\Documents\GitHub\eaglep3-reporting\EC\2017-06-11-refined-times.txt</v>
      </c>
      <c r="AI88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{"issue":{"subject":"","project_id":79,"tracker_id":40,"status_id":1,"priority_id":2,"assigned_to_id":23,"start_date":"2017-06-11","description":"","custom_fields":[{"id":1,"name":"Subdivision","value":"EC"},{"id":4,"name":"Milepost","value":"0.0178"},{"id":17,"name":"Train ID","value":"176-11"},{"id":16,"name":"Locomotive ID","value":"4019"},{"id":130,"name":"Impact","value":""},{"id":150,"name":"Time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0"/>
        <v>start /low /b %USERPROFILE%\Documents\GitHub\eaglep3\Utilities\DownloadLogsFromS3.py --loco 4019 --day 2017-06-11</v>
      </c>
      <c r="AN88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740</v>
      </c>
      <c r="B89" s="7">
        <v>4002</v>
      </c>
      <c r="C89" s="21" t="s">
        <v>204</v>
      </c>
      <c r="D89" s="21" t="s">
        <v>473</v>
      </c>
      <c r="E89" s="13">
        <v>42897.548576388886</v>
      </c>
      <c r="F89" s="13">
        <v>42897.55232638889</v>
      </c>
      <c r="G89" s="7">
        <v>1</v>
      </c>
      <c r="H89" s="21" t="s">
        <v>510</v>
      </c>
      <c r="I89" s="13">
        <v>42897.5783912037</v>
      </c>
      <c r="J89" s="7">
        <v>0</v>
      </c>
      <c r="K89" s="92" t="str">
        <f t="shared" si="26"/>
        <v>4001/4002</v>
      </c>
      <c r="L89" s="21" t="str">
        <f>VLOOKUP(A89,'Trips&amp;Operators'!$C$1:$G$99999,5,FALSE)</f>
        <v>BRANDNER MELINDA</v>
      </c>
      <c r="M89" s="6">
        <f t="shared" si="27"/>
        <v>2.6064814810524695E-2</v>
      </c>
      <c r="N89" s="7">
        <f t="shared" si="28"/>
        <v>37.53333332715556</v>
      </c>
      <c r="O89" s="7"/>
      <c r="P89" s="7"/>
      <c r="Q89" s="22"/>
      <c r="R89" s="173"/>
      <c r="S89" s="176">
        <f t="shared" si="29"/>
        <v>1</v>
      </c>
      <c r="T89" s="202" t="str">
        <f t="shared" si="3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-06-11T12:09:57-0600',mode:absolute,to:'2017-06-11T14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9" s="204" t="str">
        <f t="shared" si="32"/>
        <v>N</v>
      </c>
      <c r="X89" s="204">
        <f t="shared" si="49"/>
        <v>1</v>
      </c>
      <c r="Y89" s="204">
        <f t="shared" si="47"/>
        <v>4.7699999999999999E-2</v>
      </c>
      <c r="Z89" s="204">
        <f t="shared" si="48"/>
        <v>23.331499999999998</v>
      </c>
      <c r="AA89" s="204">
        <f t="shared" si="33"/>
        <v>23.283799999999999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4"/>
        <v>0177-11</v>
      </c>
      <c r="AE89" s="80" t="str">
        <f t="shared" si="35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89" s="77" t="str">
        <f t="shared" si="36"/>
        <v>"C:\Program Files (x86)\AstroGrep\AstroGrep.exe" /e /r /s /spath="%USERPROFILE%\AppData\Local\Temp\OnboardLogs" /stypes="app*4002*20170611*" /stext=" 19:.+((SYSTEM_STATE.+slice.+state.+changed )|(ment ac)|(multiple cpu faults)|(system.+state.+changed )|(\[timeout)|(PRM\|1\|D)|(kpr)|(kdp)|(train st.+moving)|(\|lc)|(penalty))"</v>
      </c>
      <c r="AG89" s="1" t="str">
        <f t="shared" si="37"/>
        <v>EC</v>
      </c>
      <c r="AH89" s="81" t="str">
        <f t="shared" si="38"/>
        <v>"%USERPROFILE%\Documents\GitHub\eaglep3\Utilities\RefineRTDCRunTimes.py" --tripid 177-11 --locoid 4002 --swversion DE.1.0.9.0 --startMP 204:477 --initTime 2017-06-11T13:09:57 --startdatetime 2017-06-11T13:15:21 --delay 1 --endMP 204:233315 --enddatetime 2017-06-11T13:52:53 --enforcementcount 0 &gt;&gt;C:\Users\stu\Documents\GitHub\eaglep3-reporting\EC\2017-06-11-refined-times.txt</v>
      </c>
      <c r="AI8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{"issue":{"subject":"","project_id":79,"tracker_id":40,"status_id":1,"priority_id":2,"assigned_to_id":23,"start_date":"2017-06-11","description":"","custom_fields":[{"id":1,"name":"Subdivision","value":"EC"},{"id":4,"name":"Milepost","value":"23.3315"},{"id":17,"name":"Train ID","value":"177-11"},{"id":16,"name":"Locomotive ID","value":"4002"},{"id":130,"name":"Impact","value":""},{"id":150,"name":"Time of Event (Mountain Time)","value":"13:52:53"},{"id":151,"name":"Denver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0"/>
        <v>start /low /b %USERPROFILE%\Documents\GitHub\eaglep3\Utilities\DownloadLogsFromS3.py --loco 4002 --day 2017-06-11</v>
      </c>
      <c r="AN89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634</v>
      </c>
      <c r="B90" s="7">
        <v>4001</v>
      </c>
      <c r="C90" s="21" t="s">
        <v>204</v>
      </c>
      <c r="D90" s="21" t="s">
        <v>489</v>
      </c>
      <c r="E90" s="13">
        <v>42897.590312499997</v>
      </c>
      <c r="F90" s="13">
        <v>42897.591851851852</v>
      </c>
      <c r="G90" s="7">
        <v>2</v>
      </c>
      <c r="H90" s="21" t="s">
        <v>866</v>
      </c>
      <c r="I90" s="13">
        <v>42897.618831018517</v>
      </c>
      <c r="J90" s="7">
        <v>0</v>
      </c>
      <c r="K90" s="92" t="str">
        <f t="shared" si="26"/>
        <v>4001/4002</v>
      </c>
      <c r="L90" s="21" t="str">
        <f>VLOOKUP(A90,'Trips&amp;Operators'!$C$1:$G$99999,5,FALSE)</f>
        <v>BRANDNER MELINDA</v>
      </c>
      <c r="M90" s="6">
        <f t="shared" si="27"/>
        <v>2.6979166665114462E-2</v>
      </c>
      <c r="N90" s="7">
        <f t="shared" si="28"/>
        <v>38.849999997764826</v>
      </c>
      <c r="O90" s="7"/>
      <c r="P90" s="7"/>
      <c r="Q90" s="22"/>
      <c r="R90" s="173"/>
      <c r="S90" s="176">
        <f t="shared" si="29"/>
        <v>1</v>
      </c>
      <c r="T90" s="202" t="str">
        <f t="shared" si="3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-06-11T13:10:03-0600',mode:absolute,to:'2017-06-11T15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0" s="204" t="str">
        <f t="shared" si="32"/>
        <v>N</v>
      </c>
      <c r="X90" s="204">
        <f t="shared" si="49"/>
        <v>1</v>
      </c>
      <c r="Y90" s="204">
        <f t="shared" si="47"/>
        <v>23.3</v>
      </c>
      <c r="Z90" s="204">
        <f t="shared" si="48"/>
        <v>1.72E-2</v>
      </c>
      <c r="AA90" s="204">
        <f t="shared" si="33"/>
        <v>23.282800000000002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4"/>
        <v>0178-11</v>
      </c>
      <c r="AE90" s="80" t="str">
        <f t="shared" si="35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90" s="77" t="str">
        <f t="shared" si="36"/>
        <v>"C:\Program Files (x86)\AstroGrep\AstroGrep.exe" /e /r /s /spath="%USERPROFILE%\AppData\Local\Temp\OnboardLogs" /stypes="app*4001*20170611*" /stext=" 20:.+((SYSTEM_STATE.+slice.+state.+changed )|(ment ac)|(multiple cpu faults)|(system.+state.+changed )|(\[timeout)|(PRM\|1\|D)|(kpr)|(kdp)|(train st.+moving)|(\|lc)|(penalty))"</v>
      </c>
      <c r="AG90" s="1" t="str">
        <f t="shared" si="37"/>
        <v>EC</v>
      </c>
      <c r="AH90" s="81" t="str">
        <f t="shared" si="38"/>
        <v>"%USERPROFILE%\Documents\GitHub\eaglep3\Utilities\RefineRTDCRunTimes.py" --tripid 178-11 --locoid 4001 --swversion DE.1.0.9.0 --startMP 204:233000 --initTime 2017-06-11T14:10:03 --startdatetime 2017-06-11T14:12:16 --delay 2 --endMP 204:172 --enddatetime 2017-06-11T14:51:07 --enforcementcount 0 &gt;&gt;C:\Users\stu\Documents\GitHub\eaglep3-reporting\EC\2017-06-11-refined-times.txt</v>
      </c>
      <c r="AI9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{"issue":{"subject":"","project_id":79,"tracker_id":40,"status_id":1,"priority_id":2,"assigned_to_id":23,"start_date":"2017-06-11","description":"","custom_fields":[{"id":1,"name":"Subdivision","value":"EC"},{"id":4,"name":"Milepost","value":"0.0172"},{"id":17,"name":"Train ID","value":"178-11"},{"id":16,"name":"Locomotive ID","value":"4001"},{"id":130,"name":"Impact","value":""},{"id":150,"name":"Time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0"/>
        <v>start /low /b %USERPROFILE%\Documents\GitHub\eaglep3\Utilities\DownloadLogsFromS3.py --loco 4001 --day 2017-06-11</v>
      </c>
      <c r="AN90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741</v>
      </c>
      <c r="B91" s="7">
        <v>4040</v>
      </c>
      <c r="C91" s="21" t="s">
        <v>204</v>
      </c>
      <c r="D91" s="21" t="s">
        <v>613</v>
      </c>
      <c r="E91" s="13">
        <v>42897.557395833333</v>
      </c>
      <c r="F91" s="13">
        <v>42897.562673611108</v>
      </c>
      <c r="G91" s="7">
        <v>1</v>
      </c>
      <c r="H91" s="21" t="s">
        <v>397</v>
      </c>
      <c r="I91" s="13">
        <v>42897.587500000001</v>
      </c>
      <c r="J91" s="7">
        <v>0</v>
      </c>
      <c r="K91" s="92" t="str">
        <f t="shared" si="26"/>
        <v>4039/4040</v>
      </c>
      <c r="L91" s="21" t="str">
        <f>VLOOKUP(A91,'Trips&amp;Operators'!$C$1:$G$99999,5,FALSE)</f>
        <v>BRUDER RICHARD</v>
      </c>
      <c r="M91" s="6">
        <f t="shared" si="27"/>
        <v>2.4826388893416151E-2</v>
      </c>
      <c r="N91" s="7">
        <f t="shared" si="28"/>
        <v>35.750000006519258</v>
      </c>
      <c r="O91" s="7"/>
      <c r="P91" s="7"/>
      <c r="Q91" s="22"/>
      <c r="R91" s="173"/>
      <c r="S91" s="176">
        <f t="shared" si="29"/>
        <v>1</v>
      </c>
      <c r="T91" s="202" t="str">
        <f t="shared" si="3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-06-11T12:22:39-0600',mode:absolute,to:'2017-06-11T15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204" t="str">
        <f t="shared" si="32"/>
        <v>N</v>
      </c>
      <c r="X91" s="204">
        <f t="shared" si="49"/>
        <v>1</v>
      </c>
      <c r="Y91" s="204">
        <f t="shared" si="47"/>
        <v>4.6899999999999997E-2</v>
      </c>
      <c r="Z91" s="204">
        <f t="shared" si="48"/>
        <v>23.3293</v>
      </c>
      <c r="AA91" s="204">
        <f t="shared" si="33"/>
        <v>23.282399999999999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4"/>
        <v>0179-11</v>
      </c>
      <c r="AE91" s="80" t="str">
        <f t="shared" si="35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91" s="77" t="str">
        <f t="shared" si="36"/>
        <v>"C:\Program Files (x86)\AstroGrep\AstroGrep.exe" /e /r /s /spath="%USERPROFILE%\AppData\Local\Temp\OnboardLogs" /stypes="app*4040*20170611*" /stext=" 20:.+((SYSTEM_STATE.+slice.+state.+changed )|(ment ac)|(multiple cpu faults)|(system.+state.+changed )|(\[timeout)|(PRM\|1\|D)|(kpr)|(kdp)|(train st.+moving)|(\|lc)|(penalty))"</v>
      </c>
      <c r="AG91" s="1" t="str">
        <f t="shared" si="37"/>
        <v>EC</v>
      </c>
      <c r="AH91" s="81" t="str">
        <f t="shared" si="38"/>
        <v>"%USERPROFILE%\Documents\GitHub\eaglep3\Utilities\RefineRTDCRunTimes.py" --tripid 179-11 --locoid 4040 --swversion DE.1.0.9.0 --startMP 204:469 --initTime 2017-06-11T13:22:39 --startdatetime 2017-06-11T13:30:15 --delay 1 --endMP 204:233293 --enddatetime 2017-06-11T14:06:00 --enforcementcount 0 &gt;&gt;C:\Users\stu\Documents\GitHub\eaglep3-reporting\EC\2017-06-11-refined-times.txt</v>
      </c>
      <c r="AI91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{"issue":{"subject":"","project_id":79,"tracker_id":40,"status_id":1,"priority_id":2,"assigned_to_id":23,"start_date":"2017-06-11","description":"","custom_fields":[{"id":1,"name":"Subdivision","value":"EC"},{"id":4,"name":"Milepost","value":"23.3293"},{"id":17,"name":"Train ID","value":"179-11"},{"id":16,"name":"Locomotive ID","value":"4040"},{"id":130,"name":"Impact","value":""},{"id":150,"name":"Time of Event (Mountain Time)","value":"14:06:00"},{"id":151,"name":"Denver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0"/>
        <v>start /low /b %USERPROFILE%\Documents\GitHub\eaglep3\Utilities\DownloadLogsFromS3.py --loco 4040 --day 2017-06-11</v>
      </c>
      <c r="AN91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748</v>
      </c>
      <c r="B92" s="7">
        <v>4039</v>
      </c>
      <c r="C92" s="21" t="s">
        <v>204</v>
      </c>
      <c r="D92" s="21" t="s">
        <v>867</v>
      </c>
      <c r="E92" s="13">
        <v>42897.59574074074</v>
      </c>
      <c r="F92" s="13">
        <v>42897.602337962962</v>
      </c>
      <c r="G92" s="7">
        <v>1</v>
      </c>
      <c r="H92" s="21" t="s">
        <v>857</v>
      </c>
      <c r="I92" s="13">
        <v>42897.628125000003</v>
      </c>
      <c r="J92" s="7">
        <v>0</v>
      </c>
      <c r="K92" s="92" t="str">
        <f t="shared" si="26"/>
        <v>4039/4040</v>
      </c>
      <c r="L92" s="21" t="str">
        <f>VLOOKUP(A92,'Trips&amp;Operators'!$C$1:$G$99999,5,FALSE)</f>
        <v>BRUDER RICHARD</v>
      </c>
      <c r="M92" s="6">
        <f t="shared" si="27"/>
        <v>2.5787037040572613E-2</v>
      </c>
      <c r="N92" s="7">
        <f t="shared" si="28"/>
        <v>37.133333338424563</v>
      </c>
      <c r="O92" s="7"/>
      <c r="P92" s="7"/>
      <c r="Q92" s="22"/>
      <c r="R92" s="173"/>
      <c r="S92" s="176">
        <f t="shared" si="29"/>
        <v>1</v>
      </c>
      <c r="T92" s="202" t="str">
        <f t="shared" si="3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-06-11T13:17:52-0600',mode:absolute,to:'2017-06-11T16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204" t="str">
        <f t="shared" si="32"/>
        <v>N</v>
      </c>
      <c r="X92" s="204">
        <f t="shared" si="49"/>
        <v>1</v>
      </c>
      <c r="Y92" s="204">
        <f t="shared" si="47"/>
        <v>23.297499999999999</v>
      </c>
      <c r="Z92" s="204">
        <f t="shared" si="48"/>
        <v>1.67E-2</v>
      </c>
      <c r="AA92" s="204">
        <f t="shared" si="33"/>
        <v>23.280799999999999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4"/>
        <v>0180-11</v>
      </c>
      <c r="AE92" s="80" t="str">
        <f t="shared" si="35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92" s="77" t="str">
        <f t="shared" si="36"/>
        <v>"C:\Program Files (x86)\AstroGrep\AstroGrep.exe" /e /r /s /spath="%USERPROFILE%\AppData\Local\Temp\OnboardLogs" /stypes="app*4039*20170611*" /stext=" 21:.+((SYSTEM_STATE.+slice.+state.+changed )|(ment ac)|(multiple cpu faults)|(system.+state.+changed )|(\[timeout)|(PRM\|1\|D)|(kpr)|(kdp)|(train st.+moving)|(\|lc)|(penalty))"</v>
      </c>
      <c r="AG92" s="1" t="str">
        <f t="shared" si="37"/>
        <v>EC</v>
      </c>
      <c r="AH92" s="81" t="str">
        <f t="shared" si="38"/>
        <v>"%USERPROFILE%\Documents\GitHub\eaglep3\Utilities\RefineRTDCRunTimes.py" --tripid 180-11 --locoid 4039 --swversion DE.1.0.9.0 --startMP 204:232975 --initTime 2017-06-11T14:17:52 --startdatetime 2017-06-11T14:27:22 --delay 1 --endMP 204:167 --enddatetime 2017-06-11T15:04:30 --enforcementcount 0 &gt;&gt;C:\Users\stu\Documents\GitHub\eaglep3-reporting\EC\2017-06-11-refined-times.txt</v>
      </c>
      <c r="AI92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{"issue":{"subject":"","project_id":79,"tracker_id":40,"status_id":1,"priority_id":2,"assigned_to_id":23,"start_date":"2017-06-11","description":"","custom_fields":[{"id":1,"name":"Subdivision","value":"EC"},{"id":4,"name":"Milepost","value":"0.0167"},{"id":17,"name":"Train ID","value":"180-11"},{"id":16,"name":"Locomotive ID","value":"4039"},{"id":130,"name":"Impact","value":""},{"id":150,"name":"Time of Event (Mountain Time)","value":"15:04:30"},{"id":151,"name":"Denver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0"/>
        <v>start /low /b %USERPROFILE%\Documents\GitHub\eaglep3\Utilities\DownloadLogsFromS3.py --loco 4039 --day 2017-06-11</v>
      </c>
      <c r="AN92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745</v>
      </c>
      <c r="B93" s="7">
        <v>4042</v>
      </c>
      <c r="C93" s="21" t="s">
        <v>204</v>
      </c>
      <c r="D93" s="21" t="s">
        <v>600</v>
      </c>
      <c r="E93" s="13">
        <v>42897.57099537037</v>
      </c>
      <c r="F93" s="13">
        <v>42897.573078703703</v>
      </c>
      <c r="G93" s="7">
        <v>1</v>
      </c>
      <c r="H93" s="21" t="s">
        <v>523</v>
      </c>
      <c r="I93" s="13">
        <v>42897.59883101852</v>
      </c>
      <c r="J93" s="7">
        <v>0</v>
      </c>
      <c r="K93" s="92" t="str">
        <f t="shared" si="26"/>
        <v>4041/4042</v>
      </c>
      <c r="L93" s="21" t="str">
        <f>VLOOKUP(A93,'Trips&amp;Operators'!$C$1:$G$99999,5,FALSE)</f>
        <v>ROBINSON KADDIBA</v>
      </c>
      <c r="M93" s="6">
        <f t="shared" si="27"/>
        <v>2.5752314817509614E-2</v>
      </c>
      <c r="N93" s="7">
        <f t="shared" si="28"/>
        <v>37.083333337213844</v>
      </c>
      <c r="O93" s="7"/>
      <c r="P93" s="7"/>
      <c r="Q93" s="22"/>
      <c r="R93" s="173"/>
      <c r="S93" s="176">
        <f t="shared" si="29"/>
        <v>1</v>
      </c>
      <c r="T93" s="202" t="str">
        <f t="shared" si="3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-06-11T12:42:14-0600',mode:absolute,to:'2017-06-11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 t="shared" si="32"/>
        <v>N</v>
      </c>
      <c r="X93" s="204">
        <f t="shared" si="49"/>
        <v>1</v>
      </c>
      <c r="Y93" s="204">
        <f t="shared" si="47"/>
        <v>4.8000000000000001E-2</v>
      </c>
      <c r="Z93" s="204">
        <f t="shared" si="48"/>
        <v>23.329499999999999</v>
      </c>
      <c r="AA93" s="204">
        <f t="shared" si="33"/>
        <v>23.281500000000001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4"/>
        <v>0181-11</v>
      </c>
      <c r="AE93" s="80" t="str">
        <f t="shared" si="35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93" s="77" t="str">
        <f t="shared" si="36"/>
        <v>"C:\Program Files (x86)\AstroGrep\AstroGrep.exe" /e /r /s /spath="%USERPROFILE%\AppData\Local\Temp\OnboardLogs" /stypes="app*4042*20170611*" /stext=" 20:.+((SYSTEM_STATE.+slice.+state.+changed )|(ment ac)|(multiple cpu faults)|(system.+state.+changed )|(\[timeout)|(PRM\|1\|D)|(kpr)|(kdp)|(train st.+moving)|(\|lc)|(penalty))"</v>
      </c>
      <c r="AG93" s="1" t="str">
        <f t="shared" si="37"/>
        <v>EC</v>
      </c>
      <c r="AH93" s="81" t="str">
        <f t="shared" si="38"/>
        <v>"%USERPROFILE%\Documents\GitHub\eaglep3\Utilities\RefineRTDCRunTimes.py" --tripid 181-11 --locoid 4042 --swversion DE.1.0.9.0 --startMP 204:480 --initTime 2017-06-11T13:42:14 --startdatetime 2017-06-11T13:45:14 --delay 1 --endMP 204:233295 --enddatetime 2017-06-11T14:22:19 --enforcementcount 0 &gt;&gt;C:\Users\stu\Documents\GitHub\eaglep3-reporting\EC\2017-06-11-refined-times.txt</v>
      </c>
      <c r="AI93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{"issue":{"subject":"","project_id":79,"tracker_id":40,"status_id":1,"priority_id":2,"assigned_to_id":23,"start_date":"2017-06-11","description":"","custom_fields":[{"id":1,"name":"Subdivision","value":"EC"},{"id":4,"name":"Milepost","value":"23.3295"},{"id":17,"name":"Train ID","value":"181-11"},{"id":16,"name":"Locomotive ID","value":"4042"},{"id":130,"name":"Impact","value":""},{"id":150,"name":"Time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0"/>
        <v>start /low /b %USERPROFILE%\Documents\GitHub\eaglep3\Utilities\DownloadLogsFromS3.py --loco 4042 --day 2017-06-11</v>
      </c>
      <c r="AN93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750</v>
      </c>
      <c r="B94" s="7">
        <v>4041</v>
      </c>
      <c r="C94" s="21" t="s">
        <v>204</v>
      </c>
      <c r="D94" s="21" t="s">
        <v>598</v>
      </c>
      <c r="E94" s="13">
        <v>42897.610462962963</v>
      </c>
      <c r="F94" s="13">
        <v>42897.612638888888</v>
      </c>
      <c r="G94" s="7">
        <v>1</v>
      </c>
      <c r="H94" s="21" t="s">
        <v>360</v>
      </c>
      <c r="I94" s="13">
        <v>42897.639722222222</v>
      </c>
      <c r="J94" s="7">
        <v>0</v>
      </c>
      <c r="K94" s="92" t="str">
        <f t="shared" si="26"/>
        <v>4041/4042</v>
      </c>
      <c r="L94" s="21" t="str">
        <f>VLOOKUP(A94,'Trips&amp;Operators'!$C$1:$G$99999,5,FALSE)</f>
        <v>ROBINSON KADDIBA</v>
      </c>
      <c r="M94" s="6">
        <f t="shared" si="27"/>
        <v>2.7083333334303461E-2</v>
      </c>
      <c r="N94" s="7">
        <f t="shared" si="28"/>
        <v>39.000000001396984</v>
      </c>
      <c r="O94" s="7"/>
      <c r="P94" s="7"/>
      <c r="Q94" s="22"/>
      <c r="R94" s="173"/>
      <c r="S94" s="176">
        <f t="shared" si="29"/>
        <v>1</v>
      </c>
      <c r="T94" s="202" t="str">
        <f t="shared" si="3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-06-11T13:39:04-0600',mode:absolute,to:'2017-06-11T16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 t="shared" si="32"/>
        <v>N</v>
      </c>
      <c r="X94" s="204">
        <f t="shared" si="49"/>
        <v>1</v>
      </c>
      <c r="Y94" s="204">
        <f t="shared" si="47"/>
        <v>23.2972</v>
      </c>
      <c r="Z94" s="204">
        <f t="shared" si="48"/>
        <v>1.3899999999999999E-2</v>
      </c>
      <c r="AA94" s="204">
        <f t="shared" si="33"/>
        <v>23.283300000000001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4"/>
        <v>0182-11</v>
      </c>
      <c r="AE94" s="80" t="str">
        <f t="shared" si="35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94" s="77" t="str">
        <f t="shared" si="36"/>
        <v>"C:\Program Files (x86)\AstroGrep\AstroGrep.exe" /e /r /s /spath="%USERPROFILE%\AppData\Local\Temp\OnboardLogs" /stypes="app*4041*20170611*" /stext=" 21:.+((SYSTEM_STATE.+slice.+state.+changed )|(ment ac)|(multiple cpu faults)|(system.+state.+changed )|(\[timeout)|(PRM\|1\|D)|(kpr)|(kdp)|(train st.+moving)|(\|lc)|(penalty))"</v>
      </c>
      <c r="AG94" s="1" t="str">
        <f t="shared" si="37"/>
        <v>EC</v>
      </c>
      <c r="AH94" s="81" t="str">
        <f t="shared" si="38"/>
        <v>"%USERPROFILE%\Documents\GitHub\eaglep3\Utilities\RefineRTDCRunTimes.py" --tripid 182-11 --locoid 4041 --swversion DE.1.0.9.0 --startMP 204:232972 --initTime 2017-06-11T14:39:04 --startdatetime 2017-06-11T14:42:12 --delay 1 --endMP 204:139 --enddatetime 2017-06-11T15:21:12 --enforcementcount 0 &gt;&gt;C:\Users\stu\Documents\GitHub\eaglep3-reporting\EC\2017-06-11-refined-times.txt</v>
      </c>
      <c r="AI94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ID","value":"182-11"},{"id":16,"name":"Locomotive ID","value":"4041"},{"id":130,"name":"Impact","value":""},{"id":150,"name":"Time of Event (Mountain Time)","value":"15:21:12"},{"id":151,"name":"Denver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0"/>
        <v>start /low /b %USERPROFILE%\Documents\GitHub\eaglep3\Utilities\DownloadLogsFromS3.py --loco 4041 --day 2017-06-11</v>
      </c>
      <c r="AN94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20" customFormat="1" x14ac:dyDescent="0.25">
      <c r="A95" s="32" t="s">
        <v>633</v>
      </c>
      <c r="B95" s="7">
        <v>4050</v>
      </c>
      <c r="C95" s="21" t="s">
        <v>204</v>
      </c>
      <c r="D95" s="21" t="s">
        <v>349</v>
      </c>
      <c r="E95" s="13">
        <v>42897.580266203702</v>
      </c>
      <c r="F95" s="13">
        <v>42897.58357638889</v>
      </c>
      <c r="G95" s="7">
        <v>1</v>
      </c>
      <c r="H95" s="21" t="s">
        <v>904</v>
      </c>
      <c r="I95" s="13">
        <v>42897.608460648145</v>
      </c>
      <c r="J95" s="7">
        <v>0</v>
      </c>
      <c r="K95" s="92" t="str">
        <f t="shared" si="26"/>
        <v>4049/4050</v>
      </c>
      <c r="L95" s="21" t="str">
        <f>VLOOKUP(A95,'Trips&amp;Operators'!$C$1:$G$99999,5,FALSE)</f>
        <v>DELGADO DIANAH</v>
      </c>
      <c r="M95" s="6">
        <f t="shared" si="27"/>
        <v>2.488425925548654E-2</v>
      </c>
      <c r="N95" s="7">
        <f t="shared" si="28"/>
        <v>35.833333327900618</v>
      </c>
      <c r="O95" s="7"/>
      <c r="P95" s="7"/>
      <c r="Q95" s="22"/>
      <c r="R95" s="173"/>
      <c r="S95" s="176">
        <f t="shared" si="29"/>
        <v>1</v>
      </c>
      <c r="T95" s="202" t="str">
        <f t="shared" si="3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-06-11T12:55:35-0600',mode:absolute,to:'2017-06-11T15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5" s="204" t="str">
        <f t="shared" si="32"/>
        <v>N</v>
      </c>
      <c r="X95" s="204">
        <f t="shared" si="49"/>
        <v>1</v>
      </c>
      <c r="Y95" s="204">
        <f t="shared" si="47"/>
        <v>4.4600000000000001E-2</v>
      </c>
      <c r="Z95" s="204">
        <f t="shared" si="48"/>
        <v>23.3383</v>
      </c>
      <c r="AA95" s="204">
        <f t="shared" si="33"/>
        <v>23.293700000000001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4"/>
        <v>0183-11</v>
      </c>
      <c r="AE95" s="80" t="str">
        <f t="shared" si="35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95" s="77" t="str">
        <f t="shared" si="36"/>
        <v>"C:\Program Files (x86)\AstroGrep\AstroGrep.exe" /e /r /s /spath="%USERPROFILE%\AppData\Local\Temp\OnboardLogs" /stypes="app*4050*20170611*" /stext=" 20:.+((SYSTEM_STATE.+slice.+state.+changed )|(ment ac)|(multiple cpu faults)|(system.+state.+changed )|(\[timeout)|(PRM\|1\|D)|(kpr)|(kdp)|(train st.+moving)|(\|lc)|(penalty))"</v>
      </c>
      <c r="AG95" s="1" t="str">
        <f t="shared" si="37"/>
        <v>EC</v>
      </c>
      <c r="AH95" s="81" t="str">
        <f t="shared" si="38"/>
        <v>"%USERPROFILE%\Documents\GitHub\eaglep3\Utilities\RefineRTDCRunTimes.py" --tripid 183-11 --locoid 4050 --swversion DE.1.0.9.0 --startMP 204:446 --initTime 2017-06-11T13:55:35 --startdatetime 2017-06-11T14:00:21 --delay 1 --endMP 204:233383 --enddatetime 2017-06-11T14:36:11 --enforcementcount 0 &gt;&gt;C:\Users\stu\Documents\GitHub\eaglep3-reporting\EC\2017-06-11-refined-times.txt</v>
      </c>
      <c r="AI95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{"issue":{"subject":"","project_id":79,"tracker_id":40,"status_id":1,"priority_id":2,"assigned_to_id":23,"start_date":"2017-06-11","description":"","custom_fields":[{"id":1,"name":"Subdivision","value":"EC"},{"id":4,"name":"Milepost","value":"23.3383"},{"id":17,"name":"Train ID","value":"183-11"},{"id":16,"name":"Locomotive ID","value":"4050"},{"id":130,"name":"Impact","value":""},{"id":150,"name":"Time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0"/>
        <v>start /low /b %USERPROFILE%\Documents\GitHub\eaglep3\Utilities\DownloadLogsFromS3.py --loco 4050 --day 2017-06-11</v>
      </c>
      <c r="AN95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752</v>
      </c>
      <c r="B96" s="7">
        <v>4049</v>
      </c>
      <c r="C96" s="21" t="s">
        <v>204</v>
      </c>
      <c r="D96" s="21" t="s">
        <v>912</v>
      </c>
      <c r="E96" s="13">
        <v>42897.619444444441</v>
      </c>
      <c r="F96" s="13">
        <v>42897.623078703706</v>
      </c>
      <c r="G96" s="7">
        <v>1</v>
      </c>
      <c r="H96" s="21" t="s">
        <v>360</v>
      </c>
      <c r="I96" s="13">
        <v>42897.648761574077</v>
      </c>
      <c r="J96" s="7">
        <v>0</v>
      </c>
      <c r="K96" s="92" t="str">
        <f t="shared" si="26"/>
        <v>4049/4050</v>
      </c>
      <c r="L96" s="21" t="str">
        <f>VLOOKUP(A96,'Trips&amp;Operators'!$C$1:$G$99999,5,FALSE)</f>
        <v>DELGADO DIANAH</v>
      </c>
      <c r="M96" s="6">
        <f t="shared" si="27"/>
        <v>2.5682870371383615E-2</v>
      </c>
      <c r="N96" s="7">
        <f t="shared" si="28"/>
        <v>36.983333334792405</v>
      </c>
      <c r="O96" s="7"/>
      <c r="P96" s="7"/>
      <c r="Q96" s="22"/>
      <c r="R96" s="173"/>
      <c r="S96" s="176">
        <f t="shared" si="29"/>
        <v>1</v>
      </c>
      <c r="T96" s="202" t="str">
        <f t="shared" si="3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-06-11T13:52:00-0600',mode:absolute,to:'2017-06-11T16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6" s="204" t="str">
        <f t="shared" si="32"/>
        <v>N</v>
      </c>
      <c r="X96" s="204">
        <f t="shared" si="49"/>
        <v>1</v>
      </c>
      <c r="Y96" s="204">
        <f t="shared" si="47"/>
        <v>23.3049</v>
      </c>
      <c r="Z96" s="204">
        <f t="shared" si="48"/>
        <v>1.3899999999999999E-2</v>
      </c>
      <c r="AA96" s="204">
        <f t="shared" si="33"/>
        <v>23.291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4"/>
        <v>0184-11</v>
      </c>
      <c r="AE96" s="80" t="str">
        <f t="shared" si="35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96" s="77" t="str">
        <f t="shared" si="36"/>
        <v>"C:\Program Files (x86)\AstroGrep\AstroGrep.exe" /e /r /s /spath="%USERPROFILE%\AppData\Local\Temp\OnboardLogs" /stypes="app*4049*20170611*" /stext=" 21:.+((SYSTEM_STATE.+slice.+state.+changed )|(ment ac)|(multiple cpu faults)|(system.+state.+changed )|(\[timeout)|(PRM\|1\|D)|(kpr)|(kdp)|(train st.+moving)|(\|lc)|(penalty))"</v>
      </c>
      <c r="AG96" s="1" t="str">
        <f t="shared" si="37"/>
        <v>EC</v>
      </c>
      <c r="AH96" s="81" t="str">
        <f t="shared" si="38"/>
        <v>"%USERPROFILE%\Documents\GitHub\eaglep3\Utilities\RefineRTDCRunTimes.py" --tripid 184-11 --locoid 4049 --swversion DE.1.0.9.0 --startMP 204:233049 --initTime 2017-06-11T14:52:00 --startdatetime 2017-06-11T14:57:14 --delay 1 --endMP 204:139 --enddatetime 2017-06-11T15:34:13 --enforcementcount 0 &gt;&gt;C:\Users\stu\Documents\GitHub\eaglep3-reporting\EC\2017-06-11-refined-times.txt</v>
      </c>
      <c r="AI96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ID","value":"184-11"},{"id":16,"name":"Locomotive ID","value":"4049"},{"id":130,"name":"Impact","value":""},{"id":150,"name":"Time of Event (Mountain Time)","value":"15:34:13"},{"id":151,"name":"Denver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0"/>
        <v>start /low /b %USERPROFILE%\Documents\GitHub\eaglep3\Utilities\DownloadLogsFromS3.py --loco 4049 --day 2017-06-11</v>
      </c>
      <c r="AN96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747</v>
      </c>
      <c r="B97" s="7">
        <v>4054</v>
      </c>
      <c r="C97" s="21" t="s">
        <v>204</v>
      </c>
      <c r="D97" s="21" t="s">
        <v>355</v>
      </c>
      <c r="E97" s="13">
        <v>42897.591249999998</v>
      </c>
      <c r="F97" s="13">
        <v>42897.593912037039</v>
      </c>
      <c r="G97" s="7">
        <v>1</v>
      </c>
      <c r="H97" s="21" t="s">
        <v>612</v>
      </c>
      <c r="I97" s="13">
        <v>42897.618981481479</v>
      </c>
      <c r="J97" s="7">
        <v>0</v>
      </c>
      <c r="K97" s="92" t="str">
        <f t="shared" si="26"/>
        <v>4053/4054</v>
      </c>
      <c r="L97" s="21" t="str">
        <f>VLOOKUP(A97,'Trips&amp;Operators'!$C$1:$G$99999,5,FALSE)</f>
        <v>BROWN JACOB</v>
      </c>
      <c r="M97" s="6">
        <f t="shared" si="27"/>
        <v>2.5069444440305233E-2</v>
      </c>
      <c r="N97" s="7">
        <f t="shared" si="28"/>
        <v>36.099999994039536</v>
      </c>
      <c r="O97" s="7"/>
      <c r="P97" s="7"/>
      <c r="Q97" s="22"/>
      <c r="R97" s="173"/>
      <c r="S97" s="176">
        <f t="shared" si="29"/>
        <v>1</v>
      </c>
      <c r="T97" s="202" t="str">
        <f t="shared" si="3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-06-11T13:11:24-0600',mode:absolute,to:'2017-06-11T15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204" t="str">
        <f t="shared" si="32"/>
        <v>N</v>
      </c>
      <c r="X97" s="204">
        <f t="shared" si="49"/>
        <v>1</v>
      </c>
      <c r="Y97" s="204">
        <f t="shared" si="47"/>
        <v>4.5100000000000001E-2</v>
      </c>
      <c r="Z97" s="204">
        <f t="shared" si="48"/>
        <v>23.332899999999999</v>
      </c>
      <c r="AA97" s="204">
        <f t="shared" si="33"/>
        <v>23.287799999999997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4"/>
        <v>0185-11</v>
      </c>
      <c r="AE97" s="80" t="str">
        <f t="shared" si="35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97" s="77" t="str">
        <f t="shared" si="36"/>
        <v>"C:\Program Files (x86)\AstroGrep\AstroGrep.exe" /e /r /s /spath="%USERPROFILE%\AppData\Local\Temp\OnboardLogs" /stypes="app*4054*20170611*" /stext=" 20:.+((SYSTEM_STATE.+slice.+state.+changed )|(ment ac)|(multiple cpu faults)|(system.+state.+changed )|(\[timeout)|(PRM\|1\|D)|(kpr)|(kdp)|(train st.+moving)|(\|lc)|(penalty))"</v>
      </c>
      <c r="AG97" s="1" t="str">
        <f t="shared" si="37"/>
        <v>EC</v>
      </c>
      <c r="AH97" s="81" t="str">
        <f t="shared" si="38"/>
        <v>"%USERPROFILE%\Documents\GitHub\eaglep3\Utilities\RefineRTDCRunTimes.py" --tripid 185-11 --locoid 4054 --swversion DE.1.0.9.0 --startMP 204:451 --initTime 2017-06-11T14:11:24 --startdatetime 2017-06-11T14:15:14 --delay 1 --endMP 204:233329 --enddatetime 2017-06-11T14:51:20 --enforcementcount 0 &gt;&gt;C:\Users\stu\Documents\GitHub\eaglep3-reporting\EC\2017-06-11-refined-times.txt</v>
      </c>
      <c r="AI97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{"issue":{"subject":"","project_id":79,"tracker_id":40,"status_id":1,"priority_id":2,"assigned_to_id":23,"start_date":"2017-06-11","description":"","custom_fields":[{"id":1,"name":"Subdivision","value":"EC"},{"id":4,"name":"Milepost","value":"23.3329"},{"id":17,"name":"Train ID","value":"185-11"},{"id":16,"name":"Locomotive ID","value":"4054"},{"id":130,"name":"Impact","value":""},{"id":150,"name":"Time of Event (Mountain Time)","value":"14:51:20"},{"id":151,"name":"Denver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0"/>
        <v>start /low /b %USERPROFILE%\Documents\GitHub\eaglep3\Utilities\DownloadLogsFromS3.py --loco 4054 --day 2017-06-11</v>
      </c>
      <c r="AN97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754</v>
      </c>
      <c r="B98" s="7">
        <v>4053</v>
      </c>
      <c r="C98" s="21" t="s">
        <v>204</v>
      </c>
      <c r="D98" s="21" t="s">
        <v>593</v>
      </c>
      <c r="E98" s="13">
        <v>42897.630879629629</v>
      </c>
      <c r="F98" s="13">
        <v>42897.633483796293</v>
      </c>
      <c r="G98" s="7">
        <v>1</v>
      </c>
      <c r="H98" s="21" t="s">
        <v>363</v>
      </c>
      <c r="I98" s="13">
        <v>42897.661481481482</v>
      </c>
      <c r="J98" s="7">
        <v>0</v>
      </c>
      <c r="K98" s="92" t="str">
        <f t="shared" si="26"/>
        <v>4053/4054</v>
      </c>
      <c r="L98" s="21" t="str">
        <f>VLOOKUP(A98,'Trips&amp;Operators'!$C$1:$G$99999,5,FALSE)</f>
        <v>BROWN JACOB</v>
      </c>
      <c r="M98" s="6">
        <f t="shared" si="27"/>
        <v>2.7997685188893229E-2</v>
      </c>
      <c r="N98" s="7">
        <f t="shared" si="28"/>
        <v>40.316666672006249</v>
      </c>
      <c r="O98" s="7"/>
      <c r="P98" s="7"/>
      <c r="Q98" s="22"/>
      <c r="R98" s="173"/>
      <c r="S98" s="176">
        <f t="shared" si="29"/>
        <v>1</v>
      </c>
      <c r="T98" s="202" t="str">
        <f t="shared" si="30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-06-11T14:08:28-0600',mode:absolute,to:'2017-06-11T16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204" t="str">
        <f t="shared" si="32"/>
        <v>N</v>
      </c>
      <c r="X98" s="204">
        <f t="shared" si="49"/>
        <v>1</v>
      </c>
      <c r="Y98" s="204">
        <f t="shared" si="47"/>
        <v>23.301500000000001</v>
      </c>
      <c r="Z98" s="204">
        <f t="shared" si="48"/>
        <v>1.47E-2</v>
      </c>
      <c r="AA98" s="204">
        <f t="shared" si="33"/>
        <v>23.286799999999999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4"/>
        <v>0186-11</v>
      </c>
      <c r="AE98" s="80" t="str">
        <f t="shared" si="35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98" s="77" t="str">
        <f t="shared" si="36"/>
        <v>"C:\Program Files (x86)\AstroGrep\AstroGrep.exe" /e /r /s /spath="%USERPROFILE%\AppData\Local\Temp\OnboardLogs" /stypes="app*4053*20170611*" /stext=" 21:.+((SYSTEM_STATE.+slice.+state.+changed )|(ment ac)|(multiple cpu faults)|(system.+state.+changed )|(\[timeout)|(PRM\|1\|D)|(kpr)|(kdp)|(train st.+moving)|(\|lc)|(penalty))"</v>
      </c>
      <c r="AG98" s="1" t="str">
        <f t="shared" si="37"/>
        <v>EC</v>
      </c>
      <c r="AH98" s="81" t="str">
        <f t="shared" si="38"/>
        <v>"%USERPROFILE%\Documents\GitHub\eaglep3\Utilities\RefineRTDCRunTimes.py" --tripid 186-11 --locoid 4053 --swversion DE.1.0.9.0 --startMP 204:233015 --initTime 2017-06-11T15:08:28 --startdatetime 2017-06-11T15:12:13 --delay 1 --endMP 204:147 --enddatetime 2017-06-11T15:52:32 --enforcementcount 0 &gt;&gt;C:\Users\stu\Documents\GitHub\eaglep3-reporting\EC\2017-06-11-refined-times.txt</v>
      </c>
      <c r="AI98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ID","value":"186-11"},{"id":16,"name":"Locomotive ID","value":"4053"},{"id":130,"name":"Impact","value":""},{"id":150,"name":"Time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0"/>
        <v>start /low /b %USERPROFILE%\Documents\GitHub\eaglep3\Utilities\DownloadLogsFromS3.py --loco 4053 --day 2017-06-11</v>
      </c>
      <c r="AN98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749</v>
      </c>
      <c r="B99" s="7">
        <v>4010</v>
      </c>
      <c r="C99" s="21" t="s">
        <v>204</v>
      </c>
      <c r="D99" s="21" t="s">
        <v>467</v>
      </c>
      <c r="E99" s="13">
        <v>42897.599398148152</v>
      </c>
      <c r="F99" s="13">
        <v>42897.604351851849</v>
      </c>
      <c r="G99" s="7">
        <v>1</v>
      </c>
      <c r="H99" s="21" t="s">
        <v>913</v>
      </c>
      <c r="I99" s="13">
        <v>42897.629907407405</v>
      </c>
      <c r="J99" s="7">
        <v>0</v>
      </c>
      <c r="K99" s="92" t="str">
        <f t="shared" si="26"/>
        <v>4009/4010</v>
      </c>
      <c r="L99" s="21" t="str">
        <f>VLOOKUP(A99,'Trips&amp;Operators'!$C$1:$G$99999,5,FALSE)</f>
        <v>LOPES KIMBERLY</v>
      </c>
      <c r="M99" s="6">
        <f t="shared" si="27"/>
        <v>2.5555555555911269E-2</v>
      </c>
      <c r="N99" s="7">
        <f t="shared" si="28"/>
        <v>36.800000000512227</v>
      </c>
      <c r="O99" s="7"/>
      <c r="P99" s="7"/>
      <c r="Q99" s="22"/>
      <c r="R99" s="173"/>
      <c r="S99" s="176">
        <f t="shared" si="29"/>
        <v>1</v>
      </c>
      <c r="T99" s="202" t="str">
        <f t="shared" si="30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-06-11T13:23:08-0600',mode:absolute,to:'2017-06-11T16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204" t="str">
        <f t="shared" si="32"/>
        <v>N</v>
      </c>
      <c r="X99" s="204">
        <f t="shared" si="49"/>
        <v>1</v>
      </c>
      <c r="Y99" s="204">
        <f t="shared" si="47"/>
        <v>4.3700000000000003E-2</v>
      </c>
      <c r="Z99" s="204">
        <f t="shared" si="48"/>
        <v>23.332999999999998</v>
      </c>
      <c r="AA99" s="204">
        <f t="shared" si="33"/>
        <v>23.289299999999997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4"/>
        <v>0187-11</v>
      </c>
      <c r="AE99" s="80" t="str">
        <f t="shared" si="35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99" s="77" t="str">
        <f t="shared" si="36"/>
        <v>"C:\Program Files (x86)\AstroGrep\AstroGrep.exe" /e /r /s /spath="%USERPROFILE%\AppData\Local\Temp\OnboardLogs" /stypes="app*4010*20170611*" /stext=" 21:.+((SYSTEM_STATE.+slice.+state.+changed )|(ment ac)|(multiple cpu faults)|(system.+state.+changed )|(\[timeout)|(PRM\|1\|D)|(kpr)|(kdp)|(train st.+moving)|(\|lc)|(penalty))"</v>
      </c>
      <c r="AG99" s="1" t="str">
        <f t="shared" si="37"/>
        <v>EC</v>
      </c>
      <c r="AH99" s="81" t="str">
        <f t="shared" si="38"/>
        <v>"%USERPROFILE%\Documents\GitHub\eaglep3\Utilities\RefineRTDCRunTimes.py" --tripid 187-11 --locoid 4010 --swversion DE.1.0.9.0 --startMP 204:437 --initTime 2017-06-11T14:23:08 --startdatetime 2017-06-11T14:30:16 --delay 1 --endMP 204:233330 --enddatetime 2017-06-11T15:07:04 --enforcementcount 0 &gt;&gt;C:\Users\stu\Documents\GitHub\eaglep3-reporting\EC\2017-06-11-refined-times.txt</v>
      </c>
      <c r="AI9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{"issue":{"subject":"","project_id":79,"tracker_id":40,"status_id":1,"priority_id":2,"assigned_to_id":23,"start_date":"2017-06-11","description":"","custom_fields":[{"id":1,"name":"Subdivision","value":"EC"},{"id":4,"name":"Milepost","value":"23.333"},{"id":17,"name":"Train ID","value":"187-11"},{"id":16,"name":"Locomotive ID","value":"4010"},{"id":130,"name":"Impact","value":""},{"id":150,"name":"Time of Event (Mountain Time)","value":"15:07:04"},{"id":151,"name":"Denver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0"/>
        <v>start /low /b %USERPROFILE%\Documents\GitHub\eaglep3\Utilities\DownloadLogsFromS3.py --loco 4010 --day 2017-06-11</v>
      </c>
      <c r="AN99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756</v>
      </c>
      <c r="B100" s="7">
        <v>4009</v>
      </c>
      <c r="C100" s="21" t="s">
        <v>204</v>
      </c>
      <c r="D100" s="21" t="s">
        <v>489</v>
      </c>
      <c r="E100" s="13">
        <v>42897.636238425926</v>
      </c>
      <c r="F100" s="13">
        <v>42897.643993055557</v>
      </c>
      <c r="G100" s="7">
        <v>1</v>
      </c>
      <c r="H100" s="21" t="s">
        <v>505</v>
      </c>
      <c r="I100" s="13">
        <v>42897.670949074076</v>
      </c>
      <c r="J100" s="7">
        <v>0</v>
      </c>
      <c r="K100" s="92" t="str">
        <f t="shared" si="26"/>
        <v>4009/4010</v>
      </c>
      <c r="L100" s="21" t="str">
        <f>VLOOKUP(A100,'Trips&amp;Operators'!$C$1:$G$99999,5,FALSE)</f>
        <v>LOPES KIMBERLY</v>
      </c>
      <c r="M100" s="6">
        <f t="shared" si="27"/>
        <v>2.6956018518831115E-2</v>
      </c>
      <c r="N100" s="7">
        <f t="shared" si="28"/>
        <v>38.816666667116806</v>
      </c>
      <c r="O100" s="7"/>
      <c r="P100" s="7"/>
      <c r="Q100" s="22"/>
      <c r="R100" s="173"/>
      <c r="S100" s="176">
        <f t="shared" si="29"/>
        <v>1</v>
      </c>
      <c r="T100" s="202" t="str">
        <f t="shared" si="30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-06-11T14:16:11-0600',mode:absolute,to:'2017-06-11T17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204" t="str">
        <f t="shared" si="32"/>
        <v>N</v>
      </c>
      <c r="X100" s="204">
        <f t="shared" si="49"/>
        <v>1</v>
      </c>
      <c r="Y100" s="204">
        <f t="shared" si="47"/>
        <v>23.3</v>
      </c>
      <c r="Z100" s="204">
        <f t="shared" si="48"/>
        <v>1.61E-2</v>
      </c>
      <c r="AA100" s="204">
        <f t="shared" si="33"/>
        <v>23.283899999999999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4"/>
        <v>0188-11</v>
      </c>
      <c r="AE100" s="80" t="str">
        <f t="shared" si="35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100" s="77" t="str">
        <f t="shared" si="36"/>
        <v>"C:\Program Files (x86)\AstroGrep\AstroGrep.exe" /e /r /s /spath="%USERPROFILE%\AppData\Local\Temp\OnboardLogs" /stypes="app*4009*20170611*" /stext=" 22:.+((SYSTEM_STATE.+slice.+state.+changed )|(ment ac)|(multiple cpu faults)|(system.+state.+changed )|(\[timeout)|(PRM\|1\|D)|(kpr)|(kdp)|(train st.+moving)|(\|lc)|(penalty))"</v>
      </c>
      <c r="AG100" s="1" t="str">
        <f t="shared" si="37"/>
        <v>EC</v>
      </c>
      <c r="AH100" s="81" t="str">
        <f t="shared" si="38"/>
        <v>"%USERPROFILE%\Documents\GitHub\eaglep3\Utilities\RefineRTDCRunTimes.py" --tripid 188-11 --locoid 4009 --swversion DE.1.0.9.0 --startMP 204:233000 --initTime 2017-06-11T15:16:11 --startdatetime 2017-06-11T15:27:21 --delay 1 --endMP 204:161 --enddatetime 2017-06-11T16:06:10 --enforcementcount 0 &gt;&gt;C:\Users\stu\Documents\GitHub\eaglep3-reporting\EC\2017-06-11-refined-times.txt</v>
      </c>
      <c r="AI10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{"issue":{"subject":"","project_id":79,"tracker_id":40,"status_id":1,"priority_id":2,"assigned_to_id":23,"start_date":"2017-06-11","description":"","custom_fields":[{"id":1,"name":"Subdivision","value":"EC"},{"id":4,"name":"Milepost","value":"0.0161"},{"id":17,"name":"Train ID","value":"188-11"},{"id":16,"name":"Locomotive ID","value":"4009"},{"id":130,"name":"Impact","value":""},{"id":150,"name":"Time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40"/>
        <v>start /low /b %USERPROFILE%\Documents\GitHub\eaglep3\Utilities\DownloadLogsFromS3.py --loco 4009 --day 2017-06-11</v>
      </c>
      <c r="AN100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751</v>
      </c>
      <c r="B101" s="7">
        <v>4020</v>
      </c>
      <c r="C101" s="21" t="s">
        <v>204</v>
      </c>
      <c r="D101" s="21" t="s">
        <v>914</v>
      </c>
      <c r="E101" s="13">
        <v>42897.613715277781</v>
      </c>
      <c r="F101" s="13">
        <v>42897.615347222221</v>
      </c>
      <c r="G101" s="7">
        <v>1</v>
      </c>
      <c r="H101" s="21" t="s">
        <v>612</v>
      </c>
      <c r="I101" s="13">
        <v>42897.640972222223</v>
      </c>
      <c r="J101" s="7">
        <v>0</v>
      </c>
      <c r="K101" s="92" t="str">
        <f t="shared" si="26"/>
        <v>4019/4020</v>
      </c>
      <c r="L101" s="21" t="str">
        <f>VLOOKUP(A101,'Trips&amp;Operators'!$C$1:$G$99999,5,FALSE)</f>
        <v>DAVIS MICHAEL</v>
      </c>
      <c r="M101" s="6">
        <f t="shared" si="27"/>
        <v>2.5625000002037268E-2</v>
      </c>
      <c r="N101" s="7">
        <f t="shared" si="28"/>
        <v>36.900000002933666</v>
      </c>
      <c r="O101" s="7"/>
      <c r="P101" s="7"/>
      <c r="Q101" s="22"/>
      <c r="R101" s="173"/>
      <c r="S101" s="176">
        <f t="shared" si="29"/>
        <v>1</v>
      </c>
      <c r="T101" s="202" t="str">
        <f t="shared" si="30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-06-11T13:43:45-0600',mode:absolute,to:'2017-06-11T16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04" t="str">
        <f t="shared" si="32"/>
        <v>N</v>
      </c>
      <c r="X101" s="204">
        <f t="shared" si="49"/>
        <v>1</v>
      </c>
      <c r="Y101" s="204">
        <f t="shared" si="47"/>
        <v>4.3099999999999999E-2</v>
      </c>
      <c r="Z101" s="204">
        <f t="shared" si="48"/>
        <v>23.332899999999999</v>
      </c>
      <c r="AA101" s="204">
        <f t="shared" si="33"/>
        <v>23.2898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4"/>
        <v>0189-11</v>
      </c>
      <c r="AE101" s="80" t="str">
        <f t="shared" si="35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101" s="77" t="str">
        <f t="shared" si="36"/>
        <v>"C:\Program Files (x86)\AstroGrep\AstroGrep.exe" /e /r /s /spath="%USERPROFILE%\AppData\Local\Temp\OnboardLogs" /stypes="app*4020*20170611*" /stext=" 21:.+((SYSTEM_STATE.+slice.+state.+changed )|(ment ac)|(multiple cpu faults)|(system.+state.+changed )|(\[timeout)|(PRM\|1\|D)|(kpr)|(kdp)|(train st.+moving)|(\|lc)|(penalty))"</v>
      </c>
      <c r="AG101" s="1" t="str">
        <f t="shared" si="37"/>
        <v>EC</v>
      </c>
      <c r="AH101" s="81" t="str">
        <f t="shared" si="38"/>
        <v>"%USERPROFILE%\Documents\GitHub\eaglep3\Utilities\RefineRTDCRunTimes.py" --tripid 189-11 --locoid 4020 --swversion DE.1.0.9.0 --startMP 204:431 --initTime 2017-06-11T14:43:45 --startdatetime 2017-06-11T14:46:06 --delay 1 --endMP 204:233329 --enddatetime 2017-06-11T15:23:00 --enforcementcount 0 &gt;&gt;C:\Users\stu\Documents\GitHub\eaglep3-reporting\EC\2017-06-11-refined-times.txt</v>
      </c>
      <c r="AI101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{"issue":{"subject":"","project_id":79,"tracker_id":40,"status_id":1,"priority_id":2,"assigned_to_id":23,"start_date":"2017-06-11","description":"","custom_fields":[{"id":1,"name":"Subdivision","value":"EC"},{"id":4,"name":"Milepost","value":"23.3329"},{"id":17,"name":"Train ID","value":"189-11"},{"id":16,"name":"Locomotive ID","value":"4020"},{"id":130,"name":"Impact","value":""},{"id":150,"name":"Time of Event (Mountain Time)","value":"15:23:00"},{"id":151,"name":"Denver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0"/>
        <v>start /low /b %USERPROFILE%\Documents\GitHub\eaglep3\Utilities\DownloadLogsFromS3.py --loco 4020 --day 2017-06-11</v>
      </c>
      <c r="AN101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759</v>
      </c>
      <c r="B102" s="7">
        <v>4019</v>
      </c>
      <c r="C102" s="21" t="s">
        <v>204</v>
      </c>
      <c r="D102" s="21" t="s">
        <v>522</v>
      </c>
      <c r="E102" s="13">
        <v>42897.651944444442</v>
      </c>
      <c r="F102" s="13">
        <v>42897.654675925929</v>
      </c>
      <c r="G102" s="7">
        <v>2</v>
      </c>
      <c r="H102" s="21" t="s">
        <v>351</v>
      </c>
      <c r="I102" s="13">
        <v>42897.681516203702</v>
      </c>
      <c r="J102" s="7">
        <v>0</v>
      </c>
      <c r="K102" s="92" t="str">
        <f t="shared" si="26"/>
        <v>4019/4020</v>
      </c>
      <c r="L102" s="21" t="str">
        <f>VLOOKUP(A102,'Trips&amp;Operators'!$C$1:$G$99999,5,FALSE)</f>
        <v>DAVIS MICHAEL</v>
      </c>
      <c r="M102" s="6">
        <f t="shared" si="27"/>
        <v>2.6840277772862464E-2</v>
      </c>
      <c r="N102" s="7">
        <f t="shared" si="28"/>
        <v>38.649999992921948</v>
      </c>
      <c r="O102" s="7"/>
      <c r="P102" s="7"/>
      <c r="Q102" s="22"/>
      <c r="R102" s="173"/>
      <c r="S102" s="176">
        <f t="shared" si="29"/>
        <v>1</v>
      </c>
      <c r="T102" s="202" t="str">
        <f t="shared" si="30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-06-11T14:38:48-0600',mode:absolute,to:'2017-06-11T17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04" t="str">
        <f t="shared" si="32"/>
        <v>N</v>
      </c>
      <c r="X102" s="204">
        <f t="shared" si="49"/>
        <v>1</v>
      </c>
      <c r="Y102" s="204">
        <f t="shared" si="47"/>
        <v>23.301300000000001</v>
      </c>
      <c r="Z102" s="204">
        <f t="shared" si="48"/>
        <v>1.4999999999999999E-2</v>
      </c>
      <c r="AA102" s="204">
        <f t="shared" si="33"/>
        <v>23.286300000000001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4"/>
        <v>0190-11</v>
      </c>
      <c r="AE102" s="80" t="str">
        <f t="shared" si="35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02" s="77" t="str">
        <f t="shared" si="36"/>
        <v>"C:\Program Files (x86)\AstroGrep\AstroGrep.exe" /e /r /s /spath="%USERPROFILE%\AppData\Local\Temp\OnboardLogs" /stypes="app*4019*20170611*" /stext=" 22:.+((SYSTEM_STATE.+slice.+state.+changed )|(ment ac)|(multiple cpu faults)|(system.+state.+changed )|(\[timeout)|(PRM\|1\|D)|(kpr)|(kdp)|(train st.+moving)|(\|lc)|(penalty))"</v>
      </c>
      <c r="AG102" s="1" t="str">
        <f t="shared" si="37"/>
        <v>EC</v>
      </c>
      <c r="AH102" s="81" t="str">
        <f t="shared" si="38"/>
        <v>"%USERPROFILE%\Documents\GitHub\eaglep3\Utilities\RefineRTDCRunTimes.py" --tripid 190-11 --locoid 4019 --swversion DE.1.0.9.0 --startMP 204:233013 --initTime 2017-06-11T15:38:48 --startdatetime 2017-06-11T15:42:44 --delay 2 --endMP 204:150 --enddatetime 2017-06-11T16:21:23 --enforcementcount 0 &gt;&gt;C:\Users\stu\Documents\GitHub\eaglep3-reporting\EC\2017-06-11-refined-times.txt</v>
      </c>
      <c r="AI102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ID","value":"190-11"},{"id":16,"name":"Locomotive ID","value":"4019"},{"id":130,"name":"Impact","value":""},{"id":150,"name":"Time of Event (Mountain Time)","value":"16:21:23"},{"id":151,"name":"Denver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0"/>
        <v>start /low /b %USERPROFILE%\Documents\GitHub\eaglep3\Utilities\DownloadLogsFromS3.py --loco 4019 --day 2017-06-11</v>
      </c>
      <c r="AN102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753</v>
      </c>
      <c r="B103" s="7">
        <v>4002</v>
      </c>
      <c r="C103" s="21" t="s">
        <v>204</v>
      </c>
      <c r="D103" s="21" t="s">
        <v>918</v>
      </c>
      <c r="E103" s="13">
        <v>42897.621863425928</v>
      </c>
      <c r="F103" s="13">
        <v>42897.625208333331</v>
      </c>
      <c r="G103" s="7">
        <v>1</v>
      </c>
      <c r="H103" s="21" t="s">
        <v>834</v>
      </c>
      <c r="I103" s="13">
        <v>42897.652129629627</v>
      </c>
      <c r="J103" s="7">
        <v>0</v>
      </c>
      <c r="K103" s="92" t="str">
        <f t="shared" si="26"/>
        <v>4001/4002</v>
      </c>
      <c r="L103" s="21" t="str">
        <f>VLOOKUP(A103,'Trips&amp;Operators'!$C$1:$G$99999,5,FALSE)</f>
        <v>BRANDNER MELINDA</v>
      </c>
      <c r="M103" s="6">
        <f t="shared" si="27"/>
        <v>2.6921296295768116E-2</v>
      </c>
      <c r="N103" s="7">
        <f t="shared" si="28"/>
        <v>38.766666665906087</v>
      </c>
      <c r="O103" s="7"/>
      <c r="P103" s="7"/>
      <c r="Q103" s="22"/>
      <c r="R103" s="173"/>
      <c r="S103" s="176">
        <f t="shared" si="29"/>
        <v>1</v>
      </c>
      <c r="T103" s="202" t="str">
        <f t="shared" si="30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-06-11T13:55:29-0600',mode:absolute,to:'2017-06-11T16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3" s="204" t="str">
        <f t="shared" si="32"/>
        <v>N</v>
      </c>
      <c r="X103" s="204">
        <f t="shared" si="49"/>
        <v>1</v>
      </c>
      <c r="Y103" s="204">
        <f t="shared" si="47"/>
        <v>4.9500000000000002E-2</v>
      </c>
      <c r="Z103" s="204">
        <f t="shared" si="48"/>
        <v>23.330100000000002</v>
      </c>
      <c r="AA103" s="204">
        <f t="shared" si="33"/>
        <v>23.280600000000003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4"/>
        <v>0191-11</v>
      </c>
      <c r="AE103" s="80" t="str">
        <f t="shared" si="35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103" s="77" t="str">
        <f t="shared" si="36"/>
        <v>"C:\Program Files (x86)\AstroGrep\AstroGrep.exe" /e /r /s /spath="%USERPROFILE%\AppData\Local\Temp\OnboardLogs" /stypes="app*4002*20170611*" /stext=" 21:.+((SYSTEM_STATE.+slice.+state.+changed )|(ment ac)|(multiple cpu faults)|(system.+state.+changed )|(\[timeout)|(PRM\|1\|D)|(kpr)|(kdp)|(train st.+moving)|(\|lc)|(penalty))"</v>
      </c>
      <c r="AG103" s="1" t="str">
        <f t="shared" si="37"/>
        <v>EC</v>
      </c>
      <c r="AH103" s="81" t="str">
        <f t="shared" si="38"/>
        <v>"%USERPROFILE%\Documents\GitHub\eaglep3\Utilities\RefineRTDCRunTimes.py" --tripid 191-11 --locoid 4002 --swversion DE.1.0.9.0 --startMP 204:495 --initTime 2017-06-11T14:55:29 --startdatetime 2017-06-11T15:00:18 --delay 1 --endMP 204:233301 --enddatetime 2017-06-11T15:39:04 --enforcementcount 0 &gt;&gt;C:\Users\stu\Documents\GitHub\eaglep3-reporting\EC\2017-06-11-refined-times.txt</v>
      </c>
      <c r="AI103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{"issue":{"subject":"","project_id":79,"tracker_id":40,"status_id":1,"priority_id":2,"assigned_to_id":23,"start_date":"2017-06-11","description":"","custom_fields":[{"id":1,"name":"Subdivision","value":"EC"},{"id":4,"name":"Milepost","value":"23.3301"},{"id":17,"name":"Train ID","value":"191-11"},{"id":16,"name":"Locomotive ID","value":"4002"},{"id":130,"name":"Impact","value":""},{"id":150,"name":"Time of Event (Mountain Time)","value":"15:39:04"},{"id":151,"name":"Denver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0"/>
        <v>start /low /b %USERPROFILE%\Documents\GitHub\eaglep3\Utilities\DownloadLogsFromS3.py --loco 4002 --day 2017-06-11</v>
      </c>
      <c r="AN103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4001</v>
      </c>
      <c r="C104" s="21" t="s">
        <v>204</v>
      </c>
      <c r="D104" s="21" t="s">
        <v>428</v>
      </c>
      <c r="E104" s="13">
        <v>42897.66165509259</v>
      </c>
      <c r="F104" s="13">
        <v>42897.665023148147</v>
      </c>
      <c r="G104" s="7">
        <v>1</v>
      </c>
      <c r="H104" s="21" t="s">
        <v>520</v>
      </c>
      <c r="I104" s="13">
        <v>42897.692060185182</v>
      </c>
      <c r="J104" s="7">
        <v>0</v>
      </c>
      <c r="K104" s="92" t="str">
        <f t="shared" si="26"/>
        <v>4001/4002</v>
      </c>
      <c r="L104" s="21" t="str">
        <f>VLOOKUP(A104,'Trips&amp;Operators'!$C$1:$G$99999,5,FALSE)</f>
        <v>BRANDNER MELINDA</v>
      </c>
      <c r="M104" s="6">
        <f t="shared" si="27"/>
        <v>2.7037037034460809E-2</v>
      </c>
      <c r="N104" s="7">
        <f t="shared" si="28"/>
        <v>38.933333329623565</v>
      </c>
      <c r="O104" s="7"/>
      <c r="P104" s="7"/>
      <c r="Q104" s="22"/>
      <c r="R104" s="173"/>
      <c r="S104" s="176">
        <f t="shared" si="29"/>
        <v>1</v>
      </c>
      <c r="T104" s="202" t="str">
        <f t="shared" si="30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-06-11T14:52:47-0600',mode:absolute,to:'2017-06-11T17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4" s="204" t="str">
        <f t="shared" si="32"/>
        <v>N</v>
      </c>
      <c r="X104" s="204">
        <f t="shared" si="49"/>
        <v>1</v>
      </c>
      <c r="Y104" s="204">
        <f t="shared" si="47"/>
        <v>23.297999999999998</v>
      </c>
      <c r="Z104" s="204">
        <f t="shared" si="48"/>
        <v>1.34E-2</v>
      </c>
      <c r="AA104" s="204">
        <f t="shared" si="33"/>
        <v>23.284599999999998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4"/>
        <v>0192-11</v>
      </c>
      <c r="AE104" s="80" t="str">
        <f t="shared" si="35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104" s="77" t="str">
        <f t="shared" si="36"/>
        <v>"C:\Program Files (x86)\AstroGrep\AstroGrep.exe" /e /r /s /spath="%USERPROFILE%\AppData\Local\Temp\OnboardLogs" /stypes="app*4001*20170611*" /stext=" 22:.+((SYSTEM_STATE.+slice.+state.+changed )|(ment ac)|(multiple cpu faults)|(system.+state.+changed )|(\[timeout)|(PRM\|1\|D)|(kpr)|(kdp)|(train st.+moving)|(\|lc)|(penalty))"</v>
      </c>
      <c r="AG104" s="1" t="str">
        <f t="shared" si="37"/>
        <v>EC</v>
      </c>
      <c r="AH104" s="81" t="str">
        <f t="shared" si="38"/>
        <v>"%USERPROFILE%\Documents\GitHub\eaglep3\Utilities\RefineRTDCRunTimes.py" --tripid 192-11 --locoid 4001 --swversion DE.1.0.9.0 --startMP 204:232980 --initTime 2017-06-11T15:52:47 --startdatetime 2017-06-11T15:57:38 --delay 1 --endMP 204:134 --enddatetime 2017-06-11T16:36:34 --enforcementcount 0 &gt;&gt;C:\Users\stu\Documents\GitHub\eaglep3-reporting\EC\2017-06-11-refined-times.txt</v>
      </c>
      <c r="AI104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{"issue":{"subject":"","project_id":79,"tracker_id":40,"status_id":1,"priority_id":2,"assigned_to_id":23,"start_date":"2017-06-11","description":"","custom_fields":[{"id":1,"name":"Subdivision","value":"EC"},{"id":4,"name":"Milepost","value":"0.0134"},{"id":17,"name":"Train ID","value":"192-11"},{"id":16,"name":"Locomotive ID","value":"4001"},{"id":130,"name":"Impact","value":""},{"id":150,"name":"Time of Event (Mountain Time)","value":"16:36:34"},{"id":151,"name":"Denver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0"/>
        <v>start /low /b %USERPROFILE%\Documents\GitHub\eaglep3\Utilities\DownloadLogsFromS3.py --loco 4001 --day 2017-06-11</v>
      </c>
      <c r="AN104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755</v>
      </c>
      <c r="B105" s="7">
        <v>4040</v>
      </c>
      <c r="C105" s="21" t="s">
        <v>204</v>
      </c>
      <c r="D105" s="21" t="s">
        <v>451</v>
      </c>
      <c r="E105" s="13">
        <v>42897.631018518521</v>
      </c>
      <c r="F105" s="13">
        <v>42897.635625000003</v>
      </c>
      <c r="G105" s="7">
        <v>1</v>
      </c>
      <c r="H105" s="21" t="s">
        <v>838</v>
      </c>
      <c r="I105" s="13">
        <v>42897.660358796296</v>
      </c>
      <c r="J105" s="7">
        <v>0</v>
      </c>
      <c r="K105" s="92" t="str">
        <f t="shared" si="26"/>
        <v>4039/4040</v>
      </c>
      <c r="L105" s="21" t="str">
        <f>VLOOKUP(A105,'Trips&amp;Operators'!$C$1:$G$99999,5,FALSE)</f>
        <v>BRUDER RICHARD</v>
      </c>
      <c r="M105" s="6">
        <f t="shared" si="27"/>
        <v>2.4733796293730848E-2</v>
      </c>
      <c r="N105" s="7">
        <f t="shared" si="28"/>
        <v>35.61666666297242</v>
      </c>
      <c r="O105" s="7"/>
      <c r="P105" s="7"/>
      <c r="Q105" s="22"/>
      <c r="R105" s="173"/>
      <c r="S105" s="176">
        <f t="shared" si="29"/>
        <v>1</v>
      </c>
      <c r="T105" s="202" t="str">
        <f t="shared" si="30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-06-11T14:08:40-0600',mode:absolute,to:'2017-06-11T16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204" t="str">
        <f t="shared" si="32"/>
        <v>N</v>
      </c>
      <c r="X105" s="204">
        <f t="shared" si="49"/>
        <v>1</v>
      </c>
      <c r="Y105" s="204">
        <f t="shared" si="47"/>
        <v>4.6699999999999998E-2</v>
      </c>
      <c r="Z105" s="204">
        <f t="shared" si="48"/>
        <v>23.331199999999999</v>
      </c>
      <c r="AA105" s="204">
        <f t="shared" si="33"/>
        <v>23.284499999999998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4"/>
        <v>0193-11</v>
      </c>
      <c r="AE105" s="80" t="str">
        <f t="shared" si="35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105" s="77" t="str">
        <f t="shared" si="36"/>
        <v>"C:\Program Files (x86)\AstroGrep\AstroGrep.exe" /e /r /s /spath="%USERPROFILE%\AppData\Local\Temp\OnboardLogs" /stypes="app*4040*20170611*" /stext=" 21:.+((SYSTEM_STATE.+slice.+state.+changed )|(ment ac)|(multiple cpu faults)|(system.+state.+changed )|(\[timeout)|(PRM\|1\|D)|(kpr)|(kdp)|(train st.+moving)|(\|lc)|(penalty))"</v>
      </c>
      <c r="AG105" s="1" t="str">
        <f t="shared" si="37"/>
        <v>EC</v>
      </c>
      <c r="AH105" s="81" t="str">
        <f t="shared" si="38"/>
        <v>"%USERPROFILE%\Documents\GitHub\eaglep3\Utilities\RefineRTDCRunTimes.py" --tripid 193-11 --locoid 4040 --swversion DE.1.0.9.0 --startMP 204:467 --initTime 2017-06-11T15:08:40 --startdatetime 2017-06-11T15:15:18 --delay 1 --endMP 204:233312 --enddatetime 2017-06-11T15:50:55 --enforcementcount 0 &gt;&gt;C:\Users\stu\Documents\GitHub\eaglep3-reporting\EC\2017-06-11-refined-times.txt</v>
      </c>
      <c r="AI105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{"issue":{"subject":"","project_id":79,"tracker_id":40,"status_id":1,"priority_id":2,"assigned_to_id":23,"start_date":"2017-06-11","description":"","custom_fields":[{"id":1,"name":"Subdivision","value":"EC"},{"id":4,"name":"Milepost","value":"23.3312"},{"id":17,"name":"Train ID","value":"193-11"},{"id":16,"name":"Locomotive ID","value":"4040"},{"id":130,"name":"Impact","value":""},{"id":150,"name":"Time of Event (Mountain Time)","value":"15:50:55"},{"id":151,"name":"Denver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0"/>
        <v>start /low /b %USERPROFILE%\Documents\GitHub\eaglep3\Utilities\DownloadLogsFromS3.py --loco 4040 --day 2017-06-11</v>
      </c>
      <c r="AN105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762</v>
      </c>
      <c r="B106" s="7">
        <v>4039</v>
      </c>
      <c r="C106" s="21" t="s">
        <v>204</v>
      </c>
      <c r="D106" s="21" t="s">
        <v>589</v>
      </c>
      <c r="E106" s="13">
        <v>42897.670983796299</v>
      </c>
      <c r="F106" s="13">
        <v>42897.675196759257</v>
      </c>
      <c r="G106" s="7">
        <v>1</v>
      </c>
      <c r="H106" s="21" t="s">
        <v>195</v>
      </c>
      <c r="I106" s="13">
        <v>42897.700960648152</v>
      </c>
      <c r="J106" s="7">
        <v>0</v>
      </c>
      <c r="K106" s="92" t="str">
        <f t="shared" si="26"/>
        <v>4039/4040</v>
      </c>
      <c r="L106" s="21" t="str">
        <f>VLOOKUP(A106,'Trips&amp;Operators'!$C$1:$G$99999,5,FALSE)</f>
        <v>BRUDER RICHARD</v>
      </c>
      <c r="M106" s="6">
        <f t="shared" si="27"/>
        <v>2.5763888894289266E-2</v>
      </c>
      <c r="N106" s="7">
        <f t="shared" si="28"/>
        <v>37.100000007776543</v>
      </c>
      <c r="O106" s="7"/>
      <c r="P106" s="7"/>
      <c r="Q106" s="22"/>
      <c r="R106" s="173"/>
      <c r="S106" s="176">
        <f t="shared" si="29"/>
        <v>1</v>
      </c>
      <c r="T106" s="202" t="str">
        <f t="shared" si="30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-06-11T15:06:13-0600',mode:absolute,to:'2017-06-11T17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204" t="str">
        <f t="shared" si="32"/>
        <v>N</v>
      </c>
      <c r="X106" s="204">
        <f t="shared" si="49"/>
        <v>1</v>
      </c>
      <c r="Y106" s="204">
        <f t="shared" si="47"/>
        <v>23.299299999999999</v>
      </c>
      <c r="Z106" s="204">
        <f t="shared" si="48"/>
        <v>1.52E-2</v>
      </c>
      <c r="AA106" s="204">
        <f t="shared" si="33"/>
        <v>23.284099999999999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4"/>
        <v>0194-11</v>
      </c>
      <c r="AE106" s="80" t="str">
        <f t="shared" si="35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106" s="77" t="str">
        <f t="shared" si="36"/>
        <v>"C:\Program Files (x86)\AstroGrep\AstroGrep.exe" /e /r /s /spath="%USERPROFILE%\AppData\Local\Temp\OnboardLogs" /stypes="app*4039*20170611*" /stext=" 22:.+((SYSTEM_STATE.+slice.+state.+changed )|(ment ac)|(multiple cpu faults)|(system.+state.+changed )|(\[timeout)|(PRM\|1\|D)|(kpr)|(kdp)|(train st.+moving)|(\|lc)|(penalty))"</v>
      </c>
      <c r="AG106" s="1" t="str">
        <f t="shared" si="37"/>
        <v>EC</v>
      </c>
      <c r="AH106" s="81" t="str">
        <f t="shared" si="38"/>
        <v>"%USERPROFILE%\Documents\GitHub\eaglep3\Utilities\RefineRTDCRunTimes.py" --tripid 194-11 --locoid 4039 --swversion DE.1.0.9.0 --startMP 204:232993 --initTime 2017-06-11T16:06:13 --startdatetime 2017-06-11T16:12:17 --delay 1 --endMP 204:152 --enddatetime 2017-06-11T16:49:23 --enforcementcount 0 &gt;&gt;C:\Users\stu\Documents\GitHub\eaglep3-reporting\EC\2017-06-11-refined-times.txt</v>
      </c>
      <c r="AI106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{"issue":{"subject":"","project_id":79,"tracker_id":40,"status_id":1,"priority_id":2,"assigned_to_id":23,"start_date":"2017-06-11","description":"","custom_fields":[{"id":1,"name":"Subdivision","value":"EC"},{"id":4,"name":"Milepost","value":"0.0152"},{"id":17,"name":"Train ID","value":"194-11"},{"id":16,"name":"Locomotive ID","value":"4039"},{"id":130,"name":"Impact","value":""},{"id":150,"name":"Time of Event (Mountain Time)","value":"16:49:23"},{"id":151,"name":"Denver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5" t="str">
        <f t="shared" si="40"/>
        <v>start /low /b %USERPROFILE%\Documents\GitHub\eaglep3\Utilities\DownloadLogsFromS3.py --loco 4039 --day 2017-06-11</v>
      </c>
      <c r="AN106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757</v>
      </c>
      <c r="B107" s="7">
        <v>4042</v>
      </c>
      <c r="C107" s="21" t="s">
        <v>204</v>
      </c>
      <c r="D107" s="21" t="s">
        <v>355</v>
      </c>
      <c r="E107" s="13">
        <v>42897.643564814818</v>
      </c>
      <c r="F107" s="13">
        <v>42897.645995370367</v>
      </c>
      <c r="G107" s="7">
        <v>1</v>
      </c>
      <c r="H107" s="21" t="s">
        <v>864</v>
      </c>
      <c r="I107" s="13">
        <v>42897.672048611108</v>
      </c>
      <c r="J107" s="7">
        <v>0</v>
      </c>
      <c r="K107" s="92" t="str">
        <f t="shared" si="26"/>
        <v>4041/4042</v>
      </c>
      <c r="L107" s="21" t="str">
        <f>VLOOKUP(A107,'Trips&amp;Operators'!$C$1:$G$99999,5,FALSE)</f>
        <v>ROBINSON KADDIBA</v>
      </c>
      <c r="M107" s="6">
        <f t="shared" si="27"/>
        <v>2.6053240741021E-2</v>
      </c>
      <c r="N107" s="7">
        <f t="shared" si="28"/>
        <v>37.51666666707024</v>
      </c>
      <c r="O107" s="7"/>
      <c r="P107" s="7"/>
      <c r="Q107" s="22"/>
      <c r="R107" s="173"/>
      <c r="S107" s="176">
        <f t="shared" si="29"/>
        <v>1</v>
      </c>
      <c r="T107" s="202" t="str">
        <f t="shared" si="30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-06-11T14:26:44-0600',mode:absolute,to:'2017-06-11T17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04" t="str">
        <f t="shared" si="32"/>
        <v>N</v>
      </c>
      <c r="X107" s="204">
        <f t="shared" si="49"/>
        <v>1</v>
      </c>
      <c r="Y107" s="204">
        <f t="shared" si="47"/>
        <v>4.5100000000000001E-2</v>
      </c>
      <c r="Z107" s="204">
        <f t="shared" si="48"/>
        <v>23.332000000000001</v>
      </c>
      <c r="AA107" s="204">
        <f t="shared" si="33"/>
        <v>23.286899999999999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4"/>
        <v>0195-11</v>
      </c>
      <c r="AE107" s="80" t="str">
        <f t="shared" si="35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107" s="77" t="str">
        <f t="shared" si="36"/>
        <v>"C:\Program Files (x86)\AstroGrep\AstroGrep.exe" /e /r /s /spath="%USERPROFILE%\AppData\Local\Temp\OnboardLogs" /stypes="app*4042*20170611*" /stext=" 22:.+((SYSTEM_STATE.+slice.+state.+changed )|(ment ac)|(multiple cpu faults)|(system.+state.+changed )|(\[timeout)|(PRM\|1\|D)|(kpr)|(kdp)|(train st.+moving)|(\|lc)|(penalty))"</v>
      </c>
      <c r="AG107" s="1" t="str">
        <f t="shared" si="37"/>
        <v>EC</v>
      </c>
      <c r="AH107" s="81" t="str">
        <f t="shared" si="38"/>
        <v>"%USERPROFILE%\Documents\GitHub\eaglep3\Utilities\RefineRTDCRunTimes.py" --tripid 195-11 --locoid 4042 --swversion DE.1.0.9.0 --startMP 204:451 --initTime 2017-06-11T15:26:44 --startdatetime 2017-06-11T15:30:14 --delay 1 --endMP 204:233320 --enddatetime 2017-06-11T16:07:45 --enforcementcount 0 &gt;&gt;C:\Users\stu\Documents\GitHub\eaglep3-reporting\EC\2017-06-11-refined-times.txt</v>
      </c>
      <c r="AI107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{"issue":{"subject":"","project_id":79,"tracker_id":40,"status_id":1,"priority_id":2,"assigned_to_id":23,"start_date":"2017-06-11","description":"","custom_fields":[{"id":1,"name":"Subdivision","value":"EC"},{"id":4,"name":"Milepost","value":"23.332"},{"id":17,"name":"Train ID","value":"195-11"},{"id":16,"name":"Locomotive ID","value":"4042"},{"id":130,"name":"Impact","value":""},{"id":150,"name":"Time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0"/>
        <v>start /low /b %USERPROFILE%\Documents\GitHub\eaglep3\Utilities\DownloadLogsFromS3.py --loco 4042 --day 2017-06-11</v>
      </c>
      <c r="AN107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764</v>
      </c>
      <c r="B108" s="7">
        <v>4041</v>
      </c>
      <c r="C108" s="21" t="s">
        <v>204</v>
      </c>
      <c r="D108" s="21" t="s">
        <v>485</v>
      </c>
      <c r="E108" s="13">
        <v>42897.684293981481</v>
      </c>
      <c r="F108" s="13">
        <v>42897.685810185183</v>
      </c>
      <c r="G108" s="7">
        <v>1</v>
      </c>
      <c r="H108" s="21" t="s">
        <v>351</v>
      </c>
      <c r="I108" s="13">
        <v>42897.712037037039</v>
      </c>
      <c r="J108" s="7">
        <v>0</v>
      </c>
      <c r="K108" s="92" t="str">
        <f t="shared" si="26"/>
        <v>4041/4042</v>
      </c>
      <c r="L108" s="21" t="str">
        <f>VLOOKUP(A108,'Trips&amp;Operators'!$C$1:$G$99999,5,FALSE)</f>
        <v>ROBINSON KADDIBA</v>
      </c>
      <c r="M108" s="6">
        <f t="shared" si="27"/>
        <v>2.6226851856335998E-2</v>
      </c>
      <c r="N108" s="7">
        <f t="shared" si="28"/>
        <v>37.766666673123837</v>
      </c>
      <c r="O108" s="7"/>
      <c r="P108" s="7"/>
      <c r="Q108" s="22"/>
      <c r="R108" s="173"/>
      <c r="S108" s="176">
        <f t="shared" si="29"/>
        <v>1</v>
      </c>
      <c r="T108" s="202" t="str">
        <f t="shared" si="30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-06-11T15:25:23-0600',mode:absolute,to:'2017-06-11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04" t="str">
        <f t="shared" si="32"/>
        <v>N</v>
      </c>
      <c r="X108" s="204">
        <f t="shared" si="49"/>
        <v>1</v>
      </c>
      <c r="Y108" s="204">
        <f t="shared" si="47"/>
        <v>23.298999999999999</v>
      </c>
      <c r="Z108" s="204">
        <f t="shared" si="48"/>
        <v>1.4999999999999999E-2</v>
      </c>
      <c r="AA108" s="204">
        <f t="shared" si="33"/>
        <v>23.283999999999999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4"/>
        <v>0196-11</v>
      </c>
      <c r="AE108" s="80" t="str">
        <f t="shared" si="35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108" s="77" t="str">
        <f t="shared" si="36"/>
        <v>"C:\Program Files (x86)\AstroGrep\AstroGrep.exe" /e /r /s /spath="%USERPROFILE%\AppData\Local\Temp\OnboardLogs" /stypes="app*4041*20170611*" /stext=" 23:.+((SYSTEM_STATE.+slice.+state.+changed )|(ment ac)|(multiple cpu faults)|(system.+state.+changed )|(\[timeout)|(PRM\|1\|D)|(kpr)|(kdp)|(train st.+moving)|(\|lc)|(penalty))"</v>
      </c>
      <c r="AG108" s="1" t="str">
        <f t="shared" si="37"/>
        <v>EC</v>
      </c>
      <c r="AH108" s="81" t="str">
        <f t="shared" si="38"/>
        <v>"%USERPROFILE%\Documents\GitHub\eaglep3\Utilities\RefineRTDCRunTimes.py" --tripid 196-11 --locoid 4041 --swversion DE.1.0.9.0 --startMP 204:232990 --initTime 2017-06-11T16:25:23 --startdatetime 2017-06-11T16:27:34 --delay 1 --endMP 204:150 --enddatetime 2017-06-11T17:05:20 --enforcementcount 0 &gt;&gt;C:\Users\stu\Documents\GitHub\eaglep3-reporting\EC\2017-06-11-refined-times.txt</v>
      </c>
      <c r="AI108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ID","value":"196-11"},{"id":16,"name":"Locomotive ID","value":"4041"},{"id":130,"name":"Impact","value":""},{"id":150,"name":"Time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0"/>
        <v>start /low /b %USERPROFILE%\Documents\GitHub\eaglep3\Utilities\DownloadLogsFromS3.py --loco 4041 --day 2017-06-11</v>
      </c>
      <c r="AN108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758</v>
      </c>
      <c r="B109" s="7">
        <v>4050</v>
      </c>
      <c r="C109" s="21" t="s">
        <v>204</v>
      </c>
      <c r="D109" s="21" t="s">
        <v>345</v>
      </c>
      <c r="E109" s="13">
        <v>42897.651666666665</v>
      </c>
      <c r="F109" s="13">
        <v>42897.656400462962</v>
      </c>
      <c r="G109" s="7">
        <v>1</v>
      </c>
      <c r="H109" s="21" t="s">
        <v>919</v>
      </c>
      <c r="I109" s="13">
        <v>42897.681226851855</v>
      </c>
      <c r="J109" s="7">
        <v>0</v>
      </c>
      <c r="K109" s="92" t="str">
        <f t="shared" si="26"/>
        <v>4049/4050</v>
      </c>
      <c r="L109" s="21" t="str">
        <f>VLOOKUP(A109,'Trips&amp;Operators'!$C$1:$G$99999,5,FALSE)</f>
        <v>DELGADO DIANAH</v>
      </c>
      <c r="M109" s="6">
        <f t="shared" si="27"/>
        <v>2.4826388893416151E-2</v>
      </c>
      <c r="N109" s="7">
        <f t="shared" si="28"/>
        <v>35.750000006519258</v>
      </c>
      <c r="O109" s="7"/>
      <c r="P109" s="7"/>
      <c r="Q109" s="22"/>
      <c r="R109" s="173"/>
      <c r="S109" s="176">
        <f t="shared" si="29"/>
        <v>1</v>
      </c>
      <c r="T109" s="202" t="str">
        <f t="shared" si="30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-06-11T14:38:24-0600',mode:absolute,to:'2017-06-11T17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9" s="204" t="str">
        <f t="shared" si="32"/>
        <v>N</v>
      </c>
      <c r="X109" s="204">
        <f t="shared" si="49"/>
        <v>1</v>
      </c>
      <c r="Y109" s="204">
        <f t="shared" si="47"/>
        <v>4.4900000000000002E-2</v>
      </c>
      <c r="Z109" s="204">
        <f t="shared" si="48"/>
        <v>23.3325</v>
      </c>
      <c r="AA109" s="204">
        <f t="shared" si="33"/>
        <v>23.287600000000001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4"/>
        <v>0197-11</v>
      </c>
      <c r="AE109" s="80" t="str">
        <f t="shared" si="35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109" s="77" t="str">
        <f t="shared" si="36"/>
        <v>"C:\Program Files (x86)\AstroGrep\AstroGrep.exe" /e /r /s /spath="%USERPROFILE%\AppData\Local\Temp\OnboardLogs" /stypes="app*4050*20170611*" /stext=" 22:.+((SYSTEM_STATE.+slice.+state.+changed )|(ment ac)|(multiple cpu faults)|(system.+state.+changed )|(\[timeout)|(PRM\|1\|D)|(kpr)|(kdp)|(train st.+moving)|(\|lc)|(penalty))"</v>
      </c>
      <c r="AG109" s="1" t="str">
        <f t="shared" si="37"/>
        <v>EC</v>
      </c>
      <c r="AH109" s="81" t="str">
        <f t="shared" si="38"/>
        <v>"%USERPROFILE%\Documents\GitHub\eaglep3\Utilities\RefineRTDCRunTimes.py" --tripid 197-11 --locoid 4050 --swversion DE.1.0.9.0 --startMP 204:449 --initTime 2017-06-11T15:38:24 --startdatetime 2017-06-11T15:45:13 --delay 1 --endMP 204:233325 --enddatetime 2017-06-11T16:20:58 --enforcementcount 0 &gt;&gt;C:\Users\stu\Documents\GitHub\eaglep3-reporting\EC\2017-06-11-refined-times.txt</v>
      </c>
      <c r="AI10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{"issue":{"subject":"","project_id":79,"tracker_id":40,"status_id":1,"priority_id":2,"assigned_to_id":23,"start_date":"2017-06-11","description":"","custom_fields":[{"id":1,"name":"Subdivision","value":"EC"},{"id":4,"name":"Milepost","value":"23.3325"},{"id":17,"name":"Train ID","value":"197-11"},{"id":16,"name":"Locomotive ID","value":"4050"},{"id":130,"name":"Impact","value":""},{"id":150,"name":"Time of Event (Mountain Time)","value":"16:20:58"},{"id":151,"name":"Denver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0"/>
        <v>start /low /b %USERPROFILE%\Documents\GitHub\eaglep3\Utilities\DownloadLogsFromS3.py --loco 4050 --day 2017-06-11</v>
      </c>
      <c r="AN109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767</v>
      </c>
      <c r="B110" s="7">
        <v>4049</v>
      </c>
      <c r="C110" s="21" t="s">
        <v>204</v>
      </c>
      <c r="D110" s="21" t="s">
        <v>489</v>
      </c>
      <c r="E110" s="13">
        <v>42897.69321759259</v>
      </c>
      <c r="F110" s="13">
        <v>42897.696018518516</v>
      </c>
      <c r="G110" s="7">
        <v>0</v>
      </c>
      <c r="H110" s="21" t="s">
        <v>352</v>
      </c>
      <c r="I110" s="13">
        <v>42897.721747685187</v>
      </c>
      <c r="J110" s="7">
        <v>0</v>
      </c>
      <c r="K110" s="92" t="str">
        <f t="shared" si="26"/>
        <v>4049/4050</v>
      </c>
      <c r="L110" s="21" t="str">
        <f>VLOOKUP(A110,'Trips&amp;Operators'!$C$1:$G$99999,5,FALSE)</f>
        <v>DELGADO DIANAH</v>
      </c>
      <c r="M110" s="6">
        <f t="shared" si="27"/>
        <v>2.5729166671226267E-2</v>
      </c>
      <c r="N110" s="7">
        <f t="shared" si="28"/>
        <v>37.050000006565824</v>
      </c>
      <c r="O110" s="7"/>
      <c r="P110" s="7"/>
      <c r="Q110" s="22"/>
      <c r="R110" s="173"/>
      <c r="S110" s="176">
        <f t="shared" si="29"/>
        <v>1</v>
      </c>
      <c r="T110" s="202" t="str">
        <f t="shared" si="30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-06-11T15:38:14-0600',mode:absolute,to:'2017-06-11T18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0" s="204" t="str">
        <f t="shared" si="32"/>
        <v>N</v>
      </c>
      <c r="X110" s="204">
        <f t="shared" si="49"/>
        <v>1</v>
      </c>
      <c r="Y110" s="204">
        <f t="shared" si="47"/>
        <v>23.3</v>
      </c>
      <c r="Z110" s="204">
        <f t="shared" si="48"/>
        <v>1.49E-2</v>
      </c>
      <c r="AA110" s="204">
        <f t="shared" si="33"/>
        <v>23.2851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4"/>
        <v>0198-11</v>
      </c>
      <c r="AE110" s="80" t="str">
        <f t="shared" si="35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110" s="77" t="str">
        <f t="shared" si="36"/>
        <v>"C:\Program Files (x86)\AstroGrep\AstroGrep.exe" /e /r /s /spath="%USERPROFILE%\AppData\Local\Temp\OnboardLogs" /stypes="app*4049*20170611*" /stext=" 23:.+((SYSTEM_STATE.+slice.+state.+changed )|(ment ac)|(multiple cpu faults)|(system.+state.+changed )|(\[timeout)|(PRM\|1\|D)|(kpr)|(kdp)|(train st.+moving)|(\|lc)|(penalty))"</v>
      </c>
      <c r="AG110" s="1" t="str">
        <f t="shared" si="37"/>
        <v>EC</v>
      </c>
      <c r="AH110" s="81" t="str">
        <f t="shared" si="38"/>
        <v>"%USERPROFILE%\Documents\GitHub\eaglep3\Utilities\RefineRTDCRunTimes.py" --tripid 198-11 --locoid 4049 --swversion DE.1.0.9.0 --startMP 204:233000 --initTime 2017-06-11T16:38:14 --startdatetime 2017-06-11T16:42:16 --delay 0 --endMP 204:149 --enddatetime 2017-06-11T17:19:19 --enforcementcount 0 &gt;&gt;C:\Users\stu\Documents\GitHub\eaglep3-reporting\EC\2017-06-11-refined-times.txt</v>
      </c>
      <c r="AI11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{"issue":{"subject":"","project_id":79,"tracker_id":40,"status_id":1,"priority_id":2,"assigned_to_id":23,"start_date":"2017-06-11","description":"","custom_fields":[{"id":1,"name":"Subdivision","value":"EC"},{"id":4,"name":"Milepost","value":"0.0149"},{"id":17,"name":"Train ID","value":"198-11"},{"id":16,"name":"Locomotive ID","value":"4049"},{"id":130,"name":"Impact","value":""},{"id":150,"name":"Time of Event (Mountain Time)","value":"17:19:19"},{"id":151,"name":"Denver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0"/>
        <v>start /low /b %USERPROFILE%\Documents\GitHub\eaglep3\Utilities\DownloadLogsFromS3.py --loco 4049 --day 2017-06-11</v>
      </c>
      <c r="AN110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761</v>
      </c>
      <c r="B111" s="7">
        <v>4054</v>
      </c>
      <c r="C111" s="21" t="s">
        <v>204</v>
      </c>
      <c r="D111" s="21" t="s">
        <v>465</v>
      </c>
      <c r="E111" s="13">
        <v>42897.665439814817</v>
      </c>
      <c r="F111" s="13">
        <v>42897.666967592595</v>
      </c>
      <c r="G111" s="7">
        <v>1</v>
      </c>
      <c r="H111" s="21" t="s">
        <v>841</v>
      </c>
      <c r="I111" s="13">
        <v>42897.692604166667</v>
      </c>
      <c r="J111" s="7">
        <v>0</v>
      </c>
      <c r="K111" s="92" t="str">
        <f t="shared" si="26"/>
        <v>4053/4054</v>
      </c>
      <c r="L111" s="21" t="str">
        <f>VLOOKUP(A111,'Trips&amp;Operators'!$C$1:$G$99999,5,FALSE)</f>
        <v>BROWN JACOB</v>
      </c>
      <c r="M111" s="6">
        <f t="shared" si="27"/>
        <v>2.5636574071540963E-2</v>
      </c>
      <c r="N111" s="7">
        <f t="shared" si="28"/>
        <v>36.916666663018987</v>
      </c>
      <c r="O111" s="7"/>
      <c r="P111" s="7"/>
      <c r="Q111" s="22"/>
      <c r="R111" s="173"/>
      <c r="S111" s="176">
        <f t="shared" si="29"/>
        <v>1</v>
      </c>
      <c r="T111" s="202" t="str">
        <f t="shared" si="30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-06-11T14:58:14-0600',mode:absolute,to:'2017-06-11T17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204" t="str">
        <f t="shared" si="32"/>
        <v>N</v>
      </c>
      <c r="X111" s="204">
        <f t="shared" si="49"/>
        <v>1</v>
      </c>
      <c r="Y111" s="204">
        <f t="shared" si="47"/>
        <v>4.4400000000000002E-2</v>
      </c>
      <c r="Z111" s="204">
        <f t="shared" si="48"/>
        <v>23.331600000000002</v>
      </c>
      <c r="AA111" s="204">
        <f t="shared" si="33"/>
        <v>23.287200000000002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4"/>
        <v>0199-11</v>
      </c>
      <c r="AE111" s="80" t="str">
        <f t="shared" si="35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111" s="77" t="str">
        <f t="shared" si="36"/>
        <v>"C:\Program Files (x86)\AstroGrep\AstroGrep.exe" /e /r /s /spath="%USERPROFILE%\AppData\Local\Temp\OnboardLogs" /stypes="app*4054*20170611*" /stext=" 22:.+((SYSTEM_STATE.+slice.+state.+changed )|(ment ac)|(multiple cpu faults)|(system.+state.+changed )|(\[timeout)|(PRM\|1\|D)|(kpr)|(kdp)|(train st.+moving)|(\|lc)|(penalty))"</v>
      </c>
      <c r="AG111" s="1" t="str">
        <f t="shared" si="37"/>
        <v>EC</v>
      </c>
      <c r="AH111" s="81" t="str">
        <f t="shared" si="38"/>
        <v>"%USERPROFILE%\Documents\GitHub\eaglep3\Utilities\RefineRTDCRunTimes.py" --tripid 199-11 --locoid 4054 --swversion DE.1.0.9.0 --startMP 204:444 --initTime 2017-06-11T15:58:14 --startdatetime 2017-06-11T16:00:26 --delay 1 --endMP 204:233316 --enddatetime 2017-06-11T16:37:21 --enforcementcount 0 &gt;&gt;C:\Users\stu\Documents\GitHub\eaglep3-reporting\EC\2017-06-11-refined-times.txt</v>
      </c>
      <c r="AI111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{"issue":{"subject":"","project_id":79,"tracker_id":40,"status_id":1,"priority_id":2,"assigned_to_id":23,"start_date":"2017-06-11","description":"","custom_fields":[{"id":1,"name":"Subdivision","value":"EC"},{"id":4,"name":"Milepost","value":"23.3316"},{"id":17,"name":"Train ID","value":"199-11"},{"id":16,"name":"Locomotive ID","value":"4054"},{"id":130,"name":"Impact","value":""},{"id":150,"name":"Time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0"/>
        <v>start /low /b %USERPROFILE%\Documents\GitHub\eaglep3\Utilities\DownloadLogsFromS3.py --loco 4054 --day 2017-06-11</v>
      </c>
      <c r="AN111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769</v>
      </c>
      <c r="B112" s="7">
        <v>4053</v>
      </c>
      <c r="C112" s="21" t="s">
        <v>204</v>
      </c>
      <c r="D112" s="21" t="s">
        <v>472</v>
      </c>
      <c r="E112" s="13">
        <v>42897.700567129628</v>
      </c>
      <c r="F112" s="13">
        <v>42897.706516203703</v>
      </c>
      <c r="G112" s="7">
        <v>1</v>
      </c>
      <c r="H112" s="21" t="s">
        <v>352</v>
      </c>
      <c r="I112" s="13">
        <v>42897.733460648145</v>
      </c>
      <c r="J112" s="7">
        <v>0</v>
      </c>
      <c r="K112" s="92" t="str">
        <f t="shared" si="26"/>
        <v>4053/4054</v>
      </c>
      <c r="L112" s="21" t="str">
        <f>VLOOKUP(A112,'Trips&amp;Operators'!$C$1:$G$99999,5,FALSE)</f>
        <v>BROWN JACOB</v>
      </c>
      <c r="M112" s="6">
        <f t="shared" si="27"/>
        <v>2.6944444442051463E-2</v>
      </c>
      <c r="N112" s="7">
        <f t="shared" si="28"/>
        <v>38.799999996554106</v>
      </c>
      <c r="O112" s="7"/>
      <c r="P112" s="7"/>
      <c r="Q112" s="22"/>
      <c r="R112" s="173"/>
      <c r="S112" s="176">
        <f t="shared" si="29"/>
        <v>1</v>
      </c>
      <c r="T112" s="202" t="str">
        <f t="shared" si="30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-06-11T15:48:49-0600',mode:absolute,to:'2017-06-11T18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2" s="204" t="str">
        <f t="shared" si="32"/>
        <v>N</v>
      </c>
      <c r="X112" s="204">
        <f t="shared" si="49"/>
        <v>1</v>
      </c>
      <c r="Y112" s="204">
        <f t="shared" si="47"/>
        <v>23.2986</v>
      </c>
      <c r="Z112" s="204">
        <f t="shared" si="48"/>
        <v>1.49E-2</v>
      </c>
      <c r="AA112" s="204">
        <f t="shared" si="33"/>
        <v>23.2837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4"/>
        <v>0200-11</v>
      </c>
      <c r="AE112" s="80" t="str">
        <f t="shared" si="35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112" s="77" t="str">
        <f t="shared" si="36"/>
        <v>"C:\Program Files (x86)\AstroGrep\AstroGrep.exe" /e /r /s /spath="%USERPROFILE%\AppData\Local\Temp\OnboardLogs" /stypes="app*4053*20170611*" /stext=" 23:.+((SYSTEM_STATE.+slice.+state.+changed )|(ment ac)|(multiple cpu faults)|(system.+state.+changed )|(\[timeout)|(PRM\|1\|D)|(kpr)|(kdp)|(train st.+moving)|(\|lc)|(penalty))"</v>
      </c>
      <c r="AG112" s="1" t="str">
        <f t="shared" si="37"/>
        <v>EC</v>
      </c>
      <c r="AH112" s="81" t="str">
        <f t="shared" si="38"/>
        <v>"%USERPROFILE%\Documents\GitHub\eaglep3\Utilities\RefineRTDCRunTimes.py" --tripid 200-11 --locoid 4053 --swversion DE.1.0.9.0 --startMP 204:232986 --initTime 2017-06-11T16:48:49 --startdatetime 2017-06-11T16:57:23 --delay 1 --endMP 204:149 --enddatetime 2017-06-11T17:36:11 --enforcementcount 0 &gt;&gt;C:\Users\stu\Documents\GitHub\eaglep3-reporting\EC\2017-06-11-refined-times.txt</v>
      </c>
      <c r="AI112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{"issue":{"subject":"","project_id":79,"tracker_id":40,"status_id":1,"priority_id":2,"assigned_to_id":23,"start_date":"2017-06-11","description":"","custom_fields":[{"id":1,"name":"Subdivision","value":"EC"},{"id":4,"name":"Milepost","value":"0.0149"},{"id":17,"name":"Train ID","value":"200-11"},{"id":16,"name":"Locomotive ID","value":"4053"},{"id":130,"name":"Impact","value":""},{"id":150,"name":"Time of Event (Mountain Time)","value":"17:36:11"},{"id":151,"name":"Denver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0"/>
        <v>start /low /b %USERPROFILE%\Documents\GitHub\eaglep3\Utilities\DownloadLogsFromS3.py --loco 4053 --day 2017-06-11</v>
      </c>
      <c r="AN112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763</v>
      </c>
      <c r="B113" s="7">
        <v>4010</v>
      </c>
      <c r="C113" s="21" t="s">
        <v>204</v>
      </c>
      <c r="D113" s="21" t="s">
        <v>358</v>
      </c>
      <c r="E113" s="13">
        <v>42897.672511574077</v>
      </c>
      <c r="F113" s="13">
        <v>42897.677523148152</v>
      </c>
      <c r="G113" s="7">
        <v>1</v>
      </c>
      <c r="H113" s="21" t="s">
        <v>503</v>
      </c>
      <c r="I113" s="13">
        <v>42897.701967592591</v>
      </c>
      <c r="J113" s="7">
        <v>0</v>
      </c>
      <c r="K113" s="92" t="str">
        <f t="shared" si="26"/>
        <v>4009/4010</v>
      </c>
      <c r="L113" s="21" t="str">
        <f>VLOOKUP(A113,'Trips&amp;Operators'!$C$1:$G$99999,5,FALSE)</f>
        <v>LOPES KIMBERLY</v>
      </c>
      <c r="M113" s="6">
        <f t="shared" si="27"/>
        <v>2.4444444439723156E-2</v>
      </c>
      <c r="N113" s="7">
        <f t="shared" si="28"/>
        <v>35.199999993201345</v>
      </c>
      <c r="O113" s="7"/>
      <c r="P113" s="7"/>
      <c r="Q113" s="22"/>
      <c r="R113" s="173"/>
      <c r="S113" s="176">
        <f t="shared" si="29"/>
        <v>1</v>
      </c>
      <c r="T113" s="202" t="str">
        <f t="shared" si="30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-06-11T15:08:25-0600',mode:absolute,to:'2017-06-11T17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3" s="204" t="str">
        <f t="shared" si="32"/>
        <v>N</v>
      </c>
      <c r="X113" s="204">
        <f t="shared" si="49"/>
        <v>1</v>
      </c>
      <c r="Y113" s="204">
        <f t="shared" si="47"/>
        <v>4.53E-2</v>
      </c>
      <c r="Z113" s="204">
        <f t="shared" si="48"/>
        <v>23.330200000000001</v>
      </c>
      <c r="AA113" s="204">
        <f t="shared" si="33"/>
        <v>23.2849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4"/>
        <v>0201-11</v>
      </c>
      <c r="AE113" s="80" t="str">
        <f t="shared" si="35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113" s="77" t="str">
        <f t="shared" si="36"/>
        <v>"C:\Program Files (x86)\AstroGrep\AstroGrep.exe" /e /r /s /spath="%USERPROFILE%\AppData\Local\Temp\OnboardLogs" /stypes="app*4010*20170611*" /stext=" 22:.+((SYSTEM_STATE.+slice.+state.+changed )|(ment ac)|(multiple cpu faults)|(system.+state.+changed )|(\[timeout)|(PRM\|1\|D)|(kpr)|(kdp)|(train st.+moving)|(\|lc)|(penalty))"</v>
      </c>
      <c r="AG113" s="1" t="str">
        <f t="shared" si="37"/>
        <v>EC</v>
      </c>
      <c r="AH113" s="81" t="str">
        <f t="shared" si="38"/>
        <v>"%USERPROFILE%\Documents\GitHub\eaglep3\Utilities\RefineRTDCRunTimes.py" --tripid 201-11 --locoid 4010 --swversion DE.1.0.9.0 --startMP 204:453 --initTime 2017-06-11T16:08:25 --startdatetime 2017-06-11T16:15:38 --delay 1 --endMP 204:233302 --enddatetime 2017-06-11T16:50:50 --enforcementcount 0 &gt;&gt;C:\Users\stu\Documents\GitHub\eaglep3-reporting\EC\2017-06-11-refined-times.txt</v>
      </c>
      <c r="AI113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{"issue":{"subject":"","project_id":79,"tracker_id":40,"status_id":1,"priority_id":2,"assigned_to_id":23,"start_date":"2017-06-11","description":"","custom_fields":[{"id":1,"name":"Subdivision","value":"EC"},{"id":4,"name":"Milepost","value":"23.3302"},{"id":17,"name":"Train ID","value":"201-11"},{"id":16,"name":"Locomotive ID","value":"4010"},{"id":130,"name":"Impact","value":""},{"id":150,"name":"Time of Event (Mountain Time)","value":"16:50:50"},{"id":151,"name":"Denver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0"/>
        <v>start /low /b %USERPROFILE%\Documents\GitHub\eaglep3\Utilities\DownloadLogsFromS3.py --loco 4010 --day 2017-06-11</v>
      </c>
      <c r="AN113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771</v>
      </c>
      <c r="B114" s="7">
        <v>4009</v>
      </c>
      <c r="C114" s="21" t="s">
        <v>204</v>
      </c>
      <c r="D114" s="21" t="s">
        <v>426</v>
      </c>
      <c r="E114" s="13">
        <v>42897.708553240744</v>
      </c>
      <c r="F114" s="13">
        <v>42897.716886574075</v>
      </c>
      <c r="G114" s="7">
        <v>0</v>
      </c>
      <c r="H114" s="21" t="s">
        <v>363</v>
      </c>
      <c r="I114" s="13">
        <v>42897.742997685185</v>
      </c>
      <c r="J114" s="7">
        <v>0</v>
      </c>
      <c r="K114" s="92" t="str">
        <f t="shared" si="26"/>
        <v>4009/4010</v>
      </c>
      <c r="L114" s="21" t="str">
        <f>VLOOKUP(A114,'Trips&amp;Operators'!$C$1:$G$99999,5,FALSE)</f>
        <v>LOPES KIMBERLY</v>
      </c>
      <c r="M114" s="6">
        <f t="shared" si="27"/>
        <v>2.6111111110367347E-2</v>
      </c>
      <c r="N114" s="7">
        <f t="shared" si="28"/>
        <v>37.599999998928979</v>
      </c>
      <c r="O114" s="7"/>
      <c r="P114" s="7"/>
      <c r="Q114" s="22"/>
      <c r="R114" s="173"/>
      <c r="S114" s="176">
        <f t="shared" si="29"/>
        <v>1</v>
      </c>
      <c r="T114" s="202" t="str">
        <f t="shared" si="30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-06-11T16:00:19-0600',mode:absolute,to:'2017-06-11T18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204" t="str">
        <f t="shared" si="32"/>
        <v>N</v>
      </c>
      <c r="X114" s="204">
        <f t="shared" si="49"/>
        <v>1</v>
      </c>
      <c r="Y114" s="204">
        <f t="shared" si="47"/>
        <v>23.297699999999999</v>
      </c>
      <c r="Z114" s="204">
        <f t="shared" si="48"/>
        <v>1.47E-2</v>
      </c>
      <c r="AA114" s="204">
        <f t="shared" si="33"/>
        <v>23.282999999999998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4"/>
        <v>0202-11</v>
      </c>
      <c r="AE114" s="80" t="str">
        <f t="shared" si="35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114" s="77" t="str">
        <f t="shared" si="36"/>
        <v>"C:\Program Files (x86)\AstroGrep\AstroGrep.exe" /e /r /s /spath="%USERPROFILE%\AppData\Local\Temp\OnboardLogs" /stypes="app*4009*20170611*" /stext=" 23:.+((SYSTEM_STATE.+slice.+state.+changed )|(ment ac)|(multiple cpu faults)|(system.+state.+changed )|(\[timeout)|(PRM\|1\|D)|(kpr)|(kdp)|(train st.+moving)|(\|lc)|(penalty))"</v>
      </c>
      <c r="AG114" s="1" t="str">
        <f t="shared" si="37"/>
        <v>EC</v>
      </c>
      <c r="AH114" s="81" t="str">
        <f t="shared" si="38"/>
        <v>"%USERPROFILE%\Documents\GitHub\eaglep3\Utilities\RefineRTDCRunTimes.py" --tripid 202-11 --locoid 4009 --swversion DE.1.0.9.0 --startMP 204:232977 --initTime 2017-06-11T17:00:19 --startdatetime 2017-06-11T17:12:19 --delay 0 --endMP 204:147 --enddatetime 2017-06-11T17:49:55 --enforcementcount 0 &gt;&gt;C:\Users\stu\Documents\GitHub\eaglep3-reporting\EC\2017-06-11-refined-times.txt</v>
      </c>
      <c r="AI114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ID","value":"202-11"},{"id":16,"name":"Locomotive ID","value":"4009"},{"id":130,"name":"Impact","value":""},{"id":150,"name":"Time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0"/>
        <v>start /low /b %USERPROFILE%\Documents\GitHub\eaglep3\Utilities\DownloadLogsFromS3.py --loco 4009 --day 2017-06-11</v>
      </c>
      <c r="AN114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765</v>
      </c>
      <c r="B115" s="7">
        <v>4020</v>
      </c>
      <c r="C115" s="21" t="s">
        <v>204</v>
      </c>
      <c r="D115" s="21" t="s">
        <v>355</v>
      </c>
      <c r="E115" s="13">
        <v>42897.68513888889</v>
      </c>
      <c r="F115" s="13">
        <v>42897.687905092593</v>
      </c>
      <c r="G115" s="7">
        <v>1</v>
      </c>
      <c r="H115" s="21" t="s">
        <v>841</v>
      </c>
      <c r="I115" s="13">
        <v>42897.71402777778</v>
      </c>
      <c r="J115" s="7">
        <v>0</v>
      </c>
      <c r="K115" s="92" t="str">
        <f t="shared" si="26"/>
        <v>4019/4020</v>
      </c>
      <c r="L115" s="21" t="str">
        <f>VLOOKUP(A115,'Trips&amp;Operators'!$C$1:$G$99999,5,FALSE)</f>
        <v>DAVIS MICHAEL</v>
      </c>
      <c r="M115" s="6">
        <f t="shared" si="27"/>
        <v>2.6122685187146999E-2</v>
      </c>
      <c r="N115" s="7">
        <f t="shared" si="28"/>
        <v>37.616666669491678</v>
      </c>
      <c r="O115" s="7"/>
      <c r="P115" s="7"/>
      <c r="Q115" s="22"/>
      <c r="R115" s="173"/>
      <c r="S115" s="176">
        <f t="shared" si="29"/>
        <v>1</v>
      </c>
      <c r="T115" s="202" t="str">
        <f t="shared" si="30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-06-11T15:26:36-0600',mode:absolute,to:'2017-06-11T18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204" t="str">
        <f t="shared" si="32"/>
        <v>N</v>
      </c>
      <c r="X115" s="204">
        <f t="shared" si="49"/>
        <v>1</v>
      </c>
      <c r="Y115" s="204">
        <f t="shared" ref="Y115:Y146" si="50">RIGHT(D115,LEN(D115)-4)/10000</f>
        <v>4.5100000000000001E-2</v>
      </c>
      <c r="Z115" s="204">
        <f t="shared" ref="Z115:Z146" si="51">RIGHT(H115,LEN(H115)-4)/10000</f>
        <v>23.331600000000002</v>
      </c>
      <c r="AA115" s="204">
        <f t="shared" si="33"/>
        <v>23.2865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4"/>
        <v>0203-11</v>
      </c>
      <c r="AE115" s="80" t="str">
        <f t="shared" si="35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115" s="77" t="str">
        <f t="shared" si="36"/>
        <v>"C:\Program Files (x86)\AstroGrep\AstroGrep.exe" /e /r /s /spath="%USERPROFILE%\AppData\Local\Temp\OnboardLogs" /stypes="app*4020*20170611*" /stext=" 23:.+((SYSTEM_STATE.+slice.+state.+changed )|(ment ac)|(multiple cpu faults)|(system.+state.+changed )|(\[timeout)|(PRM\|1\|D)|(kpr)|(kdp)|(train st.+moving)|(\|lc)|(penalty))"</v>
      </c>
      <c r="AG115" s="1" t="str">
        <f t="shared" si="37"/>
        <v>EC</v>
      </c>
      <c r="AH115" s="81" t="str">
        <f t="shared" si="38"/>
        <v>"%USERPROFILE%\Documents\GitHub\eaglep3\Utilities\RefineRTDCRunTimes.py" --tripid 203-11 --locoid 4020 --swversion DE.1.0.9.0 --startMP 204:451 --initTime 2017-06-11T16:26:36 --startdatetime 2017-06-11T16:30:35 --delay 1 --endMP 204:233316 --enddatetime 2017-06-11T17:08:12 --enforcementcount 0 &gt;&gt;C:\Users\stu\Documents\GitHub\eaglep3-reporting\EC\2017-06-11-refined-times.txt</v>
      </c>
      <c r="AI115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{"issue":{"subject":"","project_id":79,"tracker_id":40,"status_id":1,"priority_id":2,"assigned_to_id":23,"start_date":"2017-06-11","description":"","custom_fields":[{"id":1,"name":"Subdivision","value":"EC"},{"id":4,"name":"Milepost","value":"23.3316"},{"id":17,"name":"Train ID","value":"203-11"},{"id":16,"name":"Locomotive ID","value":"4020"},{"id":130,"name":"Impact","value":""},{"id":150,"name":"Time of Event (Mountain Time)","value":"17:08:12"},{"id":151,"name":"Denver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0"/>
        <v>start /low /b %USERPROFILE%\Documents\GitHub\eaglep3\Utilities\DownloadLogsFromS3.py --loco 4020 --day 2017-06-11</v>
      </c>
      <c r="AN115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773</v>
      </c>
      <c r="B116" s="7">
        <v>4019</v>
      </c>
      <c r="C116" s="21" t="s">
        <v>204</v>
      </c>
      <c r="D116" s="21" t="s">
        <v>595</v>
      </c>
      <c r="E116" s="13">
        <v>42897.724432870367</v>
      </c>
      <c r="F116" s="13">
        <v>42897.727453703701</v>
      </c>
      <c r="G116" s="7">
        <v>1</v>
      </c>
      <c r="H116" s="21" t="s">
        <v>195</v>
      </c>
      <c r="I116" s="13">
        <v>42897.754502314812</v>
      </c>
      <c r="J116" s="7">
        <v>0</v>
      </c>
      <c r="K116" s="92" t="str">
        <f t="shared" si="26"/>
        <v>4019/4020</v>
      </c>
      <c r="L116" s="21" t="str">
        <f>VLOOKUP(A116,'Trips&amp;Operators'!$C$1:$G$99999,5,FALSE)</f>
        <v>DAVIS MICHAEL</v>
      </c>
      <c r="M116" s="6">
        <f t="shared" si="27"/>
        <v>2.7048611111240461E-2</v>
      </c>
      <c r="N116" s="7">
        <f t="shared" si="28"/>
        <v>38.950000000186265</v>
      </c>
      <c r="O116" s="7"/>
      <c r="P116" s="7"/>
      <c r="Q116" s="22"/>
      <c r="R116" s="173"/>
      <c r="S116" s="176">
        <f t="shared" si="29"/>
        <v>1</v>
      </c>
      <c r="T116" s="202" t="str">
        <f t="shared" si="30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-06-11T16:23:11-0600',mode:absolute,to:'2017-06-11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204" t="str">
        <f t="shared" si="32"/>
        <v>N</v>
      </c>
      <c r="X116" s="204">
        <f t="shared" si="49"/>
        <v>1</v>
      </c>
      <c r="Y116" s="204">
        <f t="shared" si="50"/>
        <v>23.299199999999999</v>
      </c>
      <c r="Z116" s="204">
        <f t="shared" si="51"/>
        <v>1.52E-2</v>
      </c>
      <c r="AA116" s="204">
        <f t="shared" si="33"/>
        <v>23.283999999999999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4"/>
        <v>0204-11</v>
      </c>
      <c r="AE116" s="80" t="str">
        <f t="shared" si="35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16" s="77" t="str">
        <f t="shared" si="36"/>
        <v>"C:\Program Files (x86)\AstroGrep\AstroGrep.exe" /e /r /s /spath="%USERPROFILE%\AppData\Local\Temp\OnboardLogs" /stypes="app*4019*20170612*" /stext=" 00:.+((SYSTEM_STATE.+slice.+state.+changed )|(ment ac)|(multiple cpu faults)|(system.+state.+changed )|(\[timeout)|(PRM\|1\|D)|(kpr)|(kdp)|(train st.+moving)|(\|lc)|(penalty))"</v>
      </c>
      <c r="AG116" s="1" t="str">
        <f t="shared" si="37"/>
        <v>EC</v>
      </c>
      <c r="AH116" s="81" t="str">
        <f t="shared" si="38"/>
        <v>"%USERPROFILE%\Documents\GitHub\eaglep3\Utilities\RefineRTDCRunTimes.py" --tripid 204-11 --locoid 4019 --swversion DE.1.0.9.0 --startMP 204:232992 --initTime 2017-06-11T17:23:11 --startdatetime 2017-06-11T17:27:32 --delay 1 --endMP 204:152 --enddatetime 2017-06-11T18:06:29 --enforcementcount 0 &gt;&gt;C:\Users\stu\Documents\GitHub\eaglep3-reporting\EC\2017-06-11-refined-times.txt</v>
      </c>
      <c r="AI116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{"issue":{"subject":"","project_id":79,"tracker_id":40,"status_id":1,"priority_id":2,"assigned_to_id":23,"start_date":"2017-06-11","description":"","custom_fields":[{"id":1,"name":"Subdivision","value":"EC"},{"id":4,"name":"Milepost","value":"0.0152"},{"id":17,"name":"Train ID","value":"204-11"},{"id":16,"name":"Locomotive ID","value":"4019"},{"id":130,"name":"Impact","value":""},{"id":150,"name":"Time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0"/>
        <v>start /low /b %USERPROFILE%\Documents\GitHub\eaglep3\Utilities\DownloadLogsFromS3.py --loco 4019 --day 2017-06-11</v>
      </c>
      <c r="AN116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768</v>
      </c>
      <c r="B117" s="7">
        <v>4002</v>
      </c>
      <c r="C117" s="21" t="s">
        <v>204</v>
      </c>
      <c r="D117" s="21" t="s">
        <v>484</v>
      </c>
      <c r="E117" s="13">
        <v>42897.694606481484</v>
      </c>
      <c r="F117" s="13">
        <v>42897.698449074072</v>
      </c>
      <c r="G117" s="7">
        <v>1</v>
      </c>
      <c r="H117" s="21" t="s">
        <v>523</v>
      </c>
      <c r="I117" s="13">
        <v>42897.724363425928</v>
      </c>
      <c r="J117" s="7">
        <v>0</v>
      </c>
      <c r="K117" s="92" t="str">
        <f t="shared" si="26"/>
        <v>4001/4002</v>
      </c>
      <c r="L117" s="21" t="str">
        <f>VLOOKUP(A117,'Trips&amp;Operators'!$C$1:$G$99999,5,FALSE)</f>
        <v>BRANDNER MELINDA</v>
      </c>
      <c r="M117" s="6">
        <f t="shared" si="27"/>
        <v>2.5914351856044959E-2</v>
      </c>
      <c r="N117" s="7">
        <f t="shared" si="28"/>
        <v>37.316666672704741</v>
      </c>
      <c r="O117" s="7"/>
      <c r="P117" s="7"/>
      <c r="Q117" s="22"/>
      <c r="R117" s="173"/>
      <c r="S117" s="176">
        <f t="shared" si="29"/>
        <v>1</v>
      </c>
      <c r="T117" s="202" t="str">
        <f t="shared" si="30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-06-11T15:40:14-0600',mode:absolute,to:'2017-06-11T18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7" s="204" t="str">
        <f t="shared" si="32"/>
        <v>N</v>
      </c>
      <c r="X117" s="204">
        <f t="shared" si="49"/>
        <v>1</v>
      </c>
      <c r="Y117" s="204">
        <f t="shared" si="50"/>
        <v>4.3799999999999999E-2</v>
      </c>
      <c r="Z117" s="204">
        <f t="shared" si="51"/>
        <v>23.329499999999999</v>
      </c>
      <c r="AA117" s="204">
        <f t="shared" si="33"/>
        <v>23.285699999999999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4"/>
        <v>0205-11</v>
      </c>
      <c r="AE117" s="80" t="str">
        <f t="shared" si="35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117" s="77" t="str">
        <f t="shared" si="36"/>
        <v>"C:\Program Files (x86)\AstroGrep\AstroGrep.exe" /e /r /s /spath="%USERPROFILE%\AppData\Local\Temp\OnboardLogs" /stypes="app*4002*20170611*" /stext=" 23:.+((SYSTEM_STATE.+slice.+state.+changed )|(ment ac)|(multiple cpu faults)|(system.+state.+changed )|(\[timeout)|(PRM\|1\|D)|(kpr)|(kdp)|(train st.+moving)|(\|lc)|(penalty))"</v>
      </c>
      <c r="AG117" s="1" t="str">
        <f t="shared" si="37"/>
        <v>EC</v>
      </c>
      <c r="AH117" s="81" t="str">
        <f t="shared" si="38"/>
        <v>"%USERPROFILE%\Documents\GitHub\eaglep3\Utilities\RefineRTDCRunTimes.py" --tripid 205-11 --locoid 4002 --swversion DE.1.0.9.0 --startMP 204:438 --initTime 2017-06-11T16:40:14 --startdatetime 2017-06-11T16:45:46 --delay 1 --endMP 204:233295 --enddatetime 2017-06-11T17:23:05 --enforcementcount 0 &gt;&gt;C:\Users\stu\Documents\GitHub\eaglep3-reporting\EC\2017-06-11-refined-times.txt</v>
      </c>
      <c r="AI117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{"issue":{"subject":"","project_id":79,"tracker_id":40,"status_id":1,"priority_id":2,"assigned_to_id":23,"start_date":"2017-06-11","description":"","custom_fields":[{"id":1,"name":"Subdivision","value":"EC"},{"id":4,"name":"Milepost","value":"23.3295"},{"id":17,"name":"Train ID","value":"205-11"},{"id":16,"name":"Locomotive ID","value":"4002"},{"id":130,"name":"Impact","value":""},{"id":150,"name":"Time of Event (Mountain Time)","value":"17:23:05"},{"id":151,"name":"Denver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0"/>
        <v>start /low /b %USERPROFILE%\Documents\GitHub\eaglep3\Utilities\DownloadLogsFromS3.py --loco 4002 --day 2017-06-11</v>
      </c>
      <c r="AN117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778</v>
      </c>
      <c r="B118" s="7">
        <v>4001</v>
      </c>
      <c r="C118" s="21" t="s">
        <v>204</v>
      </c>
      <c r="D118" s="21" t="s">
        <v>850</v>
      </c>
      <c r="E118" s="13">
        <v>42897.73537037037</v>
      </c>
      <c r="F118" s="13">
        <v>42897.737835648149</v>
      </c>
      <c r="G118" s="7">
        <v>1</v>
      </c>
      <c r="H118" s="21" t="s">
        <v>362</v>
      </c>
      <c r="I118" s="13">
        <v>42897.764988425923</v>
      </c>
      <c r="J118" s="7">
        <v>0</v>
      </c>
      <c r="K118" s="92" t="str">
        <f t="shared" si="26"/>
        <v>4001/4002</v>
      </c>
      <c r="L118" s="21" t="str">
        <f>VLOOKUP(A118,'Trips&amp;Operators'!$C$1:$G$99999,5,FALSE)</f>
        <v>BRANDNER MELINDA</v>
      </c>
      <c r="M118" s="6">
        <f t="shared" si="27"/>
        <v>2.7152777773153502E-2</v>
      </c>
      <c r="N118" s="7">
        <f t="shared" si="28"/>
        <v>39.099999993341044</v>
      </c>
      <c r="O118" s="7"/>
      <c r="P118" s="7"/>
      <c r="Q118" s="22"/>
      <c r="R118" s="173"/>
      <c r="S118" s="176">
        <f t="shared" si="29"/>
        <v>1</v>
      </c>
      <c r="T118" s="202" t="str">
        <f t="shared" si="30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-06-11T16:38:56-0600',mode:absolute,to:'2017-06-11T19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8" s="204" t="str">
        <f t="shared" si="32"/>
        <v>N</v>
      </c>
      <c r="X118" s="204">
        <f t="shared" si="49"/>
        <v>1</v>
      </c>
      <c r="Y118" s="204">
        <f t="shared" si="50"/>
        <v>23.297000000000001</v>
      </c>
      <c r="Z118" s="204">
        <f t="shared" si="51"/>
        <v>1.41E-2</v>
      </c>
      <c r="AA118" s="204">
        <f t="shared" si="33"/>
        <v>23.282900000000001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4"/>
        <v>0206-11</v>
      </c>
      <c r="AE118" s="80" t="str">
        <f t="shared" si="35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118" s="77" t="str">
        <f t="shared" si="36"/>
        <v>"C:\Program Files (x86)\AstroGrep\AstroGrep.exe" /e /r /s /spath="%USERPROFILE%\AppData\Local\Temp\OnboardLogs" /stypes="app*4001*20170612*" /stext=" 00:.+((SYSTEM_STATE.+slice.+state.+changed )|(ment ac)|(multiple cpu faults)|(system.+state.+changed )|(\[timeout)|(PRM\|1\|D)|(kpr)|(kdp)|(train st.+moving)|(\|lc)|(penalty))"</v>
      </c>
      <c r="AG118" s="1" t="str">
        <f t="shared" si="37"/>
        <v>EC</v>
      </c>
      <c r="AH118" s="81" t="str">
        <f t="shared" si="38"/>
        <v>"%USERPROFILE%\Documents\GitHub\eaglep3\Utilities\RefineRTDCRunTimes.py" --tripid 206-11 --locoid 4001 --swversion DE.1.0.9.0 --startMP 204:232970 --initTime 2017-06-11T17:38:56 --startdatetime 2017-06-11T17:42:29 --delay 1 --endMP 204:141 --enddatetime 2017-06-11T18:21:35 --enforcementcount 0 &gt;&gt;C:\Users\stu\Documents\GitHub\eaglep3-reporting\EC\2017-06-11-refined-times.txt</v>
      </c>
      <c r="AI118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{"issue":{"subject":"","project_id":79,"tracker_id":40,"status_id":1,"priority_id":2,"assigned_to_id":23,"start_date":"2017-06-11","description":"","custom_fields":[{"id":1,"name":"Subdivision","value":"EC"},{"id":4,"name":"Milepost","value":"0.0141"},{"id":17,"name":"Train ID","value":"206-11"},{"id":16,"name":"Locomotive ID","value":"4001"},{"id":130,"name":"Impact","value":""},{"id":150,"name":"Time of Event (Mountain Time)","value":"18:21:35"},{"id":151,"name":"Denver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0"/>
        <v>start /low /b %USERPROFILE%\Documents\GitHub\eaglep3\Utilities\DownloadLogsFromS3.py --loco 4001 --day 2017-06-11</v>
      </c>
      <c r="AN118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770</v>
      </c>
      <c r="B119" s="7">
        <v>4040</v>
      </c>
      <c r="C119" s="21" t="s">
        <v>204</v>
      </c>
      <c r="D119" s="21" t="s">
        <v>840</v>
      </c>
      <c r="E119" s="13">
        <v>42897.702881944446</v>
      </c>
      <c r="F119" s="13">
        <v>42897.708518518521</v>
      </c>
      <c r="G119" s="7">
        <v>1</v>
      </c>
      <c r="H119" s="21" t="s">
        <v>855</v>
      </c>
      <c r="I119" s="13">
        <v>42897.733738425923</v>
      </c>
      <c r="J119" s="7">
        <v>0</v>
      </c>
      <c r="K119" s="92" t="str">
        <f t="shared" si="26"/>
        <v>4039/4040</v>
      </c>
      <c r="L119" s="21" t="str">
        <f>VLOOKUP(A119,'Trips&amp;Operators'!$C$1:$G$99999,5,FALSE)</f>
        <v>BRUDER RICHARD</v>
      </c>
      <c r="M119" s="6">
        <f t="shared" si="27"/>
        <v>2.5219907402060926E-2</v>
      </c>
      <c r="N119" s="7">
        <f t="shared" si="28"/>
        <v>36.316666658967733</v>
      </c>
      <c r="O119" s="7"/>
      <c r="P119" s="7"/>
      <c r="Q119" s="22"/>
      <c r="R119" s="173"/>
      <c r="S119" s="176">
        <f t="shared" si="29"/>
        <v>1</v>
      </c>
      <c r="T119" s="202" t="str">
        <f t="shared" si="30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-06-11T15:52:09-0600',mode:absolute,to:'2017-06-11T18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204" t="str">
        <f t="shared" si="32"/>
        <v>N</v>
      </c>
      <c r="X119" s="204">
        <f t="shared" ref="X119:X136" si="52">VALUE(LEFT(AD119,4))-VALUE(LEFT(AD118,4))</f>
        <v>1</v>
      </c>
      <c r="Y119" s="204">
        <f t="shared" si="50"/>
        <v>4.7500000000000001E-2</v>
      </c>
      <c r="Z119" s="204">
        <f t="shared" si="51"/>
        <v>23.328199999999999</v>
      </c>
      <c r="AA119" s="204">
        <f t="shared" si="33"/>
        <v>23.2807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4"/>
        <v>0207-11</v>
      </c>
      <c r="AE119" s="80" t="str">
        <f t="shared" si="35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119" s="77" t="str">
        <f t="shared" si="36"/>
        <v>"C:\Program Files (x86)\AstroGrep\AstroGrep.exe" /e /r /s /spath="%USERPROFILE%\AppData\Local\Temp\OnboardLogs" /stypes="app*4040*20170611*" /stext=" 23:.+((SYSTEM_STATE.+slice.+state.+changed )|(ment ac)|(multiple cpu faults)|(system.+state.+changed )|(\[timeout)|(PRM\|1\|D)|(kpr)|(kdp)|(train st.+moving)|(\|lc)|(penalty))"</v>
      </c>
      <c r="AG119" s="1" t="str">
        <f t="shared" si="37"/>
        <v>EC</v>
      </c>
      <c r="AH119" s="81" t="str">
        <f t="shared" si="38"/>
        <v>"%USERPROFILE%\Documents\GitHub\eaglep3\Utilities\RefineRTDCRunTimes.py" --tripid 207-11 --locoid 4040 --swversion DE.1.0.9.0 --startMP 204:475 --initTime 2017-06-11T16:52:09 --startdatetime 2017-06-11T17:00:16 --delay 1 --endMP 204:233282 --enddatetime 2017-06-11T17:36:35 --enforcementcount 0 &gt;&gt;C:\Users\stu\Documents\GitHub\eaglep3-reporting\EC\2017-06-11-refined-times.txt</v>
      </c>
      <c r="AI11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{"issue":{"subject":"","project_id":79,"tracker_id":40,"status_id":1,"priority_id":2,"assigned_to_id":23,"start_date":"2017-06-11","description":"","custom_fields":[{"id":1,"name":"Subdivision","value":"EC"},{"id":4,"name":"Milepost","value":"23.3282"},{"id":17,"name":"Train ID","value":"207-11"},{"id":16,"name":"Locomotive ID","value":"4040"},{"id":130,"name":"Impact","value":""},{"id":150,"name":"Time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0"/>
        <v>start /low /b %USERPROFILE%\Documents\GitHub\eaglep3\Utilities\DownloadLogsFromS3.py --loco 4040 --day 2017-06-11</v>
      </c>
      <c r="AN119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781</v>
      </c>
      <c r="B120" s="7">
        <v>4039</v>
      </c>
      <c r="C120" s="21" t="s">
        <v>204</v>
      </c>
      <c r="D120" s="21" t="s">
        <v>500</v>
      </c>
      <c r="E120" s="13">
        <v>42897.743287037039</v>
      </c>
      <c r="F120" s="13">
        <v>42897.748182870368</v>
      </c>
      <c r="G120" s="7">
        <v>1</v>
      </c>
      <c r="H120" s="21" t="s">
        <v>196</v>
      </c>
      <c r="I120" s="13">
        <v>42897.774212962962</v>
      </c>
      <c r="J120" s="7">
        <v>0</v>
      </c>
      <c r="K120" s="92" t="str">
        <f t="shared" si="26"/>
        <v>4039/4040</v>
      </c>
      <c r="L120" s="21" t="str">
        <f>VLOOKUP(A120,'Trips&amp;Operators'!$C$1:$G$99999,5,FALSE)</f>
        <v>BRUDER RICHARD</v>
      </c>
      <c r="M120" s="6">
        <f t="shared" si="27"/>
        <v>2.6030092594737653E-2</v>
      </c>
      <c r="N120" s="7">
        <f t="shared" si="28"/>
        <v>37.48333333642222</v>
      </c>
      <c r="O120" s="7"/>
      <c r="P120" s="7"/>
      <c r="Q120" s="22"/>
      <c r="R120" s="173"/>
      <c r="S120" s="176">
        <f t="shared" si="29"/>
        <v>1</v>
      </c>
      <c r="T120" s="202" t="str">
        <f t="shared" si="30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-06-11T16:50:20-0600',mode:absolute,to:'2017-06-11T19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204" t="str">
        <f t="shared" si="32"/>
        <v>N</v>
      </c>
      <c r="X120" s="204">
        <f t="shared" si="52"/>
        <v>1</v>
      </c>
      <c r="Y120" s="204">
        <f t="shared" si="50"/>
        <v>23.299399999999999</v>
      </c>
      <c r="Z120" s="204">
        <f t="shared" si="51"/>
        <v>1.5800000000000002E-2</v>
      </c>
      <c r="AA120" s="204">
        <f t="shared" si="33"/>
        <v>23.2836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4"/>
        <v>0208-11</v>
      </c>
      <c r="AE120" s="80" t="str">
        <f t="shared" si="35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120" s="77" t="str">
        <f t="shared" si="36"/>
        <v>"C:\Program Files (x86)\AstroGrep\AstroGrep.exe" /e /r /s /spath="%USERPROFILE%\AppData\Local\Temp\OnboardLogs" /stypes="app*4039*20170612*" /stext=" 00:.+((SYSTEM_STATE.+slice.+state.+changed )|(ment ac)|(multiple cpu faults)|(system.+state.+changed )|(\[timeout)|(PRM\|1\|D)|(kpr)|(kdp)|(train st.+moving)|(\|lc)|(penalty))"</v>
      </c>
      <c r="AG120" s="1" t="str">
        <f t="shared" si="37"/>
        <v>EC</v>
      </c>
      <c r="AH120" s="81" t="str">
        <f t="shared" si="38"/>
        <v>"%USERPROFILE%\Documents\GitHub\eaglep3\Utilities\RefineRTDCRunTimes.py" --tripid 208-11 --locoid 4039 --swversion DE.1.0.9.0 --startMP 204:232994 --initTime 2017-06-11T17:50:20 --startdatetime 2017-06-11T17:57:23 --delay 1 --endMP 204:158 --enddatetime 2017-06-11T18:34:52 --enforcementcount 0 &gt;&gt;C:\Users\stu\Documents\GitHub\eaglep3-reporting\EC\2017-06-11-refined-times.txt</v>
      </c>
      <c r="AI12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{"issue":{"subject":"","project_id":79,"tracker_id":40,"status_id":1,"priority_id":2,"assigned_to_id":23,"start_date":"2017-06-11","description":"","custom_fields":[{"id":1,"name":"Subdivision","value":"EC"},{"id":4,"name":"Milepost","value":"0.0158"},{"id":17,"name":"Train ID","value":"208-11"},{"id":16,"name":"Locomotive ID","value":"4039"},{"id":130,"name":"Impact","value":""},{"id":150,"name":"Time of Event (Mountain Time)","value":"18:34:52"},{"id":151,"name":"Denver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0"/>
        <v>start /low /b %USERPROFILE%\Documents\GitHub\eaglep3\Utilities\DownloadLogsFromS3.py --loco 4039 --day 2017-06-11</v>
      </c>
      <c r="AN120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641</v>
      </c>
      <c r="B121" s="7">
        <v>4042</v>
      </c>
      <c r="C121" s="21" t="s">
        <v>204</v>
      </c>
      <c r="D121" s="21" t="s">
        <v>613</v>
      </c>
      <c r="E121" s="13">
        <v>42897.714525462965</v>
      </c>
      <c r="F121" s="13">
        <v>42897.719131944446</v>
      </c>
      <c r="G121" s="7">
        <v>2</v>
      </c>
      <c r="H121" s="21" t="s">
        <v>920</v>
      </c>
      <c r="I121" s="13">
        <v>42897.743888888886</v>
      </c>
      <c r="J121" s="7">
        <v>0</v>
      </c>
      <c r="K121" s="92" t="str">
        <f t="shared" si="26"/>
        <v>4041/4042</v>
      </c>
      <c r="L121" s="21" t="str">
        <f>VLOOKUP(A121,'Trips&amp;Operators'!$C$1:$G$99999,5,FALSE)</f>
        <v>STAMBAUGH JAMES</v>
      </c>
      <c r="M121" s="6">
        <f t="shared" si="27"/>
        <v>2.4756944440014195E-2</v>
      </c>
      <c r="N121" s="7">
        <f t="shared" si="28"/>
        <v>35.64999999362044</v>
      </c>
      <c r="O121" s="7"/>
      <c r="P121" s="7"/>
      <c r="Q121" s="22"/>
      <c r="R121" s="173"/>
      <c r="S121" s="176">
        <f t="shared" si="29"/>
        <v>1</v>
      </c>
      <c r="T121" s="202" t="str">
        <f t="shared" si="30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-06-11T16:08:55-0600',mode:absolute,to:'2017-06-11T18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 t="shared" si="32"/>
        <v>N</v>
      </c>
      <c r="X121" s="204">
        <f t="shared" si="52"/>
        <v>1</v>
      </c>
      <c r="Y121" s="204">
        <f t="shared" si="50"/>
        <v>4.6899999999999997E-2</v>
      </c>
      <c r="Z121" s="204">
        <f t="shared" si="51"/>
        <v>23.3415</v>
      </c>
      <c r="AA121" s="204">
        <f t="shared" si="33"/>
        <v>23.294599999999999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4"/>
        <v>0209-11</v>
      </c>
      <c r="AE121" s="80" t="str">
        <f t="shared" si="35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121" s="77" t="str">
        <f t="shared" si="36"/>
        <v>"C:\Program Files (x86)\AstroGrep\AstroGrep.exe" /e /r /s /spath="%USERPROFILE%\AppData\Local\Temp\OnboardLogs" /stypes="app*4042*20170611*" /stext=" 23:.+((SYSTEM_STATE.+slice.+state.+changed )|(ment ac)|(multiple cpu faults)|(system.+state.+changed )|(\[timeout)|(PRM\|1\|D)|(kpr)|(kdp)|(train st.+moving)|(\|lc)|(penalty))"</v>
      </c>
      <c r="AG121" s="1" t="str">
        <f t="shared" si="37"/>
        <v>EC</v>
      </c>
      <c r="AH121" s="81" t="str">
        <f t="shared" si="38"/>
        <v>"%USERPROFILE%\Documents\GitHub\eaglep3\Utilities\RefineRTDCRunTimes.py" --tripid 209-11 --locoid 4042 --swversion DE.1.0.9.0 --startMP 204:469 --initTime 2017-06-11T17:08:55 --startdatetime 2017-06-11T17:15:33 --delay 2 --endMP 204:233415 --enddatetime 2017-06-11T17:51:12 --enforcementcount 0 &gt;&gt;C:\Users\stu\Documents\GitHub\eaglep3-reporting\EC\2017-06-11-refined-times.txt</v>
      </c>
      <c r="AI121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{"issue":{"subject":"","project_id":79,"tracker_id":40,"status_id":1,"priority_id":2,"assigned_to_id":23,"start_date":"2017-06-11","description":"","custom_fields":[{"id":1,"name":"Subdivision","value":"EC"},{"id":4,"name":"Milepost","value":"23.3415"},{"id":17,"name":"Train ID","value":"209-11"},{"id":16,"name":"Locomotive ID","value":"4042"},{"id":130,"name":"Impact","value":""},{"id":150,"name":"Time of Event (Mountain Time)","value":"17:51:12"},{"id":151,"name":"Denver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0"/>
        <v>start /low /b %USERPROFILE%\Documents\GitHub\eaglep3\Utilities\DownloadLogsFromS3.py --loco 4042 --day 2017-06-11</v>
      </c>
      <c r="AN121" s="154" t="str">
        <f t="shared" si="41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645</v>
      </c>
      <c r="B122" s="7">
        <v>4041</v>
      </c>
      <c r="C122" s="21" t="s">
        <v>204</v>
      </c>
      <c r="D122" s="21" t="s">
        <v>921</v>
      </c>
      <c r="E122" s="13">
        <v>42897.752650462964</v>
      </c>
      <c r="F122" s="13">
        <v>42897.758634259262</v>
      </c>
      <c r="G122" s="7">
        <v>1</v>
      </c>
      <c r="H122" s="21" t="s">
        <v>922</v>
      </c>
      <c r="I122" s="13">
        <v>42897.785057870373</v>
      </c>
      <c r="J122" s="7">
        <v>0</v>
      </c>
      <c r="K122" s="92" t="str">
        <f t="shared" si="26"/>
        <v>4041/4042</v>
      </c>
      <c r="L122" s="21" t="str">
        <f>VLOOKUP(A122,'Trips&amp;Operators'!$C$1:$G$99999,5,FALSE)</f>
        <v>STAMBAUGH JAMES</v>
      </c>
      <c r="M122" s="6">
        <f t="shared" si="27"/>
        <v>2.6423611110658385E-2</v>
      </c>
      <c r="N122" s="7">
        <f t="shared" si="28"/>
        <v>38.049999999348074</v>
      </c>
      <c r="O122" s="7"/>
      <c r="P122" s="7"/>
      <c r="Q122" s="22"/>
      <c r="R122" s="173"/>
      <c r="S122" s="176">
        <f t="shared" si="29"/>
        <v>1</v>
      </c>
      <c r="T122" s="202" t="str">
        <f t="shared" si="30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-06-11T17:03:49-0600',mode:absolute,to:'2017-06-11T19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 t="shared" si="32"/>
        <v>N</v>
      </c>
      <c r="X122" s="204">
        <f t="shared" si="52"/>
        <v>1</v>
      </c>
      <c r="Y122" s="204">
        <f t="shared" si="50"/>
        <v>23.310400000000001</v>
      </c>
      <c r="Z122" s="204">
        <f t="shared" si="51"/>
        <v>9.5999999999999992E-3</v>
      </c>
      <c r="AA122" s="204">
        <f t="shared" si="33"/>
        <v>23.300800000000002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34"/>
        <v>0210-11</v>
      </c>
      <c r="AE122" s="80" t="str">
        <f t="shared" si="35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122" s="77" t="str">
        <f t="shared" si="36"/>
        <v>"C:\Program Files (x86)\AstroGrep\AstroGrep.exe" /e /r /s /spath="%USERPROFILE%\AppData\Local\Temp\OnboardLogs" /stypes="app*4041*20170612*" /stext=" 00:.+((SYSTEM_STATE.+slice.+state.+changed )|(ment ac)|(multiple cpu faults)|(system.+state.+changed )|(\[timeout)|(PRM\|1\|D)|(kpr)|(kdp)|(train st.+moving)|(\|lc)|(penalty))"</v>
      </c>
      <c r="AG122" s="1" t="str">
        <f t="shared" si="37"/>
        <v>EC</v>
      </c>
      <c r="AH122" s="81" t="str">
        <f t="shared" si="38"/>
        <v>"%USERPROFILE%\Documents\GitHub\eaglep3\Utilities\RefineRTDCRunTimes.py" --tripid 210-11 --locoid 4041 --swversion DE.1.0.9.0 --startMP 204:233104 --initTime 2017-06-11T18:03:49 --startdatetime 2017-06-11T18:12:26 --delay 1 --endMP 204:96 --enddatetime 2017-06-11T18:50:29 --enforcementcount 0 &gt;&gt;C:\Users\stu\Documents\GitHub\eaglep3-reporting\EC\2017-06-11-refined-times.txt</v>
      </c>
      <c r="AI122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{"issue":{"subject":"","project_id":79,"tracker_id":40,"status_id":1,"priority_id":2,"assigned_to_id":23,"start_date":"2017-06-11","description":"","custom_fields":[{"id":1,"name":"Subdivision","value":"EC"},{"id":4,"name":"Milepost","value":"0.0096"},{"id":17,"name":"Train ID","value":"210-11"},{"id":16,"name":"Locomotive ID","value":"4041"},{"id":130,"name":"Impact","value":""},{"id":150,"name":"Time of Event (Mountain Time)","value":"18:50:29"},{"id":151,"name":"Denver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0"/>
        <v>start /low /b %USERPROFILE%\Documents\GitHub\eaglep3\Utilities\DownloadLogsFromS3.py --loco 4041 --day 2017-06-11</v>
      </c>
      <c r="AN122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777</v>
      </c>
      <c r="B123" s="7">
        <v>4050</v>
      </c>
      <c r="C123" s="21" t="s">
        <v>204</v>
      </c>
      <c r="D123" s="21" t="s">
        <v>354</v>
      </c>
      <c r="E123" s="13">
        <v>42897.725034722222</v>
      </c>
      <c r="F123" s="13">
        <v>42897.729328703703</v>
      </c>
      <c r="G123" s="7">
        <v>1</v>
      </c>
      <c r="H123" s="21" t="s">
        <v>923</v>
      </c>
      <c r="I123" s="13">
        <v>42897.754444444443</v>
      </c>
      <c r="J123" s="7">
        <v>0</v>
      </c>
      <c r="K123" s="92" t="str">
        <f t="shared" si="26"/>
        <v>4049/4050</v>
      </c>
      <c r="L123" s="21" t="str">
        <f>VLOOKUP(A123,'Trips&amp;Operators'!$C$1:$G$99999,5,FALSE)</f>
        <v>DELGADO DIANAH</v>
      </c>
      <c r="M123" s="6">
        <f t="shared" si="27"/>
        <v>2.5115740740147885E-2</v>
      </c>
      <c r="N123" s="7">
        <f t="shared" si="28"/>
        <v>36.166666665812954</v>
      </c>
      <c r="O123" s="7"/>
      <c r="P123" s="7"/>
      <c r="Q123" s="22"/>
      <c r="R123" s="173"/>
      <c r="S123" s="176">
        <f t="shared" si="29"/>
        <v>1</v>
      </c>
      <c r="T123" s="202" t="str">
        <f t="shared" si="30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-06-11T16:24:03-0600',mode:absolute,to:'2017-06-11T19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3" s="204" t="str">
        <f t="shared" si="32"/>
        <v>N</v>
      </c>
      <c r="X123" s="204">
        <f t="shared" si="52"/>
        <v>1</v>
      </c>
      <c r="Y123" s="204">
        <f t="shared" si="50"/>
        <v>4.6600000000000003E-2</v>
      </c>
      <c r="Z123" s="204">
        <f t="shared" si="51"/>
        <v>23.337399999999999</v>
      </c>
      <c r="AA123" s="204">
        <f t="shared" si="33"/>
        <v>23.290799999999997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4"/>
        <v>0211-11</v>
      </c>
      <c r="AE123" s="80" t="str">
        <f t="shared" si="35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123" s="77" t="str">
        <f t="shared" si="36"/>
        <v>"C:\Program Files (x86)\AstroGrep\AstroGrep.exe" /e /r /s /spath="%USERPROFILE%\AppData\Local\Temp\OnboardLogs" /stypes="app*4050*20170612*" /stext=" 00:.+((SYSTEM_STATE.+slice.+state.+changed )|(ment ac)|(multiple cpu faults)|(system.+state.+changed )|(\[timeout)|(PRM\|1\|D)|(kpr)|(kdp)|(train st.+moving)|(\|lc)|(penalty))"</v>
      </c>
      <c r="AG123" s="1" t="str">
        <f t="shared" si="37"/>
        <v>EC</v>
      </c>
      <c r="AH123" s="81" t="str">
        <f t="shared" si="38"/>
        <v>"%USERPROFILE%\Documents\GitHub\eaglep3\Utilities\RefineRTDCRunTimes.py" --tripid 211-11 --locoid 4050 --swversion DE.1.0.9.0 --startMP 204:466 --initTime 2017-06-11T17:24:03 --startdatetime 2017-06-11T17:30:14 --delay 1 --endMP 204:233374 --enddatetime 2017-06-11T18:06:24 --enforcementcount 0 &gt;&gt;C:\Users\stu\Documents\GitHub\eaglep3-reporting\EC\2017-06-11-refined-times.txt</v>
      </c>
      <c r="AI123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{"issue":{"subject":"","project_id":79,"tracker_id":40,"status_id":1,"priority_id":2,"assigned_to_id":23,"start_date":"2017-06-11","description":"","custom_fields":[{"id":1,"name":"Subdivision","value":"EC"},{"id":4,"name":"Milepost","value":"23.3374"},{"id":17,"name":"Train ID","value":"211-11"},{"id":16,"name":"Locomotive ID","value":"4050"},{"id":130,"name":"Impact","value":""},{"id":150,"name":"Time of Event (Mountain Time)","value":"18:06:24"},{"id":151,"name":"Denver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0"/>
        <v>start /low /b %USERPROFILE%\Documents\GitHub\eaglep3\Utilities\DownloadLogsFromS3.py --loco 4050 --day 2017-06-11</v>
      </c>
      <c r="AN123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646</v>
      </c>
      <c r="B124" s="7">
        <v>4049</v>
      </c>
      <c r="C124" s="21" t="s">
        <v>204</v>
      </c>
      <c r="D124" s="21" t="s">
        <v>924</v>
      </c>
      <c r="E124" s="13">
        <v>42897.763553240744</v>
      </c>
      <c r="F124" s="13">
        <v>42897.768923611111</v>
      </c>
      <c r="G124" s="7">
        <v>1</v>
      </c>
      <c r="H124" s="21" t="s">
        <v>360</v>
      </c>
      <c r="I124" s="13">
        <v>42897.795115740744</v>
      </c>
      <c r="J124" s="7">
        <v>0</v>
      </c>
      <c r="K124" s="92" t="str">
        <f t="shared" si="26"/>
        <v>4049/4050</v>
      </c>
      <c r="L124" s="21" t="str">
        <f>VLOOKUP(A124,'Trips&amp;Operators'!$C$1:$G$99999,5,FALSE)</f>
        <v>DELGADO DIANAH</v>
      </c>
      <c r="M124" s="6">
        <f t="shared" si="27"/>
        <v>2.6192129633272998E-2</v>
      </c>
      <c r="N124" s="7">
        <f t="shared" si="28"/>
        <v>37.716666671913117</v>
      </c>
      <c r="O124" s="7"/>
      <c r="P124" s="7"/>
      <c r="Q124" s="22"/>
      <c r="R124" s="173"/>
      <c r="S124" s="176">
        <f t="shared" si="29"/>
        <v>1</v>
      </c>
      <c r="T124" s="202" t="str">
        <f t="shared" si="30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-06-11T17:19:31-0600',mode:absolute,to:'2017-06-11T20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4" s="204" t="str">
        <f t="shared" si="32"/>
        <v>N</v>
      </c>
      <c r="X124" s="204">
        <f t="shared" si="52"/>
        <v>1</v>
      </c>
      <c r="Y124" s="204">
        <f t="shared" si="50"/>
        <v>23.3063</v>
      </c>
      <c r="Z124" s="204">
        <f t="shared" si="51"/>
        <v>1.3899999999999999E-2</v>
      </c>
      <c r="AA124" s="204">
        <f t="shared" si="33"/>
        <v>23.292400000000001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4"/>
        <v>0212-11</v>
      </c>
      <c r="AE124" s="80" t="str">
        <f t="shared" si="35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124" s="77" t="str">
        <f t="shared" si="36"/>
        <v>"C:\Program Files (x86)\AstroGrep\AstroGrep.exe" /e /r /s /spath="%USERPROFILE%\AppData\Local\Temp\OnboardLogs" /stypes="app*4049*20170612*" /stext=" 01:.+((SYSTEM_STATE.+slice.+state.+changed )|(ment ac)|(multiple cpu faults)|(system.+state.+changed )|(\[timeout)|(PRM\|1\|D)|(kpr)|(kdp)|(train st.+moving)|(\|lc)|(penalty))"</v>
      </c>
      <c r="AG124" s="1" t="str">
        <f t="shared" si="37"/>
        <v>EC</v>
      </c>
      <c r="AH124" s="81" t="str">
        <f t="shared" si="38"/>
        <v>"%USERPROFILE%\Documents\GitHub\eaglep3\Utilities\RefineRTDCRunTimes.py" --tripid 212-11 --locoid 4049 --swversion DE.1.0.9.0 --startMP 204:233063 --initTime 2017-06-11T18:19:31 --startdatetime 2017-06-11T18:27:15 --delay 1 --endMP 204:139 --enddatetime 2017-06-11T19:04:58 --enforcementcount 0 &gt;&gt;C:\Users\stu\Documents\GitHub\eaglep3-reporting\EC\2017-06-11-refined-times.txt</v>
      </c>
      <c r="AI124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ID","value":"212-11"},{"id":16,"name":"Locomotive ID","value":"4049"},{"id":130,"name":"Impact","value":""},{"id":150,"name":"Time of Event (Mountain Time)","value":"19:04:58"},{"id":151,"name":"Denver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0"/>
        <v>start /low /b %USERPROFILE%\Documents\GitHub\eaglep3\Utilities\DownloadLogsFromS3.py --loco 4049 --day 2017-06-11</v>
      </c>
      <c r="AN124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779</v>
      </c>
      <c r="B125" s="7">
        <v>4054</v>
      </c>
      <c r="C125" s="21" t="s">
        <v>204</v>
      </c>
      <c r="D125" s="21" t="s">
        <v>349</v>
      </c>
      <c r="E125" s="13">
        <v>42897.736076388886</v>
      </c>
      <c r="F125" s="13">
        <v>42897.739884259259</v>
      </c>
      <c r="G125" s="7">
        <v>1</v>
      </c>
      <c r="H125" s="21" t="s">
        <v>521</v>
      </c>
      <c r="I125" s="13">
        <v>42897.764687499999</v>
      </c>
      <c r="J125" s="7">
        <v>0</v>
      </c>
      <c r="K125" s="92" t="str">
        <f t="shared" si="26"/>
        <v>4053/4054</v>
      </c>
      <c r="L125" s="21" t="str">
        <f>VLOOKUP(A125,'Trips&amp;Operators'!$C$1:$G$99999,5,FALSE)</f>
        <v>SMITH MICHAEL</v>
      </c>
      <c r="M125" s="6">
        <f t="shared" si="27"/>
        <v>2.4803240739856847E-2</v>
      </c>
      <c r="N125" s="7">
        <f t="shared" si="28"/>
        <v>35.716666665393859</v>
      </c>
      <c r="O125" s="7"/>
      <c r="P125" s="7"/>
      <c r="Q125" s="22"/>
      <c r="R125" s="173"/>
      <c r="S125" s="176">
        <f t="shared" si="29"/>
        <v>1</v>
      </c>
      <c r="T125" s="202" t="str">
        <f t="shared" si="30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-06-11T16:39:57-0600',mode:absolute,to:'2017-06-11T19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204" t="str">
        <f t="shared" si="32"/>
        <v>N</v>
      </c>
      <c r="X125" s="204">
        <f t="shared" si="52"/>
        <v>1</v>
      </c>
      <c r="Y125" s="204">
        <f t="shared" si="50"/>
        <v>4.4600000000000001E-2</v>
      </c>
      <c r="Z125" s="204">
        <f t="shared" si="51"/>
        <v>23.3338</v>
      </c>
      <c r="AA125" s="204">
        <f t="shared" si="33"/>
        <v>23.289200000000001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4"/>
        <v>0213-11</v>
      </c>
      <c r="AE125" s="80" t="str">
        <f t="shared" si="35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125" s="77" t="str">
        <f t="shared" si="36"/>
        <v>"C:\Program Files (x86)\AstroGrep\AstroGrep.exe" /e /r /s /spath="%USERPROFILE%\AppData\Local\Temp\OnboardLogs" /stypes="app*4054*20170612*" /stext=" 00:.+((SYSTEM_STATE.+slice.+state.+changed )|(ment ac)|(multiple cpu faults)|(system.+state.+changed )|(\[timeout)|(PRM\|1\|D)|(kpr)|(kdp)|(train st.+moving)|(\|lc)|(penalty))"</v>
      </c>
      <c r="AG125" s="1" t="str">
        <f t="shared" si="37"/>
        <v>EC</v>
      </c>
      <c r="AH125" s="81" t="str">
        <f t="shared" si="38"/>
        <v>"%USERPROFILE%\Documents\GitHub\eaglep3\Utilities\RefineRTDCRunTimes.py" --tripid 213-11 --locoid 4054 --swversion DE.1.0.9.0 --startMP 204:446 --initTime 2017-06-11T17:39:57 --startdatetime 2017-06-11T17:45:26 --delay 1 --endMP 204:233338 --enddatetime 2017-06-11T18:21:09 --enforcementcount 0 &gt;&gt;C:\Users\stu\Documents\GitHub\eaglep3-reporting\EC\2017-06-11-refined-times.txt</v>
      </c>
      <c r="AI125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{"issue":{"subject":"","project_id":79,"tracker_id":40,"status_id":1,"priority_id":2,"assigned_to_id":23,"start_date":"2017-06-11","description":"","custom_fields":[{"id":1,"name":"Subdivision","value":"EC"},{"id":4,"name":"Milepost","value":"23.3338"},{"id":17,"name":"Train ID","value":"213-11"},{"id":16,"name":"Locomotive ID","value":"4054"},{"id":130,"name":"Impact","value":""},{"id":150,"name":"Time of Event (Mountain Time)","value":"18:21:09"},{"id":151,"name":"Denver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0"/>
        <v>start /low /b %USERPROFILE%\Documents\GitHub\eaglep3\Utilities\DownloadLogsFromS3.py --loco 4054 --day 2017-06-11</v>
      </c>
      <c r="AN125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786</v>
      </c>
      <c r="B126" s="7">
        <v>4053</v>
      </c>
      <c r="C126" s="21" t="s">
        <v>204</v>
      </c>
      <c r="D126" s="21" t="s">
        <v>524</v>
      </c>
      <c r="E126" s="13">
        <v>42897.771377314813</v>
      </c>
      <c r="F126" s="13">
        <v>42897.779502314814</v>
      </c>
      <c r="G126" s="7">
        <v>1</v>
      </c>
      <c r="H126" s="21" t="s">
        <v>195</v>
      </c>
      <c r="I126" s="13">
        <v>42897.805902777778</v>
      </c>
      <c r="J126" s="7">
        <v>0</v>
      </c>
      <c r="K126" s="92" t="str">
        <f t="shared" si="26"/>
        <v>4053/4054</v>
      </c>
      <c r="L126" s="21" t="str">
        <f>VLOOKUP(A126,'Trips&amp;Operators'!$C$1:$G$99999,5,FALSE)</f>
        <v>SMITH MICHAEL</v>
      </c>
      <c r="M126" s="6">
        <f t="shared" si="27"/>
        <v>2.6400462964375038E-2</v>
      </c>
      <c r="N126" s="7">
        <f t="shared" si="28"/>
        <v>38.016666668700054</v>
      </c>
      <c r="O126" s="7"/>
      <c r="P126" s="7"/>
      <c r="Q126" s="22"/>
      <c r="R126" s="173"/>
      <c r="S126" s="176">
        <f t="shared" si="29"/>
        <v>1</v>
      </c>
      <c r="T126" s="202" t="str">
        <f t="shared" si="30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-06-11T17:30:47-0600',mode:absolute,to:'2017-06-11T20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6" s="204" t="str">
        <f t="shared" si="32"/>
        <v>N</v>
      </c>
      <c r="X126" s="204">
        <f t="shared" si="52"/>
        <v>1</v>
      </c>
      <c r="Y126" s="204">
        <f t="shared" si="50"/>
        <v>23.2987</v>
      </c>
      <c r="Z126" s="204">
        <f t="shared" si="51"/>
        <v>1.52E-2</v>
      </c>
      <c r="AA126" s="204">
        <f t="shared" si="33"/>
        <v>23.2835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4"/>
        <v>0214-11</v>
      </c>
      <c r="AE126" s="80" t="str">
        <f t="shared" si="35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126" s="77" t="str">
        <f t="shared" si="36"/>
        <v>"C:\Program Files (x86)\AstroGrep\AstroGrep.exe" /e /r /s /spath="%USERPROFILE%\AppData\Local\Temp\OnboardLogs" /stypes="app*4053*20170612*" /stext=" 01:.+((SYSTEM_STATE.+slice.+state.+changed )|(ment ac)|(multiple cpu faults)|(system.+state.+changed )|(\[timeout)|(PRM\|1\|D)|(kpr)|(kdp)|(train st.+moving)|(\|lc)|(penalty))"</v>
      </c>
      <c r="AG126" s="1" t="str">
        <f t="shared" si="37"/>
        <v>EC</v>
      </c>
      <c r="AH126" s="81" t="str">
        <f t="shared" si="38"/>
        <v>"%USERPROFILE%\Documents\GitHub\eaglep3\Utilities\RefineRTDCRunTimes.py" --tripid 214-11 --locoid 4053 --swversion DE.1.0.9.0 --startMP 204:232987 --initTime 2017-06-11T18:30:47 --startdatetime 2017-06-11T18:42:29 --delay 1 --endMP 204:152 --enddatetime 2017-06-11T19:20:30 --enforcementcount 0 &gt;&gt;C:\Users\stu\Documents\GitHub\eaglep3-reporting\EC\2017-06-11-refined-times.txt</v>
      </c>
      <c r="AI126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{"issue":{"subject":"","project_id":79,"tracker_id":40,"status_id":1,"priority_id":2,"assigned_to_id":23,"start_date":"2017-06-11","description":"","custom_fields":[{"id":1,"name":"Subdivision","value":"EC"},{"id":4,"name":"Milepost","value":"0.0152"},{"id":17,"name":"Train ID","value":"214-11"},{"id":16,"name":"Locomotive ID","value":"4053"},{"id":130,"name":"Impact","value":""},{"id":150,"name":"Time of Event (Mountain Time)","value":"19:20:30"},{"id":151,"name":"Denver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0"/>
        <v>start /low /b %USERPROFILE%\Documents\GitHub\eaglep3\Utilities\DownloadLogsFromS3.py --loco 4053 --day 2017-06-11</v>
      </c>
      <c r="AN126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642</v>
      </c>
      <c r="B127" s="7">
        <v>4010</v>
      </c>
      <c r="C127" s="21" t="s">
        <v>204</v>
      </c>
      <c r="D127" s="21" t="s">
        <v>354</v>
      </c>
      <c r="E127" s="13">
        <v>42897.744837962964</v>
      </c>
      <c r="F127" s="13">
        <v>42897.750173611108</v>
      </c>
      <c r="G127" s="7">
        <v>1</v>
      </c>
      <c r="H127" s="21" t="s">
        <v>483</v>
      </c>
      <c r="I127" s="13">
        <v>42897.776122685187</v>
      </c>
      <c r="J127" s="7">
        <v>0</v>
      </c>
      <c r="K127" s="92" t="str">
        <f t="shared" si="26"/>
        <v>4009/4010</v>
      </c>
      <c r="L127" s="21" t="str">
        <f>VLOOKUP(A127,'Trips&amp;Operators'!$C$1:$G$99999,5,FALSE)</f>
        <v>LOPES KIMBERLY</v>
      </c>
      <c r="M127" s="6">
        <f t="shared" si="27"/>
        <v>2.5949074079107959E-2</v>
      </c>
      <c r="N127" s="7">
        <f t="shared" si="28"/>
        <v>37.366666673915461</v>
      </c>
      <c r="O127" s="7"/>
      <c r="P127" s="7"/>
      <c r="Q127" s="22"/>
      <c r="R127" s="173"/>
      <c r="S127" s="176">
        <f t="shared" si="29"/>
        <v>1</v>
      </c>
      <c r="T127" s="202" t="str">
        <f t="shared" si="30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-06-11T16:52:34-0600',mode:absolute,to:'2017-06-11T19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204" t="str">
        <f t="shared" si="32"/>
        <v>N</v>
      </c>
      <c r="X127" s="204">
        <f t="shared" si="52"/>
        <v>1</v>
      </c>
      <c r="Y127" s="204">
        <f t="shared" si="50"/>
        <v>4.6600000000000003E-2</v>
      </c>
      <c r="Z127" s="204">
        <f t="shared" si="51"/>
        <v>23.330300000000001</v>
      </c>
      <c r="AA127" s="204">
        <f t="shared" si="33"/>
        <v>23.2837</v>
      </c>
      <c r="AB127" s="57" t="str">
        <f>VLOOKUP(A127,Enforcements!$C$7:$K$13,8,0)</f>
        <v>Bulletin (2)</v>
      </c>
      <c r="AC127" s="53" t="str">
        <f>VLOOKUP(A127,Enforcements!$C$7:$E$13,3,0)</f>
        <v>GRADE CROSSING</v>
      </c>
      <c r="AD127" s="54" t="str">
        <f t="shared" si="34"/>
        <v>0215-11</v>
      </c>
      <c r="AE127" s="80" t="str">
        <f t="shared" si="35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127" s="77" t="str">
        <f t="shared" si="36"/>
        <v>"C:\Program Files (x86)\AstroGrep\AstroGrep.exe" /e /r /s /spath="%USERPROFILE%\AppData\Local\Temp\OnboardLogs" /stypes="app*4010*20170612*" /stext=" 00:.+((SYSTEM_STATE.+slice.+state.+changed )|(ment ac)|(multiple cpu faults)|(system.+state.+changed )|(\[timeout)|(PRM\|1\|D)|(kpr)|(kdp)|(train st.+moving)|(\|lc)|(penalty))"</v>
      </c>
      <c r="AG127" s="1" t="str">
        <f t="shared" si="37"/>
        <v>EC</v>
      </c>
      <c r="AH127" s="81" t="str">
        <f t="shared" si="38"/>
        <v>"%USERPROFILE%\Documents\GitHub\eaglep3\Utilities\RefineRTDCRunTimes.py" --tripid 215-11 --locoid 4010 --swversion DE.1.0.9.0 --startMP 204:466 --initTime 2017-06-11T17:52:34 --startdatetime 2017-06-11T18:00:15 --delay 1 --endMP 204:233303 --enddatetime 2017-06-11T18:37:37 --enforcementcount 0 &gt;&gt;C:\Users\stu\Documents\GitHub\eaglep3-reporting\EC\2017-06-11-refined-times.txt</v>
      </c>
      <c r="AI127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{"issue":{"subject":"","project_id":79,"tracker_id":40,"status_id":1,"priority_id":2,"assigned_to_id":23,"start_date":"2017-06-11","description":"","custom_fields":[{"id":1,"name":"Subdivision","value":"EC"},{"id":4,"name":"Milepost","value":"23.3303"},{"id":17,"name":"Train ID","value":"215-11"},{"id":16,"name":"Locomotive ID","value":"4010"},{"id":130,"name":"Impact","value":""},{"id":150,"name":"Time of Event (Mountain Time)","value":"18:37:37"},{"id":151,"name":"Denver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0"/>
        <v>start /low /b %USERPROFILE%\Documents\GitHub\eaglep3\Utilities\DownloadLogsFromS3.py --loco 4010 --day 2017-06-11</v>
      </c>
      <c r="AN127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789</v>
      </c>
      <c r="B128" s="7">
        <v>4009</v>
      </c>
      <c r="C128" s="21" t="s">
        <v>204</v>
      </c>
      <c r="D128" s="21" t="s">
        <v>428</v>
      </c>
      <c r="E128" s="13">
        <v>42897.781331018516</v>
      </c>
      <c r="F128" s="13">
        <v>42897.789814814816</v>
      </c>
      <c r="G128" s="7">
        <v>1</v>
      </c>
      <c r="H128" s="21" t="s">
        <v>360</v>
      </c>
      <c r="I128" s="13">
        <v>42897.81591435185</v>
      </c>
      <c r="J128" s="7">
        <v>0</v>
      </c>
      <c r="K128" s="92" t="str">
        <f t="shared" si="26"/>
        <v>4009/4010</v>
      </c>
      <c r="L128" s="21" t="str">
        <f>VLOOKUP(A128,'Trips&amp;Operators'!$C$1:$G$99999,5,FALSE)</f>
        <v>LOPES KIMBERLY</v>
      </c>
      <c r="M128" s="6">
        <f t="shared" si="27"/>
        <v>2.6099537033587694E-2</v>
      </c>
      <c r="N128" s="7">
        <f t="shared" si="28"/>
        <v>37.58333332836628</v>
      </c>
      <c r="O128" s="7"/>
      <c r="P128" s="7"/>
      <c r="Q128" s="22"/>
      <c r="R128" s="173"/>
      <c r="S128" s="176">
        <f t="shared" si="29"/>
        <v>1</v>
      </c>
      <c r="T128" s="202" t="str">
        <f t="shared" si="30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-06-11T17:45:07-0600',mode:absolute,to:'2017-06-11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204" t="str">
        <f t="shared" si="32"/>
        <v>N</v>
      </c>
      <c r="X128" s="204">
        <f t="shared" si="52"/>
        <v>1</v>
      </c>
      <c r="Y128" s="204">
        <f t="shared" si="50"/>
        <v>23.297999999999998</v>
      </c>
      <c r="Z128" s="204">
        <f t="shared" si="51"/>
        <v>1.3899999999999999E-2</v>
      </c>
      <c r="AA128" s="204">
        <f t="shared" si="33"/>
        <v>23.284099999999999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4"/>
        <v>0216-11</v>
      </c>
      <c r="AE128" s="80" t="str">
        <f t="shared" si="35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128" s="77" t="str">
        <f t="shared" si="36"/>
        <v>"C:\Program Files (x86)\AstroGrep\AstroGrep.exe" /e /r /s /spath="%USERPROFILE%\AppData\Local\Temp\OnboardLogs" /stypes="app*4009*20170612*" /stext=" 01:.+((SYSTEM_STATE.+slice.+state.+changed )|(ment ac)|(multiple cpu faults)|(system.+state.+changed )|(\[timeout)|(PRM\|1\|D)|(kpr)|(kdp)|(train st.+moving)|(\|lc)|(penalty))"</v>
      </c>
      <c r="AG128" s="1" t="str">
        <f t="shared" si="37"/>
        <v>EC</v>
      </c>
      <c r="AH128" s="81" t="str">
        <f t="shared" si="38"/>
        <v>"%USERPROFILE%\Documents\GitHub\eaglep3\Utilities\RefineRTDCRunTimes.py" --tripid 216-11 --locoid 4009 --swversion DE.1.0.9.0 --startMP 204:232980 --initTime 2017-06-11T18:45:07 --startdatetime 2017-06-11T18:57:20 --delay 1 --endMP 204:139 --enddatetime 2017-06-11T19:34:55 --enforcementcount 0 &gt;&gt;C:\Users\stu\Documents\GitHub\eaglep3-reporting\EC\2017-06-11-refined-times.txt</v>
      </c>
      <c r="AI128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ID","value":"216-11"},{"id":16,"name":"Locomotive ID","value":"4009"},{"id":130,"name":"Impact","value":""},{"id":150,"name":"Time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0"/>
        <v>start /low /b %USERPROFILE%\Documents\GitHub\eaglep3\Utilities\DownloadLogsFromS3.py --loco 4009 --day 2017-06-11</v>
      </c>
      <c r="AN128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643</v>
      </c>
      <c r="B129" s="7">
        <v>4020</v>
      </c>
      <c r="C129" s="21" t="s">
        <v>204</v>
      </c>
      <c r="D129" s="21" t="s">
        <v>359</v>
      </c>
      <c r="E129" s="13">
        <v>42897.757997685185</v>
      </c>
      <c r="F129" s="13">
        <v>42897.760798611111</v>
      </c>
      <c r="G129" s="7">
        <v>1</v>
      </c>
      <c r="H129" s="21" t="s">
        <v>612</v>
      </c>
      <c r="I129" s="13">
        <v>42897.786377314813</v>
      </c>
      <c r="J129" s="7">
        <v>0</v>
      </c>
      <c r="K129" s="92" t="str">
        <f t="shared" si="26"/>
        <v>4019/4020</v>
      </c>
      <c r="L129" s="21" t="str">
        <f>VLOOKUP(A129,'Trips&amp;Operators'!$C$1:$G$99999,5,FALSE)</f>
        <v>ZEWDU DEREJE</v>
      </c>
      <c r="M129" s="6">
        <f t="shared" si="27"/>
        <v>2.5578703702194616E-2</v>
      </c>
      <c r="N129" s="7">
        <f t="shared" si="28"/>
        <v>36.833333331160247</v>
      </c>
      <c r="O129" s="7"/>
      <c r="P129" s="7"/>
      <c r="Q129" s="22"/>
      <c r="R129" s="173"/>
      <c r="S129" s="176">
        <f t="shared" si="29"/>
        <v>1</v>
      </c>
      <c r="T129" s="202" t="str">
        <f t="shared" si="30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-06-11T17:11:31-0600',mode:absolute,to:'2017-06-11T19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204" t="str">
        <f t="shared" si="32"/>
        <v>N</v>
      </c>
      <c r="X129" s="204">
        <f t="shared" si="52"/>
        <v>1</v>
      </c>
      <c r="Y129" s="204">
        <f t="shared" si="50"/>
        <v>4.4699999999999997E-2</v>
      </c>
      <c r="Z129" s="204">
        <f t="shared" si="51"/>
        <v>23.332899999999999</v>
      </c>
      <c r="AA129" s="204">
        <f t="shared" si="33"/>
        <v>23.2882</v>
      </c>
      <c r="AB129" s="57" t="str">
        <f>VLOOKUP(A129,Enforcements!$C$7:$K$13,8,0)</f>
        <v>Bulletin (2)</v>
      </c>
      <c r="AC129" s="53" t="str">
        <f>VLOOKUP(A129,Enforcements!$C$7:$E$13,3,0)</f>
        <v>GRADE CROSSING</v>
      </c>
      <c r="AD129" s="54" t="str">
        <f t="shared" si="34"/>
        <v>0217-11</v>
      </c>
      <c r="AE129" s="80" t="str">
        <f t="shared" si="35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129" s="77" t="str">
        <f t="shared" si="36"/>
        <v>"C:\Program Files (x86)\AstroGrep\AstroGrep.exe" /e /r /s /spath="%USERPROFILE%\AppData\Local\Temp\OnboardLogs" /stypes="app*4020*20170612*" /stext=" 00:.+((SYSTEM_STATE.+slice.+state.+changed )|(ment ac)|(multiple cpu faults)|(system.+state.+changed )|(\[timeout)|(PRM\|1\|D)|(kpr)|(kdp)|(train st.+moving)|(\|lc)|(penalty))"</v>
      </c>
      <c r="AG129" s="1" t="str">
        <f t="shared" si="37"/>
        <v>EC</v>
      </c>
      <c r="AH129" s="81" t="str">
        <f t="shared" si="38"/>
        <v>"%USERPROFILE%\Documents\GitHub\eaglep3\Utilities\RefineRTDCRunTimes.py" --tripid 217-11 --locoid 4020 --swversion DE.1.0.9.0 --startMP 204:447 --initTime 2017-06-11T18:11:31 --startdatetime 2017-06-11T18:15:33 --delay 1 --endMP 204:233329 --enddatetime 2017-06-11T18:52:23 --enforcementcount 0 &gt;&gt;C:\Users\stu\Documents\GitHub\eaglep3-reporting\EC\2017-06-11-refined-times.txt</v>
      </c>
      <c r="AI12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{"issue":{"subject":"","project_id":79,"tracker_id":40,"status_id":1,"priority_id":2,"assigned_to_id":23,"start_date":"2017-06-11","description":"","custom_fields":[{"id":1,"name":"Subdivision","value":"EC"},{"id":4,"name":"Milepost","value":"23.3329"},{"id":17,"name":"Train ID","value":"217-11"},{"id":16,"name":"Locomotive ID","value":"4020"},{"id":130,"name":"Impact","value":""},{"id":150,"name":"Time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0"/>
        <v>start /low /b %USERPROFILE%\Documents\GitHub\eaglep3\Utilities\DownloadLogsFromS3.py --loco 4020 --day 2017-06-11</v>
      </c>
      <c r="AN129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791</v>
      </c>
      <c r="B130" s="7">
        <v>4019</v>
      </c>
      <c r="C130" s="21" t="s">
        <v>204</v>
      </c>
      <c r="D130" s="21" t="s">
        <v>488</v>
      </c>
      <c r="E130" s="13">
        <v>42897.789537037039</v>
      </c>
      <c r="F130" s="13">
        <v>42897.800300925926</v>
      </c>
      <c r="G130" s="7">
        <v>1</v>
      </c>
      <c r="H130" s="21" t="s">
        <v>509</v>
      </c>
      <c r="I130" s="13">
        <v>42897.827303240738</v>
      </c>
      <c r="J130" s="7">
        <v>0</v>
      </c>
      <c r="K130" s="92" t="str">
        <f t="shared" si="26"/>
        <v>4019/4020</v>
      </c>
      <c r="L130" s="21" t="str">
        <f>VLOOKUP(A130,'Trips&amp;Operators'!$C$1:$G$99999,5,FALSE)</f>
        <v>ZEWDU DEREJE</v>
      </c>
      <c r="M130" s="6">
        <f t="shared" si="27"/>
        <v>2.700231481139781E-2</v>
      </c>
      <c r="N130" s="7">
        <f t="shared" si="28"/>
        <v>38.883333328412846</v>
      </c>
      <c r="O130" s="7"/>
      <c r="P130" s="7"/>
      <c r="Q130" s="22"/>
      <c r="R130" s="173"/>
      <c r="S130" s="176">
        <f t="shared" si="29"/>
        <v>1</v>
      </c>
      <c r="T130" s="202" t="str">
        <f t="shared" si="30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-06-11T17:56:56-0600',mode:absolute,to:'2017-06-11T20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204" t="str">
        <f t="shared" si="32"/>
        <v>N</v>
      </c>
      <c r="X130" s="204">
        <f t="shared" si="52"/>
        <v>1</v>
      </c>
      <c r="Y130" s="204">
        <f t="shared" si="50"/>
        <v>23.299600000000002</v>
      </c>
      <c r="Z130" s="204">
        <f t="shared" si="51"/>
        <v>1.32E-2</v>
      </c>
      <c r="AA130" s="204">
        <f t="shared" si="33"/>
        <v>23.2864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4"/>
        <v>0218-11</v>
      </c>
      <c r="AE130" s="80" t="str">
        <f t="shared" si="35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30" s="77" t="str">
        <f t="shared" si="36"/>
        <v>"C:\Program Files (x86)\AstroGrep\AstroGrep.exe" /e /r /s /spath="%USERPROFILE%\AppData\Local\Temp\OnboardLogs" /stypes="app*4019*20170612*" /stext=" 01:.+((SYSTEM_STATE.+slice.+state.+changed )|(ment ac)|(multiple cpu faults)|(system.+state.+changed )|(\[timeout)|(PRM\|1\|D)|(kpr)|(kdp)|(train st.+moving)|(\|lc)|(penalty))"</v>
      </c>
      <c r="AG130" s="1" t="str">
        <f t="shared" si="37"/>
        <v>EC</v>
      </c>
      <c r="AH130" s="81" t="str">
        <f t="shared" si="38"/>
        <v>"%USERPROFILE%\Documents\GitHub\eaglep3\Utilities\RefineRTDCRunTimes.py" --tripid 218-11 --locoid 4019 --swversion DE.1.0.9.0 --startMP 204:232996 --initTime 2017-06-11T18:56:56 --startdatetime 2017-06-11T19:12:26 --delay 1 --endMP 204:132 --enddatetime 2017-06-11T19:51:19 --enforcementcount 0 &gt;&gt;C:\Users\stu\Documents\GitHub\eaglep3-reporting\EC\2017-06-11-refined-times.txt</v>
      </c>
      <c r="AI13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{"issue":{"subject":"","project_id":79,"tracker_id":40,"status_id":1,"priority_id":2,"assigned_to_id":23,"start_date":"2017-06-11","description":"","custom_fields":[{"id":1,"name":"Subdivision","value":"EC"},{"id":4,"name":"Milepost","value":"0.0132"},{"id":17,"name":"Train ID","value":"218-11"},{"id":16,"name":"Locomotive ID","value":"4019"},{"id":130,"name":"Impact","value":""},{"id":150,"name":"Time of Event (Mountain Time)","value":"19:51:19"},{"id":151,"name":"Denver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0"/>
        <v>start /low /b %USERPROFILE%\Documents\GitHub\eaglep3\Utilities\DownloadLogsFromS3.py --loco 4019 --day 2017-06-11</v>
      </c>
      <c r="AN130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784</v>
      </c>
      <c r="B131" s="7">
        <v>4002</v>
      </c>
      <c r="C131" s="21" t="s">
        <v>204</v>
      </c>
      <c r="D131" s="21" t="s">
        <v>367</v>
      </c>
      <c r="E131" s="13">
        <v>42897.766712962963</v>
      </c>
      <c r="F131" s="13">
        <v>42897.77103009259</v>
      </c>
      <c r="G131" s="7">
        <v>1</v>
      </c>
      <c r="H131" s="21" t="s">
        <v>925</v>
      </c>
      <c r="I131" s="13">
        <v>42897.796435185184</v>
      </c>
      <c r="J131" s="7">
        <v>0</v>
      </c>
      <c r="K131" s="92" t="str">
        <f t="shared" si="26"/>
        <v>4001/4002</v>
      </c>
      <c r="L131" s="21" t="str">
        <f>VLOOKUP(A131,'Trips&amp;Operators'!$C$1:$G$99999,5,FALSE)</f>
        <v>HAITHCOX MICHAEL</v>
      </c>
      <c r="M131" s="6">
        <f t="shared" si="27"/>
        <v>2.5405092594155576E-2</v>
      </c>
      <c r="N131" s="7">
        <f t="shared" si="28"/>
        <v>36.58333333558403</v>
      </c>
      <c r="O131" s="7"/>
      <c r="P131" s="7"/>
      <c r="Q131" s="22"/>
      <c r="R131" s="173"/>
      <c r="S131" s="176">
        <f t="shared" si="29"/>
        <v>1</v>
      </c>
      <c r="T131" s="202" t="str">
        <f t="shared" si="30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-06-11T17:24:04-0600',mode:absolute,to:'2017-06-11T20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1" s="204" t="str">
        <f t="shared" si="32"/>
        <v>N</v>
      </c>
      <c r="X131" s="204">
        <f t="shared" si="52"/>
        <v>1</v>
      </c>
      <c r="Y131" s="204">
        <f t="shared" si="50"/>
        <v>4.5499999999999999E-2</v>
      </c>
      <c r="Z131" s="204">
        <f t="shared" si="51"/>
        <v>23.3337</v>
      </c>
      <c r="AA131" s="204">
        <f t="shared" si="33"/>
        <v>23.2882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4"/>
        <v>0219-11</v>
      </c>
      <c r="AE131" s="80" t="str">
        <f t="shared" si="35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131" s="77" t="str">
        <f t="shared" si="36"/>
        <v>"C:\Program Files (x86)\AstroGrep\AstroGrep.exe" /e /r /s /spath="%USERPROFILE%\AppData\Local\Temp\OnboardLogs" /stypes="app*4002*20170612*" /stext=" 01:.+((SYSTEM_STATE.+slice.+state.+changed )|(ment ac)|(multiple cpu faults)|(system.+state.+changed )|(\[timeout)|(PRM\|1\|D)|(kpr)|(kdp)|(train st.+moving)|(\|lc)|(penalty))"</v>
      </c>
      <c r="AG131" s="1" t="str">
        <f t="shared" si="37"/>
        <v>EC</v>
      </c>
      <c r="AH131" s="81" t="str">
        <f t="shared" si="38"/>
        <v>"%USERPROFILE%\Documents\GitHub\eaglep3\Utilities\RefineRTDCRunTimes.py" --tripid 219-11 --locoid 4002 --swversion DE.1.0.9.0 --startMP 204:455 --initTime 2017-06-11T18:24:04 --startdatetime 2017-06-11T18:30:17 --delay 1 --endMP 204:233337 --enddatetime 2017-06-11T19:06:52 --enforcementcount 0 &gt;&gt;C:\Users\stu\Documents\GitHub\eaglep3-reporting\EC\2017-06-11-refined-times.txt</v>
      </c>
      <c r="AI131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{"issue":{"subject":"","project_id":79,"tracker_id":40,"status_id":1,"priority_id":2,"assigned_to_id":23,"start_date":"2017-06-11","description":"","custom_fields":[{"id":1,"name":"Subdivision","value":"EC"},{"id":4,"name":"Milepost","value":"23.3337"},{"id":17,"name":"Train ID","value":"219-11"},{"id":16,"name":"Locomotive ID","value":"4002"},{"id":130,"name":"Impact","value":""},{"id":150,"name":"Time of Event (Mountain Time)","value":"19:06:52"},{"id":151,"name":"Denver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0"/>
        <v>start /low /b %USERPROFILE%\Documents\GitHub\eaglep3\Utilities\DownloadLogsFromS3.py --loco 4002 --day 2017-06-11</v>
      </c>
      <c r="AN131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793</v>
      </c>
      <c r="B132" s="7">
        <v>4001</v>
      </c>
      <c r="C132" s="21" t="s">
        <v>204</v>
      </c>
      <c r="D132" s="21" t="s">
        <v>486</v>
      </c>
      <c r="E132" s="13">
        <v>42897.8</v>
      </c>
      <c r="F132" s="13">
        <v>42897.810613425929</v>
      </c>
      <c r="G132" s="7">
        <v>1</v>
      </c>
      <c r="H132" s="21" t="s">
        <v>363</v>
      </c>
      <c r="I132" s="13">
        <v>42897.837592592594</v>
      </c>
      <c r="J132" s="7">
        <v>0</v>
      </c>
      <c r="K132" s="92" t="str">
        <f t="shared" si="26"/>
        <v>4001/4002</v>
      </c>
      <c r="L132" s="21" t="str">
        <f>VLOOKUP(A132,'Trips&amp;Operators'!$C$1:$G$99999,5,FALSE)</f>
        <v>HAITHCOX MICHAEL</v>
      </c>
      <c r="M132" s="6">
        <f t="shared" si="27"/>
        <v>2.6979166665114462E-2</v>
      </c>
      <c r="N132" s="7">
        <f t="shared" si="28"/>
        <v>38.849999997764826</v>
      </c>
      <c r="O132" s="7"/>
      <c r="P132" s="7"/>
      <c r="Q132" s="22"/>
      <c r="R132" s="173"/>
      <c r="S132" s="176">
        <f t="shared" si="29"/>
        <v>1</v>
      </c>
      <c r="T132" s="202" t="str">
        <f t="shared" si="30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-06-11T18:12:00-0600',mode:absolute,to:'2017-06-11T21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2" s="204" t="str">
        <f t="shared" si="32"/>
        <v>N</v>
      </c>
      <c r="X132" s="204">
        <f t="shared" si="52"/>
        <v>1</v>
      </c>
      <c r="Y132" s="204">
        <f t="shared" si="50"/>
        <v>23.2971</v>
      </c>
      <c r="Z132" s="204">
        <f t="shared" si="51"/>
        <v>1.47E-2</v>
      </c>
      <c r="AA132" s="204">
        <f t="shared" si="33"/>
        <v>23.282399999999999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4"/>
        <v>0220-11</v>
      </c>
      <c r="AE132" s="80" t="str">
        <f t="shared" si="35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132" s="77" t="str">
        <f t="shared" si="36"/>
        <v>"C:\Program Files (x86)\AstroGrep\AstroGrep.exe" /e /r /s /spath="%USERPROFILE%\AppData\Local\Temp\OnboardLogs" /stypes="app*4001*20170612*" /stext=" 02:.+((SYSTEM_STATE.+slice.+state.+changed )|(ment ac)|(multiple cpu faults)|(system.+state.+changed )|(\[timeout)|(PRM\|1\|D)|(kpr)|(kdp)|(train st.+moving)|(\|lc)|(penalty))"</v>
      </c>
      <c r="AG132" s="1" t="str">
        <f t="shared" si="37"/>
        <v>EC</v>
      </c>
      <c r="AH132" s="81" t="str">
        <f t="shared" si="38"/>
        <v>"%USERPROFILE%\Documents\GitHub\eaglep3\Utilities\RefineRTDCRunTimes.py" --tripid 220-11 --locoid 4001 --swversion DE.1.0.9.0 --startMP 204:232971 --initTime 2017-06-11T19:12:00 --startdatetime 2017-06-11T19:27:17 --delay 1 --endMP 204:147 --enddatetime 2017-06-11T20:06:08 --enforcementcount 0 &gt;&gt;C:\Users\stu\Documents\GitHub\eaglep3-reporting\EC\2017-06-11-refined-times.txt</v>
      </c>
      <c r="AI132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ID","value":"220-11"},{"id":16,"name":"Locomotive ID","value":"4001"},{"id":130,"name":"Impact","value":""},{"id":150,"name":"Time of Event (Mountain Time)","value":"20:06:08"},{"id":151,"name":"Denver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0"/>
        <v>start /low /b %USERPROFILE%\Documents\GitHub\eaglep3\Utilities\DownloadLogsFromS3.py --loco 4001 --day 2017-06-11</v>
      </c>
      <c r="AN132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790</v>
      </c>
      <c r="B133" s="7">
        <v>4042</v>
      </c>
      <c r="C133" s="21" t="s">
        <v>204</v>
      </c>
      <c r="D133" s="21" t="s">
        <v>926</v>
      </c>
      <c r="E133" s="13">
        <v>42897.786724537036</v>
      </c>
      <c r="F133" s="13">
        <v>42897.79210648148</v>
      </c>
      <c r="G133" s="7">
        <v>1</v>
      </c>
      <c r="H133" s="21" t="s">
        <v>927</v>
      </c>
      <c r="I133" s="13">
        <v>42897.817175925928</v>
      </c>
      <c r="J133" s="7">
        <v>0</v>
      </c>
      <c r="K133" s="92" t="str">
        <f t="shared" si="26"/>
        <v>4041/4042</v>
      </c>
      <c r="L133" s="21" t="str">
        <f>VLOOKUP(A133,'Trips&amp;Operators'!$C$1:$G$99999,5,FALSE)</f>
        <v>STAMBAUGH JAMES</v>
      </c>
      <c r="M133" s="6">
        <f t="shared" si="27"/>
        <v>2.5069444447581191E-2</v>
      </c>
      <c r="N133" s="7">
        <f t="shared" si="28"/>
        <v>36.100000004516914</v>
      </c>
      <c r="O133" s="7"/>
      <c r="P133" s="7"/>
      <c r="Q133" s="22"/>
      <c r="R133" s="173"/>
      <c r="S133" s="176">
        <f t="shared" si="29"/>
        <v>1</v>
      </c>
      <c r="T133" s="202" t="str">
        <f t="shared" si="30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-06-11T17:52:53-0600',mode:absolute,to:'2017-06-11T20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204" t="str">
        <f t="shared" si="32"/>
        <v>N</v>
      </c>
      <c r="X133" s="204">
        <f t="shared" si="52"/>
        <v>1</v>
      </c>
      <c r="Y133" s="204">
        <f t="shared" si="50"/>
        <v>4.02E-2</v>
      </c>
      <c r="Z133" s="204">
        <f t="shared" si="51"/>
        <v>23.305900000000001</v>
      </c>
      <c r="AA133" s="204">
        <f t="shared" si="33"/>
        <v>23.265700000000002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4"/>
        <v>0221-11</v>
      </c>
      <c r="AE133" s="80" t="str">
        <f t="shared" si="35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133" s="77" t="str">
        <f t="shared" si="36"/>
        <v>"C:\Program Files (x86)\AstroGrep\AstroGrep.exe" /e /r /s /spath="%USERPROFILE%\AppData\Local\Temp\OnboardLogs" /stypes="app*4042*20170612*" /stext=" 01:.+((SYSTEM_STATE.+slice.+state.+changed )|(ment ac)|(multiple cpu faults)|(system.+state.+changed )|(\[timeout)|(PRM\|1\|D)|(kpr)|(kdp)|(train st.+moving)|(\|lc)|(penalty))"</v>
      </c>
      <c r="AG133" s="1" t="str">
        <f t="shared" si="37"/>
        <v>EC</v>
      </c>
      <c r="AH133" s="81" t="str">
        <f t="shared" si="38"/>
        <v>"%USERPROFILE%\Documents\GitHub\eaglep3\Utilities\RefineRTDCRunTimes.py" --tripid 221-11 --locoid 4042 --swversion DE.1.0.9.0 --startMP 204:402 --initTime 2017-06-11T18:52:53 --startdatetime 2017-06-11T19:00:38 --delay 1 --endMP 204:233059 --enddatetime 2017-06-11T19:36:44 --enforcementcount 0 &gt;&gt;C:\Users\stu\Documents\GitHub\eaglep3-reporting\EC\2017-06-11-refined-times.txt</v>
      </c>
      <c r="AI133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{"issue":{"subject":"","project_id":79,"tracker_id":40,"status_id":1,"priority_id":2,"assigned_to_id":23,"start_date":"2017-06-11","description":"","custom_fields":[{"id":1,"name":"Subdivision","value":"EC"},{"id":4,"name":"Milepost","value":"23.3059"},{"id":17,"name":"Train ID","value":"221-11"},{"id":16,"name":"Locomotive ID","value":"4042"},{"id":130,"name":"Impact","value":""},{"id":150,"name":"Time of Event (Mountain Time)","value":"19:36:44"},{"id":151,"name":"Denver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0"/>
        <v>start /low /b %USERPROFILE%\Documents\GitHub\eaglep3\Utilities\DownloadLogsFromS3.py --loco 4042 --day 2017-06-11</v>
      </c>
      <c r="AN133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798</v>
      </c>
      <c r="B134" s="7">
        <v>4041</v>
      </c>
      <c r="C134" s="21" t="s">
        <v>204</v>
      </c>
      <c r="D134" s="21" t="s">
        <v>928</v>
      </c>
      <c r="E134" s="13">
        <v>42897.826365740744</v>
      </c>
      <c r="F134" s="13">
        <v>42897.831655092596</v>
      </c>
      <c r="G134" s="7">
        <v>3</v>
      </c>
      <c r="H134" s="21" t="s">
        <v>929</v>
      </c>
      <c r="I134" s="13">
        <v>42897.857812499999</v>
      </c>
      <c r="J134" s="7">
        <v>0</v>
      </c>
      <c r="K134" s="92" t="str">
        <f t="shared" si="26"/>
        <v>4041/4042</v>
      </c>
      <c r="L134" s="21" t="str">
        <f>VLOOKUP(A134,'Trips&amp;Operators'!$C$1:$G$99999,5,FALSE)</f>
        <v>STAMBAUGH JAMES</v>
      </c>
      <c r="M134" s="6">
        <f t="shared" si="27"/>
        <v>2.6157407402934041E-2</v>
      </c>
      <c r="N134" s="7">
        <f t="shared" si="28"/>
        <v>37.666666660225019</v>
      </c>
      <c r="O134" s="7"/>
      <c r="P134" s="7"/>
      <c r="Q134" s="22"/>
      <c r="R134" s="173"/>
      <c r="S134" s="176">
        <f t="shared" si="29"/>
        <v>1</v>
      </c>
      <c r="T134" s="202" t="str">
        <f t="shared" si="30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-06-11T18:49:58-0600',mode:absolute,to:'2017-06-11T21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204" t="str">
        <f t="shared" si="32"/>
        <v>N</v>
      </c>
      <c r="X134" s="204">
        <f t="shared" si="52"/>
        <v>1</v>
      </c>
      <c r="Y134" s="204">
        <f t="shared" si="50"/>
        <v>23.308399999999999</v>
      </c>
      <c r="Z134" s="204">
        <f t="shared" si="51"/>
        <v>1.2500000000000001E-2</v>
      </c>
      <c r="AA134" s="204">
        <f t="shared" si="33"/>
        <v>23.2959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4"/>
        <v>0222-11</v>
      </c>
      <c r="AE134" s="80" t="str">
        <f t="shared" si="35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134" s="77" t="str">
        <f t="shared" si="36"/>
        <v>"C:\Program Files (x86)\AstroGrep\AstroGrep.exe" /e /r /s /spath="%USERPROFILE%\AppData\Local\Temp\OnboardLogs" /stypes="app*4041*20170612*" /stext=" 02:.+((SYSTEM_STATE.+slice.+state.+changed )|(ment ac)|(multiple cpu faults)|(system.+state.+changed )|(\[timeout)|(PRM\|1\|D)|(kpr)|(kdp)|(train st.+moving)|(\|lc)|(penalty))"</v>
      </c>
      <c r="AG134" s="1" t="str">
        <f t="shared" si="37"/>
        <v>EC</v>
      </c>
      <c r="AH134" s="81" t="str">
        <f t="shared" si="38"/>
        <v>"%USERPROFILE%\Documents\GitHub\eaglep3\Utilities\RefineRTDCRunTimes.py" --tripid 222-11 --locoid 4041 --swversion DE.1.0.9.0 --startMP 204:233084 --initTime 2017-06-11T19:49:58 --startdatetime 2017-06-11T19:57:35 --delay 3 --endMP 204:125 --enddatetime 2017-06-11T20:35:15 --enforcementcount 0 &gt;&gt;C:\Users\stu\Documents\GitHub\eaglep3-reporting\EC\2017-06-11-refined-times.txt</v>
      </c>
      <c r="AI134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{"issue":{"subject":"","project_id":79,"tracker_id":40,"status_id":1,"priority_id":2,"assigned_to_id":23,"start_date":"2017-06-11","description":"","custom_fields":[{"id":1,"name":"Subdivision","value":"EC"},{"id":4,"name":"Milepost","value":"0.0125"},{"id":17,"name":"Train ID","value":"222-11"},{"id":16,"name":"Locomotive ID","value":"4041"},{"id":130,"name":"Impact","value":""},{"id":150,"name":"Time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0"/>
        <v>start /low /b %USERPROFILE%\Documents\GitHub\eaglep3\Utilities\DownloadLogsFromS3.py --loco 4041 --day 2017-06-11</v>
      </c>
      <c r="AN134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795</v>
      </c>
      <c r="B135" s="7">
        <v>4054</v>
      </c>
      <c r="C135" s="21" t="s">
        <v>204</v>
      </c>
      <c r="D135" s="21" t="s">
        <v>200</v>
      </c>
      <c r="E135" s="13">
        <v>42897.808310185188</v>
      </c>
      <c r="F135" s="13">
        <v>42897.812673611108</v>
      </c>
      <c r="G135" s="7">
        <v>1</v>
      </c>
      <c r="H135" s="21" t="s">
        <v>834</v>
      </c>
      <c r="I135" s="13">
        <v>42897.837638888886</v>
      </c>
      <c r="J135" s="7">
        <v>0</v>
      </c>
      <c r="K135" s="92" t="str">
        <f t="shared" si="26"/>
        <v>4053/4054</v>
      </c>
      <c r="L135" s="21" t="str">
        <f>VLOOKUP(A135,'Trips&amp;Operators'!$C$1:$G$99999,5,FALSE)</f>
        <v>BIRENBAUM THOMAS</v>
      </c>
      <c r="M135" s="6">
        <f t="shared" si="27"/>
        <v>2.4965277778392192E-2</v>
      </c>
      <c r="N135" s="7">
        <f t="shared" si="28"/>
        <v>35.950000000884756</v>
      </c>
      <c r="O135" s="7"/>
      <c r="P135" s="7"/>
      <c r="Q135" s="22"/>
      <c r="R135" s="173"/>
      <c r="S135" s="176">
        <f t="shared" si="29"/>
        <v>1</v>
      </c>
      <c r="T135" s="202" t="str">
        <f t="shared" si="30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-06-11T18:23:58-0600',mode:absolute,to:'2017-06-11T21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204" t="str">
        <f t="shared" si="32"/>
        <v>N</v>
      </c>
      <c r="X135" s="204">
        <f t="shared" si="52"/>
        <v>1</v>
      </c>
      <c r="Y135" s="204">
        <f t="shared" si="50"/>
        <v>4.5699999999999998E-2</v>
      </c>
      <c r="Z135" s="204">
        <f t="shared" si="51"/>
        <v>23.330100000000002</v>
      </c>
      <c r="AA135" s="204">
        <f t="shared" si="33"/>
        <v>23.284400000000002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4"/>
        <v>0223-11</v>
      </c>
      <c r="AE135" s="80" t="str">
        <f t="shared" si="35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135" s="77" t="str">
        <f t="shared" si="36"/>
        <v>"C:\Program Files (x86)\AstroGrep\AstroGrep.exe" /e /r /s /spath="%USERPROFILE%\AppData\Local\Temp\OnboardLogs" /stypes="app*4054*20170612*" /stext=" 02:.+((SYSTEM_STATE.+slice.+state.+changed )|(ment ac)|(multiple cpu faults)|(system.+state.+changed )|(\[timeout)|(PRM\|1\|D)|(kpr)|(kdp)|(train st.+moving)|(\|lc)|(penalty))"</v>
      </c>
      <c r="AG135" s="1" t="str">
        <f t="shared" si="37"/>
        <v>EC</v>
      </c>
      <c r="AH135" s="81" t="str">
        <f t="shared" si="38"/>
        <v>"%USERPROFILE%\Documents\GitHub\eaglep3\Utilities\RefineRTDCRunTimes.py" --tripid 223-11 --locoid 4054 --swversion DE.1.0.9.0 --startMP 204:457 --initTime 2017-06-11T19:23:58 --startdatetime 2017-06-11T19:30:15 --delay 1 --endMP 204:233301 --enddatetime 2017-06-11T20:06:12 --enforcementcount 0 &gt;&gt;C:\Users\stu\Documents\GitHub\eaglep3-reporting\EC\2017-06-11-refined-times.txt</v>
      </c>
      <c r="AI135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{"issue":{"subject":"","project_id":79,"tracker_id":40,"status_id":1,"priority_id":2,"assigned_to_id":23,"start_date":"2017-06-11","description":"","custom_fields":[{"id":1,"name":"Subdivision","value":"EC"},{"id":4,"name":"Milepost","value":"23.3301"},{"id":17,"name":"Train ID","value":"223-11"},{"id":16,"name":"Locomotive ID","value":"4054"},{"id":130,"name":"Impact","value":""},{"id":150,"name":"Time of Event (Mountain Time)","value":"20:06:12"},{"id":151,"name":"Denver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0"/>
        <v>start /low /b %USERPROFILE%\Documents\GitHub\eaglep3\Utilities\DownloadLogsFromS3.py --loco 4054 --day 2017-06-11</v>
      </c>
      <c r="AN135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802</v>
      </c>
      <c r="B136" s="7">
        <v>4053</v>
      </c>
      <c r="C136" s="21" t="s">
        <v>204</v>
      </c>
      <c r="D136" s="21" t="s">
        <v>486</v>
      </c>
      <c r="E136" s="13">
        <v>42897.848807870374</v>
      </c>
      <c r="F136" s="13">
        <v>42897.852303240739</v>
      </c>
      <c r="G136" s="7">
        <v>1</v>
      </c>
      <c r="H136" s="21" t="s">
        <v>363</v>
      </c>
      <c r="I136" s="13">
        <v>42897.87809027778</v>
      </c>
      <c r="J136" s="7">
        <v>0</v>
      </c>
      <c r="K136" s="92" t="str">
        <f t="shared" si="26"/>
        <v>4053/4054</v>
      </c>
      <c r="L136" s="21" t="str">
        <f>VLOOKUP(A136,'Trips&amp;Operators'!$C$1:$G$99999,5,FALSE)</f>
        <v>BIRENBAUM THOMAS</v>
      </c>
      <c r="M136" s="6">
        <f t="shared" si="27"/>
        <v>2.5787037040572613E-2</v>
      </c>
      <c r="N136" s="7">
        <f t="shared" si="28"/>
        <v>37.133333338424563</v>
      </c>
      <c r="O136" s="7"/>
      <c r="P136" s="7"/>
      <c r="Q136" s="22"/>
      <c r="R136" s="173"/>
      <c r="S136" s="176">
        <f t="shared" si="29"/>
        <v>1</v>
      </c>
      <c r="T136" s="202" t="str">
        <f t="shared" si="30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-06-11T19:22:17-0600',mode:absolute,to:'2017-06-11T22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204" t="str">
        <f t="shared" si="32"/>
        <v>N</v>
      </c>
      <c r="X136" s="204">
        <f t="shared" si="52"/>
        <v>1</v>
      </c>
      <c r="Y136" s="204">
        <f t="shared" si="50"/>
        <v>23.2971</v>
      </c>
      <c r="Z136" s="204">
        <f t="shared" si="51"/>
        <v>1.47E-2</v>
      </c>
      <c r="AA136" s="204">
        <f t="shared" si="33"/>
        <v>23.282399999999999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4"/>
        <v>0224-11</v>
      </c>
      <c r="AE136" s="80" t="str">
        <f t="shared" si="35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136" s="77" t="str">
        <f t="shared" si="36"/>
        <v>"C:\Program Files (x86)\AstroGrep\AstroGrep.exe" /e /r /s /spath="%USERPROFILE%\AppData\Local\Temp\OnboardLogs" /stypes="app*4053*20170612*" /stext=" 03:.+((SYSTEM_STATE.+slice.+state.+changed )|(ment ac)|(multiple cpu faults)|(system.+state.+changed )|(\[timeout)|(PRM\|1\|D)|(kpr)|(kdp)|(train st.+moving)|(\|lc)|(penalty))"</v>
      </c>
      <c r="AG136" s="1" t="str">
        <f t="shared" si="37"/>
        <v>EC</v>
      </c>
      <c r="AH136" s="81" t="str">
        <f t="shared" si="38"/>
        <v>"%USERPROFILE%\Documents\GitHub\eaglep3\Utilities\RefineRTDCRunTimes.py" --tripid 224-11 --locoid 4053 --swversion DE.1.0.9.0 --startMP 204:232971 --initTime 2017-06-11T20:22:17 --startdatetime 2017-06-11T20:27:19 --delay 1 --endMP 204:147 --enddatetime 2017-06-11T21:04:27 --enforcementcount 0 &gt;&gt;C:\Users\stu\Documents\GitHub\eaglep3-reporting\EC\2017-06-11-refined-times.txt</v>
      </c>
      <c r="AI136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ID","value":"224-11"},{"id":16,"name":"Locomotive ID","value":"4053"},{"id":130,"name":"Impact","value":""},{"id":150,"name":"Time of Event (Mountain Time)","value":"21:04:27"},{"id":151,"name":"Denver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0"/>
        <v>start /low /b %USERPROFILE%\Documents\GitHub\eaglep3\Utilities\DownloadLogsFromS3.py --loco 4053 --day 2017-06-11</v>
      </c>
      <c r="AN136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03:04:27"},{"id":29,"name":"Sharepoint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799</v>
      </c>
      <c r="B137" s="7">
        <v>4020</v>
      </c>
      <c r="C137" s="21" t="s">
        <v>204</v>
      </c>
      <c r="D137" s="21" t="s">
        <v>357</v>
      </c>
      <c r="E137" s="13">
        <v>42897.829317129632</v>
      </c>
      <c r="F137" s="13">
        <v>42897.833634259259</v>
      </c>
      <c r="G137" s="7">
        <v>1</v>
      </c>
      <c r="H137" s="21" t="s">
        <v>602</v>
      </c>
      <c r="I137" s="13">
        <v>42897.859756944446</v>
      </c>
      <c r="J137" s="7">
        <v>0</v>
      </c>
      <c r="K137" s="92" t="str">
        <f t="shared" si="26"/>
        <v>4019/4020</v>
      </c>
      <c r="L137" s="21" t="str">
        <f>VLOOKUP(A137,'Trips&amp;Operators'!$C$1:$G$99999,5,FALSE)</f>
        <v>ZEWDU DEREJE</v>
      </c>
      <c r="M137" s="6">
        <f t="shared" si="27"/>
        <v>2.6122685187146999E-2</v>
      </c>
      <c r="N137" s="7">
        <f t="shared" si="28"/>
        <v>37.616666669491678</v>
      </c>
      <c r="O137" s="7"/>
      <c r="P137" s="7"/>
      <c r="Q137" s="22"/>
      <c r="R137" s="173"/>
      <c r="S137" s="176">
        <f t="shared" si="29"/>
        <v>1</v>
      </c>
      <c r="T137" s="202" t="str">
        <f t="shared" si="30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-06-11T18:54:13-0600',mode:absolute,to:'2017-06-11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204" t="str">
        <f t="shared" si="32"/>
        <v>N</v>
      </c>
      <c r="X137" s="204">
        <f t="shared" ref="X137:X150" si="53">VALUE(LEFT(AD137,4))-VALUE(LEFT(AD136,4))</f>
        <v>1</v>
      </c>
      <c r="Y137" s="204">
        <f t="shared" si="50"/>
        <v>4.6399999999999997E-2</v>
      </c>
      <c r="Z137" s="204">
        <f t="shared" si="51"/>
        <v>23.327400000000001</v>
      </c>
      <c r="AA137" s="204">
        <f t="shared" si="33"/>
        <v>23.281000000000002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4"/>
        <v>0225-11</v>
      </c>
      <c r="AE137" s="80" t="str">
        <f t="shared" si="35"/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AF137" s="77" t="str">
        <f t="shared" si="36"/>
        <v>"C:\Program Files (x86)\AstroGrep\AstroGrep.exe" /e /r /s /spath="%USERPROFILE%\AppData\Local\Temp\OnboardLogs" /stypes="app*4020*20170612*" /stext=" 02:.+((SYSTEM_STATE.+slice.+state.+changed )|(ment ac)|(multiple cpu faults)|(system.+state.+changed )|(\[timeout)|(PRM\|1\|D)|(kpr)|(kdp)|(train st.+moving)|(\|lc)|(penalty))"</v>
      </c>
      <c r="AG137" s="1" t="str">
        <f t="shared" si="37"/>
        <v>EC</v>
      </c>
      <c r="AH137" s="81" t="str">
        <f t="shared" si="38"/>
        <v>"%USERPROFILE%\Documents\GitHub\eaglep3\Utilities\RefineRTDCRunTimes.py" --tripid 225-11 --locoid 4020 --swversion DE.1.0.9.0 --startMP 204:464 --initTime 2017-06-11T19:54:13 --startdatetime 2017-06-11T20:00:26 --delay 1 --endMP 204:233274 --enddatetime 2017-06-11T20:38:03 --enforcementcount 0 &gt;&gt;C:\Users\stu\Documents\GitHub\eaglep3-reporting\EC\2017-06-11-refined-times.txt</v>
      </c>
      <c r="AI137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{"issue":{"subject":"","project_id":79,"tracker_id":40,"status_id":1,"priority_id":2,"assigned_to_id":23,"start_date":"2017-06-11","description":"","custom_fields":[{"id":1,"name":"Subdivision","value":"EC"},{"id":4,"name":"Milepost","value":"23.3274"},{"id":17,"name":"Train ID","value":"225-11"},{"id":16,"name":"Locomotive ID","value":"4020"},{"id":130,"name":"Impact","value":""},{"id":150,"name":"Time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0"/>
        <v>start /low /b %USERPROFILE%\Documents\GitHub\eaglep3\Utilities\DownloadLogsFromS3.py --loco 4020 --day 2017-06-11</v>
      </c>
      <c r="AN137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804</v>
      </c>
      <c r="B138" s="7">
        <v>4019</v>
      </c>
      <c r="C138" s="21" t="s">
        <v>204</v>
      </c>
      <c r="D138" s="21" t="s">
        <v>485</v>
      </c>
      <c r="E138" s="13">
        <v>42897.87</v>
      </c>
      <c r="F138" s="13">
        <v>42897.873599537037</v>
      </c>
      <c r="G138" s="7">
        <v>1</v>
      </c>
      <c r="H138" s="21" t="s">
        <v>866</v>
      </c>
      <c r="I138" s="13">
        <v>42897.901273148149</v>
      </c>
      <c r="J138" s="7">
        <v>0</v>
      </c>
      <c r="K138" s="92" t="str">
        <f t="shared" si="26"/>
        <v>4019/4020</v>
      </c>
      <c r="L138" s="21" t="str">
        <f>VLOOKUP(A138,'Trips&amp;Operators'!$C$1:$G$99999,5,FALSE)</f>
        <v>ZEWDU DEREJE</v>
      </c>
      <c r="M138" s="6">
        <f t="shared" si="27"/>
        <v>2.7673611111822538E-2</v>
      </c>
      <c r="N138" s="7">
        <f t="shared" si="28"/>
        <v>39.850000001024455</v>
      </c>
      <c r="O138" s="7"/>
      <c r="P138" s="7"/>
      <c r="Q138" s="22"/>
      <c r="R138" s="173"/>
      <c r="S138" s="176">
        <f t="shared" si="29"/>
        <v>1</v>
      </c>
      <c r="T138" s="202" t="str">
        <f t="shared" si="30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-06-11T19:52:48-0600',mode:absolute,to:'2017-06-11T22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204" t="str">
        <f t="shared" si="32"/>
        <v>N</v>
      </c>
      <c r="X138" s="204">
        <f t="shared" si="53"/>
        <v>1</v>
      </c>
      <c r="Y138" s="204">
        <f t="shared" si="50"/>
        <v>23.298999999999999</v>
      </c>
      <c r="Z138" s="204">
        <f t="shared" si="51"/>
        <v>1.72E-2</v>
      </c>
      <c r="AA138" s="204">
        <f t="shared" si="33"/>
        <v>23.2818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4"/>
        <v>0226-11</v>
      </c>
      <c r="AE138" s="80" t="str">
        <f t="shared" si="35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38" s="77" t="str">
        <f t="shared" si="36"/>
        <v>"C:\Program Files (x86)\AstroGrep\AstroGrep.exe" /e /r /s /spath="%USERPROFILE%\AppData\Local\Temp\OnboardLogs" /stypes="app*4019*20170612*" /stext=" 03:.+((SYSTEM_STATE.+slice.+state.+changed )|(ment ac)|(multiple cpu faults)|(system.+state.+changed )|(\[timeout)|(PRM\|1\|D)|(kpr)|(kdp)|(train st.+moving)|(\|lc)|(penalty))"</v>
      </c>
      <c r="AG138" s="1" t="str">
        <f t="shared" si="37"/>
        <v>EC</v>
      </c>
      <c r="AH138" s="81" t="str">
        <f t="shared" si="38"/>
        <v>"%USERPROFILE%\Documents\GitHub\eaglep3\Utilities\RefineRTDCRunTimes.py" --tripid 226-11 --locoid 4019 --swversion DE.1.0.9.0 --startMP 204:232990 --initTime 2017-06-11T20:52:48 --startdatetime 2017-06-11T20:57:59 --delay 1 --endMP 204:172 --enddatetime 2017-06-11T21:37:50 --enforcementcount 0 &gt;&gt;C:\Users\stu\Documents\GitHub\eaglep3-reporting\EC\2017-06-11-refined-times.txt</v>
      </c>
      <c r="AI138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{"issue":{"subject":"","project_id":79,"tracker_id":40,"status_id":1,"priority_id":2,"assigned_to_id":23,"start_date":"2017-06-11","description":"","custom_fields":[{"id":1,"name":"Subdivision","value":"EC"},{"id":4,"name":"Milepost","value":"0.0172"},{"id":17,"name":"Train ID","value":"226-11"},{"id":16,"name":"Locomotive ID","value":"4019"},{"id":130,"name":"Impact","value":""},{"id":150,"name":"Time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0"/>
        <v>start /low /b %USERPROFILE%\Documents\GitHub\eaglep3\Utilities\DownloadLogsFromS3.py --loco 4019 --day 2017-06-11</v>
      </c>
      <c r="AN138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800</v>
      </c>
      <c r="B139" s="7">
        <v>4002</v>
      </c>
      <c r="C139" s="21" t="s">
        <v>204</v>
      </c>
      <c r="D139" s="21" t="s">
        <v>358</v>
      </c>
      <c r="E139" s="13">
        <v>42897.841273148151</v>
      </c>
      <c r="F139" s="13">
        <v>42897.854421296295</v>
      </c>
      <c r="G139" s="7">
        <v>1</v>
      </c>
      <c r="H139" s="21" t="s">
        <v>523</v>
      </c>
      <c r="I139" s="13">
        <v>42897.88040509259</v>
      </c>
      <c r="J139" s="7">
        <v>0</v>
      </c>
      <c r="K139" s="92" t="str">
        <f t="shared" si="26"/>
        <v>4001/4002</v>
      </c>
      <c r="L139" s="21" t="str">
        <f>VLOOKUP(A139,'Trips&amp;Operators'!$C$1:$G$99999,5,FALSE)</f>
        <v>HAITHCOX MICHAEL</v>
      </c>
      <c r="M139" s="6">
        <f t="shared" si="27"/>
        <v>2.5983796294895001E-2</v>
      </c>
      <c r="N139" s="7">
        <f t="shared" si="28"/>
        <v>37.416666664648801</v>
      </c>
      <c r="O139" s="7"/>
      <c r="P139" s="7"/>
      <c r="Q139" s="22"/>
      <c r="R139" s="173"/>
      <c r="S139" s="176">
        <f t="shared" si="29"/>
        <v>1</v>
      </c>
      <c r="T139" s="202" t="str">
        <f t="shared" si="30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-06-11T19:11:26-0600',mode:absolute,to:'2017-06-11T22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9" s="204" t="str">
        <f t="shared" si="32"/>
        <v>N</v>
      </c>
      <c r="X139" s="204">
        <f t="shared" si="53"/>
        <v>1</v>
      </c>
      <c r="Y139" s="204">
        <f t="shared" si="50"/>
        <v>4.53E-2</v>
      </c>
      <c r="Z139" s="204">
        <f t="shared" si="51"/>
        <v>23.329499999999999</v>
      </c>
      <c r="AA139" s="204">
        <f t="shared" si="33"/>
        <v>23.284199999999998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4"/>
        <v>0227-11</v>
      </c>
      <c r="AE139" s="80" t="str">
        <f t="shared" si="35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139" s="77" t="str">
        <f t="shared" si="36"/>
        <v>"C:\Program Files (x86)\AstroGrep\AstroGrep.exe" /e /r /s /spath="%USERPROFILE%\AppData\Local\Temp\OnboardLogs" /stypes="app*4002*20170612*" /stext=" 03:.+((SYSTEM_STATE.+slice.+state.+changed )|(ment ac)|(multiple cpu faults)|(system.+state.+changed )|(\[timeout)|(PRM\|1\|D)|(kpr)|(kdp)|(train st.+moving)|(\|lc)|(penalty))"</v>
      </c>
      <c r="AG139" s="1" t="str">
        <f t="shared" si="37"/>
        <v>EC</v>
      </c>
      <c r="AH139" s="81" t="str">
        <f t="shared" si="38"/>
        <v>"%USERPROFILE%\Documents\GitHub\eaglep3\Utilities\RefineRTDCRunTimes.py" --tripid 227-11 --locoid 4002 --swversion DE.1.0.9.0 --startMP 204:453 --initTime 2017-06-11T20:11:26 --startdatetime 2017-06-11T20:30:22 --delay 1 --endMP 204:233295 --enddatetime 2017-06-11T21:07:47 --enforcementcount 0 &gt;&gt;C:\Users\stu\Documents\GitHub\eaglep3-reporting\EC\2017-06-11-refined-times.txt</v>
      </c>
      <c r="AI139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{"issue":{"subject":"","project_id":79,"tracker_id":40,"status_id":1,"priority_id":2,"assigned_to_id":23,"start_date":"2017-06-11","description":"","custom_fields":[{"id":1,"name":"Subdivision","value":"EC"},{"id":4,"name":"Milepost","value":"23.3295"},{"id":17,"name":"Train ID","value":"227-11"},{"id":16,"name":"Locomotive ID","value":"4002"},{"id":130,"name":"Impact","value":""},{"id":150,"name":"Time of Event (Mountain Time)","value":"21:07:47"},{"id":151,"name":"Denver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0"/>
        <v>start /low /b %USERPROFILE%\Documents\GitHub\eaglep3\Utilities\DownloadLogsFromS3.py --loco 4002 --day 2017-06-11</v>
      </c>
      <c r="AN139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03:07:47"},{"id":29,"name":"Sharepoint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806</v>
      </c>
      <c r="B140" s="7">
        <v>4001</v>
      </c>
      <c r="C140" s="21" t="s">
        <v>204</v>
      </c>
      <c r="D140" s="21" t="s">
        <v>867</v>
      </c>
      <c r="E140" s="13">
        <v>42897.88652777778</v>
      </c>
      <c r="F140" s="13">
        <v>42897.893946759257</v>
      </c>
      <c r="G140" s="7">
        <v>0</v>
      </c>
      <c r="H140" s="21" t="s">
        <v>427</v>
      </c>
      <c r="I140" s="13">
        <v>42897.9215625</v>
      </c>
      <c r="J140" s="7">
        <v>0</v>
      </c>
      <c r="K140" s="92" t="str">
        <f t="shared" si="26"/>
        <v>4001/4002</v>
      </c>
      <c r="L140" s="21" t="str">
        <f>VLOOKUP(A140,'Trips&amp;Operators'!$C$1:$G$99999,5,FALSE)</f>
        <v>HAITHCOX MICHAEL</v>
      </c>
      <c r="M140" s="6">
        <f t="shared" si="27"/>
        <v>2.7615740742476191E-2</v>
      </c>
      <c r="N140" s="7">
        <f t="shared" si="28"/>
        <v>39.766666669165716</v>
      </c>
      <c r="O140" s="7"/>
      <c r="P140" s="7"/>
      <c r="Q140" s="22"/>
      <c r="R140" s="173"/>
      <c r="S140" s="176">
        <f t="shared" si="29"/>
        <v>1</v>
      </c>
      <c r="T140" s="202" t="str">
        <f t="shared" si="30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-06-11T20:16:36-0600',mode:absolute,to:'2017-06-11T23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0" s="204" t="str">
        <f t="shared" si="32"/>
        <v>N</v>
      </c>
      <c r="X140" s="204">
        <f t="shared" si="53"/>
        <v>1</v>
      </c>
      <c r="Y140" s="204">
        <f t="shared" si="50"/>
        <v>23.297499999999999</v>
      </c>
      <c r="Z140" s="204">
        <f t="shared" si="51"/>
        <v>1.4500000000000001E-2</v>
      </c>
      <c r="AA140" s="204">
        <f t="shared" si="33"/>
        <v>23.282999999999998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4"/>
        <v>0228-11</v>
      </c>
      <c r="AE140" s="80" t="str">
        <f t="shared" si="35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140" s="77" t="str">
        <f t="shared" si="36"/>
        <v>"C:\Program Files (x86)\AstroGrep\AstroGrep.exe" /e /r /s /spath="%USERPROFILE%\AppData\Local\Temp\OnboardLogs" /stypes="app*4001*20170612*" /stext=" 04:.+((SYSTEM_STATE.+slice.+state.+changed )|(ment ac)|(multiple cpu faults)|(system.+state.+changed )|(\[timeout)|(PRM\|1\|D)|(kpr)|(kdp)|(train st.+moving)|(\|lc)|(penalty))"</v>
      </c>
      <c r="AG140" s="1" t="str">
        <f t="shared" si="37"/>
        <v>EC</v>
      </c>
      <c r="AH140" s="81" t="str">
        <f t="shared" si="38"/>
        <v>"%USERPROFILE%\Documents\GitHub\eaglep3\Utilities\RefineRTDCRunTimes.py" --tripid 228-11 --locoid 4001 --swversion DE.1.0.9.0 --startMP 204:232975 --initTime 2017-06-11T21:16:36 --startdatetime 2017-06-11T21:27:17 --delay 0 --endMP 204:145 --enddatetime 2017-06-11T22:07:03 --enforcementcount 0 &gt;&gt;C:\Users\stu\Documents\GitHub\eaglep3-reporting\EC\2017-06-11-refined-times.txt</v>
      </c>
      <c r="AI140" s="99" t="str">
        <f t="shared" si="39"/>
        <v>echo {"issue":{"subject":"","project_id":79,"tracker_id":40,"status_id":1,"priority_id":2,"assigned_to_id":23,"start_date":"2017-06-11","description":"","custom_fields":[{"id":1,"name":"Subdivision","value":"EC"},{"id":4,"name":"Milepost","value":"0.0145"},{"id":17,"name":"Train ID","value":"228-11"},{"id":16,"name":"Locomotive ID","value":"4001"},{"id":130,"name":"Impact","value":""},{"id":150,"name":"Time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0"/>
        <v>start /low /b %USERPROFILE%\Documents\GitHub\eaglep3\Utilities\DownloadLogsFromS3.py --loco 4001 --day 2017-06-11</v>
      </c>
      <c r="AN140" s="154" t="str">
        <f t="shared" si="4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04:07:03"},{"id":29,"name":"Sharepoint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803</v>
      </c>
      <c r="B141" s="7">
        <v>4042</v>
      </c>
      <c r="C141" s="21" t="s">
        <v>204</v>
      </c>
      <c r="D141" s="21" t="s">
        <v>467</v>
      </c>
      <c r="E141" s="13">
        <v>42897.859027777777</v>
      </c>
      <c r="F141" s="13">
        <v>42897.875347222223</v>
      </c>
      <c r="G141" s="7">
        <v>1</v>
      </c>
      <c r="H141" s="21" t="s">
        <v>930</v>
      </c>
      <c r="I141" s="13">
        <v>42897.900752314818</v>
      </c>
      <c r="J141" s="7">
        <v>0</v>
      </c>
      <c r="K141" s="92" t="str">
        <f t="shared" ref="K141:K204" si="54">IF(ISEVEN(B141),(B141-1)&amp;"/"&amp;B141,B141&amp;"/"&amp;(B141+1))</f>
        <v>4041/4042</v>
      </c>
      <c r="L141" s="21" t="str">
        <f>VLOOKUP(A141,'Trips&amp;Operators'!$C$1:$G$99999,5,FALSE)</f>
        <v>STAMBAUGH JAMES</v>
      </c>
      <c r="M141" s="6">
        <f t="shared" ref="M141:M204" si="55">I141-F141</f>
        <v>2.5405092594155576E-2</v>
      </c>
      <c r="N141" s="7">
        <f t="shared" ref="N141:N204" si="56">24*60*SUM($M141:$M141)</f>
        <v>36.58333333558403</v>
      </c>
      <c r="O141" s="7"/>
      <c r="P141" s="7"/>
      <c r="Q141" s="22"/>
      <c r="R141" s="173"/>
      <c r="S141" s="176">
        <f t="shared" ref="S141:S204" si="57">SUM(U141:U141)/IF(AG141="EC",12,1)</f>
        <v>1</v>
      </c>
      <c r="T141" s="202" t="str">
        <f t="shared" ref="T141:T204" si="58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-11T19:37:00-0600',mode:absolute,to:'2017-06-11T22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204" t="str">
        <f t="shared" ref="W141:W204" si="60">IF(AA141&lt;IF(AG141="EC",23,5.65),"Y","N")</f>
        <v>N</v>
      </c>
      <c r="X141" s="204">
        <f t="shared" si="53"/>
        <v>1</v>
      </c>
      <c r="Y141" s="204">
        <f t="shared" si="50"/>
        <v>4.3700000000000003E-2</v>
      </c>
      <c r="Z141" s="204">
        <f t="shared" si="51"/>
        <v>23.343499999999999</v>
      </c>
      <c r="AA141" s="204">
        <f t="shared" ref="AA141:AA204" si="61">ABS(Z141-Y141)</f>
        <v>23.299799999999998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2">IF(LEN(A141)=6,"0"&amp;A141,A141)</f>
        <v>0229-11</v>
      </c>
      <c r="AE141" s="80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141" s="77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/stypes="app*4042*20170612*"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1" t="str">
        <f t="shared" ref="AH141:AH202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229-11 --locoid 4042 --swversion DE.1.0.9.0 --startMP 204:437 --initTime 2017-06-11T20:37:00 --startdatetime 2017-06-11T21:00:30 --delay 1 --endMP 204:233435 --enddatetime 2017-06-11T21:37:05 --enforcementcount 0 &gt;&gt;C:\Users\stu\Documents\GitHub\eaglep3-reporting\EC\2017-06-11-refined-times.txt</v>
      </c>
      <c r="AI141" s="99" t="str">
        <f t="shared" ref="AI141:AI202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{"issue":{"subject":"","project_id":79,"tracker_id":40,"status_id":1,"priority_id":2,"assigned_to_id":23,"start_date":"2017-06-11","description":"","custom_fields":[{"id":1,"name":"Subdivision","value":"EC"},{"id":4,"name":"Milepost","value":"23.3435"},{"id":17,"name":"Train ID","value":"229-11"},{"id":16,"name":"Locomotive ID","value":"4042"},{"id":130,"name":"Impact","value":""},{"id":150,"name":"Time of Event (Mountain Time)","value":"21:37:05"},{"id":151,"name":"Denver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2" si="68">"start /low /b "&amp;dls3logs&amp;" --loco "&amp;B141&amp;" --day "&amp;TEXT(F141,"YYYY-MM-DD")</f>
        <v>start /low /b %USERPROFILE%\Documents\GitHub\eaglep3\Utilities\DownloadLogsFromS3.py --loco 4042 --day 2017-06-11</v>
      </c>
      <c r="AN141" s="154" t="str">
        <f t="shared" ref="AN141:AN202" si="6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648</v>
      </c>
      <c r="B142" s="7">
        <v>4041</v>
      </c>
      <c r="C142" s="21" t="s">
        <v>204</v>
      </c>
      <c r="D142" s="21" t="s">
        <v>931</v>
      </c>
      <c r="E142" s="13">
        <v>42897.912604166668</v>
      </c>
      <c r="F142" s="13">
        <v>42897.915219907409</v>
      </c>
      <c r="G142" s="7">
        <v>1</v>
      </c>
      <c r="H142" s="21" t="s">
        <v>932</v>
      </c>
      <c r="I142" s="13">
        <v>42897.941331018519</v>
      </c>
      <c r="J142" s="7">
        <v>0</v>
      </c>
      <c r="K142" s="92" t="str">
        <f t="shared" si="54"/>
        <v>4041/4042</v>
      </c>
      <c r="L142" s="21" t="str">
        <f>VLOOKUP(A142,'Trips&amp;Operators'!$C$1:$G$99999,5,FALSE)</f>
        <v>STAMBAUGH JAMES</v>
      </c>
      <c r="M142" s="6">
        <f t="shared" si="55"/>
        <v>2.6111111110367347E-2</v>
      </c>
      <c r="N142" s="7">
        <f t="shared" si="56"/>
        <v>37.599999998928979</v>
      </c>
      <c r="O142" s="7"/>
      <c r="P142" s="7"/>
      <c r="Q142" s="22"/>
      <c r="R142" s="173"/>
      <c r="S142" s="176">
        <f t="shared" si="57"/>
        <v>1</v>
      </c>
      <c r="T142" s="202" t="str">
        <f t="shared" si="58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9"/>
        <v>https://d0f6bd738d7f1b3e5a7ca70fe4ff75f0.us-east-1.aws.found.io/app/kibana#/discover/Steve-Slow-Train-Analysis-(2080s-and-2083s)?_g=(refreshInterval:(display:Off,pause:!f,section:0,value:0),time:(from:'2017-06-11T20:54:09-0600',mode:absolute,to:'2017-06-11T23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204" t="str">
        <f t="shared" si="60"/>
        <v>N</v>
      </c>
      <c r="X142" s="204">
        <f t="shared" si="53"/>
        <v>1</v>
      </c>
      <c r="Y142" s="204">
        <f t="shared" si="50"/>
        <v>23.314</v>
      </c>
      <c r="Z142" s="204">
        <f t="shared" si="51"/>
        <v>1.1599999999999999E-2</v>
      </c>
      <c r="AA142" s="204">
        <f t="shared" si="61"/>
        <v>23.302399999999999</v>
      </c>
      <c r="AB142" s="57" t="str">
        <f>VLOOKUP(A142,Enforcements!$C$7:$K$13,8,0)</f>
        <v>Bulletin (2)</v>
      </c>
      <c r="AC142" s="53" t="str">
        <f>VLOOKUP(A142,Enforcements!$C$7:$E$13,3,0)</f>
        <v>GRADE CROSSING</v>
      </c>
      <c r="AD142" s="54" t="str">
        <f t="shared" si="62"/>
        <v>0230-11</v>
      </c>
      <c r="AE142" s="80" t="str">
        <f t="shared" si="63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142" s="77" t="str">
        <f t="shared" si="64"/>
        <v>"C:\Program Files (x86)\AstroGrep\AstroGrep.exe" /e /r /s /spath="%USERPROFILE%\AppData\Local\Temp\OnboardLogs" /stypes="app*4041*20170612*" /stext=" 04:.+((SYSTEM_STATE.+slice.+state.+changed )|(ment ac)|(multiple cpu faults)|(system.+state.+changed )|(\[timeout)|(PRM\|1\|D)|(kpr)|(kdp)|(train st.+moving)|(\|lc)|(penalty))"</v>
      </c>
      <c r="AG142" s="1" t="str">
        <f t="shared" si="65"/>
        <v>EC</v>
      </c>
      <c r="AH142" s="81" t="str">
        <f t="shared" si="66"/>
        <v>"%USERPROFILE%\Documents\GitHub\eaglep3\Utilities\RefineRTDCRunTimes.py" --tripid 230-11 --locoid 4041 --swversion DE.1.0.9.0 --startMP 204:233140 --initTime 2017-06-11T21:54:09 --startdatetime 2017-06-11T21:57:55 --delay 1 --endMP 204:116 --enddatetime 2017-06-11T22:35:31 --enforcementcount 0 &gt;&gt;C:\Users\stu\Documents\GitHub\eaglep3-reporting\EC\2017-06-11-refined-times.txt</v>
      </c>
      <c r="AI142" s="99" t="str">
        <f t="shared" si="67"/>
        <v>echo {"issue":{"subject":"","project_id":79,"tracker_id":40,"status_id":1,"priority_id":2,"assigned_to_id":23,"start_date":"2017-06-11","description":"","custom_fields":[{"id":1,"name":"Subdivision","value":"EC"},{"id":4,"name":"Milepost","value":"0.0116"},{"id":17,"name":"Train ID","value":"230-11"},{"id":16,"name":"Locomotive ID","value":"4041"},{"id":130,"name":"Impact","value":""},{"id":150,"name":"Time of Event (Mountain Time)","value":"22:35:31"},{"id":151,"name":"Denver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8"/>
        <v>start /low /b %USERPROFILE%\Documents\GitHub\eaglep3\Utilities\DownloadLogsFromS3.py --loco 4041 --day 2017-06-11</v>
      </c>
      <c r="AN142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805</v>
      </c>
      <c r="B143" s="7">
        <v>4054</v>
      </c>
      <c r="C143" s="21" t="s">
        <v>204</v>
      </c>
      <c r="D143" s="21" t="s">
        <v>613</v>
      </c>
      <c r="E143" s="13">
        <v>42897.880324074074</v>
      </c>
      <c r="F143" s="13">
        <v>42897.896087962959</v>
      </c>
      <c r="G143" s="7">
        <v>2</v>
      </c>
      <c r="H143" s="21" t="s">
        <v>511</v>
      </c>
      <c r="I143" s="13">
        <v>42897.921932870369</v>
      </c>
      <c r="J143" s="7">
        <v>0</v>
      </c>
      <c r="K143" s="92" t="str">
        <f t="shared" si="54"/>
        <v>4053/4054</v>
      </c>
      <c r="L143" s="21" t="str">
        <f>VLOOKUP(A143,'Trips&amp;Operators'!$C$1:$G$99999,5,FALSE)</f>
        <v>SMITH MICHAEL</v>
      </c>
      <c r="M143" s="6">
        <f t="shared" si="55"/>
        <v>2.584490740991896E-2</v>
      </c>
      <c r="N143" s="7">
        <f t="shared" si="56"/>
        <v>37.216666670283303</v>
      </c>
      <c r="O143" s="7"/>
      <c r="P143" s="7"/>
      <c r="Q143" s="22"/>
      <c r="R143" s="173"/>
      <c r="S143" s="176">
        <f t="shared" si="57"/>
        <v>1</v>
      </c>
      <c r="T143" s="202" t="str">
        <f t="shared" si="58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9"/>
        <v>https://d0f6bd738d7f1b3e5a7ca70fe4ff75f0.us-east-1.aws.found.io/app/kibana#/discover/Steve-Slow-Train-Analysis-(2080s-and-2083s)?_g=(refreshInterval:(display:Off,pause:!f,section:0,value:0),time:(from:'2017-06-11T20:07:40-0600',mode:absolute,to:'2017-06-11T23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204" t="str">
        <f t="shared" si="60"/>
        <v>N</v>
      </c>
      <c r="X143" s="204">
        <f t="shared" si="53"/>
        <v>1</v>
      </c>
      <c r="Y143" s="204">
        <f t="shared" si="50"/>
        <v>4.6899999999999997E-2</v>
      </c>
      <c r="Z143" s="204">
        <f t="shared" si="51"/>
        <v>23.33</v>
      </c>
      <c r="AA143" s="204">
        <f t="shared" si="61"/>
        <v>23.283099999999997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2"/>
        <v>0231-11</v>
      </c>
      <c r="AE143" s="80" t="str">
        <f t="shared" si="63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143" s="77" t="str">
        <f t="shared" si="64"/>
        <v>"C:\Program Files (x86)\AstroGrep\AstroGrep.exe" /e /r /s /spath="%USERPROFILE%\AppData\Local\Temp\OnboardLogs" /stypes="app*4054*20170612*" /stext=" 04:.+((SYSTEM_STATE.+slice.+state.+changed )|(ment ac)|(multiple cpu faults)|(system.+state.+changed )|(\[timeout)|(PRM\|1\|D)|(kpr)|(kdp)|(train st.+moving)|(\|lc)|(penalty))"</v>
      </c>
      <c r="AG143" s="1" t="str">
        <f t="shared" si="65"/>
        <v>EC</v>
      </c>
      <c r="AH143" s="81" t="str">
        <f t="shared" si="66"/>
        <v>"%USERPROFILE%\Documents\GitHub\eaglep3\Utilities\RefineRTDCRunTimes.py" --tripid 231-11 --locoid 4054 --swversion DE.1.0.9.0 --startMP 204:469 --initTime 2017-06-11T21:07:40 --startdatetime 2017-06-11T21:30:22 --delay 2 --endMP 204:233300 --enddatetime 2017-06-11T22:07:35 --enforcementcount 0 &gt;&gt;C:\Users\stu\Documents\GitHub\eaglep3-reporting\EC\2017-06-11-refined-times.txt</v>
      </c>
      <c r="AI143" s="99" t="str">
        <f t="shared" si="67"/>
        <v>echo {"issue":{"subject":"","project_id":79,"tracker_id":40,"status_id":1,"priority_id":2,"assigned_to_id":23,"start_date":"2017-06-11","description":"","custom_fields":[{"id":1,"name":"Subdivision","value":"EC"},{"id":4,"name":"Milepost","value":"23.33"},{"id":17,"name":"Train ID","value":"231-11"},{"id":16,"name":"Locomotive ID","value":"4054"},{"id":130,"name":"Impact","value":""},{"id":150,"name":"Time of Event (Mountain Time)","value":"22:07:35"},{"id":151,"name":"Denver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8"/>
        <v>start /low /b %USERPROFILE%\Documents\GitHub\eaglep3\Utilities\DownloadLogsFromS3.py --loco 4054 --day 2017-06-11</v>
      </c>
      <c r="AN143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04:07:35"},{"id":29,"name":"Sharepoint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650</v>
      </c>
      <c r="B144" s="7">
        <v>4053</v>
      </c>
      <c r="C144" s="21" t="s">
        <v>204</v>
      </c>
      <c r="D144" s="21" t="s">
        <v>524</v>
      </c>
      <c r="E144" s="13">
        <v>42897.926458333335</v>
      </c>
      <c r="F144" s="13">
        <v>42897.935925925929</v>
      </c>
      <c r="G144" s="7">
        <v>1</v>
      </c>
      <c r="H144" s="21" t="s">
        <v>400</v>
      </c>
      <c r="I144" s="13">
        <v>42897.96298611111</v>
      </c>
      <c r="J144" s="7">
        <v>0</v>
      </c>
      <c r="K144" s="92" t="str">
        <f t="shared" si="54"/>
        <v>4053/4054</v>
      </c>
      <c r="L144" s="21" t="str">
        <f>VLOOKUP(A144,'Trips&amp;Operators'!$C$1:$G$99999,5,FALSE)</f>
        <v>SMITH MICHAEL</v>
      </c>
      <c r="M144" s="6">
        <f t="shared" si="55"/>
        <v>2.7060185180744156E-2</v>
      </c>
      <c r="N144" s="7">
        <f t="shared" si="56"/>
        <v>38.966666660271585</v>
      </c>
      <c r="O144" s="7"/>
      <c r="P144" s="7"/>
      <c r="Q144" s="22"/>
      <c r="R144" s="173"/>
      <c r="S144" s="176">
        <f t="shared" si="57"/>
        <v>1</v>
      </c>
      <c r="T144" s="202" t="str">
        <f t="shared" si="58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9"/>
        <v>https://d0f6bd738d7f1b3e5a7ca70fe4ff75f0.us-east-1.aws.found.io/app/kibana#/discover/Steve-Slow-Train-Analysis-(2080s-and-2083s)?_g=(refreshInterval:(display:Off,pause:!f,section:0,value:0),time:(from:'2017-06-11T21:14:06-0600',mode:absolute,to:'2017-06-12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04" t="str">
        <f t="shared" si="60"/>
        <v>N</v>
      </c>
      <c r="X144" s="204">
        <f t="shared" si="53"/>
        <v>1</v>
      </c>
      <c r="Y144" s="204">
        <f t="shared" si="50"/>
        <v>23.2987</v>
      </c>
      <c r="Z144" s="204">
        <f t="shared" si="51"/>
        <v>1.54E-2</v>
      </c>
      <c r="AA144" s="204">
        <f t="shared" si="61"/>
        <v>23.283300000000001</v>
      </c>
      <c r="AB144" s="57" t="str">
        <f>VLOOKUP(A144,Enforcements!$C$7:$K$13,8,0)</f>
        <v>Bulletin (2)</v>
      </c>
      <c r="AC144" s="53" t="str">
        <f>VLOOKUP(A144,Enforcements!$C$7:$E$13,3,0)</f>
        <v>GRADE CROSSING</v>
      </c>
      <c r="AD144" s="54" t="str">
        <f t="shared" si="62"/>
        <v>0232-11</v>
      </c>
      <c r="AE144" s="80" t="str">
        <f t="shared" si="63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144" s="77" t="str">
        <f t="shared" si="64"/>
        <v>"C:\Program Files (x86)\AstroGrep\AstroGrep.exe" /e /r /s /spath="%USERPROFILE%\AppData\Local\Temp\OnboardLogs" /stypes="app*4053*20170612*" /stext=" 05:.+((SYSTEM_STATE.+slice.+state.+changed )|(ment ac)|(multiple cpu faults)|(system.+state.+changed )|(\[timeout)|(PRM\|1\|D)|(kpr)|(kdp)|(train st.+moving)|(\|lc)|(penalty))"</v>
      </c>
      <c r="AG144" s="1" t="str">
        <f t="shared" si="65"/>
        <v>EC</v>
      </c>
      <c r="AH144" s="81" t="str">
        <f t="shared" si="66"/>
        <v>"%USERPROFILE%\Documents\GitHub\eaglep3\Utilities\RefineRTDCRunTimes.py" --tripid 232-11 --locoid 4053 --swversion DE.1.0.9.0 --startMP 204:232987 --initTime 2017-06-11T22:14:06 --startdatetime 2017-06-11T22:27:44 --delay 1 --endMP 204:154 --enddatetime 2017-06-11T23:06:42 --enforcementcount 0 &gt;&gt;C:\Users\stu\Documents\GitHub\eaglep3-reporting\EC\2017-06-11-refined-times.txt</v>
      </c>
      <c r="AI144" s="99" t="str">
        <f t="shared" si="67"/>
        <v>echo {"issue":{"subject":"","project_id":79,"tracker_id":40,"status_id":1,"priority_id":2,"assigned_to_id":23,"start_date":"2017-06-11","description":"","custom_fields":[{"id":1,"name":"Subdivision","value":"EC"},{"id":4,"name":"Milepost","value":"0.0154"},{"id":17,"name":"Train ID","value":"232-11"},{"id":16,"name":"Locomotive ID","value":"4053"},{"id":130,"name":"Impact","value":""},{"id":150,"name":"Time of Event (Mountain Time)","value":"23:06:42"},{"id":151,"name":"Denver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8"/>
        <v>start /low /b %USERPROFILE%\Documents\GitHub\eaglep3\Utilities\DownloadLogsFromS3.py --loco 4053 --day 2017-06-11</v>
      </c>
      <c r="AN144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809</v>
      </c>
      <c r="B145" s="7">
        <v>4020</v>
      </c>
      <c r="C145" s="21" t="s">
        <v>204</v>
      </c>
      <c r="D145" s="21" t="s">
        <v>354</v>
      </c>
      <c r="E145" s="13">
        <v>42897.905324074076</v>
      </c>
      <c r="F145" s="13">
        <v>42898.000347222223</v>
      </c>
      <c r="G145" s="7">
        <v>1</v>
      </c>
      <c r="H145" s="21" t="s">
        <v>512</v>
      </c>
      <c r="I145" s="13">
        <v>42898.027905092589</v>
      </c>
      <c r="J145" s="7">
        <v>0</v>
      </c>
      <c r="K145" s="92" t="str">
        <f t="shared" si="54"/>
        <v>4019/4020</v>
      </c>
      <c r="L145" s="21" t="str">
        <f>VLOOKUP(A145,'Trips&amp;Operators'!$C$1:$G$99999,5,FALSE)</f>
        <v>ZEWDU DEREJE</v>
      </c>
      <c r="M145" s="6">
        <f t="shared" si="55"/>
        <v>2.7557870365853887E-2</v>
      </c>
      <c r="N145" s="7">
        <f t="shared" si="56"/>
        <v>39.683333326829597</v>
      </c>
      <c r="O145" s="7"/>
      <c r="P145" s="7"/>
      <c r="Q145" s="22"/>
      <c r="R145" s="173"/>
      <c r="S145" s="176">
        <f t="shared" si="57"/>
        <v>1</v>
      </c>
      <c r="T145" s="202" t="str">
        <f t="shared" si="58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9"/>
        <v>https://d0f6bd738d7f1b3e5a7ca70fe4ff75f0.us-east-1.aws.found.io/app/kibana#/discover/Steve-Slow-Train-Analysis-(2080s-and-2083s)?_g=(refreshInterval:(display:Off,pause:!f,section:0,value:0),time:(from:'2017-06-11T20:43:40-0600',mode:absolute,to:'2017-06-12T01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204" t="str">
        <f t="shared" si="60"/>
        <v>N</v>
      </c>
      <c r="X145" s="204">
        <f t="shared" si="53"/>
        <v>1</v>
      </c>
      <c r="Y145" s="204">
        <f t="shared" si="50"/>
        <v>4.6600000000000003E-2</v>
      </c>
      <c r="Z145" s="204">
        <f t="shared" si="51"/>
        <v>23.3291</v>
      </c>
      <c r="AA145" s="204">
        <f t="shared" si="61"/>
        <v>23.282499999999999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2"/>
        <v>0233-11</v>
      </c>
      <c r="AE145" s="80" t="str">
        <f t="shared" si="63"/>
        <v>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 &amp; 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</v>
      </c>
      <c r="AF145" s="77" t="str">
        <f t="shared" si="64"/>
        <v>"C:\Program Files (x86)\AstroGrep\AstroGrep.exe" /e /r /s /spath="%USERPROFILE%\AppData\Local\Temp\OnboardLogs" /stypes="app*4020*20170612*" /stext=" 06:.+((SYSTEM_STATE.+slice.+state.+changed )|(ment ac)|(multiple cpu faults)|(system.+state.+changed )|(\[timeout)|(PRM\|1\|D)|(kpr)|(kdp)|(train st.+moving)|(\|lc)|(penalty))"</v>
      </c>
      <c r="AG145" s="1" t="str">
        <f t="shared" si="65"/>
        <v>EC</v>
      </c>
      <c r="AH145" s="81" t="str">
        <f t="shared" si="66"/>
        <v>"%USERPROFILE%\Documents\GitHub\eaglep3\Utilities\RefineRTDCRunTimes.py" --tripid 233-11 --locoid 4020 --swversion DE.1.0.9.0 --startMP 204:466 --initTime 2017-06-11T21:43:40 --startdatetime 2017-06-12T00:00:30 --delay 1 --endMP 204:233291 --enddatetime 2017-06-12T00:40:11 --enforcementcount 0 &gt;&gt;C:\Users\stu\Documents\GitHub\eaglep3-reporting\EC\2017-06-11-refined-times.txt</v>
      </c>
      <c r="AI145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{"issue":{"subject":"","project_id":79,"tracker_id":40,"status_id":1,"priority_id":2,"assigned_to_id":23,"start_date":"2017-06-12","description":"","custom_fields":[{"id":1,"name":"Subdivision","value":"EC"},{"id":4,"name":"Milepost","value":"23.3291"},{"id":17,"name":"Train ID","value":"233-11"},{"id":16,"name":"Locomotive ID","value":"4020"},{"id":130,"name":"Impact","value":""},{"id":150,"name":"Time of Event (Mountain Time)","value":"00:40:11"},{"id":151,"name":"Denver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8"/>
        <v>start /low /b %USERPROFILE%\Documents\GitHub\eaglep3\Utilities\DownloadLogsFromS3.py --loco 4020 --day 2017-06-12</v>
      </c>
      <c r="AN145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06:40:11"},{"id":29,"name":"Sharepoint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813</v>
      </c>
      <c r="B146" s="7">
        <v>4019</v>
      </c>
      <c r="C146" s="21" t="s">
        <v>204</v>
      </c>
      <c r="D146" s="21" t="s">
        <v>471</v>
      </c>
      <c r="E146" s="13">
        <v>42897.952465277776</v>
      </c>
      <c r="F146" s="13">
        <v>42897.956493055557</v>
      </c>
      <c r="G146" s="7">
        <v>1</v>
      </c>
      <c r="H146" s="21" t="s">
        <v>933</v>
      </c>
      <c r="I146" s="13">
        <v>42897.984837962962</v>
      </c>
      <c r="J146" s="7">
        <v>0</v>
      </c>
      <c r="K146" s="92" t="str">
        <f t="shared" si="54"/>
        <v>4019/4020</v>
      </c>
      <c r="L146" s="21" t="str">
        <f>VLOOKUP(A146,'Trips&amp;Operators'!$C$1:$G$99999,5,FALSE)</f>
        <v>ZEWDU DEREJE</v>
      </c>
      <c r="M146" s="6">
        <f t="shared" si="55"/>
        <v>2.8344907404971309E-2</v>
      </c>
      <c r="N146" s="7">
        <f t="shared" si="56"/>
        <v>40.816666663158685</v>
      </c>
      <c r="O146" s="7"/>
      <c r="P146" s="7"/>
      <c r="Q146" s="22"/>
      <c r="R146" s="173"/>
      <c r="S146" s="176">
        <f t="shared" si="57"/>
        <v>1</v>
      </c>
      <c r="T146" s="202" t="str">
        <f t="shared" si="58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9"/>
        <v>https://d0f6bd738d7f1b3e5a7ca70fe4ff75f0.us-east-1.aws.found.io/app/kibana#/discover/Steve-Slow-Train-Analysis-(2080s-and-2083s)?_g=(refreshInterval:(display:Off,pause:!f,section:0,value:0),time:(from:'2017-06-11T21:51:33-0600',mode:absolute,to:'2017-06-12T00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204" t="str">
        <f t="shared" si="60"/>
        <v>N</v>
      </c>
      <c r="X146" s="204">
        <f t="shared" si="53"/>
        <v>1</v>
      </c>
      <c r="Y146" s="204">
        <f t="shared" si="50"/>
        <v>23.2989</v>
      </c>
      <c r="Z146" s="204">
        <f t="shared" si="51"/>
        <v>1.6500000000000001E-2</v>
      </c>
      <c r="AA146" s="204">
        <f t="shared" si="61"/>
        <v>23.282399999999999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2"/>
        <v>0234-11</v>
      </c>
      <c r="AE146" s="80" t="str">
        <f t="shared" si="63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46" s="77" t="str">
        <f t="shared" si="64"/>
        <v>"C:\Program Files (x86)\AstroGrep\AstroGrep.exe" /e /r /s /spath="%USERPROFILE%\AppData\Local\Temp\OnboardLogs" /stypes="app*4019*20170612*" /stext=" 05:.+((SYSTEM_STATE.+slice.+state.+changed )|(ment ac)|(multiple cpu faults)|(system.+state.+changed )|(\[timeout)|(PRM\|1\|D)|(kpr)|(kdp)|(train st.+moving)|(\|lc)|(penalty))"</v>
      </c>
      <c r="AG146" s="1" t="str">
        <f t="shared" si="65"/>
        <v>EC</v>
      </c>
      <c r="AH146" s="81" t="str">
        <f t="shared" si="66"/>
        <v>"%USERPROFILE%\Documents\GitHub\eaglep3\Utilities\RefineRTDCRunTimes.py" --tripid 234-11 --locoid 4019 --swversion DE.1.0.9.0 --startMP 204:232989 --initTime 2017-06-11T22:51:33 --startdatetime 2017-06-11T22:57:21 --delay 1 --endMP 204:165 --enddatetime 2017-06-11T23:38:10 --enforcementcount 0 &gt;&gt;C:\Users\stu\Documents\GitHub\eaglep3-reporting\EC\2017-06-11-refined-times.txt</v>
      </c>
      <c r="AI146" s="99" t="str">
        <f t="shared" si="67"/>
        <v>echo {"issue":{"subject":"","project_id":79,"tracker_id":40,"status_id":1,"priority_id":2,"assigned_to_id":23,"start_date":"2017-06-11","description":"","custom_fields":[{"id":1,"name":"Subdivision","value":"EC"},{"id":4,"name":"Milepost","value":"0.0165"},{"id":17,"name":"Train ID","value":"234-11"},{"id":16,"name":"Locomotive ID","value":"4019"},{"id":130,"name":"Impact","value":""},{"id":150,"name":"Time of Event (Mountain Time)","value":"23:38:10"},{"id":151,"name":"Denver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8"/>
        <v>start /low /b %USERPROFILE%\Documents\GitHub\eaglep3\Utilities\DownloadLogsFromS3.py --loco 4019 --day 2017-06-11</v>
      </c>
      <c r="AN146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05:38:10"},{"id":29,"name":"Sharepoint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810</v>
      </c>
      <c r="B147" s="7">
        <v>4002</v>
      </c>
      <c r="C147" s="21" t="s">
        <v>204</v>
      </c>
      <c r="D147" s="21" t="s">
        <v>354</v>
      </c>
      <c r="E147" s="13">
        <v>42897.92355324074</v>
      </c>
      <c r="F147" s="13">
        <v>42897.938009259262</v>
      </c>
      <c r="G147" s="7">
        <v>1</v>
      </c>
      <c r="H147" s="21" t="s">
        <v>397</v>
      </c>
      <c r="I147" s="13">
        <v>42897.963402777779</v>
      </c>
      <c r="J147" s="7">
        <v>0</v>
      </c>
      <c r="K147" s="92" t="str">
        <f t="shared" si="54"/>
        <v>4001/4002</v>
      </c>
      <c r="L147" s="21" t="str">
        <f>VLOOKUP(A147,'Trips&amp;Operators'!$C$1:$G$99999,5,FALSE)</f>
        <v>HAITHCOX MICHAEL</v>
      </c>
      <c r="M147" s="6">
        <f t="shared" si="55"/>
        <v>2.5393518517375924E-2</v>
      </c>
      <c r="N147" s="7">
        <f t="shared" si="56"/>
        <v>36.56666666502133</v>
      </c>
      <c r="O147" s="7"/>
      <c r="P147" s="7"/>
      <c r="Q147" s="22"/>
      <c r="R147" s="173"/>
      <c r="S147" s="176">
        <f t="shared" si="57"/>
        <v>1</v>
      </c>
      <c r="T147" s="202" t="str">
        <f t="shared" si="58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9"/>
        <v>https://d0f6bd738d7f1b3e5a7ca70fe4ff75f0.us-east-1.aws.found.io/app/kibana#/discover/Steve-Slow-Train-Analysis-(2080s-and-2083s)?_g=(refreshInterval:(display:Off,pause:!f,section:0,value:0),time:(from:'2017-06-11T21:09:55-0600',mode:absolute,to:'2017-06-12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7" s="204" t="str">
        <f t="shared" si="60"/>
        <v>N</v>
      </c>
      <c r="X147" s="204">
        <f t="shared" si="53"/>
        <v>1</v>
      </c>
      <c r="Y147" s="204">
        <f t="shared" ref="Y147:Y178" si="70">RIGHT(D147,LEN(D147)-4)/10000</f>
        <v>4.6600000000000003E-2</v>
      </c>
      <c r="Z147" s="204">
        <f t="shared" ref="Z147:Z178" si="71">RIGHT(H147,LEN(H147)-4)/10000</f>
        <v>23.3293</v>
      </c>
      <c r="AA147" s="204">
        <f t="shared" si="61"/>
        <v>23.282699999999998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2"/>
        <v>0235-11</v>
      </c>
      <c r="AE147" s="80" t="str">
        <f t="shared" si="63"/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AF147" s="77" t="str">
        <f t="shared" si="64"/>
        <v>"C:\Program Files (x86)\AstroGrep\AstroGrep.exe" /e /r /s /spath="%USERPROFILE%\AppData\Local\Temp\OnboardLogs" /stypes="app*4002*20170612*" /stext=" 05:.+((SYSTEM_STATE.+slice.+state.+changed )|(ment ac)|(multiple cpu faults)|(system.+state.+changed )|(\[timeout)|(PRM\|1\|D)|(kpr)|(kdp)|(train st.+moving)|(\|lc)|(penalty))"</v>
      </c>
      <c r="AG147" s="1" t="str">
        <f t="shared" si="65"/>
        <v>EC</v>
      </c>
      <c r="AH147" s="81" t="str">
        <f t="shared" si="66"/>
        <v>"%USERPROFILE%\Documents\GitHub\eaglep3\Utilities\RefineRTDCRunTimes.py" --tripid 235-11 --locoid 4002 --swversion DE.1.0.9.0 --startMP 204:466 --initTime 2017-06-11T22:09:55 --startdatetime 2017-06-11T22:30:44 --delay 1 --endMP 204:233293 --enddatetime 2017-06-11T23:07:18 --enforcementcount 0 &gt;&gt;C:\Users\stu\Documents\GitHub\eaglep3-reporting\EC\2017-06-11-refined-times.txt</v>
      </c>
      <c r="AI147" s="99" t="str">
        <f t="shared" si="67"/>
        <v>echo {"issue":{"subject":"","project_id":79,"tracker_id":40,"status_id":1,"priority_id":2,"assigned_to_id":23,"start_date":"2017-06-11","description":"","custom_fields":[{"id":1,"name":"Subdivision","value":"EC"},{"id":4,"name":"Milepost","value":"23.3293"},{"id":17,"name":"Train ID","value":"235-11"},{"id":16,"name":"Locomotive ID","value":"4002"},{"id":130,"name":"Impact","value":""},{"id":150,"name":"Time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8"/>
        <v>start /low /b %USERPROFILE%\Documents\GitHub\eaglep3\Utilities\DownloadLogsFromS3.py --loco 4002 --day 2017-06-11</v>
      </c>
      <c r="AN147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814</v>
      </c>
      <c r="B148" s="7">
        <v>4001</v>
      </c>
      <c r="C148" s="21" t="s">
        <v>204</v>
      </c>
      <c r="D148" s="21" t="s">
        <v>477</v>
      </c>
      <c r="E148" s="13">
        <v>42897.966886574075</v>
      </c>
      <c r="F148" s="13">
        <v>42897.977326388886</v>
      </c>
      <c r="G148" s="7">
        <v>1</v>
      </c>
      <c r="H148" s="21" t="s">
        <v>362</v>
      </c>
      <c r="I148" s="13">
        <v>42898.004895833335</v>
      </c>
      <c r="J148" s="7">
        <v>0</v>
      </c>
      <c r="K148" s="92" t="str">
        <f t="shared" si="54"/>
        <v>4001/4002</v>
      </c>
      <c r="L148" s="21" t="str">
        <f>VLOOKUP(A148,'Trips&amp;Operators'!$C$1:$G$99999,5,FALSE)</f>
        <v>HAITHCOX MICHAEL</v>
      </c>
      <c r="M148" s="6">
        <f t="shared" si="55"/>
        <v>2.7569444449909497E-2</v>
      </c>
      <c r="N148" s="7">
        <f t="shared" si="56"/>
        <v>39.700000007869676</v>
      </c>
      <c r="O148" s="7"/>
      <c r="P148" s="7"/>
      <c r="Q148" s="22"/>
      <c r="R148" s="173"/>
      <c r="S148" s="176">
        <f t="shared" si="57"/>
        <v>1</v>
      </c>
      <c r="T148" s="202" t="str">
        <f t="shared" si="58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9"/>
        <v>https://d0f6bd738d7f1b3e5a7ca70fe4ff75f0.us-east-1.aws.found.io/app/kibana#/discover/Steve-Slow-Train-Analysis-(2080s-and-2083s)?_g=(refreshInterval:(display:Off,pause:!f,section:0,value:0),time:(from:'2017-06-11T22:12:19-0600',mode:absolute,to:'2017-06-12T01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8" s="204" t="str">
        <f t="shared" si="60"/>
        <v>N</v>
      </c>
      <c r="X148" s="204">
        <f t="shared" si="53"/>
        <v>1</v>
      </c>
      <c r="Y148" s="204">
        <f t="shared" si="70"/>
        <v>23.298300000000001</v>
      </c>
      <c r="Z148" s="204">
        <f t="shared" si="71"/>
        <v>1.41E-2</v>
      </c>
      <c r="AA148" s="204">
        <f t="shared" si="61"/>
        <v>23.284200000000002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2"/>
        <v>0236-11</v>
      </c>
      <c r="AE148" s="80" t="str">
        <f t="shared" si="63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148" s="77" t="str">
        <f t="shared" si="64"/>
        <v>"C:\Program Files (x86)\AstroGrep\AstroGrep.exe" /e /r /s /spath="%USERPROFILE%\AppData\Local\Temp\OnboardLogs" /stypes="app*4001*20170612*" /stext=" 06:.+((SYSTEM_STATE.+slice.+state.+changed )|(ment ac)|(multiple cpu faults)|(system.+state.+changed )|(\[timeout)|(PRM\|1\|D)|(kpr)|(kdp)|(train st.+moving)|(\|lc)|(penalty))"</v>
      </c>
      <c r="AG148" s="1" t="str">
        <f t="shared" si="65"/>
        <v>EC</v>
      </c>
      <c r="AH148" s="81" t="str">
        <f t="shared" si="66"/>
        <v>"%USERPROFILE%\Documents\GitHub\eaglep3\Utilities\RefineRTDCRunTimes.py" --tripid 236-11 --locoid 4001 --swversion DE.1.0.9.0 --startMP 204:232983 --initTime 2017-06-11T23:12:19 --startdatetime 2017-06-11T23:27:21 --delay 1 --endMP 204:141 --enddatetime 2017-06-12T00:07:03 --enforcementcount 0 &gt;&gt;C:\Users\stu\Documents\GitHub\eaglep3-reporting\EC\2017-06-11-refined-times.txt</v>
      </c>
      <c r="AI148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{"issue":{"subject":"","project_id":79,"tracker_id":40,"status_id":1,"priority_id":2,"assigned_to_id":23,"start_date":"2017-06-12","description":"","custom_fields":[{"id":1,"name":"Subdivision","value":"EC"},{"id":4,"name":"Milepost","value":"0.0141"},{"id":17,"name":"Train ID","value":"236-11"},{"id":16,"name":"Locomotive ID","value":"4001"},{"id":130,"name":"Impact","value":""},{"id":150,"name":"Time of Event (Mountain Time)","value":"00:07:03"},{"id":151,"name":"Denver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8"/>
        <v>start /low /b %USERPROFILE%\Documents\GitHub\eaglep3\Utilities\DownloadLogsFromS3.py --loco 4001 --day 2017-06-11</v>
      </c>
      <c r="AN148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06:07:03"},{"id":29,"name":"Sharepoint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811</v>
      </c>
      <c r="B149" s="7">
        <v>4042</v>
      </c>
      <c r="C149" s="21" t="s">
        <v>204</v>
      </c>
      <c r="D149" s="21" t="s">
        <v>354</v>
      </c>
      <c r="E149" s="13">
        <v>42897.942499999997</v>
      </c>
      <c r="F149" s="13">
        <v>42897.958831018521</v>
      </c>
      <c r="G149" s="7">
        <v>1</v>
      </c>
      <c r="H149" s="21" t="s">
        <v>934</v>
      </c>
      <c r="I149" s="13">
        <v>42897.983680555553</v>
      </c>
      <c r="J149" s="7">
        <v>0</v>
      </c>
      <c r="K149" s="92" t="str">
        <f t="shared" si="54"/>
        <v>4041/4042</v>
      </c>
      <c r="L149" s="21" t="str">
        <f>VLOOKUP(A149,'Trips&amp;Operators'!$C$1:$G$99999,5,FALSE)</f>
        <v>STAMBAUGH JAMES</v>
      </c>
      <c r="M149" s="6">
        <f t="shared" si="55"/>
        <v>2.4849537032423541E-2</v>
      </c>
      <c r="N149" s="7">
        <f t="shared" si="56"/>
        <v>35.783333326689899</v>
      </c>
      <c r="O149" s="7"/>
      <c r="P149" s="7"/>
      <c r="Q149" s="22"/>
      <c r="R149" s="173"/>
      <c r="S149" s="176">
        <f t="shared" si="57"/>
        <v>1</v>
      </c>
      <c r="T149" s="202" t="str">
        <f t="shared" si="58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9"/>
        <v>https://d0f6bd738d7f1b3e5a7ca70fe4ff75f0.us-east-1.aws.found.io/app/kibana#/discover/Steve-Slow-Train-Analysis-(2080s-and-2083s)?_g=(refreshInterval:(display:Off,pause:!f,section:0,value:0),time:(from:'2017-06-11T21:37:12-0600',mode:absolute,to:'2017-06-12T00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04" t="str">
        <f t="shared" si="60"/>
        <v>N</v>
      </c>
      <c r="X149" s="204">
        <f t="shared" si="53"/>
        <v>1</v>
      </c>
      <c r="Y149" s="204">
        <f t="shared" si="70"/>
        <v>4.6600000000000003E-2</v>
      </c>
      <c r="Z149" s="204">
        <f t="shared" si="71"/>
        <v>23.3432</v>
      </c>
      <c r="AA149" s="204">
        <f t="shared" si="61"/>
        <v>23.296599999999998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2"/>
        <v>0237-11</v>
      </c>
      <c r="AE149" s="80" t="str">
        <f t="shared" si="63"/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AF149" s="77" t="str">
        <f t="shared" si="64"/>
        <v>"C:\Program Files (x86)\AstroGrep\AstroGrep.exe" /e /r /s /spath="%USERPROFILE%\AppData\Local\Temp\OnboardLogs" /stypes="app*4042*20170612*" /stext=" 05:.+((SYSTEM_STATE.+slice.+state.+changed )|(ment ac)|(multiple cpu faults)|(system.+state.+changed )|(\[timeout)|(PRM\|1\|D)|(kpr)|(kdp)|(train st.+moving)|(\|lc)|(penalty))"</v>
      </c>
      <c r="AG149" s="1" t="str">
        <f t="shared" si="65"/>
        <v>EC</v>
      </c>
      <c r="AH149" s="81" t="str">
        <f t="shared" si="66"/>
        <v>"%USERPROFILE%\Documents\GitHub\eaglep3\Utilities\RefineRTDCRunTimes.py" --tripid 237-11 --locoid 4042 --swversion DE.1.0.9.0 --startMP 204:466 --initTime 2017-06-11T22:37:12 --startdatetime 2017-06-11T23:00:43 --delay 1 --endMP 204:233432 --enddatetime 2017-06-11T23:36:30 --enforcementcount 0 &gt;&gt;C:\Users\stu\Documents\GitHub\eaglep3-reporting\EC\2017-06-11-refined-times.txt</v>
      </c>
      <c r="AI149" s="99" t="str">
        <f t="shared" si="67"/>
        <v>echo {"issue":{"subject":"","project_id":79,"tracker_id":40,"status_id":1,"priority_id":2,"assigned_to_id":23,"start_date":"2017-06-11","description":"","custom_fields":[{"id":1,"name":"Subdivision","value":"EC"},{"id":4,"name":"Milepost","value":"23.3432"},{"id":17,"name":"Train ID","value":"237-11"},{"id":16,"name":"Locomotive ID","value":"4042"},{"id":130,"name":"Impact","value":""},{"id":150,"name":"Time of Event (Mountain Time)","value":"23:36:30"},{"id":151,"name":"Denver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8"/>
        <v>start /low /b %USERPROFILE%\Documents\GitHub\eaglep3\Utilities\DownloadLogsFromS3.py --loco 4042 --day 2017-06-11</v>
      </c>
      <c r="AN149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05:36:30"},{"id":29,"name":"Sharepoint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816</v>
      </c>
      <c r="B150" s="7">
        <v>4041</v>
      </c>
      <c r="C150" s="21" t="s">
        <v>204</v>
      </c>
      <c r="D150" s="21" t="s">
        <v>935</v>
      </c>
      <c r="E150" s="13">
        <v>42897.994826388887</v>
      </c>
      <c r="F150" s="13">
        <v>42897.998495370368</v>
      </c>
      <c r="G150" s="7">
        <v>1</v>
      </c>
      <c r="H150" s="21" t="s">
        <v>847</v>
      </c>
      <c r="I150" s="13">
        <v>42898.024618055555</v>
      </c>
      <c r="J150" s="7">
        <v>0</v>
      </c>
      <c r="K150" s="92" t="str">
        <f t="shared" si="54"/>
        <v>4041/4042</v>
      </c>
      <c r="L150" s="21" t="str">
        <f>VLOOKUP(A150,'Trips&amp;Operators'!$C$1:$G$99999,5,FALSE)</f>
        <v>STAMBAUGH JAMES</v>
      </c>
      <c r="M150" s="6">
        <f t="shared" si="55"/>
        <v>2.6122685187146999E-2</v>
      </c>
      <c r="N150" s="7">
        <f t="shared" si="56"/>
        <v>37.616666669491678</v>
      </c>
      <c r="O150" s="7"/>
      <c r="P150" s="7"/>
      <c r="Q150" s="22"/>
      <c r="R150" s="173"/>
      <c r="S150" s="176">
        <f t="shared" si="57"/>
        <v>1</v>
      </c>
      <c r="T150" s="202" t="str">
        <f t="shared" si="58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9"/>
        <v>https://d0f6bd738d7f1b3e5a7ca70fe4ff75f0.us-east-1.aws.found.io/app/kibana#/discover/Steve-Slow-Train-Analysis-(2080s-and-2083s)?_g=(refreshInterval:(display:Off,pause:!f,section:0,value:0),time:(from:'2017-06-11T22:52:33-0600',mode:absolute,to:'2017-06-12T01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04" t="str">
        <f t="shared" si="60"/>
        <v>N</v>
      </c>
      <c r="X150" s="204">
        <f t="shared" si="53"/>
        <v>1</v>
      </c>
      <c r="Y150" s="204">
        <f t="shared" si="70"/>
        <v>23.3125</v>
      </c>
      <c r="Z150" s="204">
        <f t="shared" si="71"/>
        <v>1.2999999999999999E-2</v>
      </c>
      <c r="AA150" s="204">
        <f t="shared" si="61"/>
        <v>23.299499999999998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2"/>
        <v>0238-11</v>
      </c>
      <c r="AE150" s="80" t="str">
        <f t="shared" si="63"/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AF150" s="77" t="str">
        <f t="shared" si="64"/>
        <v>"C:\Program Files (x86)\AstroGrep\AstroGrep.exe" /e /r /s /spath="%USERPROFILE%\AppData\Local\Temp\OnboardLogs" /stypes="app*4041*20170612*" /stext=" 06:.+((SYSTEM_STATE.+slice.+state.+changed )|(ment ac)|(multiple cpu faults)|(system.+state.+changed )|(\[timeout)|(PRM\|1\|D)|(kpr)|(kdp)|(train st.+moving)|(\|lc)|(penalty))"</v>
      </c>
      <c r="AG150" s="1" t="str">
        <f t="shared" si="65"/>
        <v>EC</v>
      </c>
      <c r="AH150" s="81" t="str">
        <f t="shared" si="66"/>
        <v>"%USERPROFILE%\Documents\GitHub\eaglep3\Utilities\RefineRTDCRunTimes.py" --tripid 238-11 --locoid 4041 --swversion DE.1.0.9.0 --startMP 204:233125 --initTime 2017-06-11T23:52:33 --startdatetime 2017-06-11T23:57:50 --delay 1 --endMP 204:130 --enddatetime 2017-06-12T00:35:27 --enforcementcount 0 &gt;&gt;C:\Users\stu\Documents\GitHub\eaglep3-reporting\EC\2017-06-11-refined-times.txt</v>
      </c>
      <c r="AI150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{"issue":{"subject":"","project_id":79,"tracker_id":40,"status_id":1,"priority_id":2,"assigned_to_id":23,"start_date":"2017-06-12","description":"","custom_fields":[{"id":1,"name":"Subdivision","value":"EC"},{"id":4,"name":"Milepost","value":"0.013"},{"id":17,"name":"Train ID","value":"238-11"},{"id":16,"name":"Locomotive ID","value":"4041"},{"id":130,"name":"Impact","value":""},{"id":150,"name":"Time of Event (Mountain Time)","value":"00:35:27"},{"id":151,"name":"Denver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8"/>
        <v>start /low /b %USERPROFILE%\Documents\GitHub\eaglep3\Utilities\DownloadLogsFromS3.py --loco 4041 --day 2017-06-11</v>
      </c>
      <c r="AN150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06:35:27"},{"id":29,"name":"Sharepoint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815</v>
      </c>
      <c r="B151" s="7">
        <v>4054</v>
      </c>
      <c r="C151" s="21" t="s">
        <v>204</v>
      </c>
      <c r="D151" s="21" t="s">
        <v>936</v>
      </c>
      <c r="E151" s="13">
        <v>42897.967291666668</v>
      </c>
      <c r="F151" s="13">
        <v>42897.979513888888</v>
      </c>
      <c r="G151" s="7">
        <v>1</v>
      </c>
      <c r="H151" s="21" t="s">
        <v>523</v>
      </c>
      <c r="I151" s="13">
        <v>42898.005509259259</v>
      </c>
      <c r="J151" s="7">
        <v>0</v>
      </c>
      <c r="K151" s="92" t="str">
        <f t="shared" si="54"/>
        <v>4053/4054</v>
      </c>
      <c r="L151" s="21" t="str">
        <f>VLOOKUP(A151,'Trips&amp;Operators'!$C$1:$G$99999,5,FALSE)</f>
        <v>SMITH MICHAEL</v>
      </c>
      <c r="M151" s="6">
        <f t="shared" si="55"/>
        <v>2.5995370371674653E-2</v>
      </c>
      <c r="N151" s="7">
        <f t="shared" si="56"/>
        <v>37.433333335211501</v>
      </c>
      <c r="O151" s="7"/>
      <c r="P151" s="7"/>
      <c r="Q151" s="22"/>
      <c r="R151" s="173"/>
      <c r="S151" s="176">
        <f t="shared" si="57"/>
        <v>1</v>
      </c>
      <c r="T151" s="202" t="str">
        <f t="shared" si="58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9"/>
        <v>https://d0f6bd738d7f1b3e5a7ca70fe4ff75f0.us-east-1.aws.found.io/app/kibana#/discover/Steve-Slow-Train-Analysis-(2080s-and-2083s)?_g=(refreshInterval:(display:Off,pause:!f,section:0,value:0),time:(from:'2017-06-11T22:12:54-0600',mode:absolute,to:'2017-06-12T01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204" t="str">
        <f t="shared" si="60"/>
        <v>N</v>
      </c>
      <c r="X151" s="204">
        <f>VALUE(LEFT(AD151,4))-VALUE(LEFT(AD150,4))</f>
        <v>1</v>
      </c>
      <c r="Y151" s="204">
        <f t="shared" si="70"/>
        <v>4.4200000000000003E-2</v>
      </c>
      <c r="Z151" s="204">
        <f t="shared" si="71"/>
        <v>23.329499999999999</v>
      </c>
      <c r="AA151" s="204">
        <f t="shared" si="61"/>
        <v>23.285299999999999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2"/>
        <v>0239-11</v>
      </c>
      <c r="AE151" s="80" t="str">
        <f t="shared" si="63"/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AF151" s="77" t="str">
        <f t="shared" si="64"/>
        <v>"C:\Program Files (x86)\AstroGrep\AstroGrep.exe" /e /r /s /spath="%USERPROFILE%\AppData\Local\Temp\OnboardLogs" /stypes="app*4054*20170612*" /stext=" 06:.+((SYSTEM_STATE.+slice.+state.+changed )|(ment ac)|(multiple cpu faults)|(system.+state.+changed )|(\[timeout)|(PRM\|1\|D)|(kpr)|(kdp)|(train st.+moving)|(\|lc)|(penalty))"</v>
      </c>
      <c r="AG151" s="1" t="str">
        <f t="shared" si="65"/>
        <v>EC</v>
      </c>
      <c r="AH151" s="81" t="str">
        <f t="shared" si="66"/>
        <v>"%USERPROFILE%\Documents\GitHub\eaglep3\Utilities\RefineRTDCRunTimes.py" --tripid 239-11 --locoid 4054 --swversion DE.1.0.9.0 --startMP 204:442 --initTime 2017-06-11T23:12:54 --startdatetime 2017-06-11T23:30:30 --delay 1 --endMP 204:233295 --enddatetime 2017-06-12T00:07:56 --enforcementcount 0 &gt;&gt;C:\Users\stu\Documents\GitHub\eaglep3-reporting\EC\2017-06-11-refined-times.txt</v>
      </c>
      <c r="AI151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{"issue":{"subject":"","project_id":79,"tracker_id":40,"status_id":1,"priority_id":2,"assigned_to_id":23,"start_date":"2017-06-12","description":"","custom_fields":[{"id":1,"name":"Subdivision","value":"EC"},{"id":4,"name":"Milepost","value":"23.3295"},{"id":17,"name":"Train ID","value":"239-11"},{"id":16,"name":"Locomotive ID","value":"4054"},{"id":130,"name":"Impact","value":""},{"id":150,"name":"Time of Event (Mountain Time)","value":"00:07:56"},{"id":151,"name":"Denver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8"/>
        <v>start /low /b %USERPROFILE%\Documents\GitHub\eaglep3\Utilities\DownloadLogsFromS3.py --loco 4054 --day 2017-06-11</v>
      </c>
      <c r="AN151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06:07:56"},{"id":29,"name":"Sharepoint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818</v>
      </c>
      <c r="B152" s="7">
        <v>4053</v>
      </c>
      <c r="C152" s="21" t="s">
        <v>204</v>
      </c>
      <c r="D152" s="21" t="s">
        <v>599</v>
      </c>
      <c r="E152" s="13">
        <v>42898.007939814815</v>
      </c>
      <c r="F152" s="13">
        <v>42898.019062500003</v>
      </c>
      <c r="G152" s="7">
        <v>1</v>
      </c>
      <c r="H152" s="21" t="s">
        <v>362</v>
      </c>
      <c r="I152" s="13">
        <v>42898.046863425923</v>
      </c>
      <c r="J152" s="7">
        <v>0</v>
      </c>
      <c r="K152" s="92" t="str">
        <f t="shared" si="54"/>
        <v>4053/4054</v>
      </c>
      <c r="L152" s="21" t="str">
        <f>VLOOKUP(A152,'Trips&amp;Operators'!$C$1:$G$99999,5,FALSE)</f>
        <v>SMITH MICHAEL</v>
      </c>
      <c r="M152" s="6">
        <f t="shared" si="55"/>
        <v>2.7800925920018926E-2</v>
      </c>
      <c r="N152" s="7">
        <f t="shared" si="56"/>
        <v>40.033333324827254</v>
      </c>
      <c r="O152" s="7"/>
      <c r="P152" s="7"/>
      <c r="Q152" s="22"/>
      <c r="R152" s="173"/>
      <c r="S152" s="176">
        <f t="shared" si="57"/>
        <v>1</v>
      </c>
      <c r="T152" s="202" t="str">
        <f t="shared" si="58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9"/>
        <v>https://d0f6bd738d7f1b3e5a7ca70fe4ff75f0.us-east-1.aws.found.io/app/kibana#/discover/Steve-Slow-Train-Analysis-(2080s-and-2083s)?_g=(refreshInterval:(display:Off,pause:!f,section:0,value:0),time:(from:'2017-06-11T23:11:26-0600',mode:absolute,to:'2017-06-12T02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204" t="str">
        <f t="shared" si="60"/>
        <v>N</v>
      </c>
      <c r="X152" s="204">
        <f>VALUE(LEFT(AD152,4))-VALUE(LEFT(AD151,4))</f>
        <v>1</v>
      </c>
      <c r="Y152" s="204">
        <f t="shared" si="70"/>
        <v>23.299099999999999</v>
      </c>
      <c r="Z152" s="204">
        <f t="shared" si="71"/>
        <v>1.41E-2</v>
      </c>
      <c r="AA152" s="204">
        <f t="shared" si="61"/>
        <v>23.285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2"/>
        <v>0240-11</v>
      </c>
      <c r="AE152" s="80" t="str">
        <f t="shared" si="63"/>
        <v>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 &amp; aws s3 cp s3://rtdc.mdm.uploadarchive.raw/RTDC4053/ "%USERPROFILE%\AppData\Local\Temp\OnboardLogs"\RTDC4053\2017-06-13 --exclude "*" --recursive --include "*20170613*" &amp; "%USERPROFILE%\Documents\GitHub\mrs-test-scripts\Headless Mode &amp; Sideloading\WalkAndUnGZ.bat" "%USERPROFILE%\AppData\Local\Temp\OnboardLogs"\RTDC4053\2017-06-13</v>
      </c>
      <c r="AF152" s="77" t="str">
        <f t="shared" si="64"/>
        <v>"C:\Program Files (x86)\AstroGrep\AstroGrep.exe" /e /r /s /spath="%USERPROFILE%\AppData\Local\Temp\OnboardLogs" /stypes="app*4053*20170612*" /stext=" 07:.+((SYSTEM_STATE.+slice.+state.+changed )|(ment ac)|(multiple cpu faults)|(system.+state.+changed )|(\[timeout)|(PRM\|1\|D)|(kpr)|(kdp)|(train st.+moving)|(\|lc)|(penalty))"</v>
      </c>
      <c r="AG152" s="1" t="str">
        <f t="shared" si="65"/>
        <v>EC</v>
      </c>
      <c r="AH152" s="81" t="str">
        <f t="shared" si="66"/>
        <v>"%USERPROFILE%\Documents\GitHub\eaglep3\Utilities\RefineRTDCRunTimes.py" --tripid 240-11 --locoid 4053 --swversion DE.1.0.9.0 --startMP 204:232991 --initTime 2017-06-12T00:11:26 --startdatetime 2017-06-12T00:27:27 --delay 1 --endMP 204:141 --enddatetime 2017-06-12T01:07:29 --enforcementcount 0 &gt;&gt;C:\Users\stu\Documents\GitHub\eaglep3-reporting\EC\2017-06-11-refined-times.txt</v>
      </c>
      <c r="AI152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{"issue":{"subject":"","project_id":79,"tracker_id":40,"status_id":1,"priority_id":2,"assigned_to_id":23,"start_date":"2017-06-12","description":"","custom_fields":[{"id":1,"name":"Subdivision","value":"EC"},{"id":4,"name":"Milepost","value":"0.0141"},{"id":17,"name":"Train ID","value":"240-11"},{"id":16,"name":"Locomotive ID","value":"4053"},{"id":130,"name":"Impact","value":""},{"id":150,"name":"Time of Event (Mountain Time)","value":"01:07:29"},{"id":151,"name":"Denver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8"/>
        <v>start /low /b %USERPROFILE%\Documents\GitHub\eaglep3\Utilities\DownloadLogsFromS3.py --loco 4053 --day 2017-06-12</v>
      </c>
      <c r="AN152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817</v>
      </c>
      <c r="B153" s="7">
        <v>4020</v>
      </c>
      <c r="C153" s="21" t="s">
        <v>204</v>
      </c>
      <c r="D153" s="21" t="s">
        <v>200</v>
      </c>
      <c r="E153" s="13">
        <v>42897.996215277781</v>
      </c>
      <c r="F153" s="13">
        <v>42898.000347222223</v>
      </c>
      <c r="G153" s="7">
        <v>1</v>
      </c>
      <c r="H153" s="21" t="s">
        <v>937</v>
      </c>
      <c r="I153" s="13">
        <v>42898.028240740743</v>
      </c>
      <c r="J153" s="7">
        <v>0</v>
      </c>
      <c r="K153" s="92" t="str">
        <f t="shared" si="54"/>
        <v>4019/4020</v>
      </c>
      <c r="L153" s="21" t="str">
        <f>VLOOKUP(A153,'Trips&amp;Operators'!$C$1:$G$99999,5,FALSE)</f>
        <v>ZEWDU DEREJE</v>
      </c>
      <c r="M153" s="6">
        <f t="shared" si="55"/>
        <v>2.789351851970423E-2</v>
      </c>
      <c r="N153" s="7">
        <f t="shared" si="56"/>
        <v>40.166666668374091</v>
      </c>
      <c r="O153" s="7"/>
      <c r="P153" s="7"/>
      <c r="Q153" s="22"/>
      <c r="R153" s="173"/>
      <c r="S153" s="176">
        <f t="shared" si="57"/>
        <v>1</v>
      </c>
      <c r="T153" s="202" t="str">
        <f t="shared" si="58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9"/>
        <v>https://d0f6bd738d7f1b3e5a7ca70fe4ff75f0.us-east-1.aws.found.io/app/kibana#/discover/Steve-Slow-Train-Analysis-(2080s-and-2083s)?_g=(refreshInterval:(display:Off,pause:!f,section:0,value:0),time:(from:'2017-06-11T22:54:33-0600',mode:absolute,to:'2017-06-12T01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204" t="str">
        <f t="shared" si="60"/>
        <v>N</v>
      </c>
      <c r="X153" s="204">
        <f>VALUE(LEFT(AD153,4))-VALUE(LEFT(AD152,4))</f>
        <v>1</v>
      </c>
      <c r="Y153" s="204">
        <f t="shared" si="70"/>
        <v>4.5699999999999998E-2</v>
      </c>
      <c r="Z153" s="204">
        <f t="shared" si="71"/>
        <v>23.331800000000001</v>
      </c>
      <c r="AA153" s="204">
        <f t="shared" si="61"/>
        <v>23.286100000000001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2"/>
        <v>0241-11</v>
      </c>
      <c r="AE153" s="80" t="str">
        <f t="shared" si="63"/>
        <v>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 &amp; 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</v>
      </c>
      <c r="AF153" s="77" t="str">
        <f t="shared" si="64"/>
        <v>"C:\Program Files (x86)\AstroGrep\AstroGrep.exe" /e /r /s /spath="%USERPROFILE%\AppData\Local\Temp\OnboardLogs" /stypes="app*4020*20170612*" /stext=" 06:.+((SYSTEM_STATE.+slice.+state.+changed )|(ment ac)|(multiple cpu faults)|(system.+state.+changed )|(\[timeout)|(PRM\|1\|D)|(kpr)|(kdp)|(train st.+moving)|(\|lc)|(penalty))"</v>
      </c>
      <c r="AG153" s="1" t="str">
        <f t="shared" si="65"/>
        <v>EC</v>
      </c>
      <c r="AH153" s="81" t="str">
        <f t="shared" si="66"/>
        <v>"%USERPROFILE%\Documents\GitHub\eaglep3\Utilities\RefineRTDCRunTimes.py" --tripid 241-11 --locoid 4020 --swversion DE.1.0.9.0 --startMP 204:457 --initTime 2017-06-11T23:54:33 --startdatetime 2017-06-12T00:00:30 --delay 1 --endMP 204:233318 --enddatetime 2017-06-12T00:40:40 --enforcementcount 0 &gt;&gt;C:\Users\stu\Documents\GitHub\eaglep3-reporting\EC\2017-06-11-refined-times.txt</v>
      </c>
      <c r="AI153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{"issue":{"subject":"","project_id":79,"tracker_id":40,"status_id":1,"priority_id":2,"assigned_to_id":23,"start_date":"2017-06-12","description":"","custom_fields":[{"id":1,"name":"Subdivision","value":"EC"},{"id":4,"name":"Milepost","value":"23.3318"},{"id":17,"name":"Train ID","value":"241-11"},{"id":16,"name":"Locomotive ID","value":"4020"},{"id":130,"name":"Impact","value":""},{"id":150,"name":"Time of Event (Mountain Time)","value":"00:40:40"},{"id":151,"name":"Denver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8"/>
        <v>start /low /b %USERPROFILE%\Documents\GitHub\eaglep3\Utilities\DownloadLogsFromS3.py --loco 4020 --day 2017-06-12</v>
      </c>
      <c r="AN153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06:40:40"},{"id":29,"name":"Sharepoint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821</v>
      </c>
      <c r="B154" s="7">
        <v>4019</v>
      </c>
      <c r="C154" s="21" t="s">
        <v>204</v>
      </c>
      <c r="D154" s="21" t="s">
        <v>500</v>
      </c>
      <c r="E154" s="13">
        <v>42898.033900462964</v>
      </c>
      <c r="F154" s="13">
        <v>42898.039861111109</v>
      </c>
      <c r="G154" s="7">
        <v>1</v>
      </c>
      <c r="H154" s="21" t="s">
        <v>487</v>
      </c>
      <c r="I154" s="13">
        <v>42898.070844907408</v>
      </c>
      <c r="J154" s="7">
        <v>0</v>
      </c>
      <c r="K154" s="92" t="str">
        <f t="shared" si="54"/>
        <v>4019/4020</v>
      </c>
      <c r="L154" s="21" t="str">
        <f>VLOOKUP(A154,'Trips&amp;Operators'!$C$1:$G$99999,5,FALSE)</f>
        <v>ZEWDU DEREJE</v>
      </c>
      <c r="M154" s="6">
        <f t="shared" si="55"/>
        <v>3.0983796299551614E-2</v>
      </c>
      <c r="N154" s="7">
        <f t="shared" si="56"/>
        <v>44.616666671354324</v>
      </c>
      <c r="O154" s="7"/>
      <c r="P154" s="7"/>
      <c r="Q154" s="22"/>
      <c r="R154" s="173"/>
      <c r="S154" s="176">
        <f t="shared" si="57"/>
        <v>1</v>
      </c>
      <c r="T154" s="202" t="str">
        <f t="shared" si="58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9"/>
        <v>https://d0f6bd738d7f1b3e5a7ca70fe4ff75f0.us-east-1.aws.found.io/app/kibana#/discover/Steve-Slow-Train-Analysis-(2080s-and-2083s)?_g=(refreshInterval:(display:Off,pause:!f,section:0,value:0),time:(from:'2017-06-11T23:48:49-0600',mode:absolute,to:'2017-06-12T02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204" t="str">
        <f t="shared" si="60"/>
        <v>N</v>
      </c>
      <c r="X154" s="204">
        <f>VALUE(LEFT(AD154,4))-VALUE(LEFT(AD153,4))</f>
        <v>1</v>
      </c>
      <c r="Y154" s="204">
        <f t="shared" si="70"/>
        <v>23.299399999999999</v>
      </c>
      <c r="Z154" s="204">
        <f t="shared" si="71"/>
        <v>1.3599999999999999E-2</v>
      </c>
      <c r="AA154" s="204">
        <f t="shared" si="61"/>
        <v>23.285799999999998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2"/>
        <v>0242-11</v>
      </c>
      <c r="AE154" s="80" t="str">
        <f t="shared" si="63"/>
        <v>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 &amp; aws s3 cp s3://rtdc.mdm.uploadarchive.raw/RTDC4019/ "%USERPROFILE%\AppData\Local\Temp\OnboardLogs"\RTDC4019\2017-06-13 --exclude "*" --recursive --include "*20170613*" &amp; "%USERPROFILE%\Documents\GitHub\mrs-test-scripts\Headless Mode &amp; Sideloading\WalkAndUnGZ.bat" "%USERPROFILE%\AppData\Local\Temp\OnboardLogs"\RTDC4019\2017-06-13</v>
      </c>
      <c r="AF154" s="77" t="str">
        <f t="shared" si="64"/>
        <v>"C:\Program Files (x86)\AstroGrep\AstroGrep.exe" /e /r /s /spath="%USERPROFILE%\AppData\Local\Temp\OnboardLogs" /stypes="app*4019*20170612*" /stext=" 07:.+((SYSTEM_STATE.+slice.+state.+changed )|(ment ac)|(multiple cpu faults)|(system.+state.+changed )|(\[timeout)|(PRM\|1\|D)|(kpr)|(kdp)|(train st.+moving)|(\|lc)|(penalty))"</v>
      </c>
      <c r="AG154" s="1" t="str">
        <f t="shared" si="65"/>
        <v>EC</v>
      </c>
      <c r="AH154" s="81" t="str">
        <f t="shared" si="66"/>
        <v>"%USERPROFILE%\Documents\GitHub\eaglep3\Utilities\RefineRTDCRunTimes.py" --tripid 242-11 --locoid 4019 --swversion DE.1.0.9.0 --startMP 204:232994 --initTime 2017-06-12T00:48:49 --startdatetime 2017-06-12T00:57:24 --delay 1 --endMP 204:136 --enddatetime 2017-06-12T01:42:01 --enforcementcount 0 &gt;&gt;C:\Users\stu\Documents\GitHub\eaglep3-reporting\EC\2017-06-11-refined-times.txt</v>
      </c>
      <c r="AI154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{"issue":{"subject":"","project_id":79,"tracker_id":40,"status_id":1,"priority_id":2,"assigned_to_id":23,"start_date":"2017-06-12","description":"","custom_fields":[{"id":1,"name":"Subdivision","value":"EC"},{"id":4,"name":"Milepost","value":"0.0136"},{"id":17,"name":"Train ID","value":"242-11"},{"id":16,"name":"Locomotive ID","value":"4019"},{"id":130,"name":"Impact","value":""},{"id":150,"name":"Time of Event (Mountain Time)","value":"01:42:01"},{"id":151,"name":"Denver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8"/>
        <v>start /low /b %USERPROFILE%\Documents\GitHub\eaglep3\Utilities\DownloadLogsFromS3.py --loco 4019 --day 2017-06-12</v>
      </c>
      <c r="AN154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07:42:01"},{"id":29,"name":"Sharepoint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819</v>
      </c>
      <c r="B155" s="7">
        <v>4002</v>
      </c>
      <c r="C155" s="21" t="s">
        <v>204</v>
      </c>
      <c r="D155" s="21" t="s">
        <v>201</v>
      </c>
      <c r="E155" s="13">
        <v>42898.013958333337</v>
      </c>
      <c r="F155" s="13">
        <v>42898.021122685182</v>
      </c>
      <c r="G155" s="7">
        <v>1</v>
      </c>
      <c r="H155" s="21" t="s">
        <v>938</v>
      </c>
      <c r="I155" s="13">
        <v>42898.046168981484</v>
      </c>
      <c r="J155" s="7">
        <v>0</v>
      </c>
      <c r="K155" s="92" t="str">
        <f t="shared" si="54"/>
        <v>4001/4002</v>
      </c>
      <c r="L155" s="21" t="str">
        <f>VLOOKUP(A155,'Trips&amp;Operators'!$C$1:$G$99999,5,FALSE)</f>
        <v>HAITHCOX MICHAEL</v>
      </c>
      <c r="M155" s="6">
        <f t="shared" si="55"/>
        <v>2.5046296301297843E-2</v>
      </c>
      <c r="N155" s="7">
        <f t="shared" si="56"/>
        <v>36.066666673868895</v>
      </c>
      <c r="O155" s="7"/>
      <c r="P155" s="7"/>
      <c r="Q155" s="22"/>
      <c r="R155" s="173"/>
      <c r="S155" s="176">
        <f t="shared" si="57"/>
        <v>1</v>
      </c>
      <c r="T155" s="202" t="str">
        <f t="shared" si="58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9"/>
        <v>https://d0f6bd738d7f1b3e5a7ca70fe4ff75f0.us-east-1.aws.found.io/app/kibana#/discover/Steve-Slow-Train-Analysis-(2080s-and-2083s)?_g=(refreshInterval:(display:Off,pause:!f,section:0,value:0),time:(from:'2017-06-11T23:20:06-0600',mode:absolute,to:'2017-06-12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5" s="204" t="str">
        <f t="shared" si="60"/>
        <v>N</v>
      </c>
      <c r="X155" s="204">
        <f>VALUE(LEFT(AD155,4))-VALUE(LEFT(AD154,4))</f>
        <v>1</v>
      </c>
      <c r="Y155" s="204">
        <f t="shared" si="70"/>
        <v>4.5999999999999999E-2</v>
      </c>
      <c r="Z155" s="204">
        <f t="shared" si="71"/>
        <v>23.326799999999999</v>
      </c>
      <c r="AA155" s="204">
        <f t="shared" si="61"/>
        <v>23.280799999999999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2"/>
        <v>0243-11</v>
      </c>
      <c r="AE155" s="80" t="str">
        <f t="shared" si="63"/>
        <v>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 &amp; 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</v>
      </c>
      <c r="AF155" s="77" t="str">
        <f t="shared" si="64"/>
        <v>"C:\Program Files (x86)\AstroGrep\AstroGrep.exe" /e /r /s /spath="%USERPROFILE%\AppData\Local\Temp\OnboardLogs" /stypes="app*4002*20170612*" /stext=" 07:.+((SYSTEM_STATE.+slice.+state.+changed )|(ment ac)|(multiple cpu faults)|(system.+state.+changed )|(\[timeout)|(PRM\|1\|D)|(kpr)|(kdp)|(train st.+moving)|(\|lc)|(penalty))"</v>
      </c>
      <c r="AG155" s="1" t="str">
        <f t="shared" si="65"/>
        <v>EC</v>
      </c>
      <c r="AH155" s="81" t="str">
        <f t="shared" si="66"/>
        <v>"%USERPROFILE%\Documents\GitHub\eaglep3\Utilities\RefineRTDCRunTimes.py" --tripid 243-11 --locoid 4002 --swversion DE.1.0.9.0 --startMP 204:460 --initTime 2017-06-12T00:20:06 --startdatetime 2017-06-12T00:30:25 --delay 1 --endMP 204:233268 --enddatetime 2017-06-12T01:06:29 --enforcementcount 0 &gt;&gt;C:\Users\stu\Documents\GitHub\eaglep3-reporting\EC\2017-06-11-refined-times.txt</v>
      </c>
      <c r="AI155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{"issue":{"subject":"","project_id":79,"tracker_id":40,"status_id":1,"priority_id":2,"assigned_to_id":23,"start_date":"2017-06-12","description":"","custom_fields":[{"id":1,"name":"Subdivision","value":"EC"},{"id":4,"name":"Milepost","value":"23.3268"},{"id":17,"name":"Train ID","value":"243-11"},{"id":16,"name":"Locomotive ID","value":"4002"},{"id":130,"name":"Impact","value":""},{"id":150,"name":"Time of Event (Mountain Time)","value":"01:06:29"},{"id":151,"name":"Denver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8"/>
        <v>start /low /b %USERPROFILE%\Documents\GitHub\eaglep3\Utilities\DownloadLogsFromS3.py --loco 4002 --day 2017-06-12</v>
      </c>
      <c r="AN155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823</v>
      </c>
      <c r="B156" s="7">
        <v>4001</v>
      </c>
      <c r="C156" s="21" t="s">
        <v>204</v>
      </c>
      <c r="D156" s="21" t="s">
        <v>486</v>
      </c>
      <c r="E156" s="13">
        <v>42898.053599537037</v>
      </c>
      <c r="F156" s="13">
        <v>42898.060763888891</v>
      </c>
      <c r="G156" s="7">
        <v>1</v>
      </c>
      <c r="H156" s="21" t="s">
        <v>195</v>
      </c>
      <c r="I156" s="13">
        <v>42898.08792824074</v>
      </c>
      <c r="J156" s="7">
        <v>0</v>
      </c>
      <c r="K156" s="92" t="str">
        <f t="shared" si="54"/>
        <v>4001/4002</v>
      </c>
      <c r="L156" s="21" t="str">
        <f>VLOOKUP(A156,'Trips&amp;Operators'!$C$1:$G$99999,5,FALSE)</f>
        <v>HAITHCOX MICHAEL</v>
      </c>
      <c r="M156" s="6">
        <f t="shared" si="55"/>
        <v>2.7164351849933155E-2</v>
      </c>
      <c r="N156" s="7">
        <f t="shared" si="56"/>
        <v>39.116666663903743</v>
      </c>
      <c r="O156" s="7"/>
      <c r="P156" s="7"/>
      <c r="Q156" s="22"/>
      <c r="R156" s="173"/>
      <c r="S156" s="176">
        <f t="shared" si="57"/>
        <v>1</v>
      </c>
      <c r="T156" s="202" t="str">
        <f t="shared" si="58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9"/>
        <v>https://d0f6bd738d7f1b3e5a7ca70fe4ff75f0.us-east-1.aws.found.io/app/kibana#/discover/Steve-Slow-Train-Analysis-(2080s-and-2083s)?_g=(refreshInterval:(display:Off,pause:!f,section:0,value:0),time:(from:'2017-06-12T00:17:11-0600',mode:absolute,to:'2017-06-12T03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6" s="204" t="str">
        <f t="shared" si="60"/>
        <v>N</v>
      </c>
      <c r="X156" s="204">
        <f t="shared" ref="X156:X160" si="72">VALUE(LEFT(AD156,4))-VALUE(LEFT(AD155,4))</f>
        <v>1</v>
      </c>
      <c r="Y156" s="204">
        <f t="shared" si="70"/>
        <v>23.2971</v>
      </c>
      <c r="Z156" s="204">
        <f t="shared" si="71"/>
        <v>1.52E-2</v>
      </c>
      <c r="AA156" s="204">
        <f t="shared" si="61"/>
        <v>23.2819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2"/>
        <v>0244-11</v>
      </c>
      <c r="AE156" s="80" t="str">
        <f t="shared" si="63"/>
        <v>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 &amp; aws s3 cp s3://rtdc.mdm.uploadarchive.raw/RTDC4001/ "%USERPROFILE%\AppData\Local\Temp\OnboardLogs"\RTDC4001\2017-06-13 --exclude "*" --recursive --include "*20170613*" &amp; "%USERPROFILE%\Documents\GitHub\mrs-test-scripts\Headless Mode &amp; Sideloading\WalkAndUnGZ.bat" "%USERPROFILE%\AppData\Local\Temp\OnboardLogs"\RTDC4001\2017-06-13</v>
      </c>
      <c r="AF156" s="77" t="str">
        <f t="shared" si="64"/>
        <v>"C:\Program Files (x86)\AstroGrep\AstroGrep.exe" /e /r /s /spath="%USERPROFILE%\AppData\Local\Temp\OnboardLogs" /stypes="app*4001*20170612*" /stext=" 08:.+((SYSTEM_STATE.+slice.+state.+changed )|(ment ac)|(multiple cpu faults)|(system.+state.+changed )|(\[timeout)|(PRM\|1\|D)|(kpr)|(kdp)|(train st.+moving)|(\|lc)|(penalty))"</v>
      </c>
      <c r="AG156" s="1" t="str">
        <f t="shared" si="65"/>
        <v>EC</v>
      </c>
      <c r="AH156" s="81" t="str">
        <f t="shared" si="66"/>
        <v>"%USERPROFILE%\Documents\GitHub\eaglep3\Utilities\RefineRTDCRunTimes.py" --tripid 244-11 --locoid 4001 --swversion DE.1.0.9.0 --startMP 204:232971 --initTime 2017-06-12T01:17:11 --startdatetime 2017-06-12T01:27:30 --delay 1 --endMP 204:152 --enddatetime 2017-06-12T02:06:37 --enforcementcount 0 &gt;&gt;C:\Users\stu\Documents\GitHub\eaglep3-reporting\EC\2017-06-11-refined-times.txt</v>
      </c>
      <c r="AI156" s="99" t="str">
        <f t="shared" si="67"/>
        <v>echo {"issue":{"subject":"","project_id":79,"tracker_id":40,"status_id":1,"priority_id":2,"assigned_to_id":23,"start_date":"2017-06-12","description":"","custom_fields":[{"id":1,"name":"Subdivision","value":"EC"},{"id":4,"name":"Milepost","value":"0.0152"},{"id":17,"name":"Train ID","value":"244-11"},{"id":16,"name":"Locomotive ID","value":"4001"},{"id":130,"name":"Impact","value":""},{"id":150,"name":"Time of Event (Mountain Time)","value":"02:06:37"},{"id":151,"name":"Denver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8"/>
        <v>start /low /b %USERPROFILE%\Documents\GitHub\eaglep3\Utilities\DownloadLogsFromS3.py --loco 4001 --day 2017-06-12</v>
      </c>
      <c r="AN156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08:06:37"},{"id":29,"name":"Sharepoint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673</v>
      </c>
      <c r="B157" s="7">
        <v>4031</v>
      </c>
      <c r="C157" s="21" t="s">
        <v>204</v>
      </c>
      <c r="D157" s="21" t="s">
        <v>868</v>
      </c>
      <c r="E157" s="13">
        <v>42897.229432870372</v>
      </c>
      <c r="F157" s="13">
        <v>42897.231377314813</v>
      </c>
      <c r="G157" s="7">
        <v>1</v>
      </c>
      <c r="H157" s="21" t="s">
        <v>478</v>
      </c>
      <c r="I157" s="13">
        <v>42897.246874999997</v>
      </c>
      <c r="J157" s="7">
        <v>0</v>
      </c>
      <c r="K157" s="92" t="str">
        <f t="shared" si="54"/>
        <v>4031/4032</v>
      </c>
      <c r="L157" s="21" t="str">
        <f>VLOOKUP(A157,'Trips&amp;Operators'!$C$1:$G$99999,5,FALSE)</f>
        <v>DAVIDSON DAVID</v>
      </c>
      <c r="M157" s="6">
        <f t="shared" si="55"/>
        <v>1.5497685184527654E-2</v>
      </c>
      <c r="N157" s="7">
        <f t="shared" si="56"/>
        <v>22.316666665719822</v>
      </c>
      <c r="O157" s="7"/>
      <c r="P157" s="7"/>
      <c r="Q157" s="22"/>
      <c r="R157" s="173"/>
      <c r="S157" s="176">
        <f t="shared" si="57"/>
        <v>1</v>
      </c>
      <c r="T157" s="202" t="str">
        <f t="shared" si="58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03" t="str">
        <f t="shared" si="59"/>
        <v>https://d0f6bd738d7f1b3e5a7ca70fe4ff75f0.us-east-1.aws.found.io/app/kibana#/discover/Steve-Slow-Train-Analysis-(2080s-and-2083s)?_g=(refreshInterval:(display:Off,pause:!f,section:0,value:0),time:(from:'2017-06-11T04:30:23-0600',mode:absolute,to:'2017-06-11T06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204" t="str">
        <f t="shared" si="60"/>
        <v>N</v>
      </c>
      <c r="X157" s="204">
        <f t="shared" si="72"/>
        <v>1556</v>
      </c>
      <c r="Y157" s="204">
        <f t="shared" si="70"/>
        <v>5.8643000000000001</v>
      </c>
      <c r="Z157" s="204">
        <f t="shared" si="71"/>
        <v>6.9400000000000003E-2</v>
      </c>
      <c r="AA157" s="204">
        <f t="shared" si="61"/>
        <v>5.7949000000000002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2"/>
        <v>1800-11</v>
      </c>
      <c r="AE157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57" s="77" t="str">
        <f t="shared" si="64"/>
        <v>"C:\Program Files (x86)\AstroGrep\AstroGrep.exe" /e /r /s /spath="%USERPROFILE%\AppData\Local\Temp\OnboardLogs" /stypes="app*4031*20170611*" /stext=" 11:.+((SYSTEM_STATE.+slice.+state.+changed )|(ment ac)|(multiple cpu faults)|(system.+state.+changed )|(\[timeout)|(PRM\|1\|D)|(kpr)|(kdp)|(train st.+moving)|(\|lc)|(penalty))"</v>
      </c>
      <c r="AG157" s="1" t="str">
        <f t="shared" si="65"/>
        <v>NW</v>
      </c>
      <c r="AH157" s="81" t="str">
        <f t="shared" si="66"/>
        <v>"%USERPROFILE%\Documents\GitHub\eaglep3\Utilities\RefineRTDCRunTimes.py" --tripid 1800-11 --locoid 4031 --swversion DE.1.0.9.0 --startMP 300:58643 --initTime 2017-06-11T05:30:23 --startdatetime 2017-06-11T05:33:11 --delay 1 --endMP 204:694 --enddatetime 2017-06-11T05:55:30 --enforcementcount 0 &gt;&gt;C:\Users\stu\Documents\GitHub\eaglep3-reporting\EC\2017-06-11-refined-times.txt</v>
      </c>
      <c r="AI157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{"issue":{"subject":"","project_id":79,"tracker_id":40,"status_id":1,"priority_id":2,"assigned_to_id":23,"start_date":"2017-06-11","description":"","custom_fields":[{"id":1,"name":"Subdivision","value":"NW"},{"id":4,"name":"Milepost","value":"0.0694"},{"id":17,"name":"Train ID","value":"1800-11"},{"id":16,"name":"Locomotive ID","value":"4031"},{"id":130,"name":"Impact","value":""},{"id":150,"name":"Time of Event (Mountain Time)","value":"05:55:30"},{"id":151,"name":"Denver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8"/>
        <v>start /low /b %USERPROFILE%\Documents\GitHub\eaglep3\Utilities\DownloadLogsFromS3.py --loco 4031 --day 2017-06-11</v>
      </c>
      <c r="AN157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620</v>
      </c>
      <c r="B158" s="7">
        <v>4032</v>
      </c>
      <c r="C158" s="21" t="s">
        <v>204</v>
      </c>
      <c r="D158" s="21" t="s">
        <v>869</v>
      </c>
      <c r="E158" s="13">
        <v>42897.248425925929</v>
      </c>
      <c r="F158" s="13">
        <v>42897.264791666668</v>
      </c>
      <c r="G158" s="7">
        <v>1</v>
      </c>
      <c r="H158" s="21" t="s">
        <v>605</v>
      </c>
      <c r="I158" s="13">
        <v>42897.274988425925</v>
      </c>
      <c r="J158" s="7">
        <v>0</v>
      </c>
      <c r="K158" s="92" t="str">
        <f t="shared" si="54"/>
        <v>4031/4032</v>
      </c>
      <c r="L158" s="21" t="str">
        <f>VLOOKUP(A158,'Trips&amp;Operators'!$C$1:$G$99999,5,FALSE)</f>
        <v>DAVIDSON DAVID</v>
      </c>
      <c r="M158" s="6">
        <f t="shared" si="55"/>
        <v>1.0196759256359655E-2</v>
      </c>
      <c r="N158" s="7">
        <f t="shared" si="56"/>
        <v>14.683333329157904</v>
      </c>
      <c r="O158" s="7"/>
      <c r="P158" s="7"/>
      <c r="Q158" s="22"/>
      <c r="R158" s="173"/>
      <c r="S158" s="176">
        <f t="shared" si="57"/>
        <v>1</v>
      </c>
      <c r="T158" s="202" t="str">
        <f t="shared" si="58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03" t="str">
        <f t="shared" si="59"/>
        <v>https://d0f6bd738d7f1b3e5a7ca70fe4ff75f0.us-east-1.aws.found.io/app/kibana#/discover/Steve-Slow-Train-Analysis-(2080s-and-2083s)?_g=(refreshInterval:(display:Off,pause:!f,section:0,value:0),time:(from:'2017-06-11T04:57:44-0600',mode:absolute,to:'2017-06-11T07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204" t="str">
        <f t="shared" si="60"/>
        <v>N</v>
      </c>
      <c r="X158" s="204">
        <f t="shared" si="72"/>
        <v>1</v>
      </c>
      <c r="Y158" s="204">
        <f t="shared" si="70"/>
        <v>9.74E-2</v>
      </c>
      <c r="Z158" s="204">
        <f t="shared" si="71"/>
        <v>5.8945999999999996</v>
      </c>
      <c r="AA158" s="204">
        <f t="shared" si="61"/>
        <v>5.7971999999999992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2"/>
        <v>1801-11</v>
      </c>
      <c r="AE158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58" s="77" t="str">
        <f t="shared" si="64"/>
        <v>"C:\Program Files (x86)\AstroGrep\AstroGrep.exe" /e /r /s /spath="%USERPROFILE%\AppData\Local\Temp\OnboardLogs" /stypes="app*4032*20170611*" /stext=" 12:.+((SYSTEM_STATE.+slice.+state.+changed )|(ment ac)|(multiple cpu faults)|(system.+state.+changed )|(\[timeout)|(PRM\|1\|D)|(kpr)|(kdp)|(train st.+moving)|(\|lc)|(penalty))"</v>
      </c>
      <c r="AG158" s="1" t="str">
        <f t="shared" si="65"/>
        <v>NW</v>
      </c>
      <c r="AH158" s="81" t="str">
        <f t="shared" si="66"/>
        <v>"%USERPROFILE%\Documents\GitHub\eaglep3\Utilities\RefineRTDCRunTimes.py" --tripid 1801-11 --locoid 4032 --swversion DE.1.0.9.0 --startMP 204:974 --initTime 2017-06-11T05:57:44 --startdatetime 2017-06-11T06:21:18 --delay 1 --endMP 300:58946 --enddatetime 2017-06-11T06:35:59 --enforcementcount 0 &gt;&gt;C:\Users\stu\Documents\GitHub\eaglep3-reporting\EC\2017-06-11-refined-times.txt</v>
      </c>
      <c r="AI158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{"issue":{"subject":"","project_id":79,"tracker_id":40,"status_id":1,"priority_id":2,"assigned_to_id":23,"start_date":"2017-06-11","description":"","custom_fields":[{"id":1,"name":"Subdivision","value":"NW"},{"id":4,"name":"Milepost","value":"5.8946"},{"id":17,"name":"Train ID","value":"1801-11"},{"id":16,"name":"Locomotive ID","value":"4032"},{"id":130,"name":"Impact","value":""},{"id":150,"name":"Time of Event (Mountain Time)","value":"06:35:59"},{"id":151,"name":"Denver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8"/>
        <v>start /low /b %USERPROFILE%\Documents\GitHub\eaglep3\Utilities\DownloadLogsFromS3.py --loco 4032 --day 2017-06-11</v>
      </c>
      <c r="AN158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680</v>
      </c>
      <c r="B159" s="7">
        <v>4031</v>
      </c>
      <c r="C159" s="21" t="s">
        <v>204</v>
      </c>
      <c r="D159" s="21" t="s">
        <v>529</v>
      </c>
      <c r="E159" s="13">
        <v>42897.275856481479</v>
      </c>
      <c r="F159" s="13">
        <v>42897.277268518519</v>
      </c>
      <c r="G159" s="7">
        <v>1</v>
      </c>
      <c r="H159" s="21" t="s">
        <v>870</v>
      </c>
      <c r="I159" s="13">
        <v>42897.288402777776</v>
      </c>
      <c r="J159" s="7">
        <v>0</v>
      </c>
      <c r="K159" s="92" t="str">
        <f t="shared" si="54"/>
        <v>4031/4032</v>
      </c>
      <c r="L159" s="21" t="str">
        <f>VLOOKUP(A159,'Trips&amp;Operators'!$C$1:$G$99999,5,FALSE)</f>
        <v>DAVIDSON DAVID</v>
      </c>
      <c r="M159" s="6">
        <f t="shared" si="55"/>
        <v>1.113425925723277E-2</v>
      </c>
      <c r="N159" s="7">
        <f t="shared" si="56"/>
        <v>16.033333330415189</v>
      </c>
      <c r="O159" s="7"/>
      <c r="P159" s="7"/>
      <c r="Q159" s="22"/>
      <c r="R159" s="173"/>
      <c r="S159" s="176">
        <f t="shared" si="57"/>
        <v>1</v>
      </c>
      <c r="T159" s="202" t="str">
        <f t="shared" si="58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59"/>
        <v>https://d0f6bd738d7f1b3e5a7ca70fe4ff75f0.us-east-1.aws.found.io/app/kibana#/discover/Steve-Slow-Train-Analysis-(2080s-and-2083s)?_g=(refreshInterval:(display:Off,pause:!f,section:0,value:0),time:(from:'2017-06-11T05:37:14-0600',mode:absolute,to:'2017-06-11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204" t="str">
        <f t="shared" si="60"/>
        <v>N</v>
      </c>
      <c r="X159" s="204">
        <f t="shared" si="72"/>
        <v>1</v>
      </c>
      <c r="Y159" s="204">
        <f t="shared" si="70"/>
        <v>5.8632</v>
      </c>
      <c r="Z159" s="204">
        <f t="shared" si="71"/>
        <v>6.8900000000000003E-2</v>
      </c>
      <c r="AA159" s="204">
        <f t="shared" si="61"/>
        <v>5.7942999999999998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2"/>
        <v>1802-11</v>
      </c>
      <c r="AE159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59" s="77" t="str">
        <f t="shared" si="64"/>
        <v>"C:\Program Files (x86)\AstroGrep\AstroGrep.exe" /e /r /s /spath="%USERPROFILE%\AppData\Local\Temp\OnboardLogs" /stypes="app*4031*20170611*" /stext=" 12:.+((SYSTEM_STATE.+slice.+state.+changed )|(ment ac)|(multiple cpu faults)|(system.+state.+changed )|(\[timeout)|(PRM\|1\|D)|(kpr)|(kdp)|(train st.+moving)|(\|lc)|(penalty))"</v>
      </c>
      <c r="AG159" s="1" t="str">
        <f t="shared" si="65"/>
        <v>NW</v>
      </c>
      <c r="AH159" s="81" t="str">
        <f t="shared" si="66"/>
        <v>"%USERPROFILE%\Documents\GitHub\eaglep3\Utilities\RefineRTDCRunTimes.py" --tripid 1802-11 --locoid 4031 --swversion DE.1.0.9.0 --startMP 300:58632 --initTime 2017-06-11T06:37:14 --startdatetime 2017-06-11T06:39:16 --delay 1 --endMP 204:689 --enddatetime 2017-06-11T06:55:18 --enforcementcount 0 &gt;&gt;C:\Users\stu\Documents\GitHub\eaglep3-reporting\EC\2017-06-11-refined-times.txt</v>
      </c>
      <c r="AI159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{"issue":{"subject":"","project_id":79,"tracker_id":40,"status_id":1,"priority_id":2,"assigned_to_id":23,"start_date":"2017-06-11","description":"","custom_fields":[{"id":1,"name":"Subdivision","value":"NW"},{"id":4,"name":"Milepost","value":"0.0689"},{"id":17,"name":"Train ID","value":"1802-11"},{"id":16,"name":"Locomotive ID","value":"4031"},{"id":130,"name":"Impact","value":""},{"id":150,"name":"Time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8"/>
        <v>start /low /b %USERPROFILE%\Documents\GitHub\eaglep3\Utilities\DownloadLogsFromS3.py --loco 4031 --day 2017-06-11</v>
      </c>
      <c r="AN159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686</v>
      </c>
      <c r="B160" s="7">
        <v>4032</v>
      </c>
      <c r="C160" s="21" t="s">
        <v>204</v>
      </c>
      <c r="D160" s="21" t="s">
        <v>608</v>
      </c>
      <c r="E160" s="13">
        <v>42897.289641203701</v>
      </c>
      <c r="F160" s="13">
        <v>42897.306435185186</v>
      </c>
      <c r="G160" s="7">
        <v>1</v>
      </c>
      <c r="H160" s="21" t="s">
        <v>528</v>
      </c>
      <c r="I160" s="13">
        <v>42897.315694444442</v>
      </c>
      <c r="J160" s="7">
        <v>0</v>
      </c>
      <c r="K160" s="92" t="str">
        <f t="shared" si="54"/>
        <v>4031/4032</v>
      </c>
      <c r="L160" s="21" t="str">
        <f>VLOOKUP(A160,'Trips&amp;Operators'!$C$1:$G$99999,5,FALSE)</f>
        <v>DAVIDSON DAVID</v>
      </c>
      <c r="M160" s="6">
        <f t="shared" si="55"/>
        <v>9.2592592554865405E-3</v>
      </c>
      <c r="N160" s="7">
        <f t="shared" si="56"/>
        <v>13.333333327900618</v>
      </c>
      <c r="O160" s="7"/>
      <c r="P160" s="7"/>
      <c r="Q160" s="22"/>
      <c r="R160" s="173"/>
      <c r="S160" s="176">
        <f t="shared" si="57"/>
        <v>1</v>
      </c>
      <c r="T160" s="202" t="str">
        <f t="shared" si="58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9"/>
        <v>https://d0f6bd738d7f1b3e5a7ca70fe4ff75f0.us-east-1.aws.found.io/app/kibana#/discover/Steve-Slow-Train-Analysis-(2080s-and-2083s)?_g=(refreshInterval:(display:Off,pause:!f,section:0,value:0),time:(from:'2017-06-11T05:57:05-0600',mode:absolute,to:'2017-06-11T08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204" t="str">
        <f t="shared" si="60"/>
        <v>N</v>
      </c>
      <c r="X160" s="204">
        <f t="shared" si="72"/>
        <v>1</v>
      </c>
      <c r="Y160" s="204">
        <f t="shared" si="70"/>
        <v>9.8599999999999993E-2</v>
      </c>
      <c r="Z160" s="204">
        <f t="shared" si="71"/>
        <v>5.8949999999999996</v>
      </c>
      <c r="AA160" s="204">
        <f t="shared" si="61"/>
        <v>5.7963999999999993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2"/>
        <v>1803-11</v>
      </c>
      <c r="AE160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60" s="77" t="str">
        <f t="shared" si="64"/>
        <v>"C:\Program Files (x86)\AstroGrep\AstroGrep.exe" /e /r /s /spath="%USERPROFILE%\AppData\Local\Temp\OnboardLogs" /stypes="app*4032*20170611*" /stext=" 13:.+((SYSTEM_STATE.+slice.+state.+changed )|(ment ac)|(multiple cpu faults)|(system.+state.+changed )|(\[timeout)|(PRM\|1\|D)|(kpr)|(kdp)|(train st.+moving)|(\|lc)|(penalty))"</v>
      </c>
      <c r="AG160" s="1" t="str">
        <f t="shared" si="65"/>
        <v>NW</v>
      </c>
      <c r="AH160" s="81" t="str">
        <f t="shared" si="66"/>
        <v>"%USERPROFILE%\Documents\GitHub\eaglep3\Utilities\RefineRTDCRunTimes.py" --tripid 1803-11 --locoid 4032 --swversion DE.1.0.9.0 --startMP 204:986 --initTime 2017-06-11T06:57:05 --startdatetime 2017-06-11T07:21:16 --delay 1 --endMP 300:58950 --enddatetime 2017-06-11T07:34:36 --enforcementcount 0 &gt;&gt;C:\Users\stu\Documents\GitHub\eaglep3-reporting\EC\2017-06-11-refined-times.txt</v>
      </c>
      <c r="AI160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{"issue":{"subject":"","project_id":79,"tracker_id":40,"status_id":1,"priority_id":2,"assigned_to_id":23,"start_date":"2017-06-11","description":"","custom_fields":[{"id":1,"name":"Subdivision","value":"NW"},{"id":4,"name":"Milepost","value":"5.895"},{"id":17,"name":"Train ID","value":"1803-11"},{"id":16,"name":"Locomotive ID","value":"4032"},{"id":130,"name":"Impact","value":""},{"id":150,"name":"Time of Event (Mountain Time)","value":"07:34:36"},{"id":151,"name":"Denver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8"/>
        <v>start /low /b %USERPROFILE%\Documents\GitHub\eaglep3\Utilities\DownloadLogsFromS3.py --loco 4032 --day 2017-06-11</v>
      </c>
      <c r="AN160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691</v>
      </c>
      <c r="B161" s="7">
        <v>4031</v>
      </c>
      <c r="C161" s="21" t="s">
        <v>204</v>
      </c>
      <c r="D161" s="21" t="s">
        <v>871</v>
      </c>
      <c r="E161" s="13">
        <v>42897.316712962966</v>
      </c>
      <c r="F161" s="13">
        <v>42897.31826388889</v>
      </c>
      <c r="G161" s="7">
        <v>1</v>
      </c>
      <c r="H161" s="21" t="s">
        <v>870</v>
      </c>
      <c r="I161" s="13">
        <v>42897.330138888887</v>
      </c>
      <c r="J161" s="7">
        <v>0</v>
      </c>
      <c r="K161" s="92" t="str">
        <f t="shared" si="54"/>
        <v>4031/4032</v>
      </c>
      <c r="L161" s="21" t="str">
        <f>VLOOKUP(A161,'Trips&amp;Operators'!$C$1:$G$99999,5,FALSE)</f>
        <v>DAVIDSON DAVID</v>
      </c>
      <c r="M161" s="6">
        <f t="shared" si="55"/>
        <v>1.187499999650754E-2</v>
      </c>
      <c r="N161" s="7">
        <f t="shared" si="56"/>
        <v>17.099999994970858</v>
      </c>
      <c r="O161" s="7"/>
      <c r="P161" s="7"/>
      <c r="Q161" s="22"/>
      <c r="R161" s="173"/>
      <c r="S161" s="176">
        <f t="shared" si="57"/>
        <v>1</v>
      </c>
      <c r="T161" s="202" t="str">
        <f t="shared" si="58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9"/>
        <v>https://d0f6bd738d7f1b3e5a7ca70fe4ff75f0.us-east-1.aws.found.io/app/kibana#/discover/Steve-Slow-Train-Analysis-(2080s-and-2083s)?_g=(refreshInterval:(display:Off,pause:!f,section:0,value:0),time:(from:'2017-06-11T06:36:04-0600',mode:absolute,to:'2017-06-11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204" t="str">
        <f t="shared" si="60"/>
        <v>N</v>
      </c>
      <c r="X161" s="204">
        <f t="shared" ref="X161:X192" si="73">VALUE(LEFT(AD161,4))-VALUE(LEFT(AD160,4))</f>
        <v>1</v>
      </c>
      <c r="Y161" s="204">
        <f t="shared" si="70"/>
        <v>5.8638000000000003</v>
      </c>
      <c r="Z161" s="204">
        <f t="shared" si="71"/>
        <v>6.8900000000000003E-2</v>
      </c>
      <c r="AA161" s="204">
        <f t="shared" si="61"/>
        <v>5.7949000000000002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2"/>
        <v>1804-11</v>
      </c>
      <c r="AE161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61" s="77" t="str">
        <f t="shared" si="64"/>
        <v>"C:\Program Files (x86)\AstroGrep\AstroGrep.exe" /e /r /s /spath="%USERPROFILE%\AppData\Local\Temp\OnboardLogs" /stypes="app*4031*20170611*" /stext=" 13:.+((SYSTEM_STATE.+slice.+state.+changed )|(ment ac)|(multiple cpu faults)|(system.+state.+changed )|(\[timeout)|(PRM\|1\|D)|(kpr)|(kdp)|(train st.+moving)|(\|lc)|(penalty))"</v>
      </c>
      <c r="AG161" s="1" t="str">
        <f t="shared" si="65"/>
        <v>NW</v>
      </c>
      <c r="AH161" s="81" t="str">
        <f t="shared" si="66"/>
        <v>"%USERPROFILE%\Documents\GitHub\eaglep3\Utilities\RefineRTDCRunTimes.py" --tripid 1804-11 --locoid 4031 --swversion DE.1.0.9.0 --startMP 300:58638 --initTime 2017-06-11T07:36:04 --startdatetime 2017-06-11T07:38:18 --delay 1 --endMP 204:689 --enddatetime 2017-06-11T07:55:24 --enforcementcount 0 &gt;&gt;C:\Users\stu\Documents\GitHub\eaglep3-reporting\EC\2017-06-11-refined-times.txt</v>
      </c>
      <c r="AI161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{"issue":{"subject":"","project_id":79,"tracker_id":40,"status_id":1,"priority_id":2,"assigned_to_id":23,"start_date":"2017-06-11","description":"","custom_fields":[{"id":1,"name":"Subdivision","value":"NW"},{"id":4,"name":"Milepost","value":"0.0689"},{"id":17,"name":"Train ID","value":"1804-11"},{"id":16,"name":"Locomotive ID","value":"4031"},{"id":130,"name":"Impact","value":""},{"id":150,"name":"Time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8"/>
        <v>start /low /b %USERPROFILE%\Documents\GitHub\eaglep3\Utilities\DownloadLogsFromS3.py --loco 4031 --day 2017-06-11</v>
      </c>
      <c r="AN161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696</v>
      </c>
      <c r="B162" s="7">
        <v>4032</v>
      </c>
      <c r="C162" s="21" t="s">
        <v>204</v>
      </c>
      <c r="D162" s="21" t="s">
        <v>872</v>
      </c>
      <c r="E162" s="13">
        <v>42897.332395833335</v>
      </c>
      <c r="F162" s="13">
        <v>42897.348101851851</v>
      </c>
      <c r="G162" s="7">
        <v>1</v>
      </c>
      <c r="H162" s="21" t="s">
        <v>611</v>
      </c>
      <c r="I162" s="13">
        <v>42897.357743055552</v>
      </c>
      <c r="J162" s="7">
        <v>0</v>
      </c>
      <c r="K162" s="92" t="str">
        <f t="shared" si="54"/>
        <v>4031/4032</v>
      </c>
      <c r="L162" s="21" t="str">
        <f>VLOOKUP(A162,'Trips&amp;Operators'!$C$1:$G$99999,5,FALSE)</f>
        <v>DAVIDSON DAVID</v>
      </c>
      <c r="M162" s="6">
        <f t="shared" si="55"/>
        <v>9.6412037019035779E-3</v>
      </c>
      <c r="N162" s="7">
        <f t="shared" si="56"/>
        <v>13.883333330741152</v>
      </c>
      <c r="O162" s="7"/>
      <c r="P162" s="7"/>
      <c r="Q162" s="22"/>
      <c r="R162" s="173"/>
      <c r="S162" s="176">
        <f t="shared" si="57"/>
        <v>1</v>
      </c>
      <c r="T162" s="202" t="str">
        <f t="shared" si="58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9"/>
        <v>https://d0f6bd738d7f1b3e5a7ca70fe4ff75f0.us-east-1.aws.found.io/app/kibana#/discover/Steve-Slow-Train-Analysis-(2080s-and-2083s)?_g=(refreshInterval:(display:Off,pause:!f,section:0,value:0),time:(from:'2017-06-11T06:58:39-0600',mode:absolute,to:'2017-06-11T09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04" t="str">
        <f t="shared" si="60"/>
        <v>N</v>
      </c>
      <c r="X162" s="204">
        <f t="shared" si="73"/>
        <v>1</v>
      </c>
      <c r="Y162" s="204">
        <f t="shared" si="70"/>
        <v>9.7799999999999998E-2</v>
      </c>
      <c r="Z162" s="204">
        <f t="shared" si="71"/>
        <v>5.8939000000000004</v>
      </c>
      <c r="AA162" s="204">
        <f t="shared" si="61"/>
        <v>5.7961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2"/>
        <v>1805-11</v>
      </c>
      <c r="AE162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62" s="77" t="str">
        <f t="shared" si="64"/>
        <v>"C:\Program Files (x86)\AstroGrep\AstroGrep.exe" /e /r /s /spath="%USERPROFILE%\AppData\Local\Temp\OnboardLogs" /stypes="app*4032*20170611*" /stext=" 14:.+((SYSTEM_STATE.+slice.+state.+changed )|(ment ac)|(multiple cpu faults)|(system.+state.+changed )|(\[timeout)|(PRM\|1\|D)|(kpr)|(kdp)|(train st.+moving)|(\|lc)|(penalty))"</v>
      </c>
      <c r="AG162" s="1" t="str">
        <f t="shared" si="65"/>
        <v>NW</v>
      </c>
      <c r="AH162" s="81" t="str">
        <f t="shared" si="66"/>
        <v>"%USERPROFILE%\Documents\GitHub\eaglep3\Utilities\RefineRTDCRunTimes.py" --tripid 1805-11 --locoid 4032 --swversion DE.1.0.9.0 --startMP 204:978 --initTime 2017-06-11T07:58:39 --startdatetime 2017-06-11T08:21:16 --delay 1 --endMP 300:58939 --enddatetime 2017-06-11T08:35:09 --enforcementcount 0 &gt;&gt;C:\Users\stu\Documents\GitHub\eaglep3-reporting\EC\2017-06-11-refined-times.txt</v>
      </c>
      <c r="AI162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{"issue":{"subject":"","project_id":79,"tracker_id":40,"status_id":1,"priority_id":2,"assigned_to_id":23,"start_date":"2017-06-11","description":"","custom_fields":[{"id":1,"name":"Subdivision","value":"NW"},{"id":4,"name":"Milepost","value":"5.8939"},{"id":17,"name":"Train ID","value":"1805-11"},{"id":16,"name":"Locomotive ID","value":"4032"},{"id":130,"name":"Impact","value":""},{"id":150,"name":"Time of Event (Mountain Time)","value":"08:35:09"},{"id":151,"name":"Denver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68"/>
        <v>start /low /b %USERPROFILE%\Documents\GitHub\eaglep3\Utilities\DownloadLogsFromS3.py --loco 4032 --day 2017-06-11</v>
      </c>
      <c r="AN162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701</v>
      </c>
      <c r="B163" s="7">
        <v>4031</v>
      </c>
      <c r="C163" s="21" t="s">
        <v>204</v>
      </c>
      <c r="D163" s="21" t="s">
        <v>603</v>
      </c>
      <c r="E163" s="13">
        <v>42897.358831018515</v>
      </c>
      <c r="F163" s="13">
        <v>42897.360312500001</v>
      </c>
      <c r="G163" s="7">
        <v>1</v>
      </c>
      <c r="H163" s="21" t="s">
        <v>873</v>
      </c>
      <c r="I163" s="13">
        <v>42897.371817129628</v>
      </c>
      <c r="J163" s="7">
        <v>0</v>
      </c>
      <c r="K163" s="92" t="str">
        <f t="shared" si="54"/>
        <v>4031/4032</v>
      </c>
      <c r="L163" s="21" t="str">
        <f>VLOOKUP(A163,'Trips&amp;Operators'!$C$1:$G$99999,5,FALSE)</f>
        <v>DAVIDSON DAVID</v>
      </c>
      <c r="M163" s="6">
        <f t="shared" si="55"/>
        <v>1.1504629626870155E-2</v>
      </c>
      <c r="N163" s="7">
        <f t="shared" si="56"/>
        <v>16.566666662693024</v>
      </c>
      <c r="O163" s="7"/>
      <c r="P163" s="7"/>
      <c r="Q163" s="22"/>
      <c r="R163" s="173"/>
      <c r="S163" s="176">
        <f t="shared" si="57"/>
        <v>1</v>
      </c>
      <c r="T163" s="202" t="str">
        <f t="shared" si="58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9"/>
        <v>https://d0f6bd738d7f1b3e5a7ca70fe4ff75f0.us-east-1.aws.found.io/app/kibana#/discover/Steve-Slow-Train-Analysis-(2080s-and-2083s)?_g=(refreshInterval:(display:Off,pause:!f,section:0,value:0),time:(from:'2017-06-11T07:36:43-0600',mode:absolute,to:'2017-06-11T09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04" t="str">
        <f t="shared" si="60"/>
        <v>N</v>
      </c>
      <c r="X163" s="204">
        <f t="shared" si="73"/>
        <v>1</v>
      </c>
      <c r="Y163" s="204">
        <f t="shared" si="70"/>
        <v>5.8624000000000001</v>
      </c>
      <c r="Z163" s="204">
        <f t="shared" si="71"/>
        <v>6.9800000000000001E-2</v>
      </c>
      <c r="AA163" s="204">
        <f t="shared" si="61"/>
        <v>5.7926000000000002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2"/>
        <v>1806-11</v>
      </c>
      <c r="AE163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63" s="77" t="str">
        <f t="shared" si="64"/>
        <v>"C:\Program Files (x86)\AstroGrep\AstroGrep.exe" /e /r /s /spath="%USERPROFILE%\AppData\Local\Temp\OnboardLogs" /stypes="app*4031*20170611*" /stext=" 14:.+((SYSTEM_STATE.+slice.+state.+changed )|(ment ac)|(multiple cpu faults)|(system.+state.+changed )|(\[timeout)|(PRM\|1\|D)|(kpr)|(kdp)|(train st.+moving)|(\|lc)|(penalty))"</v>
      </c>
      <c r="AG163" s="1" t="str">
        <f t="shared" si="65"/>
        <v>NW</v>
      </c>
      <c r="AH163" s="81" t="str">
        <f t="shared" si="66"/>
        <v>"%USERPROFILE%\Documents\GitHub\eaglep3\Utilities\RefineRTDCRunTimes.py" --tripid 1806-11 --locoid 4031 --swversion DE.1.0.9.0 --startMP 300:58624 --initTime 2017-06-11T08:36:43 --startdatetime 2017-06-11T08:38:51 --delay 1 --endMP 204:698 --enddatetime 2017-06-11T08:55:25 --enforcementcount 0 &gt;&gt;C:\Users\stu\Documents\GitHub\eaglep3-reporting\EC\2017-06-11-refined-times.txt</v>
      </c>
      <c r="AI163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{"issue":{"subject":"","project_id":79,"tracker_id":40,"status_id":1,"priority_id":2,"assigned_to_id":23,"start_date":"2017-06-11","description":"","custom_fields":[{"id":1,"name":"Subdivision","value":"NW"},{"id":4,"name":"Milepost","value":"0.0698"},{"id":17,"name":"Train ID","value":"1806-11"},{"id":16,"name":"Locomotive ID","value":"4031"},{"id":130,"name":"Impact","value":""},{"id":150,"name":"Time of Event (Mountain Time)","value":"08:55:25"},{"id":151,"name":"Denver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8"/>
        <v>start /low /b %USERPROFILE%\Documents\GitHub\eaglep3\Utilities\DownloadLogsFromS3.py --loco 4031 --day 2017-06-11</v>
      </c>
      <c r="AN163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14:55:25"},{"id":29,"name":"Sharepoint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704</v>
      </c>
      <c r="B164" s="7">
        <v>4032</v>
      </c>
      <c r="C164" s="21" t="s">
        <v>204</v>
      </c>
      <c r="D164" s="21" t="s">
        <v>608</v>
      </c>
      <c r="E164" s="13">
        <v>42897.373194444444</v>
      </c>
      <c r="F164" s="13">
        <v>42897.389814814815</v>
      </c>
      <c r="G164" s="7">
        <v>1</v>
      </c>
      <c r="H164" s="21" t="s">
        <v>874</v>
      </c>
      <c r="I164" s="13">
        <v>42897.399201388886</v>
      </c>
      <c r="J164" s="7">
        <v>0</v>
      </c>
      <c r="K164" s="92" t="str">
        <f t="shared" si="54"/>
        <v>4031/4032</v>
      </c>
      <c r="L164" s="21" t="str">
        <f>VLOOKUP(A164,'Trips&amp;Operators'!$C$1:$G$99999,5,FALSE)</f>
        <v>DAVIDSON DAVID</v>
      </c>
      <c r="M164" s="6">
        <f t="shared" si="55"/>
        <v>9.3865740709588863E-3</v>
      </c>
      <c r="N164" s="7">
        <f t="shared" si="56"/>
        <v>13.516666662180796</v>
      </c>
      <c r="O164" s="7"/>
      <c r="P164" s="7"/>
      <c r="Q164" s="22"/>
      <c r="R164" s="173"/>
      <c r="S164" s="176">
        <f t="shared" si="57"/>
        <v>1</v>
      </c>
      <c r="T164" s="202" t="str">
        <f t="shared" si="58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9"/>
        <v>https://d0f6bd738d7f1b3e5a7ca70fe4ff75f0.us-east-1.aws.found.io/app/kibana#/discover/Steve-Slow-Train-Analysis-(2080s-and-2083s)?_g=(refreshInterval:(display:Off,pause:!f,section:0,value:0),time:(from:'2017-06-11T07:57:24-0600',mode:absolute,to:'2017-06-11T10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204" t="str">
        <f t="shared" si="60"/>
        <v>N</v>
      </c>
      <c r="X164" s="204">
        <f t="shared" si="73"/>
        <v>1</v>
      </c>
      <c r="Y164" s="204">
        <f t="shared" si="70"/>
        <v>9.8599999999999993E-2</v>
      </c>
      <c r="Z164" s="204">
        <f t="shared" si="71"/>
        <v>5.8959999999999999</v>
      </c>
      <c r="AA164" s="204">
        <f t="shared" si="61"/>
        <v>5.7973999999999997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2"/>
        <v>1807-11</v>
      </c>
      <c r="AE164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64" s="77" t="str">
        <f t="shared" si="64"/>
        <v>"C:\Program Files (x86)\AstroGrep\AstroGrep.exe" /e /r /s /spath="%USERPROFILE%\AppData\Local\Temp\OnboardLogs" /stypes="app*4032*20170611*" /stext=" 15:.+((SYSTEM_STATE.+slice.+state.+changed )|(ment ac)|(multiple cpu faults)|(system.+state.+changed )|(\[timeout)|(PRM\|1\|D)|(kpr)|(kdp)|(train st.+moving)|(\|lc)|(penalty))"</v>
      </c>
      <c r="AG164" s="1" t="str">
        <f t="shared" si="65"/>
        <v>NW</v>
      </c>
      <c r="AH164" s="81" t="str">
        <f t="shared" si="66"/>
        <v>"%USERPROFILE%\Documents\GitHub\eaglep3\Utilities\RefineRTDCRunTimes.py" --tripid 1807-11 --locoid 4032 --swversion DE.1.0.9.0 --startMP 204:986 --initTime 2017-06-11T08:57:24 --startdatetime 2017-06-11T09:21:20 --delay 1 --endMP 300:58960 --enddatetime 2017-06-11T09:34:51 --enforcementcount 0 &gt;&gt;C:\Users\stu\Documents\GitHub\eaglep3-reporting\EC\2017-06-11-refined-times.txt</v>
      </c>
      <c r="AI164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{"issue":{"subject":"","project_id":79,"tracker_id":40,"status_id":1,"priority_id":2,"assigned_to_id":23,"start_date":"2017-06-11","description":"","custom_fields":[{"id":1,"name":"Subdivision","value":"NW"},{"id":4,"name":"Milepost","value":"5.896"},{"id":17,"name":"Train ID","value":"1807-11"},{"id":16,"name":"Locomotive ID","value":"4032"},{"id":130,"name":"Impact","value":""},{"id":150,"name":"Time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8"/>
        <v>start /low /b %USERPROFILE%\Documents\GitHub\eaglep3\Utilities\DownloadLogsFromS3.py --loco 4032 --day 2017-06-11</v>
      </c>
      <c r="AN164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708</v>
      </c>
      <c r="B165" s="7">
        <v>4031</v>
      </c>
      <c r="C165" s="21" t="s">
        <v>204</v>
      </c>
      <c r="D165" s="21" t="s">
        <v>875</v>
      </c>
      <c r="E165" s="13">
        <v>42897.400254629632</v>
      </c>
      <c r="F165" s="13">
        <v>42897.401631944442</v>
      </c>
      <c r="G165" s="7">
        <v>1</v>
      </c>
      <c r="H165" s="21" t="s">
        <v>876</v>
      </c>
      <c r="I165" s="13">
        <v>42897.413425925923</v>
      </c>
      <c r="J165" s="7">
        <v>0</v>
      </c>
      <c r="K165" s="92" t="str">
        <f t="shared" si="54"/>
        <v>4031/4032</v>
      </c>
      <c r="L165" s="21" t="str">
        <f>VLOOKUP(A165,'Trips&amp;Operators'!$C$1:$G$99999,5,FALSE)</f>
        <v>DAVIDSON DAVID</v>
      </c>
      <c r="M165" s="6">
        <f t="shared" si="55"/>
        <v>1.1793981480877846E-2</v>
      </c>
      <c r="N165" s="7">
        <f t="shared" si="56"/>
        <v>16.983333332464099</v>
      </c>
      <c r="O165" s="7"/>
      <c r="P165" s="7"/>
      <c r="Q165" s="22"/>
      <c r="R165" s="173"/>
      <c r="S165" s="176">
        <f t="shared" si="57"/>
        <v>1</v>
      </c>
      <c r="T165" s="202" t="str">
        <f t="shared" si="58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9"/>
        <v>https://d0f6bd738d7f1b3e5a7ca70fe4ff75f0.us-east-1.aws.found.io/app/kibana#/discover/Steve-Slow-Train-Analysis-(2080s-and-2083s)?_g=(refreshInterval:(display:Off,pause:!f,section:0,value:0),time:(from:'2017-06-11T08:36:22-0600',mode:absolute,to:'2017-06-11T10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204" t="str">
        <f t="shared" si="60"/>
        <v>N</v>
      </c>
      <c r="X165" s="204">
        <f t="shared" si="73"/>
        <v>1</v>
      </c>
      <c r="Y165" s="204">
        <f t="shared" si="70"/>
        <v>5.8644999999999996</v>
      </c>
      <c r="Z165" s="204">
        <f t="shared" si="71"/>
        <v>6.8699999999999997E-2</v>
      </c>
      <c r="AA165" s="204">
        <f t="shared" si="61"/>
        <v>5.7957999999999998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2"/>
        <v>1808-11</v>
      </c>
      <c r="AE165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65" s="77" t="str">
        <f t="shared" si="64"/>
        <v>"C:\Program Files (x86)\AstroGrep\AstroGrep.exe" /e /r /s /spath="%USERPROFILE%\AppData\Local\Temp\OnboardLogs" /stypes="app*4031*20170611*" /stext=" 15:.+((SYSTEM_STATE.+slice.+state.+changed )|(ment ac)|(multiple cpu faults)|(system.+state.+changed )|(\[timeout)|(PRM\|1\|D)|(kpr)|(kdp)|(train st.+moving)|(\|lc)|(penalty))"</v>
      </c>
      <c r="AG165" s="1" t="str">
        <f t="shared" si="65"/>
        <v>NW</v>
      </c>
      <c r="AH165" s="81" t="str">
        <f t="shared" si="66"/>
        <v>"%USERPROFILE%\Documents\GitHub\eaglep3\Utilities\RefineRTDCRunTimes.py" --tripid 1808-11 --locoid 4031 --swversion DE.1.0.9.0 --startMP 300:58645 --initTime 2017-06-11T09:36:22 --startdatetime 2017-06-11T09:38:21 --delay 1 --endMP 204:687 --enddatetime 2017-06-11T09:55:20 --enforcementcount 0 &gt;&gt;C:\Users\stu\Documents\GitHub\eaglep3-reporting\EC\2017-06-11-refined-times.txt</v>
      </c>
      <c r="AI165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{"issue":{"subject":"","project_id":79,"tracker_id":40,"status_id":1,"priority_id":2,"assigned_to_id":23,"start_date":"2017-06-11","description":"","custom_fields":[{"id":1,"name":"Subdivision","value":"NW"},{"id":4,"name":"Milepost","value":"0.0687"},{"id":17,"name":"Train ID","value":"1808-11"},{"id":16,"name":"Locomotive ID","value":"4031"},{"id":130,"name":"Impact","value":""},{"id":150,"name":"Time of Event (Mountain Time)","value":"09:55:20"},{"id":151,"name":"Denver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8"/>
        <v>start /low /b %USERPROFILE%\Documents\GitHub\eaglep3\Utilities\DownloadLogsFromS3.py --loco 4031 --day 2017-06-11</v>
      </c>
      <c r="AN165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15:55:20"},{"id":29,"name":"Sharepoint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712</v>
      </c>
      <c r="B166" s="7">
        <v>4032</v>
      </c>
      <c r="C166" s="21" t="s">
        <v>204</v>
      </c>
      <c r="D166" s="21" t="s">
        <v>609</v>
      </c>
      <c r="E166" s="13">
        <v>42897.415289351855</v>
      </c>
      <c r="F166" s="13">
        <v>42897.431446759256</v>
      </c>
      <c r="G166" s="7">
        <v>1</v>
      </c>
      <c r="H166" s="21" t="s">
        <v>877</v>
      </c>
      <c r="I166" s="13">
        <v>42897.441493055558</v>
      </c>
      <c r="J166" s="7">
        <v>0</v>
      </c>
      <c r="K166" s="92" t="str">
        <f t="shared" si="54"/>
        <v>4031/4032</v>
      </c>
      <c r="L166" s="21" t="str">
        <f>VLOOKUP(A166,'Trips&amp;Operators'!$C$1:$G$99999,5,FALSE)</f>
        <v>DAVIDSON DAVID</v>
      </c>
      <c r="M166" s="6">
        <f t="shared" si="55"/>
        <v>1.004629630187992E-2</v>
      </c>
      <c r="N166" s="7">
        <f t="shared" si="56"/>
        <v>14.466666674707085</v>
      </c>
      <c r="O166" s="7"/>
      <c r="P166" s="7"/>
      <c r="Q166" s="22"/>
      <c r="R166" s="173"/>
      <c r="S166" s="176">
        <f t="shared" si="57"/>
        <v>1</v>
      </c>
      <c r="T166" s="202" t="str">
        <f t="shared" si="58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9"/>
        <v>https://d0f6bd738d7f1b3e5a7ca70fe4ff75f0.us-east-1.aws.found.io/app/kibana#/discover/Steve-Slow-Train-Analysis-(2080s-and-2083s)?_g=(refreshInterval:(display:Off,pause:!f,section:0,value:0),time:(from:'2017-06-11T08:58:01-0600',mode:absolute,to:'2017-06-11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04" t="str">
        <f t="shared" si="60"/>
        <v>N</v>
      </c>
      <c r="X166" s="204">
        <f t="shared" si="73"/>
        <v>1</v>
      </c>
      <c r="Y166" s="204">
        <f t="shared" si="70"/>
        <v>9.9000000000000005E-2</v>
      </c>
      <c r="Z166" s="204">
        <f t="shared" si="71"/>
        <v>5.8948</v>
      </c>
      <c r="AA166" s="204">
        <f t="shared" si="61"/>
        <v>5.7957999999999998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2"/>
        <v>1809-11</v>
      </c>
      <c r="AE166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66" s="77" t="str">
        <f t="shared" si="64"/>
        <v>"C:\Program Files (x86)\AstroGrep\AstroGrep.exe" /e /r /s /spath="%USERPROFILE%\AppData\Local\Temp\OnboardLogs" /stypes="app*4032*20170611*" /stext=" 16:.+((SYSTEM_STATE.+slice.+state.+changed )|(ment ac)|(multiple cpu faults)|(system.+state.+changed )|(\[timeout)|(PRM\|1\|D)|(kpr)|(kdp)|(train st.+moving)|(\|lc)|(penalty))"</v>
      </c>
      <c r="AG166" s="1" t="str">
        <f t="shared" si="65"/>
        <v>NW</v>
      </c>
      <c r="AH166" s="81" t="str">
        <f t="shared" si="66"/>
        <v>"%USERPROFILE%\Documents\GitHub\eaglep3\Utilities\RefineRTDCRunTimes.py" --tripid 1809-11 --locoid 4032 --swversion DE.1.0.9.0 --startMP 204:990 --initTime 2017-06-11T09:58:01 --startdatetime 2017-06-11T10:21:17 --delay 1 --endMP 300:58948 --enddatetime 2017-06-11T10:35:45 --enforcementcount 0 &gt;&gt;C:\Users\stu\Documents\GitHub\eaglep3-reporting\EC\2017-06-11-refined-times.txt</v>
      </c>
      <c r="AI166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{"issue":{"subject":"","project_id":79,"tracker_id":40,"status_id":1,"priority_id":2,"assigned_to_id":23,"start_date":"2017-06-11","description":"","custom_fields":[{"id":1,"name":"Subdivision","value":"NW"},{"id":4,"name":"Milepost","value":"5.8948"},{"id":17,"name":"Train ID","value":"1809-11"},{"id":16,"name":"Locomotive ID","value":"4032"},{"id":130,"name":"Impact","value":""},{"id":150,"name":"Time of Event (Mountain Time)","value":"10:35:45"},{"id":151,"name":"Denver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8"/>
        <v>start /low /b %USERPROFILE%\Documents\GitHub\eaglep3\Utilities\DownloadLogsFromS3.py --loco 4032 --day 2017-06-11</v>
      </c>
      <c r="AN166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625</v>
      </c>
      <c r="B167" s="7">
        <v>4031</v>
      </c>
      <c r="C167" s="21" t="s">
        <v>204</v>
      </c>
      <c r="D167" s="21" t="s">
        <v>607</v>
      </c>
      <c r="E167" s="13">
        <v>42897.442407407405</v>
      </c>
      <c r="F167" s="13">
        <v>42897.44390046296</v>
      </c>
      <c r="G167" s="7">
        <v>1</v>
      </c>
      <c r="H167" s="21" t="s">
        <v>878</v>
      </c>
      <c r="I167" s="13">
        <v>42897.455127314817</v>
      </c>
      <c r="J167" s="7">
        <v>0</v>
      </c>
      <c r="K167" s="92" t="str">
        <f t="shared" si="54"/>
        <v>4031/4032</v>
      </c>
      <c r="L167" s="21" t="str">
        <f>VLOOKUP(A167,'Trips&amp;Operators'!$C$1:$G$99999,5,FALSE)</f>
        <v>DAVIDSON DAVID</v>
      </c>
      <c r="M167" s="6">
        <f t="shared" si="55"/>
        <v>1.1226851856918074E-2</v>
      </c>
      <c r="N167" s="7">
        <f t="shared" si="56"/>
        <v>16.166666673962027</v>
      </c>
      <c r="O167" s="7"/>
      <c r="P167" s="7"/>
      <c r="Q167" s="22"/>
      <c r="R167" s="173"/>
      <c r="S167" s="176">
        <f t="shared" si="57"/>
        <v>1</v>
      </c>
      <c r="T167" s="202" t="str">
        <f t="shared" si="58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9"/>
        <v>https://d0f6bd738d7f1b3e5a7ca70fe4ff75f0.us-east-1.aws.found.io/app/kibana#/discover/Steve-Slow-Train-Analysis-(2080s-and-2083s)?_g=(refreshInterval:(display:Off,pause:!f,section:0,value:0),time:(from:'2017-06-11T09:37:04-0600',mode:absolute,to:'2017-06-11T11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04" t="str">
        <f t="shared" si="60"/>
        <v>N</v>
      </c>
      <c r="X167" s="204">
        <f t="shared" si="73"/>
        <v>1</v>
      </c>
      <c r="Y167" s="204">
        <f t="shared" si="70"/>
        <v>5.8625999999999996</v>
      </c>
      <c r="Z167" s="204">
        <f t="shared" si="71"/>
        <v>7.0300000000000001E-2</v>
      </c>
      <c r="AA167" s="204">
        <f t="shared" si="61"/>
        <v>5.7923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2"/>
        <v>1810-11</v>
      </c>
      <c r="AE167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67" s="77" t="str">
        <f t="shared" si="64"/>
        <v>"C:\Program Files (x86)\AstroGrep\AstroGrep.exe" /e /r /s /spath="%USERPROFILE%\AppData\Local\Temp\OnboardLogs" /stypes="app*4031*20170611*" /stext=" 16:.+((SYSTEM_STATE.+slice.+state.+changed )|(ment ac)|(multiple cpu faults)|(system.+state.+changed )|(\[timeout)|(PRM\|1\|D)|(kpr)|(kdp)|(train st.+moving)|(\|lc)|(penalty))"</v>
      </c>
      <c r="AG167" s="1" t="str">
        <f t="shared" si="65"/>
        <v>NW</v>
      </c>
      <c r="AH167" s="81" t="str">
        <f t="shared" si="66"/>
        <v>"%USERPROFILE%\Documents\GitHub\eaglep3\Utilities\RefineRTDCRunTimes.py" --tripid 1810-11 --locoid 4031 --swversion DE.1.0.9.0 --startMP 300:58626 --initTime 2017-06-11T10:37:04 --startdatetime 2017-06-11T10:39:13 --delay 1 --endMP 204:703 --enddatetime 2017-06-11T10:55:23 --enforcementcount 0 &gt;&gt;C:\Users\stu\Documents\GitHub\eaglep3-reporting\EC\2017-06-11-refined-times.txt</v>
      </c>
      <c r="AI167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{"issue":{"subject":"","project_id":79,"tracker_id":40,"status_id":1,"priority_id":2,"assigned_to_id":23,"start_date":"2017-06-11","description":"","custom_fields":[{"id":1,"name":"Subdivision","value":"NW"},{"id":4,"name":"Milepost","value":"0.0703"},{"id":17,"name":"Train ID","value":"1810-11"},{"id":16,"name":"Locomotive ID","value":"4031"},{"id":130,"name":"Impact","value":""},{"id":150,"name":"Time of Event (Mountain Time)","value":"10:55:23"},{"id":151,"name":"Denver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8"/>
        <v>start /low /b %USERPROFILE%\Documents\GitHub\eaglep3\Utilities\DownloadLogsFromS3.py --loco 4031 --day 2017-06-11</v>
      </c>
      <c r="AN167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16:55:23"},{"id":29,"name":"Sharepoint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720</v>
      </c>
      <c r="B168" s="7">
        <v>4032</v>
      </c>
      <c r="C168" s="21" t="s">
        <v>204</v>
      </c>
      <c r="D168" s="21" t="s">
        <v>879</v>
      </c>
      <c r="E168" s="13">
        <v>42897.457395833335</v>
      </c>
      <c r="F168" s="13">
        <v>42897.473113425927</v>
      </c>
      <c r="G168" s="7">
        <v>1</v>
      </c>
      <c r="H168" s="21" t="s">
        <v>880</v>
      </c>
      <c r="I168" s="13">
        <v>42897.482847222222</v>
      </c>
      <c r="J168" s="7">
        <v>0</v>
      </c>
      <c r="K168" s="92" t="str">
        <f t="shared" si="54"/>
        <v>4031/4032</v>
      </c>
      <c r="L168" s="21" t="str">
        <f>VLOOKUP(A168,'Trips&amp;Operators'!$C$1:$G$99999,5,FALSE)</f>
        <v>DAVIDSON DAVID</v>
      </c>
      <c r="M168" s="6">
        <f t="shared" si="55"/>
        <v>9.7337962943129241E-3</v>
      </c>
      <c r="N168" s="7">
        <f t="shared" si="56"/>
        <v>14.016666663810611</v>
      </c>
      <c r="O168" s="7"/>
      <c r="P168" s="7"/>
      <c r="Q168" s="22"/>
      <c r="R168" s="173"/>
      <c r="S168" s="176">
        <f t="shared" si="57"/>
        <v>1</v>
      </c>
      <c r="T168" s="202" t="str">
        <f t="shared" si="58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9"/>
        <v>https://d0f6bd738d7f1b3e5a7ca70fe4ff75f0.us-east-1.aws.found.io/app/kibana#/discover/Steve-Slow-Train-Analysis-(2080s-and-2083s)?_g=(refreshInterval:(display:Off,pause:!f,section:0,value:0),time:(from:'2017-06-11T09:58:39-0600',mode:absolute,to:'2017-06-11T12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204" t="str">
        <f t="shared" si="60"/>
        <v>N</v>
      </c>
      <c r="X168" s="204">
        <f t="shared" si="73"/>
        <v>1</v>
      </c>
      <c r="Y168" s="204">
        <f t="shared" si="70"/>
        <v>0.1002</v>
      </c>
      <c r="Z168" s="204">
        <f t="shared" si="71"/>
        <v>5.8943000000000003</v>
      </c>
      <c r="AA168" s="204">
        <f t="shared" si="61"/>
        <v>5.7941000000000003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2"/>
        <v>1811-11</v>
      </c>
      <c r="AE168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68" s="77" t="str">
        <f t="shared" si="64"/>
        <v>"C:\Program Files (x86)\AstroGrep\AstroGrep.exe" /e /r /s /spath="%USERPROFILE%\AppData\Local\Temp\OnboardLogs" /stypes="app*4032*20170611*" /stext=" 17:.+((SYSTEM_STATE.+slice.+state.+changed )|(ment ac)|(multiple cpu faults)|(system.+state.+changed )|(\[timeout)|(PRM\|1\|D)|(kpr)|(kdp)|(train st.+moving)|(\|lc)|(penalty))"</v>
      </c>
      <c r="AG168" s="1" t="str">
        <f t="shared" si="65"/>
        <v>NW</v>
      </c>
      <c r="AH168" s="81" t="str">
        <f t="shared" si="66"/>
        <v>"%USERPROFILE%\Documents\GitHub\eaglep3\Utilities\RefineRTDCRunTimes.py" --tripid 1811-11 --locoid 4032 --swversion DE.1.0.9.0 --startMP 204:1002 --initTime 2017-06-11T10:58:39 --startdatetime 2017-06-11T11:21:17 --delay 1 --endMP 300:58943 --enddatetime 2017-06-11T11:35:18 --enforcementcount 0 &gt;&gt;C:\Users\stu\Documents\GitHub\eaglep3-reporting\EC\2017-06-11-refined-times.txt</v>
      </c>
      <c r="AI168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{"issue":{"subject":"","project_id":79,"tracker_id":40,"status_id":1,"priority_id":2,"assigned_to_id":23,"start_date":"2017-06-11","description":"","custom_fields":[{"id":1,"name":"Subdivision","value":"NW"},{"id":4,"name":"Milepost","value":"5.8943"},{"id":17,"name":"Train ID","value":"1811-11"},{"id":16,"name":"Locomotive ID","value":"4032"},{"id":130,"name":"Impact","value":""},{"id":150,"name":"Time of Event (Mountain Time)","value":"11:35:18"},{"id":151,"name":"Denver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8"/>
        <v>start /low /b %USERPROFILE%\Documents\GitHub\eaglep3\Utilities\DownloadLogsFromS3.py --loco 4032 --day 2017-06-11</v>
      </c>
      <c r="AN168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725</v>
      </c>
      <c r="B169" s="7">
        <v>4031</v>
      </c>
      <c r="C169" s="21" t="s">
        <v>204</v>
      </c>
      <c r="D169" s="21" t="s">
        <v>881</v>
      </c>
      <c r="E169" s="13">
        <v>42897.483993055554</v>
      </c>
      <c r="F169" s="13">
        <v>42897.48537037037</v>
      </c>
      <c r="G169" s="7">
        <v>1</v>
      </c>
      <c r="H169" s="21" t="s">
        <v>870</v>
      </c>
      <c r="I169" s="13">
        <v>42897.496759259258</v>
      </c>
      <c r="J169" s="7">
        <v>0</v>
      </c>
      <c r="K169" s="92" t="str">
        <f t="shared" si="54"/>
        <v>4031/4032</v>
      </c>
      <c r="L169" s="21" t="str">
        <f>VLOOKUP(A169,'Trips&amp;Operators'!$C$1:$G$99999,5,FALSE)</f>
        <v>DAVIDSON DAVID</v>
      </c>
      <c r="M169" s="6">
        <f t="shared" si="55"/>
        <v>1.1388888888177462E-2</v>
      </c>
      <c r="N169" s="7">
        <f t="shared" si="56"/>
        <v>16.399999998975545</v>
      </c>
      <c r="O169" s="7"/>
      <c r="P169" s="7"/>
      <c r="Q169" s="22"/>
      <c r="R169" s="173"/>
      <c r="S169" s="176">
        <f t="shared" si="57"/>
        <v>1</v>
      </c>
      <c r="T169" s="202" t="str">
        <f t="shared" si="58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9"/>
        <v>https://d0f6bd738d7f1b3e5a7ca70fe4ff75f0.us-east-1.aws.found.io/app/kibana#/discover/Steve-Slow-Train-Analysis-(2080s-and-2083s)?_g=(refreshInterval:(display:Off,pause:!f,section:0,value:0),time:(from:'2017-06-11T10:36:57-0600',mode:absolute,to:'2017-06-11T12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204" t="str">
        <f t="shared" si="60"/>
        <v>N</v>
      </c>
      <c r="X169" s="204">
        <f t="shared" si="73"/>
        <v>1</v>
      </c>
      <c r="Y169" s="204">
        <f t="shared" si="70"/>
        <v>5.8628</v>
      </c>
      <c r="Z169" s="204">
        <f t="shared" si="71"/>
        <v>6.8900000000000003E-2</v>
      </c>
      <c r="AA169" s="204">
        <f t="shared" si="61"/>
        <v>5.7938999999999998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2"/>
        <v>1812-11</v>
      </c>
      <c r="AE169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69" s="77" t="str">
        <f t="shared" si="64"/>
        <v>"C:\Program Files (x86)\AstroGrep\AstroGrep.exe" /e /r /s /spath="%USERPROFILE%\AppData\Local\Temp\OnboardLogs" /stypes="app*4031*20170611*" /stext=" 17:.+((SYSTEM_STATE.+slice.+state.+changed )|(ment ac)|(multiple cpu faults)|(system.+state.+changed )|(\[timeout)|(PRM\|1\|D)|(kpr)|(kdp)|(train st.+moving)|(\|lc)|(penalty))"</v>
      </c>
      <c r="AG169" s="1" t="str">
        <f t="shared" si="65"/>
        <v>NW</v>
      </c>
      <c r="AH169" s="81" t="str">
        <f t="shared" si="66"/>
        <v>"%USERPROFILE%\Documents\GitHub\eaglep3\Utilities\RefineRTDCRunTimes.py" --tripid 1812-11 --locoid 4031 --swversion DE.1.0.9.0 --startMP 300:58628 --initTime 2017-06-11T11:36:57 --startdatetime 2017-06-11T11:38:56 --delay 1 --endMP 204:689 --enddatetime 2017-06-11T11:55:20 --enforcementcount 0 &gt;&gt;C:\Users\stu\Documents\GitHub\eaglep3-reporting\EC\2017-06-11-refined-times.txt</v>
      </c>
      <c r="AI169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{"issue":{"subject":"","project_id":79,"tracker_id":40,"status_id":1,"priority_id":2,"assigned_to_id":23,"start_date":"2017-06-11","description":"","custom_fields":[{"id":1,"name":"Subdivision","value":"NW"},{"id":4,"name":"Milepost","value":"0.0689"},{"id":17,"name":"Train ID","value":"1812-11"},{"id":16,"name":"Locomotive ID","value":"4031"},{"id":130,"name":"Impact","value":""},{"id":150,"name":"Time of Event (Mountain Time)","value":"11:55:20"},{"id":151,"name":"Denver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8"/>
        <v>start /low /b %USERPROFILE%\Documents\GitHub\eaglep3\Utilities\DownloadLogsFromS3.py --loco 4031 --day 2017-06-11</v>
      </c>
      <c r="AN169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17:55:20"},{"id":29,"name":"Sharepoint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728</v>
      </c>
      <c r="B170" s="7">
        <v>4032</v>
      </c>
      <c r="C170" s="21" t="s">
        <v>204</v>
      </c>
      <c r="D170" s="21" t="s">
        <v>882</v>
      </c>
      <c r="E170" s="13">
        <v>42897.498553240737</v>
      </c>
      <c r="F170" s="13">
        <v>42897.514780092592</v>
      </c>
      <c r="G170" s="7">
        <v>1</v>
      </c>
      <c r="H170" s="21" t="s">
        <v>883</v>
      </c>
      <c r="I170" s="13">
        <v>42897.524548611109</v>
      </c>
      <c r="J170" s="7">
        <v>0</v>
      </c>
      <c r="K170" s="92" t="str">
        <f t="shared" si="54"/>
        <v>4031/4032</v>
      </c>
      <c r="L170" s="21" t="str">
        <f>VLOOKUP(A170,'Trips&amp;Operators'!$C$1:$G$99999,5,FALSE)</f>
        <v>DAVIDSON DAVID</v>
      </c>
      <c r="M170" s="6">
        <f t="shared" si="55"/>
        <v>9.7685185173759237E-3</v>
      </c>
      <c r="N170" s="7">
        <f t="shared" si="56"/>
        <v>14.06666666502133</v>
      </c>
      <c r="O170" s="7"/>
      <c r="P170" s="7"/>
      <c r="Q170" s="22"/>
      <c r="R170" s="173"/>
      <c r="S170" s="176">
        <f t="shared" si="57"/>
        <v>1</v>
      </c>
      <c r="T170" s="202" t="str">
        <f t="shared" si="58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9"/>
        <v>https://d0f6bd738d7f1b3e5a7ca70fe4ff75f0.us-east-1.aws.found.io/app/kibana#/discover/Steve-Slow-Train-Analysis-(2080s-and-2083s)?_g=(refreshInterval:(display:Off,pause:!f,section:0,value:0),time:(from:'2017-06-11T10:57:55-0600',mode:absolute,to:'2017-06-11T13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04" t="str">
        <f t="shared" si="60"/>
        <v>N</v>
      </c>
      <c r="X170" s="204">
        <f t="shared" si="73"/>
        <v>1</v>
      </c>
      <c r="Y170" s="204">
        <f t="shared" si="70"/>
        <v>9.8100000000000007E-2</v>
      </c>
      <c r="Z170" s="204">
        <f t="shared" si="71"/>
        <v>5.8956</v>
      </c>
      <c r="AA170" s="204">
        <f t="shared" si="61"/>
        <v>5.7975000000000003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2"/>
        <v>1813-11</v>
      </c>
      <c r="AE170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70" s="77" t="str">
        <f t="shared" si="64"/>
        <v>"C:\Program Files (x86)\AstroGrep\AstroGrep.exe" /e /r /s /spath="%USERPROFILE%\AppData\Local\Temp\OnboardLogs" /stypes="app*4032*20170611*" /stext=" 18:.+((SYSTEM_STATE.+slice.+state.+changed )|(ment ac)|(multiple cpu faults)|(system.+state.+changed )|(\[timeout)|(PRM\|1\|D)|(kpr)|(kdp)|(train st.+moving)|(\|lc)|(penalty))"</v>
      </c>
      <c r="AG170" s="1" t="str">
        <f t="shared" si="65"/>
        <v>NW</v>
      </c>
      <c r="AH170" s="81" t="str">
        <f t="shared" si="66"/>
        <v>"%USERPROFILE%\Documents\GitHub\eaglep3\Utilities\RefineRTDCRunTimes.py" --tripid 1813-11 --locoid 4032 --swversion DE.1.0.9.0 --startMP 204:981 --initTime 2017-06-11T11:57:55 --startdatetime 2017-06-11T12:21:17 --delay 1 --endMP 300:58956 --enddatetime 2017-06-11T12:35:21 --enforcementcount 0 &gt;&gt;C:\Users\stu\Documents\GitHub\eaglep3-reporting\EC\2017-06-11-refined-times.txt</v>
      </c>
      <c r="AI170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{"issue":{"subject":"","project_id":79,"tracker_id":40,"status_id":1,"priority_id":2,"assigned_to_id":23,"start_date":"2017-06-11","description":"","custom_fields":[{"id":1,"name":"Subdivision","value":"NW"},{"id":4,"name":"Milepost","value":"5.8956"},{"id":17,"name":"Train ID","value":"1813-11"},{"id":16,"name":"Locomotive ID","value":"4032"},{"id":130,"name":"Impact","value":""},{"id":150,"name":"Time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8"/>
        <v>start /low /b %USERPROFILE%\Documents\GitHub\eaglep3\Utilities\DownloadLogsFromS3.py --loco 4032 --day 2017-06-11</v>
      </c>
      <c r="AN170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735</v>
      </c>
      <c r="B171" s="7">
        <v>4031</v>
      </c>
      <c r="C171" s="21" t="s">
        <v>204</v>
      </c>
      <c r="D171" s="21" t="s">
        <v>604</v>
      </c>
      <c r="E171" s="13">
        <v>42897.52548611111</v>
      </c>
      <c r="F171" s="13">
        <v>42897.526875000003</v>
      </c>
      <c r="G171" s="7">
        <v>1</v>
      </c>
      <c r="H171" s="21" t="s">
        <v>870</v>
      </c>
      <c r="I171" s="13">
        <v>42897.538657407407</v>
      </c>
      <c r="J171" s="7">
        <v>0</v>
      </c>
      <c r="K171" s="92" t="str">
        <f t="shared" si="54"/>
        <v>4031/4032</v>
      </c>
      <c r="L171" s="21" t="str">
        <f>VLOOKUP(A171,'Trips&amp;Operators'!$C$1:$G$99999,5,FALSE)</f>
        <v>DAVIDSON DAVID</v>
      </c>
      <c r="M171" s="6">
        <f t="shared" si="55"/>
        <v>1.1782407404098194E-2</v>
      </c>
      <c r="N171" s="7">
        <f t="shared" si="56"/>
        <v>16.966666661901399</v>
      </c>
      <c r="O171" s="7"/>
      <c r="P171" s="7"/>
      <c r="Q171" s="22"/>
      <c r="R171" s="173"/>
      <c r="S171" s="176">
        <f t="shared" si="57"/>
        <v>1</v>
      </c>
      <c r="T171" s="202" t="str">
        <f t="shared" si="58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9"/>
        <v>https://d0f6bd738d7f1b3e5a7ca70fe4ff75f0.us-east-1.aws.found.io/app/kibana#/discover/Steve-Slow-Train-Analysis-(2080s-and-2083s)?_g=(refreshInterval:(display:Off,pause:!f,section:0,value:0),time:(from:'2017-06-11T11:36:42-0600',mode:absolute,to:'2017-06-11T13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04" t="str">
        <f t="shared" si="60"/>
        <v>N</v>
      </c>
      <c r="X171" s="204">
        <f t="shared" si="73"/>
        <v>1</v>
      </c>
      <c r="Y171" s="204">
        <f t="shared" si="70"/>
        <v>5.8635999999999999</v>
      </c>
      <c r="Z171" s="204">
        <f t="shared" si="71"/>
        <v>6.8900000000000003E-2</v>
      </c>
      <c r="AA171" s="204">
        <f t="shared" si="61"/>
        <v>5.7946999999999997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2"/>
        <v>1814-11</v>
      </c>
      <c r="AE171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71" s="77" t="str">
        <f t="shared" si="64"/>
        <v>"C:\Program Files (x86)\AstroGrep\AstroGrep.exe" /e /r /s /spath="%USERPROFILE%\AppData\Local\Temp\OnboardLogs" /stypes="app*4031*20170611*" /stext=" 18:.+((SYSTEM_STATE.+slice.+state.+changed )|(ment ac)|(multiple cpu faults)|(system.+state.+changed )|(\[timeout)|(PRM\|1\|D)|(kpr)|(kdp)|(train st.+moving)|(\|lc)|(penalty))"</v>
      </c>
      <c r="AG171" s="1" t="str">
        <f t="shared" si="65"/>
        <v>NW</v>
      </c>
      <c r="AH171" s="81" t="str">
        <f t="shared" si="66"/>
        <v>"%USERPROFILE%\Documents\GitHub\eaglep3\Utilities\RefineRTDCRunTimes.py" --tripid 1814-11 --locoid 4031 --swversion DE.1.0.9.0 --startMP 300:58636 --initTime 2017-06-11T12:36:42 --startdatetime 2017-06-11T12:38:42 --delay 1 --endMP 204:689 --enddatetime 2017-06-11T12:55:40 --enforcementcount 0 &gt;&gt;C:\Users\stu\Documents\GitHub\eaglep3-reporting\EC\2017-06-11-refined-times.txt</v>
      </c>
      <c r="AI171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{"issue":{"subject":"","project_id":79,"tracker_id":40,"status_id":1,"priority_id":2,"assigned_to_id":23,"start_date":"2017-06-11","description":"","custom_fields":[{"id":1,"name":"Subdivision","value":"NW"},{"id":4,"name":"Milepost","value":"0.0689"},{"id":17,"name":"Train ID","value":"1814-11"},{"id":16,"name":"Locomotive ID","value":"4031"},{"id":130,"name":"Impact","value":""},{"id":150,"name":"Time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8"/>
        <v>start /low /b %USERPROFILE%\Documents\GitHub\eaglep3\Utilities\DownloadLogsFromS3.py --loco 4031 --day 2017-06-11</v>
      </c>
      <c r="AN171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18:55:40"},{"id":29,"name":"Sharepoint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739</v>
      </c>
      <c r="B172" s="7">
        <v>4032</v>
      </c>
      <c r="C172" s="21" t="s">
        <v>204</v>
      </c>
      <c r="D172" s="21" t="s">
        <v>608</v>
      </c>
      <c r="E172" s="13">
        <v>42897.540856481479</v>
      </c>
      <c r="F172" s="13">
        <v>42897.556446759256</v>
      </c>
      <c r="G172" s="7">
        <v>1</v>
      </c>
      <c r="H172" s="21" t="s">
        <v>606</v>
      </c>
      <c r="I172" s="13">
        <v>42897.566527777781</v>
      </c>
      <c r="J172" s="7">
        <v>0</v>
      </c>
      <c r="K172" s="92" t="str">
        <f t="shared" si="54"/>
        <v>4031/4032</v>
      </c>
      <c r="L172" s="21" t="str">
        <f>VLOOKUP(A172,'Trips&amp;Operators'!$C$1:$G$99999,5,FALSE)</f>
        <v>DAVIDSON DAVID</v>
      </c>
      <c r="M172" s="6">
        <f t="shared" si="55"/>
        <v>1.008101852494292E-2</v>
      </c>
      <c r="N172" s="7">
        <f t="shared" si="56"/>
        <v>14.516666675917804</v>
      </c>
      <c r="O172" s="7"/>
      <c r="P172" s="7"/>
      <c r="Q172" s="22"/>
      <c r="R172" s="173"/>
      <c r="S172" s="176">
        <f t="shared" si="57"/>
        <v>1</v>
      </c>
      <c r="T172" s="202" t="str">
        <f t="shared" si="58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9"/>
        <v>https://d0f6bd738d7f1b3e5a7ca70fe4ff75f0.us-east-1.aws.found.io/app/kibana#/discover/Steve-Slow-Train-Analysis-(2080s-and-2083s)?_g=(refreshInterval:(display:Off,pause:!f,section:0,value:0),time:(from:'2017-06-11T11:58:50-0600',mode:absolute,to:'2017-06-11T14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04" t="str">
        <f t="shared" si="60"/>
        <v>N</v>
      </c>
      <c r="X172" s="204">
        <f t="shared" si="73"/>
        <v>1</v>
      </c>
      <c r="Y172" s="204">
        <f t="shared" si="70"/>
        <v>9.8599999999999993E-2</v>
      </c>
      <c r="Z172" s="204">
        <f t="shared" si="71"/>
        <v>5.8935000000000004</v>
      </c>
      <c r="AA172" s="204">
        <f t="shared" si="61"/>
        <v>5.7949000000000002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2"/>
        <v>1815-11</v>
      </c>
      <c r="AE172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72" s="77" t="str">
        <f t="shared" si="64"/>
        <v>"C:\Program Files (x86)\AstroGrep\AstroGrep.exe" /e /r /s /spath="%USERPROFILE%\AppData\Local\Temp\OnboardLogs" /stypes="app*4032*20170611*" /stext=" 19:.+((SYSTEM_STATE.+slice.+state.+changed )|(ment ac)|(multiple cpu faults)|(system.+state.+changed )|(\[timeout)|(PRM\|1\|D)|(kpr)|(kdp)|(train st.+moving)|(\|lc)|(penalty))"</v>
      </c>
      <c r="AG172" s="1" t="str">
        <f t="shared" si="65"/>
        <v>NW</v>
      </c>
      <c r="AH172" s="81" t="str">
        <f t="shared" si="66"/>
        <v>"%USERPROFILE%\Documents\GitHub\eaglep3\Utilities\RefineRTDCRunTimes.py" --tripid 1815-11 --locoid 4032 --swversion DE.1.0.9.0 --startMP 204:986 --initTime 2017-06-11T12:58:50 --startdatetime 2017-06-11T13:21:17 --delay 1 --endMP 300:58935 --enddatetime 2017-06-11T13:35:48 --enforcementcount 0 &gt;&gt;C:\Users\stu\Documents\GitHub\eaglep3-reporting\EC\2017-06-11-refined-times.txt</v>
      </c>
      <c r="AI172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{"issue":{"subject":"","project_id":79,"tracker_id":40,"status_id":1,"priority_id":2,"assigned_to_id":23,"start_date":"2017-06-11","description":"","custom_fields":[{"id":1,"name":"Subdivision","value":"NW"},{"id":4,"name":"Milepost","value":"5.8935"},{"id":17,"name":"Train ID","value":"1815-11"},{"id":16,"name":"Locomotive ID","value":"4032"},{"id":130,"name":"Impact","value":""},{"id":150,"name":"Time of Event (Mountain Time)","value":"13:35:48"},{"id":151,"name":"Denver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8"/>
        <v>start /low /b %USERPROFILE%\Documents\GitHub\eaglep3\Utilities\DownloadLogsFromS3.py --loco 4032 --day 2017-06-11</v>
      </c>
      <c r="AN172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744</v>
      </c>
      <c r="B173" s="7">
        <v>4031</v>
      </c>
      <c r="C173" s="21" t="s">
        <v>204</v>
      </c>
      <c r="D173" s="21" t="s">
        <v>603</v>
      </c>
      <c r="E173" s="13">
        <v>42897.567465277774</v>
      </c>
      <c r="F173" s="13">
        <v>42897.56890046296</v>
      </c>
      <c r="G173" s="7">
        <v>1</v>
      </c>
      <c r="H173" s="21" t="s">
        <v>884</v>
      </c>
      <c r="I173" s="13">
        <v>42897.580231481479</v>
      </c>
      <c r="J173" s="7">
        <v>0</v>
      </c>
      <c r="K173" s="92" t="str">
        <f t="shared" si="54"/>
        <v>4031/4032</v>
      </c>
      <c r="L173" s="21" t="str">
        <f>VLOOKUP(A173,'Trips&amp;Operators'!$C$1:$G$99999,5,FALSE)</f>
        <v>DAVIDSON DAVID</v>
      </c>
      <c r="M173" s="6">
        <f t="shared" si="55"/>
        <v>1.1331018518831115E-2</v>
      </c>
      <c r="N173" s="7">
        <f t="shared" si="56"/>
        <v>16.316666667116806</v>
      </c>
      <c r="O173" s="7"/>
      <c r="P173" s="7"/>
      <c r="Q173" s="22"/>
      <c r="R173" s="173"/>
      <c r="S173" s="176">
        <f t="shared" si="57"/>
        <v>1</v>
      </c>
      <c r="T173" s="202" t="str">
        <f t="shared" si="58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9"/>
        <v>https://d0f6bd738d7f1b3e5a7ca70fe4ff75f0.us-east-1.aws.found.io/app/kibana#/discover/Steve-Slow-Train-Analysis-(2080s-and-2083s)?_g=(refreshInterval:(display:Off,pause:!f,section:0,value:0),time:(from:'2017-06-11T12:37:09-0600',mode:absolute,to:'2017-06-11T14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04" t="str">
        <f t="shared" si="60"/>
        <v>N</v>
      </c>
      <c r="X173" s="204">
        <f t="shared" si="73"/>
        <v>1</v>
      </c>
      <c r="Y173" s="204">
        <f t="shared" si="70"/>
        <v>5.8624000000000001</v>
      </c>
      <c r="Z173" s="204">
        <f t="shared" si="71"/>
        <v>6.8199999999999997E-2</v>
      </c>
      <c r="AA173" s="204">
        <f t="shared" si="61"/>
        <v>5.7942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2"/>
        <v>1816-11</v>
      </c>
      <c r="AE173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73" s="77" t="str">
        <f t="shared" si="64"/>
        <v>"C:\Program Files (x86)\AstroGrep\AstroGrep.exe" /e /r /s /spath="%USERPROFILE%\AppData\Local\Temp\OnboardLogs" /stypes="app*4031*20170611*" /stext=" 19:.+((SYSTEM_STATE.+slice.+state.+changed )|(ment ac)|(multiple cpu faults)|(system.+state.+changed )|(\[timeout)|(PRM\|1\|D)|(kpr)|(kdp)|(train st.+moving)|(\|lc)|(penalty))"</v>
      </c>
      <c r="AG173" s="1" t="str">
        <f t="shared" si="65"/>
        <v>NW</v>
      </c>
      <c r="AH173" s="81" t="str">
        <f t="shared" si="66"/>
        <v>"%USERPROFILE%\Documents\GitHub\eaglep3\Utilities\RefineRTDCRunTimes.py" --tripid 1816-11 --locoid 4031 --swversion DE.1.0.9.0 --startMP 300:58624 --initTime 2017-06-11T13:37:09 --startdatetime 2017-06-11T13:39:13 --delay 1 --endMP 204:682 --enddatetime 2017-06-11T13:55:32 --enforcementcount 0 &gt;&gt;C:\Users\stu\Documents\GitHub\eaglep3-reporting\EC\2017-06-11-refined-times.txt</v>
      </c>
      <c r="AI173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{"issue":{"subject":"","project_id":79,"tracker_id":40,"status_id":1,"priority_id":2,"assigned_to_id":23,"start_date":"2017-06-11","description":"","custom_fields":[{"id":1,"name":"Subdivision","value":"NW"},{"id":4,"name":"Milepost","value":"0.0682"},{"id":17,"name":"Train ID","value":"1816-11"},{"id":16,"name":"Locomotive ID","value":"4031"},{"id":130,"name":"Impact","value":""},{"id":150,"name":"Time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8"/>
        <v>start /low /b %USERPROFILE%\Documents\GitHub\eaglep3\Utilities\DownloadLogsFromS3.py --loco 4031 --day 2017-06-11</v>
      </c>
      <c r="AN173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632</v>
      </c>
      <c r="B174" s="7">
        <v>4032</v>
      </c>
      <c r="C174" s="21" t="s">
        <v>204</v>
      </c>
      <c r="D174" s="21" t="s">
        <v>610</v>
      </c>
      <c r="E174" s="13">
        <v>42897.588449074072</v>
      </c>
      <c r="F174" s="13">
        <v>42897.598321759258</v>
      </c>
      <c r="G174" s="7">
        <v>1</v>
      </c>
      <c r="H174" s="21" t="s">
        <v>885</v>
      </c>
      <c r="I174" s="13">
        <v>42897.608240740738</v>
      </c>
      <c r="J174" s="7">
        <v>0</v>
      </c>
      <c r="K174" s="92" t="str">
        <f t="shared" si="54"/>
        <v>4031/4032</v>
      </c>
      <c r="L174" s="21" t="str">
        <f>VLOOKUP(A174,'Trips&amp;Operators'!$C$1:$G$99999,5,FALSE)</f>
        <v>HOLCOMB KAMDEN</v>
      </c>
      <c r="M174" s="6">
        <f t="shared" si="55"/>
        <v>9.9189814791316167E-3</v>
      </c>
      <c r="N174" s="7">
        <f t="shared" si="56"/>
        <v>14.283333329949528</v>
      </c>
      <c r="O174" s="7"/>
      <c r="P174" s="7"/>
      <c r="Q174" s="22"/>
      <c r="R174" s="173"/>
      <c r="S174" s="176">
        <f t="shared" si="57"/>
        <v>1</v>
      </c>
      <c r="T174" s="202" t="str">
        <f t="shared" si="58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9"/>
        <v>https://d0f6bd738d7f1b3e5a7ca70fe4ff75f0.us-east-1.aws.found.io/app/kibana#/discover/Steve-Slow-Train-Analysis-(2080s-and-2083s)?_g=(refreshInterval:(display:Off,pause:!f,section:0,value:0),time:(from:'2017-06-11T13:07:22-0600',mode:absolute,to:'2017-06-11T15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04" t="str">
        <f t="shared" si="60"/>
        <v>N</v>
      </c>
      <c r="X174" s="204">
        <f t="shared" si="73"/>
        <v>1</v>
      </c>
      <c r="Y174" s="204">
        <f t="shared" si="70"/>
        <v>9.7600000000000006E-2</v>
      </c>
      <c r="Z174" s="204">
        <f t="shared" si="71"/>
        <v>5.8986000000000001</v>
      </c>
      <c r="AA174" s="204">
        <f t="shared" si="61"/>
        <v>5.8010000000000002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2"/>
        <v>1817-11</v>
      </c>
      <c r="AE174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74" s="77" t="str">
        <f t="shared" si="64"/>
        <v>"C:\Program Files (x86)\AstroGrep\AstroGrep.exe" /e /r /s /spath="%USERPROFILE%\AppData\Local\Temp\OnboardLogs" /stypes="app*4032*20170611*" /stext=" 20:.+((SYSTEM_STATE.+slice.+state.+changed )|(ment ac)|(multiple cpu faults)|(system.+state.+changed )|(\[timeout)|(PRM\|1\|D)|(kpr)|(kdp)|(train st.+moving)|(\|lc)|(penalty))"</v>
      </c>
      <c r="AG174" s="1" t="str">
        <f t="shared" si="65"/>
        <v>NW</v>
      </c>
      <c r="AH174" s="81" t="str">
        <f t="shared" si="66"/>
        <v>"%USERPROFILE%\Documents\GitHub\eaglep3\Utilities\RefineRTDCRunTimes.py" --tripid 1817-11 --locoid 4032 --swversion DE.1.0.9.0 --startMP 204:976 --initTime 2017-06-11T14:07:22 --startdatetime 2017-06-11T14:21:35 --delay 1 --endMP 300:58986 --enddatetime 2017-06-11T14:35:52 --enforcementcount 0 &gt;&gt;C:\Users\stu\Documents\GitHub\eaglep3-reporting\EC\2017-06-11-refined-times.txt</v>
      </c>
      <c r="AI174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{"issue":{"subject":"","project_id":79,"tracker_id":40,"status_id":1,"priority_id":2,"assigned_to_id":23,"start_date":"2017-06-11","description":"","custom_fields":[{"id":1,"name":"Subdivision","value":"NW"},{"id":4,"name":"Milepost","value":"5.8986"},{"id":17,"name":"Train ID","value":"1817-11"},{"id":16,"name":"Locomotive ID","value":"4032"},{"id":130,"name":"Impact","value":""},{"id":150,"name":"Time of Event (Mountain Time)","value":"14:35:52"},{"id":151,"name":"Denver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8"/>
        <v>start /low /b %USERPROFILE%\Documents\GitHub\eaglep3\Utilities\DownloadLogsFromS3.py --loco 4032 --day 2017-06-11</v>
      </c>
      <c r="AN174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635</v>
      </c>
      <c r="B175" s="7">
        <v>4031</v>
      </c>
      <c r="C175" s="21" t="s">
        <v>204</v>
      </c>
      <c r="D175" s="21" t="s">
        <v>886</v>
      </c>
      <c r="E175" s="13">
        <v>42897.609027777777</v>
      </c>
      <c r="F175" s="13">
        <v>42897.610300925924</v>
      </c>
      <c r="G175" s="7">
        <v>1</v>
      </c>
      <c r="H175" s="21" t="s">
        <v>832</v>
      </c>
      <c r="I175" s="13">
        <v>42897.622361111113</v>
      </c>
      <c r="J175" s="7">
        <v>0</v>
      </c>
      <c r="K175" s="92" t="str">
        <f t="shared" si="54"/>
        <v>4031/4032</v>
      </c>
      <c r="L175" s="21" t="str">
        <f>VLOOKUP(A175,'Trips&amp;Operators'!$C$1:$G$99999,5,FALSE)</f>
        <v>HOLCOMB KAMDEN</v>
      </c>
      <c r="M175" s="6">
        <f t="shared" si="55"/>
        <v>1.206018518860219E-2</v>
      </c>
      <c r="N175" s="7">
        <f t="shared" si="56"/>
        <v>17.366666671587154</v>
      </c>
      <c r="O175" s="7"/>
      <c r="P175" s="7"/>
      <c r="Q175" s="22"/>
      <c r="R175" s="173"/>
      <c r="S175" s="176">
        <f t="shared" si="57"/>
        <v>1</v>
      </c>
      <c r="T175" s="202" t="str">
        <f t="shared" si="58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9"/>
        <v>https://d0f6bd738d7f1b3e5a7ca70fe4ff75f0.us-east-1.aws.found.io/app/kibana#/discover/Steve-Slow-Train-Analysis-(2080s-and-2083s)?_g=(refreshInterval:(display:Off,pause:!f,section:0,value:0),time:(from:'2017-06-11T13:37:00-0600',mode:absolute,to:'2017-06-11T15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04" t="str">
        <f t="shared" si="60"/>
        <v>N</v>
      </c>
      <c r="X175" s="204">
        <f t="shared" si="73"/>
        <v>1</v>
      </c>
      <c r="Y175" s="204">
        <f t="shared" si="70"/>
        <v>5.8667999999999996</v>
      </c>
      <c r="Z175" s="204">
        <f t="shared" si="71"/>
        <v>7.5700000000000003E-2</v>
      </c>
      <c r="AA175" s="204">
        <f t="shared" si="61"/>
        <v>5.7910999999999992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2"/>
        <v>1818-11</v>
      </c>
      <c r="AE175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75" s="77" t="str">
        <f t="shared" si="64"/>
        <v>"C:\Program Files (x86)\AstroGrep\AstroGrep.exe" /e /r /s /spath="%USERPROFILE%\AppData\Local\Temp\OnboardLogs" /stypes="app*4031*20170611*" /stext=" 20:.+((SYSTEM_STATE.+slice.+state.+changed )|(ment ac)|(multiple cpu faults)|(system.+state.+changed )|(\[timeout)|(PRM\|1\|D)|(kpr)|(kdp)|(train st.+moving)|(\|lc)|(penalty))"</v>
      </c>
      <c r="AG175" s="1" t="str">
        <f t="shared" si="65"/>
        <v>NW</v>
      </c>
      <c r="AH175" s="81" t="str">
        <f t="shared" si="66"/>
        <v>"%USERPROFILE%\Documents\GitHub\eaglep3\Utilities\RefineRTDCRunTimes.py" --tripid 1818-11 --locoid 4031 --swversion DE.1.0.9.0 --startMP 300:58668 --initTime 2017-06-11T14:37:00 --startdatetime 2017-06-11T14:38:50 --delay 1 --endMP 204:757 --enddatetime 2017-06-11T14:56:12 --enforcementcount 0 &gt;&gt;C:\Users\stu\Documents\GitHub\eaglep3-reporting\EC\2017-06-11-refined-times.txt</v>
      </c>
      <c r="AI175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{"issue":{"subject":"","project_id":79,"tracker_id":40,"status_id":1,"priority_id":2,"assigned_to_id":23,"start_date":"2017-06-11","description":"","custom_fields":[{"id":1,"name":"Subdivision","value":"NW"},{"id":4,"name":"Milepost","value":"0.0757"},{"id":17,"name":"Train ID","value":"1818-11"},{"id":16,"name":"Locomotive ID","value":"4031"},{"id":130,"name":"Impact","value":""},{"id":150,"name":"Time of Event (Mountain Time)","value":"14:56:12"},{"id":151,"name":"Denver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8"/>
        <v>start /low /b %USERPROFILE%\Documents\GitHub\eaglep3\Utilities\DownloadLogsFromS3.py --loco 4031 --day 2017-06-11</v>
      </c>
      <c r="AN175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20:56:12"},{"id":29,"name":"Sharepoint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636</v>
      </c>
      <c r="B176" s="7">
        <v>4032</v>
      </c>
      <c r="C176" s="21" t="s">
        <v>204</v>
      </c>
      <c r="D176" s="21" t="s">
        <v>887</v>
      </c>
      <c r="E176" s="13">
        <v>42897.637719907405</v>
      </c>
      <c r="F176" s="13">
        <v>42897.639907407407</v>
      </c>
      <c r="G176" s="7">
        <v>0</v>
      </c>
      <c r="H176" s="21" t="s">
        <v>888</v>
      </c>
      <c r="I176" s="13">
        <v>42897.649513888886</v>
      </c>
      <c r="J176" s="7">
        <v>0</v>
      </c>
      <c r="K176" s="92" t="str">
        <f t="shared" si="54"/>
        <v>4031/4032</v>
      </c>
      <c r="L176" s="21" t="str">
        <f>VLOOKUP(A176,'Trips&amp;Operators'!$C$1:$G$99999,5,FALSE)</f>
        <v>HOLCOMB KAMDEN</v>
      </c>
      <c r="M176" s="6">
        <f t="shared" si="55"/>
        <v>9.6064814788405783E-3</v>
      </c>
      <c r="N176" s="7">
        <f t="shared" si="56"/>
        <v>13.833333329530433</v>
      </c>
      <c r="O176" s="7"/>
      <c r="P176" s="7"/>
      <c r="Q176" s="22"/>
      <c r="R176" s="173"/>
      <c r="S176" s="176">
        <f t="shared" si="57"/>
        <v>1</v>
      </c>
      <c r="T176" s="202" t="str">
        <f t="shared" si="58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9"/>
        <v>https://d0f6bd738d7f1b3e5a7ca70fe4ff75f0.us-east-1.aws.found.io/app/kibana#/discover/Steve-Slow-Train-Analysis-(2080s-and-2083s)?_g=(refreshInterval:(display:Off,pause:!f,section:0,value:0),time:(from:'2017-06-11T14:18:19-0600',mode:absolute,to:'2017-06-11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04" t="str">
        <f t="shared" si="60"/>
        <v>N</v>
      </c>
      <c r="X176" s="204">
        <f t="shared" si="73"/>
        <v>1</v>
      </c>
      <c r="Y176" s="204">
        <f t="shared" si="70"/>
        <v>0.10199999999999999</v>
      </c>
      <c r="Z176" s="204">
        <f t="shared" si="71"/>
        <v>5.8982000000000001</v>
      </c>
      <c r="AA176" s="204">
        <f t="shared" si="61"/>
        <v>5.7961999999999998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2"/>
        <v>1819-11</v>
      </c>
      <c r="AE176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76" s="77" t="str">
        <f t="shared" si="64"/>
        <v>"C:\Program Files (x86)\AstroGrep\AstroGrep.exe" /e /r /s /spath="%USERPROFILE%\AppData\Local\Temp\OnboardLogs" /stypes="app*4032*20170611*" /stext=" 21:.+((SYSTEM_STATE.+slice.+state.+changed )|(ment ac)|(multiple cpu faults)|(system.+state.+changed )|(\[timeout)|(PRM\|1\|D)|(kpr)|(kdp)|(train st.+moving)|(\|lc)|(penalty))"</v>
      </c>
      <c r="AG176" s="1" t="str">
        <f t="shared" si="65"/>
        <v>NW</v>
      </c>
      <c r="AH176" s="81" t="str">
        <f t="shared" si="66"/>
        <v>"%USERPROFILE%\Documents\GitHub\eaglep3\Utilities\RefineRTDCRunTimes.py" --tripid 1819-11 --locoid 4032 --swversion DE.1.0.9.0 --startMP 204:1020 --initTime 2017-06-11T15:18:19 --startdatetime 2017-06-11T15:21:28 --delay 0 --endMP 300:58982 --enddatetime 2017-06-11T15:35:18 --enforcementcount 0 &gt;&gt;C:\Users\stu\Documents\GitHub\eaglep3-reporting\EC\2017-06-11-refined-times.txt</v>
      </c>
      <c r="AI176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{"issue":{"subject":"","project_id":79,"tracker_id":40,"status_id":1,"priority_id":2,"assigned_to_id":23,"start_date":"2017-06-11","description":"","custom_fields":[{"id":1,"name":"Subdivision","value":"NW"},{"id":4,"name":"Milepost","value":"5.8982"},{"id":17,"name":"Train ID","value":"1819-11"},{"id":16,"name":"Locomotive ID","value":"4032"},{"id":130,"name":"Impact","value":""},{"id":150,"name":"Time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8"/>
        <v>start /low /b %USERPROFILE%\Documents\GitHub\eaglep3\Utilities\DownloadLogsFromS3.py --loco 4032 --day 2017-06-11</v>
      </c>
      <c r="AN176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637</v>
      </c>
      <c r="B177" s="7">
        <v>4031</v>
      </c>
      <c r="C177" s="21" t="s">
        <v>204</v>
      </c>
      <c r="D177" s="21" t="s">
        <v>889</v>
      </c>
      <c r="E177" s="13">
        <v>42897.651469907411</v>
      </c>
      <c r="F177" s="13">
        <v>42897.652650462966</v>
      </c>
      <c r="G177" s="7">
        <v>1</v>
      </c>
      <c r="H177" s="21" t="s">
        <v>890</v>
      </c>
      <c r="I177" s="13">
        <v>42897.663090277776</v>
      </c>
      <c r="J177" s="7">
        <v>0</v>
      </c>
      <c r="K177" s="92" t="str">
        <f t="shared" si="54"/>
        <v>4031/4032</v>
      </c>
      <c r="L177" s="21" t="str">
        <f>VLOOKUP(A177,'Trips&amp;Operators'!$C$1:$G$99999,5,FALSE)</f>
        <v>HOLCOMB KAMDEN</v>
      </c>
      <c r="M177" s="6">
        <f t="shared" si="55"/>
        <v>1.0439814810524695E-2</v>
      </c>
      <c r="N177" s="7">
        <f t="shared" si="56"/>
        <v>15.03333332715556</v>
      </c>
      <c r="O177" s="7"/>
      <c r="P177" s="7"/>
      <c r="Q177" s="22"/>
      <c r="R177" s="173"/>
      <c r="S177" s="176">
        <f t="shared" si="57"/>
        <v>1</v>
      </c>
      <c r="T177" s="202" t="str">
        <f t="shared" si="58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9"/>
        <v>https://d0f6bd738d7f1b3e5a7ca70fe4ff75f0.us-east-1.aws.found.io/app/kibana#/discover/Steve-Slow-Train-Analysis-(2080s-and-2083s)?_g=(refreshInterval:(display:Off,pause:!f,section:0,value:0),time:(from:'2017-06-11T14:38:07-0600',mode:absolute,to:'2017-06-11T16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04" t="str">
        <f t="shared" si="60"/>
        <v>N</v>
      </c>
      <c r="X177" s="204">
        <f t="shared" si="73"/>
        <v>1</v>
      </c>
      <c r="Y177" s="204">
        <f t="shared" si="70"/>
        <v>5.8677000000000001</v>
      </c>
      <c r="Z177" s="204">
        <f t="shared" si="71"/>
        <v>7.17E-2</v>
      </c>
      <c r="AA177" s="204">
        <f t="shared" si="61"/>
        <v>5.7960000000000003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2"/>
        <v>1820-11</v>
      </c>
      <c r="AE177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77" s="77" t="str">
        <f t="shared" si="64"/>
        <v>"C:\Program Files (x86)\AstroGrep\AstroGrep.exe" /e /r /s /spath="%USERPROFILE%\AppData\Local\Temp\OnboardLogs" /stypes="app*4031*20170611*" /stext=" 21:.+((SYSTEM_STATE.+slice.+state.+changed )|(ment ac)|(multiple cpu faults)|(system.+state.+changed )|(\[timeout)|(PRM\|1\|D)|(kpr)|(kdp)|(train st.+moving)|(\|lc)|(penalty))"</v>
      </c>
      <c r="AG177" s="1" t="str">
        <f t="shared" si="65"/>
        <v>NW</v>
      </c>
      <c r="AH177" s="81" t="str">
        <f t="shared" si="66"/>
        <v>"%USERPROFILE%\Documents\GitHub\eaglep3\Utilities\RefineRTDCRunTimes.py" --tripid 1820-11 --locoid 4031 --swversion DE.1.0.9.0 --startMP 300:58677 --initTime 2017-06-11T15:38:07 --startdatetime 2017-06-11T15:39:49 --delay 1 --endMP 204:717 --enddatetime 2017-06-11T15:54:51 --enforcementcount 0 &gt;&gt;C:\Users\stu\Documents\GitHub\eaglep3-reporting\EC\2017-06-11-refined-times.txt</v>
      </c>
      <c r="AI177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{"issue":{"subject":"","project_id":79,"tracker_id":40,"status_id":1,"priority_id":2,"assigned_to_id":23,"start_date":"2017-06-11","description":"","custom_fields":[{"id":1,"name":"Subdivision","value":"NW"},{"id":4,"name":"Milepost","value":"0.0717"},{"id":17,"name":"Train ID","value":"1820-11"},{"id":16,"name":"Locomotive ID","value":"4031"},{"id":130,"name":"Impact","value":""},{"id":150,"name":"Time of Event (Mountain Time)","value":"15:54:51"},{"id":151,"name":"Denver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8"/>
        <v>start /low /b %USERPROFILE%\Documents\GitHub\eaglep3\Utilities\DownloadLogsFromS3.py --loco 4031 --day 2017-06-11</v>
      </c>
      <c r="AN177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638</v>
      </c>
      <c r="B178" s="7">
        <v>4032</v>
      </c>
      <c r="C178" s="21" t="s">
        <v>204</v>
      </c>
      <c r="D178" s="21" t="s">
        <v>887</v>
      </c>
      <c r="E178" s="13">
        <v>42897.67392361111</v>
      </c>
      <c r="F178" s="13">
        <v>42897.681469907409</v>
      </c>
      <c r="G178" s="7">
        <v>1</v>
      </c>
      <c r="H178" s="21" t="s">
        <v>891</v>
      </c>
      <c r="I178" s="13">
        <v>42897.690833333334</v>
      </c>
      <c r="J178" s="7">
        <v>0</v>
      </c>
      <c r="K178" s="92" t="str">
        <f t="shared" si="54"/>
        <v>4031/4032</v>
      </c>
      <c r="L178" s="21" t="str">
        <f>VLOOKUP(A178,'Trips&amp;Operators'!$C$1:$G$99999,5,FALSE)</f>
        <v>HOLCOMB KAMDEN</v>
      </c>
      <c r="M178" s="6">
        <f t="shared" si="55"/>
        <v>9.3634259246755391E-3</v>
      </c>
      <c r="N178" s="7">
        <f t="shared" si="56"/>
        <v>13.483333331532776</v>
      </c>
      <c r="O178" s="7"/>
      <c r="P178" s="7"/>
      <c r="Q178" s="22"/>
      <c r="R178" s="173" t="s">
        <v>984</v>
      </c>
      <c r="S178" s="176">
        <f t="shared" si="57"/>
        <v>1</v>
      </c>
      <c r="T178" s="202" t="str">
        <f t="shared" si="58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9"/>
        <v>https://d0f6bd738d7f1b3e5a7ca70fe4ff75f0.us-east-1.aws.found.io/app/kibana#/discover/Steve-Slow-Train-Analysis-(2080s-and-2083s)?_g=(refreshInterval:(display:Off,pause:!f,section:0,value:0),time:(from:'2017-06-11T15:10:27-0600',mode:absolute,to:'2017-06-11T17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04" t="str">
        <f t="shared" si="60"/>
        <v>N</v>
      </c>
      <c r="X178" s="204">
        <f t="shared" si="73"/>
        <v>1</v>
      </c>
      <c r="Y178" s="204">
        <f t="shared" si="70"/>
        <v>0.10199999999999999</v>
      </c>
      <c r="Z178" s="204">
        <f t="shared" si="71"/>
        <v>5.7607999999999997</v>
      </c>
      <c r="AA178" s="204">
        <f t="shared" si="61"/>
        <v>5.6587999999999994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2"/>
        <v>1821-11</v>
      </c>
      <c r="AE178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78" s="77" t="str">
        <f t="shared" si="64"/>
        <v>"C:\Program Files (x86)\AstroGrep\AstroGrep.exe" /e /r /s /spath="%USERPROFILE%\AppData\Local\Temp\OnboardLogs" /stypes="app*4032*20170611*" /stext=" 22:.+((SYSTEM_STATE.+slice.+state.+changed )|(ment ac)|(multiple cpu faults)|(system.+state.+changed )|(\[timeout)|(PRM\|1\|D)|(kpr)|(kdp)|(train st.+moving)|(\|lc)|(penalty))"</v>
      </c>
      <c r="AG178" s="1" t="str">
        <f t="shared" si="65"/>
        <v>NW</v>
      </c>
      <c r="AH178" s="81" t="str">
        <f t="shared" si="66"/>
        <v>"%USERPROFILE%\Documents\GitHub\eaglep3\Utilities\RefineRTDCRunTimes.py" --tripid 1821-11 --locoid 4032 --swversion DE.1.0.9.0 --startMP 204:1020 --initTime 2017-06-11T16:10:27 --startdatetime 2017-06-11T16:21:19 --delay 1 --endMP 300:57608 --enddatetime 2017-06-11T16:34:48 --enforcementcount 0 &gt;&gt;C:\Users\stu\Documents\GitHub\eaglep3-reporting\EC\2017-06-11-refined-times.txt</v>
      </c>
      <c r="AI178" s="99" t="str">
        <f t="shared" si="67"/>
        <v>echo {"issue":{"subject":"Operator reported red fence due to Track Warrant","project_id":79,"tracker_id":40,"status_id":1,"priority_id":2,"assigned_to_id":23,"start_date":"2017-06-11","description":"","custom_fields":[{"id":1,"name":"Subdivision","value":"NW"},{"id":4,"name":"Milepost","value":"5.7608"},{"id":17,"name":"Train ID","value":"1821-11"},{"id":16,"name":"Locomotive ID","value":"4032"},{"id":130,"name":"Impact","value":""},{"id":150,"name":"Time of Event (Mountain Time)","value":"16:34:48"},{"id":151,"name":"Denver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8"/>
        <v>start /low /b %USERPROFILE%\Documents\GitHub\eaglep3\Utilities\DownloadLogsFromS3.py --loco 4032 --day 2017-06-11</v>
      </c>
      <c r="AN178" s="154" t="str">
        <f t="shared" si="69"/>
        <v>echo {"issue":{"subject":"Operator reported red fence due to Track Warrant","project_id":30,"tracker_id":4,"status_id":1,"priority_id":1,"assigned_to_id":10,"start_date":"2017-06-11","description":"","custom_fields":[{"id":30,"name":"Category","value":"Issue"},{"id":3,"name":"Functional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766</v>
      </c>
      <c r="B179" s="7">
        <v>4031</v>
      </c>
      <c r="C179" s="21" t="s">
        <v>204</v>
      </c>
      <c r="D179" s="21" t="s">
        <v>892</v>
      </c>
      <c r="E179" s="13">
        <v>42897.692615740743</v>
      </c>
      <c r="F179" s="13">
        <v>42897.693888888891</v>
      </c>
      <c r="G179" s="7">
        <v>1</v>
      </c>
      <c r="H179" s="21" t="s">
        <v>893</v>
      </c>
      <c r="I179" s="13">
        <v>42897.704780092594</v>
      </c>
      <c r="J179" s="7">
        <v>0</v>
      </c>
      <c r="K179" s="92" t="str">
        <f t="shared" si="54"/>
        <v>4031/4032</v>
      </c>
      <c r="L179" s="21" t="str">
        <f>VLOOKUP(A179,'Trips&amp;Operators'!$C$1:$G$99999,5,FALSE)</f>
        <v>HOLCOMB KAMDEN</v>
      </c>
      <c r="M179" s="6">
        <f t="shared" si="55"/>
        <v>1.0891203703067731E-2</v>
      </c>
      <c r="N179" s="7">
        <f t="shared" si="56"/>
        <v>15.683333332417533</v>
      </c>
      <c r="O179" s="7"/>
      <c r="P179" s="7"/>
      <c r="Q179" s="22"/>
      <c r="R179" s="173"/>
      <c r="S179" s="176">
        <f t="shared" si="57"/>
        <v>1</v>
      </c>
      <c r="T179" s="202" t="str">
        <f t="shared" si="58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9"/>
        <v>https://d0f6bd738d7f1b3e5a7ca70fe4ff75f0.us-east-1.aws.found.io/app/kibana#/discover/Steve-Slow-Train-Analysis-(2080s-and-2083s)?_g=(refreshInterval:(display:Off,pause:!f,section:0,value:0),time:(from:'2017-06-11T15:37:22-0600',mode:absolute,to:'2017-06-11T17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04" t="str">
        <f t="shared" si="60"/>
        <v>N</v>
      </c>
      <c r="X179" s="204">
        <f t="shared" si="73"/>
        <v>1</v>
      </c>
      <c r="Y179" s="204">
        <f t="shared" ref="Y179:Y214" si="74">RIGHT(D179,LEN(D179)-4)/10000</f>
        <v>5.8672000000000004</v>
      </c>
      <c r="Z179" s="204">
        <f t="shared" ref="Z179:Z214" si="75">RIGHT(H179,LEN(H179)-4)/10000</f>
        <v>7.3999999999999996E-2</v>
      </c>
      <c r="AA179" s="204">
        <f t="shared" si="61"/>
        <v>5.7932000000000006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2"/>
        <v>1822-11</v>
      </c>
      <c r="AE179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79" s="77" t="str">
        <f t="shared" si="64"/>
        <v>"C:\Program Files (x86)\AstroGrep\AstroGrep.exe" /e /r /s /spath="%USERPROFILE%\AppData\Local\Temp\OnboardLogs" /stypes="app*4031*20170611*" /stext=" 22:.+((SYSTEM_STATE.+slice.+state.+changed )|(ment ac)|(multiple cpu faults)|(system.+state.+changed )|(\[timeout)|(PRM\|1\|D)|(kpr)|(kdp)|(train st.+moving)|(\|lc)|(penalty))"</v>
      </c>
      <c r="AG179" s="1" t="str">
        <f t="shared" si="65"/>
        <v>NW</v>
      </c>
      <c r="AH179" s="81" t="str">
        <f t="shared" si="66"/>
        <v>"%USERPROFILE%\Documents\GitHub\eaglep3\Utilities\RefineRTDCRunTimes.py" --tripid 1822-11 --locoid 4031 --swversion DE.1.0.9.0 --startMP 300:58672 --initTime 2017-06-11T16:37:22 --startdatetime 2017-06-11T16:39:12 --delay 1 --endMP 204:740 --enddatetime 2017-06-11T16:54:53 --enforcementcount 0 &gt;&gt;C:\Users\stu\Documents\GitHub\eaglep3-reporting\EC\2017-06-11-refined-times.txt</v>
      </c>
      <c r="AI179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{"issue":{"subject":"","project_id":79,"tracker_id":40,"status_id":1,"priority_id":2,"assigned_to_id":23,"start_date":"2017-06-11","description":"","custom_fields":[{"id":1,"name":"Subdivision","value":"NW"},{"id":4,"name":"Milepost","value":"0.074"},{"id":17,"name":"Train ID","value":"1822-11"},{"id":16,"name":"Locomotive ID","value":"4031"},{"id":130,"name":"Impact","value":""},{"id":150,"name":"Time of Event (Mountain Time)","value":"16:54:53"},{"id":151,"name":"Denver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8"/>
        <v>start /low /b %USERPROFILE%\Documents\GitHub\eaglep3\Utilities\DownloadLogsFromS3.py --loco 4031 --day 2017-06-11</v>
      </c>
      <c r="AN179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639</v>
      </c>
      <c r="B180" s="7">
        <v>4032</v>
      </c>
      <c r="C180" s="21" t="s">
        <v>204</v>
      </c>
      <c r="D180" s="21" t="s">
        <v>588</v>
      </c>
      <c r="E180" s="13">
        <v>42897.722754629627</v>
      </c>
      <c r="F180" s="13">
        <v>42897.723738425928</v>
      </c>
      <c r="G180" s="7">
        <v>0</v>
      </c>
      <c r="H180" s="21" t="s">
        <v>894</v>
      </c>
      <c r="I180" s="13">
        <v>42897.733796296299</v>
      </c>
      <c r="J180" s="7">
        <v>0</v>
      </c>
      <c r="K180" s="92" t="str">
        <f t="shared" si="54"/>
        <v>4031/4032</v>
      </c>
      <c r="L180" s="21" t="str">
        <f>VLOOKUP(A180,'Trips&amp;Operators'!$C$1:$G$99999,5,FALSE)</f>
        <v>HOLCOMB KAMDEN</v>
      </c>
      <c r="M180" s="6">
        <f t="shared" si="55"/>
        <v>1.0057870371383615E-2</v>
      </c>
      <c r="N180" s="7">
        <f t="shared" si="56"/>
        <v>14.483333334792405</v>
      </c>
      <c r="O180" s="7"/>
      <c r="P180" s="7"/>
      <c r="Q180" s="22"/>
      <c r="R180" s="173"/>
      <c r="S180" s="176">
        <f t="shared" si="57"/>
        <v>1</v>
      </c>
      <c r="T180" s="202" t="str">
        <f t="shared" si="58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9"/>
        <v>https://d0f6bd738d7f1b3e5a7ca70fe4ff75f0.us-east-1.aws.found.io/app/kibana#/discover/Steve-Slow-Train-Analysis-(2080s-and-2083s)?_g=(refreshInterval:(display:Off,pause:!f,section:0,value:0),time:(from:'2017-06-11T16:20:46-0600',mode:absolute,to:'2017-06-11T18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04" t="str">
        <f t="shared" si="60"/>
        <v>N</v>
      </c>
      <c r="X180" s="204">
        <f t="shared" si="73"/>
        <v>1</v>
      </c>
      <c r="Y180" s="204">
        <f t="shared" si="74"/>
        <v>0.10299999999999999</v>
      </c>
      <c r="Z180" s="204">
        <f t="shared" si="75"/>
        <v>5.8983999999999996</v>
      </c>
      <c r="AA180" s="204">
        <f t="shared" si="61"/>
        <v>5.7953999999999999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2"/>
        <v>1823-11</v>
      </c>
      <c r="AE180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80" s="77" t="str">
        <f t="shared" si="64"/>
        <v>"C:\Program Files (x86)\AstroGrep\AstroGrep.exe" /e /r /s /spath="%USERPROFILE%\AppData\Local\Temp\OnboardLogs" /stypes="app*4032*20170611*" /stext=" 23:.+((SYSTEM_STATE.+slice.+state.+changed )|(ment ac)|(multiple cpu faults)|(system.+state.+changed )|(\[timeout)|(PRM\|1\|D)|(kpr)|(kdp)|(train st.+moving)|(\|lc)|(penalty))"</v>
      </c>
      <c r="AG180" s="1" t="str">
        <f t="shared" si="65"/>
        <v>NW</v>
      </c>
      <c r="AH180" s="81" t="str">
        <f t="shared" si="66"/>
        <v>"%USERPROFILE%\Documents\GitHub\eaglep3\Utilities\RefineRTDCRunTimes.py" --tripid 1823-11 --locoid 4032 --swversion DE.1.0.9.0 --startMP 204:1030 --initTime 2017-06-11T17:20:46 --startdatetime 2017-06-11T17:22:11 --delay 0 --endMP 300:58984 --enddatetime 2017-06-11T17:36:40 --enforcementcount 0 &gt;&gt;C:\Users\stu\Documents\GitHub\eaglep3-reporting\EC\2017-06-11-refined-times.txt</v>
      </c>
      <c r="AI180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{"issue":{"subject":"","project_id":79,"tracker_id":40,"status_id":1,"priority_id":2,"assigned_to_id":23,"start_date":"2017-06-11","description":"","custom_fields":[{"id":1,"name":"Subdivision","value":"NW"},{"id":4,"name":"Milepost","value":"5.8984"},{"id":17,"name":"Train ID","value":"1823-11"},{"id":16,"name":"Locomotive ID","value":"4032"},{"id":130,"name":"Impact","value":""},{"id":150,"name":"Time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68"/>
        <v>start /low /b %USERPROFILE%\Documents\GitHub\eaglep3\Utilities\DownloadLogsFromS3.py --loco 4032 --day 2017-06-11</v>
      </c>
      <c r="AN180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640</v>
      </c>
      <c r="B181" s="7">
        <v>4031</v>
      </c>
      <c r="C181" s="21" t="s">
        <v>204</v>
      </c>
      <c r="D181" s="21" t="s">
        <v>895</v>
      </c>
      <c r="E181" s="13">
        <v>42897.734629629631</v>
      </c>
      <c r="F181" s="13">
        <v>42897.735798611109</v>
      </c>
      <c r="G181" s="7">
        <v>0</v>
      </c>
      <c r="H181" s="21" t="s">
        <v>896</v>
      </c>
      <c r="I181" s="13">
        <v>42897.746851851851</v>
      </c>
      <c r="J181" s="7">
        <v>0</v>
      </c>
      <c r="K181" s="92" t="str">
        <f t="shared" si="54"/>
        <v>4031/4032</v>
      </c>
      <c r="L181" s="21" t="str">
        <f>VLOOKUP(A181,'Trips&amp;Operators'!$C$1:$G$99999,5,FALSE)</f>
        <v>HOLCOMB KAMDEN</v>
      </c>
      <c r="M181" s="6">
        <f t="shared" si="55"/>
        <v>1.1053240741603076E-2</v>
      </c>
      <c r="N181" s="7">
        <f t="shared" si="56"/>
        <v>15.91666666790843</v>
      </c>
      <c r="O181" s="7"/>
      <c r="P181" s="7"/>
      <c r="Q181" s="22"/>
      <c r="R181" s="173"/>
      <c r="S181" s="176">
        <f t="shared" si="57"/>
        <v>1</v>
      </c>
      <c r="T181" s="202" t="str">
        <f t="shared" si="58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9"/>
        <v>https://d0f6bd738d7f1b3e5a7ca70fe4ff75f0.us-east-1.aws.found.io/app/kibana#/discover/Steve-Slow-Train-Analysis-(2080s-and-2083s)?_g=(refreshInterval:(display:Off,pause:!f,section:0,value:0),time:(from:'2017-06-11T16:37:52-0600',mode:absolute,to:'2017-06-11T18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04" t="str">
        <f t="shared" si="60"/>
        <v>N</v>
      </c>
      <c r="X181" s="204">
        <f t="shared" si="73"/>
        <v>1</v>
      </c>
      <c r="Y181" s="204">
        <f t="shared" si="74"/>
        <v>5.867</v>
      </c>
      <c r="Z181" s="204">
        <f t="shared" si="75"/>
        <v>7.0099999999999996E-2</v>
      </c>
      <c r="AA181" s="204">
        <f t="shared" si="61"/>
        <v>5.7968999999999999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2"/>
        <v>1824-11</v>
      </c>
      <c r="AE181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81" s="77" t="str">
        <f t="shared" si="64"/>
        <v>"C:\Program Files (x86)\AstroGrep\AstroGrep.exe" /e /r /s /spath="%USERPROFILE%\AppData\Local\Temp\OnboardLogs" /stypes="app*4031*20170611*" /stext=" 23:.+((SYSTEM_STATE.+slice.+state.+changed )|(ment ac)|(multiple cpu faults)|(system.+state.+changed )|(\[timeout)|(PRM\|1\|D)|(kpr)|(kdp)|(train st.+moving)|(\|lc)|(penalty))"</v>
      </c>
      <c r="AG181" s="1" t="str">
        <f t="shared" si="65"/>
        <v>NW</v>
      </c>
      <c r="AH181" s="81" t="str">
        <f t="shared" si="66"/>
        <v>"%USERPROFILE%\Documents\GitHub\eaglep3\Utilities\RefineRTDCRunTimes.py" --tripid 1824-11 --locoid 4031 --swversion DE.1.0.9.0 --startMP 300:58670 --initTime 2017-06-11T17:37:52 --startdatetime 2017-06-11T17:39:33 --delay 0 --endMP 204:701 --enddatetime 2017-06-11T17:55:28 --enforcementcount 0 &gt;&gt;C:\Users\stu\Documents\GitHub\eaglep3-reporting\EC\2017-06-11-refined-times.txt</v>
      </c>
      <c r="AI181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{"issue":{"subject":"","project_id":79,"tracker_id":40,"status_id":1,"priority_id":2,"assigned_to_id":23,"start_date":"2017-06-11","description":"","custom_fields":[{"id":1,"name":"Subdivision","value":"NW"},{"id":4,"name":"Milepost","value":"0.0701"},{"id":17,"name":"Train ID","value":"1824-11"},{"id":16,"name":"Locomotive ID","value":"4031"},{"id":130,"name":"Impact","value":""},{"id":150,"name":"Time of Event (Mountain Time)","value":"17:55:28"},{"id":151,"name":"Denver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68"/>
        <v>start /low /b %USERPROFILE%\Documents\GitHub\eaglep3\Utilities\DownloadLogsFromS3.py --loco 4031 --day 2017-06-11</v>
      </c>
      <c r="AN181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644</v>
      </c>
      <c r="B182" s="7">
        <v>4032</v>
      </c>
      <c r="C182" s="21" t="s">
        <v>204</v>
      </c>
      <c r="D182" s="21" t="s">
        <v>897</v>
      </c>
      <c r="E182" s="13">
        <v>42897.761307870373</v>
      </c>
      <c r="F182" s="13">
        <v>42897.765046296299</v>
      </c>
      <c r="G182" s="7">
        <v>1</v>
      </c>
      <c r="H182" s="21" t="s">
        <v>898</v>
      </c>
      <c r="I182" s="13">
        <v>42897.775254629632</v>
      </c>
      <c r="J182" s="7">
        <v>0</v>
      </c>
      <c r="K182" s="92" t="str">
        <f t="shared" si="54"/>
        <v>4031/4032</v>
      </c>
      <c r="L182" s="21" t="str">
        <f>VLOOKUP(A182,'Trips&amp;Operators'!$C$1:$G$99999,5,FALSE)</f>
        <v>THOMPSON LESTER</v>
      </c>
      <c r="M182" s="6">
        <f t="shared" si="55"/>
        <v>1.0208333333139308E-2</v>
      </c>
      <c r="N182" s="7">
        <f t="shared" si="56"/>
        <v>14.699999999720603</v>
      </c>
      <c r="O182" s="7"/>
      <c r="P182" s="7"/>
      <c r="Q182" s="22"/>
      <c r="R182" s="173"/>
      <c r="S182" s="176">
        <f t="shared" si="57"/>
        <v>1</v>
      </c>
      <c r="T182" s="202" t="str">
        <f t="shared" si="58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9"/>
        <v>https://d0f6bd738d7f1b3e5a7ca70fe4ff75f0.us-east-1.aws.found.io/app/kibana#/discover/Steve-Slow-Train-Analysis-(2080s-and-2083s)?_g=(refreshInterval:(display:Off,pause:!f,section:0,value:0),time:(from:'2017-06-11T17:16:17-0600',mode:absolute,to:'2017-06-11T19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04" t="str">
        <f t="shared" si="60"/>
        <v>N</v>
      </c>
      <c r="X182" s="204">
        <f t="shared" si="73"/>
        <v>1</v>
      </c>
      <c r="Y182" s="204">
        <f t="shared" si="74"/>
        <v>9.9900000000000003E-2</v>
      </c>
      <c r="Z182" s="204">
        <f t="shared" si="75"/>
        <v>5.8929</v>
      </c>
      <c r="AA182" s="204">
        <f t="shared" si="61"/>
        <v>5.7930000000000001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2"/>
        <v>1825-11</v>
      </c>
      <c r="AE182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82" s="77" t="str">
        <f t="shared" si="64"/>
        <v>"C:\Program Files (x86)\AstroGrep\AstroGrep.exe" /e /r /s /spath="%USERPROFILE%\AppData\Local\Temp\OnboardLogs" /stypes="app*4032*20170612*" /stext=" 00:.+((SYSTEM_STATE.+slice.+state.+changed )|(ment ac)|(multiple cpu faults)|(system.+state.+changed )|(\[timeout)|(PRM\|1\|D)|(kpr)|(kdp)|(train st.+moving)|(\|lc)|(penalty))"</v>
      </c>
      <c r="AG182" s="1" t="str">
        <f t="shared" si="65"/>
        <v>NW</v>
      </c>
      <c r="AH182" s="81" t="str">
        <f t="shared" si="66"/>
        <v>"%USERPROFILE%\Documents\GitHub\eaglep3\Utilities\RefineRTDCRunTimes.py" --tripid 1825-11 --locoid 4032 --swversion DE.1.0.9.0 --startMP 204:999 --initTime 2017-06-11T18:16:17 --startdatetime 2017-06-11T18:21:40 --delay 1 --endMP 300:58929 --enddatetime 2017-06-11T18:36:22 --enforcementcount 0 &gt;&gt;C:\Users\stu\Documents\GitHub\eaglep3-reporting\EC\2017-06-11-refined-times.txt</v>
      </c>
      <c r="AI182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{"issue":{"subject":"","project_id":79,"tracker_id":40,"status_id":1,"priority_id":2,"assigned_to_id":23,"start_date":"2017-06-11","description":"","custom_fields":[{"id":1,"name":"Subdivision","value":"NW"},{"id":4,"name":"Milepost","value":"5.8929"},{"id":17,"name":"Train ID","value":"1825-11"},{"id":16,"name":"Locomotive ID","value":"4032"},{"id":130,"name":"Impact","value":""},{"id":150,"name":"Time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68"/>
        <v>start /low /b %USERPROFILE%\Documents\GitHub\eaglep3\Utilities\DownloadLogsFromS3.py --loco 4032 --day 2017-06-11</v>
      </c>
      <c r="AN182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788</v>
      </c>
      <c r="B183" s="7">
        <v>4031</v>
      </c>
      <c r="C183" s="21" t="s">
        <v>204</v>
      </c>
      <c r="D183" s="21" t="s">
        <v>479</v>
      </c>
      <c r="E183" s="13">
        <v>42897.776377314818</v>
      </c>
      <c r="F183" s="13">
        <v>42897.778078703705</v>
      </c>
      <c r="G183" s="7">
        <v>1</v>
      </c>
      <c r="H183" s="21" t="s">
        <v>876</v>
      </c>
      <c r="I183" s="13">
        <v>42897.789641203701</v>
      </c>
      <c r="J183" s="7">
        <v>0</v>
      </c>
      <c r="K183" s="92" t="str">
        <f t="shared" si="54"/>
        <v>4031/4032</v>
      </c>
      <c r="L183" s="21" t="str">
        <f>VLOOKUP(A183,'Trips&amp;Operators'!$C$1:$G$99999,5,FALSE)</f>
        <v>THOMPSON LESTER</v>
      </c>
      <c r="M183" s="6">
        <f t="shared" si="55"/>
        <v>1.1562499996216502E-2</v>
      </c>
      <c r="N183" s="7">
        <f t="shared" si="56"/>
        <v>16.649999994551763</v>
      </c>
      <c r="O183" s="7"/>
      <c r="P183" s="7"/>
      <c r="Q183" s="22"/>
      <c r="R183" s="173"/>
      <c r="S183" s="176">
        <f t="shared" si="57"/>
        <v>1</v>
      </c>
      <c r="T183" s="202" t="str">
        <f t="shared" si="58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9"/>
        <v>https://d0f6bd738d7f1b3e5a7ca70fe4ff75f0.us-east-1.aws.found.io/app/kibana#/discover/Steve-Slow-Train-Analysis-(2080s-and-2083s)?_g=(refreshInterval:(display:Off,pause:!f,section:0,value:0),time:(from:'2017-06-11T17:37:59-0600',mode:absolute,to:'2017-06-11T19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04" t="str">
        <f t="shared" si="60"/>
        <v>N</v>
      </c>
      <c r="X183" s="204">
        <f t="shared" si="73"/>
        <v>1</v>
      </c>
      <c r="Y183" s="204">
        <f t="shared" si="74"/>
        <v>5.8623000000000003</v>
      </c>
      <c r="Z183" s="204">
        <f t="shared" si="75"/>
        <v>6.8699999999999997E-2</v>
      </c>
      <c r="AA183" s="204">
        <f t="shared" si="61"/>
        <v>5.7936000000000005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2"/>
        <v>1826-11</v>
      </c>
      <c r="AE183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83" s="77" t="str">
        <f t="shared" si="64"/>
        <v>"C:\Program Files (x86)\AstroGrep\AstroGrep.exe" /e /r /s /spath="%USERPROFILE%\AppData\Local\Temp\OnboardLogs" /stypes="app*4031*20170612*" /stext=" 00:.+((SYSTEM_STATE.+slice.+state.+changed )|(ment ac)|(multiple cpu faults)|(system.+state.+changed )|(\[timeout)|(PRM\|1\|D)|(kpr)|(kdp)|(train st.+moving)|(\|lc)|(penalty))"</v>
      </c>
      <c r="AG183" s="1" t="str">
        <f t="shared" si="65"/>
        <v>NW</v>
      </c>
      <c r="AH183" s="81" t="str">
        <f t="shared" si="66"/>
        <v>"%USERPROFILE%\Documents\GitHub\eaglep3\Utilities\RefineRTDCRunTimes.py" --tripid 1826-11 --locoid 4031 --swversion DE.1.0.9.0 --startMP 300:58623 --initTime 2017-06-11T18:37:59 --startdatetime 2017-06-11T18:40:26 --delay 1 --endMP 204:687 --enddatetime 2017-06-11T18:57:05 --enforcementcount 0 &gt;&gt;C:\Users\stu\Documents\GitHub\eaglep3-reporting\EC\2017-06-11-refined-times.txt</v>
      </c>
      <c r="AI183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{"issue":{"subject":"","project_id":79,"tracker_id":40,"status_id":1,"priority_id":2,"assigned_to_id":23,"start_date":"2017-06-11","description":"","custom_fields":[{"id":1,"name":"Subdivision","value":"NW"},{"id":4,"name":"Milepost","value":"0.0687"},{"id":17,"name":"Train ID","value":"1826-11"},{"id":16,"name":"Locomotive ID","value":"4031"},{"id":130,"name":"Impact","value":""},{"id":150,"name":"Time of Event (Mountain Time)","value":"18:57:05"},{"id":151,"name":"Denver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8"/>
        <v>start /low /b %USERPROFILE%\Documents\GitHub\eaglep3\Utilities\DownloadLogsFromS3.py --loco 4031 --day 2017-06-11</v>
      </c>
      <c r="AN183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794</v>
      </c>
      <c r="B184" s="7">
        <v>4032</v>
      </c>
      <c r="C184" s="21" t="s">
        <v>204</v>
      </c>
      <c r="D184" s="21" t="s">
        <v>899</v>
      </c>
      <c r="E184" s="13">
        <v>42897.804120370369</v>
      </c>
      <c r="F184" s="13">
        <v>42897.806504629632</v>
      </c>
      <c r="G184" s="7">
        <v>1</v>
      </c>
      <c r="H184" s="21" t="s">
        <v>888</v>
      </c>
      <c r="I184" s="13">
        <v>42897.815879629627</v>
      </c>
      <c r="J184" s="7">
        <v>0</v>
      </c>
      <c r="K184" s="92" t="str">
        <f t="shared" si="54"/>
        <v>4031/4032</v>
      </c>
      <c r="L184" s="21" t="str">
        <f>VLOOKUP(A184,'Trips&amp;Operators'!$C$1:$G$99999,5,FALSE)</f>
        <v>HOLCOMB KAMDEN</v>
      </c>
      <c r="M184" s="6">
        <f t="shared" si="55"/>
        <v>9.3749999941792339E-3</v>
      </c>
      <c r="N184" s="7">
        <f t="shared" si="56"/>
        <v>13.499999991618097</v>
      </c>
      <c r="O184" s="7"/>
      <c r="P184" s="7"/>
      <c r="Q184" s="22"/>
      <c r="R184" s="173"/>
      <c r="S184" s="176">
        <f t="shared" si="57"/>
        <v>1</v>
      </c>
      <c r="T184" s="202" t="str">
        <f t="shared" si="58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9"/>
        <v>https://d0f6bd738d7f1b3e5a7ca70fe4ff75f0.us-east-1.aws.found.io/app/kibana#/discover/Steve-Slow-Train-Analysis-(2080s-and-2083s)?_g=(refreshInterval:(display:Off,pause:!f,section:0,value:0),time:(from:'2017-06-11T18:17:56-0600',mode:absolute,to:'2017-06-11T20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204" t="str">
        <f t="shared" si="60"/>
        <v>N</v>
      </c>
      <c r="X184" s="204">
        <f t="shared" si="73"/>
        <v>1</v>
      </c>
      <c r="Y184" s="204">
        <f t="shared" si="74"/>
        <v>9.8299999999999998E-2</v>
      </c>
      <c r="Z184" s="204">
        <f t="shared" si="75"/>
        <v>5.8982000000000001</v>
      </c>
      <c r="AA184" s="204">
        <f t="shared" si="61"/>
        <v>5.7999000000000001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2"/>
        <v>1827-11</v>
      </c>
      <c r="AE184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84" s="77" t="str">
        <f t="shared" si="64"/>
        <v>"C:\Program Files (x86)\AstroGrep\AstroGrep.exe" /e /r /s /spath="%USERPROFILE%\AppData\Local\Temp\OnboardLogs" /stypes="app*4032*20170612*" /stext=" 01:.+((SYSTEM_STATE.+slice.+state.+changed )|(ment ac)|(multiple cpu faults)|(system.+state.+changed )|(\[timeout)|(PRM\|1\|D)|(kpr)|(kdp)|(train st.+moving)|(\|lc)|(penalty))"</v>
      </c>
      <c r="AG184" s="1" t="str">
        <f t="shared" si="65"/>
        <v>NW</v>
      </c>
      <c r="AH184" s="81" t="str">
        <f t="shared" si="66"/>
        <v>"%USERPROFILE%\Documents\GitHub\eaglep3\Utilities\RefineRTDCRunTimes.py" --tripid 1827-11 --locoid 4032 --swversion DE.1.0.9.0 --startMP 204:983 --initTime 2017-06-11T19:17:56 --startdatetime 2017-06-11T19:21:22 --delay 1 --endMP 300:58982 --enddatetime 2017-06-11T19:34:52 --enforcementcount 0 &gt;&gt;C:\Users\stu\Documents\GitHub\eaglep3-reporting\EC\2017-06-11-refined-times.txt</v>
      </c>
      <c r="AI184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{"issue":{"subject":"","project_id":79,"tracker_id":40,"status_id":1,"priority_id":2,"assigned_to_id":23,"start_date":"2017-06-11","description":"","custom_fields":[{"id":1,"name":"Subdivision","value":"NW"},{"id":4,"name":"Milepost","value":"5.8982"},{"id":17,"name":"Train ID","value":"1827-11"},{"id":16,"name":"Locomotive ID","value":"4032"},{"id":130,"name":"Impact","value":""},{"id":150,"name":"Time of Event (Mountain Time)","value":"19:34:52"},{"id":151,"name":"Denver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8"/>
        <v>start /low /b %USERPROFILE%\Documents\GitHub\eaglep3\Utilities\DownloadLogsFromS3.py --loco 4032 --day 2017-06-11</v>
      </c>
      <c r="AN184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796</v>
      </c>
      <c r="B185" s="7">
        <v>4031</v>
      </c>
      <c r="C185" s="21" t="s">
        <v>204</v>
      </c>
      <c r="D185" s="21" t="s">
        <v>900</v>
      </c>
      <c r="E185" s="13">
        <v>42897.816817129627</v>
      </c>
      <c r="F185" s="13">
        <v>42897.818078703705</v>
      </c>
      <c r="G185" s="7">
        <v>1</v>
      </c>
      <c r="H185" s="21" t="s">
        <v>901</v>
      </c>
      <c r="I185" s="13">
        <v>42897.829814814817</v>
      </c>
      <c r="J185" s="7">
        <v>0</v>
      </c>
      <c r="K185" s="92" t="str">
        <f t="shared" si="54"/>
        <v>4031/4032</v>
      </c>
      <c r="L185" s="21" t="str">
        <f>VLOOKUP(A185,'Trips&amp;Operators'!$C$1:$G$99999,5,FALSE)</f>
        <v>HOLCOMB KAMDEN</v>
      </c>
      <c r="M185" s="6">
        <f t="shared" si="55"/>
        <v>1.17361111115315E-2</v>
      </c>
      <c r="N185" s="7">
        <f t="shared" si="56"/>
        <v>16.90000000060536</v>
      </c>
      <c r="O185" s="7"/>
      <c r="P185" s="7"/>
      <c r="Q185" s="22"/>
      <c r="R185" s="173"/>
      <c r="S185" s="176">
        <f t="shared" si="57"/>
        <v>1</v>
      </c>
      <c r="T185" s="202" t="str">
        <f t="shared" si="58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9"/>
        <v>https://d0f6bd738d7f1b3e5a7ca70fe4ff75f0.us-east-1.aws.found.io/app/kibana#/discover/Steve-Slow-Train-Analysis-(2080s-and-2083s)?_g=(refreshInterval:(display:Off,pause:!f,section:0,value:0),time:(from:'2017-06-11T18:36:13-0600',mode:absolute,to:'2017-06-11T20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204" t="str">
        <f t="shared" si="60"/>
        <v>N</v>
      </c>
      <c r="X185" s="204">
        <f t="shared" si="73"/>
        <v>1</v>
      </c>
      <c r="Y185" s="204">
        <f t="shared" si="74"/>
        <v>5.8659999999999997</v>
      </c>
      <c r="Z185" s="204">
        <f t="shared" si="75"/>
        <v>7.2599999999999998E-2</v>
      </c>
      <c r="AA185" s="204">
        <f t="shared" si="61"/>
        <v>5.7934000000000001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2"/>
        <v>1828-11</v>
      </c>
      <c r="AE185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85" s="77" t="str">
        <f t="shared" si="64"/>
        <v>"C:\Program Files (x86)\AstroGrep\AstroGrep.exe" /e /r /s /spath="%USERPROFILE%\AppData\Local\Temp\OnboardLogs" /stypes="app*4031*20170612*" /stext=" 01:.+((SYSTEM_STATE.+slice.+state.+changed )|(ment ac)|(multiple cpu faults)|(system.+state.+changed )|(\[timeout)|(PRM\|1\|D)|(kpr)|(kdp)|(train st.+moving)|(\|lc)|(penalty))"</v>
      </c>
      <c r="AG185" s="1" t="str">
        <f t="shared" si="65"/>
        <v>NW</v>
      </c>
      <c r="AH185" s="81" t="str">
        <f t="shared" si="66"/>
        <v>"%USERPROFILE%\Documents\GitHub\eaglep3\Utilities\RefineRTDCRunTimes.py" --tripid 1828-11 --locoid 4031 --swversion DE.1.0.9.0 --startMP 300:58660 --initTime 2017-06-11T19:36:13 --startdatetime 2017-06-11T19:38:02 --delay 1 --endMP 204:726 --enddatetime 2017-06-11T19:54:56 --enforcementcount 0 &gt;&gt;C:\Users\stu\Documents\GitHub\eaglep3-reporting\EC\2017-06-11-refined-times.txt</v>
      </c>
      <c r="AI185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{"issue":{"subject":"","project_id":79,"tracker_id":40,"status_id":1,"priority_id":2,"assigned_to_id":23,"start_date":"2017-06-11","description":"","custom_fields":[{"id":1,"name":"Subdivision","value":"NW"},{"id":4,"name":"Milepost","value":"0.0726"},{"id":17,"name":"Train ID","value":"1828-11"},{"id":16,"name":"Locomotive ID","value":"4031"},{"id":130,"name":"Impact","value":""},{"id":150,"name":"Time of Event (Mountain Time)","value":"19:54:56"},{"id":151,"name":"Denver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8"/>
        <v>start /low /b %USERPROFILE%\Documents\GitHub\eaglep3\Utilities\DownloadLogsFromS3.py --loco 4031 --day 2017-06-11</v>
      </c>
      <c r="AN185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801</v>
      </c>
      <c r="B186" s="7">
        <v>4032</v>
      </c>
      <c r="C186" s="21" t="s">
        <v>204</v>
      </c>
      <c r="D186" s="21" t="s">
        <v>902</v>
      </c>
      <c r="E186" s="13">
        <v>42897.846956018519</v>
      </c>
      <c r="F186" s="13">
        <v>42897.848124999997</v>
      </c>
      <c r="G186" s="7">
        <v>0</v>
      </c>
      <c r="H186" s="21" t="s">
        <v>903</v>
      </c>
      <c r="I186" s="13">
        <v>42897.85765046296</v>
      </c>
      <c r="J186" s="7">
        <v>0</v>
      </c>
      <c r="K186" s="92" t="str">
        <f t="shared" si="54"/>
        <v>4031/4032</v>
      </c>
      <c r="L186" s="21" t="str">
        <f>VLOOKUP(A186,'Trips&amp;Operators'!$C$1:$G$99999,5,FALSE)</f>
        <v>HOLCOMB KAMDEN</v>
      </c>
      <c r="M186" s="6">
        <f t="shared" si="55"/>
        <v>9.5254629632108845E-3</v>
      </c>
      <c r="N186" s="7">
        <f t="shared" si="56"/>
        <v>13.716666667023674</v>
      </c>
      <c r="O186" s="7"/>
      <c r="P186" s="7"/>
      <c r="Q186" s="22"/>
      <c r="R186" s="173"/>
      <c r="S186" s="176">
        <f t="shared" si="57"/>
        <v>1</v>
      </c>
      <c r="T186" s="202" t="str">
        <f t="shared" si="58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9"/>
        <v>https://d0f6bd738d7f1b3e5a7ca70fe4ff75f0.us-east-1.aws.found.io/app/kibana#/discover/Steve-Slow-Train-Analysis-(2080s-and-2083s)?_g=(refreshInterval:(display:Off,pause:!f,section:0,value:0),time:(from:'2017-06-11T19:19:37-0600',mode:absolute,to:'2017-06-11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204" t="str">
        <f t="shared" si="60"/>
        <v>N</v>
      </c>
      <c r="X186" s="204">
        <f t="shared" si="73"/>
        <v>1</v>
      </c>
      <c r="Y186" s="204">
        <f t="shared" si="74"/>
        <v>0.10059999999999999</v>
      </c>
      <c r="Z186" s="204">
        <f t="shared" si="75"/>
        <v>5.899</v>
      </c>
      <c r="AA186" s="204">
        <f t="shared" si="61"/>
        <v>5.7984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2"/>
        <v>1829-11</v>
      </c>
      <c r="AE186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86" s="77" t="str">
        <f t="shared" si="64"/>
        <v>"C:\Program Files (x86)\AstroGrep\AstroGrep.exe" /e /r /s /spath="%USERPROFILE%\AppData\Local\Temp\OnboardLogs" /stypes="app*4032*20170612*" /stext=" 02:.+((SYSTEM_STATE.+slice.+state.+changed )|(ment ac)|(multiple cpu faults)|(system.+state.+changed )|(\[timeout)|(PRM\|1\|D)|(kpr)|(kdp)|(train st.+moving)|(\|lc)|(penalty))"</v>
      </c>
      <c r="AG186" s="1" t="str">
        <f t="shared" si="65"/>
        <v>NW</v>
      </c>
      <c r="AH186" s="81" t="str">
        <f t="shared" si="66"/>
        <v>"%USERPROFILE%\Documents\GitHub\eaglep3\Utilities\RefineRTDCRunTimes.py" --tripid 1829-11 --locoid 4032 --swversion DE.1.0.9.0 --startMP 204:1006 --initTime 2017-06-11T20:19:37 --startdatetime 2017-06-11T20:21:18 --delay 0 --endMP 300:58990 --enddatetime 2017-06-11T20:35:01 --enforcementcount 0 &gt;&gt;C:\Users\stu\Documents\GitHub\eaglep3-reporting\EC\2017-06-11-refined-times.txt</v>
      </c>
      <c r="AI186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{"issue":{"subject":"","project_id":79,"tracker_id":40,"status_id":1,"priority_id":2,"assigned_to_id":23,"start_date":"2017-06-11","description":"","custom_fields":[{"id":1,"name":"Subdivision","value":"NW"},{"id":4,"name":"Milepost","value":"5.899"},{"id":17,"name":"Train ID","value":"1829-11"},{"id":16,"name":"Locomotive ID","value":"4032"},{"id":130,"name":"Impact","value":""},{"id":150,"name":"Time of Event (Mountain Time)","value":"20:35:01"},{"id":151,"name":"Denver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8"/>
        <v>start /low /b %USERPROFILE%\Documents\GitHub\eaglep3\Utilities\DownloadLogsFromS3.py --loco 4032 --day 2017-06-11</v>
      </c>
      <c r="AN186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647</v>
      </c>
      <c r="B187" s="7">
        <v>4031</v>
      </c>
      <c r="C187" s="21" t="s">
        <v>204</v>
      </c>
      <c r="D187" s="21" t="s">
        <v>886</v>
      </c>
      <c r="E187" s="13">
        <v>42897.858460648145</v>
      </c>
      <c r="F187" s="13">
        <v>42897.8596412037</v>
      </c>
      <c r="G187" s="7">
        <v>0</v>
      </c>
      <c r="H187" s="21" t="s">
        <v>905</v>
      </c>
      <c r="I187" s="13">
        <v>42897.871840277781</v>
      </c>
      <c r="J187" s="7">
        <v>0</v>
      </c>
      <c r="K187" s="92" t="str">
        <f t="shared" si="54"/>
        <v>4031/4032</v>
      </c>
      <c r="L187" s="21" t="str">
        <f>VLOOKUP(A187,'Trips&amp;Operators'!$C$1:$G$99999,5,FALSE)</f>
        <v>HOLCOMB KAMDEN</v>
      </c>
      <c r="M187" s="6">
        <f t="shared" si="55"/>
        <v>1.2199074080854189E-2</v>
      </c>
      <c r="N187" s="7">
        <f t="shared" si="56"/>
        <v>17.566666676430032</v>
      </c>
      <c r="O187" s="7"/>
      <c r="P187" s="7"/>
      <c r="Q187" s="22"/>
      <c r="R187" s="173"/>
      <c r="S187" s="176">
        <f t="shared" si="57"/>
        <v>1</v>
      </c>
      <c r="T187" s="202" t="str">
        <f t="shared" si="58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9"/>
        <v>https://d0f6bd738d7f1b3e5a7ca70fe4ff75f0.us-east-1.aws.found.io/app/kibana#/discover/Steve-Slow-Train-Analysis-(2080s-and-2083s)?_g=(refreshInterval:(display:Off,pause:!f,section:0,value:0),time:(from:'2017-06-11T19:36:11-0600',mode:absolute,to:'2017-06-11T21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204" t="str">
        <f t="shared" si="60"/>
        <v>N</v>
      </c>
      <c r="X187" s="204">
        <f t="shared" si="73"/>
        <v>1</v>
      </c>
      <c r="Y187" s="204">
        <f t="shared" si="74"/>
        <v>5.8667999999999996</v>
      </c>
      <c r="Z187" s="204">
        <f t="shared" si="75"/>
        <v>7.3400000000000007E-2</v>
      </c>
      <c r="AA187" s="204">
        <f t="shared" si="61"/>
        <v>5.7933999999999992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2"/>
        <v>1830-11</v>
      </c>
      <c r="AE187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87" s="77" t="str">
        <f t="shared" si="64"/>
        <v>"C:\Program Files (x86)\AstroGrep\AstroGrep.exe" /e /r /s /spath="%USERPROFILE%\AppData\Local\Temp\OnboardLogs" /stypes="app*4031*20170612*" /stext=" 02:.+((SYSTEM_STATE.+slice.+state.+changed )|(ment ac)|(multiple cpu faults)|(system.+state.+changed )|(\[timeout)|(PRM\|1\|D)|(kpr)|(kdp)|(train st.+moving)|(\|lc)|(penalty))"</v>
      </c>
      <c r="AG187" s="1" t="str">
        <f t="shared" si="65"/>
        <v>NW</v>
      </c>
      <c r="AH187" s="81" t="str">
        <f t="shared" si="66"/>
        <v>"%USERPROFILE%\Documents\GitHub\eaglep3\Utilities\RefineRTDCRunTimes.py" --tripid 1830-11 --locoid 4031 --swversion DE.1.0.9.0 --startMP 300:58668 --initTime 2017-06-11T20:36:11 --startdatetime 2017-06-11T20:37:53 --delay 0 --endMP 204:734 --enddatetime 2017-06-11T20:55:27 --enforcementcount 0 &gt;&gt;C:\Users\stu\Documents\GitHub\eaglep3-reporting\EC\2017-06-11-refined-times.txt</v>
      </c>
      <c r="AI187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{"issue":{"subject":"","project_id":79,"tracker_id":40,"status_id":1,"priority_id":2,"assigned_to_id":23,"start_date":"2017-06-11","description":"","custom_fields":[{"id":1,"name":"Subdivision","value":"NW"},{"id":4,"name":"Milepost","value":"0.0734"},{"id":17,"name":"Train ID","value":"1830-11"},{"id":16,"name":"Locomotive ID","value":"4031"},{"id":130,"name":"Impact","value":""},{"id":150,"name":"Time of Event (Mountain Time)","value":"20:55:27"},{"id":151,"name":"Denver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8"/>
        <v>start /low /b %USERPROFILE%\Documents\GitHub\eaglep3\Utilities\DownloadLogsFromS3.py --loco 4031 --day 2017-06-11</v>
      </c>
      <c r="AN187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02:55:27"},{"id":29,"name":"Sharepoint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807</v>
      </c>
      <c r="B188" s="7">
        <v>4032</v>
      </c>
      <c r="C188" s="21" t="s">
        <v>204</v>
      </c>
      <c r="D188" s="21" t="s">
        <v>906</v>
      </c>
      <c r="E188" s="13">
        <v>42897.886793981481</v>
      </c>
      <c r="F188" s="13">
        <v>42897.889733796299</v>
      </c>
      <c r="G188" s="7">
        <v>2</v>
      </c>
      <c r="H188" s="21" t="s">
        <v>907</v>
      </c>
      <c r="I188" s="13">
        <v>42897.899178240739</v>
      </c>
      <c r="J188" s="7">
        <v>0</v>
      </c>
      <c r="K188" s="92" t="str">
        <f t="shared" si="54"/>
        <v>4031/4032</v>
      </c>
      <c r="L188" s="21" t="str">
        <f>VLOOKUP(A188,'Trips&amp;Operators'!$C$1:$G$99999,5,FALSE)</f>
        <v>BIRENBAUM THOMAS</v>
      </c>
      <c r="M188" s="6">
        <f t="shared" si="55"/>
        <v>9.444444440305233E-3</v>
      </c>
      <c r="N188" s="7">
        <f t="shared" si="56"/>
        <v>13.599999994039536</v>
      </c>
      <c r="O188" s="7"/>
      <c r="P188" s="7"/>
      <c r="Q188" s="22"/>
      <c r="R188" s="173"/>
      <c r="S188" s="176">
        <f t="shared" si="57"/>
        <v>1</v>
      </c>
      <c r="T188" s="202" t="str">
        <f t="shared" si="58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9"/>
        <v>https://d0f6bd738d7f1b3e5a7ca70fe4ff75f0.us-east-1.aws.found.io/app/kibana#/discover/Steve-Slow-Train-Analysis-(2080s-and-2083s)?_g=(refreshInterval:(display:Off,pause:!f,section:0,value:0),time:(from:'2017-06-11T20:16:59-0600',mode:absolute,to:'2017-06-11T22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04" t="str">
        <f t="shared" si="60"/>
        <v>N</v>
      </c>
      <c r="X188" s="204">
        <f t="shared" si="73"/>
        <v>1</v>
      </c>
      <c r="Y188" s="204">
        <f t="shared" si="74"/>
        <v>0.1004</v>
      </c>
      <c r="Z188" s="204">
        <f t="shared" si="75"/>
        <v>5.8975999999999997</v>
      </c>
      <c r="AA188" s="204">
        <f t="shared" si="61"/>
        <v>5.7972000000000001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2"/>
        <v>1831-11</v>
      </c>
      <c r="AE188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88" s="77" t="str">
        <f t="shared" si="64"/>
        <v>"C:\Program Files (x86)\AstroGrep\AstroGrep.exe" /e /r /s /spath="%USERPROFILE%\AppData\Local\Temp\OnboardLogs" /stypes="app*4032*20170612*" /stext=" 03:.+((SYSTEM_STATE.+slice.+state.+changed )|(ment ac)|(multiple cpu faults)|(system.+state.+changed )|(\[timeout)|(PRM\|1\|D)|(kpr)|(kdp)|(train st.+moving)|(\|lc)|(penalty))"</v>
      </c>
      <c r="AG188" s="1" t="str">
        <f t="shared" si="65"/>
        <v>NW</v>
      </c>
      <c r="AH188" s="81" t="str">
        <f t="shared" si="66"/>
        <v>"%USERPROFILE%\Documents\GitHub\eaglep3\Utilities\RefineRTDCRunTimes.py" --tripid 1831-11 --locoid 4032 --swversion DE.1.0.9.0 --startMP 204:1004 --initTime 2017-06-11T21:16:59 --startdatetime 2017-06-11T21:21:13 --delay 2 --endMP 300:58976 --enddatetime 2017-06-11T21:34:49 --enforcementcount 0 &gt;&gt;C:\Users\stu\Documents\GitHub\eaglep3-reporting\EC\2017-06-11-refined-times.txt</v>
      </c>
      <c r="AI188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{"issue":{"subject":"","project_id":79,"tracker_id":40,"status_id":1,"priority_id":2,"assigned_to_id":23,"start_date":"2017-06-11","description":"","custom_fields":[{"id":1,"name":"Subdivision","value":"NW"},{"id":4,"name":"Milepost","value":"5.8976"},{"id":17,"name":"Train ID","value":"1831-11"},{"id":16,"name":"Locomotive ID","value":"4032"},{"id":130,"name":"Impact","value":""},{"id":150,"name":"Time of Event (Mountain Time)","value":"21:34:49"},{"id":151,"name":"Denver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8"/>
        <v>start /low /b %USERPROFILE%\Documents\GitHub\eaglep3\Utilities\DownloadLogsFromS3.py --loco 4032 --day 2017-06-11</v>
      </c>
      <c r="AN188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808</v>
      </c>
      <c r="B189" s="7">
        <v>4031</v>
      </c>
      <c r="C189" s="21" t="s">
        <v>204</v>
      </c>
      <c r="D189" s="21" t="s">
        <v>908</v>
      </c>
      <c r="E189" s="13">
        <v>42897.900995370372</v>
      </c>
      <c r="F189" s="13">
        <v>42897.902499999997</v>
      </c>
      <c r="G189" s="7">
        <v>1</v>
      </c>
      <c r="H189" s="21" t="s">
        <v>909</v>
      </c>
      <c r="I189" s="13">
        <v>42897.912893518522</v>
      </c>
      <c r="J189" s="7">
        <v>0</v>
      </c>
      <c r="K189" s="92" t="str">
        <f t="shared" si="54"/>
        <v>4031/4032</v>
      </c>
      <c r="L189" s="21" t="str">
        <f>VLOOKUP(A189,'Trips&amp;Operators'!$C$1:$G$99999,5,FALSE)</f>
        <v>BIRENBAUM THOMAS</v>
      </c>
      <c r="M189" s="6">
        <f t="shared" si="55"/>
        <v>1.0393518525233958E-2</v>
      </c>
      <c r="N189" s="7">
        <f t="shared" si="56"/>
        <v>14.966666676336899</v>
      </c>
      <c r="O189" s="7"/>
      <c r="P189" s="7"/>
      <c r="Q189" s="22"/>
      <c r="R189" s="173"/>
      <c r="S189" s="176">
        <f t="shared" si="57"/>
        <v>1</v>
      </c>
      <c r="T189" s="202" t="str">
        <f t="shared" si="58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9"/>
        <v>https://d0f6bd738d7f1b3e5a7ca70fe4ff75f0.us-east-1.aws.found.io/app/kibana#/discover/Steve-Slow-Train-Analysis-(2080s-and-2083s)?_g=(refreshInterval:(display:Off,pause:!f,section:0,value:0),time:(from:'2017-06-11T20:37:26-0600',mode:absolute,to:'2017-06-11T22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04" t="str">
        <f t="shared" si="60"/>
        <v>N</v>
      </c>
      <c r="X189" s="204">
        <f t="shared" si="73"/>
        <v>1</v>
      </c>
      <c r="Y189" s="204">
        <f t="shared" si="74"/>
        <v>5.8648999999999996</v>
      </c>
      <c r="Z189" s="204">
        <f t="shared" si="75"/>
        <v>6.9099999999999995E-2</v>
      </c>
      <c r="AA189" s="204">
        <f t="shared" si="61"/>
        <v>5.7957999999999998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2"/>
        <v>1832-11</v>
      </c>
      <c r="AE189" s="80" t="str">
        <f t="shared" si="63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189" s="77" t="str">
        <f t="shared" si="64"/>
        <v>"C:\Program Files (x86)\AstroGrep\AstroGrep.exe" /e /r /s /spath="%USERPROFILE%\AppData\Local\Temp\OnboardLogs" /stypes="app*4031*20170612*" /stext=" 03:.+((SYSTEM_STATE.+slice.+state.+changed )|(ment ac)|(multiple cpu faults)|(system.+state.+changed )|(\[timeout)|(PRM\|1\|D)|(kpr)|(kdp)|(train st.+moving)|(\|lc)|(penalty))"</v>
      </c>
      <c r="AG189" s="1" t="str">
        <f t="shared" si="65"/>
        <v>NW</v>
      </c>
      <c r="AH189" s="81" t="str">
        <f t="shared" si="66"/>
        <v>"%USERPROFILE%\Documents\GitHub\eaglep3\Utilities\RefineRTDCRunTimes.py" --tripid 1832-11 --locoid 4031 --swversion DE.1.0.9.0 --startMP 300:58649 --initTime 2017-06-11T21:37:26 --startdatetime 2017-06-11T21:39:36 --delay 1 --endMP 204:691 --enddatetime 2017-06-11T21:54:34 --enforcementcount 0 &gt;&gt;C:\Users\stu\Documents\GitHub\eaglep3-reporting\EC\2017-06-11-refined-times.txt</v>
      </c>
      <c r="AI189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{"issue":{"subject":"","project_id":79,"tracker_id":40,"status_id":1,"priority_id":2,"assigned_to_id":23,"start_date":"2017-06-11","description":"","custom_fields":[{"id":1,"name":"Subdivision","value":"NW"},{"id":4,"name":"Milepost","value":"0.0691"},{"id":17,"name":"Train ID","value":"1832-11"},{"id":16,"name":"Locomotive ID","value":"4031"},{"id":130,"name":"Impact","value":""},{"id":150,"name":"Time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8"/>
        <v>start /low /b %USERPROFILE%\Documents\GitHub\eaglep3\Utilities\DownloadLogsFromS3.py --loco 4031 --day 2017-06-11</v>
      </c>
      <c r="AN189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649</v>
      </c>
      <c r="B190" s="7">
        <v>4032</v>
      </c>
      <c r="C190" s="21" t="s">
        <v>204</v>
      </c>
      <c r="D190" s="21" t="s">
        <v>910</v>
      </c>
      <c r="E190" s="13">
        <v>42897.931284722225</v>
      </c>
      <c r="F190" s="13">
        <v>42897.932673611111</v>
      </c>
      <c r="G190" s="7">
        <v>1</v>
      </c>
      <c r="H190" s="21" t="s">
        <v>911</v>
      </c>
      <c r="I190" s="13">
        <v>42897.941874999997</v>
      </c>
      <c r="J190" s="7">
        <v>0</v>
      </c>
      <c r="K190" s="92" t="str">
        <f t="shared" si="54"/>
        <v>4031/4032</v>
      </c>
      <c r="L190" s="21" t="str">
        <f>VLOOKUP(A190,'Trips&amp;Operators'!$C$1:$G$99999,5,FALSE)</f>
        <v>HOLCOMB KAMDEN</v>
      </c>
      <c r="M190" s="6">
        <f t="shared" si="55"/>
        <v>9.2013888861401938E-3</v>
      </c>
      <c r="N190" s="7">
        <f t="shared" si="56"/>
        <v>13.249999996041879</v>
      </c>
      <c r="O190" s="7"/>
      <c r="P190" s="7"/>
      <c r="Q190" s="22"/>
      <c r="R190" s="173"/>
      <c r="S190" s="176">
        <f t="shared" si="57"/>
        <v>1</v>
      </c>
      <c r="T190" s="202" t="str">
        <f t="shared" si="58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9"/>
        <v>https://d0f6bd738d7f1b3e5a7ca70fe4ff75f0.us-east-1.aws.found.io/app/kibana#/discover/Steve-Slow-Train-Analysis-(2080s-and-2083s)?_g=(refreshInterval:(display:Off,pause:!f,section:0,value:0),time:(from:'2017-06-11T21:21:03-0600',mode:absolute,to:'2017-06-11T23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204" t="str">
        <f t="shared" si="60"/>
        <v>N</v>
      </c>
      <c r="X190" s="204">
        <f t="shared" si="73"/>
        <v>1</v>
      </c>
      <c r="Y190" s="204">
        <f t="shared" si="74"/>
        <v>9.7199999999999995E-2</v>
      </c>
      <c r="Z190" s="204">
        <f t="shared" si="75"/>
        <v>5.8689999999999998</v>
      </c>
      <c r="AA190" s="204">
        <f t="shared" si="61"/>
        <v>5.7717999999999998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2"/>
        <v>1833-11</v>
      </c>
      <c r="AE190" s="80" t="str">
        <f t="shared" si="63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190" s="77" t="str">
        <f t="shared" si="64"/>
        <v>"C:\Program Files (x86)\AstroGrep\AstroGrep.exe" /e /r /s /spath="%USERPROFILE%\AppData\Local\Temp\OnboardLogs" /stypes="app*4032*20170612*" /stext=" 04:.+((SYSTEM_STATE.+slice.+state.+changed )|(ment ac)|(multiple cpu faults)|(system.+state.+changed )|(\[timeout)|(PRM\|1\|D)|(kpr)|(kdp)|(train st.+moving)|(\|lc)|(penalty))"</v>
      </c>
      <c r="AG190" s="1" t="str">
        <f t="shared" si="65"/>
        <v>NW</v>
      </c>
      <c r="AH190" s="81" t="str">
        <f t="shared" si="66"/>
        <v>"%USERPROFILE%\Documents\GitHub\eaglep3\Utilities\RefineRTDCRunTimes.py" --tripid 1833-11 --locoid 4032 --swversion DE.1.0.9.0 --startMP 204:972 --initTime 2017-06-11T22:21:03 --startdatetime 2017-06-11T22:23:03 --delay 1 --endMP 300:58690 --enddatetime 2017-06-11T22:36:18 --enforcementcount 0 &gt;&gt;C:\Users\stu\Documents\GitHub\eaglep3-reporting\EC\2017-06-11-refined-times.txt</v>
      </c>
      <c r="AI190" s="99" t="str">
        <f t="shared" si="67"/>
        <v>echo {"issue":{"subject":"","project_id":79,"tracker_id":40,"status_id":1,"priority_id":2,"assigned_to_id":23,"start_date":"2017-06-11","description":"","custom_fields":[{"id":1,"name":"Subdivision","value":"NW"},{"id":4,"name":"Milepost","value":"5.869"},{"id":17,"name":"Train ID","value":"1833-11"},{"id":16,"name":"Locomotive ID","value":"4032"},{"id":130,"name":"Impact","value":""},{"id":150,"name":"Time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8"/>
        <v>start /low /b %USERPROFILE%\Documents\GitHub\eaglep3\Utilities\DownloadLogsFromS3.py --loco 4032 --day 2017-06-11</v>
      </c>
      <c r="AN190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04:36:18"},{"id":29,"name":"Sharepoint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s="20" customFormat="1" x14ac:dyDescent="0.25">
      <c r="A191" s="32" t="s">
        <v>583</v>
      </c>
      <c r="B191" s="7">
        <v>4045</v>
      </c>
      <c r="C191" s="21" t="s">
        <v>204</v>
      </c>
      <c r="D191" s="21" t="s">
        <v>939</v>
      </c>
      <c r="E191" s="13">
        <v>42897.114444444444</v>
      </c>
      <c r="F191" s="13">
        <v>42897.117488425924</v>
      </c>
      <c r="G191" s="7">
        <v>4</v>
      </c>
      <c r="H191" s="21" t="s">
        <v>940</v>
      </c>
      <c r="I191" s="13">
        <v>42897.122650462959</v>
      </c>
      <c r="J191" s="7">
        <v>0</v>
      </c>
      <c r="K191" s="92" t="str">
        <f t="shared" si="54"/>
        <v>4045/4046</v>
      </c>
      <c r="L191" s="21" t="str">
        <f>VLOOKUP(A191,'Trips&amp;Operators'!$C$1:$G$99999,5,FALSE)</f>
        <v>MAELZER KURT</v>
      </c>
      <c r="M191" s="6">
        <f t="shared" si="55"/>
        <v>5.1620370359160006E-3</v>
      </c>
      <c r="N191" s="7">
        <f t="shared" si="56"/>
        <v>7.4333333317190409</v>
      </c>
      <c r="O191" s="7"/>
      <c r="P191" s="7"/>
      <c r="Q191" s="22"/>
      <c r="R191" s="173"/>
      <c r="S191" s="176">
        <f t="shared" si="57"/>
        <v>0</v>
      </c>
      <c r="T191" s="202" t="str">
        <f t="shared" si="58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203" t="str">
        <f t="shared" si="59"/>
        <v>https://d0f6bd738d7f1b3e5a7ca70fe4ff75f0.us-east-1.aws.found.io/app/kibana#/discover/Steve-Slow-Train-Analysis-(2080s-and-2083s)?_g=(refreshInterval:(display:Off,pause:!f,section:0,value:0),time:(from:'2017-06-11T01:44:48-0600',mode:absolute,to:'2017-06-11T03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1" s="204" t="str">
        <f t="shared" si="60"/>
        <v>Y</v>
      </c>
      <c r="X191" s="204">
        <f t="shared" si="73"/>
        <v>-1533</v>
      </c>
      <c r="Y191" s="204">
        <f t="shared" si="74"/>
        <v>2.2391000000000001</v>
      </c>
      <c r="Z191" s="204">
        <f t="shared" si="75"/>
        <v>1.4579</v>
      </c>
      <c r="AA191" s="204">
        <f t="shared" si="61"/>
        <v>0.78120000000000012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2"/>
        <v>0300-11</v>
      </c>
      <c r="AE191" s="80" t="str">
        <f t="shared" si="63"/>
        <v>aws s3 cp s3://rtdc.mdm.uploadarchive.raw/RTDC4045/ "%USERPROFILE%\AppData\Local\Temp\OnboardLogs"\RTDC4045\2017-06-11 --exclude "*" --recursive --include "*20170611*" &amp; "%USERPROFILE%\Documents\GitHub\mrs-test-scripts\Headless Mode &amp; Sideloading\WalkAndUnGZ.bat" "%USERPROFILE%\AppData\Local\Temp\OnboardLogs"\RTDC4045\2017-06-11 &amp; 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</v>
      </c>
      <c r="AF191" s="77" t="str">
        <f t="shared" si="64"/>
        <v>"C:\Program Files (x86)\AstroGrep\AstroGrep.exe" /e /r /s /spath="%USERPROFILE%\AppData\Local\Temp\OnboardLogs" /stypes="app*4045*20170611*" /stext=" 08:.+((SYSTEM_STATE.+slice.+state.+changed )|(ment ac)|(multiple cpu faults)|(system.+state.+changed )|(\[timeout)|(PRM\|1\|D)|(kpr)|(kdp)|(train st.+moving)|(\|lc)|(penalty))"</v>
      </c>
      <c r="AG191" s="1" t="str">
        <f t="shared" si="65"/>
        <v>Other</v>
      </c>
      <c r="AH191" s="81" t="str">
        <f t="shared" si="66"/>
        <v>"%USERPROFILE%\Documents\GitHub\eaglep3\Utilities\RefineRTDCRunTimes.py" --tripid 300-11 --locoid 4045 --swversion DE.1.0.9.0 --startMP 300:22391 --initTime 2017-06-11T02:44:48 --startdatetime 2017-06-11T02:49:11 --delay 4 --endMP 300:14579 --enddatetime 2017-06-11T02:56:37 --enforcementcount 0 &gt;&gt;C:\Users\stu\Documents\GitHub\eaglep3-reporting\EC\2017-06-11-refined-times.txt</v>
      </c>
      <c r="AI191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{"issue":{"subject":"","project_id":79,"tracker_id":40,"status_id":1,"priority_id":2,"assigned_to_id":23,"start_date":"2017-06-11","description":"","custom_fields":[{"id":1,"name":"Subdivision","value":"Other"},{"id":4,"name":"Milepost","value":"1.4579"},{"id":17,"name":"Train ID","value":"300-11"},{"id":16,"name":"Locomotive ID","value":"4045"},{"id":130,"name":"Impact","value":""},{"id":150,"name":"Time of Event (Mountain Time)","value":"02:56:37"},{"id":151,"name":"Denver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5" t="str">
        <f t="shared" si="68"/>
        <v>start /low /b %USERPROFILE%\Documents\GitHub\eaglep3\Utilities\DownloadLogsFromS3.py --loco 4045 --day 2017-06-11</v>
      </c>
      <c r="AN191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787</v>
      </c>
      <c r="B192" s="7">
        <v>4040</v>
      </c>
      <c r="C192" s="21" t="s">
        <v>204</v>
      </c>
      <c r="D192" s="21" t="s">
        <v>451</v>
      </c>
      <c r="E192" s="13">
        <v>42897.776203703703</v>
      </c>
      <c r="F192" s="13">
        <v>42897.777951388889</v>
      </c>
      <c r="G192" s="7">
        <v>1</v>
      </c>
      <c r="H192" s="21" t="s">
        <v>941</v>
      </c>
      <c r="I192" s="13">
        <v>42897.784814814811</v>
      </c>
      <c r="J192" s="7">
        <v>0</v>
      </c>
      <c r="K192" s="92" t="str">
        <f t="shared" si="54"/>
        <v>4039/4040</v>
      </c>
      <c r="L192" s="21" t="str">
        <f>VLOOKUP(A192,'Trips&amp;Operators'!$C$1:$G$99999,5,FALSE)</f>
        <v>BRUDER RICHARD</v>
      </c>
      <c r="M192" s="6">
        <f t="shared" si="55"/>
        <v>6.8634259223472327E-3</v>
      </c>
      <c r="N192" s="7">
        <f t="shared" si="56"/>
        <v>9.8833333281800151</v>
      </c>
      <c r="O192" s="7"/>
      <c r="P192" s="7"/>
      <c r="Q192" s="22"/>
      <c r="R192" s="173"/>
      <c r="S192" s="176">
        <f t="shared" si="57"/>
        <v>1</v>
      </c>
      <c r="T192" s="202" t="str">
        <f t="shared" si="58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9"/>
        <v>https://d0f6bd738d7f1b3e5a7ca70fe4ff75f0.us-east-1.aws.found.io/app/kibana#/discover/Steve-Slow-Train-Analysis-(2080s-and-2083s)?_g=(refreshInterval:(display:Off,pause:!f,section:0,value:0),time:(from:'2017-06-11T17:37:44-0600',mode:absolute,to:'2017-06-11T19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204" t="str">
        <f t="shared" si="60"/>
        <v>Y</v>
      </c>
      <c r="X192" s="204">
        <f t="shared" si="73"/>
        <v>1</v>
      </c>
      <c r="Y192" s="204">
        <f t="shared" si="74"/>
        <v>4.6699999999999998E-2</v>
      </c>
      <c r="Z192" s="204">
        <f t="shared" si="75"/>
        <v>2.3315999999999999</v>
      </c>
      <c r="AA192" s="204">
        <f t="shared" si="61"/>
        <v>2.2848999999999999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2"/>
        <v>0301-11</v>
      </c>
      <c r="AE192" s="80" t="str">
        <f t="shared" si="63"/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AF192" s="77" t="str">
        <f t="shared" si="64"/>
        <v>"C:\Program Files (x86)\AstroGrep\AstroGrep.exe" /e /r /s /spath="%USERPROFILE%\AppData\Local\Temp\OnboardLogs" /stypes="app*4040*20170612*" /stext=" 00:.+((SYSTEM_STATE.+slice.+state.+changed )|(ment ac)|(multiple cpu faults)|(system.+state.+changed )|(\[timeout)|(PRM\|1\|D)|(kpr)|(kdp)|(train st.+moving)|(\|lc)|(penalty))"</v>
      </c>
      <c r="AG192" s="1" t="str">
        <f t="shared" si="65"/>
        <v>Other</v>
      </c>
      <c r="AH192" s="81" t="str">
        <f t="shared" si="66"/>
        <v>"%USERPROFILE%\Documents\GitHub\eaglep3\Utilities\RefineRTDCRunTimes.py" --tripid 301-11 --locoid 4040 --swversion DE.1.0.9.0 --startMP 204:467 --initTime 2017-06-11T18:37:44 --startdatetime 2017-06-11T18:40:15 --delay 1 --endMP 300:23316 --enddatetime 2017-06-11T18:50:08 --enforcementcount 0 &gt;&gt;C:\Users\stu\Documents\GitHub\eaglep3-reporting\EC\2017-06-11-refined-times.txt</v>
      </c>
      <c r="AI192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{"issue":{"subject":"","project_id":79,"tracker_id":40,"status_id":1,"priority_id":2,"assigned_to_id":23,"start_date":"2017-06-11","description":"","custom_fields":[{"id":1,"name":"Subdivision","value":"Other"},{"id":4,"name":"Milepost","value":"2.3316"},{"id":17,"name":"Train ID","value":"301-11"},{"id":16,"name":"Locomotive ID","value":"4040"},{"id":130,"name":"Impact","value":""},{"id":150,"name":"Time of Event (Mountain Time)","value":"18:50:08"},{"id":151,"name":"Denver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8"/>
        <v>start /low /b %USERPROFILE%\Documents\GitHub\eaglep3\Utilities\DownloadLogsFromS3.py --loco 4040 --day 2017-06-11</v>
      </c>
      <c r="AN192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653</v>
      </c>
      <c r="B193" s="7">
        <v>4053</v>
      </c>
      <c r="C193" s="21" t="s">
        <v>204</v>
      </c>
      <c r="D193" s="21" t="s">
        <v>942</v>
      </c>
      <c r="E193" s="13">
        <v>42897.136863425927</v>
      </c>
      <c r="F193" s="13">
        <v>42897.141296296293</v>
      </c>
      <c r="G193" s="7">
        <v>5</v>
      </c>
      <c r="H193" s="21" t="s">
        <v>943</v>
      </c>
      <c r="I193" s="13">
        <v>42897.143148148149</v>
      </c>
      <c r="J193" s="7">
        <v>0</v>
      </c>
      <c r="K193" s="92" t="str">
        <f t="shared" si="54"/>
        <v>4053/4054</v>
      </c>
      <c r="L193" s="21" t="str">
        <f>VLOOKUP(A193,'Trips&amp;Operators'!$C$1:$G$99999,5,FALSE)</f>
        <v>WILLIAMS DONTE</v>
      </c>
      <c r="M193" s="6">
        <f t="shared" si="55"/>
        <v>1.8518518554628827E-3</v>
      </c>
      <c r="N193" s="7">
        <f t="shared" si="56"/>
        <v>2.666666671866551</v>
      </c>
      <c r="O193" s="7"/>
      <c r="P193" s="7"/>
      <c r="Q193" s="22"/>
      <c r="R193" s="173"/>
      <c r="S193" s="176">
        <f t="shared" si="57"/>
        <v>0</v>
      </c>
      <c r="T193" s="202" t="str">
        <f t="shared" si="58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203" t="str">
        <f t="shared" si="59"/>
        <v>https://d0f6bd738d7f1b3e5a7ca70fe4ff75f0.us-east-1.aws.found.io/app/kibana#/discover/Steve-Slow-Train-Analysis-(2080s-and-2083s)?_g=(refreshInterval:(display:Off,pause:!f,section:0,value:0),time:(from:'2017-06-11T02:17:05-0600',mode:absolute,to:'2017-06-11T04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204" t="str">
        <f t="shared" si="60"/>
        <v>Y</v>
      </c>
      <c r="X193" s="204">
        <f t="shared" ref="X193:X214" si="76">VALUE(LEFT(AD193,4))-VALUE(LEFT(AD192,4))</f>
        <v>1</v>
      </c>
      <c r="Y193" s="204">
        <f t="shared" si="74"/>
        <v>2.3967999999999998</v>
      </c>
      <c r="Z193" s="204">
        <f t="shared" si="75"/>
        <v>1.9115</v>
      </c>
      <c r="AA193" s="204">
        <f t="shared" si="61"/>
        <v>0.48529999999999984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2"/>
        <v>0302-11</v>
      </c>
      <c r="AE193" s="80" t="str">
        <f t="shared" si="63"/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AF193" s="77" t="str">
        <f t="shared" si="64"/>
        <v>"C:\Program Files (x86)\AstroGrep\AstroGrep.exe" /e /r /s /spath="%USERPROFILE%\AppData\Local\Temp\OnboardLogs" /stypes="app*4053*20170611*" /stext=" 09:.+((SYSTEM_STATE.+slice.+state.+changed )|(ment ac)|(multiple cpu faults)|(system.+state.+changed )|(\[timeout)|(PRM\|1\|D)|(kpr)|(kdp)|(train st.+moving)|(\|lc)|(penalty))"</v>
      </c>
      <c r="AG193" s="1" t="str">
        <f t="shared" si="65"/>
        <v>Other</v>
      </c>
      <c r="AH193" s="81" t="str">
        <f t="shared" si="66"/>
        <v>"%USERPROFILE%\Documents\GitHub\eaglep3\Utilities\RefineRTDCRunTimes.py" --tripid 302-11 --locoid 4053 --swversion DE.1.0.9.0 --startMP 300:23968 --initTime 2017-06-11T03:17:05 --startdatetime 2017-06-11T03:23:28 --delay 5 --endMP 300:19115 --enddatetime 2017-06-11T03:26:08 --enforcementcount 0 &gt;&gt;C:\Users\stu\Documents\GitHub\eaglep3-reporting\EC\2017-06-11-refined-times.txt</v>
      </c>
      <c r="AI193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{"issue":{"subject":"","project_id":79,"tracker_id":40,"status_id":1,"priority_id":2,"assigned_to_id":23,"start_date":"2017-06-11","description":"","custom_fields":[{"id":1,"name":"Subdivision","value":"Other"},{"id":4,"name":"Milepost","value":"1.9115"},{"id":17,"name":"Train ID","value":"302-11"},{"id":16,"name":"Locomotive ID","value":"4053"},{"id":130,"name":"Impact","value":""},{"id":150,"name":"Time of Event (Mountain Time)","value":"03:26:08"},{"id":151,"name":"Denver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8"/>
        <v>start /low /b %USERPROFILE%\Documents\GitHub\eaglep3\Utilities\DownloadLogsFromS3.py --loco 4053 --day 2017-06-11</v>
      </c>
      <c r="AN193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09:26:08"},{"id":29,"name":"Sharepoint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792</v>
      </c>
      <c r="B194" s="7">
        <v>4050</v>
      </c>
      <c r="C194" s="21" t="s">
        <v>204</v>
      </c>
      <c r="D194" s="21" t="s">
        <v>367</v>
      </c>
      <c r="E194" s="13">
        <v>42897.799074074072</v>
      </c>
      <c r="F194" s="13">
        <v>42897.801655092589</v>
      </c>
      <c r="G194" s="7">
        <v>1</v>
      </c>
      <c r="H194" s="21" t="s">
        <v>944</v>
      </c>
      <c r="I194" s="13">
        <v>42897.808761574073</v>
      </c>
      <c r="J194" s="7">
        <v>0</v>
      </c>
      <c r="K194" s="92" t="str">
        <f t="shared" si="54"/>
        <v>4049/4050</v>
      </c>
      <c r="L194" s="21" t="str">
        <f>VLOOKUP(A194,'Trips&amp;Operators'!$C$1:$G$99999,5,FALSE)</f>
        <v>DELGADO DIANAH</v>
      </c>
      <c r="M194" s="6">
        <f t="shared" si="55"/>
        <v>7.1064814837882295E-3</v>
      </c>
      <c r="N194" s="7">
        <f t="shared" si="56"/>
        <v>10.233333336655051</v>
      </c>
      <c r="O194" s="7"/>
      <c r="P194" s="7"/>
      <c r="Q194" s="22"/>
      <c r="R194" s="173"/>
      <c r="S194" s="176">
        <f t="shared" si="57"/>
        <v>1</v>
      </c>
      <c r="T194" s="202" t="str">
        <f t="shared" si="58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9"/>
        <v>https://d0f6bd738d7f1b3e5a7ca70fe4ff75f0.us-east-1.aws.found.io/app/kibana#/discover/Steve-Slow-Train-Analysis-(2080s-and-2083s)?_g=(refreshInterval:(display:Off,pause:!f,section:0,value:0),time:(from:'2017-06-11T18:10:40-0600',mode:absolute,to:'2017-06-11T20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4" s="204" t="str">
        <f t="shared" si="60"/>
        <v>Y</v>
      </c>
      <c r="X194" s="204">
        <f t="shared" si="76"/>
        <v>1</v>
      </c>
      <c r="Y194" s="204">
        <f t="shared" si="74"/>
        <v>4.5499999999999999E-2</v>
      </c>
      <c r="Z194" s="204">
        <f t="shared" si="75"/>
        <v>2.3302</v>
      </c>
      <c r="AA194" s="204">
        <f t="shared" si="61"/>
        <v>2.2847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2"/>
        <v>0303-11</v>
      </c>
      <c r="AE194" s="80" t="str">
        <f t="shared" si="63"/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AF194" s="77" t="str">
        <f t="shared" si="64"/>
        <v>"C:\Program Files (x86)\AstroGrep\AstroGrep.exe" /e /r /s /spath="%USERPROFILE%\AppData\Local\Temp\OnboardLogs" /stypes="app*4050*20170612*" /stext=" 01:.+((SYSTEM_STATE.+slice.+state.+changed )|(ment ac)|(multiple cpu faults)|(system.+state.+changed )|(\[timeout)|(PRM\|1\|D)|(kpr)|(kdp)|(train st.+moving)|(\|lc)|(penalty))"</v>
      </c>
      <c r="AG194" s="1" t="str">
        <f t="shared" si="65"/>
        <v>Other</v>
      </c>
      <c r="AH194" s="81" t="str">
        <f t="shared" si="66"/>
        <v>"%USERPROFILE%\Documents\GitHub\eaglep3\Utilities\RefineRTDCRunTimes.py" --tripid 303-11 --locoid 4050 --swversion DE.1.0.9.0 --startMP 204:455 --initTime 2017-06-11T19:10:40 --startdatetime 2017-06-11T19:14:23 --delay 1 --endMP 300:23302 --enddatetime 2017-06-11T19:24:37 --enforcementcount 0 &gt;&gt;C:\Users\stu\Documents\GitHub\eaglep3-reporting\EC\2017-06-11-refined-times.txt</v>
      </c>
      <c r="AI194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{"issue":{"subject":"","project_id":79,"tracker_id":40,"status_id":1,"priority_id":2,"assigned_to_id":23,"start_date":"2017-06-11","description":"","custom_fields":[{"id":1,"name":"Subdivision","value":"Other"},{"id":4,"name":"Milepost","value":"2.3302"},{"id":17,"name":"Train ID","value":"303-11"},{"id":16,"name":"Locomotive ID","value":"4050"},{"id":130,"name":"Impact","value":""},{"id":150,"name":"Time of Event (Mountain Time)","value":"19:24:37"},{"id":151,"name":"Denver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8"/>
        <v>start /low /b %USERPROFILE%\Documents\GitHub\eaglep3\Utilities\DownloadLogsFromS3.py --loco 4050 --day 2017-06-11</v>
      </c>
      <c r="AN194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655</v>
      </c>
      <c r="B195" s="7">
        <v>4019</v>
      </c>
      <c r="C195" s="21" t="s">
        <v>204</v>
      </c>
      <c r="D195" s="21" t="s">
        <v>945</v>
      </c>
      <c r="E195" s="13">
        <v>42897.149189814816</v>
      </c>
      <c r="F195" s="13">
        <v>42897.151932870373</v>
      </c>
      <c r="G195" s="7">
        <v>3</v>
      </c>
      <c r="H195" s="21" t="s">
        <v>933</v>
      </c>
      <c r="I195" s="13">
        <v>42897.159583333334</v>
      </c>
      <c r="J195" s="7">
        <v>0</v>
      </c>
      <c r="K195" s="92" t="str">
        <f t="shared" si="54"/>
        <v>4019/4020</v>
      </c>
      <c r="L195" s="21" t="str">
        <f>VLOOKUP(A195,'Trips&amp;Operators'!$C$1:$G$99999,5,FALSE)</f>
        <v>NEWELL JAMES</v>
      </c>
      <c r="M195" s="6">
        <f t="shared" si="55"/>
        <v>7.6504629614646547E-3</v>
      </c>
      <c r="N195" s="7">
        <f t="shared" si="56"/>
        <v>11.016666664509103</v>
      </c>
      <c r="O195" s="7"/>
      <c r="P195" s="7"/>
      <c r="Q195" s="22"/>
      <c r="R195" s="173"/>
      <c r="S195" s="176">
        <f t="shared" si="57"/>
        <v>1</v>
      </c>
      <c r="T195" s="202" t="str">
        <f t="shared" si="58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9"/>
        <v>https://d0f6bd738d7f1b3e5a7ca70fe4ff75f0.us-east-1.aws.found.io/app/kibana#/discover/Steve-Slow-Train-Analysis-(2080s-and-2083s)?_g=(refreshInterval:(display:Off,pause:!f,section:0,value:0),time:(from:'2017-06-11T02:34:50-0600',mode:absolute,to:'2017-06-11T04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204" t="str">
        <f t="shared" si="60"/>
        <v>Y</v>
      </c>
      <c r="X195" s="204">
        <f t="shared" si="76"/>
        <v>1</v>
      </c>
      <c r="Y195" s="204">
        <f t="shared" si="74"/>
        <v>2.3586</v>
      </c>
      <c r="Z195" s="204">
        <f t="shared" si="75"/>
        <v>1.6500000000000001E-2</v>
      </c>
      <c r="AA195" s="204">
        <f t="shared" si="61"/>
        <v>2.3420999999999998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2"/>
        <v>0304-11</v>
      </c>
      <c r="AE195" s="80" t="str">
        <f t="shared" si="63"/>
        <v>aws s3 cp s3://rtdc.mdm.uploadarchive.raw/RTDC4019/ "%USERPROFILE%\AppData\Local\Temp\OnboardLogs"\RTDC4019\2017-06-11 --exclude "*" --recursive --include "*20170611*" &amp; "%USERPROFILE%\Documents\GitHub\mrs-test-scripts\Headless Mode &amp; Sideloading\WalkAndUnGZ.bat" "%USERPROFILE%\AppData\Local\Temp\OnboardLogs"\RTDC4019\2017-06-11 &amp; aws s3 cp s3://rtdc.mdm.uploadarchive.raw/RTDC4019/ "%USERPROFILE%\AppData\Local\Temp\OnboardLogs"\RTDC4019\2017-06-12 --exclude "*" --recursive --include "*20170612*" &amp; "%USERPROFILE%\Documents\GitHub\mrs-test-scripts\Headless Mode &amp; Sideloading\WalkAndUnGZ.bat" "%USERPROFILE%\AppData\Local\Temp\OnboardLogs"\RTDC4019\2017-06-12</v>
      </c>
      <c r="AF195" s="77" t="str">
        <f t="shared" si="64"/>
        <v>"C:\Program Files (x86)\AstroGrep\AstroGrep.exe" /e /r /s /spath="%USERPROFILE%\AppData\Local\Temp\OnboardLogs" /stypes="app*4019*20170611*" /stext=" 09:.+((SYSTEM_STATE.+slice.+state.+changed )|(ment ac)|(multiple cpu faults)|(system.+state.+changed )|(\[timeout)|(PRM\|1\|D)|(kpr)|(kdp)|(train st.+moving)|(\|lc)|(penalty))"</v>
      </c>
      <c r="AG195" s="1" t="str">
        <f t="shared" si="65"/>
        <v>Other</v>
      </c>
      <c r="AH195" s="81" t="str">
        <f t="shared" si="66"/>
        <v>"%USERPROFILE%\Documents\GitHub\eaglep3\Utilities\RefineRTDCRunTimes.py" --tripid 304-11 --locoid 4019 --swversion DE.1.0.9.0 --startMP 300:23586 --initTime 2017-06-11T03:34:50 --startdatetime 2017-06-11T03:38:47 --delay 3 --endMP 204:165 --enddatetime 2017-06-11T03:49:48 --enforcementcount 0 &gt;&gt;C:\Users\stu\Documents\GitHub\eaglep3-reporting\EC\2017-06-11-refined-times.txt</v>
      </c>
      <c r="AI195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{"issue":{"subject":"","project_id":79,"tracker_id":40,"status_id":1,"priority_id":2,"assigned_to_id":23,"start_date":"2017-06-11","description":"","custom_fields":[{"id":1,"name":"Subdivision","value":"Other"},{"id":4,"name":"Milepost","value":"0.0165"},{"id":17,"name":"Train ID","value":"304-11"},{"id":16,"name":"Locomotive ID","value":"4019"},{"id":130,"name":"Impact","value":""},{"id":150,"name":"Time of Event (Mountain Time)","value":"03:49:48"},{"id":151,"name":"Denver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68"/>
        <v>start /low /b %USERPROFILE%\Documents\GitHub\eaglep3\Utilities\DownloadLogsFromS3.py --loco 4019 --day 2017-06-11</v>
      </c>
      <c r="AN195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09:49:48"},{"id":29,"name":"Sharepoint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797</v>
      </c>
      <c r="B196" s="7">
        <v>4010</v>
      </c>
      <c r="C196" s="21" t="s">
        <v>204</v>
      </c>
      <c r="D196" s="21" t="s">
        <v>936</v>
      </c>
      <c r="E196" s="13">
        <v>42897.817615740743</v>
      </c>
      <c r="F196" s="13">
        <v>42897.818877314814</v>
      </c>
      <c r="G196" s="7">
        <v>1</v>
      </c>
      <c r="H196" s="21" t="s">
        <v>946</v>
      </c>
      <c r="I196" s="13">
        <v>42897.825462962966</v>
      </c>
      <c r="J196" s="7">
        <v>0</v>
      </c>
      <c r="K196" s="92" t="str">
        <f t="shared" si="54"/>
        <v>4009/4010</v>
      </c>
      <c r="L196" s="21" t="str">
        <f>VLOOKUP(A196,'Trips&amp;Operators'!$C$1:$G$99999,5,FALSE)</f>
        <v>LOPES KIMBERLY</v>
      </c>
      <c r="M196" s="6">
        <f t="shared" si="55"/>
        <v>6.5856481523951516E-3</v>
      </c>
      <c r="N196" s="7">
        <f t="shared" si="56"/>
        <v>9.4833333394490182</v>
      </c>
      <c r="O196" s="7"/>
      <c r="P196" s="7"/>
      <c r="Q196" s="22"/>
      <c r="R196" s="173"/>
      <c r="S196" s="176">
        <f t="shared" si="57"/>
        <v>1</v>
      </c>
      <c r="T196" s="202" t="str">
        <f t="shared" si="58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9"/>
        <v>https://d0f6bd738d7f1b3e5a7ca70fe4ff75f0.us-east-1.aws.found.io/app/kibana#/discover/Steve-Slow-Train-Analysis-(2080s-and-2083s)?_g=(refreshInterval:(display:Off,pause:!f,section:0,value:0),time:(from:'2017-06-11T18:37:22-0600',mode:absolute,to:'2017-06-11T20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04" t="str">
        <f t="shared" si="60"/>
        <v>Y</v>
      </c>
      <c r="X196" s="204">
        <f t="shared" si="76"/>
        <v>1</v>
      </c>
      <c r="Y196" s="204">
        <f t="shared" si="74"/>
        <v>4.4200000000000003E-2</v>
      </c>
      <c r="Z196" s="204">
        <f t="shared" si="75"/>
        <v>2.3308</v>
      </c>
      <c r="AA196" s="204">
        <f t="shared" si="61"/>
        <v>2.2866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2"/>
        <v>0305-11</v>
      </c>
      <c r="AE196" s="80" t="str">
        <f t="shared" si="63"/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AF196" s="77" t="str">
        <f t="shared" si="64"/>
        <v>"C:\Program Files (x86)\AstroGrep\AstroGrep.exe" /e /r /s /spath="%USERPROFILE%\AppData\Local\Temp\OnboardLogs" /stypes="app*4010*20170612*" /stext=" 01:.+((SYSTEM_STATE.+slice.+state.+changed )|(ment ac)|(multiple cpu faults)|(system.+state.+changed )|(\[timeout)|(PRM\|1\|D)|(kpr)|(kdp)|(train st.+moving)|(\|lc)|(penalty))"</v>
      </c>
      <c r="AG196" s="1" t="str">
        <f t="shared" si="65"/>
        <v>Other</v>
      </c>
      <c r="AH196" s="81" t="str">
        <f t="shared" si="66"/>
        <v>"%USERPROFILE%\Documents\GitHub\eaglep3\Utilities\RefineRTDCRunTimes.py" --tripid 305-11 --locoid 4010 --swversion DE.1.0.9.0 --startMP 204:442 --initTime 2017-06-11T19:37:22 --startdatetime 2017-06-11T19:39:11 --delay 1 --endMP 300:23308 --enddatetime 2017-06-11T19:48:40 --enforcementcount 0 &gt;&gt;C:\Users\stu\Documents\GitHub\eaglep3-reporting\EC\2017-06-11-refined-times.txt</v>
      </c>
      <c r="AI196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{"issue":{"subject":"","project_id":79,"tracker_id":40,"status_id":1,"priority_id":2,"assigned_to_id":23,"start_date":"2017-06-11","description":"","custom_fields":[{"id":1,"name":"Subdivision","value":"Other"},{"id":4,"name":"Milepost","value":"2.3308"},{"id":17,"name":"Train ID","value":"305-11"},{"id":16,"name":"Locomotive ID","value":"4010"},{"id":130,"name":"Impact","value":""},{"id":150,"name":"Time of Event (Mountain Time)","value":"19:48:40"},{"id":151,"name":"Denver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8"/>
        <v>start /low /b %USERPROFILE%\Documents\GitHub\eaglep3\Utilities\DownloadLogsFromS3.py --loco 4010 --day 2017-06-11</v>
      </c>
      <c r="AN196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01:48:40"},{"id":29,"name":"Sharepoint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658</v>
      </c>
      <c r="B197" s="7">
        <v>4001</v>
      </c>
      <c r="C197" s="21" t="s">
        <v>204</v>
      </c>
      <c r="D197" s="21" t="s">
        <v>947</v>
      </c>
      <c r="E197" s="13">
        <v>42897.16909722222</v>
      </c>
      <c r="F197" s="13">
        <v>42897.175729166665</v>
      </c>
      <c r="G197" s="7">
        <v>9</v>
      </c>
      <c r="H197" s="21" t="s">
        <v>351</v>
      </c>
      <c r="I197" s="13">
        <v>42897.180960648147</v>
      </c>
      <c r="J197" s="7">
        <v>0</v>
      </c>
      <c r="K197" s="92" t="str">
        <f t="shared" si="54"/>
        <v>4001/4002</v>
      </c>
      <c r="L197" s="21" t="str">
        <f>VLOOKUP(A197,'Trips&amp;Operators'!$C$1:$G$99999,5,FALSE)</f>
        <v>LALONDE GREGORY</v>
      </c>
      <c r="M197" s="6">
        <f t="shared" si="55"/>
        <v>5.2314814820419997E-3</v>
      </c>
      <c r="N197" s="7">
        <f t="shared" si="56"/>
        <v>7.5333333341404796</v>
      </c>
      <c r="O197" s="7"/>
      <c r="P197" s="7"/>
      <c r="Q197" s="22"/>
      <c r="R197" s="173"/>
      <c r="S197" s="176">
        <f t="shared" si="57"/>
        <v>1</v>
      </c>
      <c r="T197" s="202" t="str">
        <f t="shared" si="58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9"/>
        <v>https://d0f6bd738d7f1b3e5a7ca70fe4ff75f0.us-east-1.aws.found.io/app/kibana#/discover/Steve-Slow-Train-Analysis-(2080s-and-2083s)?_g=(refreshInterval:(display:Off,pause:!f,section:0,value:0),time:(from:'2017-06-11T03:03:30-0600',mode:absolute,to:'2017-06-11T05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204" t="str">
        <f t="shared" si="60"/>
        <v>Y</v>
      </c>
      <c r="X197" s="204">
        <f t="shared" si="76"/>
        <v>1</v>
      </c>
      <c r="Y197" s="204">
        <f t="shared" si="74"/>
        <v>2.3441999999999998</v>
      </c>
      <c r="Z197" s="204">
        <f t="shared" si="75"/>
        <v>1.4999999999999999E-2</v>
      </c>
      <c r="AA197" s="204">
        <f t="shared" si="61"/>
        <v>2.3291999999999997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2"/>
        <v>0306-11</v>
      </c>
      <c r="AE197" s="80" t="str">
        <f t="shared" si="63"/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AF197" s="77" t="str">
        <f t="shared" si="64"/>
        <v>"C:\Program Files (x86)\AstroGrep\AstroGrep.exe" /e /r /s /spath="%USERPROFILE%\AppData\Local\Temp\OnboardLogs" /stypes="app*4001*20170611*" /stext=" 10:.+((SYSTEM_STATE.+slice.+state.+changed )|(ment ac)|(multiple cpu faults)|(system.+state.+changed )|(\[timeout)|(PRM\|1\|D)|(kpr)|(kdp)|(train st.+moving)|(\|lc)|(penalty))"</v>
      </c>
      <c r="AG197" s="1" t="str">
        <f t="shared" si="65"/>
        <v>Other</v>
      </c>
      <c r="AH197" s="81" t="str">
        <f t="shared" si="66"/>
        <v>"%USERPROFILE%\Documents\GitHub\eaglep3\Utilities\RefineRTDCRunTimes.py" --tripid 306-11 --locoid 4001 --swversion DE.1.0.9.0 --startMP 300:23442 --initTime 2017-06-11T04:03:30 --startdatetime 2017-06-11T04:13:03 --delay 9 --endMP 204:150 --enddatetime 2017-06-11T04:20:35 --enforcementcount 0 &gt;&gt;C:\Users\stu\Documents\GitHub\eaglep3-reporting\EC\2017-06-11-refined-times.txt</v>
      </c>
      <c r="AI197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{"issue":{"subject":"","project_id":79,"tracker_id":40,"status_id":1,"priority_id":2,"assigned_to_id":23,"start_date":"2017-06-11","description":"","custom_fields":[{"id":1,"name":"Subdivision","value":"Other"},{"id":4,"name":"Milepost","value":"0.015"},{"id":17,"name":"Train ID","value":"306-11"},{"id":16,"name":"Locomotive ID","value":"4001"},{"id":130,"name":"Impact","value":""},{"id":150,"name":"Time of Event (Mountain Time)","value":"04:20:35"},{"id":151,"name":"Denver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8"/>
        <v>start /low /b %USERPROFILE%\Documents\GitHub\eaglep3\Utilities\DownloadLogsFromS3.py --loco 4001 --day 2017-06-11</v>
      </c>
      <c r="AN197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820</v>
      </c>
      <c r="B198" s="7">
        <v>4042</v>
      </c>
      <c r="C198" s="21" t="s">
        <v>204</v>
      </c>
      <c r="D198" s="21" t="s">
        <v>592</v>
      </c>
      <c r="E198" s="13">
        <v>42898.026076388887</v>
      </c>
      <c r="F198" s="13">
        <v>42898.028333333335</v>
      </c>
      <c r="G198" s="7">
        <v>2</v>
      </c>
      <c r="H198" s="21" t="s">
        <v>513</v>
      </c>
      <c r="I198" s="13">
        <v>42898.036898148152</v>
      </c>
      <c r="J198" s="7">
        <v>0</v>
      </c>
      <c r="K198" s="92" t="str">
        <f t="shared" si="54"/>
        <v>4041/4042</v>
      </c>
      <c r="L198" s="21" t="str">
        <f>VLOOKUP(A198,'Trips&amp;Operators'!$C$1:$G$99999,5,FALSE)</f>
        <v>STAMBAUGH JAMES</v>
      </c>
      <c r="M198" s="6">
        <f t="shared" si="55"/>
        <v>8.5648148160544224E-3</v>
      </c>
      <c r="N198" s="7">
        <f t="shared" si="56"/>
        <v>12.333333335118368</v>
      </c>
      <c r="O198" s="7"/>
      <c r="P198" s="7"/>
      <c r="Q198" s="22"/>
      <c r="R198" s="173"/>
      <c r="S198" s="176">
        <f t="shared" si="57"/>
        <v>1</v>
      </c>
      <c r="T198" s="202" t="str">
        <f t="shared" si="58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9"/>
        <v>https://d0f6bd738d7f1b3e5a7ca70fe4ff75f0.us-east-1.aws.found.io/app/kibana#/discover/Steve-Slow-Train-Analysis-(2080s-and-2083s)?_g=(refreshInterval:(display:Off,pause:!f,section:0,value:0),time:(from:'2017-06-11T23:37:33-0600',mode:absolute,to:'2017-06-12T01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204" t="str">
        <f t="shared" si="60"/>
        <v>Y</v>
      </c>
      <c r="X198" s="204">
        <f t="shared" si="76"/>
        <v>1</v>
      </c>
      <c r="Y198" s="204">
        <f t="shared" si="74"/>
        <v>4.3999999999999997E-2</v>
      </c>
      <c r="Z198" s="204">
        <f t="shared" si="75"/>
        <v>2.331</v>
      </c>
      <c r="AA198" s="204">
        <f t="shared" si="61"/>
        <v>2.2869999999999999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2"/>
        <v>0307-11</v>
      </c>
      <c r="AE198" s="80" t="str">
        <f t="shared" si="63"/>
        <v>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 &amp; aws s3 cp s3://rtdc.mdm.uploadarchive.raw/RTDC4042/ "%USERPROFILE%\AppData\Local\Temp\OnboardLogs"\RTDC4042\2017-06-13 --exclude "*" --recursive --include "*20170613*" &amp; "%USERPROFILE%\Documents\GitHub\mrs-test-scripts\Headless Mode &amp; Sideloading\WalkAndUnGZ.bat" "%USERPROFILE%\AppData\Local\Temp\OnboardLogs"\RTDC4042\2017-06-13</v>
      </c>
      <c r="AF198" s="77" t="str">
        <f t="shared" si="64"/>
        <v>"C:\Program Files (x86)\AstroGrep\AstroGrep.exe" /e /r /s /spath="%USERPROFILE%\AppData\Local\Temp\OnboardLogs" /stypes="app*4042*20170612*" /stext=" 06:.+((SYSTEM_STATE.+slice.+state.+changed )|(ment ac)|(multiple cpu faults)|(system.+state.+changed )|(\[timeout)|(PRM\|1\|D)|(kpr)|(kdp)|(train st.+moving)|(\|lc)|(penalty))"</v>
      </c>
      <c r="AG198" s="1" t="str">
        <f t="shared" si="65"/>
        <v>Other</v>
      </c>
      <c r="AH198" s="81" t="str">
        <f t="shared" si="66"/>
        <v>"%USERPROFILE%\Documents\GitHub\eaglep3\Utilities\RefineRTDCRunTimes.py" --tripid 307-11 --locoid 4042 --swversion DE.1.0.9.0 --startMP 204:440 --initTime 2017-06-12T00:37:33 --startdatetime 2017-06-12T00:40:48 --delay 2 --endMP 300:23310 --enddatetime 2017-06-12T00:53:08 --enforcementcount 0 &gt;&gt;C:\Users\stu\Documents\GitHub\eaglep3-reporting\EC\2017-06-11-refined-times.txt</v>
      </c>
      <c r="AI198" s="99" t="str">
        <f t="shared" si="67"/>
        <v>echo {"issue":{"subject":"","project_id":79,"tracker_id":40,"status_id":1,"priority_id":2,"assigned_to_id":23,"start_date":"2017-06-12","description":"","custom_fields":[{"id":1,"name":"Subdivision","value":"Other"},{"id":4,"name":"Milepost","value":"2.331"},{"id":17,"name":"Train ID","value":"307-11"},{"id":16,"name":"Locomotive ID","value":"4042"},{"id":130,"name":"Impact","value":""},{"id":150,"name":"Time of Event (Mountain Time)","value":"00:53:08"},{"id":151,"name":"Denver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8"/>
        <v>start /low /b %USERPROFILE%\Documents\GitHub\eaglep3\Utilities\DownloadLogsFromS3.py --loco 4042 --day 2017-06-12</v>
      </c>
      <c r="AN198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06:53:08"},{"id":29,"name":"Sharepoint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661</v>
      </c>
      <c r="B199" s="7">
        <v>4039</v>
      </c>
      <c r="C199" s="21" t="s">
        <v>204</v>
      </c>
      <c r="D199" s="21" t="s">
        <v>948</v>
      </c>
      <c r="E199" s="13">
        <v>42897.180150462962</v>
      </c>
      <c r="F199" s="13">
        <v>42897.183437500003</v>
      </c>
      <c r="G199" s="7">
        <v>4</v>
      </c>
      <c r="H199" s="21" t="s">
        <v>933</v>
      </c>
      <c r="I199" s="13">
        <v>42897.19059027778</v>
      </c>
      <c r="J199" s="7">
        <v>0</v>
      </c>
      <c r="K199" s="92" t="str">
        <f t="shared" si="54"/>
        <v>4039/4040</v>
      </c>
      <c r="L199" s="21" t="str">
        <f>VLOOKUP(A199,'Trips&amp;Operators'!$C$1:$G$99999,5,FALSE)</f>
        <v>GEBRETEKLE DAGNEW</v>
      </c>
      <c r="M199" s="6">
        <f t="shared" si="55"/>
        <v>7.1527777763549238E-3</v>
      </c>
      <c r="N199" s="7">
        <f t="shared" si="56"/>
        <v>10.29999999795109</v>
      </c>
      <c r="O199" s="7"/>
      <c r="P199" s="7"/>
      <c r="Q199" s="22"/>
      <c r="R199" s="173"/>
      <c r="S199" s="176">
        <f t="shared" si="57"/>
        <v>1</v>
      </c>
      <c r="T199" s="202" t="str">
        <f t="shared" si="58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9"/>
        <v>https://d0f6bd738d7f1b3e5a7ca70fe4ff75f0.us-east-1.aws.found.io/app/kibana#/discover/Steve-Slow-Train-Analysis-(2080s-and-2083s)?_g=(refreshInterval:(display:Off,pause:!f,section:0,value:0),time:(from:'2017-06-11T03:19:25-0600',mode:absolute,to:'2017-06-11T05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204" t="str">
        <f t="shared" si="60"/>
        <v>Y</v>
      </c>
      <c r="X199" s="204">
        <f t="shared" si="76"/>
        <v>1</v>
      </c>
      <c r="Y199" s="204">
        <f t="shared" si="74"/>
        <v>2.3489</v>
      </c>
      <c r="Z199" s="204">
        <f t="shared" si="75"/>
        <v>1.6500000000000001E-2</v>
      </c>
      <c r="AA199" s="204">
        <f t="shared" si="61"/>
        <v>2.3323999999999998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2"/>
        <v>0308-11</v>
      </c>
      <c r="AE199" s="80" t="str">
        <f t="shared" si="63"/>
        <v>aws s3 cp s3://rtdc.mdm.uploadarchive.raw/RTDC4039/ "%USERPROFILE%\AppData\Local\Temp\OnboardLogs"\RTDC4039\2017-06-11 --exclude "*" --recursive --include "*20170611*" &amp; "%USERPROFILE%\Documents\GitHub\mrs-test-scripts\Headless Mode &amp; Sideloading\WalkAndUnGZ.bat" "%USERPROFILE%\AppData\Local\Temp\OnboardLogs"\RTDC4039\2017-06-11 &amp; 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</v>
      </c>
      <c r="AF199" s="77" t="str">
        <f t="shared" si="64"/>
        <v>"C:\Program Files (x86)\AstroGrep\AstroGrep.exe" /e /r /s /spath="%USERPROFILE%\AppData\Local\Temp\OnboardLogs" /stypes="app*4039*20170611*" /stext=" 10:.+((SYSTEM_STATE.+slice.+state.+changed )|(ment ac)|(multiple cpu faults)|(system.+state.+changed )|(\[timeout)|(PRM\|1\|D)|(kpr)|(kdp)|(train st.+moving)|(\|lc)|(penalty))"</v>
      </c>
      <c r="AG199" s="1" t="str">
        <f t="shared" si="65"/>
        <v>Other</v>
      </c>
      <c r="AH199" s="81" t="str">
        <f t="shared" si="66"/>
        <v>"%USERPROFILE%\Documents\GitHub\eaglep3\Utilities\RefineRTDCRunTimes.py" --tripid 308-11 --locoid 4039 --swversion DE.1.0.9.0 --startMP 300:23489 --initTime 2017-06-11T04:19:25 --startdatetime 2017-06-11T04:24:09 --delay 4 --endMP 204:165 --enddatetime 2017-06-11T04:34:27 --enforcementcount 0 &gt;&gt;C:\Users\stu\Documents\GitHub\eaglep3-reporting\EC\2017-06-11-refined-times.txt</v>
      </c>
      <c r="AI199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{"issue":{"subject":"","project_id":79,"tracker_id":40,"status_id":1,"priority_id":2,"assigned_to_id":23,"start_date":"2017-06-11","description":"","custom_fields":[{"id":1,"name":"Subdivision","value":"Other"},{"id":4,"name":"Milepost","value":"0.0165"},{"id":17,"name":"Train ID","value":"308-11"},{"id":16,"name":"Locomotive ID","value":"4039"},{"id":130,"name":"Impact","value":""},{"id":150,"name":"Time of Event (Mountain Time)","value":"04:34:27"},{"id":151,"name":"Denver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68"/>
        <v>start /low /b %USERPROFILE%\Documents\GitHub\eaglep3\Utilities\DownloadLogsFromS3.py --loco 4039 --day 2017-06-11</v>
      </c>
      <c r="AN199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822</v>
      </c>
      <c r="B200" s="7">
        <v>4054</v>
      </c>
      <c r="C200" s="21" t="s">
        <v>204</v>
      </c>
      <c r="D200" s="21" t="s">
        <v>357</v>
      </c>
      <c r="E200" s="13">
        <v>42898.050428240742</v>
      </c>
      <c r="F200" s="13">
        <v>42898.051886574074</v>
      </c>
      <c r="G200" s="7">
        <v>1</v>
      </c>
      <c r="H200" s="21" t="s">
        <v>527</v>
      </c>
      <c r="I200" s="13">
        <v>42898.062337962961</v>
      </c>
      <c r="J200" s="7">
        <v>0</v>
      </c>
      <c r="K200" s="92" t="str">
        <f t="shared" si="54"/>
        <v>4053/4054</v>
      </c>
      <c r="L200" s="21" t="str">
        <f>VLOOKUP(A200,'Trips&amp;Operators'!$C$1:$G$99999,5,FALSE)</f>
        <v>SMITH MICHAEL</v>
      </c>
      <c r="M200" s="6">
        <f t="shared" si="55"/>
        <v>1.0451388887304347E-2</v>
      </c>
      <c r="N200" s="7">
        <f t="shared" si="56"/>
        <v>15.04999999771826</v>
      </c>
      <c r="O200" s="7"/>
      <c r="P200" s="7"/>
      <c r="Q200" s="22"/>
      <c r="R200" s="173"/>
      <c r="S200" s="176">
        <f t="shared" si="57"/>
        <v>1</v>
      </c>
      <c r="T200" s="202" t="str">
        <f t="shared" si="58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9"/>
        <v>https://d0f6bd738d7f1b3e5a7ca70fe4ff75f0.us-east-1.aws.found.io/app/kibana#/discover/Steve-Slow-Train-Analysis-(2080s-and-2083s)?_g=(refreshInterval:(display:Off,pause:!f,section:0,value:0),time:(from:'2017-06-12T00:12:37-0600',mode:absolute,to:'2017-06-12T02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0" s="204" t="str">
        <f t="shared" si="60"/>
        <v>Y</v>
      </c>
      <c r="X200" s="204">
        <f t="shared" si="76"/>
        <v>1</v>
      </c>
      <c r="Y200" s="204">
        <f t="shared" si="74"/>
        <v>4.6399999999999997E-2</v>
      </c>
      <c r="Z200" s="204">
        <f t="shared" si="75"/>
        <v>2.3304</v>
      </c>
      <c r="AA200" s="204">
        <f t="shared" si="61"/>
        <v>2.2839999999999998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2"/>
        <v>0309-11</v>
      </c>
      <c r="AE200" s="80" t="str">
        <f t="shared" si="63"/>
        <v>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 &amp; aws s3 cp s3://rtdc.mdm.uploadarchive.raw/RTDC4054/ "%USERPROFILE%\AppData\Local\Temp\OnboardLogs"\RTDC4054\2017-06-13 --exclude "*" --recursive --include "*20170613*" &amp; "%USERPROFILE%\Documents\GitHub\mrs-test-scripts\Headless Mode &amp; Sideloading\WalkAndUnGZ.bat" "%USERPROFILE%\AppData\Local\Temp\OnboardLogs"\RTDC4054\2017-06-13</v>
      </c>
      <c r="AF200" s="77" t="str">
        <f t="shared" si="64"/>
        <v>"C:\Program Files (x86)\AstroGrep\AstroGrep.exe" /e /r /s /spath="%USERPROFILE%\AppData\Local\Temp\OnboardLogs" /stypes="app*4054*20170612*" /stext=" 07:.+((SYSTEM_STATE.+slice.+state.+changed )|(ment ac)|(multiple cpu faults)|(system.+state.+changed )|(\[timeout)|(PRM\|1\|D)|(kpr)|(kdp)|(train st.+moving)|(\|lc)|(penalty))"</v>
      </c>
      <c r="AG200" s="1" t="str">
        <f t="shared" si="65"/>
        <v>Other</v>
      </c>
      <c r="AH200" s="81" t="str">
        <f t="shared" si="66"/>
        <v>"%USERPROFILE%\Documents\GitHub\eaglep3\Utilities\RefineRTDCRunTimes.py" --tripid 309-11 --locoid 4054 --swversion DE.1.0.9.0 --startMP 204:464 --initTime 2017-06-12T01:12:37 --startdatetime 2017-06-12T01:14:43 --delay 1 --endMP 300:23304 --enddatetime 2017-06-12T01:29:46 --enforcementcount 0 &gt;&gt;C:\Users\stu\Documents\GitHub\eaglep3-reporting\EC\2017-06-11-refined-times.txt</v>
      </c>
      <c r="AI200" s="99" t="str">
        <f t="shared" si="67"/>
        <v>echo {"issue":{"subject":"","project_id":79,"tracker_id":40,"status_id":1,"priority_id":2,"assigned_to_id":23,"start_date":"2017-06-12","description":"","custom_fields":[{"id":1,"name":"Subdivision","value":"Other"},{"id":4,"name":"Milepost","value":"2.3304"},{"id":17,"name":"Train ID","value":"309-11"},{"id":16,"name":"Locomotive ID","value":"4054"},{"id":130,"name":"Impact","value":""},{"id":150,"name":"Time of Event (Mountain Time)","value":"01:29:46"},{"id":151,"name":"Denver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8"/>
        <v>start /low /b %USERPROFILE%\Documents\GitHub\eaglep3\Utilities\DownloadLogsFromS3.py --loco 4054 --day 2017-06-12</v>
      </c>
      <c r="AN200" s="154" t="str">
        <f t="shared" si="69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07:29:46"},{"id":29,"name":"Sharepoint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664</v>
      </c>
      <c r="B201" s="7">
        <v>4049</v>
      </c>
      <c r="C201" s="21" t="s">
        <v>204</v>
      </c>
      <c r="D201" s="21" t="s">
        <v>949</v>
      </c>
      <c r="E201" s="13">
        <v>42897.195648148147</v>
      </c>
      <c r="F201" s="13">
        <v>42897.199270833335</v>
      </c>
      <c r="G201" s="7">
        <v>5</v>
      </c>
      <c r="H201" s="21" t="s">
        <v>950</v>
      </c>
      <c r="I201" s="13">
        <v>42897.205520833333</v>
      </c>
      <c r="J201" s="7">
        <v>0</v>
      </c>
      <c r="K201" s="92" t="str">
        <f t="shared" si="54"/>
        <v>4049/4050</v>
      </c>
      <c r="L201" s="21" t="str">
        <f>VLOOKUP(A201,'Trips&amp;Operators'!$C$1:$G$99999,5,FALSE)</f>
        <v>GUZMAN DANNY</v>
      </c>
      <c r="M201" s="6">
        <f t="shared" si="55"/>
        <v>6.2499999985448085E-3</v>
      </c>
      <c r="N201" s="7">
        <f t="shared" si="56"/>
        <v>8.9999999979045242</v>
      </c>
      <c r="O201" s="7"/>
      <c r="P201" s="7"/>
      <c r="Q201" s="22"/>
      <c r="R201" s="173"/>
      <c r="S201" s="176">
        <f t="shared" si="57"/>
        <v>1</v>
      </c>
      <c r="T201" s="202" t="str">
        <f t="shared" si="58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9"/>
        <v>https://d0f6bd738d7f1b3e5a7ca70fe4ff75f0.us-east-1.aws.found.io/app/kibana#/discover/Steve-Slow-Train-Analysis-(2080s-and-2083s)?_g=(refreshInterval:(display:Off,pause:!f,section:0,value:0),time:(from:'2017-06-11T03:41:44-0600',mode:absolute,to:'2017-06-11T05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1" s="204" t="str">
        <f t="shared" si="60"/>
        <v>Y</v>
      </c>
      <c r="X201" s="204">
        <f t="shared" si="76"/>
        <v>1</v>
      </c>
      <c r="Y201" s="204">
        <f t="shared" si="74"/>
        <v>2.3458999999999999</v>
      </c>
      <c r="Z201" s="204">
        <f t="shared" si="75"/>
        <v>1.23E-2</v>
      </c>
      <c r="AA201" s="204">
        <f t="shared" si="61"/>
        <v>2.3335999999999997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2"/>
        <v>0310-11</v>
      </c>
      <c r="AE201" s="80" t="str">
        <f t="shared" si="63"/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AF201" s="77" t="str">
        <f t="shared" si="64"/>
        <v>"C:\Program Files (x86)\AstroGrep\AstroGrep.exe" /e /r /s /spath="%USERPROFILE%\AppData\Local\Temp\OnboardLogs" /stypes="app*4049*20170611*" /stext=" 10:.+((SYSTEM_STATE.+slice.+state.+changed )|(ment ac)|(multiple cpu faults)|(system.+state.+changed )|(\[timeout)|(PRM\|1\|D)|(kpr)|(kdp)|(train st.+moving)|(\|lc)|(penalty))"</v>
      </c>
      <c r="AG201" s="1" t="str">
        <f t="shared" si="65"/>
        <v>Other</v>
      </c>
      <c r="AH201" s="81" t="str">
        <f t="shared" si="66"/>
        <v>"%USERPROFILE%\Documents\GitHub\eaglep3\Utilities\RefineRTDCRunTimes.py" --tripid 310-11 --locoid 4049 --swversion DE.1.0.9.0 --startMP 300:23459 --initTime 2017-06-11T04:41:44 --startdatetime 2017-06-11T04:46:57 --delay 5 --endMP 204:123 --enddatetime 2017-06-11T04:55:57 --enforcementcount 0 &gt;&gt;C:\Users\stu\Documents\GitHub\eaglep3-reporting\EC\2017-06-11-refined-times.txt</v>
      </c>
      <c r="AI201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{"issue":{"subject":"","project_id":79,"tracker_id":40,"status_id":1,"priority_id":2,"assigned_to_id":23,"start_date":"2017-06-11","description":"","custom_fields":[{"id":1,"name":"Subdivision","value":"Other"},{"id":4,"name":"Milepost","value":"0.0123"},{"id":17,"name":"Train ID","value":"310-11"},{"id":16,"name":"Locomotive ID","value":"4049"},{"id":130,"name":"Impact","value":""},{"id":150,"name":"Time of Event (Mountain Time)","value":"04:55:57"},{"id":151,"name":"Denver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5" t="str">
        <f t="shared" si="68"/>
        <v>start /low /b %USERPROFILE%\Documents\GitHub\eaglep3\Utilities\DownloadLogsFromS3.py --loco 4049 --day 2017-06-11</v>
      </c>
      <c r="AN201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10:55:57"},{"id":29,"name":"Sharepoint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581</v>
      </c>
      <c r="B202" s="7">
        <v>4028</v>
      </c>
      <c r="C202" s="21" t="s">
        <v>204</v>
      </c>
      <c r="D202" s="21" t="s">
        <v>201</v>
      </c>
      <c r="E202" s="13">
        <v>42897.089143518519</v>
      </c>
      <c r="F202" s="13">
        <v>42897.09101851852</v>
      </c>
      <c r="G202" s="7">
        <v>1</v>
      </c>
      <c r="H202" s="21" t="s">
        <v>618</v>
      </c>
      <c r="I202" s="13">
        <v>42897.093726851854</v>
      </c>
      <c r="J202" s="7">
        <v>0</v>
      </c>
      <c r="K202" s="92" t="str">
        <f t="shared" si="54"/>
        <v>4027/4028</v>
      </c>
      <c r="L202" s="21" t="str">
        <f>VLOOKUP(A202,'Trips&amp;Operators'!$C$1:$G$99999,5,FALSE)</f>
        <v>FORTUNATO FRANK</v>
      </c>
      <c r="M202" s="6">
        <f t="shared" si="55"/>
        <v>2.7083333334303461E-3</v>
      </c>
      <c r="N202" s="7">
        <f t="shared" si="56"/>
        <v>3.9000000001396984</v>
      </c>
      <c r="O202" s="7"/>
      <c r="P202" s="7"/>
      <c r="Q202" s="22"/>
      <c r="R202" s="173"/>
      <c r="S202" s="176">
        <f t="shared" si="57"/>
        <v>1</v>
      </c>
      <c r="T202" s="202" t="str">
        <f t="shared" si="58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9"/>
        <v>https://d0f6bd738d7f1b3e5a7ca70fe4ff75f0.us-east-1.aws.found.io/app/kibana#/discover/Steve-Slow-Train-Analysis-(2080s-and-2083s)?_g=(refreshInterval:(display:Off,pause:!f,section:0,value:0),time:(from:'2017-06-11T01:08:22-0600',mode:absolute,to:'2017-06-11T03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204" t="str">
        <f t="shared" si="60"/>
        <v>Y</v>
      </c>
      <c r="X202" s="204">
        <f t="shared" si="76"/>
        <v>1</v>
      </c>
      <c r="Y202" s="204">
        <f t="shared" si="74"/>
        <v>4.5999999999999999E-2</v>
      </c>
      <c r="Z202" s="204">
        <f t="shared" si="75"/>
        <v>1.1672</v>
      </c>
      <c r="AA202" s="204">
        <f t="shared" si="61"/>
        <v>1.1212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2"/>
        <v>0311-10</v>
      </c>
      <c r="AE202" s="80" t="str">
        <f t="shared" si="63"/>
        <v>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 &amp; 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</v>
      </c>
      <c r="AF202" s="77" t="str">
        <f t="shared" si="64"/>
        <v>"C:\Program Files (x86)\AstroGrep\AstroGrep.exe" /e /r /s /spath="%USERPROFILE%\AppData\Local\Temp\OnboardLogs" /stypes="app*4028*20170611*" /stext=" 08:.+((SYSTEM_STATE.+slice.+state.+changed )|(ment ac)|(multiple cpu faults)|(system.+state.+changed )|(\[timeout)|(PRM\|1\|D)|(kpr)|(kdp)|(train st.+moving)|(\|lc)|(penalty))"</v>
      </c>
      <c r="AG202" s="1" t="str">
        <f t="shared" si="65"/>
        <v>Other</v>
      </c>
      <c r="AH202" s="81" t="str">
        <f t="shared" si="66"/>
        <v>"%USERPROFILE%\Documents\GitHub\eaglep3\Utilities\RefineRTDCRunTimes.py" --tripid 311-10 --locoid 4028 --swversion DE.1.0.9.0 --startMP 204:460 --initTime 2017-06-11T02:08:22 --startdatetime 2017-06-11T02:11:04 --delay 1 --endMP 300:11672 --enddatetime 2017-06-11T02:14:58 --enforcementcount 0 &gt;&gt;C:\Users\stu\Documents\GitHub\eaglep3-reporting\EC\2017-06-11-refined-times.txt</v>
      </c>
      <c r="AI202" s="99" t="str">
        <f t="shared" si="67"/>
        <v>echo {"issue":{"subject":"","project_id":79,"tracker_id":40,"status_id":1,"priority_id":2,"assigned_to_id":23,"start_date":"2017-06-11","description":"","custom_fields":[{"id":1,"name":"Subdivision","value":"Other"},{"id":4,"name":"Milepost","value":"1.1672"},{"id":17,"name":"Train ID","value":"311-10"},{"id":16,"name":"Locomotive ID","value":"4028"},{"id":130,"name":"Impact","value":""},{"id":150,"name":"Time of Event (Mountain Time)","value":"02:14:58"},{"id":151,"name":"Denver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8"/>
        <v>start /low /b %USERPROFILE%\Documents\GitHub\eaglep3\Utilities\DownloadLogsFromS3.py --loco 4028 --day 2017-06-11</v>
      </c>
      <c r="AN202" s="154" t="str">
        <f t="shared" si="69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824</v>
      </c>
      <c r="B203" s="7">
        <v>4020</v>
      </c>
      <c r="C203" s="21" t="s">
        <v>204</v>
      </c>
      <c r="D203" s="21" t="s">
        <v>367</v>
      </c>
      <c r="E203" s="13">
        <v>42898.074374999997</v>
      </c>
      <c r="F203" s="13">
        <v>42898.075949074075</v>
      </c>
      <c r="G203" s="7">
        <v>1</v>
      </c>
      <c r="H203" s="21" t="s">
        <v>951</v>
      </c>
      <c r="I203" s="13">
        <v>42898.08803240741</v>
      </c>
      <c r="J203" s="7">
        <v>0</v>
      </c>
      <c r="K203" s="92" t="str">
        <f t="shared" si="54"/>
        <v>4019/4020</v>
      </c>
      <c r="L203" s="21" t="str">
        <f>VLOOKUP(A203,'Trips&amp;Operators'!$C$1:$G$99999,5,FALSE)</f>
        <v>ZEWDU DEREJE</v>
      </c>
      <c r="M203" s="6">
        <f t="shared" si="55"/>
        <v>1.2083333334885538E-2</v>
      </c>
      <c r="N203" s="7">
        <f t="shared" si="56"/>
        <v>17.400000002235174</v>
      </c>
      <c r="O203" s="7"/>
      <c r="P203" s="7"/>
      <c r="Q203" s="22"/>
      <c r="R203" s="173"/>
      <c r="S203" s="176">
        <f t="shared" si="57"/>
        <v>1</v>
      </c>
      <c r="T203" s="202" t="str">
        <f t="shared" si="58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9"/>
        <v>https://d0f6bd738d7f1b3e5a7ca70fe4ff75f0.us-east-1.aws.found.io/app/kibana#/discover/Steve-Slow-Train-Analysis-(2080s-and-2083s)?_g=(refreshInterval:(display:Off,pause:!f,section:0,value:0),time:(from:'2017-06-12T00:47:06-0600',mode:absolute,to:'2017-06-12T03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204" t="str">
        <f t="shared" si="60"/>
        <v>Y</v>
      </c>
      <c r="X203" s="204">
        <f t="shared" si="76"/>
        <v>0</v>
      </c>
      <c r="Y203" s="204">
        <f t="shared" si="74"/>
        <v>4.5499999999999999E-2</v>
      </c>
      <c r="Z203" s="204">
        <f t="shared" si="75"/>
        <v>2.3311999999999999</v>
      </c>
      <c r="AA203" s="204">
        <f t="shared" si="61"/>
        <v>2.2856999999999998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2"/>
        <v>0311-11</v>
      </c>
      <c r="AE203" s="80" t="str">
        <f t="shared" si="63"/>
        <v>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 &amp; 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</v>
      </c>
      <c r="AF203" s="77" t="str">
        <f t="shared" si="64"/>
        <v>"C:\Program Files (x86)\AstroGrep\AstroGrep.exe" /e /r /s /spath="%USERPROFILE%\AppData\Local\Temp\OnboardLogs" /stypes="app*4020*20170612*" /stext=" 08:.+((SYSTEM_STATE.+slice.+state.+changed )|(ment ac)|(multiple cpu faults)|(system.+state.+changed )|(\[timeout)|(PRM\|1\|D)|(kpr)|(kdp)|(train st.+moving)|(\|lc)|(penalty))"</v>
      </c>
      <c r="AG203" s="1" t="str">
        <f t="shared" si="65"/>
        <v>Other</v>
      </c>
      <c r="AH203" s="81" t="str">
        <f t="shared" ref="AH203:AH214" si="77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311-11 --locoid 4020 --swversion DE.1.0.9.0 --startMP 204:455 --initTime 2017-06-12T01:47:06 --startdatetime 2017-06-12T01:49:22 --delay 1 --endMP 300:23312 --enddatetime 2017-06-12T02:06:46 --enforcementcount 0 &gt;&gt;C:\Users\stu\Documents\GitHub\eaglep3-reporting\EC\2017-06-11-refined-times.txt</v>
      </c>
      <c r="AI203" s="99" t="str">
        <f t="shared" ref="AI203:AI214" si="78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{"issue":{"subject":"","project_id":79,"tracker_id":40,"status_id":1,"priority_id":2,"assigned_to_id":23,"start_date":"2017-06-12","description":"","custom_fields":[{"id":1,"name":"Subdivision","value":"Other"},{"id":4,"name":"Milepost","value":"2.3312"},{"id":17,"name":"Train ID","value":"311-11"},{"id":16,"name":"Locomotive ID","value":"4020"},{"id":130,"name":"Impact","value":""},{"id":150,"name":"Time of Event (Mountain Time)","value":"02:06:46"},{"id":151,"name":"Denver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ref="AM203:AM214" si="79">"start /low /b "&amp;dls3logs&amp;" --loco "&amp;B203&amp;" --day "&amp;TEXT(F203,"YYYY-MM-DD")</f>
        <v>start /low /b %USERPROFILE%\Documents\GitHub\eaglep3\Utilities\DownloadLogsFromS3.py --loco 4020 --day 2017-06-12</v>
      </c>
      <c r="AN203" s="154" t="str">
        <f t="shared" ref="AN203:AN214" si="80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08:06:46"},{"id":29,"name":"Sharepoint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671</v>
      </c>
      <c r="B204" s="7">
        <v>4009</v>
      </c>
      <c r="C204" s="21" t="s">
        <v>204</v>
      </c>
      <c r="D204" s="21" t="s">
        <v>952</v>
      </c>
      <c r="E204" s="13">
        <v>42897.224409722221</v>
      </c>
      <c r="F204" s="13">
        <v>42897.227222222224</v>
      </c>
      <c r="G204" s="7">
        <v>3</v>
      </c>
      <c r="H204" s="21" t="s">
        <v>195</v>
      </c>
      <c r="I204" s="13">
        <v>42897.233356481483</v>
      </c>
      <c r="J204" s="7">
        <v>0</v>
      </c>
      <c r="K204" s="92" t="str">
        <f t="shared" si="54"/>
        <v>4009/4010</v>
      </c>
      <c r="L204" s="21" t="str">
        <f>VLOOKUP(A204,'Trips&amp;Operators'!$C$1:$G$99999,5,FALSE)</f>
        <v>MACDONALD THOMAS</v>
      </c>
      <c r="M204" s="6">
        <f t="shared" si="55"/>
        <v>6.1342592598521151E-3</v>
      </c>
      <c r="N204" s="7">
        <f t="shared" si="56"/>
        <v>8.8333333341870457</v>
      </c>
      <c r="O204" s="7"/>
      <c r="P204" s="7"/>
      <c r="Q204" s="22"/>
      <c r="R204" s="173"/>
      <c r="S204" s="176">
        <f t="shared" si="57"/>
        <v>1</v>
      </c>
      <c r="T204" s="202" t="str">
        <f t="shared" si="58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9"/>
        <v>https://d0f6bd738d7f1b3e5a7ca70fe4ff75f0.us-east-1.aws.found.io/app/kibana#/discover/Steve-Slow-Train-Analysis-(2080s-and-2083s)?_g=(refreshInterval:(display:Off,pause:!f,section:0,value:0),time:(from:'2017-06-11T04:23:09-0600',mode:absolute,to:'2017-06-11T06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204" t="str">
        <f t="shared" si="60"/>
        <v>Y</v>
      </c>
      <c r="X204" s="204">
        <f t="shared" si="76"/>
        <v>1</v>
      </c>
      <c r="Y204" s="204">
        <f t="shared" si="74"/>
        <v>2.3618000000000001</v>
      </c>
      <c r="Z204" s="204">
        <f t="shared" si="75"/>
        <v>1.52E-2</v>
      </c>
      <c r="AA204" s="204">
        <f t="shared" si="61"/>
        <v>2.3466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2"/>
        <v>0312-11</v>
      </c>
      <c r="AE204" s="80" t="str">
        <f t="shared" si="63"/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AF204" s="77" t="str">
        <f t="shared" si="64"/>
        <v>"C:\Program Files (x86)\AstroGrep\AstroGrep.exe" /e /r /s /spath="%USERPROFILE%\AppData\Local\Temp\OnboardLogs" /stypes="app*4009*20170611*" /stext=" 11:.+((SYSTEM_STATE.+slice.+state.+changed )|(ment ac)|(multiple cpu faults)|(system.+state.+changed )|(\[timeout)|(PRM\|1\|D)|(kpr)|(kdp)|(train st.+moving)|(\|lc)|(penalty))"</v>
      </c>
      <c r="AG204" s="1" t="str">
        <f t="shared" si="65"/>
        <v>Other</v>
      </c>
      <c r="AH204" s="81" t="str">
        <f t="shared" si="77"/>
        <v>"%USERPROFILE%\Documents\GitHub\eaglep3\Utilities\RefineRTDCRunTimes.py" --tripid 312-11 --locoid 4009 --swversion DE.1.0.9.0 --startMP 300:23618 --initTime 2017-06-11T05:23:09 --startdatetime 2017-06-11T05:27:12 --delay 3 --endMP 204:152 --enddatetime 2017-06-11T05:36:02 --enforcementcount 0 &gt;&gt;C:\Users\stu\Documents\GitHub\eaglep3-reporting\EC\2017-06-11-refined-times.txt</v>
      </c>
      <c r="AI204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{"issue":{"subject":"","project_id":79,"tracker_id":40,"status_id":1,"priority_id":2,"assigned_to_id":23,"start_date":"2017-06-11","description":"","custom_fields":[{"id":1,"name":"Subdivision","value":"Other"},{"id":4,"name":"Milepost","value":"0.0152"},{"id":17,"name":"Train ID","value":"312-11"},{"id":16,"name":"Locomotive ID","value":"4009"},{"id":130,"name":"Impact","value":""},{"id":150,"name":"Time of Event (Mountain Time)","value":"05:36:02"},{"id":151,"name":"Denver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9"/>
        <v>start /low /b %USERPROFILE%\Documents\GitHub\eaglep3\Utilities\DownloadLogsFromS3.py --loco 4009 --day 2017-06-11</v>
      </c>
      <c r="AN204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582</v>
      </c>
      <c r="B205" s="7">
        <v>4004</v>
      </c>
      <c r="C205" s="21" t="s">
        <v>204</v>
      </c>
      <c r="D205" s="21" t="s">
        <v>367</v>
      </c>
      <c r="E205" s="13">
        <v>42897.110451388886</v>
      </c>
      <c r="F205" s="13">
        <v>42897.112928240742</v>
      </c>
      <c r="G205" s="7">
        <v>1</v>
      </c>
      <c r="H205" s="21" t="s">
        <v>619</v>
      </c>
      <c r="I205" s="13">
        <v>42897.116689814815</v>
      </c>
      <c r="J205" s="7">
        <v>0</v>
      </c>
      <c r="K205" s="92" t="str">
        <f t="shared" ref="K205:K214" si="81">IF(ISEVEN(B205),(B205-1)&amp;"/"&amp;B205,B205&amp;"/"&amp;(B205+1))</f>
        <v>4003/4004</v>
      </c>
      <c r="L205" s="21" t="str">
        <f>VLOOKUP(A205,'Trips&amp;Operators'!$C$1:$G$99999,5,FALSE)</f>
        <v>LAMAR NEKESHA</v>
      </c>
      <c r="M205" s="6">
        <f t="shared" ref="M205:M214" si="82">I205-F205</f>
        <v>3.7615740729961544E-3</v>
      </c>
      <c r="N205" s="7">
        <f t="shared" ref="N205:N214" si="83">24*60*SUM($M205:$M205)</f>
        <v>5.4166666651144624</v>
      </c>
      <c r="O205" s="7"/>
      <c r="P205" s="7"/>
      <c r="Q205" s="22"/>
      <c r="R205" s="173"/>
      <c r="S205" s="176">
        <f t="shared" ref="S205:S214" si="84">SUM(U205:U205)/IF(AG205="EC",12,1)</f>
        <v>1</v>
      </c>
      <c r="T205" s="202" t="str">
        <f t="shared" ref="T205:T214" si="85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14" si="8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-11T01:39:03-0600',mode:absolute,to:'2017-06-11T03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5" s="204" t="str">
        <f t="shared" ref="W205:W214" si="87">IF(AA205&lt;IF(AG205="EC",23,5.65),"Y","N")</f>
        <v>Y</v>
      </c>
      <c r="X205" s="204">
        <f t="shared" si="76"/>
        <v>1</v>
      </c>
      <c r="Y205" s="204">
        <f t="shared" si="74"/>
        <v>4.5499999999999999E-2</v>
      </c>
      <c r="Z205" s="204">
        <f t="shared" si="75"/>
        <v>1.2884</v>
      </c>
      <c r="AA205" s="204">
        <f t="shared" ref="AA205:AA268" si="88">ABS(Z205-Y205)</f>
        <v>1.2428999999999999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14" si="89">IF(LEN(A205)=6,"0"&amp;A205,A205)</f>
        <v>0313-10</v>
      </c>
      <c r="AE205" s="80" t="str">
        <f t="shared" ref="AE205:AE214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AF205" s="77" t="str">
        <f t="shared" ref="AF205:AF214" si="9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/stypes="app*4004*20170611*" /stext=" 08:.+((SYSTEM_STATE.+slice.+state.+changed )|(ment ac)|(multiple cpu faults)|(system.+state.+changed )|(\[timeout)|(PRM\|1\|D)|(kpr)|(kdp)|(train st.+moving)|(\|lc)|(penalty))"</v>
      </c>
      <c r="AG205" s="1" t="str">
        <f t="shared" ref="AG205:AG214" si="92">IFERROR(IF(VALUE(LEFT(AD205,2))&lt;=2,"EC",IF(OR(VALUE(LEFT(AD205,2))=8,VALUE(LEFT(AD205,2))=18),"NW","Other")),"Other")</f>
        <v>Other</v>
      </c>
      <c r="AH205" s="81" t="str">
        <f t="shared" si="77"/>
        <v>"%USERPROFILE%\Documents\GitHub\eaglep3\Utilities\RefineRTDCRunTimes.py" --tripid 313-10 --locoid 4004 --swversion DE.1.0.9.0 --startMP 204:455 --initTime 2017-06-11T02:39:03 --startdatetime 2017-06-11T02:42:37 --delay 1 --endMP 300:12884 --enddatetime 2017-06-11T02:48:02 --enforcementcount 0 &gt;&gt;C:\Users\stu\Documents\GitHub\eaglep3-reporting\EC\2017-06-11-refined-times.txt</v>
      </c>
      <c r="AI205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{"issue":{"subject":"","project_id":79,"tracker_id":40,"status_id":1,"priority_id":2,"assigned_to_id":23,"start_date":"2017-06-11","description":"","custom_fields":[{"id":1,"name":"Subdivision","value":"Other"},{"id":4,"name":"Milepost","value":"1.2884"},{"id":17,"name":"Train ID","value":"313-10"},{"id":16,"name":"Locomotive ID","value":"4004"},{"id":130,"name":"Impact","value":""},{"id":150,"name":"Time of Event (Mountain Time)","value":"02:48:02"},{"id":151,"name":"Denver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9"/>
        <v>start /low /b %USERPROFILE%\Documents\GitHub\eaglep3\Utilities\DownloadLogsFromS3.py --loco 4004 --day 2017-06-11</v>
      </c>
      <c r="AN205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825</v>
      </c>
      <c r="B206" s="7">
        <v>4002</v>
      </c>
      <c r="C206" s="21" t="s">
        <v>204</v>
      </c>
      <c r="D206" s="21" t="s">
        <v>357</v>
      </c>
      <c r="E206" s="13">
        <v>42898.089479166665</v>
      </c>
      <c r="F206" s="13">
        <v>42898.090995370374</v>
      </c>
      <c r="G206" s="7">
        <v>1</v>
      </c>
      <c r="H206" s="21" t="s">
        <v>953</v>
      </c>
      <c r="I206" s="13">
        <v>42898.099745370368</v>
      </c>
      <c r="J206" s="7">
        <v>0</v>
      </c>
      <c r="K206" s="92" t="str">
        <f t="shared" si="81"/>
        <v>4001/4002</v>
      </c>
      <c r="L206" s="21" t="str">
        <f>VLOOKUP(A206,'Trips&amp;Operators'!$C$1:$G$99999,5,FALSE)</f>
        <v>HAITHCOX MICHAEL</v>
      </c>
      <c r="M206" s="6">
        <f t="shared" si="82"/>
        <v>8.7499999935971573E-3</v>
      </c>
      <c r="N206" s="7">
        <f t="shared" si="83"/>
        <v>12.599999990779907</v>
      </c>
      <c r="O206" s="7"/>
      <c r="P206" s="7"/>
      <c r="Q206" s="22"/>
      <c r="R206" s="173"/>
      <c r="S206" s="176">
        <f t="shared" si="84"/>
        <v>1</v>
      </c>
      <c r="T206" s="202" t="str">
        <f t="shared" si="85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86"/>
        <v>https://d0f6bd738d7f1b3e5a7ca70fe4ff75f0.us-east-1.aws.found.io/app/kibana#/discover/Steve-Slow-Train-Analysis-(2080s-and-2083s)?_g=(refreshInterval:(display:Off,pause:!f,section:0,value:0),time:(from:'2017-06-12T01:08:51-0600',mode:absolute,to:'2017-06-12T03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6" s="204" t="str">
        <f t="shared" si="87"/>
        <v>Y</v>
      </c>
      <c r="X206" s="204">
        <f t="shared" si="76"/>
        <v>0</v>
      </c>
      <c r="Y206" s="204">
        <f t="shared" si="74"/>
        <v>4.6399999999999997E-2</v>
      </c>
      <c r="Z206" s="204">
        <f t="shared" si="75"/>
        <v>2.3300999999999998</v>
      </c>
      <c r="AA206" s="204">
        <f t="shared" si="88"/>
        <v>2.2836999999999996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9"/>
        <v>0313-11</v>
      </c>
      <c r="AE206" s="80" t="str">
        <f t="shared" si="90"/>
        <v>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 &amp; 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</v>
      </c>
      <c r="AF206" s="77" t="str">
        <f t="shared" si="91"/>
        <v>"C:\Program Files (x86)\AstroGrep\AstroGrep.exe" /e /r /s /spath="%USERPROFILE%\AppData\Local\Temp\OnboardLogs" /stypes="app*4002*20170612*" /stext=" 08:.+((SYSTEM_STATE.+slice.+state.+changed )|(ment ac)|(multiple cpu faults)|(system.+state.+changed )|(\[timeout)|(PRM\|1\|D)|(kpr)|(kdp)|(train st.+moving)|(\|lc)|(penalty))"</v>
      </c>
      <c r="AG206" s="1" t="str">
        <f t="shared" si="92"/>
        <v>Other</v>
      </c>
      <c r="AH206" s="81" t="str">
        <f t="shared" si="77"/>
        <v>"%USERPROFILE%\Documents\GitHub\eaglep3\Utilities\RefineRTDCRunTimes.py" --tripid 313-11 --locoid 4002 --swversion DE.1.0.9.0 --startMP 204:464 --initTime 2017-06-12T02:08:51 --startdatetime 2017-06-12T02:11:02 --delay 1 --endMP 300:23301 --enddatetime 2017-06-12T02:23:38 --enforcementcount 0 &gt;&gt;C:\Users\stu\Documents\GitHub\eaglep3-reporting\EC\2017-06-11-refined-times.txt</v>
      </c>
      <c r="AI206" s="99" t="str">
        <f t="shared" si="78"/>
        <v>echo {"issue":{"subject":"","project_id":79,"tracker_id":40,"status_id":1,"priority_id":2,"assigned_to_id":23,"start_date":"2017-06-12","description":"","custom_fields":[{"id":1,"name":"Subdivision","value":"Other"},{"id":4,"name":"Milepost","value":"2.3301"},{"id":17,"name":"Train ID","value":"313-11"},{"id":16,"name":"Locomotive ID","value":"4002"},{"id":130,"name":"Impact","value":""},{"id":150,"name":"Time of Event (Mountain Time)","value":"02:23:38"},{"id":151,"name":"Denver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9"/>
        <v>start /low /b %USERPROFILE%\Documents\GitHub\eaglep3\Utilities\DownloadLogsFromS3.py --loco 4002 --day 2017-06-12</v>
      </c>
      <c r="AN206" s="154" t="str">
        <f t="shared" si="80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668</v>
      </c>
      <c r="B207" s="7">
        <v>4032</v>
      </c>
      <c r="C207" s="21" t="s">
        <v>204</v>
      </c>
      <c r="D207" s="21" t="s">
        <v>915</v>
      </c>
      <c r="E207" s="13">
        <v>42897.216319444444</v>
      </c>
      <c r="F207" s="13">
        <v>42897.222187500003</v>
      </c>
      <c r="G207" s="7">
        <v>8</v>
      </c>
      <c r="H207" s="21" t="s">
        <v>605</v>
      </c>
      <c r="I207" s="13">
        <v>42897.228009259263</v>
      </c>
      <c r="J207" s="7">
        <v>0</v>
      </c>
      <c r="K207" s="92" t="str">
        <f t="shared" si="81"/>
        <v>4031/4032</v>
      </c>
      <c r="L207" s="21" t="str">
        <f>VLOOKUP(A207,'Trips&amp;Operators'!$C$1:$G$99999,5,FALSE)</f>
        <v>DAVIDSON DAVID</v>
      </c>
      <c r="M207" s="6">
        <f t="shared" si="82"/>
        <v>5.8217592595610768E-3</v>
      </c>
      <c r="N207" s="7">
        <f t="shared" si="83"/>
        <v>8.3833333337679505</v>
      </c>
      <c r="O207" s="7"/>
      <c r="P207" s="7"/>
      <c r="Q207" s="22"/>
      <c r="R207" s="173"/>
      <c r="S207" s="176">
        <f t="shared" si="84"/>
        <v>0</v>
      </c>
      <c r="T207" s="202" t="str">
        <f t="shared" si="85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03" t="str">
        <f t="shared" si="86"/>
        <v>https://d0f6bd738d7f1b3e5a7ca70fe4ff75f0.us-east-1.aws.found.io/app/kibana#/discover/Steve-Slow-Train-Analysis-(2080s-and-2083s)?_g=(refreshInterval:(display:Off,pause:!f,section:0,value:0),time:(from:'2017-06-11T04:11:30-0600',mode:absolute,to:'2017-06-11T06:28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04" t="str">
        <f t="shared" si="87"/>
        <v>Y</v>
      </c>
      <c r="X207" s="204">
        <f t="shared" si="76"/>
        <v>1588</v>
      </c>
      <c r="Y207" s="204">
        <f t="shared" si="74"/>
        <v>3.0182000000000002</v>
      </c>
      <c r="Z207" s="204">
        <f t="shared" si="75"/>
        <v>5.8945999999999996</v>
      </c>
      <c r="AA207" s="204">
        <f t="shared" si="88"/>
        <v>2.8763999999999994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9"/>
        <v>1901-11</v>
      </c>
      <c r="AE207" s="80" t="str">
        <f t="shared" si="90"/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AF207" s="77" t="str">
        <f t="shared" si="91"/>
        <v>"C:\Program Files (x86)\AstroGrep\AstroGrep.exe" /e /r /s /spath="%USERPROFILE%\AppData\Local\Temp\OnboardLogs" /stypes="app*4032*20170611*" /stext=" 11:.+((SYSTEM_STATE.+slice.+state.+changed )|(ment ac)|(multiple cpu faults)|(system.+state.+changed )|(\[timeout)|(PRM\|1\|D)|(kpr)|(kdp)|(train st.+moving)|(\|lc)|(penalty))"</v>
      </c>
      <c r="AG207" s="1" t="str">
        <f t="shared" si="92"/>
        <v>Other</v>
      </c>
      <c r="AH207" s="81" t="str">
        <f t="shared" si="77"/>
        <v>"%USERPROFILE%\Documents\GitHub\eaglep3\Utilities\RefineRTDCRunTimes.py" --tripid 1901-11 --locoid 4032 --swversion DE.1.0.9.0 --startMP 300:30182 --initTime 2017-06-11T05:11:30 --startdatetime 2017-06-11T05:19:57 --delay 8 --endMP 300:58946 --enddatetime 2017-06-11T05:28:20 --enforcementcount 0 &gt;&gt;C:\Users\stu\Documents\GitHub\eaglep3-reporting\EC\2017-06-11-refined-times.txt</v>
      </c>
      <c r="AI207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{"issue":{"subject":"","project_id":79,"tracker_id":40,"status_id":1,"priority_id":2,"assigned_to_id":23,"start_date":"2017-06-11","description":"","custom_fields":[{"id":1,"name":"Subdivision","value":"Other"},{"id":4,"name":"Milepost","value":"5.8946"},{"id":17,"name":"Train ID","value":"1901-11"},{"id":16,"name":"Locomotive ID","value":"4032"},{"id":130,"name":"Impact","value":""},{"id":150,"name":"Time of Event (Mountain Time)","value":"05:28:20"},{"id":151,"name":"Denver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9"/>
        <v>start /low /b %USERPROFILE%\Documents\GitHub\eaglep3\Utilities\DownloadLogsFromS3.py --loco 4032 --day 2017-06-11</v>
      </c>
      <c r="AN207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11:28:20"},{"id":29,"name":"Sharepoint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812</v>
      </c>
      <c r="B208" s="7">
        <v>4031</v>
      </c>
      <c r="C208" s="21" t="s">
        <v>204</v>
      </c>
      <c r="D208" s="21" t="s">
        <v>916</v>
      </c>
      <c r="E208" s="13">
        <v>42897.943854166668</v>
      </c>
      <c r="F208" s="13">
        <v>42897.952523148146</v>
      </c>
      <c r="G208" s="7">
        <v>1</v>
      </c>
      <c r="H208" s="21" t="s">
        <v>917</v>
      </c>
      <c r="I208" s="13">
        <v>25568.708333333332</v>
      </c>
      <c r="J208" s="7">
        <v>0</v>
      </c>
      <c r="K208" s="92" t="str">
        <f t="shared" si="81"/>
        <v>4031/4032</v>
      </c>
      <c r="L208" s="21" t="str">
        <f>VLOOKUP(A208,'Trips&amp;Operators'!$C$1:$G$99999,5,FALSE)</f>
        <v>HOLCOMB KAMDEN</v>
      </c>
      <c r="M208" s="6">
        <f t="shared" si="82"/>
        <v>-17329.244189814814</v>
      </c>
      <c r="N208" s="7">
        <f t="shared" si="83"/>
        <v>-24954111.633333333</v>
      </c>
      <c r="O208" s="7"/>
      <c r="P208" s="7"/>
      <c r="Q208" s="22"/>
      <c r="R208" s="173"/>
      <c r="S208" s="176">
        <f t="shared" si="84"/>
        <v>0</v>
      </c>
      <c r="T208" s="202" t="str">
        <f t="shared" si="85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03" t="str">
        <f t="shared" si="86"/>
        <v>https://d0f6bd738d7f1b3e5a7ca70fe4ff75f0.us-east-1.aws.found.io/app/kibana#/discover/Steve-Slow-Train-Analysis-(2080s-and-2083s)?_g=(refreshInterval:(display:Off,pause:!f,section:0,value:0),time:(from:'2017-06-11T21:39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204" t="str">
        <f t="shared" si="87"/>
        <v>Y</v>
      </c>
      <c r="X208" s="204">
        <f t="shared" si="76"/>
        <v>1</v>
      </c>
      <c r="Y208" s="204">
        <f t="shared" si="74"/>
        <v>5.8673000000000002</v>
      </c>
      <c r="Z208" s="204">
        <f t="shared" si="75"/>
        <v>2.1492</v>
      </c>
      <c r="AA208" s="204">
        <f t="shared" si="88"/>
        <v>3.7181000000000002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9"/>
        <v>1902-11</v>
      </c>
      <c r="AE208" s="80" t="str">
        <f t="shared" si="90"/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AF208" s="77" t="str">
        <f t="shared" si="91"/>
        <v>"C:\Program Files (x86)\AstroGrep\AstroGrep.exe" /e /r /s /spath="%USERPROFILE%\AppData\Local\Temp\OnboardLogs" /stypes="app*4031*19691231*" /stext=" 23:.+((SYSTEM_STATE.+slice.+state.+changed )|(ment ac)|(multiple cpu faults)|(system.+state.+changed )|(\[timeout)|(PRM\|1\|D)|(kpr)|(kdp)|(train st.+moving)|(\|lc)|(penalty))"</v>
      </c>
      <c r="AG208" s="1" t="str">
        <f t="shared" si="92"/>
        <v>Other</v>
      </c>
      <c r="AH208" s="81" t="str">
        <f t="shared" si="77"/>
        <v>"%USERPROFILE%\Documents\GitHub\eaglep3\Utilities\RefineRTDCRunTimes.py" --tripid 1902-11 --locoid 4031 --swversion DE.1.0.9.0 --startMP 300:58673 --initTime 2017-06-11T22:39:09 --startdatetime 2017-06-11T22:51:38 --delay 1 --endMP 300:21492 --enddatetime 1969-12-31T17:00:00 --enforcementcount 0 &gt;&gt;C:\Users\stu\Documents\GitHub\eaglep3-reporting\EC\2017-06-11-refined-times.txt</v>
      </c>
      <c r="AI208" s="99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{"issue":{"subject":"","project_id":79,"tracker_id":40,"status_id":1,"priority_id":2,"assigned_to_id":23,"start_date":"1969-12-31","description":"","custom_fields":[{"id":1,"name":"Subdivision","value":"Other"},{"id":4,"name":"Milepost","value":"2.1492"},{"id":17,"name":"Train ID","value":"1902-11"},{"id":16,"name":"Locomotive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9"/>
        <v>start /low /b %USERPROFILE%\Documents\GitHub\eaglep3\Utilities\DownloadLogsFromS3.py --loco 4031 --day 2017-06-11</v>
      </c>
      <c r="AN208" s="154" t="str">
        <f t="shared" si="8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780</v>
      </c>
      <c r="B209" s="7">
        <v>4057</v>
      </c>
      <c r="C209" s="21" t="s">
        <v>204</v>
      </c>
      <c r="D209" s="21" t="s">
        <v>954</v>
      </c>
      <c r="E209" s="13">
        <v>42897.740451388891</v>
      </c>
      <c r="F209" s="13">
        <v>42897.75167824074</v>
      </c>
      <c r="G209" s="7">
        <v>16</v>
      </c>
      <c r="H209" s="21" t="s">
        <v>955</v>
      </c>
      <c r="I209" s="13">
        <v>42897.756944444445</v>
      </c>
      <c r="J209" s="7">
        <v>0</v>
      </c>
      <c r="K209" s="92" t="str">
        <f t="shared" si="81"/>
        <v>4057/4058</v>
      </c>
      <c r="L209" s="21" t="str">
        <f>VLOOKUP(A209,'Trips&amp;Operators'!$C$1:$G$99999,5,FALSE)</f>
        <v>BIRENBAUM THOMAS</v>
      </c>
      <c r="M209" s="6">
        <f t="shared" si="82"/>
        <v>5.2662037051049992E-3</v>
      </c>
      <c r="N209" s="7">
        <f t="shared" si="83"/>
        <v>7.5833333353511989</v>
      </c>
      <c r="O209" s="7"/>
      <c r="P209" s="7"/>
      <c r="Q209" s="22"/>
      <c r="R209" s="173"/>
      <c r="S209" s="176">
        <f t="shared" si="84"/>
        <v>0</v>
      </c>
      <c r="T209" s="202" t="e">
        <f t="shared" si="85"/>
        <v>#VALUE!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03" t="str">
        <f t="shared" si="86"/>
        <v>https://d0f6bd738d7f1b3e5a7ca70fe4ff75f0.us-east-1.aws.found.io/app/kibana#/discover/Steve-Slow-Train-Analysis-(2080s-and-2083s)?_g=(refreshInterval:(display:Off,pause:!f,section:0,value:0),time:(from:'2017-06-11T16:46:15-0600',mode:absolute,to:'2017-06-11T19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9" s="204" t="str">
        <f t="shared" si="87"/>
        <v>Y</v>
      </c>
      <c r="X209" s="204" t="e">
        <f t="shared" si="76"/>
        <v>#VALUE!</v>
      </c>
      <c r="Y209" s="204">
        <f t="shared" si="74"/>
        <v>2.3412999999999999</v>
      </c>
      <c r="Z209" s="204">
        <f t="shared" si="75"/>
        <v>0.19539999999999999</v>
      </c>
      <c r="AA209" s="204">
        <f t="shared" si="88"/>
        <v>2.1459000000000001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9"/>
        <v>50-11</v>
      </c>
      <c r="AE209" s="80" t="str">
        <f t="shared" si="90"/>
        <v>aws s3 cp s3://rtdc.mdm.uploadarchive.raw/RTDC4057/ "%USERPROFILE%\AppData\Local\Temp\OnboardLogs"\RTDC4057\2017-06-11 --exclude "*" --recursive --include "*20170611*" &amp; "%USERPROFILE%\Documents\GitHub\mrs-test-scripts\Headless Mode &amp; Sideloading\WalkAndUnGZ.bat" "%USERPROFILE%\AppData\Local\Temp\OnboardLogs"\RTDC4057\2017-06-11 &amp; aws s3 cp s3://rtdc.mdm.uploadarchive.raw/RTDC4057/ "%USERPROFILE%\AppData\Local\Temp\OnboardLogs"\RTDC4057\2017-06-12 --exclude "*" --recursive --include "*20170612*" &amp; "%USERPROFILE%\Documents\GitHub\mrs-test-scripts\Headless Mode &amp; Sideloading\WalkAndUnGZ.bat" "%USERPROFILE%\AppData\Local\Temp\OnboardLogs"\RTDC4057\2017-06-12</v>
      </c>
      <c r="AF209" s="77" t="str">
        <f t="shared" si="91"/>
        <v>"C:\Program Files (x86)\AstroGrep\AstroGrep.exe" /e /r /s /spath="%USERPROFILE%\AppData\Local\Temp\OnboardLogs" /stypes="app*4057*20170612*" /stext=" 00:.+((SYSTEM_STATE.+slice.+state.+changed )|(ment ac)|(multiple cpu faults)|(system.+state.+changed )|(\[timeout)|(PRM\|1\|D)|(kpr)|(kdp)|(train st.+moving)|(\|lc)|(penalty))"</v>
      </c>
      <c r="AG209" s="1" t="str">
        <f t="shared" si="92"/>
        <v>Other</v>
      </c>
      <c r="AH209" s="81" t="str">
        <f t="shared" si="77"/>
        <v>"%USERPROFILE%\Documents\GitHub\eaglep3\Utilities\RefineRTDCRunTimes.py" --tripid 50-11 --locoid 4057 --swversion DE.1.0.9.0 --startMP 300:23413 --initTime 2017-06-11T17:46:15 --startdatetime 2017-06-11T18:02:25 --delay 16 --endMP 204:1954 --enddatetime 2017-06-11T18:10:00 --enforcementcount 0 &gt;&gt;C:\Users\stu\Documents\GitHub\eaglep3-reporting\EC\2017-06-11-refined-times.txt</v>
      </c>
      <c r="AI209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{"issue":{"subject":"","project_id":79,"tracker_id":40,"status_id":1,"priority_id":2,"assigned_to_id":23,"start_date":"2017-06-11","description":"","custom_fields":[{"id":1,"name":"Subdivision","value":"Other"},{"id":4,"name":"Milepost","value":"0.1954"},{"id":17,"name":"Train ID","value":"50-11"},{"id":16,"name":"Locomotive ID","value":"4057"},{"id":130,"name":"Impact","value":""},{"id":150,"name":"Time of Event (Mountain Time)","value":"18:10:00"},{"id":151,"name":"Denver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79"/>
        <v>start /low /b %USERPROFILE%\Documents\GitHub\eaglep3\Utilities\DownloadLogsFromS3.py --loco 4057 --day 2017-06-11</v>
      </c>
      <c r="AN209" s="154" t="str">
        <f t="shared" si="80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00:10:00"},{"id":29,"name":"Sharepoint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772</v>
      </c>
      <c r="B210" s="7">
        <v>4046</v>
      </c>
      <c r="C210" s="21" t="s">
        <v>204</v>
      </c>
      <c r="D210" s="21" t="s">
        <v>956</v>
      </c>
      <c r="E210" s="13">
        <v>42897.715439814812</v>
      </c>
      <c r="F210" s="13">
        <v>42897.724594907406</v>
      </c>
      <c r="G210" s="7">
        <v>1</v>
      </c>
      <c r="H210" s="21" t="s">
        <v>356</v>
      </c>
      <c r="I210" s="13">
        <v>42897.732141203705</v>
      </c>
      <c r="J210" s="7">
        <v>0</v>
      </c>
      <c r="K210" s="92" t="str">
        <f t="shared" si="81"/>
        <v>4045/4046</v>
      </c>
      <c r="L210" s="21" t="str">
        <f>VLOOKUP(A210,'Trips&amp;Operators'!$C$1:$G$99999,5,FALSE)</f>
        <v>ROMERO CHAD</v>
      </c>
      <c r="M210" s="6">
        <f t="shared" si="82"/>
        <v>7.5462962995516136E-3</v>
      </c>
      <c r="N210" s="7">
        <f t="shared" si="83"/>
        <v>10.866666671354324</v>
      </c>
      <c r="O210" s="7"/>
      <c r="P210" s="7"/>
      <c r="Q210" s="22"/>
      <c r="R210" s="173"/>
      <c r="S210" s="176">
        <f t="shared" si="84"/>
        <v>0</v>
      </c>
      <c r="T210" s="202" t="e">
        <f t="shared" si="85"/>
        <v>#VALUE!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03" t="str">
        <f t="shared" si="86"/>
        <v>https://d0f6bd738d7f1b3e5a7ca70fe4ff75f0.us-east-1.aws.found.io/app/kibana#/discover/Steve-Slow-Train-Analysis-(2080s-and-2083s)?_g=(refreshInterval:(display:Off,pause:!f,section:0,value:0),time:(from:'2017-06-11T16:10:14-0600',mode:absolute,to:'2017-06-11T18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204" t="str">
        <f t="shared" si="87"/>
        <v>Y</v>
      </c>
      <c r="X210" s="204" t="e">
        <f t="shared" si="76"/>
        <v>#VALUE!</v>
      </c>
      <c r="Y210" s="204">
        <f t="shared" si="74"/>
        <v>0.14710000000000001</v>
      </c>
      <c r="Z210" s="204">
        <f t="shared" si="75"/>
        <v>2.3346</v>
      </c>
      <c r="AA210" s="204">
        <f t="shared" si="88"/>
        <v>2.1875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9"/>
        <v>63-11</v>
      </c>
      <c r="AE210" s="80" t="str">
        <f t="shared" si="90"/>
        <v>aws s3 cp s3://rtdc.mdm.uploadarchive.raw/RTDC4046/ "%USERPROFILE%\AppData\Local\Temp\OnboardLogs"\RTDC4046\2017-06-11 --exclude "*" --recursive --include "*20170611*" &amp; "%USERPROFILE%\Documents\GitHub\mrs-test-scripts\Headless Mode &amp; Sideloading\WalkAndUnGZ.bat" "%USERPROFILE%\AppData\Local\Temp\OnboardLogs"\RTDC4046\2017-06-11 &amp; 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</v>
      </c>
      <c r="AF210" s="77" t="str">
        <f t="shared" si="91"/>
        <v>"C:\Program Files (x86)\AstroGrep\AstroGrep.exe" /e /r /s /spath="%USERPROFILE%\AppData\Local\Temp\OnboardLogs" /stypes="app*4046*20170611*" /stext=" 23:.+((SYSTEM_STATE.+slice.+state.+changed )|(ment ac)|(multiple cpu faults)|(system.+state.+changed )|(\[timeout)|(PRM\|1\|D)|(kpr)|(kdp)|(train st.+moving)|(\|lc)|(penalty))"</v>
      </c>
      <c r="AG210" s="1" t="str">
        <f t="shared" si="92"/>
        <v>Other</v>
      </c>
      <c r="AH210" s="81" t="str">
        <f t="shared" si="77"/>
        <v>"%USERPROFILE%\Documents\GitHub\eaglep3\Utilities\RefineRTDCRunTimes.py" --tripid 63-11 --locoid 4046 --swversion DE.1.0.9.0 --startMP 204:1471 --initTime 2017-06-11T17:10:14 --startdatetime 2017-06-11T17:23:25 --delay 1 --endMP 300:23346 --enddatetime 2017-06-11T17:34:17 --enforcementcount 0 &gt;&gt;C:\Users\stu\Documents\GitHub\eaglep3-reporting\EC\2017-06-11-refined-times.txt</v>
      </c>
      <c r="AI210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{"issue":{"subject":"","project_id":79,"tracker_id":40,"status_id":1,"priority_id":2,"assigned_to_id":23,"start_date":"2017-06-11","description":"","custom_fields":[{"id":1,"name":"Subdivision","value":"Other"},{"id":4,"name":"Milepost","value":"2.3346"},{"id":17,"name":"Train ID","value":"63-11"},{"id":16,"name":"Locomotive ID","value":"4046"},{"id":130,"name":"Impact","value":""},{"id":150,"name":"Time of Event (Mountain Time)","value":"17:34:17"},{"id":151,"name":"Denver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79"/>
        <v>start /low /b %USERPROFILE%\Documents\GitHub\eaglep3\Utilities\DownloadLogsFromS3.py --loco 4046 --day 2017-06-11</v>
      </c>
      <c r="AN210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772</v>
      </c>
      <c r="B211" s="7">
        <v>4046</v>
      </c>
      <c r="C211" s="21" t="s">
        <v>204</v>
      </c>
      <c r="D211" s="21" t="s">
        <v>957</v>
      </c>
      <c r="E211" s="13">
        <v>42897.715439814812</v>
      </c>
      <c r="F211" s="13">
        <v>42897.724594907406</v>
      </c>
      <c r="G211" s="7">
        <v>20</v>
      </c>
      <c r="H211" s="21" t="s">
        <v>356</v>
      </c>
      <c r="I211" s="13">
        <v>42897.732141203705</v>
      </c>
      <c r="J211" s="7">
        <v>0</v>
      </c>
      <c r="K211" s="92" t="str">
        <f t="shared" si="81"/>
        <v>4045/4046</v>
      </c>
      <c r="L211" s="21" t="str">
        <f>VLOOKUP(A211,'Trips&amp;Operators'!$C$1:$G$99999,5,FALSE)</f>
        <v>ROMERO CHAD</v>
      </c>
      <c r="M211" s="6">
        <f t="shared" si="82"/>
        <v>7.5462962995516136E-3</v>
      </c>
      <c r="N211" s="7">
        <f t="shared" si="83"/>
        <v>10.866666671354324</v>
      </c>
      <c r="O211" s="7"/>
      <c r="P211" s="7"/>
      <c r="Q211" s="22"/>
      <c r="R211" s="173"/>
      <c r="S211" s="176">
        <f t="shared" si="84"/>
        <v>0</v>
      </c>
      <c r="T211" s="202" t="e">
        <f t="shared" si="85"/>
        <v>#VALUE!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3" t="str">
        <f t="shared" si="86"/>
        <v>https://d0f6bd738d7f1b3e5a7ca70fe4ff75f0.us-east-1.aws.found.io/app/kibana#/discover/Steve-Slow-Train-Analysis-(2080s-and-2083s)?_g=(refreshInterval:(display:Off,pause:!f,section:0,value:0),time:(from:'2017-06-11T16:10:14-0600',mode:absolute,to:'2017-06-11T18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204" t="str">
        <f t="shared" si="87"/>
        <v>Y</v>
      </c>
      <c r="X211" s="204" t="e">
        <f t="shared" si="76"/>
        <v>#VALUE!</v>
      </c>
      <c r="Y211" s="204">
        <f t="shared" si="74"/>
        <v>2.3283999999999998</v>
      </c>
      <c r="Z211" s="204">
        <f t="shared" si="75"/>
        <v>2.3346</v>
      </c>
      <c r="AA211" s="204">
        <f t="shared" si="88"/>
        <v>6.2000000000002053E-3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9"/>
        <v>63-11</v>
      </c>
      <c r="AE211" s="80" t="str">
        <f t="shared" si="90"/>
        <v>aws s3 cp s3://rtdc.mdm.uploadarchive.raw/RTDC4046/ "%USERPROFILE%\AppData\Local\Temp\OnboardLogs"\RTDC4046\2017-06-11 --exclude "*" --recursive --include "*20170611*" &amp; "%USERPROFILE%\Documents\GitHub\mrs-test-scripts\Headless Mode &amp; Sideloading\WalkAndUnGZ.bat" "%USERPROFILE%\AppData\Local\Temp\OnboardLogs"\RTDC4046\2017-06-11 &amp; 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</v>
      </c>
      <c r="AF211" s="77" t="str">
        <f t="shared" si="91"/>
        <v>"C:\Program Files (x86)\AstroGrep\AstroGrep.exe" /e /r /s /spath="%USERPROFILE%\AppData\Local\Temp\OnboardLogs" /stypes="app*4046*20170611*" /stext=" 23:.+((SYSTEM_STATE.+slice.+state.+changed )|(ment ac)|(multiple cpu faults)|(system.+state.+changed )|(\[timeout)|(PRM\|1\|D)|(kpr)|(kdp)|(train st.+moving)|(\|lc)|(penalty))"</v>
      </c>
      <c r="AG211" s="1" t="str">
        <f t="shared" si="92"/>
        <v>Other</v>
      </c>
      <c r="AH211" s="81" t="str">
        <f t="shared" si="77"/>
        <v>"%USERPROFILE%\Documents\GitHub\eaglep3\Utilities\RefineRTDCRunTimes.py" --tripid 63-11 --locoid 4046 --swversion DE.1.0.9.0 --startMP 300:23284 --initTime 2017-06-11T17:10:14 --startdatetime 2017-06-11T17:23:25 --delay 20 --endMP 300:23346 --enddatetime 2017-06-11T17:34:17 --enforcementcount 0 &gt;&gt;C:\Users\stu\Documents\GitHub\eaglep3-reporting\EC\2017-06-11-refined-times.txt</v>
      </c>
      <c r="AI211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{"issue":{"subject":"","project_id":79,"tracker_id":40,"status_id":1,"priority_id":2,"assigned_to_id":23,"start_date":"2017-06-11","description":"","custom_fields":[{"id":1,"name":"Subdivision","value":"Other"},{"id":4,"name":"Milepost","value":"2.3346"},{"id":17,"name":"Train ID","value":"63-11"},{"id":16,"name":"Locomotive ID","value":"4046"},{"id":130,"name":"Impact","value":""},{"id":150,"name":"Time of Event (Mountain Time)","value":"17:34:17"},{"id":151,"name":"Denver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79"/>
        <v>start /low /b %USERPROFILE%\Documents\GitHub\eaglep3\Utilities\DownloadLogsFromS3.py --loco 4046 --day 2017-06-11</v>
      </c>
      <c r="AN211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774</v>
      </c>
      <c r="B212" s="7">
        <v>4016</v>
      </c>
      <c r="C212" s="21" t="s">
        <v>204</v>
      </c>
      <c r="D212" s="21" t="s">
        <v>958</v>
      </c>
      <c r="E212" s="13">
        <v>42897.715127314812</v>
      </c>
      <c r="F212" s="13">
        <v>42897.726805555554</v>
      </c>
      <c r="G212" s="7">
        <v>14</v>
      </c>
      <c r="H212" s="21" t="s">
        <v>959</v>
      </c>
      <c r="I212" s="13">
        <v>42897.736226851855</v>
      </c>
      <c r="J212" s="7">
        <v>0</v>
      </c>
      <c r="K212" s="92" t="str">
        <f t="shared" si="81"/>
        <v>4015/4016</v>
      </c>
      <c r="L212" s="21" t="str">
        <f>VLOOKUP(A212,'Trips&amp;Operators'!$C$1:$G$99999,5,FALSE)</f>
        <v>ARVIDSON DANIEL</v>
      </c>
      <c r="M212" s="6">
        <f t="shared" si="82"/>
        <v>9.4212963012978435E-3</v>
      </c>
      <c r="N212" s="7">
        <f t="shared" si="83"/>
        <v>13.566666673868895</v>
      </c>
      <c r="O212" s="7"/>
      <c r="P212" s="7"/>
      <c r="Q212" s="22"/>
      <c r="R212" s="173"/>
      <c r="S212" s="176">
        <f t="shared" si="84"/>
        <v>0</v>
      </c>
      <c r="T212" s="202" t="e">
        <f t="shared" si="85"/>
        <v>#VALUE!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3" t="str">
        <f t="shared" si="86"/>
        <v>https://d0f6bd738d7f1b3e5a7ca70fe4ff75f0.us-east-1.aws.found.io/app/kibana#/discover/Steve-Slow-Train-Analysis-(2080s-and-2083s)?_g=(refreshInterval:(display:Off,pause:!f,section:0,value:0),time:(from:'2017-06-11T16:09:47-0600',mode:absolute,to:'2017-06-11T18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204" t="str">
        <f t="shared" si="87"/>
        <v>Y</v>
      </c>
      <c r="X212" s="204" t="e">
        <f t="shared" si="76"/>
        <v>#VALUE!</v>
      </c>
      <c r="Y212" s="204">
        <f t="shared" si="74"/>
        <v>0.1152</v>
      </c>
      <c r="Z212" s="204">
        <f t="shared" si="75"/>
        <v>2.3136000000000001</v>
      </c>
      <c r="AA212" s="204">
        <f t="shared" si="88"/>
        <v>2.1983999999999999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9"/>
        <v>65-11</v>
      </c>
      <c r="AE212" s="80" t="str">
        <f t="shared" si="90"/>
        <v>aws s3 cp s3://rtdc.mdm.uploadarchive.raw/RTDC4016/ "%USERPROFILE%\AppData\Local\Temp\OnboardLogs"\RTDC4016\2017-06-11 --exclude "*" --recursive --include "*20170611*" &amp; "%USERPROFILE%\Documents\GitHub\mrs-test-scripts\Headless Mode &amp; Sideloading\WalkAndUnGZ.bat" "%USERPROFILE%\AppData\Local\Temp\OnboardLogs"\RTDC4016\2017-06-11 &amp; 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</v>
      </c>
      <c r="AF212" s="77" t="str">
        <f t="shared" si="91"/>
        <v>"C:\Program Files (x86)\AstroGrep\AstroGrep.exe" /e /r /s /spath="%USERPROFILE%\AppData\Local\Temp\OnboardLogs" /stypes="app*4016*20170611*" /stext=" 23:.+((SYSTEM_STATE.+slice.+state.+changed )|(ment ac)|(multiple cpu faults)|(system.+state.+changed )|(\[timeout)|(PRM\|1\|D)|(kpr)|(kdp)|(train st.+moving)|(\|lc)|(penalty))"</v>
      </c>
      <c r="AG212" s="1" t="str">
        <f t="shared" si="92"/>
        <v>Other</v>
      </c>
      <c r="AH212" s="81" t="str">
        <f t="shared" si="77"/>
        <v>"%USERPROFILE%\Documents\GitHub\eaglep3\Utilities\RefineRTDCRunTimes.py" --tripid 65-11 --locoid 4016 --swversion DE.1.0.9.0 --startMP 204:1152 --initTime 2017-06-11T17:09:47 --startdatetime 2017-06-11T17:26:36 --delay 14 --endMP 300:23136 --enddatetime 2017-06-11T17:40:10 --enforcementcount 0 &gt;&gt;C:\Users\stu\Documents\GitHub\eaglep3-reporting\EC\2017-06-11-refined-times.txt</v>
      </c>
      <c r="AI212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{"issue":{"subject":"","project_id":79,"tracker_id":40,"status_id":1,"priority_id":2,"assigned_to_id":23,"start_date":"2017-06-11","description":"","custom_fields":[{"id":1,"name":"Subdivision","value":"Other"},{"id":4,"name":"Milepost","value":"2.3136"},{"id":17,"name":"Train ID","value":"65-11"},{"id":16,"name":"Locomotive ID","value":"4016"},{"id":130,"name":"Impact","value":""},{"id":150,"name":"Time of Event (Mountain Time)","value":"17:40:10"},{"id":151,"name":"Denver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79"/>
        <v>start /low /b %USERPROFILE%\Documents\GitHub\eaglep3\Utilities\DownloadLogsFromS3.py --loco 4016 --day 2017-06-11</v>
      </c>
      <c r="AN212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23:40:10"},{"id":29,"name":"Sharepoint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652</v>
      </c>
      <c r="B213" s="7">
        <v>4046</v>
      </c>
      <c r="C213" s="21" t="s">
        <v>204</v>
      </c>
      <c r="D213" s="21" t="s">
        <v>960</v>
      </c>
      <c r="E213" s="13">
        <v>42897.134097222224</v>
      </c>
      <c r="F213" s="13">
        <v>42897.138032407405</v>
      </c>
      <c r="G213" s="7">
        <v>2</v>
      </c>
      <c r="H213" s="21" t="s">
        <v>961</v>
      </c>
      <c r="I213" s="13">
        <v>42897.139085648145</v>
      </c>
      <c r="J213" s="7">
        <v>0</v>
      </c>
      <c r="K213" s="92" t="str">
        <f t="shared" si="81"/>
        <v>4045/4046</v>
      </c>
      <c r="L213" s="21" t="str">
        <f>VLOOKUP(A213,'Trips&amp;Operators'!$C$1:$G$99999,5,FALSE)</f>
        <v>DE LA ROSA ALEX</v>
      </c>
      <c r="M213" s="6">
        <f t="shared" si="82"/>
        <v>1.0532407395658083E-3</v>
      </c>
      <c r="N213" s="7">
        <f t="shared" si="83"/>
        <v>1.516666664974764</v>
      </c>
      <c r="O213" s="7"/>
      <c r="P213" s="7"/>
      <c r="Q213" s="22"/>
      <c r="R213" s="173"/>
      <c r="S213" s="176">
        <f t="shared" si="84"/>
        <v>0</v>
      </c>
      <c r="T213" s="202" t="e">
        <f t="shared" si="85"/>
        <v>#VALUE!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03" t="str">
        <f t="shared" si="86"/>
        <v>https://d0f6bd738d7f1b3e5a7ca70fe4ff75f0.us-east-1.aws.found.io/app/kibana#/discover/Steve-Slow-Train-Analysis-(2080s-and-2083s)?_g=(refreshInterval:(display:Off,pause:!f,section:0,value:0),time:(from:'2017-06-11T02:13:06-0600',mode:absolute,to:'2017-06-11T04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204" t="str">
        <f t="shared" si="87"/>
        <v>Y</v>
      </c>
      <c r="X213" s="204" t="e">
        <f t="shared" si="76"/>
        <v>#VALUE!</v>
      </c>
      <c r="Y213" s="204">
        <f t="shared" si="74"/>
        <v>4.1799999999999997E-2</v>
      </c>
      <c r="Z213" s="204">
        <f t="shared" si="75"/>
        <v>0.35089999999999999</v>
      </c>
      <c r="AA213" s="204">
        <f t="shared" si="88"/>
        <v>0.30909999999999999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9"/>
        <v>67-11</v>
      </c>
      <c r="AE213" s="80" t="str">
        <f t="shared" si="90"/>
        <v>aws s3 cp s3://rtdc.mdm.uploadarchive.raw/RTDC4046/ "%USERPROFILE%\AppData\Local\Temp\OnboardLogs"\RTDC4046\2017-06-11 --exclude "*" --recursive --include "*20170611*" &amp; "%USERPROFILE%\Documents\GitHub\mrs-test-scripts\Headless Mode &amp; Sideloading\WalkAndUnGZ.bat" "%USERPROFILE%\AppData\Local\Temp\OnboardLogs"\RTDC4046\2017-06-11 &amp; 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</v>
      </c>
      <c r="AF213" s="77" t="str">
        <f t="shared" si="91"/>
        <v>"C:\Program Files (x86)\AstroGrep\AstroGrep.exe" /e /r /s /spath="%USERPROFILE%\AppData\Local\Temp\OnboardLogs" /stypes="app*4046*20170611*" /stext=" 09:.+((SYSTEM_STATE.+slice.+state.+changed )|(ment ac)|(multiple cpu faults)|(system.+state.+changed )|(\[timeout)|(PRM\|1\|D)|(kpr)|(kdp)|(train st.+moving)|(\|lc)|(penalty))"</v>
      </c>
      <c r="AG213" s="1" t="str">
        <f t="shared" si="92"/>
        <v>Other</v>
      </c>
      <c r="AH213" s="81" t="str">
        <f t="shared" si="77"/>
        <v>"%USERPROFILE%\Documents\GitHub\eaglep3\Utilities\RefineRTDCRunTimes.py" --tripid 67-11 --locoid 4046 --swversion DE.1.0.9.0 --startMP 204:418 --initTime 2017-06-11T03:13:06 --startdatetime 2017-06-11T03:18:46 --delay 2 --endMP 204:3509 --enddatetime 2017-06-11T03:20:17 --enforcementcount 0 &gt;&gt;C:\Users\stu\Documents\GitHub\eaglep3-reporting\EC\2017-06-11-refined-times.txt</v>
      </c>
      <c r="AI213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{"issue":{"subject":"","project_id":79,"tracker_id":40,"status_id":1,"priority_id":2,"assigned_to_id":23,"start_date":"2017-06-11","description":"","custom_fields":[{"id":1,"name":"Subdivision","value":"Other"},{"id":4,"name":"Milepost","value":"0.3509"},{"id":17,"name":"Train ID","value":"67-11"},{"id":16,"name":"Locomotive ID","value":"4046"},{"id":130,"name":"Impact","value":""},{"id":150,"name":"Time of Event (Mountain Time)","value":"03:20:17"},{"id":151,"name":"Denver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79"/>
        <v>start /low /b %USERPROFILE%\Documents\GitHub\eaglep3\Utilities\DownloadLogsFromS3.py --loco 4046 --day 2017-06-11</v>
      </c>
      <c r="AN213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09:20:17"},{"id":29,"name":"Sharepoint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654</v>
      </c>
      <c r="B214" s="7">
        <v>4045</v>
      </c>
      <c r="C214" s="21" t="s">
        <v>204</v>
      </c>
      <c r="D214" s="21" t="s">
        <v>962</v>
      </c>
      <c r="E214" s="13">
        <v>42897.139814814815</v>
      </c>
      <c r="F214" s="13">
        <v>42897.141412037039</v>
      </c>
      <c r="G214" s="7">
        <v>1</v>
      </c>
      <c r="H214" s="21" t="s">
        <v>963</v>
      </c>
      <c r="I214" s="13">
        <v>42897.14271990741</v>
      </c>
      <c r="J214" s="7">
        <v>0</v>
      </c>
      <c r="K214" s="92" t="str">
        <f t="shared" si="81"/>
        <v>4045/4046</v>
      </c>
      <c r="L214" s="21" t="str">
        <f>VLOOKUP(A214,'Trips&amp;Operators'!$C$1:$G$99999,5,FALSE)</f>
        <v>DE LA ROSA ALEX</v>
      </c>
      <c r="M214" s="6">
        <f t="shared" si="82"/>
        <v>1.3078703705104999E-3</v>
      </c>
      <c r="N214" s="7">
        <f t="shared" si="83"/>
        <v>1.8833333335351199</v>
      </c>
      <c r="O214" s="7"/>
      <c r="P214" s="7"/>
      <c r="Q214" s="22"/>
      <c r="R214" s="173"/>
      <c r="S214" s="176">
        <f t="shared" si="84"/>
        <v>0</v>
      </c>
      <c r="T214" s="202" t="e">
        <f t="shared" si="85"/>
        <v>#VALUE!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86"/>
        <v>https://d0f6bd738d7f1b3e5a7ca70fe4ff75f0.us-east-1.aws.found.io/app/kibana#/discover/Steve-Slow-Train-Analysis-(2080s-and-2083s)?_g=(refreshInterval:(display:Off,pause:!f,section:0,value:0),time:(from:'2017-06-11T02:21:20-0600',mode:absolute,to:'2017-06-11T04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204" t="str">
        <f t="shared" si="87"/>
        <v>Y</v>
      </c>
      <c r="X214" s="204" t="e">
        <f t="shared" si="76"/>
        <v>#VALUE!</v>
      </c>
      <c r="Y214" s="204">
        <f t="shared" si="74"/>
        <v>0.31809999999999999</v>
      </c>
      <c r="Z214" s="204">
        <f t="shared" si="75"/>
        <v>0.1164</v>
      </c>
      <c r="AA214" s="204">
        <f t="shared" si="88"/>
        <v>0.20169999999999999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9"/>
        <v>68-11</v>
      </c>
      <c r="AE214" s="80" t="str">
        <f t="shared" si="90"/>
        <v>aws s3 cp s3://rtdc.mdm.uploadarchive.raw/RTDC4045/ "%USERPROFILE%\AppData\Local\Temp\OnboardLogs"\RTDC4045\2017-06-11 --exclude "*" --recursive --include "*20170611*" &amp; "%USERPROFILE%\Documents\GitHub\mrs-test-scripts\Headless Mode &amp; Sideloading\WalkAndUnGZ.bat" "%USERPROFILE%\AppData\Local\Temp\OnboardLogs"\RTDC4045\2017-06-11 &amp; 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</v>
      </c>
      <c r="AF214" s="77" t="str">
        <f t="shared" si="91"/>
        <v>"C:\Program Files (x86)\AstroGrep\AstroGrep.exe" /e /r /s /spath="%USERPROFILE%\AppData\Local\Temp\OnboardLogs" /stypes="app*4045*20170611*" /stext=" 09:.+((SYSTEM_STATE.+slice.+state.+changed )|(ment ac)|(multiple cpu faults)|(system.+state.+changed )|(\[timeout)|(PRM\|1\|D)|(kpr)|(kdp)|(train st.+moving)|(\|lc)|(penalty))"</v>
      </c>
      <c r="AG214" s="1" t="str">
        <f t="shared" si="92"/>
        <v>Other</v>
      </c>
      <c r="AH214" s="81" t="str">
        <f t="shared" si="77"/>
        <v>"%USERPROFILE%\Documents\GitHub\eaglep3\Utilities\RefineRTDCRunTimes.py" --tripid 68-11 --locoid 4045 --swversion DE.1.0.9.0 --startMP 204:3181 --initTime 2017-06-11T03:21:20 --startdatetime 2017-06-11T03:23:38 --delay 1 --endMP 204:1164 --enddatetime 2017-06-11T03:25:31 --enforcementcount 0 &gt;&gt;C:\Users\stu\Documents\GitHub\eaglep3-reporting\EC\2017-06-11-refined-times.txt</v>
      </c>
      <c r="AI214" s="99" t="str">
        <f t="shared" si="78"/>
        <v>echo {"issue":{"subject":"","project_id":79,"tracker_id":40,"status_id":1,"priority_id":2,"assigned_to_id":23,"start_date":"2017-06-11","description":"","custom_fields":[{"id":1,"name":"Subdivision","value":"Other"},{"id":4,"name":"Milepost","value":"0.1164"},{"id":17,"name":"Train ID","value":"68-11"},{"id":16,"name":"Locomotive ID","value":"4045"},{"id":130,"name":"Impact","value":""},{"id":150,"name":"Time of Event (Mountain Time)","value":"03:25:31"},{"id":151,"name":"Denver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79"/>
        <v>start /low /b %USERPROFILE%\Documents\GitHub\eaglep3\Utilities\DownloadLogsFromS3.py --loco 4045 --day 2017-06-11</v>
      </c>
      <c r="AN214" s="154" t="str">
        <f t="shared" si="80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09:25:31"},{"id":29,"name":"Sharepoint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s="2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72">
    <sortState ref="A13:AG275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14">
    <cfRule type="cellIs" dxfId="10" priority="415" operator="equal">
      <formula>"Y"</formula>
    </cfRule>
  </conditionalFormatting>
  <conditionalFormatting sqref="X276:X1048576 X13:X214">
    <cfRule type="cellIs" dxfId="9" priority="398" operator="greaterThan">
      <formula>1</formula>
    </cfRule>
  </conditionalFormatting>
  <conditionalFormatting sqref="X276:X1048576 X12:X214">
    <cfRule type="cellIs" dxfId="8" priority="395" operator="equal">
      <formula>0</formula>
    </cfRule>
  </conditionalFormatting>
  <conditionalFormatting sqref="A13:S21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G16" sqref="G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COUNTIF($O$7:$O$278,"=Y")</f>
        <v>1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COUNTA($O$7:$O$278)-O2</f>
        <v>33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- 2017-06-11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42897.779293981483</v>
      </c>
      <c r="B7" s="30" t="s">
        <v>419</v>
      </c>
      <c r="C7" s="30" t="s">
        <v>645</v>
      </c>
      <c r="D7" s="30" t="s">
        <v>49</v>
      </c>
      <c r="E7" s="30" t="s">
        <v>189</v>
      </c>
      <c r="F7" s="42">
        <v>0</v>
      </c>
      <c r="G7" s="42">
        <v>140</v>
      </c>
      <c r="H7" s="42">
        <v>30990</v>
      </c>
      <c r="I7" s="42">
        <v>30889</v>
      </c>
      <c r="J7" s="30" t="s">
        <v>190</v>
      </c>
      <c r="K7" s="42">
        <v>30970</v>
      </c>
      <c r="L7" s="134" t="s">
        <v>51</v>
      </c>
      <c r="M7" s="135">
        <f t="shared" ref="M7:M40" si="0">CONVERT((I7-K7)/10000,"mi","ft")*IF(L7="Increasing Mileposts (1)",-1,1)</f>
        <v>-42.768000000000001</v>
      </c>
      <c r="N7" s="136" t="str">
        <f>VLOOKUP(C7,'Trips&amp;Operators'!$C$1:$G$99999,5,FALSE)</f>
        <v>STAMBAUGH JAMES</v>
      </c>
      <c r="O7" s="210" t="s">
        <v>182</v>
      </c>
      <c r="P7" s="137" t="s">
        <v>401</v>
      </c>
      <c r="Q7" s="30"/>
      <c r="R7" s="84" t="str">
        <f>VLOOKUP(C7,'Train Runs'!$A$13:$AE$9931,31,0)</f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S7" s="87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-11T17:03:49-0600',mode:absolute,to:'2017-06-11T19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9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/stypes="*4041*201706120*" /stext=" 00:.+((SYSTEM_STATE.+slice.+state.+changed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4041</v>
      </c>
      <c r="V7" s="31">
        <f t="shared" ref="V7:V40" si="3">A7-utc_offset/24</f>
        <v>42898.029293981483</v>
      </c>
      <c r="W7" s="45" t="str">
        <f t="shared" ref="W7:W40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0" si="5">IF(AND(E7="TRACK WARRANT AUTHORITY",G7&lt;10),"OMIT","KEEP")</f>
        <v>KEEP</v>
      </c>
      <c r="Y7" s="99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arrival","project_id":79,"tracker_id":40,"status_id":1,"priority_id":2,"assigned_to_id":23,"start_date":"2017-06-11","description":"","custom_fields":[{"id":1,"name":"Subdivision","value":"EC"},{"id":4,"name":"Milepost","value":"3.097"},{"id":17,"name":"Train ID","value":"210-11"},{"id":16,"name":"Locomotive ID","value":"4041"},{"id":130,"name":"Impact","value":""},{"id":150,"name":"Time of Event (Mountain Time)","value":"18:42:11"},{"id":151,"name":"Denver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0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/cygdrive/c/Users/stu/AppData/Local/Temp/OnboardLogs/RTDC4041 --include="*4041*201706120*"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"%USERPROFILE%\AppData\Local\Temp\OnboardLogs"\RTDC4041\*4041*201706120* &gt;&gt; 2017-06-11-SliceDisagreementCheck.txt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4041 --day 2017-06-12</v>
      </c>
    </row>
    <row r="8" spans="1:32" s="1" customFormat="1" x14ac:dyDescent="0.25">
      <c r="A8" s="31">
        <v>42897.384710648148</v>
      </c>
      <c r="B8" s="30" t="s">
        <v>405</v>
      </c>
      <c r="C8" s="30" t="s">
        <v>622</v>
      </c>
      <c r="D8" s="30" t="s">
        <v>49</v>
      </c>
      <c r="E8" s="30" t="s">
        <v>189</v>
      </c>
      <c r="F8" s="42">
        <v>0</v>
      </c>
      <c r="G8" s="42">
        <v>428</v>
      </c>
      <c r="H8" s="42">
        <v>62333</v>
      </c>
      <c r="I8" s="42">
        <v>63323</v>
      </c>
      <c r="J8" s="30" t="s">
        <v>190</v>
      </c>
      <c r="K8" s="42">
        <v>63069</v>
      </c>
      <c r="L8" s="134" t="s">
        <v>50</v>
      </c>
      <c r="M8" s="135">
        <f t="shared" si="0"/>
        <v>-134.11199999999999</v>
      </c>
      <c r="N8" s="136" t="str">
        <f>VLOOKUP(C8,'Trips&amp;Operators'!$C$1:$G$99999,5,FALSE)</f>
        <v>WILLIAMS DONTE</v>
      </c>
      <c r="O8" s="210" t="s">
        <v>182</v>
      </c>
      <c r="P8" s="137" t="s">
        <v>401</v>
      </c>
      <c r="Q8" s="30"/>
      <c r="R8" s="84" t="str">
        <f>VLOOKUP(C8,'Train Runs'!$A$13:$AE$9931,31,0)</f>
        <v>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 &amp; aws s3 cp s3://rtdc.mdm.uploadarchive.raw/RTDC4054/ "%USERPROFILE%\AppData\Local\Temp\OnboardLogs"\RTDC4054\2017-06-12 --exclude "*" --recursive --include "*20170612*" &amp; "%USERPROFILE%\Documents\GitHub\mrs-test-scripts\Headless Mode &amp; Sideloading\WalkAndUnGZ.bat" "%USERPROFILE%\AppData\Local\Temp\OnboardLogs"\RTDC4054\2017-06-12</v>
      </c>
      <c r="S8" s="87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-11T07:56:10-0600',mode:absolute,to:'2017-06-11T10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8" s="89" t="str">
        <f t="shared" si="1"/>
        <v>"C:\Program Files (x86)\AstroGrep\AstroGrep.exe" /e /r /s /spath="%USERPROFILE%\AppData\Local\Temp\OnboardLogs" /stypes="*4054*201706111*"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4054</v>
      </c>
      <c r="V8" s="31">
        <f t="shared" si="3"/>
        <v>42897.634710648148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arrival","project_id":79,"tracker_id":40,"status_id":1,"priority_id":2,"assigned_to_id":23,"start_date":"2017-06-11","description":"","custom_fields":[{"id":1,"name":"Subdivision","value":"EC"},{"id":4,"name":"Milepost","value":"6.3069"},{"id":17,"name":"Train ID","value":"143-11"},{"id":16,"name":"Locomotive ID","value":"4054"},{"id":130,"name":"Impact","value":""},{"id":150,"name":"Time of Event (Mountain Time)","value":"09:13:59"},{"id":151,"name":"Denver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/cygdrive/c/Users/stu/AppData/Local/Temp/OnboardLogs/RTDC4054 --include="*4054*201706111*"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"%USERPROFILE%\AppData\Local\Temp\OnboardLogs"\RTDC4054\*4054*201706111* &gt;&gt; 2017-06-11-SliceDisagreementCheck.txt</v>
      </c>
      <c r="AE8" s="148" t="str">
        <f t="shared" ref="AE8:AE40" si="9">"start /low /b "&amp;dls3logs&amp;" --loco "&amp;U8&amp;" --day "&amp;TEXT(V8,"YYYY-MM-DD")</f>
        <v>start /low /b %USERPROFILE%\Documents\GitHub\eaglep3\Utilities\DownloadLogsFromS3.py --loco 4054 --day 2017-06-11</v>
      </c>
    </row>
    <row r="9" spans="1:32" s="1" customFormat="1" x14ac:dyDescent="0.25">
      <c r="A9" s="31">
        <v>42897.759918981479</v>
      </c>
      <c r="B9" s="30" t="s">
        <v>626</v>
      </c>
      <c r="C9" s="30" t="s">
        <v>642</v>
      </c>
      <c r="D9" s="30" t="s">
        <v>49</v>
      </c>
      <c r="E9" s="30" t="s">
        <v>189</v>
      </c>
      <c r="F9" s="42">
        <v>40</v>
      </c>
      <c r="G9" s="42">
        <v>96</v>
      </c>
      <c r="H9" s="42">
        <v>62760</v>
      </c>
      <c r="I9" s="42">
        <v>62877</v>
      </c>
      <c r="J9" s="30" t="s">
        <v>190</v>
      </c>
      <c r="K9" s="42">
        <v>63069</v>
      </c>
      <c r="L9" s="134" t="s">
        <v>50</v>
      </c>
      <c r="M9" s="135">
        <f t="shared" si="0"/>
        <v>101.376</v>
      </c>
      <c r="N9" s="136" t="str">
        <f>VLOOKUP(C9,'Trips&amp;Operators'!$C$1:$G$99999,5,FALSE)</f>
        <v>LOPES KIMBERLY</v>
      </c>
      <c r="O9" s="210" t="s">
        <v>182</v>
      </c>
      <c r="P9" s="137" t="s">
        <v>401</v>
      </c>
      <c r="Q9" s="30"/>
      <c r="R9" s="84" t="str">
        <f>VLOOKUP(C9,'Train Runs'!$A$13:$AE$9931,31,0)</f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S9" s="87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-11T16:52:34-0600',mode:absolute,to:'2017-06-11T19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9" s="89" t="str">
        <f t="shared" si="1"/>
        <v>"C:\Program Files (x86)\AstroGrep\AstroGrep.exe" /e /r /s /spath="%USERPROFILE%\AppData\Local\Temp\OnboardLogs" /stypes="*4010*201706120*"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4010</v>
      </c>
      <c r="V9" s="31">
        <f t="shared" si="3"/>
        <v>42898.009918981479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arrival","project_id":79,"tracker_id":40,"status_id":1,"priority_id":2,"assigned_to_id":23,"start_date":"2017-06-11","description":"","custom_fields":[{"id":1,"name":"Subdivision","value":"EC"},{"id":4,"name":"Milepost","value":"6.3069"},{"id":17,"name":"Train ID","value":"215-11"},{"id":16,"name":"Locomotive ID","value":"4010"},{"id":130,"name":"Impact","value":""},{"id":150,"name":"Time of Event (Mountain Time)","value":"18:14:17"},{"id":151,"name":"Denver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/cygdrive/c/Users/stu/AppData/Local/Temp/OnboardLogs/RTDC4010 --include="*4010*201706120*"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"%USERPROFILE%\AppData\Local\Temp\OnboardLogs"\RTDC4010\*4010*201706120* &gt;&gt; 2017-06-11-SliceDisagreementCheck.txt</v>
      </c>
      <c r="AE9" s="148" t="str">
        <f t="shared" si="9"/>
        <v>start /low /b %USERPROFILE%\Documents\GitHub\eaglep3\Utilities\DownloadLogsFromS3.py --loco 4010 --day 2017-06-12</v>
      </c>
    </row>
    <row r="10" spans="1:32" s="1" customFormat="1" x14ac:dyDescent="0.25">
      <c r="A10" s="31">
        <v>42897.759467592594</v>
      </c>
      <c r="B10" s="30" t="s">
        <v>626</v>
      </c>
      <c r="C10" s="30" t="s">
        <v>642</v>
      </c>
      <c r="D10" s="30" t="s">
        <v>49</v>
      </c>
      <c r="E10" s="30" t="s">
        <v>189</v>
      </c>
      <c r="F10" s="42">
        <v>390</v>
      </c>
      <c r="G10" s="42">
        <v>560</v>
      </c>
      <c r="H10" s="42">
        <v>60623</v>
      </c>
      <c r="I10" s="42">
        <v>62673</v>
      </c>
      <c r="J10" s="30" t="s">
        <v>190</v>
      </c>
      <c r="K10" s="42">
        <v>63069</v>
      </c>
      <c r="L10" s="134" t="s">
        <v>50</v>
      </c>
      <c r="M10" s="135">
        <f t="shared" si="0"/>
        <v>209.08799999999999</v>
      </c>
      <c r="N10" s="136" t="str">
        <f>VLOOKUP(C10,'Trips&amp;Operators'!$C$1:$G$99999,5,FALSE)</f>
        <v>LOPES KIMBERLY</v>
      </c>
      <c r="O10" s="210" t="s">
        <v>182</v>
      </c>
      <c r="P10" s="137" t="s">
        <v>401</v>
      </c>
      <c r="Q10" s="30"/>
      <c r="R10" s="84" t="str">
        <f>VLOOKUP(C10,'Train Runs'!$A$13:$AE$9931,31,0)</f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S10" s="87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-11T16:52:34-0600',mode:absolute,to:'2017-06-11T19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89" t="str">
        <f t="shared" si="1"/>
        <v>"C:\Program Files (x86)\AstroGrep\AstroGrep.exe" /e /r /s /spath="%USERPROFILE%\AppData\Local\Temp\OnboardLogs" /stypes="*4010*201706120*"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4010</v>
      </c>
      <c r="V10" s="31">
        <f t="shared" si="3"/>
        <v>42898.009467592594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arrival","project_id":79,"tracker_id":40,"status_id":1,"priority_id":2,"assigned_to_id":23,"start_date":"2017-06-11","description":"","custom_fields":[{"id":1,"name":"Subdivision","value":"EC"},{"id":4,"name":"Milepost","value":"6.3069"},{"id":17,"name":"Train ID","value":"215-11"},{"id":16,"name":"Locomotive ID","value":"4010"},{"id":130,"name":"Impact","value":""},{"id":150,"name":"Time of Event (Mountain Time)","value":"18:13:38"},{"id":151,"name":"Denver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/cygdrive/c/Users/stu/AppData/Local/Temp/OnboardLogs/RTDC4010 --include="*4010*201706120*"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"%USERPROFILE%\AppData\Local\Temp\OnboardLogs"\RTDC4010\*4010*201706120* &gt;&gt; 2017-06-11-SliceDisagreementCheck.txt</v>
      </c>
      <c r="AE10" s="148" t="str">
        <f t="shared" si="9"/>
        <v>start /low /b %USERPROFILE%\Documents\GitHub\eaglep3\Utilities\DownloadLogsFromS3.py --loco 4010 --day 2017-06-12</v>
      </c>
    </row>
    <row r="11" spans="1:32" s="1" customFormat="1" x14ac:dyDescent="0.25">
      <c r="A11" s="31">
        <v>42897.769907407404</v>
      </c>
      <c r="B11" s="30" t="s">
        <v>432</v>
      </c>
      <c r="C11" s="30" t="s">
        <v>643</v>
      </c>
      <c r="D11" s="30" t="s">
        <v>49</v>
      </c>
      <c r="E11" s="30" t="s">
        <v>189</v>
      </c>
      <c r="F11" s="42">
        <v>400</v>
      </c>
      <c r="G11" s="42">
        <v>468</v>
      </c>
      <c r="H11" s="42">
        <v>62023</v>
      </c>
      <c r="I11" s="42">
        <v>63594</v>
      </c>
      <c r="J11" s="30" t="s">
        <v>190</v>
      </c>
      <c r="K11" s="42">
        <v>63069</v>
      </c>
      <c r="L11" s="134" t="s">
        <v>50</v>
      </c>
      <c r="M11" s="135">
        <f t="shared" si="0"/>
        <v>-277.2</v>
      </c>
      <c r="N11" s="136" t="str">
        <f>VLOOKUP(C11,'Trips&amp;Operators'!$C$1:$G$99999,5,FALSE)</f>
        <v>ZEWDU DEREJE</v>
      </c>
      <c r="O11" s="210" t="s">
        <v>182</v>
      </c>
      <c r="P11" s="137" t="s">
        <v>401</v>
      </c>
      <c r="Q11" s="30"/>
      <c r="R11" s="84" t="str">
        <f>VLOOKUP(C11,'Train Runs'!$A$13:$AE$9931,31,0)</f>
        <v>aws s3 cp s3://rtdc.mdm.uploadarchive.raw/RTDC4020/ "%USERPROFILE%\AppData\Local\Temp\OnboardLogs"\RTDC4020\2017-06-11 --exclude "*" --recursive --include "*20170611*" &amp; "%USERPROFILE%\Documents\GitHub\mrs-test-scripts\Headless Mode &amp; Sideloading\WalkAndUnGZ.bat" "%USERPROFILE%\AppData\Local\Temp\OnboardLogs"\RTDC4020\2017-06-11 &amp; 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</v>
      </c>
      <c r="S11" s="87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-11T17:11:31-0600',mode:absolute,to:'2017-06-11T19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89" t="str">
        <f t="shared" si="1"/>
        <v>"C:\Program Files (x86)\AstroGrep\AstroGrep.exe" /e /r /s /spath="%USERPROFILE%\AppData\Local\Temp\OnboardLogs" /stypes="*4020*201706120*" /stext=" 00:.+((SYSTEM_STATE.+slice.+state.+changed )|(ment ac)|(multiple cpu faults)|(system.+state.+changed )|(\[timeout)|(PRM\|1\|D)|(kpr)|(kdp)|(train st.+moving)|(\|lc)|(penalty))"</v>
      </c>
      <c r="U11" s="9" t="str">
        <f t="shared" si="2"/>
        <v>4020</v>
      </c>
      <c r="V11" s="31">
        <f t="shared" si="3"/>
        <v>42898.019907407404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arrival","project_id":79,"tracker_id":40,"status_id":1,"priority_id":2,"assigned_to_id":23,"start_date":"2017-06-11","description":"","custom_fields":[{"id":1,"name":"Subdivision","value":"EC"},{"id":4,"name":"Milepost","value":"6.3069"},{"id":17,"name":"Train ID","value":"217-11"},{"id":16,"name":"Locomotive ID","value":"4020"},{"id":130,"name":"Impact","value":""},{"id":150,"name":"Time of Event (Mountain Time)","value":"18:28:40"},{"id":151,"name":"Denver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/cygdrive/c/Users/stu/AppData/Local/Temp/OnboardLogs/RTDC4020 --include="*4020*201706120*"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"%USERPROFILE%\AppData\Local\Temp\OnboardLogs"\RTDC4020\*4020*201706120* &gt;&gt; 2017-06-11-SliceDisagreementCheck.txt</v>
      </c>
      <c r="AE11" s="148" t="str">
        <f t="shared" si="9"/>
        <v>start /low /b %USERPROFILE%\Documents\GitHub\eaglep3\Utilities\DownloadLogsFromS3.py --loco 4020 --day 2017-06-12</v>
      </c>
    </row>
    <row r="12" spans="1:32" s="1" customFormat="1" x14ac:dyDescent="0.25">
      <c r="A12" s="31">
        <v>42897.951481481483</v>
      </c>
      <c r="B12" s="30" t="s">
        <v>516</v>
      </c>
      <c r="C12" s="30" t="s">
        <v>650</v>
      </c>
      <c r="D12" s="30" t="s">
        <v>49</v>
      </c>
      <c r="E12" s="30" t="s">
        <v>189</v>
      </c>
      <c r="F12" s="42">
        <v>0</v>
      </c>
      <c r="G12" s="42">
        <v>464</v>
      </c>
      <c r="H12" s="42">
        <v>65565</v>
      </c>
      <c r="I12" s="42">
        <v>64358</v>
      </c>
      <c r="J12" s="30" t="s">
        <v>190</v>
      </c>
      <c r="K12" s="42">
        <v>63309</v>
      </c>
      <c r="L12" s="134" t="s">
        <v>51</v>
      </c>
      <c r="M12" s="135">
        <f t="shared" si="0"/>
        <v>553.87199999999996</v>
      </c>
      <c r="N12" s="136" t="str">
        <f>VLOOKUP(C12,'Trips&amp;Operators'!$C$1:$G$99999,5,FALSE)</f>
        <v>SMITH MICHAEL</v>
      </c>
      <c r="O12" s="210" t="s">
        <v>182</v>
      </c>
      <c r="P12" s="137" t="s">
        <v>401</v>
      </c>
      <c r="Q12" s="30"/>
      <c r="R12" s="84" t="str">
        <f>VLOOKUP(C12,'Train Runs'!$A$13:$AE$9931,31,0)</f>
        <v>aws s3 cp s3://rtdc.mdm.uploadarchive.raw/RTDC4053/ "%USERPROFILE%\AppData\Local\Temp\OnboardLogs"\RTDC4053\2017-06-11 --exclude "*" --recursive --include "*20170611*" &amp; "%USERPROFILE%\Documents\GitHub\mrs-test-scripts\Headless Mode &amp; Sideloading\WalkAndUnGZ.bat" "%USERPROFILE%\AppData\Local\Temp\OnboardLogs"\RTDC4053\2017-06-11 &amp; aws s3 cp s3://rtdc.mdm.uploadarchive.raw/RTDC4053/ "%USERPROFILE%\AppData\Local\Temp\OnboardLogs"\RTDC4053\2017-06-12 --exclude "*" --recursive --include "*20170612*" &amp; "%USERPROFILE%\Documents\GitHub\mrs-test-scripts\Headless Mode &amp; Sideloading\WalkAndUnGZ.bat" "%USERPROFILE%\AppData\Local\Temp\OnboardLogs"\RTDC4053\2017-06-12</v>
      </c>
      <c r="S12" s="87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-11T21:14:06-0600',mode:absolute,to:'2017-06-12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89" t="str">
        <f t="shared" si="1"/>
        <v>"C:\Program Files (x86)\AstroGrep\AstroGrep.exe" /e /r /s /spath="%USERPROFILE%\AppData\Local\Temp\OnboardLogs" /stypes="*4053*201706120*" /stext=" 04:.+((SYSTEM_STATE.+slice.+state.+changed )|(ment ac)|(multiple cpu faults)|(system.+state.+changed )|(\[timeout)|(PRM\|1\|D)|(kpr)|(kdp)|(train st.+moving)|(\|lc)|(penalty))"</v>
      </c>
      <c r="U12" s="9" t="str">
        <f t="shared" si="2"/>
        <v>4053</v>
      </c>
      <c r="V12" s="31">
        <f t="shared" si="3"/>
        <v>42898.201481481483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arrival","project_id":79,"tracker_id":40,"status_id":1,"priority_id":2,"assigned_to_id":23,"start_date":"2017-06-11","description":"","custom_fields":[{"id":1,"name":"Subdivision","value":"EC"},{"id":4,"name":"Milepost","value":"6.3309"},{"id":17,"name":"Train ID","value":"232-11"},{"id":16,"name":"Locomotive ID","value":"4053"},{"id":130,"name":"Impact","value":""},{"id":150,"name":"Time of Event (Mountain Time)","value":"22:50:08"},{"id":151,"name":"Denver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/cygdrive/c/Users/stu/AppData/Local/Temp/OnboardLogs/RTDC4053 --include="*4053*201706120*"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"%USERPROFILE%\AppData\Local\Temp\OnboardLogs"\RTDC4053\*4053*201706120* &gt;&gt; 2017-06-11-SliceDisagreementCheck.txt</v>
      </c>
      <c r="AE12" s="148" t="str">
        <f t="shared" si="9"/>
        <v>start /low /b %USERPROFILE%\Documents\GitHub\eaglep3\Utilities\DownloadLogsFromS3.py --loco 4053 --day 2017-06-12</v>
      </c>
    </row>
    <row r="13" spans="1:32" s="1" customFormat="1" x14ac:dyDescent="0.25">
      <c r="A13" s="31">
        <v>42897.926608796297</v>
      </c>
      <c r="B13" s="30" t="s">
        <v>419</v>
      </c>
      <c r="C13" s="30" t="s">
        <v>648</v>
      </c>
      <c r="D13" s="30" t="s">
        <v>98</v>
      </c>
      <c r="E13" s="30" t="s">
        <v>189</v>
      </c>
      <c r="F13" s="42">
        <v>360</v>
      </c>
      <c r="G13" s="42">
        <v>419</v>
      </c>
      <c r="H13" s="42">
        <v>108962</v>
      </c>
      <c r="I13" s="42">
        <v>107360</v>
      </c>
      <c r="J13" s="30" t="s">
        <v>190</v>
      </c>
      <c r="K13" s="42">
        <v>109135</v>
      </c>
      <c r="L13" s="134" t="s">
        <v>51</v>
      </c>
      <c r="M13" s="135">
        <f t="shared" si="0"/>
        <v>-937.2</v>
      </c>
      <c r="N13" s="136" t="str">
        <f>VLOOKUP(C13,'Trips&amp;Operators'!$C$1:$G$99999,5,FALSE)</f>
        <v>STAMBAUGH JAMES</v>
      </c>
      <c r="O13" s="210" t="s">
        <v>182</v>
      </c>
      <c r="P13" s="137" t="s">
        <v>401</v>
      </c>
      <c r="Q13" s="30"/>
      <c r="R13" s="84" t="str">
        <f>VLOOKUP(C13,'Train Runs'!$A$13:$AE$9931,31,0)</f>
        <v>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 &amp; aws s3 cp s3://rtdc.mdm.uploadarchive.raw/RTDC4041/ "%USERPROFILE%\AppData\Local\Temp\OnboardLogs"\RTDC4041\2017-06-12 --exclude "*" --recursive --include "*20170612*" &amp; "%USERPROFILE%\Documents\GitHub\mrs-test-scripts\Headless Mode &amp; Sideloading\WalkAndUnGZ.bat" "%USERPROFILE%\AppData\Local\Temp\OnboardLogs"\RTDC4041\2017-06-12</v>
      </c>
      <c r="S13" s="87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-11T20:54:09-0600',mode:absolute,to:'2017-06-11T23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89" t="str">
        <f t="shared" si="1"/>
        <v>"C:\Program Files (x86)\AstroGrep\AstroGrep.exe" /e /r /s /spath="%USERPROFILE%\AppData\Local\Temp\OnboardLogs" /stypes="*4041*201706120*" /stext=" 04:.+((SYSTEM_STATE.+slice.+state.+changed )|(ment ac)|(multiple cpu faults)|(system.+state.+changed )|(\[timeout)|(PRM\|1\|D)|(kpr)|(kdp)|(train st.+moving)|(\|lc)|(penalty))"</v>
      </c>
      <c r="U13" s="9" t="str">
        <f t="shared" si="2"/>
        <v>4041</v>
      </c>
      <c r="V13" s="31">
        <f t="shared" si="3"/>
        <v>42898.176608796297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arrival","project_id":79,"tracker_id":40,"status_id":1,"priority_id":2,"assigned_to_id":23,"start_date":"2017-06-11","description":"","custom_fields":[{"id":1,"name":"Subdivision","value":"EC"},{"id":4,"name":"Milepost","value":"10.9135"},{"id":17,"name":"Train ID","value":"230-11"},{"id":16,"name":"Locomotive ID","value":"4041"},{"id":130,"name":"Impact","value":""},{"id":150,"name":"Time of Event (Mountain Time)","value":"22:14:19"},{"id":151,"name":"Denver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/cygdrive/c/Users/stu/AppData/Local/Temp/OnboardLogs/RTDC4041 --include="*4041*201706120*"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"%USERPROFILE%\AppData\Local\Temp\OnboardLogs"\RTDC4041\*4041*201706120* &gt;&gt; 2017-06-11-SliceDisagreementCheck.txt</v>
      </c>
      <c r="AE13" s="148" t="str">
        <f t="shared" si="9"/>
        <v>start /low /b %USERPROFILE%\Documents\GitHub\eaglep3\Utilities\DownloadLogsFromS3.py --loco 4041 --day 2017-06-12</v>
      </c>
    </row>
    <row r="14" spans="1:32" x14ac:dyDescent="0.25">
      <c r="A14" s="31">
        <v>42897.271284722221</v>
      </c>
      <c r="B14" s="30" t="s">
        <v>377</v>
      </c>
      <c r="C14" s="30" t="s">
        <v>621</v>
      </c>
      <c r="D14" s="30" t="s">
        <v>98</v>
      </c>
      <c r="E14" s="30" t="s">
        <v>202</v>
      </c>
      <c r="F14" s="42">
        <v>150</v>
      </c>
      <c r="G14" s="42">
        <v>205</v>
      </c>
      <c r="H14" s="42">
        <v>1247</v>
      </c>
      <c r="I14" s="42">
        <v>1621</v>
      </c>
      <c r="J14" s="30" t="s">
        <v>203</v>
      </c>
      <c r="K14" s="42">
        <v>0</v>
      </c>
      <c r="L14" s="134" t="s">
        <v>50</v>
      </c>
      <c r="M14" s="135">
        <f t="shared" si="0"/>
        <v>-855.88800000000003</v>
      </c>
      <c r="N14" s="136" t="str">
        <f>VLOOKUP(C14,'Trips&amp;Operators'!$C$1:$G$99999,5,FALSE)</f>
        <v>GEBRETEKLE DAGNEW</v>
      </c>
      <c r="O14" s="210" t="s">
        <v>182</v>
      </c>
      <c r="P14" s="137"/>
      <c r="Q14" s="30"/>
      <c r="R14" s="84" t="str">
        <f>VLOOKUP(C14,'Train Runs'!$A$13:$AE$9931,31,0)</f>
        <v>aws s3 cp s3://rtdc.mdm.uploadarchive.raw/RTDC4040/ "%USERPROFILE%\AppData\Local\Temp\OnboardLogs"\RTDC4040\2017-06-11 --exclude "*" --recursive --include "*20170611*" &amp; "%USERPROFILE%\Documents\GitHub\mrs-test-scripts\Headless Mode &amp; Sideloading\WalkAndUnGZ.bat" "%USERPROFILE%\AppData\Local\Temp\OnboardLogs"\RTDC4040\2017-06-11 &amp; 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</v>
      </c>
      <c r="S14" s="87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-11T05:22:37-0600',mode:absolute,to:'2017-06-11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9" t="str">
        <f t="shared" si="1"/>
        <v>"C:\Program Files (x86)\AstroGrep\AstroGrep.exe" /e /r /s /spath="%USERPROFILE%\AppData\Local\Temp\OnboardLogs" /stypes="*4040*201706111*"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42897.521284722221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{"issue":{"subject":"","project_id":79,"tracker_id":40,"status_id":1,"priority_id":2,"assigned_to_id":23,"start_date":"2017-06-11","description":"","custom_fields":[{"id":1,"name":"Subdivision","value":"EC"},{"id":4,"name":"Milepost","value":"0"},{"id":17,"name":"Train ID","value":"123-11"},{"id":16,"name":"Locomotive ID","value":"4040"},{"id":130,"name":"Impact","value":""},{"id":150,"name":"Time of Event (Mountain Time)","value":"06:30:39"},{"id":151,"name":"Denver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/cygdrive/c/Users/stu/AppData/Local/Temp/OnboardLogs/RTDC4040 --include="*4040*201706111*"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"%USERPROFILE%\AppData\Local\Temp\OnboardLogs"\RTDC4040\*4040*201706111* &gt;&gt; 2017-06-11-SliceDisagreementCheck.txt</v>
      </c>
      <c r="AE14" s="148" t="str">
        <f t="shared" si="9"/>
        <v>start /low /b %USERPROFILE%\Documents\GitHub\eaglep3\Utilities\DownloadLogsFromS3.py --loco 4040 --day 2017-06-11</v>
      </c>
      <c r="AF14" s="1"/>
    </row>
    <row r="15" spans="1:32" x14ac:dyDescent="0.25">
      <c r="A15" s="31">
        <v>42897.792974537035</v>
      </c>
      <c r="B15" s="30" t="s">
        <v>402</v>
      </c>
      <c r="C15" s="30" t="s">
        <v>646</v>
      </c>
      <c r="D15" s="30" t="s">
        <v>49</v>
      </c>
      <c r="E15" s="30" t="s">
        <v>202</v>
      </c>
      <c r="F15" s="42">
        <v>200</v>
      </c>
      <c r="G15" s="42">
        <v>341</v>
      </c>
      <c r="H15" s="42">
        <v>6960</v>
      </c>
      <c r="I15" s="42">
        <v>6109</v>
      </c>
      <c r="J15" s="30" t="s">
        <v>203</v>
      </c>
      <c r="K15" s="42">
        <v>5457</v>
      </c>
      <c r="L15" s="134" t="s">
        <v>51</v>
      </c>
      <c r="M15" s="135">
        <f t="shared" si="0"/>
        <v>344.25599999999997</v>
      </c>
      <c r="N15" s="136" t="str">
        <f>VLOOKUP(C15,'Trips&amp;Operators'!$C$1:$G$99999,5,FALSE)</f>
        <v>DELGADO DIANAH</v>
      </c>
      <c r="O15" s="210" t="s">
        <v>182</v>
      </c>
      <c r="P15" s="137"/>
      <c r="Q15" s="30"/>
      <c r="R15" s="84" t="str">
        <f>VLOOKUP(C15,'Train Runs'!$A$13:$AE$9931,31,0)</f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S15" s="87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-11T17:19:31-0600',mode:absolute,to:'2017-06-11T20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9" t="str">
        <f t="shared" si="1"/>
        <v>"C:\Program Files (x86)\AstroGrep\AstroGrep.exe" /e /r /s /spath="%USERPROFILE%\AppData\Local\Temp\OnboardLogs" /stypes="*4049*201706120*"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4049</v>
      </c>
      <c r="V15" s="31">
        <f t="shared" si="3"/>
        <v>42898.042974537035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{"issue":{"subject":"","project_id":79,"tracker_id":40,"status_id":1,"priority_id":2,"assigned_to_id":23,"start_date":"2017-06-11","description":"","custom_fields":[{"id":1,"name":"Subdivision","value":"EC"},{"id":4,"name":"Milepost","value":"0.5457"},{"id":17,"name":"Train ID","value":"212-11"},{"id":16,"name":"Locomotive ID","value":"4049"},{"id":130,"name":"Impact","value":""},{"id":150,"name":"Time of Event (Mountain Time)","value":"19:01:53"},{"id":151,"name":"Denver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/cygdrive/c/Users/stu/AppData/Local/Temp/OnboardLogs/RTDC4049 --include="*4049*201706120*"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"%USERPROFILE%\AppData\Local\Temp\OnboardLogs"\RTDC4049\*4049*201706120* &gt;&gt; 2017-06-11-SliceDisagreementCheck.txt</v>
      </c>
      <c r="AE15" s="148" t="str">
        <f t="shared" si="9"/>
        <v>start /low /b %USERPROFILE%\Documents\GitHub\eaglep3\Utilities\DownloadLogsFromS3.py --loco 4049 --day 2017-06-12</v>
      </c>
      <c r="AF15" s="1"/>
    </row>
    <row r="16" spans="1:32" x14ac:dyDescent="0.25">
      <c r="A16" s="31">
        <v>42897.522256944445</v>
      </c>
      <c r="B16" s="30" t="s">
        <v>629</v>
      </c>
      <c r="C16" s="30" t="s">
        <v>630</v>
      </c>
      <c r="D16" s="30" t="s">
        <v>49</v>
      </c>
      <c r="E16" s="30" t="s">
        <v>202</v>
      </c>
      <c r="F16" s="42">
        <v>450</v>
      </c>
      <c r="G16" s="42">
        <v>506</v>
      </c>
      <c r="H16" s="42">
        <v>17291</v>
      </c>
      <c r="I16" s="42">
        <v>14009</v>
      </c>
      <c r="J16" s="30" t="s">
        <v>203</v>
      </c>
      <c r="K16" s="42">
        <v>15167</v>
      </c>
      <c r="L16" s="134" t="s">
        <v>51</v>
      </c>
      <c r="M16" s="135">
        <f t="shared" si="0"/>
        <v>-611.42399999999998</v>
      </c>
      <c r="N16" s="136" t="str">
        <f>VLOOKUP(C16,'Trips&amp;Operators'!$C$1:$G$99999,5,FALSE)</f>
        <v>MACDONALD THOMAS</v>
      </c>
      <c r="O16" s="210" t="s">
        <v>182</v>
      </c>
      <c r="P16" s="137"/>
      <c r="Q16" s="30"/>
      <c r="R16" s="84" t="str">
        <f>VLOOKUP(C16,'Train Runs'!$A$13:$AE$9931,31,0)</f>
        <v>aws s3 cp s3://rtdc.mdm.uploadarchive.raw/RTDC4009/ "%USERPROFILE%\AppData\Local\Temp\OnboardLogs"\RTDC4009\2017-06-11 --exclude "*" --recursive --include "*20170611*" &amp; "%USERPROFILE%\Documents\GitHub\mrs-test-scripts\Headless Mode &amp; Sideloading\WalkAndUnGZ.bat" "%USERPROFILE%\AppData\Local\Temp\OnboardLogs"\RTDC4009\2017-06-11 &amp; aws s3 cp s3://rtdc.mdm.uploadarchive.raw/RTDC4009/ "%USERPROFILE%\AppData\Local\Temp\OnboardLogs"\RTDC4009\2017-06-12 --exclude "*" --recursive --include "*20170612*" &amp; "%USERPROFILE%\Documents\GitHub\mrs-test-scripts\Headless Mode &amp; Sideloading\WalkAndUnGZ.bat" "%USERPROFILE%\AppData\Local\Temp\OnboardLogs"\RTDC4009\2017-06-12</v>
      </c>
      <c r="S16" s="87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-11T10:48:07-0600',mode:absolute,to:'2017-06-11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9" t="str">
        <f t="shared" si="1"/>
        <v>"C:\Program Files (x86)\AstroGrep\AstroGrep.exe" /e /r /s /spath="%USERPROFILE%\AppData\Local\Temp\OnboardLogs" /stypes="*4009*201706111*"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4009</v>
      </c>
      <c r="V16" s="31">
        <f t="shared" si="3"/>
        <v>42897.772256944445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{"issue":{"subject":"","project_id":79,"tracker_id":40,"status_id":1,"priority_id":2,"assigned_to_id":23,"start_date":"2017-06-11","description":"","custom_fields":[{"id":1,"name":"Subdivision","value":"EC"},{"id":4,"name":"Milepost","value":"1.5167"},{"id":17,"name":"Train ID","value":"160-11"},{"id":16,"name":"Locomotive ID","value":"4009"},{"id":130,"name":"Impact","value":""},{"id":150,"name":"Time of Event (Mountain Time)","value":"12:32:03"},{"id":151,"name":"Denver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/cygdrive/c/Users/stu/AppData/Local/Temp/OnboardLogs/RTDC4009 --include="*4009*201706111*"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"%USERPROFILE%\AppData\Local\Temp\OnboardLogs"\RTDC4009\*4009*201706111* &gt;&gt; 2017-06-11-SliceDisagreementCheck.txt</v>
      </c>
      <c r="AE16" s="148" t="str">
        <f t="shared" si="9"/>
        <v>start /low /b %USERPROFILE%\Documents\GitHub\eaglep3\Utilities\DownloadLogsFromS3.py --loco 4009 --day 2017-06-11</v>
      </c>
      <c r="AF16" s="1"/>
    </row>
    <row r="17" spans="1:32" x14ac:dyDescent="0.25">
      <c r="A17" s="31">
        <v>42897.473020833335</v>
      </c>
      <c r="B17" s="30" t="s">
        <v>626</v>
      </c>
      <c r="C17" s="30" t="s">
        <v>627</v>
      </c>
      <c r="D17" s="30" t="s">
        <v>49</v>
      </c>
      <c r="E17" s="30" t="s">
        <v>202</v>
      </c>
      <c r="F17" s="42">
        <v>400</v>
      </c>
      <c r="G17" s="42">
        <v>705</v>
      </c>
      <c r="H17" s="42">
        <v>113225</v>
      </c>
      <c r="I17" s="42">
        <v>115976</v>
      </c>
      <c r="J17" s="30" t="s">
        <v>203</v>
      </c>
      <c r="K17" s="42">
        <v>116838</v>
      </c>
      <c r="L17" s="134" t="s">
        <v>50</v>
      </c>
      <c r="M17" s="135">
        <f t="shared" si="0"/>
        <v>455.13600000000002</v>
      </c>
      <c r="N17" s="136" t="str">
        <f>VLOOKUP(C17,'Trips&amp;Operators'!$C$1:$G$99999,5,FALSE)</f>
        <v>MACDONALD THOMAS</v>
      </c>
      <c r="O17" s="210" t="s">
        <v>182</v>
      </c>
      <c r="P17" s="137"/>
      <c r="Q17" s="30"/>
      <c r="R17" s="84" t="str">
        <f>VLOOKUP(C17,'Train Runs'!$A$13:$AE$9931,31,0)</f>
        <v>aws s3 cp s3://rtdc.mdm.uploadarchive.raw/RTDC4010/ "%USERPROFILE%\AppData\Local\Temp\OnboardLogs"\RTDC4010\2017-06-11 --exclude "*" --recursive --include "*20170611*" &amp; "%USERPROFILE%\Documents\GitHub\mrs-test-scripts\Headless Mode &amp; Sideloading\WalkAndUnGZ.bat" "%USERPROFILE%\AppData\Local\Temp\OnboardLogs"\RTDC4010\2017-06-11 &amp; aws s3 cp s3://rtdc.mdm.uploadarchive.raw/RTDC4010/ "%USERPROFILE%\AppData\Local\Temp\OnboardLogs"\RTDC4010\2017-06-12 --exclude "*" --recursive --include "*20170612*" &amp; "%USERPROFILE%\Documents\GitHub\mrs-test-scripts\Headless Mode &amp; Sideloading\WalkAndUnGZ.bat" "%USERPROFILE%\AppData\Local\Temp\OnboardLogs"\RTDC4010\2017-06-12</v>
      </c>
      <c r="S17" s="87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-11T09:56:16-0600',mode:absolute,to:'2017-06-11T12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89" t="str">
        <f t="shared" si="1"/>
        <v>"C:\Program Files (x86)\AstroGrep\AstroGrep.exe" /e /r /s /spath="%USERPROFILE%\AppData\Local\Temp\OnboardLogs" /stypes="*4010*201706111*"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4010</v>
      </c>
      <c r="V17" s="31">
        <f t="shared" si="3"/>
        <v>42897.723020833335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{"issue":{"subject":"","project_id":79,"tracker_id":40,"status_id":1,"priority_id":2,"assigned_to_id":23,"start_date":"2017-06-11","description":"","custom_fields":[{"id":1,"name":"Subdivision","value":"EC"},{"id":4,"name":"Milepost","value":"11.6838"},{"id":17,"name":"Train ID","value":"159-11"},{"id":16,"name":"Locomotive ID","value":"4010"},{"id":130,"name":"Impact","value":""},{"id":150,"name":"Time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/cygdrive/c/Users/stu/AppData/Local/Temp/OnboardLogs/RTDC4010 --include="*4010*201706111*"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"%USERPROFILE%\AppData\Local\Temp\OnboardLogs"\RTDC4010\*4010*201706111* &gt;&gt; 2017-06-11-SliceDisagreementCheck.txt</v>
      </c>
      <c r="AE17" s="148" t="str">
        <f t="shared" si="9"/>
        <v>start /low /b %USERPROFILE%\Documents\GitHub\eaglep3\Utilities\DownloadLogsFromS3.py --loco 4010 --day 2017-06-11</v>
      </c>
      <c r="AF17" s="1"/>
    </row>
    <row r="18" spans="1:32" x14ac:dyDescent="0.25">
      <c r="A18" s="31">
        <v>42897.409259259257</v>
      </c>
      <c r="B18" s="30" t="s">
        <v>402</v>
      </c>
      <c r="C18" s="30" t="s">
        <v>624</v>
      </c>
      <c r="D18" s="30" t="s">
        <v>98</v>
      </c>
      <c r="E18" s="30" t="s">
        <v>202</v>
      </c>
      <c r="F18" s="42">
        <v>700</v>
      </c>
      <c r="G18" s="42">
        <v>752</v>
      </c>
      <c r="H18" s="42">
        <v>179401</v>
      </c>
      <c r="I18" s="42">
        <v>175880</v>
      </c>
      <c r="J18" s="30" t="s">
        <v>203</v>
      </c>
      <c r="K18" s="42">
        <v>183829</v>
      </c>
      <c r="L18" s="134" t="s">
        <v>51</v>
      </c>
      <c r="M18" s="135">
        <f t="shared" si="0"/>
        <v>-4197.0720000000001</v>
      </c>
      <c r="N18" s="136" t="str">
        <f>VLOOKUP(C18,'Trips&amp;Operators'!$C$1:$G$99999,5,FALSE)</f>
        <v>GUZMAN DANNY</v>
      </c>
      <c r="O18" s="210" t="s">
        <v>182</v>
      </c>
      <c r="P18" s="137"/>
      <c r="Q18" s="30"/>
      <c r="R18" s="84" t="str">
        <f>VLOOKUP(C18,'Train Runs'!$A$13:$AE$9931,31,0)</f>
        <v>aws s3 cp s3://rtdc.mdm.uploadarchive.raw/RTDC4049/ "%USERPROFILE%\AppData\Local\Temp\OnboardLogs"\RTDC4049\2017-06-11 --exclude "*" --recursive --include "*20170611*" &amp; "%USERPROFILE%\Documents\GitHub\mrs-test-scripts\Headless Mode &amp; Sideloading\WalkAndUnGZ.bat" "%USERPROFILE%\AppData\Local\Temp\OnboardLogs"\RTDC4049\2017-06-11 &amp; 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</v>
      </c>
      <c r="S18" s="87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-11T08:35:06-0600',mode:absolute,to:'2017-06-11T11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89" t="str">
        <f t="shared" si="1"/>
        <v>"C:\Program Files (x86)\AstroGrep\AstroGrep.exe" /e /r /s /spath="%USERPROFILE%\AppData\Local\Temp\OnboardLogs" /stypes="*4049*201706111*"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4049</v>
      </c>
      <c r="V18" s="31">
        <f t="shared" si="3"/>
        <v>42897.659259259257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{"issue":{"subject":"","project_id":79,"tracker_id":40,"status_id":1,"priority_id":2,"assigned_to_id":23,"start_date":"2017-06-11","description":"","custom_fields":[{"id":1,"name":"Subdivision","value":"EC"},{"id":4,"name":"Milepost","value":"18.3829"},{"id":17,"name":"Train ID","value":"142-11"},{"id":16,"name":"Locomotive ID","value":"4049"},{"id":130,"name":"Impact","value":""},{"id":150,"name":"Time of Event (Mountain Time)","value":"09:49:20"},{"id":151,"name":"Denver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/cygdrive/c/Users/stu/AppData/Local/Temp/OnboardLogs/RTDC4049 --include="*4049*201706111*"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"%USERPROFILE%\AppData\Local\Temp\OnboardLogs"\RTDC4049\*4049*201706111* &gt;&gt; 2017-06-11-SliceDisagreementCheck.txt</v>
      </c>
      <c r="AE18" s="148" t="str">
        <f t="shared" si="9"/>
        <v>start /low /b %USERPROFILE%\Documents\GitHub\eaglep3\Utilities\DownloadLogsFromS3.py --loco 4049 --day 2017-06-11</v>
      </c>
      <c r="AF18" s="1"/>
    </row>
    <row r="19" spans="1:32" x14ac:dyDescent="0.25">
      <c r="A19" s="31">
        <v>42897.546238425923</v>
      </c>
      <c r="B19" s="30" t="s">
        <v>453</v>
      </c>
      <c r="C19" s="30" t="s">
        <v>631</v>
      </c>
      <c r="D19" s="30" t="s">
        <v>49</v>
      </c>
      <c r="E19" s="30" t="s">
        <v>183</v>
      </c>
      <c r="F19" s="42">
        <v>0</v>
      </c>
      <c r="G19" s="42">
        <v>52</v>
      </c>
      <c r="H19" s="42">
        <v>167</v>
      </c>
      <c r="I19" s="42">
        <v>125</v>
      </c>
      <c r="J19" s="30" t="s">
        <v>184</v>
      </c>
      <c r="K19" s="42">
        <v>1</v>
      </c>
      <c r="L19" s="134" t="s">
        <v>51</v>
      </c>
      <c r="M19" s="135">
        <f t="shared" si="0"/>
        <v>65.471999999999994</v>
      </c>
      <c r="N19" s="136" t="str">
        <f>VLOOKUP(C19,'Trips&amp;Operators'!$C$1:$G$99999,5,FALSE)</f>
        <v>BRANDNER MELINDA</v>
      </c>
      <c r="O19" s="210" t="s">
        <v>182</v>
      </c>
      <c r="P19" s="137"/>
      <c r="Q19" s="30"/>
      <c r="R19" s="84" t="str">
        <f>VLOOKUP(C19,'Train Runs'!$A$13:$AE$9931,31,0)</f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S19" s="87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-11T11:22:59-0600',mode:absolute,to:'2017-06-11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9" t="str">
        <f t="shared" si="1"/>
        <v>"C:\Program Files (x86)\AstroGrep\AstroGrep.exe" /e /r /s /spath="%USERPROFILE%\AppData\Local\Temp\OnboardLogs" /stypes="*4001*201706111*"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42897.796238425923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{"issue":{"subject":"","project_id":79,"tracker_id":40,"status_id":1,"priority_id":2,"assigned_to_id":23,"start_date":"2017-06-11","description":"","custom_fields":[{"id":1,"name":"Subdivision","value":"EC"},{"id":4,"name":"Milepost","value":"0.0001"},{"id":17,"name":"Train ID","value":"164-11"},{"id":16,"name":"Locomotive ID","value":"4001"},{"id":130,"name":"Impact","value":""},{"id":150,"name":"Time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/cygdrive/c/Users/stu/AppData/Local/Temp/OnboardLogs/RTDC4001 --include="*4001*201706111*"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"%USERPROFILE%\AppData\Local\Temp\OnboardLogs"\RTDC4001\*4001*201706111* &gt;&gt; 2017-06-11-SliceDisagreementCheck.txt</v>
      </c>
      <c r="AE19" s="148" t="str">
        <f t="shared" si="9"/>
        <v>start /low /b %USERPROFILE%\Documents\GitHub\eaglep3\Utilities\DownloadLogsFromS3.py --loco 4001 --day 2017-06-11</v>
      </c>
      <c r="AF19" s="1"/>
    </row>
    <row r="20" spans="1:32" x14ac:dyDescent="0.25">
      <c r="A20" s="31">
        <v>42897.618831018517</v>
      </c>
      <c r="B20" s="30" t="s">
        <v>453</v>
      </c>
      <c r="C20" s="30" t="s">
        <v>634</v>
      </c>
      <c r="D20" s="30" t="s">
        <v>49</v>
      </c>
      <c r="E20" s="30" t="s">
        <v>183</v>
      </c>
      <c r="F20" s="42">
        <v>0</v>
      </c>
      <c r="G20" s="42">
        <v>68</v>
      </c>
      <c r="H20" s="42">
        <v>212</v>
      </c>
      <c r="I20" s="42">
        <v>147</v>
      </c>
      <c r="J20" s="30" t="s">
        <v>184</v>
      </c>
      <c r="K20" s="42">
        <v>1</v>
      </c>
      <c r="L20" s="134" t="s">
        <v>51</v>
      </c>
      <c r="M20" s="135">
        <f t="shared" si="0"/>
        <v>77.087999999999994</v>
      </c>
      <c r="N20" s="136" t="str">
        <f>VLOOKUP(C20,'Trips&amp;Operators'!$C$1:$G$99999,5,FALSE)</f>
        <v>BRANDNER MELINDA</v>
      </c>
      <c r="O20" s="210" t="s">
        <v>182</v>
      </c>
      <c r="P20" s="137"/>
      <c r="Q20" s="30"/>
      <c r="R20" s="84" t="str">
        <f>VLOOKUP(C20,'Train Runs'!$A$13:$AE$9931,31,0)</f>
        <v>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 &amp; aws s3 cp s3://rtdc.mdm.uploadarchive.raw/RTDC4001/ "%USERPROFILE%\AppData\Local\Temp\OnboardLogs"\RTDC4001\2017-06-12 --exclude "*" --recursive --include "*20170612*" &amp; "%USERPROFILE%\Documents\GitHub\mrs-test-scripts\Headless Mode &amp; Sideloading\WalkAndUnGZ.bat" "%USERPROFILE%\AppData\Local\Temp\OnboardLogs"\RTDC4001\2017-06-12</v>
      </c>
      <c r="S20" s="87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-11T13:10:03-0600',mode:absolute,to:'2017-06-11T15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9" t="str">
        <f t="shared" si="1"/>
        <v>"C:\Program Files (x86)\AstroGrep\AstroGrep.exe" /e /r /s /spath="%USERPROFILE%\AppData\Local\Temp\OnboardLogs" /stypes="*4001*201706112*"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4001</v>
      </c>
      <c r="V20" s="31">
        <f t="shared" si="3"/>
        <v>42897.868831018517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{"issue":{"subject":"","project_id":79,"tracker_id":40,"status_id":1,"priority_id":2,"assigned_to_id":23,"start_date":"2017-06-11","description":"","custom_fields":[{"id":1,"name":"Subdivision","value":"EC"},{"id":4,"name":"Milepost","value":"0.0001"},{"id":17,"name":"Train ID","value":"178-11"},{"id":16,"name":"Locomotive ID","value":"4001"},{"id":130,"name":"Impact","value":""},{"id":150,"name":"Time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/cygdrive/c/Users/stu/AppData/Local/Temp/OnboardLogs/RTDC4001 --include="*4001*201706112*"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"%USERPROFILE%\AppData\Local\Temp\OnboardLogs"\RTDC4001\*4001*201706112* &gt;&gt; 2017-06-11-SliceDisagreementCheck.txt</v>
      </c>
      <c r="AE20" s="148" t="str">
        <f t="shared" si="9"/>
        <v>start /low /b %USERPROFILE%\Documents\GitHub\eaglep3\Utilities\DownloadLogsFromS3.py --loco 4001 --day 2017-06-11</v>
      </c>
      <c r="AF20" s="1"/>
    </row>
    <row r="21" spans="1:32" x14ac:dyDescent="0.25">
      <c r="A21" s="31">
        <v>42897.393912037034</v>
      </c>
      <c r="B21" s="30" t="s">
        <v>403</v>
      </c>
      <c r="C21" s="30" t="s">
        <v>623</v>
      </c>
      <c r="D21" s="30" t="s">
        <v>49</v>
      </c>
      <c r="E21" s="30" t="s">
        <v>183</v>
      </c>
      <c r="F21" s="42">
        <v>0</v>
      </c>
      <c r="G21" s="42">
        <v>64</v>
      </c>
      <c r="H21" s="42">
        <v>233255</v>
      </c>
      <c r="I21" s="42">
        <v>233300</v>
      </c>
      <c r="J21" s="30" t="s">
        <v>184</v>
      </c>
      <c r="K21" s="42">
        <v>233491</v>
      </c>
      <c r="L21" s="134" t="s">
        <v>50</v>
      </c>
      <c r="M21" s="135">
        <f t="shared" si="0"/>
        <v>100.848</v>
      </c>
      <c r="N21" s="136" t="str">
        <f>VLOOKUP(C21,'Trips&amp;Operators'!$C$1:$G$99999,5,FALSE)</f>
        <v>GUZMAN DANNY</v>
      </c>
      <c r="O21" s="210" t="s">
        <v>182</v>
      </c>
      <c r="P21" s="137"/>
      <c r="Q21" s="30"/>
      <c r="R21" s="84" t="str">
        <f>VLOOKUP(C21,'Train Runs'!$A$13:$AE$9931,31,0)</f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S21" s="87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-11T07:39:39-0600',mode:absolute,to:'2017-06-11T10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9" t="str">
        <f t="shared" si="1"/>
        <v>"C:\Program Files (x86)\AstroGrep\AstroGrep.exe" /e /r /s /spath="%USERPROFILE%\AppData\Local\Temp\OnboardLogs" /stypes="*4050*201706111*"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42897.643912037034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{"issue":{"subject":"","project_id":79,"tracker_id":40,"status_id":1,"priority_id":2,"assigned_to_id":23,"start_date":"2017-06-11","description":"","custom_fields":[{"id":1,"name":"Subdivision","value":"EC"},{"id":4,"name":"Milepost","value":"23.3491"},{"id":17,"name":"Train ID","value":"141-11"},{"id":16,"name":"Locomotive ID","value":"4050"},{"id":130,"name":"Impact","value":""},{"id":150,"name":"Time of Event (Mountain Time)","value":"09:27:14"},{"id":151,"name":"Denver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/cygdrive/c/Users/stu/AppData/Local/Temp/OnboardLogs/RTDC4050 --include="*4050*201706111*"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"%USERPROFILE%\AppData\Local\Temp\OnboardLogs"\RTDC4050\*4050*201706111* &gt;&gt; 2017-06-11-SliceDisagreementCheck.txt</v>
      </c>
      <c r="AE21" s="148" t="str">
        <f t="shared" si="9"/>
        <v>start /low /b %USERPROFILE%\Documents\GitHub\eaglep3\Utilities\DownloadLogsFromS3.py --loco 4050 --day 2017-06-11</v>
      </c>
      <c r="AF21" s="1"/>
    </row>
    <row r="22" spans="1:32" x14ac:dyDescent="0.25">
      <c r="A22" s="31">
        <v>42897.506018518521</v>
      </c>
      <c r="B22" s="30" t="s">
        <v>454</v>
      </c>
      <c r="C22" s="30" t="s">
        <v>628</v>
      </c>
      <c r="D22" s="30" t="s">
        <v>49</v>
      </c>
      <c r="E22" s="30" t="s">
        <v>183</v>
      </c>
      <c r="F22" s="42">
        <v>0</v>
      </c>
      <c r="G22" s="42">
        <v>20</v>
      </c>
      <c r="H22" s="42">
        <v>233449</v>
      </c>
      <c r="I22" s="42">
        <v>233460</v>
      </c>
      <c r="J22" s="30" t="s">
        <v>184</v>
      </c>
      <c r="K22" s="42">
        <v>233491</v>
      </c>
      <c r="L22" s="134" t="s">
        <v>50</v>
      </c>
      <c r="M22" s="135">
        <f t="shared" si="0"/>
        <v>16.367999999999999</v>
      </c>
      <c r="N22" s="136" t="str">
        <f>VLOOKUP(C22,'Trips&amp;Operators'!$C$1:$G$99999,5,FALSE)</f>
        <v>BRANDNER MELINDA</v>
      </c>
      <c r="O22" s="210" t="s">
        <v>182</v>
      </c>
      <c r="P22" s="137"/>
      <c r="Q22" s="30"/>
      <c r="R22" s="84" t="str">
        <f>VLOOKUP(C22,'Train Runs'!$A$13:$AE$9931,31,0)</f>
        <v>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 &amp; 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</v>
      </c>
      <c r="S22" s="87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-11T10:23:00-0600',mode:absolute,to:'2017-06-11T13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2" s="89" t="str">
        <f t="shared" si="1"/>
        <v>"C:\Program Files (x86)\AstroGrep\AstroGrep.exe" /e /r /s /spath="%USERPROFILE%\AppData\Local\Temp\OnboardLogs" /stypes="*4002*201706111*"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4002</v>
      </c>
      <c r="V22" s="31">
        <f t="shared" si="3"/>
        <v>42897.756018518521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{"issue":{"subject":"","project_id":79,"tracker_id":40,"status_id":1,"priority_id":2,"assigned_to_id":23,"start_date":"2017-06-11","description":"","custom_fields":[{"id":1,"name":"Subdivision","value":"EC"},{"id":4,"name":"Milepost","value":"23.3491"},{"id":17,"name":"Train ID","value":"163-11"},{"id":16,"name":"Locomotive ID","value":"4002"},{"id":130,"name":"Impact","value":""},{"id":150,"name":"Time of Event (Mountain Time)","value":"12:08:40"},{"id":151,"name":"Denver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/cygdrive/c/Users/stu/AppData/Local/Temp/OnboardLogs/RTDC4002 --include="*4002*201706111*"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"%USERPROFILE%\AppData\Local\Temp\OnboardLogs"\RTDC4002\*4002*201706111* &gt;&gt; 2017-06-11-SliceDisagreementCheck.txt</v>
      </c>
      <c r="AE22" s="148" t="str">
        <f t="shared" si="9"/>
        <v>start /low /b %USERPROFILE%\Documents\GitHub\eaglep3\Utilities\DownloadLogsFromS3.py --loco 4002 --day 2017-06-11</v>
      </c>
      <c r="AF22" s="1"/>
    </row>
    <row r="23" spans="1:32" x14ac:dyDescent="0.25">
      <c r="A23" s="31">
        <v>42897.608460648145</v>
      </c>
      <c r="B23" s="30" t="s">
        <v>403</v>
      </c>
      <c r="C23" s="30" t="s">
        <v>633</v>
      </c>
      <c r="D23" s="30" t="s">
        <v>49</v>
      </c>
      <c r="E23" s="30" t="s">
        <v>183</v>
      </c>
      <c r="F23" s="42">
        <v>0</v>
      </c>
      <c r="G23" s="42">
        <v>35</v>
      </c>
      <c r="H23" s="42">
        <v>233383</v>
      </c>
      <c r="I23" s="42">
        <v>233410</v>
      </c>
      <c r="J23" s="30" t="s">
        <v>184</v>
      </c>
      <c r="K23" s="42">
        <v>233491</v>
      </c>
      <c r="L23" s="134" t="s">
        <v>50</v>
      </c>
      <c r="M23" s="135">
        <f t="shared" si="0"/>
        <v>42.768000000000001</v>
      </c>
      <c r="N23" s="136" t="str">
        <f>VLOOKUP(C23,'Trips&amp;Operators'!$C$1:$G$99999,5,FALSE)</f>
        <v>DELGADO DIANAH</v>
      </c>
      <c r="O23" s="210" t="s">
        <v>182</v>
      </c>
      <c r="P23" s="137"/>
      <c r="Q23" s="30"/>
      <c r="R23" s="84" t="str">
        <f>VLOOKUP(C23,'Train Runs'!$A$13:$AE$9931,31,0)</f>
        <v>aws s3 cp s3://rtdc.mdm.uploadarchive.raw/RTDC4050/ "%USERPROFILE%\AppData\Local\Temp\OnboardLogs"\RTDC4050\2017-06-11 --exclude "*" --recursive --include "*20170611*" &amp; "%USERPROFILE%\Documents\GitHub\mrs-test-scripts\Headless Mode &amp; Sideloading\WalkAndUnGZ.bat" "%USERPROFILE%\AppData\Local\Temp\OnboardLogs"\RTDC4050\2017-06-11 &amp; 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</v>
      </c>
      <c r="S23" s="87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-11T12:55:35-0600',mode:absolute,to:'2017-06-11T15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3" s="89" t="str">
        <f t="shared" si="1"/>
        <v>"C:\Program Files (x86)\AstroGrep\AstroGrep.exe" /e /r /s /spath="%USERPROFILE%\AppData\Local\Temp\OnboardLogs" /stypes="*4050*201706112*"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4050</v>
      </c>
      <c r="V23" s="31">
        <f t="shared" si="3"/>
        <v>42897.858460648145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{"issue":{"subject":"","project_id":79,"tracker_id":40,"status_id":1,"priority_id":2,"assigned_to_id":23,"start_date":"2017-06-11","description":"","custom_fields":[{"id":1,"name":"Subdivision","value":"EC"},{"id":4,"name":"Milepost","value":"23.3491"},{"id":17,"name":"Train ID","value":"183-11"},{"id":16,"name":"Locomotive ID","value":"4050"},{"id":130,"name":"Impact","value":""},{"id":150,"name":"Time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/cygdrive/c/Users/stu/AppData/Local/Temp/OnboardLogs/RTDC4050 --include="*4050*201706112*"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"%USERPROFILE%\AppData\Local\Temp\OnboardLogs"\RTDC4050\*4050*201706112* &gt;&gt; 2017-06-11-SliceDisagreementCheck.txt</v>
      </c>
      <c r="AE23" s="148" t="str">
        <f t="shared" si="9"/>
        <v>start /low /b %USERPROFILE%\Documents\GitHub\eaglep3\Utilities\DownloadLogsFromS3.py --loco 4050 --day 2017-06-11</v>
      </c>
      <c r="AF23" s="1"/>
    </row>
    <row r="24" spans="1:32" x14ac:dyDescent="0.25">
      <c r="A24" s="31">
        <v>42897.743900462963</v>
      </c>
      <c r="B24" s="30" t="s">
        <v>361</v>
      </c>
      <c r="C24" s="30" t="s">
        <v>641</v>
      </c>
      <c r="D24" s="30" t="s">
        <v>49</v>
      </c>
      <c r="E24" s="30" t="s">
        <v>183</v>
      </c>
      <c r="F24" s="42">
        <v>0</v>
      </c>
      <c r="G24" s="42">
        <v>27</v>
      </c>
      <c r="H24" s="42">
        <v>233425</v>
      </c>
      <c r="I24" s="42">
        <v>233448</v>
      </c>
      <c r="J24" s="30" t="s">
        <v>184</v>
      </c>
      <c r="K24" s="42">
        <v>233491</v>
      </c>
      <c r="L24" s="134" t="s">
        <v>50</v>
      </c>
      <c r="M24" s="135">
        <f t="shared" si="0"/>
        <v>22.704000000000001</v>
      </c>
      <c r="N24" s="136" t="str">
        <f>VLOOKUP(C24,'Trips&amp;Operators'!$C$1:$G$99999,5,FALSE)</f>
        <v>STAMBAUGH JAMES</v>
      </c>
      <c r="O24" s="210" t="s">
        <v>182</v>
      </c>
      <c r="P24" s="137"/>
      <c r="Q24" s="30"/>
      <c r="R24" s="84" t="str">
        <f>VLOOKUP(C24,'Train Runs'!$A$13:$AE$9931,31,0)</f>
        <v>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 &amp; aws s3 cp s3://rtdc.mdm.uploadarchive.raw/RTDC4042/ "%USERPROFILE%\AppData\Local\Temp\OnboardLogs"\RTDC4042\2017-06-12 --exclude "*" --recursive --include "*20170612*" &amp; "%USERPROFILE%\Documents\GitHub\mrs-test-scripts\Headless Mode &amp; Sideloading\WalkAndUnGZ.bat" "%USERPROFILE%\AppData\Local\Temp\OnboardLogs"\RTDC4042\2017-06-12</v>
      </c>
      <c r="S24" s="87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-11T16:08:55-0600',mode:absolute,to:'2017-06-11T18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9" t="str">
        <f t="shared" si="1"/>
        <v>"C:\Program Files (x86)\AstroGrep\AstroGrep.exe" /e /r /s /spath="%USERPROFILE%\AppData\Local\Temp\OnboardLogs" /stypes="*4042*201706112*"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4042</v>
      </c>
      <c r="V24" s="31">
        <f t="shared" si="3"/>
        <v>42897.993900462963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{"issue":{"subject":"","project_id":79,"tracker_id":40,"status_id":1,"priority_id":2,"assigned_to_id":23,"start_date":"2017-06-11","description":"","custom_fields":[{"id":1,"name":"Subdivision","value":"EC"},{"id":4,"name":"Milepost","value":"23.3491"},{"id":17,"name":"Train ID","value":"209-11"},{"id":16,"name":"Locomotive ID","value":"4042"},{"id":130,"name":"Impact","value":""},{"id":150,"name":"Time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/cygdrive/c/Users/stu/AppData/Local/Temp/OnboardLogs/RTDC4042 --include="*4042*201706112*"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"%USERPROFILE%\AppData\Local\Temp\OnboardLogs"\RTDC4042\*4042*201706112* &gt;&gt; 2017-06-11-SliceDisagreementCheck.txt</v>
      </c>
      <c r="AE24" s="148" t="str">
        <f t="shared" si="9"/>
        <v>start /low /b %USERPROFILE%\Documents\GitHub\eaglep3\Utilities\DownloadLogsFromS3.py --loco 4042 --day 2017-06-11</v>
      </c>
      <c r="AF24" s="1"/>
    </row>
    <row r="25" spans="1:32" x14ac:dyDescent="0.25">
      <c r="A25" s="31">
        <v>42897.684664351851</v>
      </c>
      <c r="B25" s="30" t="s">
        <v>494</v>
      </c>
      <c r="C25" s="30" t="s">
        <v>638</v>
      </c>
      <c r="D25" s="30" t="s">
        <v>49</v>
      </c>
      <c r="E25" s="30" t="s">
        <v>202</v>
      </c>
      <c r="F25" s="42">
        <v>300</v>
      </c>
      <c r="G25" s="42">
        <v>460</v>
      </c>
      <c r="H25" s="42">
        <v>18865</v>
      </c>
      <c r="I25" s="42">
        <v>20294</v>
      </c>
      <c r="J25" s="30" t="s">
        <v>203</v>
      </c>
      <c r="K25" s="42">
        <v>21299</v>
      </c>
      <c r="L25" s="134" t="s">
        <v>50</v>
      </c>
      <c r="M25" s="135">
        <f t="shared" si="0"/>
        <v>530.64</v>
      </c>
      <c r="N25" s="136" t="str">
        <f>VLOOKUP(C25,'Trips&amp;Operators'!$C$1:$G$99999,5,FALSE)</f>
        <v>HOLCOMB KAMDEN</v>
      </c>
      <c r="O25" s="210" t="s">
        <v>182</v>
      </c>
      <c r="P25" s="137"/>
      <c r="Q25" s="30"/>
      <c r="R25" s="84" t="str">
        <f>VLOOKUP(C25,'Train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25" s="87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-11T15:10:27-0600',mode:absolute,to:'2017-06-11T17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89" t="str">
        <f t="shared" si="1"/>
        <v>"C:\Program Files (x86)\AstroGrep\AstroGrep.exe" /e /r /s /spath="%USERPROFILE%\AppData\Local\Temp\OnboardLogs" /stypes="*4032*201706112*"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42897.934664351851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{"issue":{"subject":"","project_id":79,"tracker_id":40,"status_id":1,"priority_id":2,"assigned_to_id":23,"start_date":"2017-06-11","description":"","custom_fields":[{"id":1,"name":"Subdivision","value":"NW"},{"id":4,"name":"Milepost","value":"2.1299"},{"id":17,"name":"Train ID","value":"1821-11"},{"id":16,"name":"Locomotive ID","value":"4032"},{"id":130,"name":"Impact","value":""},{"id":150,"name":"Time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/cygdrive/c/Users/stu/AppData/Local/Temp/OnboardLogs/RTDC4032 --include="*4032*201706112*"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25" s="148" t="str">
        <f t="shared" si="9"/>
        <v>start /low /b %USERPROFILE%\Documents\GitHub\eaglep3\Utilities\DownloadLogsFromS3.py --loco 4032 --day 2017-06-11</v>
      </c>
      <c r="AF25" s="1"/>
    </row>
    <row r="26" spans="1:32" x14ac:dyDescent="0.25">
      <c r="A26" s="31">
        <v>42897.742002314815</v>
      </c>
      <c r="B26" s="30" t="s">
        <v>491</v>
      </c>
      <c r="C26" s="30" t="s">
        <v>640</v>
      </c>
      <c r="D26" s="30" t="s">
        <v>49</v>
      </c>
      <c r="E26" s="30" t="s">
        <v>202</v>
      </c>
      <c r="F26" s="42">
        <v>300</v>
      </c>
      <c r="G26" s="42">
        <v>489</v>
      </c>
      <c r="H26" s="42">
        <v>25273</v>
      </c>
      <c r="I26" s="42">
        <v>23807</v>
      </c>
      <c r="J26" s="30" t="s">
        <v>203</v>
      </c>
      <c r="K26" s="42">
        <v>23561</v>
      </c>
      <c r="L26" s="134" t="s">
        <v>51</v>
      </c>
      <c r="M26" s="135">
        <f t="shared" si="0"/>
        <v>129.88800000000001</v>
      </c>
      <c r="N26" s="136" t="str">
        <f>VLOOKUP(C26,'Trips&amp;Operators'!$C$1:$G$99999,5,FALSE)</f>
        <v>HOLCOMB KAMDEN</v>
      </c>
      <c r="O26" s="210" t="s">
        <v>182</v>
      </c>
      <c r="P26" s="137"/>
      <c r="Q26" s="30"/>
      <c r="R26" s="84" t="str">
        <f>VLOOKUP(C26,'Train Runs'!$A$13:$AE$9931,31,0)</f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S26" s="87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-11T16:37:52-0600',mode:absolute,to:'2017-06-11T18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9" t="str">
        <f t="shared" si="1"/>
        <v>"C:\Program Files (x86)\AstroGrep\AstroGrep.exe" /e /r /s /spath="%USERPROFILE%\AppData\Local\Temp\OnboardLogs" /stypes="*4031*201706112*"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42897.992002314815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{"issue":{"subject":"","project_id":79,"tracker_id":40,"status_id":1,"priority_id":2,"assigned_to_id":23,"start_date":"2017-06-11","description":"","custom_fields":[{"id":1,"name":"Subdivision","value":"NW"},{"id":4,"name":"Milepost","value":"2.3561"},{"id":17,"name":"Train ID","value":"1824-11"},{"id":16,"name":"Locomotive ID","value":"4031"},{"id":130,"name":"Impact","value":""},{"id":150,"name":"Time of Event (Mountain Time)","value":"17:48:29"},{"id":151,"name":"Denver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/cygdrive/c/Users/stu/AppData/Local/Temp/OnboardLogs/RTDC4031 --include="*4031*201706112*"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"%USERPROFILE%\AppData\Local\Temp\OnboardLogs"\RTDC4031\*4031*201706112* &gt;&gt; 2017-06-11-SliceDisagreementCheck.txt</v>
      </c>
      <c r="AE26" s="148" t="str">
        <f t="shared" si="9"/>
        <v>start /low /b %USERPROFILE%\Documents\GitHub\eaglep3\Utilities\DownloadLogsFromS3.py --loco 4031 --day 2017-06-11</v>
      </c>
      <c r="AF26" s="1"/>
    </row>
    <row r="27" spans="1:32" x14ac:dyDescent="0.25">
      <c r="A27" s="31">
        <v>42897.867071759261</v>
      </c>
      <c r="B27" s="30" t="s">
        <v>491</v>
      </c>
      <c r="C27" s="30" t="s">
        <v>647</v>
      </c>
      <c r="D27" s="30" t="s">
        <v>49</v>
      </c>
      <c r="E27" s="30" t="s">
        <v>202</v>
      </c>
      <c r="F27" s="42">
        <v>300</v>
      </c>
      <c r="G27" s="42">
        <v>415</v>
      </c>
      <c r="H27" s="42">
        <v>25033</v>
      </c>
      <c r="I27" s="42">
        <v>23794</v>
      </c>
      <c r="J27" s="30" t="s">
        <v>203</v>
      </c>
      <c r="K27" s="42">
        <v>23561</v>
      </c>
      <c r="L27" s="134" t="s">
        <v>51</v>
      </c>
      <c r="M27" s="135">
        <f t="shared" si="0"/>
        <v>123.024</v>
      </c>
      <c r="N27" s="136" t="str">
        <f>VLOOKUP(C27,'Trips&amp;Operators'!$C$1:$G$99999,5,FALSE)</f>
        <v>HOLCOMB KAMDEN</v>
      </c>
      <c r="O27" s="210" t="s">
        <v>182</v>
      </c>
      <c r="P27" s="137"/>
      <c r="Q27" s="30"/>
      <c r="R27" s="84" t="str">
        <f>VLOOKUP(C27,'Train Runs'!$A$13:$AE$9931,31,0)</f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S27" s="87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-11T19:36:11-0600',mode:absolute,to:'2017-06-11T21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7" s="89" t="str">
        <f t="shared" si="1"/>
        <v>"C:\Program Files (x86)\AstroGrep\AstroGrep.exe" /e /r /s /spath="%USERPROFILE%\AppData\Local\Temp\OnboardLogs" /stypes="*4031*201706120*"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4031</v>
      </c>
      <c r="V27" s="31">
        <f t="shared" si="3"/>
        <v>42898.117071759261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{"issue":{"subject":"","project_id":79,"tracker_id":40,"status_id":1,"priority_id":2,"assigned_to_id":23,"start_date":"2017-06-11","description":"","custom_fields":[{"id":1,"name":"Subdivision","value":"NW"},{"id":4,"name":"Milepost","value":"2.3561"},{"id":17,"name":"Train ID","value":"1830-11"},{"id":16,"name":"Locomotive ID","value":"4031"},{"id":130,"name":"Impact","value":""},{"id":150,"name":"Time of Event (Mountain Time)","value":"20:48:35"},{"id":151,"name":"Denver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/cygdrive/c/Users/stu/AppData/Local/Temp/OnboardLogs/RTDC4031 --include="*4031*201706120*"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"%USERPROFILE%\AppData\Local\Temp\OnboardLogs"\RTDC4031\*4031*201706120* &gt;&gt; 2017-06-11-SliceDisagreementCheck.txt</v>
      </c>
      <c r="AE27" s="148" t="str">
        <f t="shared" si="9"/>
        <v>start /low /b %USERPROFILE%\Documents\GitHub\eaglep3\Utilities\DownloadLogsFromS3.py --loco 4031 --day 2017-06-12</v>
      </c>
      <c r="AF27" s="1"/>
    </row>
    <row r="28" spans="1:32" x14ac:dyDescent="0.25">
      <c r="A28" s="31">
        <v>42897.60429398148</v>
      </c>
      <c r="B28" s="30" t="s">
        <v>494</v>
      </c>
      <c r="C28" s="30" t="s">
        <v>632</v>
      </c>
      <c r="D28" s="30" t="s">
        <v>49</v>
      </c>
      <c r="E28" s="30" t="s">
        <v>202</v>
      </c>
      <c r="F28" s="42">
        <v>400</v>
      </c>
      <c r="G28" s="42">
        <v>510</v>
      </c>
      <c r="H28" s="42">
        <v>45249</v>
      </c>
      <c r="I28" s="42">
        <v>46910</v>
      </c>
      <c r="J28" s="30" t="s">
        <v>203</v>
      </c>
      <c r="K28" s="42">
        <v>47810</v>
      </c>
      <c r="L28" s="134" t="s">
        <v>50</v>
      </c>
      <c r="M28" s="135">
        <f t="shared" si="0"/>
        <v>475.2</v>
      </c>
      <c r="N28" s="136" t="str">
        <f>VLOOKUP(C28,'Trips&amp;Operators'!$C$1:$G$99999,5,FALSE)</f>
        <v>HOLCOMB KAMDEN</v>
      </c>
      <c r="O28" s="210" t="s">
        <v>182</v>
      </c>
      <c r="P28" s="137"/>
      <c r="Q28" s="30"/>
      <c r="R28" s="84" t="str">
        <f>VLOOKUP(C28,'Train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28" s="87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-11T13:07:22-0600',mode:absolute,to:'2017-06-11T15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89" t="str">
        <f t="shared" si="1"/>
        <v>"C:\Program Files (x86)\AstroGrep\AstroGrep.exe" /e /r /s /spath="%USERPROFILE%\AppData\Local\Temp\OnboardLogs" /stypes="*4032*201706112*"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4032</v>
      </c>
      <c r="V28" s="31">
        <f t="shared" si="3"/>
        <v>42897.85429398148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{"issue":{"subject":"","project_id":79,"tracker_id":40,"status_id":1,"priority_id":2,"assigned_to_id":23,"start_date":"2017-06-11","description":"","custom_fields":[{"id":1,"name":"Subdivision","value":"NW"},{"id":4,"name":"Milepost","value":"4.781"},{"id":17,"name":"Train ID","value":"1817-11"},{"id":16,"name":"Locomotive ID","value":"4032"},{"id":130,"name":"Impact","value":""},{"id":150,"name":"Time of Event (Mountain Time)","value":"14:30:11"},{"id":151,"name":"Denver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/cygdrive/c/Users/stu/AppData/Local/Temp/OnboardLogs/RTDC4032 --include="*4032*201706112*"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28" s="148" t="str">
        <f t="shared" si="9"/>
        <v>start /low /b %USERPROFILE%\Documents\GitHub\eaglep3\Utilities\DownloadLogsFromS3.py --loco 4032 --day 2017-06-11</v>
      </c>
      <c r="AF28" s="1"/>
    </row>
    <row r="29" spans="1:32" x14ac:dyDescent="0.25">
      <c r="A29" s="31">
        <v>42897.605949074074</v>
      </c>
      <c r="B29" s="30" t="s">
        <v>494</v>
      </c>
      <c r="C29" s="30" t="s">
        <v>632</v>
      </c>
      <c r="D29" s="30" t="s">
        <v>49</v>
      </c>
      <c r="E29" s="30" t="s">
        <v>202</v>
      </c>
      <c r="F29" s="42">
        <v>150</v>
      </c>
      <c r="G29" s="42">
        <v>350</v>
      </c>
      <c r="H29" s="42">
        <v>55152</v>
      </c>
      <c r="I29" s="42">
        <v>56019</v>
      </c>
      <c r="J29" s="30" t="s">
        <v>203</v>
      </c>
      <c r="K29" s="42">
        <v>57008</v>
      </c>
      <c r="L29" s="134" t="s">
        <v>50</v>
      </c>
      <c r="M29" s="135">
        <f t="shared" si="0"/>
        <v>522.19200000000001</v>
      </c>
      <c r="N29" s="136" t="str">
        <f>VLOOKUP(C29,'Trips&amp;Operators'!$C$1:$G$99999,5,FALSE)</f>
        <v>HOLCOMB KAMDEN</v>
      </c>
      <c r="O29" s="210" t="s">
        <v>182</v>
      </c>
      <c r="P29" s="137"/>
      <c r="Q29" s="30"/>
      <c r="R29" s="84" t="str">
        <f>VLOOKUP(C29,'Train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29" s="87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-11T13:07:22-0600',mode:absolute,to:'2017-06-11T15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9" s="89" t="str">
        <f t="shared" si="1"/>
        <v>"C:\Program Files (x86)\AstroGrep\AstroGrep.exe" /e /r /s /spath="%USERPROFILE%\AppData\Local\Temp\OnboardLogs" /stypes="*4032*201706112*"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4032</v>
      </c>
      <c r="V29" s="31">
        <f t="shared" si="3"/>
        <v>42897.855949074074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{"issue":{"subject":"","project_id":79,"tracker_id":40,"status_id":1,"priority_id":2,"assigned_to_id":23,"start_date":"2017-06-11","description":"","custom_fields":[{"id":1,"name":"Subdivision","value":"NW"},{"id":4,"name":"Milepost","value":"5.7008"},{"id":17,"name":"Train ID","value":"1817-11"},{"id":16,"name":"Locomotive ID","value":"4032"},{"id":130,"name":"Impact","value":""},{"id":150,"name":"Time of Event (Mountain Time)","value":"14:32:34"},{"id":151,"name":"Denver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/cygdrive/c/Users/stu/AppData/Local/Temp/OnboardLogs/RTDC4032 --include="*4032*201706112*"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29" s="148" t="str">
        <f t="shared" si="9"/>
        <v>start /low /b %USERPROFILE%\Documents\GitHub\eaglep3\Utilities\DownloadLogsFromS3.py --loco 4032 --day 2017-06-11</v>
      </c>
      <c r="AF29" s="1"/>
    </row>
    <row r="30" spans="1:32" x14ac:dyDescent="0.25">
      <c r="A30" s="31">
        <v>42897.73097222222</v>
      </c>
      <c r="B30" s="30" t="s">
        <v>494</v>
      </c>
      <c r="C30" s="30" t="s">
        <v>639</v>
      </c>
      <c r="D30" s="30" t="s">
        <v>49</v>
      </c>
      <c r="E30" s="30" t="s">
        <v>202</v>
      </c>
      <c r="F30" s="42">
        <v>150</v>
      </c>
      <c r="G30" s="42">
        <v>355</v>
      </c>
      <c r="H30" s="42">
        <v>55233</v>
      </c>
      <c r="I30" s="42">
        <v>56008</v>
      </c>
      <c r="J30" s="30" t="s">
        <v>203</v>
      </c>
      <c r="K30" s="42">
        <v>57008</v>
      </c>
      <c r="L30" s="134" t="s">
        <v>50</v>
      </c>
      <c r="M30" s="135">
        <f t="shared" si="0"/>
        <v>528</v>
      </c>
      <c r="N30" s="136" t="str">
        <f>VLOOKUP(C30,'Trips&amp;Operators'!$C$1:$G$99999,5,FALSE)</f>
        <v>HOLCOMB KAMDEN</v>
      </c>
      <c r="O30" s="210" t="s">
        <v>182</v>
      </c>
      <c r="P30" s="137"/>
      <c r="Q30" s="30"/>
      <c r="R30" s="84" t="str">
        <f>VLOOKUP(C30,'Train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0" s="87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-11T16:20:46-0600',mode:absolute,to:'2017-06-11T18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0" s="89" t="str">
        <f t="shared" si="1"/>
        <v>"C:\Program Files (x86)\AstroGrep\AstroGrep.exe" /e /r /s /spath="%USERPROFILE%\AppData\Local\Temp\OnboardLogs" /stypes="*4032*201706112*"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4032</v>
      </c>
      <c r="V30" s="31">
        <f t="shared" si="3"/>
        <v>42897.98097222222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{"issue":{"subject":"","project_id":79,"tracker_id":40,"status_id":1,"priority_id":2,"assigned_to_id":23,"start_date":"2017-06-11","description":"","custom_fields":[{"id":1,"name":"Subdivision","value":"NW"},{"id":4,"name":"Milepost","value":"5.7008"},{"id":17,"name":"Train ID","value":"1823-11"},{"id":16,"name":"Locomotive ID","value":"4032"},{"id":130,"name":"Impact","value":""},{"id":150,"name":"Time of Event (Mountain Time)","value":"17:32:36"},{"id":151,"name":"Denver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/cygdrive/c/Users/stu/AppData/Local/Temp/OnboardLogs/RTDC4032 --include="*4032*201706112*"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30" s="148" t="str">
        <f t="shared" si="9"/>
        <v>start /low /b %USERPROFILE%\Documents\GitHub\eaglep3\Utilities\DownloadLogsFromS3.py --loco 4032 --day 2017-06-11</v>
      </c>
      <c r="AF30" s="1"/>
    </row>
    <row r="31" spans="1:32" x14ac:dyDescent="0.25">
      <c r="A31" s="31">
        <v>42897.267627314817</v>
      </c>
      <c r="B31" s="30" t="s">
        <v>494</v>
      </c>
      <c r="C31" s="30" t="s">
        <v>620</v>
      </c>
      <c r="D31" s="30" t="s">
        <v>49</v>
      </c>
      <c r="E31" s="30" t="s">
        <v>365</v>
      </c>
      <c r="F31" s="42">
        <v>0</v>
      </c>
      <c r="G31" s="42">
        <v>428</v>
      </c>
      <c r="H31" s="42">
        <v>12792</v>
      </c>
      <c r="I31" s="42">
        <v>14217</v>
      </c>
      <c r="J31" s="30" t="s">
        <v>366</v>
      </c>
      <c r="K31" s="42">
        <v>14477</v>
      </c>
      <c r="L31" s="134" t="s">
        <v>50</v>
      </c>
      <c r="M31" s="135">
        <f t="shared" si="0"/>
        <v>137.28</v>
      </c>
      <c r="N31" s="136" t="str">
        <f>VLOOKUP(C31,'Trips&amp;Operators'!$C$1:$G$99999,5,FALSE)</f>
        <v>DAVIDSON DAVID</v>
      </c>
      <c r="O31" s="210" t="s">
        <v>415</v>
      </c>
      <c r="P31" s="137" t="s">
        <v>416</v>
      </c>
      <c r="Q31" s="30"/>
      <c r="R31" s="84" t="str">
        <f>VLOOKUP(C31,'Train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1" s="87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-11T04:57:44-0600',mode:absolute,to:'2017-06-11T07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89" t="str">
        <f t="shared" si="1"/>
        <v>"C:\Program Files (x86)\AstroGrep\AstroGrep.exe" /e /r /s /spath="%USERPROFILE%\AppData\Local\Temp\OnboardLogs" /stypes="*4032*201706111*" /stext=" 12:.+((SYSTEM_STATE.+slice.+state.+changed )|(ment ac)|(multiple cpu faults)|(system.+state.+changed )|(\[timeout)|(PRM\|1\|D)|(kpr)|(kdp)|(train st.+moving)|(\|lc)|(penalty))"</v>
      </c>
      <c r="U31" s="9" t="str">
        <f t="shared" si="2"/>
        <v>4032</v>
      </c>
      <c r="V31" s="31">
        <f t="shared" si="3"/>
        <v>42897.517627314817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{"issue":{"subject":"Wi-MAX data drop","project_id":79,"tracker_id":40,"status_id":1,"priority_id":2,"assigned_to_id":23,"start_date":"2017-06-11","description":"","custom_fields":[{"id":1,"name":"Subdivision","value":"NW"},{"id":4,"name":"Milepost","value":"1.4477"},{"id":17,"name":"Train ID","value":"1801-11"},{"id":16,"name":"Locomotive ID","value":"4032"},{"id":130,"name":"Impact","value":""},{"id":150,"name":"Time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/cygdrive/c/Users/stu/AppData/Local/Temp/OnboardLogs/RTDC4032 --include="*4032*201706111*"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"%USERPROFILE%\AppData\Local\Temp\OnboardLogs"\RTDC4032\*4032*201706111* &gt;&gt; 2017-06-11-SliceDisagreementCheck.txt</v>
      </c>
      <c r="AE31" s="148" t="str">
        <f t="shared" si="9"/>
        <v>start /low /b %USERPROFILE%\Documents\GitHub\eaglep3\Utilities\DownloadLogsFromS3.py --loco 4032 --day 2017-06-11</v>
      </c>
      <c r="AF31" s="1"/>
    </row>
    <row r="32" spans="1:32" x14ac:dyDescent="0.25">
      <c r="A32" s="31">
        <v>42897.455138888887</v>
      </c>
      <c r="B32" s="30" t="s">
        <v>491</v>
      </c>
      <c r="C32" s="30" t="s">
        <v>625</v>
      </c>
      <c r="D32" s="30" t="s">
        <v>49</v>
      </c>
      <c r="E32" s="30" t="s">
        <v>183</v>
      </c>
      <c r="F32" s="42">
        <v>0</v>
      </c>
      <c r="G32" s="42">
        <v>50</v>
      </c>
      <c r="H32" s="42">
        <v>731</v>
      </c>
      <c r="I32" s="42">
        <v>685</v>
      </c>
      <c r="J32" s="30" t="s">
        <v>184</v>
      </c>
      <c r="K32" s="42">
        <v>575</v>
      </c>
      <c r="L32" s="134" t="s">
        <v>51</v>
      </c>
      <c r="M32" s="135">
        <f t="shared" si="0"/>
        <v>58.08</v>
      </c>
      <c r="N32" s="136" t="str">
        <f>VLOOKUP(C32,'Trips&amp;Operators'!$C$1:$G$99999,5,FALSE)</f>
        <v>DAVIDSON DAVID</v>
      </c>
      <c r="O32" s="210" t="s">
        <v>182</v>
      </c>
      <c r="P32" s="137"/>
      <c r="Q32" s="30"/>
      <c r="R32" s="84" t="str">
        <f>VLOOKUP(C32,'Train Runs'!$A$13:$AE$9931,31,0)</f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S32" s="87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-11T09:37:04-0600',mode:absolute,to:'2017-06-11T11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9" t="str">
        <f t="shared" si="1"/>
        <v>"C:\Program Files (x86)\AstroGrep\AstroGrep.exe" /e /r /s /spath="%USERPROFILE%\AppData\Local\Temp\OnboardLogs" /stypes="*4031*201706111*" /stext=" 16:.+((SYSTEM_STATE.+slice.+state.+changed )|(ment ac)|(multiple cpu faults)|(system.+state.+changed )|(\[timeout)|(PRM\|1\|D)|(kpr)|(kdp)|(train st.+moving)|(\|lc)|(penalty))"</v>
      </c>
      <c r="U32" s="9" t="str">
        <f t="shared" si="2"/>
        <v>4031</v>
      </c>
      <c r="V32" s="31">
        <f t="shared" si="3"/>
        <v>42897.705138888887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{"issue":{"subject":"","project_id":79,"tracker_id":40,"status_id":1,"priority_id":2,"assigned_to_id":23,"start_date":"2017-06-11","description":"","custom_fields":[{"id":1,"name":"Subdivision","value":"NW"},{"id":4,"name":"Milepost","value":"0.0575"},{"id":17,"name":"Train ID","value":"1810-11"},{"id":16,"name":"Locomotive ID","value":"4031"},{"id":130,"name":"Impact","value":""},{"id":150,"name":"Time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/cygdrive/c/Users/stu/AppData/Local/Temp/OnboardLogs/RTDC4031 --include="*4031*201706111*"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"%USERPROFILE%\AppData\Local\Temp\OnboardLogs"\RTDC4031\*4031*201706111* &gt;&gt; 2017-06-11-SliceDisagreementCheck.txt</v>
      </c>
      <c r="AE32" s="148" t="str">
        <f t="shared" si="9"/>
        <v>start /low /b %USERPROFILE%\Documents\GitHub\eaglep3\Utilities\DownloadLogsFromS3.py --loco 4031 --day 2017-06-11</v>
      </c>
      <c r="AF32" s="1"/>
    </row>
    <row r="33" spans="1:32" x14ac:dyDescent="0.25">
      <c r="A33" s="31">
        <v>42897.622349537036</v>
      </c>
      <c r="B33" s="30" t="s">
        <v>491</v>
      </c>
      <c r="C33" s="30" t="s">
        <v>635</v>
      </c>
      <c r="D33" s="30" t="s">
        <v>49</v>
      </c>
      <c r="E33" s="30" t="s">
        <v>183</v>
      </c>
      <c r="F33" s="42">
        <v>0</v>
      </c>
      <c r="G33" s="42">
        <v>53</v>
      </c>
      <c r="H33" s="42">
        <v>740</v>
      </c>
      <c r="I33" s="42">
        <v>713</v>
      </c>
      <c r="J33" s="30" t="s">
        <v>184</v>
      </c>
      <c r="K33" s="42">
        <v>575</v>
      </c>
      <c r="L33" s="134" t="s">
        <v>51</v>
      </c>
      <c r="M33" s="135">
        <f t="shared" si="0"/>
        <v>72.864000000000004</v>
      </c>
      <c r="N33" s="136" t="str">
        <f>VLOOKUP(C33,'Trips&amp;Operators'!$C$1:$G$99999,5,FALSE)</f>
        <v>HOLCOMB KAMDEN</v>
      </c>
      <c r="O33" s="210" t="s">
        <v>182</v>
      </c>
      <c r="P33" s="137"/>
      <c r="Q33" s="30"/>
      <c r="R33" s="84" t="str">
        <f>VLOOKUP(C33,'Train Runs'!$A$13:$AE$9931,31,0)</f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S33" s="87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-11T13:37:00-0600',mode:absolute,to:'2017-06-11T15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9" t="str">
        <f t="shared" si="1"/>
        <v>"C:\Program Files (x86)\AstroGrep\AstroGrep.exe" /e /r /s /spath="%USERPROFILE%\AppData\Local\Temp\OnboardLogs" /stypes="*4031*201706112*" /stext=" 20:.+((SYSTEM_STATE.+slice.+state.+changed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42897.872349537036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{"issue":{"subject":"","project_id":79,"tracker_id":40,"status_id":1,"priority_id":2,"assigned_to_id":23,"start_date":"2017-06-11","description":"","custom_fields":[{"id":1,"name":"Subdivision","value":"NW"},{"id":4,"name":"Milepost","value":"0.0575"},{"id":17,"name":"Train ID","value":"1818-11"},{"id":16,"name":"Locomotive ID","value":"4031"},{"id":130,"name":"Impact","value":""},{"id":150,"name":"Time of Event (Mountain Time)","value":"14:56:11"},{"id":151,"name":"Denver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/cygdrive/c/Users/stu/AppData/Local/Temp/OnboardLogs/RTDC4031 --include="*4031*201706112*"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"%USERPROFILE%\AppData\Local\Temp\OnboardLogs"\RTDC4031\*4031*201706112* &gt;&gt; 2017-06-11-SliceDisagreementCheck.txt</v>
      </c>
      <c r="AE33" s="148" t="str">
        <f t="shared" si="9"/>
        <v>start /low /b %USERPROFILE%\Documents\GitHub\eaglep3\Utilities\DownloadLogsFromS3.py --loco 4031 --day 2017-06-11</v>
      </c>
      <c r="AF33" s="1"/>
    </row>
    <row r="34" spans="1:32" x14ac:dyDescent="0.25">
      <c r="A34" s="31">
        <v>42897.663078703707</v>
      </c>
      <c r="B34" s="30" t="s">
        <v>491</v>
      </c>
      <c r="C34" s="30" t="s">
        <v>637</v>
      </c>
      <c r="D34" s="30" t="s">
        <v>49</v>
      </c>
      <c r="E34" s="30" t="s">
        <v>183</v>
      </c>
      <c r="F34" s="42">
        <v>0</v>
      </c>
      <c r="G34" s="42">
        <v>44</v>
      </c>
      <c r="H34" s="42">
        <v>720</v>
      </c>
      <c r="I34" s="42">
        <v>694</v>
      </c>
      <c r="J34" s="30" t="s">
        <v>184</v>
      </c>
      <c r="K34" s="42">
        <v>575</v>
      </c>
      <c r="L34" s="134" t="s">
        <v>51</v>
      </c>
      <c r="M34" s="135">
        <f t="shared" si="0"/>
        <v>62.832000000000001</v>
      </c>
      <c r="N34" s="136" t="str">
        <f>VLOOKUP(C34,'Trips&amp;Operators'!$C$1:$G$99999,5,FALSE)</f>
        <v>HOLCOMB KAMDEN</v>
      </c>
      <c r="O34" s="210" t="s">
        <v>182</v>
      </c>
      <c r="P34" s="137"/>
      <c r="Q34" s="30"/>
      <c r="R34" s="84" t="str">
        <f>VLOOKUP(C34,'Train Runs'!$A$13:$AE$9931,31,0)</f>
        <v>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 &amp; aws s3 cp s3://rtdc.mdm.uploadarchive.raw/RTDC4031/ "%USERPROFILE%\AppData\Local\Temp\OnboardLogs"\RTDC4031\2017-06-12 --exclude "*" --recursive --include "*20170612*" &amp; "%USERPROFILE%\Documents\GitHub\mrs-test-scripts\Headless Mode &amp; Sideloading\WalkAndUnGZ.bat" "%USERPROFILE%\AppData\Local\Temp\OnboardLogs"\RTDC4031\2017-06-12</v>
      </c>
      <c r="S34" s="87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-11T14:38:07-0600',mode:absolute,to:'2017-06-11T16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89" t="str">
        <f t="shared" si="1"/>
        <v>"C:\Program Files (x86)\AstroGrep\AstroGrep.exe" /e /r /s /spath="%USERPROFILE%\AppData\Local\Temp\OnboardLogs" /stypes="*4031*201706112*"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4031</v>
      </c>
      <c r="V34" s="31">
        <f t="shared" si="3"/>
        <v>42897.913078703707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{"issue":{"subject":"","project_id":79,"tracker_id":40,"status_id":1,"priority_id":2,"assigned_to_id":23,"start_date":"2017-06-11","description":"","custom_fields":[{"id":1,"name":"Subdivision","value":"NW"},{"id":4,"name":"Milepost","value":"0.0575"},{"id":17,"name":"Train ID","value":"1820-11"},{"id":16,"name":"Locomotive ID","value":"4031"},{"id":130,"name":"Impact","value":""},{"id":150,"name":"Time of Event (Mountain Time)","value":"15:54:50"},{"id":151,"name":"Denver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/cygdrive/c/Users/stu/AppData/Local/Temp/OnboardLogs/RTDC4031 --include="*4031*201706112*"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"%USERPROFILE%\AppData\Local\Temp\OnboardLogs"\RTDC4031\*4031*201706112* &gt;&gt; 2017-06-11-SliceDisagreementCheck.txt</v>
      </c>
      <c r="AE34" s="148" t="str">
        <f t="shared" si="9"/>
        <v>start /low /b %USERPROFILE%\Documents\GitHub\eaglep3\Utilities\DownloadLogsFromS3.py --loco 4031 --day 2017-06-11</v>
      </c>
      <c r="AF34" s="1"/>
    </row>
    <row r="35" spans="1:32" x14ac:dyDescent="0.25">
      <c r="A35" s="31">
        <v>42897.649513888886</v>
      </c>
      <c r="B35" s="30" t="s">
        <v>494</v>
      </c>
      <c r="C35" s="30" t="s">
        <v>636</v>
      </c>
      <c r="D35" s="30" t="s">
        <v>49</v>
      </c>
      <c r="E35" s="30" t="s">
        <v>183</v>
      </c>
      <c r="F35" s="42">
        <v>0</v>
      </c>
      <c r="G35" s="42">
        <v>42</v>
      </c>
      <c r="H35" s="42">
        <v>58924</v>
      </c>
      <c r="I35" s="42">
        <v>58965</v>
      </c>
      <c r="J35" s="30" t="s">
        <v>184</v>
      </c>
      <c r="K35" s="42">
        <v>59048</v>
      </c>
      <c r="L35" s="134" t="s">
        <v>50</v>
      </c>
      <c r="M35" s="135">
        <f t="shared" si="0"/>
        <v>43.823999999999998</v>
      </c>
      <c r="N35" s="136" t="str">
        <f>VLOOKUP(C35,'Trips&amp;Operators'!$C$1:$G$99999,5,FALSE)</f>
        <v>HOLCOMB KAMDEN</v>
      </c>
      <c r="O35" s="210" t="s">
        <v>182</v>
      </c>
      <c r="P35" s="137"/>
      <c r="Q35" s="30"/>
      <c r="R35" s="84" t="str">
        <f>VLOOKUP(C35,'Train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5" s="87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-11T14:18:19-0600',mode:absolute,to:'2017-06-11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9" t="str">
        <f t="shared" si="1"/>
        <v>"C:\Program Files (x86)\AstroGrep\AstroGrep.exe" /e /r /s /spath="%USERPROFILE%\AppData\Local\Temp\OnboardLogs" /stypes="*4032*201706112*"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4032</v>
      </c>
      <c r="V35" s="31">
        <f t="shared" si="3"/>
        <v>42897.899513888886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{"issue":{"subject":"","project_id":79,"tracker_id":40,"status_id":1,"priority_id":2,"assigned_to_id":23,"start_date":"2017-06-11","description":"","custom_fields":[{"id":1,"name":"Subdivision","value":"NW"},{"id":4,"name":"Milepost","value":"5.9048"},{"id":17,"name":"Train ID","value":"1819-11"},{"id":16,"name":"Locomotive ID","value":"4032"},{"id":130,"name":"Impact","value":""},{"id":150,"name":"Time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/cygdrive/c/Users/stu/AppData/Local/Temp/OnboardLogs/RTDC4032 --include="*4032*201706112*"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35" s="148" t="str">
        <f t="shared" si="9"/>
        <v>start /low /b %USERPROFILE%\Documents\GitHub\eaglep3\Utilities\DownloadLogsFromS3.py --loco 4032 --day 2017-06-11</v>
      </c>
      <c r="AF35" s="1"/>
    </row>
    <row r="36" spans="1:32" x14ac:dyDescent="0.25">
      <c r="A36" s="31">
        <v>42897.650092592594</v>
      </c>
      <c r="B36" s="30" t="s">
        <v>494</v>
      </c>
      <c r="C36" s="30" t="s">
        <v>636</v>
      </c>
      <c r="D36" s="30" t="s">
        <v>49</v>
      </c>
      <c r="E36" s="30" t="s">
        <v>183</v>
      </c>
      <c r="F36" s="42">
        <v>0</v>
      </c>
      <c r="G36" s="42">
        <v>22</v>
      </c>
      <c r="H36" s="42">
        <v>58978</v>
      </c>
      <c r="I36" s="42">
        <v>59005</v>
      </c>
      <c r="J36" s="30" t="s">
        <v>184</v>
      </c>
      <c r="K36" s="42">
        <v>59048</v>
      </c>
      <c r="L36" s="134" t="s">
        <v>50</v>
      </c>
      <c r="M36" s="135">
        <f t="shared" si="0"/>
        <v>22.704000000000001</v>
      </c>
      <c r="N36" s="136" t="str">
        <f>VLOOKUP(C36,'Trips&amp;Operators'!$C$1:$G$99999,5,FALSE)</f>
        <v>HOLCOMB KAMDEN</v>
      </c>
      <c r="O36" s="210" t="s">
        <v>182</v>
      </c>
      <c r="P36" s="137"/>
      <c r="Q36" s="30"/>
      <c r="R36" s="84" t="str">
        <f>VLOOKUP(C36,'Train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6" s="87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-11T14:18:19-0600',mode:absolute,to:'2017-06-11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9" t="str">
        <f t="shared" si="1"/>
        <v>"C:\Program Files (x86)\AstroGrep\AstroGrep.exe" /e /r /s /spath="%USERPROFILE%\AppData\Local\Temp\OnboardLogs" /stypes="*4032*201706112*" /stext=" 21:.+((SYSTEM_STATE.+slice.+state.+changed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42897.900092592594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{"issue":{"subject":"","project_id":79,"tracker_id":40,"status_id":1,"priority_id":2,"assigned_to_id":23,"start_date":"2017-06-11","description":"","custom_fields":[{"id":1,"name":"Subdivision","value":"NW"},{"id":4,"name":"Milepost","value":"5.9048"},{"id":17,"name":"Train ID","value":"1819-11"},{"id":16,"name":"Locomotive ID","value":"4032"},{"id":130,"name":"Impact","value":""},{"id":150,"name":"Time of Event (Mountain Time)","value":"15:36:08"},{"id":151,"name":"Denver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/cygdrive/c/Users/stu/AppData/Local/Temp/OnboardLogs/RTDC4032 --include="*4032*201706112*"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36" s="148" t="str">
        <f t="shared" si="9"/>
        <v>start /low /b %USERPROFILE%\Documents\GitHub\eaglep3\Utilities\DownloadLogsFromS3.py --loco 4032 --day 2017-06-11</v>
      </c>
      <c r="AF36" s="1"/>
    </row>
    <row r="37" spans="1:32" x14ac:dyDescent="0.25">
      <c r="A37" s="31">
        <v>42897.733796296299</v>
      </c>
      <c r="B37" s="30" t="s">
        <v>494</v>
      </c>
      <c r="C37" s="30" t="s">
        <v>639</v>
      </c>
      <c r="D37" s="30" t="s">
        <v>49</v>
      </c>
      <c r="E37" s="30" t="s">
        <v>183</v>
      </c>
      <c r="F37" s="42">
        <v>0</v>
      </c>
      <c r="G37" s="42">
        <v>32</v>
      </c>
      <c r="H37" s="42">
        <v>58984</v>
      </c>
      <c r="I37" s="42">
        <v>59016</v>
      </c>
      <c r="J37" s="30" t="s">
        <v>184</v>
      </c>
      <c r="K37" s="42">
        <v>59048</v>
      </c>
      <c r="L37" s="134" t="s">
        <v>50</v>
      </c>
      <c r="M37" s="135">
        <f t="shared" si="0"/>
        <v>16.896000000000001</v>
      </c>
      <c r="N37" s="136" t="str">
        <f>VLOOKUP(C37,'Trips&amp;Operators'!$C$1:$G$99999,5,FALSE)</f>
        <v>HOLCOMB KAMDEN</v>
      </c>
      <c r="O37" s="210" t="s">
        <v>182</v>
      </c>
      <c r="P37" s="137"/>
      <c r="Q37" s="30"/>
      <c r="R37" s="84" t="str">
        <f>VLOOKUP(C37,'Train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7" s="87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-11T16:20:46-0600',mode:absolute,to:'2017-06-11T18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9" t="str">
        <f t="shared" si="1"/>
        <v>"C:\Program Files (x86)\AstroGrep\AstroGrep.exe" /e /r /s /spath="%USERPROFILE%\AppData\Local\Temp\OnboardLogs" /stypes="*4032*201706112*"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4032</v>
      </c>
      <c r="V37" s="31">
        <f t="shared" si="3"/>
        <v>42897.983796296299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{"issue":{"subject":"","project_id":79,"tracker_id":40,"status_id":1,"priority_id":2,"assigned_to_id":23,"start_date":"2017-06-11","description":"","custom_fields":[{"id":1,"name":"Subdivision","value":"NW"},{"id":4,"name":"Milepost","value":"5.9048"},{"id":17,"name":"Train ID","value":"1823-11"},{"id":16,"name":"Locomotive ID","value":"4032"},{"id":130,"name":"Impact","value":""},{"id":150,"name":"Time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/cygdrive/c/Users/stu/AppData/Local/Temp/OnboardLogs/RTDC4032 --include="*4032*201706112*"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"%USERPROFILE%\AppData\Local\Temp\OnboardLogs"\RTDC4032\*4032*201706112* &gt;&gt; 2017-06-11-SliceDisagreementCheck.txt</v>
      </c>
      <c r="AE37" s="148" t="str">
        <f t="shared" si="9"/>
        <v>start /low /b %USERPROFILE%\Documents\GitHub\eaglep3\Utilities\DownloadLogsFromS3.py --loco 4032 --day 2017-06-11</v>
      </c>
      <c r="AF37" s="1"/>
    </row>
    <row r="38" spans="1:32" x14ac:dyDescent="0.25">
      <c r="A38" s="31">
        <v>42897.775254629632</v>
      </c>
      <c r="B38" s="30" t="s">
        <v>494</v>
      </c>
      <c r="C38" s="30" t="s">
        <v>644</v>
      </c>
      <c r="D38" s="30" t="s">
        <v>49</v>
      </c>
      <c r="E38" s="30" t="s">
        <v>183</v>
      </c>
      <c r="F38" s="42">
        <v>0</v>
      </c>
      <c r="G38" s="42">
        <v>37</v>
      </c>
      <c r="H38" s="42">
        <v>58935</v>
      </c>
      <c r="I38" s="42">
        <v>58961</v>
      </c>
      <c r="J38" s="30" t="s">
        <v>184</v>
      </c>
      <c r="K38" s="42">
        <v>59048</v>
      </c>
      <c r="L38" s="134" t="s">
        <v>50</v>
      </c>
      <c r="M38" s="135">
        <f t="shared" si="0"/>
        <v>45.936</v>
      </c>
      <c r="N38" s="136" t="str">
        <f>VLOOKUP(C38,'Trips&amp;Operators'!$C$1:$G$99999,5,FALSE)</f>
        <v>THOMPSON LESTER</v>
      </c>
      <c r="O38" s="210" t="s">
        <v>182</v>
      </c>
      <c r="P38" s="137"/>
      <c r="Q38" s="30"/>
      <c r="R38" s="84" t="str">
        <f>VLOOKUP(C38,'Train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8" s="87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-06-11T17:16:17-0600',mode:absolute,to:'2017-06-11T19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8" s="89" t="str">
        <f t="shared" si="1"/>
        <v>"C:\Program Files (x86)\AstroGrep\AstroGrep.exe" /e /r /s /spath="%USERPROFILE%\AppData\Local\Temp\OnboardLogs" /stypes="*4032*201706120*"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4032</v>
      </c>
      <c r="V38" s="31">
        <f t="shared" si="3"/>
        <v>42898.025254629632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{"issue":{"subject":"","project_id":79,"tracker_id":40,"status_id":1,"priority_id":2,"assigned_to_id":23,"start_date":"2017-06-11","description":"","custom_fields":[{"id":1,"name":"Subdivision","value":"NW"},{"id":4,"name":"Milepost","value":"5.9048"},{"id":17,"name":"Train ID","value":"1825-11"},{"id":16,"name":"Locomotive ID","value":"4032"},{"id":130,"name":"Impact","value":""},{"id":150,"name":"Time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/cygdrive/c/Users/stu/AppData/Local/Temp/OnboardLogs/RTDC4032 --include="*4032*201706120*"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"%USERPROFILE%\AppData\Local\Temp\OnboardLogs"\RTDC4032\*4032*201706120* &gt;&gt; 2017-06-11-SliceDisagreementCheck.txt</v>
      </c>
      <c r="AE38" s="148" t="str">
        <f t="shared" si="9"/>
        <v>start /low /b %USERPROFILE%\Documents\GitHub\eaglep3\Utilities\DownloadLogsFromS3.py --loco 4032 --day 2017-06-12</v>
      </c>
      <c r="AF38" s="1"/>
    </row>
    <row r="39" spans="1:32" x14ac:dyDescent="0.25">
      <c r="A39" s="31">
        <v>42897.941874999997</v>
      </c>
      <c r="B39" s="30" t="s">
        <v>494</v>
      </c>
      <c r="C39" s="30" t="s">
        <v>649</v>
      </c>
      <c r="D39" s="30" t="s">
        <v>49</v>
      </c>
      <c r="E39" s="30" t="s">
        <v>183</v>
      </c>
      <c r="F39" s="42">
        <v>0</v>
      </c>
      <c r="G39" s="42">
        <v>98</v>
      </c>
      <c r="H39" s="42">
        <v>58628</v>
      </c>
      <c r="I39" s="42">
        <v>58722</v>
      </c>
      <c r="J39" s="30" t="s">
        <v>184</v>
      </c>
      <c r="K39" s="42">
        <v>59048</v>
      </c>
      <c r="L39" s="134" t="s">
        <v>50</v>
      </c>
      <c r="M39" s="135">
        <f t="shared" si="0"/>
        <v>172.12799999999999</v>
      </c>
      <c r="N39" s="136" t="str">
        <f>VLOOKUP(C39,'Trips&amp;Operators'!$C$1:$G$99999,5,FALSE)</f>
        <v>HOLCOMB KAMDEN</v>
      </c>
      <c r="O39" s="210" t="s">
        <v>182</v>
      </c>
      <c r="P39" s="137"/>
      <c r="Q39" s="30"/>
      <c r="R39" s="84" t="str">
        <f>VLOOKUP(C39,'Train Runs'!$A$13:$AE$9931,31,0)</f>
        <v>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 &amp; aws s3 cp s3://rtdc.mdm.uploadarchive.raw/RTDC4032/ "%USERPROFILE%\AppData\Local\Temp\OnboardLogs"\RTDC4032\2017-06-12 --exclude "*" --recursive --include "*20170612*" &amp; "%USERPROFILE%\Documents\GitHub\mrs-test-scripts\Headless Mode &amp; Sideloading\WalkAndUnGZ.bat" "%USERPROFILE%\AppData\Local\Temp\OnboardLogs"\RTDC4032\2017-06-12</v>
      </c>
      <c r="S39" s="87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-06-11T21:21:03-0600',mode:absolute,to:'2017-06-11T23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9" s="89" t="str">
        <f t="shared" si="1"/>
        <v>"C:\Program Files (x86)\AstroGrep\AstroGrep.exe" /e /r /s /spath="%USERPROFILE%\AppData\Local\Temp\OnboardLogs" /stypes="*4032*201706120*" /stext=" 04:.+((SYSTEM_STATE.+slice.+state.+changed )|(ment ac)|(multiple cpu faults)|(system.+state.+changed )|(\[timeout)|(PRM\|1\|D)|(kpr)|(kdp)|(train st.+moving)|(\|lc)|(penalty))"</v>
      </c>
      <c r="U39" s="9" t="str">
        <f t="shared" si="2"/>
        <v>4032</v>
      </c>
      <c r="V39" s="31">
        <f t="shared" si="3"/>
        <v>42898.191874999997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{"issue":{"subject":"","project_id":79,"tracker_id":40,"status_id":1,"priority_id":2,"assigned_to_id":23,"start_date":"2017-06-11","description":"","custom_fields":[{"id":1,"name":"Subdivision","value":"NW"},{"id":4,"name":"Milepost","value":"5.9048"},{"id":17,"name":"Train ID","value":"1833-11"},{"id":16,"name":"Locomotive ID","value":"4032"},{"id":130,"name":"Impact","value":""},{"id":150,"name":"Time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/cygdrive/c/Users/stu/AppData/Local/Temp/OnboardLogs/RTDC4032 --include="*4032*201706120*"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"%USERPROFILE%\AppData\Local\Temp\OnboardLogs"\RTDC4032\*4032*201706120* &gt;&gt; 2017-06-11-SliceDisagreementCheck.txt</v>
      </c>
      <c r="AE39" s="148" t="str">
        <f t="shared" si="9"/>
        <v>start /low /b %USERPROFILE%\Documents\GitHub\eaglep3\Utilities\DownloadLogsFromS3.py --loco 4032 --day 2017-06-12</v>
      </c>
      <c r="AF39" s="1"/>
    </row>
    <row r="40" spans="1:32" x14ac:dyDescent="0.25">
      <c r="A40" s="31">
        <v>42897.119409722225</v>
      </c>
      <c r="B40" s="30" t="s">
        <v>475</v>
      </c>
      <c r="C40" s="30" t="s">
        <v>583</v>
      </c>
      <c r="D40" s="30" t="s">
        <v>49</v>
      </c>
      <c r="E40" s="30" t="s">
        <v>365</v>
      </c>
      <c r="F40" s="42">
        <v>0</v>
      </c>
      <c r="G40" s="42">
        <v>35</v>
      </c>
      <c r="H40" s="42">
        <v>19137</v>
      </c>
      <c r="I40" s="42">
        <v>19107</v>
      </c>
      <c r="J40" s="30" t="s">
        <v>366</v>
      </c>
      <c r="K40" s="42">
        <v>19000</v>
      </c>
      <c r="L40" s="134" t="s">
        <v>51</v>
      </c>
      <c r="M40" s="135">
        <f t="shared" si="0"/>
        <v>56.496000000000002</v>
      </c>
      <c r="N40" s="136" t="str">
        <f>VLOOKUP(C40,'Trips&amp;Operators'!$C$1:$G$99999,5,FALSE)</f>
        <v>MAELZER KURT</v>
      </c>
      <c r="O40" s="210" t="s">
        <v>182</v>
      </c>
      <c r="P40" s="137"/>
      <c r="Q40" s="30"/>
      <c r="R40" s="84" t="str">
        <f>VLOOKUP(C40,'Train Runs'!$A$13:$AE$9931,31,0)</f>
        <v>aws s3 cp s3://rtdc.mdm.uploadarchive.raw/RTDC4045/ "%USERPROFILE%\AppData\Local\Temp\OnboardLogs"\RTDC4045\2017-06-11 --exclude "*" --recursive --include "*20170611*" &amp; "%USERPROFILE%\Documents\GitHub\mrs-test-scripts\Headless Mode &amp; Sideloading\WalkAndUnGZ.bat" "%USERPROFILE%\AppData\Local\Temp\OnboardLogs"\RTDC4045\2017-06-11 &amp; 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</v>
      </c>
      <c r="S40" s="87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-06-11T01:44:48-0600',mode:absolute,to:'2017-06-11T03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89" t="str">
        <f t="shared" si="1"/>
        <v>"C:\Program Files (x86)\AstroGrep\AstroGrep.exe" /e /r /s /spath="%USERPROFILE%\AppData\Local\Temp\OnboardLogs" /stypes="*4045*201706110*" /stext=" 08:.+((SYSTEM_STATE.+slice.+state.+changed )|(ment ac)|(multiple cpu faults)|(system.+state.+changed )|(\[timeout)|(PRM\|1\|D)|(kpr)|(kdp)|(train st.+moving)|(\|lc)|(penalty))"</v>
      </c>
      <c r="U40" s="9" t="str">
        <f t="shared" si="2"/>
        <v>4045</v>
      </c>
      <c r="V40" s="31">
        <f t="shared" si="3"/>
        <v>42897.369409722225</v>
      </c>
      <c r="W40" s="45" t="str">
        <f t="shared" si="4"/>
        <v>Other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{"issue":{"subject":"","project_id":79,"tracker_id":40,"status_id":1,"priority_id":2,"assigned_to_id":23,"start_date":"2017-06-11","description":"","custom_fields":[{"id":1,"name":"Subdivision","value":"Other"},{"id":4,"name":"Milepost","value":"1.9"},{"id":17,"name":"Train ID","value":"300-11"},{"id":16,"name":"Locomotive ID","value":"4045"},{"id":130,"name":"Impact","value":""},{"id":150,"name":"Time of Event (Mountain Time)","value":"02:51:57"},{"id":151,"name":"Denver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/cygdrive/c/Users/stu/AppData/Local/Temp/OnboardLogs/RTDC4045 --include="*4045*201706110*"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"%USERPROFILE%\AppData\Local\Temp\OnboardLogs"\RTDC4045\*4045*201706110* &gt;&gt; 2017-06-11-SliceDisagreementCheck.txt</v>
      </c>
      <c r="AE40" s="148" t="str">
        <f t="shared" si="9"/>
        <v>start /low /b %USERPROFILE%\Documents\GitHub\eaglep3\Utilities\DownloadLogsFromS3.py --loco 4045 --day 2017-06-11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Z76"/>
      <c r="AC76"/>
      <c r="AE76"/>
    </row>
  </sheetData>
  <autoFilter ref="A6:AC76">
    <sortState ref="A7:AC76">
      <sortCondition ref="W7:W40"/>
      <sortCondition ref="E7:E40"/>
      <sortCondition ref="K7:K40"/>
      <sortCondition ref="F7:F4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0"/>
  <sheetViews>
    <sheetView workbookViewId="0">
      <selection activeCell="A3" sqref="A3:XFD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2017-06-11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-11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" s="30" t="e">
        <f>VLOOKUP(B3,'Train Runs'!$A$13:$A$99928,1,FALSE)</f>
        <v>#N/A</v>
      </c>
    </row>
    <row r="4" spans="1:10" x14ac:dyDescent="0.25">
      <c r="A4" s="202"/>
      <c r="B4" s="42" t="str">
        <f>A4&amp;"-"&amp;IF(DAY(Variables!$A$2)&lt;10,0,"")&amp;DAY(Variables!$A$2)</f>
        <v>-11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Runs'!$A$13:$A$99928,1,FALSE)</f>
        <v>#N/A</v>
      </c>
    </row>
    <row r="5" spans="1:10" x14ac:dyDescent="0.25">
      <c r="A5" s="202"/>
      <c r="B5" s="42" t="str">
        <f>A5&amp;"-"&amp;IF(DAY(Variables!$A$2)&lt;10,0,"")&amp;DAY(Variables!$A$2)</f>
        <v>-11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Runs'!$A$13:$A$99928,1,FALSE)</f>
        <v>#N/A</v>
      </c>
    </row>
    <row r="6" spans="1:10" x14ac:dyDescent="0.25">
      <c r="A6" s="202"/>
      <c r="B6" s="42" t="str">
        <f>A6&amp;"-"&amp;IF(DAY(Variables!$A$2)&lt;10,0,"")&amp;DAY(Variables!$A$2)</f>
        <v>-11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Runs'!$A$13:$A$99928,1,FALSE)</f>
        <v>#N/A</v>
      </c>
    </row>
    <row r="7" spans="1:10" x14ac:dyDescent="0.25">
      <c r="A7" s="202"/>
      <c r="B7" s="42" t="str">
        <f>A7&amp;"-"&amp;IF(DAY(Variables!$A$2)&lt;10,0,"")&amp;DAY(Variables!$A$2)</f>
        <v>-11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Runs'!$A$13:$A$99928,1,FALSE)</f>
        <v>#N/A</v>
      </c>
    </row>
    <row r="8" spans="1:10" x14ac:dyDescent="0.25">
      <c r="A8" s="202"/>
      <c r="B8" s="42" t="str">
        <f>A8&amp;"-"&amp;IF(DAY(Variables!$A$2)&lt;10,0,"")&amp;DAY(Variables!$A$2)</f>
        <v>-11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Runs'!$A$13:$A$99928,1,FALSE)</f>
        <v>#N/A</v>
      </c>
    </row>
    <row r="9" spans="1:10" x14ac:dyDescent="0.25">
      <c r="A9" s="202"/>
      <c r="B9" s="42" t="str">
        <f>A9&amp;"-"&amp;IF(DAY(Variables!$A$2)&lt;10,0,"")&amp;DAY(Variables!$A$2)</f>
        <v>-11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Runs'!$A$13:$A$99928,1,FALSE)</f>
        <v>#N/A</v>
      </c>
    </row>
    <row r="10" spans="1:10" x14ac:dyDescent="0.25">
      <c r="A10" s="202"/>
      <c r="B10" s="42" t="str">
        <f>A10&amp;"-"&amp;IF(DAY(Variables!$A$2)&lt;10,0,"")&amp;DAY(Variables!$A$2)</f>
        <v>-11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Runs'!$A$13:$A$99928,1,FALSE)</f>
        <v>#N/A</v>
      </c>
    </row>
    <row r="11" spans="1:10" x14ac:dyDescent="0.25">
      <c r="A11" s="202"/>
      <c r="B11" s="42" t="str">
        <f>A11&amp;"-"&amp;IF(DAY(Variables!$A$2)&lt;10,0,"")&amp;DAY(Variables!$A$2)</f>
        <v>-11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Runs'!$A$13:$A$99928,1,FALSE)</f>
        <v>#N/A</v>
      </c>
    </row>
    <row r="12" spans="1:10" x14ac:dyDescent="0.25">
      <c r="A12" s="202"/>
      <c r="B12" s="42" t="str">
        <f>A12&amp;"-"&amp;IF(DAY(Variables!$A$2)&lt;10,0,"")&amp;DAY(Variables!$A$2)</f>
        <v>-11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Runs'!$A$13:$A$99928,1,FALSE)</f>
        <v>#N/A</v>
      </c>
    </row>
    <row r="13" spans="1:10" x14ac:dyDescent="0.25">
      <c r="A13" s="202"/>
      <c r="B13" s="42" t="str">
        <f>A13&amp;"-"&amp;IF(DAY(Variables!$A$2)&lt;10,0,"")&amp;DAY(Variables!$A$2)</f>
        <v>-11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Runs'!$A$13:$A$99928,1,FALSE)</f>
        <v>#N/A</v>
      </c>
    </row>
    <row r="14" spans="1:10" x14ac:dyDescent="0.25">
      <c r="A14" s="202"/>
      <c r="B14" s="42" t="str">
        <f>A14&amp;"-"&amp;IF(DAY(Variables!$A$2)&lt;10,0,"")&amp;DAY(Variables!$A$2)</f>
        <v>-11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Runs'!$A$13:$A$99928,1,FALSE)</f>
        <v>#N/A</v>
      </c>
    </row>
    <row r="15" spans="1:10" x14ac:dyDescent="0.25">
      <c r="A15" s="202"/>
      <c r="B15" s="42" t="str">
        <f>A15&amp;"-"&amp;IF(DAY(Variables!$A$2)&lt;10,0,"")&amp;DAY(Variables!$A$2)</f>
        <v>-11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Runs'!$A$13:$A$99928,1,FALSE)</f>
        <v>#N/A</v>
      </c>
    </row>
    <row r="16" spans="1:10" x14ac:dyDescent="0.25">
      <c r="A16" s="202"/>
      <c r="B16" s="42" t="str">
        <f>A16&amp;"-"&amp;IF(DAY(Variables!$A$2)&lt;10,0,"")&amp;DAY(Variables!$A$2)</f>
        <v>-11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Runs'!$A$13:$A$99928,1,FALSE)</f>
        <v>#N/A</v>
      </c>
    </row>
    <row r="17" spans="1:10" x14ac:dyDescent="0.25">
      <c r="A17" s="202"/>
      <c r="B17" s="42" t="str">
        <f>A17&amp;"-"&amp;IF(DAY(Variables!$A$2)&lt;10,0,"")&amp;DAY(Variables!$A$2)</f>
        <v>-11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Runs'!$A$13:$A$99928,1,FALSE)</f>
        <v>#N/A</v>
      </c>
    </row>
    <row r="18" spans="1:10" x14ac:dyDescent="0.25">
      <c r="A18" s="202"/>
      <c r="B18" s="42" t="str">
        <f>A18&amp;"-"&amp;IF(DAY(Variables!$A$2)&lt;10,0,"")&amp;DAY(Variables!$A$2)</f>
        <v>-11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Runs'!$A$13:$A$99928,1,FALSE)</f>
        <v>#N/A</v>
      </c>
    </row>
    <row r="19" spans="1:10" x14ac:dyDescent="0.25">
      <c r="A19" s="202"/>
      <c r="B19" s="42" t="str">
        <f>A19&amp;"-"&amp;IF(DAY(Variables!$A$2)&lt;10,0,"")&amp;DAY(Variables!$A$2)</f>
        <v>-11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Runs'!$A$13:$A$99928,1,FALSE)</f>
        <v>#N/A</v>
      </c>
    </row>
    <row r="20" spans="1:10" x14ac:dyDescent="0.25">
      <c r="A20" s="202"/>
      <c r="B20" s="42" t="str">
        <f>A20&amp;"-"&amp;IF(DAY(Variables!$A$2)&lt;10,0,"")&amp;DAY(Variables!$A$2)</f>
        <v>-11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Runs'!$A$13:$A$99928,1,FALSE)</f>
        <v>#N/A</v>
      </c>
    </row>
    <row r="21" spans="1:10" x14ac:dyDescent="0.25">
      <c r="A21" s="202"/>
      <c r="B21" s="42" t="str">
        <f>A21&amp;"-"&amp;IF(DAY(Variables!$A$2)&lt;10,0,"")&amp;DAY(Variables!$A$2)</f>
        <v>-11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Runs'!$A$13:$A$99928,1,FALSE)</f>
        <v>#N/A</v>
      </c>
    </row>
    <row r="22" spans="1:10" x14ac:dyDescent="0.25">
      <c r="A22" s="202"/>
      <c r="B22" s="42" t="str">
        <f>A22&amp;"-"&amp;IF(DAY(Variables!$A$2)&lt;10,0,"")&amp;DAY(Variables!$A$2)</f>
        <v>-11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Runs'!$A$13:$A$99928,1,FALSE)</f>
        <v>#N/A</v>
      </c>
    </row>
    <row r="23" spans="1:10" x14ac:dyDescent="0.25">
      <c r="A23" s="202"/>
      <c r="B23" s="42" t="str">
        <f>A23&amp;"-"&amp;IF(DAY(Variables!$A$2)&lt;10,0,"")&amp;DAY(Variables!$A$2)</f>
        <v>-11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3" s="30" t="e">
        <f>VLOOKUP(B23,'Train Runs'!$A$13:$A$99928,1,FALSE)</f>
        <v>#N/A</v>
      </c>
    </row>
    <row r="24" spans="1:10" x14ac:dyDescent="0.25">
      <c r="A24" s="202"/>
      <c r="B24" s="42" t="str">
        <f>A24&amp;"-"&amp;IF(DAY(Variables!$A$2)&lt;10,0,"")&amp;DAY(Variables!$A$2)</f>
        <v>-11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4" s="30" t="e">
        <f>VLOOKUP(B24,'Train Runs'!$A$13:$A$99928,1,FALSE)</f>
        <v>#N/A</v>
      </c>
    </row>
    <row r="25" spans="1:10" x14ac:dyDescent="0.25">
      <c r="A25" s="202"/>
      <c r="B25" s="42" t="str">
        <f>A25&amp;"-"&amp;IF(DAY(Variables!$A$2)&lt;10,0,"")&amp;DAY(Variables!$A$2)</f>
        <v>-11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5" s="30" t="e">
        <f>VLOOKUP(B25,'Train Runs'!$A$13:$A$99928,1,FALSE)</f>
        <v>#N/A</v>
      </c>
    </row>
    <row r="26" spans="1:10" x14ac:dyDescent="0.25">
      <c r="A26" s="202"/>
      <c r="B26" s="42" t="str">
        <f>A26&amp;"-"&amp;IF(DAY(Variables!$A$2)&lt;10,0,"")&amp;DAY(Variables!$A$2)</f>
        <v>-11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6" s="30" t="e">
        <f>VLOOKUP(B26,'Train Runs'!$A$13:$A$99928,1,FALSE)</f>
        <v>#N/A</v>
      </c>
    </row>
    <row r="27" spans="1:10" x14ac:dyDescent="0.25">
      <c r="A27" s="202"/>
      <c r="B27" s="42" t="str">
        <f>A27&amp;"-"&amp;IF(DAY(Variables!$A$2)&lt;10,0,"")&amp;DAY(Variables!$A$2)</f>
        <v>-11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7" s="30" t="e">
        <f>VLOOKUP(B27,'Train Runs'!$A$13:$A$99928,1,FALSE)</f>
        <v>#N/A</v>
      </c>
    </row>
    <row r="28" spans="1:10" x14ac:dyDescent="0.25">
      <c r="A28" s="202"/>
      <c r="B28" s="42" t="str">
        <f>A28&amp;"-"&amp;IF(DAY(Variables!$A$2)&lt;10,0,"")&amp;DAY(Variables!$A$2)</f>
        <v>-11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8" s="30" t="e">
        <f>VLOOKUP(B28,'Train Runs'!$A$13:$A$99928,1,FALSE)</f>
        <v>#N/A</v>
      </c>
    </row>
    <row r="29" spans="1:10" x14ac:dyDescent="0.25">
      <c r="A29" s="202"/>
      <c r="B29" s="42" t="str">
        <f>A29&amp;"-"&amp;IF(DAY(Variables!$A$2)&lt;10,0,"")&amp;DAY(Variables!$A$2)</f>
        <v>-11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9" s="30" t="e">
        <f>VLOOKUP(B29,'Train Runs'!$A$13:$A$99928,1,FALSE)</f>
        <v>#N/A</v>
      </c>
    </row>
    <row r="30" spans="1:10" x14ac:dyDescent="0.25">
      <c r="A30" s="202"/>
      <c r="B30" s="42" t="str">
        <f>A30&amp;"-"&amp;IF(DAY(Variables!$A$2)&lt;10,0,"")&amp;DAY(Variables!$A$2)</f>
        <v>-11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0" s="30" t="e">
        <f>VLOOKUP(B30,'Train Runs'!$A$13:$A$99928,1,FALSE)</f>
        <v>#N/A</v>
      </c>
    </row>
    <row r="31" spans="1:10" x14ac:dyDescent="0.25">
      <c r="A31" s="202"/>
      <c r="B31" s="42" t="str">
        <f>A31&amp;"-"&amp;IF(DAY(Variables!$A$2)&lt;10,0,"")&amp;DAY(Variables!$A$2)</f>
        <v>-11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1" s="30" t="e">
        <f>VLOOKUP(B31,'Train Runs'!$A$13:$A$99928,1,FALSE)</f>
        <v>#N/A</v>
      </c>
    </row>
    <row r="32" spans="1:10" x14ac:dyDescent="0.25">
      <c r="A32" s="202"/>
      <c r="B32" s="42" t="str">
        <f>A32&amp;"-"&amp;IF(DAY(Variables!$A$2)&lt;10,0,"")&amp;DAY(Variables!$A$2)</f>
        <v>-11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2" s="30" t="e">
        <f>VLOOKUP(B32,'Train Runs'!$A$13:$A$99928,1,FALSE)</f>
        <v>#N/A</v>
      </c>
    </row>
    <row r="33" spans="1:10" x14ac:dyDescent="0.25">
      <c r="A33" s="202"/>
      <c r="B33" s="42" t="str">
        <f>A33&amp;"-"&amp;IF(DAY(Variables!$A$2)&lt;10,0,"")&amp;DAY(Variables!$A$2)</f>
        <v>-11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3" s="30" t="e">
        <f>VLOOKUP(B33,'Train Runs'!$A$13:$A$99928,1,FALSE)</f>
        <v>#N/A</v>
      </c>
    </row>
    <row r="34" spans="1:10" x14ac:dyDescent="0.25">
      <c r="A34" s="202"/>
      <c r="B34" s="42" t="str">
        <f>A34&amp;"-"&amp;IF(DAY(Variables!$A$2)&lt;10,0,"")&amp;DAY(Variables!$A$2)</f>
        <v>-11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ref="I34:I5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4" s="30" t="e">
        <f>VLOOKUP(B34,'Train Runs'!$A$13:$A$99928,1,FALSE)</f>
        <v>#N/A</v>
      </c>
    </row>
    <row r="35" spans="1:10" x14ac:dyDescent="0.25">
      <c r="A35" s="202"/>
      <c r="B35" s="42" t="str">
        <f>A35&amp;"-"&amp;IF(DAY(Variables!$A$2)&lt;10,0,"")&amp;DAY(Variables!$A$2)</f>
        <v>-11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5" s="30" t="e">
        <f>VLOOKUP(B35,'Train Runs'!$A$13:$A$99928,1,FALSE)</f>
        <v>#N/A</v>
      </c>
    </row>
    <row r="36" spans="1:10" x14ac:dyDescent="0.25">
      <c r="A36" s="202"/>
      <c r="B36" s="42" t="str">
        <f>A36&amp;"-"&amp;IF(DAY(Variables!$A$2)&lt;10,0,"")&amp;DAY(Variables!$A$2)</f>
        <v>-11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6" s="30" t="e">
        <f>VLOOKUP(B36,'Train Runs'!$A$13:$A$99928,1,FALSE)</f>
        <v>#N/A</v>
      </c>
    </row>
    <row r="37" spans="1:10" x14ac:dyDescent="0.25">
      <c r="A37" s="202"/>
      <c r="B37" s="42" t="str">
        <f>A37&amp;"-"&amp;IF(DAY(Variables!$A$2)&lt;10,0,"")&amp;DAY(Variables!$A$2)</f>
        <v>-11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7" s="30" t="e">
        <f>VLOOKUP(B37,'Train Runs'!$A$13:$A$99928,1,FALSE)</f>
        <v>#N/A</v>
      </c>
    </row>
    <row r="38" spans="1:10" x14ac:dyDescent="0.25">
      <c r="A38" s="202"/>
      <c r="B38" s="42" t="str">
        <f>A38&amp;"-"&amp;IF(DAY(Variables!$A$2)&lt;10,0,"")&amp;DAY(Variables!$A$2)</f>
        <v>-11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8" s="30" t="e">
        <f>VLOOKUP(B38,'Train Runs'!$A$13:$A$99928,1,FALSE)</f>
        <v>#N/A</v>
      </c>
    </row>
    <row r="39" spans="1:10" x14ac:dyDescent="0.25">
      <c r="A39" s="202"/>
      <c r="B39" s="42" t="str">
        <f>A39&amp;"-"&amp;IF(DAY(Variables!$A$2)&lt;10,0,"")&amp;DAY(Variables!$A$2)</f>
        <v>-11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9" s="30" t="e">
        <f>VLOOKUP(B39,'Train Runs'!$A$13:$A$99928,1,FALSE)</f>
        <v>#N/A</v>
      </c>
    </row>
    <row r="40" spans="1:10" x14ac:dyDescent="0.25">
      <c r="A40" s="202"/>
      <c r="B40" s="42" t="str">
        <f>A40&amp;"-"&amp;IF(DAY(Variables!$A$2)&lt;10,0,"")&amp;DAY(Variables!$A$2)</f>
        <v>-11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0" s="30" t="e">
        <f>VLOOKUP(B40,'Train Runs'!$A$13:$A$99928,1,FALSE)</f>
        <v>#N/A</v>
      </c>
    </row>
    <row r="41" spans="1:10" x14ac:dyDescent="0.25">
      <c r="A41" s="202"/>
      <c r="B41" s="42" t="str">
        <f>A41&amp;"-"&amp;IF(DAY(Variables!$A$2)&lt;10,0,"")&amp;DAY(Variables!$A$2)</f>
        <v>-11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1" s="30" t="e">
        <f>VLOOKUP(B41,'Train Runs'!$A$13:$A$99928,1,FALSE)</f>
        <v>#N/A</v>
      </c>
    </row>
    <row r="42" spans="1:10" x14ac:dyDescent="0.25">
      <c r="A42" s="202"/>
      <c r="B42" s="42" t="str">
        <f>A42&amp;"-"&amp;IF(DAY(Variables!$A$2)&lt;10,0,"")&amp;DAY(Variables!$A$2)</f>
        <v>-11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2" s="30" t="e">
        <f>VLOOKUP(B42,'Train Runs'!$A$13:$A$99928,1,FALSE)</f>
        <v>#N/A</v>
      </c>
    </row>
    <row r="43" spans="1:10" x14ac:dyDescent="0.25">
      <c r="A43" s="202"/>
      <c r="B43" s="42" t="str">
        <f>A43&amp;"-"&amp;IF(DAY(Variables!$A$2)&lt;10,0,"")&amp;DAY(Variables!$A$2)</f>
        <v>-11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3" s="30" t="e">
        <f>VLOOKUP(B43,'Train Runs'!$A$13:$A$99928,1,FALSE)</f>
        <v>#N/A</v>
      </c>
    </row>
    <row r="44" spans="1:10" x14ac:dyDescent="0.25">
      <c r="A44" s="202"/>
      <c r="B44" s="42" t="str">
        <f>A44&amp;"-"&amp;IF(DAY(Variables!$A$2)&lt;10,0,"")&amp;DAY(Variables!$A$2)</f>
        <v>-11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4" s="30" t="e">
        <f>VLOOKUP(B44,'Train Runs'!$A$13:$A$99928,1,FALSE)</f>
        <v>#N/A</v>
      </c>
    </row>
    <row r="45" spans="1:10" x14ac:dyDescent="0.25">
      <c r="A45" s="202"/>
      <c r="B45" s="42" t="str">
        <f>A45&amp;"-"&amp;IF(DAY(Variables!$A$2)&lt;10,0,"")&amp;DAY(Variables!$A$2)</f>
        <v>-11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5" s="30" t="e">
        <f>VLOOKUP(B45,'Train Runs'!$A$13:$A$99928,1,FALSE)</f>
        <v>#N/A</v>
      </c>
    </row>
    <row r="46" spans="1:10" x14ac:dyDescent="0.25">
      <c r="A46" s="202"/>
      <c r="B46" s="42" t="str">
        <f>A46&amp;"-"&amp;IF(DAY(Variables!$A$2)&lt;10,0,"")&amp;DAY(Variables!$A$2)</f>
        <v>-11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6" s="30" t="e">
        <f>VLOOKUP(B46,'Train Runs'!$A$13:$A$99928,1,FALSE)</f>
        <v>#N/A</v>
      </c>
    </row>
    <row r="47" spans="1:10" x14ac:dyDescent="0.25">
      <c r="A47" s="202"/>
      <c r="B47" s="42" t="str">
        <f>A47&amp;"-"&amp;IF(DAY(Variables!$A$2)&lt;10,0,"")&amp;DAY(Variables!$A$2)</f>
        <v>-11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7" s="30" t="e">
        <f>VLOOKUP(B47,'Train Runs'!$A$13:$A$99928,1,FALSE)</f>
        <v>#N/A</v>
      </c>
    </row>
    <row r="48" spans="1:10" x14ac:dyDescent="0.25">
      <c r="A48" s="202"/>
      <c r="B48" s="42" t="str">
        <f>A48&amp;"-"&amp;IF(DAY(Variables!$A$2)&lt;10,0,"")&amp;DAY(Variables!$A$2)</f>
        <v>-11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8" s="30" t="e">
        <f>VLOOKUP(B48,'Train Runs'!$A$13:$A$99928,1,FALSE)</f>
        <v>#N/A</v>
      </c>
    </row>
    <row r="49" spans="1:10" x14ac:dyDescent="0.25">
      <c r="A49" s="202"/>
      <c r="B49" s="42" t="str">
        <f>A49&amp;"-"&amp;IF(DAY(Variables!$A$2)&lt;10,0,"")&amp;DAY(Variables!$A$2)</f>
        <v>-11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9" s="30" t="e">
        <f>VLOOKUP(B49,'Train Runs'!$A$13:$A$99928,1,FALSE)</f>
        <v>#N/A</v>
      </c>
    </row>
    <row r="50" spans="1:10" x14ac:dyDescent="0.25">
      <c r="A50" s="202"/>
      <c r="B50" s="42" t="str">
        <f>A50&amp;"-"&amp;IF(DAY(Variables!$A$2)&lt;10,0,"")&amp;DAY(Variables!$A$2)</f>
        <v>-11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0" s="30" t="e">
        <f>VLOOKUP(B50,'Train Runs'!$A$13:$A$99928,1,FALSE)</f>
        <v>#N/A</v>
      </c>
    </row>
    <row r="51" spans="1:10" x14ac:dyDescent="0.25">
      <c r="A51" s="202"/>
      <c r="B51" s="42" t="str">
        <f>A51&amp;"-"&amp;IF(DAY(Variables!$A$2)&lt;10,0,"")&amp;DAY(Variables!$A$2)</f>
        <v>-11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1" s="30" t="e">
        <f>VLOOKUP(B51,'Train Runs'!$A$13:$A$99928,1,FALSE)</f>
        <v>#N/A</v>
      </c>
    </row>
    <row r="52" spans="1:10" x14ac:dyDescent="0.25">
      <c r="A52" s="202"/>
      <c r="B52" s="42" t="str">
        <f>A52&amp;"-"&amp;IF(DAY(Variables!$A$2)&lt;10,0,"")&amp;DAY(Variables!$A$2)</f>
        <v>-11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2" s="30" t="e">
        <f>VLOOKUP(B52,'Train Runs'!$A$13:$A$99928,1,FALSE)</f>
        <v>#N/A</v>
      </c>
    </row>
    <row r="53" spans="1:10" x14ac:dyDescent="0.25">
      <c r="A53" s="202"/>
      <c r="B53" s="42" t="str">
        <f>A53&amp;"-"&amp;IF(DAY(Variables!$A$2)&lt;10,0,"")&amp;DAY(Variables!$A$2)</f>
        <v>-11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3" s="30" t="e">
        <f>VLOOKUP(B53,'Train Runs'!$A$13:$A$99928,1,FALSE)</f>
        <v>#N/A</v>
      </c>
    </row>
    <row r="54" spans="1:10" x14ac:dyDescent="0.25">
      <c r="A54" s="202"/>
      <c r="B54" s="42" t="str">
        <f>A54&amp;"-"&amp;IF(DAY(Variables!$A$2)&lt;10,0,"")&amp;DAY(Variables!$A$2)</f>
        <v>-11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4" s="30" t="e">
        <f>VLOOKUP(B54,'Train Runs'!$A$13:$A$99928,1,FALSE)</f>
        <v>#N/A</v>
      </c>
    </row>
    <row r="55" spans="1:10" x14ac:dyDescent="0.25">
      <c r="A55" s="202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</sheetData>
  <autoFilter ref="A2:J6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42897.035844907405</v>
      </c>
      <c r="B2" s="20" t="s">
        <v>370</v>
      </c>
      <c r="C2" s="20" t="s">
        <v>577</v>
      </c>
      <c r="D2" s="141">
        <v>2610000</v>
      </c>
      <c r="E2" s="20" t="s">
        <v>424</v>
      </c>
      <c r="F2" s="20" t="s">
        <v>425</v>
      </c>
      <c r="G2" s="8" t="str">
        <f>E2&amp;" "&amp;F2</f>
        <v>MAGEE KENYA</v>
      </c>
    </row>
    <row r="3" spans="1:7" x14ac:dyDescent="0.25">
      <c r="A3" s="8">
        <v>42897.036296296297</v>
      </c>
      <c r="B3" s="20" t="s">
        <v>482</v>
      </c>
      <c r="C3" s="20" t="s">
        <v>535</v>
      </c>
      <c r="D3" s="141">
        <v>3090000</v>
      </c>
      <c r="E3" s="20" t="s">
        <v>380</v>
      </c>
      <c r="F3" s="20" t="s">
        <v>381</v>
      </c>
      <c r="G3" s="8" t="str">
        <f t="shared" ref="G3:G66" si="0">E3&amp;" "&amp;F3</f>
        <v>LAMAR NEKESHA</v>
      </c>
    </row>
    <row r="4" spans="1:7" x14ac:dyDescent="0.25">
      <c r="A4" s="8">
        <v>42897.047569444447</v>
      </c>
      <c r="B4" s="20" t="s">
        <v>342</v>
      </c>
      <c r="C4" s="20" t="s">
        <v>578</v>
      </c>
      <c r="D4" s="141">
        <v>3000000</v>
      </c>
      <c r="E4" s="20" t="s">
        <v>434</v>
      </c>
      <c r="F4" s="20" t="s">
        <v>435</v>
      </c>
      <c r="G4" s="8" t="str">
        <f t="shared" si="0"/>
        <v>FORTUNATO FRANK</v>
      </c>
    </row>
    <row r="5" spans="1:7" x14ac:dyDescent="0.25">
      <c r="A5" s="8">
        <v>42897.048159722224</v>
      </c>
      <c r="B5" s="20" t="s">
        <v>481</v>
      </c>
      <c r="C5" s="20" t="s">
        <v>534</v>
      </c>
      <c r="D5" s="141">
        <v>2630000</v>
      </c>
      <c r="E5" s="20" t="s">
        <v>455</v>
      </c>
      <c r="F5" s="20" t="s">
        <v>456</v>
      </c>
      <c r="G5" s="8" t="str">
        <f t="shared" si="0"/>
        <v>SAFIEF AEIMEN</v>
      </c>
    </row>
    <row r="6" spans="1:7" x14ac:dyDescent="0.25">
      <c r="A6" s="8">
        <v>42897.068391203706</v>
      </c>
      <c r="B6" s="20" t="s">
        <v>343</v>
      </c>
      <c r="C6" s="20" t="s">
        <v>579</v>
      </c>
      <c r="D6" s="141">
        <v>2610000</v>
      </c>
      <c r="E6" s="20" t="s">
        <v>424</v>
      </c>
      <c r="F6" s="20" t="s">
        <v>425</v>
      </c>
      <c r="G6" s="8" t="str">
        <f t="shared" si="0"/>
        <v>MAGEE KENYA</v>
      </c>
    </row>
    <row r="7" spans="1:7" x14ac:dyDescent="0.25">
      <c r="A7" s="8">
        <v>42897.072789351849</v>
      </c>
      <c r="B7" s="20" t="s">
        <v>515</v>
      </c>
      <c r="C7" s="20" t="s">
        <v>580</v>
      </c>
      <c r="D7" s="141">
        <v>3090000</v>
      </c>
      <c r="E7" s="20" t="s">
        <v>380</v>
      </c>
      <c r="F7" s="20" t="s">
        <v>381</v>
      </c>
      <c r="G7" s="8" t="str">
        <f t="shared" si="0"/>
        <v>LAMAR NEKESHA</v>
      </c>
    </row>
    <row r="8" spans="1:7" x14ac:dyDescent="0.25">
      <c r="A8" s="8">
        <v>42897.089479166665</v>
      </c>
      <c r="B8" s="20" t="s">
        <v>341</v>
      </c>
      <c r="C8" s="20" t="s">
        <v>581</v>
      </c>
      <c r="D8" s="141">
        <v>3000000</v>
      </c>
      <c r="E8" s="20" t="s">
        <v>434</v>
      </c>
      <c r="F8" s="20" t="s">
        <v>435</v>
      </c>
      <c r="G8" s="8" t="str">
        <f t="shared" si="0"/>
        <v>FORTUNATO FRANK</v>
      </c>
    </row>
    <row r="9" spans="1:7" ht="15.75" thickBot="1" x14ac:dyDescent="0.3">
      <c r="A9" s="24">
        <v>42897.110775462963</v>
      </c>
      <c r="B9" s="20" t="s">
        <v>482</v>
      </c>
      <c r="C9" s="20" t="s">
        <v>582</v>
      </c>
      <c r="D9" s="141">
        <v>3090000</v>
      </c>
      <c r="E9" s="20" t="s">
        <v>380</v>
      </c>
      <c r="F9" s="20" t="s">
        <v>381</v>
      </c>
      <c r="G9" s="8" t="str">
        <f t="shared" si="0"/>
        <v>LAMAR NEKESHA</v>
      </c>
    </row>
    <row r="10" spans="1:7" x14ac:dyDescent="0.25">
      <c r="A10" s="8">
        <v>42897.113530092596</v>
      </c>
      <c r="B10" s="20" t="s">
        <v>475</v>
      </c>
      <c r="C10" s="20" t="s">
        <v>583</v>
      </c>
      <c r="D10" s="141">
        <v>2010000</v>
      </c>
      <c r="E10" s="20" t="s">
        <v>584</v>
      </c>
      <c r="F10" s="20" t="s">
        <v>585</v>
      </c>
      <c r="G10" s="8" t="str">
        <f t="shared" si="0"/>
        <v>MAELZER KURT</v>
      </c>
    </row>
    <row r="11" spans="1:7" x14ac:dyDescent="0.25">
      <c r="A11" s="8">
        <v>42897.114745370367</v>
      </c>
      <c r="B11" s="20" t="s">
        <v>475</v>
      </c>
      <c r="C11" s="20" t="s">
        <v>583</v>
      </c>
      <c r="D11" s="141">
        <v>2010000</v>
      </c>
      <c r="E11" s="20" t="s">
        <v>584</v>
      </c>
      <c r="F11" s="20" t="s">
        <v>585</v>
      </c>
      <c r="G11" s="8" t="str">
        <f t="shared" si="0"/>
        <v>MAELZER KURT</v>
      </c>
    </row>
    <row r="12" spans="1:7" x14ac:dyDescent="0.25">
      <c r="A12" s="8">
        <v>42897.133321759262</v>
      </c>
      <c r="B12" s="20" t="s">
        <v>361</v>
      </c>
      <c r="C12" s="20" t="s">
        <v>651</v>
      </c>
      <c r="D12" s="141">
        <v>2010000</v>
      </c>
      <c r="E12" s="20" t="s">
        <v>584</v>
      </c>
      <c r="F12" s="20" t="s">
        <v>585</v>
      </c>
      <c r="G12" s="8" t="str">
        <f t="shared" si="0"/>
        <v>MAELZER KURT</v>
      </c>
    </row>
    <row r="13" spans="1:7" x14ac:dyDescent="0.25">
      <c r="A13" s="8">
        <v>42897.134814814817</v>
      </c>
      <c r="B13" s="20" t="s">
        <v>474</v>
      </c>
      <c r="C13" s="20" t="s">
        <v>652</v>
      </c>
      <c r="D13" s="141">
        <v>1780000</v>
      </c>
      <c r="E13" s="20" t="s">
        <v>538</v>
      </c>
      <c r="F13" s="20" t="s">
        <v>539</v>
      </c>
      <c r="G13" s="8" t="str">
        <f t="shared" si="0"/>
        <v>DE LA ROSA ALEX</v>
      </c>
    </row>
    <row r="14" spans="1:7" x14ac:dyDescent="0.25">
      <c r="A14" s="8">
        <v>42897.137685185182</v>
      </c>
      <c r="B14" s="20" t="s">
        <v>516</v>
      </c>
      <c r="C14" s="20" t="s">
        <v>653</v>
      </c>
      <c r="D14" s="141">
        <v>3040000</v>
      </c>
      <c r="E14" s="20" t="s">
        <v>387</v>
      </c>
      <c r="F14" s="20" t="s">
        <v>388</v>
      </c>
      <c r="G14" s="8" t="str">
        <f t="shared" si="0"/>
        <v>WILLIAMS DONTE</v>
      </c>
    </row>
    <row r="15" spans="1:7" x14ac:dyDescent="0.25">
      <c r="A15" s="8">
        <v>42897.140243055554</v>
      </c>
      <c r="B15" s="20" t="s">
        <v>475</v>
      </c>
      <c r="C15" s="20" t="s">
        <v>654</v>
      </c>
      <c r="D15" s="141">
        <v>1780000</v>
      </c>
      <c r="E15" s="20" t="s">
        <v>538</v>
      </c>
      <c r="F15" s="20" t="s">
        <v>539</v>
      </c>
      <c r="G15" s="8" t="str">
        <f t="shared" si="0"/>
        <v>DE LA ROSA ALEX</v>
      </c>
    </row>
    <row r="16" spans="1:7" x14ac:dyDescent="0.25">
      <c r="A16" s="8">
        <v>42897.149733796294</v>
      </c>
      <c r="B16" s="20" t="s">
        <v>430</v>
      </c>
      <c r="C16" s="20" t="s">
        <v>655</v>
      </c>
      <c r="D16" s="141">
        <v>1810000</v>
      </c>
      <c r="E16" s="20" t="s">
        <v>372</v>
      </c>
      <c r="F16" s="20" t="s">
        <v>191</v>
      </c>
      <c r="G16" s="8" t="str">
        <f t="shared" si="0"/>
        <v>NEWELL JAMES</v>
      </c>
    </row>
    <row r="17" spans="1:7" x14ac:dyDescent="0.25">
      <c r="A17" s="8">
        <v>42897.152048611111</v>
      </c>
      <c r="B17" s="20" t="s">
        <v>405</v>
      </c>
      <c r="C17" s="20" t="s">
        <v>656</v>
      </c>
      <c r="D17" s="141">
        <v>3040000</v>
      </c>
      <c r="E17" s="20" t="s">
        <v>387</v>
      </c>
      <c r="F17" s="20" t="s">
        <v>388</v>
      </c>
      <c r="G17" s="8" t="str">
        <f t="shared" si="0"/>
        <v>WILLIAMS DONTE</v>
      </c>
    </row>
    <row r="18" spans="1:7" x14ac:dyDescent="0.25">
      <c r="A18" s="8">
        <v>42897.167083333334</v>
      </c>
      <c r="B18" s="20" t="s">
        <v>419</v>
      </c>
      <c r="C18" s="20" t="s">
        <v>657</v>
      </c>
      <c r="D18" s="141">
        <v>2010000</v>
      </c>
      <c r="E18" s="20" t="s">
        <v>584</v>
      </c>
      <c r="F18" s="20" t="s">
        <v>585</v>
      </c>
      <c r="G18" s="8" t="str">
        <f t="shared" si="0"/>
        <v>MAELZER KURT</v>
      </c>
    </row>
    <row r="19" spans="1:7" x14ac:dyDescent="0.25">
      <c r="A19" s="8">
        <v>42897.167662037034</v>
      </c>
      <c r="B19" s="20" t="s">
        <v>419</v>
      </c>
      <c r="C19" s="20" t="s">
        <v>657</v>
      </c>
      <c r="D19" s="141">
        <v>2010000</v>
      </c>
      <c r="E19" s="20" t="s">
        <v>584</v>
      </c>
      <c r="F19" s="20" t="s">
        <v>585</v>
      </c>
      <c r="G19" s="8" t="str">
        <f t="shared" si="0"/>
        <v>MAELZER KURT</v>
      </c>
    </row>
    <row r="20" spans="1:7" x14ac:dyDescent="0.25">
      <c r="A20" s="8">
        <v>42897.168923611112</v>
      </c>
      <c r="B20" s="20" t="s">
        <v>419</v>
      </c>
      <c r="C20" s="20" t="s">
        <v>657</v>
      </c>
      <c r="D20" s="141">
        <v>2010000</v>
      </c>
      <c r="E20" s="20" t="s">
        <v>584</v>
      </c>
      <c r="F20" s="20" t="s">
        <v>585</v>
      </c>
      <c r="G20" s="8" t="str">
        <f t="shared" si="0"/>
        <v>MAELZER KURT</v>
      </c>
    </row>
    <row r="21" spans="1:7" x14ac:dyDescent="0.25">
      <c r="A21" s="8">
        <v>42897.169525462959</v>
      </c>
      <c r="B21" s="20" t="s">
        <v>453</v>
      </c>
      <c r="C21" s="20" t="s">
        <v>658</v>
      </c>
      <c r="D21" s="141">
        <v>2530000</v>
      </c>
      <c r="E21" s="20" t="s">
        <v>536</v>
      </c>
      <c r="F21" s="20" t="s">
        <v>537</v>
      </c>
      <c r="G21" s="8" t="str">
        <f t="shared" si="0"/>
        <v>LALONDE GREGORY</v>
      </c>
    </row>
    <row r="22" spans="1:7" x14ac:dyDescent="0.25">
      <c r="A22" s="26">
        <v>42897.173379629632</v>
      </c>
      <c r="B22" s="20" t="s">
        <v>432</v>
      </c>
      <c r="C22" s="20" t="s">
        <v>659</v>
      </c>
      <c r="D22" s="141">
        <v>1810000</v>
      </c>
      <c r="E22" s="20" t="s">
        <v>372</v>
      </c>
      <c r="F22" s="20" t="s">
        <v>191</v>
      </c>
      <c r="G22" s="8" t="str">
        <f t="shared" si="0"/>
        <v>NEWELL JAMES</v>
      </c>
    </row>
    <row r="23" spans="1:7" x14ac:dyDescent="0.25">
      <c r="A23" s="8">
        <v>42897.17869212963</v>
      </c>
      <c r="B23" s="20" t="s">
        <v>374</v>
      </c>
      <c r="C23" s="20" t="s">
        <v>660</v>
      </c>
      <c r="D23" s="141">
        <v>1100000</v>
      </c>
      <c r="E23" s="20" t="s">
        <v>495</v>
      </c>
      <c r="F23" s="20" t="s">
        <v>496</v>
      </c>
      <c r="G23" s="8" t="str">
        <f t="shared" si="0"/>
        <v>GEBRETEKLE DAGNEW</v>
      </c>
    </row>
    <row r="24" spans="1:7" x14ac:dyDescent="0.25">
      <c r="A24" s="8">
        <v>42897.180520833332</v>
      </c>
      <c r="B24" s="20" t="s">
        <v>374</v>
      </c>
      <c r="C24" s="20" t="s">
        <v>661</v>
      </c>
      <c r="D24" s="141">
        <v>1100000</v>
      </c>
      <c r="E24" s="20" t="s">
        <v>495</v>
      </c>
      <c r="F24" s="20" t="s">
        <v>496</v>
      </c>
      <c r="G24" s="8" t="str">
        <f t="shared" si="0"/>
        <v>GEBRETEKLE DAGNEW</v>
      </c>
    </row>
    <row r="25" spans="1:7" x14ac:dyDescent="0.25">
      <c r="A25" s="8">
        <v>42897.185219907406</v>
      </c>
      <c r="B25" s="20" t="s">
        <v>454</v>
      </c>
      <c r="C25" s="20" t="s">
        <v>662</v>
      </c>
      <c r="D25" s="141">
        <v>2530000</v>
      </c>
      <c r="E25" s="20" t="s">
        <v>536</v>
      </c>
      <c r="F25" s="20" t="s">
        <v>537</v>
      </c>
      <c r="G25" s="8" t="str">
        <f t="shared" si="0"/>
        <v>LALONDE GREGORY</v>
      </c>
    </row>
    <row r="26" spans="1:7" x14ac:dyDescent="0.25">
      <c r="A26" s="8">
        <v>42897.186631944445</v>
      </c>
      <c r="B26" s="20" t="s">
        <v>516</v>
      </c>
      <c r="C26" s="20" t="s">
        <v>663</v>
      </c>
      <c r="D26" s="141">
        <v>3040000</v>
      </c>
      <c r="E26" s="20" t="s">
        <v>387</v>
      </c>
      <c r="F26" s="20" t="s">
        <v>388</v>
      </c>
      <c r="G26" s="8" t="str">
        <f t="shared" si="0"/>
        <v>WILLIAMS DONTE</v>
      </c>
    </row>
    <row r="27" spans="1:7" x14ac:dyDescent="0.25">
      <c r="A27" s="8">
        <v>42897.193854166668</v>
      </c>
      <c r="B27" s="20" t="s">
        <v>377</v>
      </c>
      <c r="C27" s="20" t="s">
        <v>660</v>
      </c>
      <c r="D27" s="141">
        <v>1100000</v>
      </c>
      <c r="E27" s="20" t="s">
        <v>495</v>
      </c>
      <c r="F27" s="20" t="s">
        <v>496</v>
      </c>
      <c r="G27" s="8" t="str">
        <f t="shared" si="0"/>
        <v>GEBRETEKLE DAGNEW</v>
      </c>
    </row>
    <row r="28" spans="1:7" x14ac:dyDescent="0.25">
      <c r="A28" s="8">
        <v>42897.196226851855</v>
      </c>
      <c r="B28" s="20" t="s">
        <v>402</v>
      </c>
      <c r="C28" s="20" t="s">
        <v>664</v>
      </c>
      <c r="D28" s="141">
        <v>2970000</v>
      </c>
      <c r="E28" s="20" t="s">
        <v>384</v>
      </c>
      <c r="F28" s="20" t="s">
        <v>385</v>
      </c>
      <c r="G28" s="8" t="str">
        <f t="shared" si="0"/>
        <v>GUZMAN DANNY</v>
      </c>
    </row>
    <row r="29" spans="1:7" x14ac:dyDescent="0.25">
      <c r="A29" s="8">
        <v>42897.20453703704</v>
      </c>
      <c r="B29" s="20" t="s">
        <v>361</v>
      </c>
      <c r="C29" s="20" t="s">
        <v>665</v>
      </c>
      <c r="D29" s="141">
        <v>2010000</v>
      </c>
      <c r="E29" s="20" t="s">
        <v>584</v>
      </c>
      <c r="F29" s="20" t="s">
        <v>585</v>
      </c>
      <c r="G29" s="8" t="str">
        <f t="shared" si="0"/>
        <v>MAELZER KURT</v>
      </c>
    </row>
    <row r="30" spans="1:7" x14ac:dyDescent="0.25">
      <c r="A30" s="8">
        <v>42897.208622685182</v>
      </c>
      <c r="B30" s="20" t="s">
        <v>403</v>
      </c>
      <c r="C30" s="20" t="s">
        <v>666</v>
      </c>
      <c r="D30" s="141">
        <v>2970000</v>
      </c>
      <c r="E30" s="20" t="s">
        <v>384</v>
      </c>
      <c r="F30" s="20" t="s">
        <v>385</v>
      </c>
      <c r="G30" s="8" t="str">
        <f t="shared" si="0"/>
        <v>GUZMAN DANNY</v>
      </c>
    </row>
    <row r="31" spans="1:7" x14ac:dyDescent="0.25">
      <c r="A31" s="8">
        <v>42897.212268518517</v>
      </c>
      <c r="B31" s="20" t="s">
        <v>430</v>
      </c>
      <c r="C31" s="20" t="s">
        <v>667</v>
      </c>
      <c r="D31" s="141">
        <v>1810000</v>
      </c>
      <c r="E31" s="20" t="s">
        <v>372</v>
      </c>
      <c r="F31" s="20" t="s">
        <v>191</v>
      </c>
      <c r="G31" s="8" t="str">
        <f t="shared" si="0"/>
        <v>NEWELL JAMES</v>
      </c>
    </row>
    <row r="32" spans="1:7" x14ac:dyDescent="0.25">
      <c r="A32" s="8">
        <v>42897.216921296298</v>
      </c>
      <c r="B32" s="20" t="s">
        <v>494</v>
      </c>
      <c r="C32" s="20" t="s">
        <v>668</v>
      </c>
      <c r="D32" s="141">
        <v>2600000</v>
      </c>
      <c r="E32" s="20" t="s">
        <v>540</v>
      </c>
      <c r="F32" s="20" t="s">
        <v>541</v>
      </c>
      <c r="G32" s="8" t="str">
        <f t="shared" si="0"/>
        <v>DAVIDSON DAVID</v>
      </c>
    </row>
    <row r="33" spans="1:7" x14ac:dyDescent="0.25">
      <c r="A33" s="8">
        <v>42897.217476851853</v>
      </c>
      <c r="B33" s="20" t="s">
        <v>453</v>
      </c>
      <c r="C33" s="20" t="s">
        <v>669</v>
      </c>
      <c r="D33" s="141">
        <v>2530000</v>
      </c>
      <c r="E33" s="20" t="s">
        <v>536</v>
      </c>
      <c r="F33" s="20" t="s">
        <v>537</v>
      </c>
      <c r="G33" s="8" t="str">
        <f t="shared" si="0"/>
        <v>LALONDE GREGORY</v>
      </c>
    </row>
    <row r="34" spans="1:7" x14ac:dyDescent="0.25">
      <c r="A34" s="8">
        <v>42897.22483796296</v>
      </c>
      <c r="B34" s="20" t="s">
        <v>374</v>
      </c>
      <c r="C34" s="20" t="s">
        <v>670</v>
      </c>
      <c r="D34" s="141">
        <v>1100000</v>
      </c>
      <c r="E34" s="20" t="s">
        <v>495</v>
      </c>
      <c r="F34" s="20" t="s">
        <v>496</v>
      </c>
      <c r="G34" s="8" t="str">
        <f t="shared" si="0"/>
        <v>GEBRETEKLE DAGNEW</v>
      </c>
    </row>
    <row r="35" spans="1:7" x14ac:dyDescent="0.25">
      <c r="A35" s="8">
        <v>42897.225497685184</v>
      </c>
      <c r="B35" s="20" t="s">
        <v>629</v>
      </c>
      <c r="C35" s="20" t="s">
        <v>671</v>
      </c>
      <c r="D35" s="141">
        <v>2560000</v>
      </c>
      <c r="E35" s="20" t="s">
        <v>542</v>
      </c>
      <c r="F35" s="20" t="s">
        <v>371</v>
      </c>
      <c r="G35" s="8" t="str">
        <f t="shared" si="0"/>
        <v>MACDONALD THOMAS</v>
      </c>
    </row>
    <row r="36" spans="1:7" x14ac:dyDescent="0.25">
      <c r="A36" s="8">
        <v>42897.225949074076</v>
      </c>
      <c r="B36" s="20" t="s">
        <v>405</v>
      </c>
      <c r="C36" s="20" t="s">
        <v>672</v>
      </c>
      <c r="D36" s="141">
        <v>3040000</v>
      </c>
      <c r="E36" s="20" t="s">
        <v>387</v>
      </c>
      <c r="F36" s="20" t="s">
        <v>388</v>
      </c>
      <c r="G36" s="8" t="str">
        <f t="shared" si="0"/>
        <v>WILLIAMS DONTE</v>
      </c>
    </row>
    <row r="37" spans="1:7" x14ac:dyDescent="0.25">
      <c r="A37" s="8">
        <v>42897.230081018519</v>
      </c>
      <c r="B37" s="20" t="s">
        <v>491</v>
      </c>
      <c r="C37" s="20" t="s">
        <v>673</v>
      </c>
      <c r="D37" s="141">
        <v>2600000</v>
      </c>
      <c r="E37" s="20" t="s">
        <v>540</v>
      </c>
      <c r="F37" s="20" t="s">
        <v>541</v>
      </c>
      <c r="G37" s="8" t="str">
        <f t="shared" si="0"/>
        <v>DAVIDSON DAVID</v>
      </c>
    </row>
    <row r="38" spans="1:7" x14ac:dyDescent="0.25">
      <c r="A38" s="8">
        <v>42897.23940972222</v>
      </c>
      <c r="B38" s="20" t="s">
        <v>626</v>
      </c>
      <c r="C38" s="20" t="s">
        <v>674</v>
      </c>
      <c r="D38" s="141">
        <v>2560000</v>
      </c>
      <c r="E38" s="20" t="s">
        <v>542</v>
      </c>
      <c r="F38" s="20" t="s">
        <v>371</v>
      </c>
      <c r="G38" s="8" t="str">
        <f t="shared" si="0"/>
        <v>MACDONALD THOMAS</v>
      </c>
    </row>
    <row r="39" spans="1:7" x14ac:dyDescent="0.25">
      <c r="A39" s="8">
        <v>42897.242731481485</v>
      </c>
      <c r="B39" s="20" t="s">
        <v>419</v>
      </c>
      <c r="C39" s="20" t="s">
        <v>675</v>
      </c>
      <c r="D39" s="141">
        <v>2010000</v>
      </c>
      <c r="E39" s="20" t="s">
        <v>584</v>
      </c>
      <c r="F39" s="20" t="s">
        <v>585</v>
      </c>
      <c r="G39" s="8" t="str">
        <f t="shared" si="0"/>
        <v>MAELZER KURT</v>
      </c>
    </row>
    <row r="40" spans="1:7" x14ac:dyDescent="0.25">
      <c r="A40" s="8">
        <v>42897.245428240742</v>
      </c>
      <c r="B40" s="25" t="s">
        <v>432</v>
      </c>
      <c r="C40" s="20" t="s">
        <v>676</v>
      </c>
      <c r="D40" s="141">
        <v>1810000</v>
      </c>
      <c r="E40" s="20" t="s">
        <v>372</v>
      </c>
      <c r="F40" s="20" t="s">
        <v>191</v>
      </c>
      <c r="G40" s="8" t="str">
        <f t="shared" si="0"/>
        <v>NEWELL JAMES</v>
      </c>
    </row>
    <row r="41" spans="1:7" x14ac:dyDescent="0.25">
      <c r="A41" s="8">
        <v>42897.246840277781</v>
      </c>
      <c r="B41" s="20" t="s">
        <v>402</v>
      </c>
      <c r="C41" s="20" t="s">
        <v>677</v>
      </c>
      <c r="D41" s="141">
        <v>2970000</v>
      </c>
      <c r="E41" s="20" t="s">
        <v>384</v>
      </c>
      <c r="F41" s="20" t="s">
        <v>385</v>
      </c>
      <c r="G41" s="8" t="str">
        <f t="shared" si="0"/>
        <v>GUZMAN DANNY</v>
      </c>
    </row>
    <row r="42" spans="1:7" x14ac:dyDescent="0.25">
      <c r="A42" s="8">
        <v>42897.248865740738</v>
      </c>
      <c r="B42" s="20" t="s">
        <v>494</v>
      </c>
      <c r="C42" s="20" t="s">
        <v>620</v>
      </c>
      <c r="D42" s="141">
        <v>2600000</v>
      </c>
      <c r="E42" s="20" t="s">
        <v>540</v>
      </c>
      <c r="F42" s="20" t="s">
        <v>541</v>
      </c>
      <c r="G42" s="8" t="str">
        <f t="shared" si="0"/>
        <v>DAVIDSON DAVID</v>
      </c>
    </row>
    <row r="43" spans="1:7" x14ac:dyDescent="0.25">
      <c r="A43" s="8">
        <v>42897.255937499998</v>
      </c>
      <c r="B43" s="20" t="s">
        <v>454</v>
      </c>
      <c r="C43" s="20" t="s">
        <v>678</v>
      </c>
      <c r="D43" s="141">
        <v>2530000</v>
      </c>
      <c r="E43" s="20" t="s">
        <v>536</v>
      </c>
      <c r="F43" s="20" t="s">
        <v>537</v>
      </c>
      <c r="G43" s="8" t="str">
        <f t="shared" si="0"/>
        <v>LALONDE GREGORY</v>
      </c>
    </row>
    <row r="44" spans="1:7" x14ac:dyDescent="0.25">
      <c r="A44" s="8">
        <v>42897.257152777776</v>
      </c>
      <c r="B44" s="20" t="s">
        <v>516</v>
      </c>
      <c r="C44" s="20" t="s">
        <v>679</v>
      </c>
      <c r="D44" s="141">
        <v>3040000</v>
      </c>
      <c r="E44" s="20" t="s">
        <v>387</v>
      </c>
      <c r="F44" s="20" t="s">
        <v>388</v>
      </c>
      <c r="G44" s="8" t="str">
        <f t="shared" si="0"/>
        <v>WILLIAMS DONTE</v>
      </c>
    </row>
    <row r="45" spans="1:7" x14ac:dyDescent="0.25">
      <c r="A45" s="8">
        <v>42897.266041666669</v>
      </c>
      <c r="B45" s="20" t="s">
        <v>377</v>
      </c>
      <c r="C45" s="20" t="s">
        <v>621</v>
      </c>
      <c r="D45" s="141">
        <v>1100000</v>
      </c>
      <c r="E45" s="20" t="s">
        <v>495</v>
      </c>
      <c r="F45" s="20" t="s">
        <v>496</v>
      </c>
      <c r="G45" s="8" t="str">
        <f t="shared" si="0"/>
        <v>GEBRETEKLE DAGNEW</v>
      </c>
    </row>
    <row r="46" spans="1:7" x14ac:dyDescent="0.25">
      <c r="A46" s="8">
        <v>42897.276226851849</v>
      </c>
      <c r="B46" s="20" t="s">
        <v>491</v>
      </c>
      <c r="C46" s="20" t="s">
        <v>680</v>
      </c>
      <c r="D46" s="141">
        <v>2600000</v>
      </c>
      <c r="E46" s="20" t="s">
        <v>540</v>
      </c>
      <c r="F46" s="20" t="s">
        <v>541</v>
      </c>
      <c r="G46" s="8" t="str">
        <f t="shared" si="0"/>
        <v>DAVIDSON DAVID</v>
      </c>
    </row>
    <row r="47" spans="1:7" x14ac:dyDescent="0.25">
      <c r="A47" s="8">
        <v>42897.277106481481</v>
      </c>
      <c r="B47" s="20" t="s">
        <v>361</v>
      </c>
      <c r="C47" s="20" t="s">
        <v>681</v>
      </c>
      <c r="D47" s="141">
        <v>2010000</v>
      </c>
      <c r="E47" s="20" t="s">
        <v>584</v>
      </c>
      <c r="F47" s="20" t="s">
        <v>585</v>
      </c>
      <c r="G47" s="8" t="str">
        <f t="shared" si="0"/>
        <v>MAELZER KURT</v>
      </c>
    </row>
    <row r="48" spans="1:7" x14ac:dyDescent="0.25">
      <c r="A48" s="8">
        <v>42897.277858796297</v>
      </c>
      <c r="B48" s="20" t="s">
        <v>629</v>
      </c>
      <c r="C48" s="20" t="s">
        <v>682</v>
      </c>
      <c r="D48" s="141">
        <v>2560000</v>
      </c>
      <c r="E48" s="20" t="s">
        <v>542</v>
      </c>
      <c r="F48" s="20" t="s">
        <v>371</v>
      </c>
      <c r="G48" s="8" t="str">
        <f t="shared" si="0"/>
        <v>MACDONALD THOMAS</v>
      </c>
    </row>
    <row r="49" spans="1:7" x14ac:dyDescent="0.25">
      <c r="A49" s="8">
        <v>42897.281574074077</v>
      </c>
      <c r="B49" s="20" t="s">
        <v>430</v>
      </c>
      <c r="C49" s="20" t="s">
        <v>683</v>
      </c>
      <c r="D49" s="141">
        <v>1810000</v>
      </c>
      <c r="E49" s="20" t="s">
        <v>372</v>
      </c>
      <c r="F49" s="20" t="s">
        <v>191</v>
      </c>
      <c r="G49" s="8" t="str">
        <f t="shared" si="0"/>
        <v>NEWELL JAMES</v>
      </c>
    </row>
    <row r="50" spans="1:7" x14ac:dyDescent="0.25">
      <c r="A50" s="8">
        <v>42897.286990740744</v>
      </c>
      <c r="B50" s="20" t="s">
        <v>453</v>
      </c>
      <c r="C50" s="20" t="s">
        <v>684</v>
      </c>
      <c r="D50" s="141">
        <v>2530000</v>
      </c>
      <c r="E50" s="20" t="s">
        <v>536</v>
      </c>
      <c r="F50" s="20" t="s">
        <v>537</v>
      </c>
      <c r="G50" s="8" t="str">
        <f t="shared" si="0"/>
        <v>LALONDE GREGORY</v>
      </c>
    </row>
    <row r="51" spans="1:7" x14ac:dyDescent="0.25">
      <c r="A51" s="8">
        <v>42897.28707175926</v>
      </c>
      <c r="B51" s="20" t="s">
        <v>403</v>
      </c>
      <c r="C51" s="20" t="s">
        <v>685</v>
      </c>
      <c r="D51" s="141">
        <v>2970000</v>
      </c>
      <c r="E51" s="20" t="s">
        <v>384</v>
      </c>
      <c r="F51" s="20" t="s">
        <v>385</v>
      </c>
      <c r="G51" s="8" t="str">
        <f t="shared" si="0"/>
        <v>GUZMAN DANNY</v>
      </c>
    </row>
    <row r="52" spans="1:7" x14ac:dyDescent="0.25">
      <c r="A52" s="8">
        <v>42897.29010416667</v>
      </c>
      <c r="B52" s="20" t="s">
        <v>494</v>
      </c>
      <c r="C52" s="20" t="s">
        <v>686</v>
      </c>
      <c r="D52" s="141">
        <v>2600000</v>
      </c>
      <c r="E52" s="20" t="s">
        <v>540</v>
      </c>
      <c r="F52" s="20" t="s">
        <v>541</v>
      </c>
      <c r="G52" s="8" t="str">
        <f t="shared" si="0"/>
        <v>DAVIDSON DAVID</v>
      </c>
    </row>
    <row r="53" spans="1:7" x14ac:dyDescent="0.25">
      <c r="A53" s="8">
        <v>42897.296770833331</v>
      </c>
      <c r="B53" s="20" t="s">
        <v>374</v>
      </c>
      <c r="C53" s="20" t="s">
        <v>687</v>
      </c>
      <c r="D53" s="141">
        <v>1100000</v>
      </c>
      <c r="E53" s="20" t="s">
        <v>495</v>
      </c>
      <c r="F53" s="20" t="s">
        <v>496</v>
      </c>
      <c r="G53" s="8" t="str">
        <f t="shared" si="0"/>
        <v>GEBRETEKLE DAGNEW</v>
      </c>
    </row>
    <row r="54" spans="1:7" x14ac:dyDescent="0.25">
      <c r="A54" s="8">
        <v>42897.298344907409</v>
      </c>
      <c r="B54" s="20" t="s">
        <v>405</v>
      </c>
      <c r="C54" s="20" t="s">
        <v>688</v>
      </c>
      <c r="D54" s="141">
        <v>3040000</v>
      </c>
      <c r="E54" s="20" t="s">
        <v>387</v>
      </c>
      <c r="F54" s="20" t="s">
        <v>388</v>
      </c>
      <c r="G54" s="8" t="str">
        <f t="shared" si="0"/>
        <v>WILLIAMS DONTE</v>
      </c>
    </row>
    <row r="55" spans="1:7" x14ac:dyDescent="0.25">
      <c r="A55" s="8">
        <v>42897.306805555556</v>
      </c>
      <c r="B55" s="20" t="s">
        <v>626</v>
      </c>
      <c r="C55" s="20" t="s">
        <v>689</v>
      </c>
      <c r="D55" s="141">
        <v>2560000</v>
      </c>
      <c r="E55" s="20" t="s">
        <v>542</v>
      </c>
      <c r="F55" s="20" t="s">
        <v>371</v>
      </c>
      <c r="G55" s="8" t="str">
        <f t="shared" si="0"/>
        <v>MACDONALD THOMAS</v>
      </c>
    </row>
    <row r="56" spans="1:7" x14ac:dyDescent="0.25">
      <c r="A56" s="8">
        <v>42897.313368055555</v>
      </c>
      <c r="B56" s="20" t="s">
        <v>419</v>
      </c>
      <c r="C56" s="20" t="s">
        <v>690</v>
      </c>
      <c r="D56" s="141">
        <v>2010000</v>
      </c>
      <c r="E56" s="20" t="s">
        <v>584</v>
      </c>
      <c r="F56" s="20" t="s">
        <v>585</v>
      </c>
      <c r="G56" s="8" t="str">
        <f t="shared" si="0"/>
        <v>MAELZER KURT</v>
      </c>
    </row>
    <row r="57" spans="1:7" x14ac:dyDescent="0.25">
      <c r="A57" s="8">
        <v>42897.317210648151</v>
      </c>
      <c r="B57" s="20" t="s">
        <v>491</v>
      </c>
      <c r="C57" s="20" t="s">
        <v>691</v>
      </c>
      <c r="D57" s="141">
        <v>2600000</v>
      </c>
      <c r="E57" s="20" t="s">
        <v>540</v>
      </c>
      <c r="F57" s="20" t="s">
        <v>541</v>
      </c>
      <c r="G57" s="8" t="str">
        <f t="shared" si="0"/>
        <v>DAVIDSON DAVID</v>
      </c>
    </row>
    <row r="58" spans="1:7" x14ac:dyDescent="0.25">
      <c r="A58" s="8">
        <v>42897.319282407407</v>
      </c>
      <c r="B58" s="20" t="s">
        <v>402</v>
      </c>
      <c r="C58" s="20" t="s">
        <v>692</v>
      </c>
      <c r="D58" s="141">
        <v>2970000</v>
      </c>
      <c r="E58" s="20" t="s">
        <v>384</v>
      </c>
      <c r="F58" s="20" t="s">
        <v>385</v>
      </c>
      <c r="G58" s="8" t="str">
        <f t="shared" si="0"/>
        <v>GUZMAN DANNY</v>
      </c>
    </row>
    <row r="59" spans="1:7" x14ac:dyDescent="0.25">
      <c r="A59" s="8">
        <v>42897.320173611108</v>
      </c>
      <c r="B59" s="20" t="s">
        <v>432</v>
      </c>
      <c r="C59" s="20" t="s">
        <v>693</v>
      </c>
      <c r="D59" s="141">
        <v>1810000</v>
      </c>
      <c r="E59" s="20" t="s">
        <v>372</v>
      </c>
      <c r="F59" s="20" t="s">
        <v>191</v>
      </c>
      <c r="G59" s="8" t="str">
        <f t="shared" si="0"/>
        <v>NEWELL JAMES</v>
      </c>
    </row>
    <row r="60" spans="1:7" x14ac:dyDescent="0.25">
      <c r="A60" s="8">
        <v>42897.328530092593</v>
      </c>
      <c r="B60" s="20" t="s">
        <v>454</v>
      </c>
      <c r="C60" s="20" t="s">
        <v>694</v>
      </c>
      <c r="D60" s="141">
        <v>2530000</v>
      </c>
      <c r="E60" s="20" t="s">
        <v>536</v>
      </c>
      <c r="F60" s="20" t="s">
        <v>537</v>
      </c>
      <c r="G60" s="8" t="str">
        <f t="shared" si="0"/>
        <v>LALONDE GREGORY</v>
      </c>
    </row>
    <row r="61" spans="1:7" x14ac:dyDescent="0.25">
      <c r="A61" s="8">
        <v>42897.33090277778</v>
      </c>
      <c r="B61" s="20" t="s">
        <v>516</v>
      </c>
      <c r="C61" s="20" t="s">
        <v>695</v>
      </c>
      <c r="D61" s="141">
        <v>3040000</v>
      </c>
      <c r="E61" s="20" t="s">
        <v>387</v>
      </c>
      <c r="F61" s="20" t="s">
        <v>388</v>
      </c>
      <c r="G61" s="8" t="str">
        <f t="shared" si="0"/>
        <v>WILLIAMS DONTE</v>
      </c>
    </row>
    <row r="62" spans="1:7" x14ac:dyDescent="0.25">
      <c r="A62" s="8">
        <v>42897.332928240743</v>
      </c>
      <c r="B62" s="20" t="s">
        <v>494</v>
      </c>
      <c r="C62" s="20" t="s">
        <v>696</v>
      </c>
      <c r="D62" s="141">
        <v>2600000</v>
      </c>
      <c r="E62" s="20" t="s">
        <v>540</v>
      </c>
      <c r="F62" s="20" t="s">
        <v>541</v>
      </c>
      <c r="G62" s="8" t="str">
        <f t="shared" si="0"/>
        <v>DAVIDSON DAVID</v>
      </c>
    </row>
    <row r="63" spans="1:7" x14ac:dyDescent="0.25">
      <c r="A63" s="8">
        <v>42897.33902777778</v>
      </c>
      <c r="B63" s="20" t="s">
        <v>377</v>
      </c>
      <c r="C63" s="20" t="s">
        <v>697</v>
      </c>
      <c r="D63" s="141">
        <v>1100000</v>
      </c>
      <c r="E63" s="20" t="s">
        <v>495</v>
      </c>
      <c r="F63" s="20" t="s">
        <v>496</v>
      </c>
      <c r="G63" s="8" t="str">
        <f t="shared" si="0"/>
        <v>GEBRETEKLE DAGNEW</v>
      </c>
    </row>
    <row r="64" spans="1:7" x14ac:dyDescent="0.25">
      <c r="A64" s="26">
        <v>42897.349560185183</v>
      </c>
      <c r="B64" s="20" t="s">
        <v>361</v>
      </c>
      <c r="C64" s="20" t="s">
        <v>698</v>
      </c>
      <c r="D64" s="141">
        <v>2010000</v>
      </c>
      <c r="E64" s="20" t="s">
        <v>584</v>
      </c>
      <c r="F64" s="20" t="s">
        <v>585</v>
      </c>
      <c r="G64" s="8" t="str">
        <f t="shared" si="0"/>
        <v>MAELZER KURT</v>
      </c>
    </row>
    <row r="65" spans="1:7" x14ac:dyDescent="0.25">
      <c r="A65" s="8">
        <v>42897.351076388892</v>
      </c>
      <c r="B65" s="20" t="s">
        <v>629</v>
      </c>
      <c r="C65" s="20" t="s">
        <v>699</v>
      </c>
      <c r="D65" s="141">
        <v>2560000</v>
      </c>
      <c r="E65" s="20" t="s">
        <v>542</v>
      </c>
      <c r="F65" s="20" t="s">
        <v>371</v>
      </c>
      <c r="G65" s="8" t="str">
        <f t="shared" si="0"/>
        <v>MACDONALD THOMAS</v>
      </c>
    </row>
    <row r="66" spans="1:7" x14ac:dyDescent="0.25">
      <c r="A66" s="8">
        <v>42897.352453703701</v>
      </c>
      <c r="B66" s="20" t="s">
        <v>430</v>
      </c>
      <c r="C66" s="20" t="s">
        <v>700</v>
      </c>
      <c r="D66" s="141">
        <v>1810000</v>
      </c>
      <c r="E66" s="20" t="s">
        <v>372</v>
      </c>
      <c r="F66" s="20" t="s">
        <v>191</v>
      </c>
      <c r="G66" s="8" t="str">
        <f t="shared" si="0"/>
        <v>NEWELL JAMES</v>
      </c>
    </row>
    <row r="67" spans="1:7" x14ac:dyDescent="0.25">
      <c r="A67" s="8">
        <v>42897.359282407408</v>
      </c>
      <c r="B67" s="20" t="s">
        <v>491</v>
      </c>
      <c r="C67" s="20" t="s">
        <v>701</v>
      </c>
      <c r="D67" s="141">
        <v>2600000</v>
      </c>
      <c r="E67" s="20" t="s">
        <v>540</v>
      </c>
      <c r="F67" s="20" t="s">
        <v>541</v>
      </c>
      <c r="G67" s="8" t="str">
        <f t="shared" ref="G67:G130" si="1">E67&amp;" "&amp;F67</f>
        <v>DAVIDSON DAVID</v>
      </c>
    </row>
    <row r="68" spans="1:7" x14ac:dyDescent="0.25">
      <c r="A68" s="8">
        <v>42897.359675925924</v>
      </c>
      <c r="B68" s="20" t="s">
        <v>453</v>
      </c>
      <c r="C68" s="20" t="s">
        <v>702</v>
      </c>
      <c r="D68" s="141">
        <v>2530000</v>
      </c>
      <c r="E68" s="20" t="s">
        <v>536</v>
      </c>
      <c r="F68" s="20" t="s">
        <v>537</v>
      </c>
      <c r="G68" s="8" t="str">
        <f t="shared" si="1"/>
        <v>LALONDE GREGORY</v>
      </c>
    </row>
    <row r="69" spans="1:7" x14ac:dyDescent="0.25">
      <c r="A69" s="8">
        <v>42897.361388888887</v>
      </c>
      <c r="B69" s="20" t="s">
        <v>403</v>
      </c>
      <c r="C69" s="20" t="s">
        <v>623</v>
      </c>
      <c r="D69" s="141">
        <v>2970000</v>
      </c>
      <c r="E69" s="20" t="s">
        <v>384</v>
      </c>
      <c r="F69" s="20" t="s">
        <v>385</v>
      </c>
      <c r="G69" s="8" t="str">
        <f t="shared" si="1"/>
        <v>GUZMAN DANNY</v>
      </c>
    </row>
    <row r="70" spans="1:7" x14ac:dyDescent="0.25">
      <c r="A70" s="8">
        <v>42897.370162037034</v>
      </c>
      <c r="B70" s="20" t="s">
        <v>374</v>
      </c>
      <c r="C70" s="20" t="s">
        <v>703</v>
      </c>
      <c r="D70" s="141">
        <v>1100000</v>
      </c>
      <c r="E70" s="20" t="s">
        <v>495</v>
      </c>
      <c r="F70" s="20" t="s">
        <v>496</v>
      </c>
      <c r="G70" s="8" t="str">
        <f t="shared" si="1"/>
        <v>GEBRETEKLE DAGNEW</v>
      </c>
    </row>
    <row r="71" spans="1:7" x14ac:dyDescent="0.25">
      <c r="A71" s="8">
        <v>42897.372777777775</v>
      </c>
      <c r="B71" s="20" t="s">
        <v>405</v>
      </c>
      <c r="C71" s="20" t="s">
        <v>622</v>
      </c>
      <c r="D71" s="141">
        <v>3040000</v>
      </c>
      <c r="E71" s="20" t="s">
        <v>387</v>
      </c>
      <c r="F71" s="20" t="s">
        <v>388</v>
      </c>
      <c r="G71" s="8" t="str">
        <f t="shared" si="1"/>
        <v>WILLIAMS DONTE</v>
      </c>
    </row>
    <row r="72" spans="1:7" x14ac:dyDescent="0.25">
      <c r="A72" s="8">
        <v>42897.373668981483</v>
      </c>
      <c r="B72" s="20" t="s">
        <v>494</v>
      </c>
      <c r="C72" s="20" t="s">
        <v>704</v>
      </c>
      <c r="D72" s="141">
        <v>2600000</v>
      </c>
      <c r="E72" s="20" t="s">
        <v>540</v>
      </c>
      <c r="F72" s="20" t="s">
        <v>541</v>
      </c>
      <c r="G72" s="8" t="str">
        <f t="shared" si="1"/>
        <v>DAVIDSON DAVID</v>
      </c>
    </row>
    <row r="73" spans="1:7" x14ac:dyDescent="0.25">
      <c r="A73" s="8">
        <v>42897.383842592593</v>
      </c>
      <c r="B73" s="20" t="s">
        <v>626</v>
      </c>
      <c r="C73" s="20" t="s">
        <v>705</v>
      </c>
      <c r="D73" s="141">
        <v>2560000</v>
      </c>
      <c r="E73" s="20" t="s">
        <v>542</v>
      </c>
      <c r="F73" s="20" t="s">
        <v>371</v>
      </c>
      <c r="G73" s="8" t="str">
        <f t="shared" si="1"/>
        <v>MACDONALD THOMAS</v>
      </c>
    </row>
    <row r="74" spans="1:7" x14ac:dyDescent="0.25">
      <c r="A74" s="8">
        <v>42897.384131944447</v>
      </c>
      <c r="B74" s="20" t="s">
        <v>419</v>
      </c>
      <c r="C74" s="20" t="s">
        <v>706</v>
      </c>
      <c r="D74" s="141">
        <v>2010000</v>
      </c>
      <c r="E74" s="20" t="s">
        <v>584</v>
      </c>
      <c r="F74" s="20" t="s">
        <v>585</v>
      </c>
      <c r="G74" s="8" t="str">
        <f t="shared" si="1"/>
        <v>MAELZER KURT</v>
      </c>
    </row>
    <row r="75" spans="1:7" x14ac:dyDescent="0.25">
      <c r="A75" s="8">
        <v>42897.391608796293</v>
      </c>
      <c r="B75" s="20" t="s">
        <v>432</v>
      </c>
      <c r="C75" s="20" t="s">
        <v>707</v>
      </c>
      <c r="D75" s="141">
        <v>1810000</v>
      </c>
      <c r="E75" s="20" t="s">
        <v>372</v>
      </c>
      <c r="F75" s="20" t="s">
        <v>191</v>
      </c>
      <c r="G75" s="8" t="str">
        <f t="shared" si="1"/>
        <v>NEWELL JAMES</v>
      </c>
    </row>
    <row r="76" spans="1:7" x14ac:dyDescent="0.25">
      <c r="A76" s="8">
        <v>42897.399756944447</v>
      </c>
      <c r="B76" s="20" t="s">
        <v>402</v>
      </c>
      <c r="C76" s="20" t="s">
        <v>624</v>
      </c>
      <c r="D76" s="141">
        <v>2970000</v>
      </c>
      <c r="E76" s="20" t="s">
        <v>384</v>
      </c>
      <c r="F76" s="20" t="s">
        <v>385</v>
      </c>
      <c r="G76" s="8" t="str">
        <f t="shared" si="1"/>
        <v>GUZMAN DANNY</v>
      </c>
    </row>
    <row r="77" spans="1:7" x14ac:dyDescent="0.25">
      <c r="A77" s="8">
        <v>42897.400659722225</v>
      </c>
      <c r="B77" s="20" t="s">
        <v>491</v>
      </c>
      <c r="C77" s="20" t="s">
        <v>708</v>
      </c>
      <c r="D77" s="141">
        <v>2600000</v>
      </c>
      <c r="E77" s="20" t="s">
        <v>540</v>
      </c>
      <c r="F77" s="20" t="s">
        <v>541</v>
      </c>
      <c r="G77" s="8" t="str">
        <f t="shared" si="1"/>
        <v>DAVIDSON DAVID</v>
      </c>
    </row>
    <row r="78" spans="1:7" x14ac:dyDescent="0.25">
      <c r="A78" s="8">
        <v>42897.403796296298</v>
      </c>
      <c r="B78" s="20" t="s">
        <v>454</v>
      </c>
      <c r="C78" s="20" t="s">
        <v>709</v>
      </c>
      <c r="D78" s="141">
        <v>2530000</v>
      </c>
      <c r="E78" s="20" t="s">
        <v>536</v>
      </c>
      <c r="F78" s="20" t="s">
        <v>537</v>
      </c>
      <c r="G78" s="8" t="str">
        <f t="shared" si="1"/>
        <v>LALONDE GREGORY</v>
      </c>
    </row>
    <row r="79" spans="1:7" x14ac:dyDescent="0.25">
      <c r="A79" s="8">
        <v>42897.405173611114</v>
      </c>
      <c r="B79" s="20" t="s">
        <v>516</v>
      </c>
      <c r="C79" s="20" t="s">
        <v>710</v>
      </c>
      <c r="D79" s="141">
        <v>3040000</v>
      </c>
      <c r="E79" s="20" t="s">
        <v>387</v>
      </c>
      <c r="F79" s="20" t="s">
        <v>388</v>
      </c>
      <c r="G79" s="8" t="str">
        <f t="shared" si="1"/>
        <v>WILLIAMS DONTE</v>
      </c>
    </row>
    <row r="80" spans="1:7" x14ac:dyDescent="0.25">
      <c r="A80" s="8">
        <v>42897.411747685182</v>
      </c>
      <c r="B80" s="20" t="s">
        <v>377</v>
      </c>
      <c r="C80" s="20" t="s">
        <v>711</v>
      </c>
      <c r="D80" s="141">
        <v>1100000</v>
      </c>
      <c r="E80" s="20" t="s">
        <v>495</v>
      </c>
      <c r="F80" s="20" t="s">
        <v>496</v>
      </c>
      <c r="G80" s="8" t="str">
        <f t="shared" si="1"/>
        <v>GEBRETEKLE DAGNEW</v>
      </c>
    </row>
    <row r="81" spans="1:7" x14ac:dyDescent="0.25">
      <c r="A81" s="8">
        <v>42897.415763888886</v>
      </c>
      <c r="B81" s="20" t="s">
        <v>494</v>
      </c>
      <c r="C81" s="20" t="s">
        <v>712</v>
      </c>
      <c r="D81" s="141">
        <v>2600000</v>
      </c>
      <c r="E81" s="20" t="s">
        <v>540</v>
      </c>
      <c r="F81" s="20" t="s">
        <v>541</v>
      </c>
      <c r="G81" s="8" t="str">
        <f t="shared" si="1"/>
        <v>DAVIDSON DAVID</v>
      </c>
    </row>
    <row r="82" spans="1:7" x14ac:dyDescent="0.25">
      <c r="A82" s="8">
        <v>42897.421805555554</v>
      </c>
      <c r="B82" s="20" t="s">
        <v>629</v>
      </c>
      <c r="C82" s="20" t="s">
        <v>713</v>
      </c>
      <c r="D82" s="141">
        <v>2560000</v>
      </c>
      <c r="E82" s="20" t="s">
        <v>542</v>
      </c>
      <c r="F82" s="20" t="s">
        <v>371</v>
      </c>
      <c r="G82" s="8" t="str">
        <f t="shared" si="1"/>
        <v>MACDONALD THOMAS</v>
      </c>
    </row>
    <row r="83" spans="1:7" x14ac:dyDescent="0.25">
      <c r="A83" s="8">
        <v>42897.42423611111</v>
      </c>
      <c r="B83" s="20" t="s">
        <v>361</v>
      </c>
      <c r="C83" s="20" t="s">
        <v>714</v>
      </c>
      <c r="D83" s="141">
        <v>2140000</v>
      </c>
      <c r="E83" s="20" t="s">
        <v>417</v>
      </c>
      <c r="F83" s="20" t="s">
        <v>418</v>
      </c>
      <c r="G83" s="8" t="str">
        <f t="shared" si="1"/>
        <v>ROBINSON KADDIBA</v>
      </c>
    </row>
    <row r="84" spans="1:7" x14ac:dyDescent="0.25">
      <c r="A84" s="8">
        <v>42897.427939814814</v>
      </c>
      <c r="B84" s="20" t="s">
        <v>430</v>
      </c>
      <c r="C84" s="20" t="s">
        <v>715</v>
      </c>
      <c r="D84" s="141">
        <v>1810000</v>
      </c>
      <c r="E84" s="20" t="s">
        <v>372</v>
      </c>
      <c r="F84" s="20" t="s">
        <v>191</v>
      </c>
      <c r="G84" s="8" t="str">
        <f t="shared" si="1"/>
        <v>NEWELL JAMES</v>
      </c>
    </row>
    <row r="85" spans="1:7" x14ac:dyDescent="0.25">
      <c r="A85" s="8">
        <v>42897.432916666665</v>
      </c>
      <c r="B85" s="20" t="s">
        <v>453</v>
      </c>
      <c r="C85" s="20" t="s">
        <v>716</v>
      </c>
      <c r="D85" s="141">
        <v>2530000</v>
      </c>
      <c r="E85" s="20" t="s">
        <v>536</v>
      </c>
      <c r="F85" s="20" t="s">
        <v>537</v>
      </c>
      <c r="G85" s="8" t="str">
        <f t="shared" si="1"/>
        <v>LALONDE GREGORY</v>
      </c>
    </row>
    <row r="86" spans="1:7" x14ac:dyDescent="0.25">
      <c r="A86" s="8">
        <v>42897.433518518519</v>
      </c>
      <c r="B86" s="20" t="s">
        <v>403</v>
      </c>
      <c r="C86" s="20" t="s">
        <v>717</v>
      </c>
      <c r="D86" s="141">
        <v>2970000</v>
      </c>
      <c r="E86" s="20" t="s">
        <v>384</v>
      </c>
      <c r="F86" s="20" t="s">
        <v>385</v>
      </c>
      <c r="G86" s="8" t="str">
        <f t="shared" si="1"/>
        <v>GUZMAN DANNY</v>
      </c>
    </row>
    <row r="87" spans="1:7" x14ac:dyDescent="0.25">
      <c r="A87" s="8">
        <v>42897.44253472222</v>
      </c>
      <c r="B87" s="20" t="s">
        <v>374</v>
      </c>
      <c r="C87" s="20" t="s">
        <v>718</v>
      </c>
      <c r="D87" s="141">
        <v>1100000</v>
      </c>
      <c r="E87" s="20" t="s">
        <v>495</v>
      </c>
      <c r="F87" s="20" t="s">
        <v>496</v>
      </c>
      <c r="G87" s="8" t="str">
        <f t="shared" si="1"/>
        <v>GEBRETEKLE DAGNEW</v>
      </c>
    </row>
    <row r="88" spans="1:7" x14ac:dyDescent="0.25">
      <c r="A88" s="8">
        <v>42897.442881944444</v>
      </c>
      <c r="B88" s="20" t="s">
        <v>491</v>
      </c>
      <c r="C88" s="20" t="s">
        <v>625</v>
      </c>
      <c r="D88" s="141">
        <v>2600000</v>
      </c>
      <c r="E88" s="20" t="s">
        <v>540</v>
      </c>
      <c r="F88" s="20" t="s">
        <v>541</v>
      </c>
      <c r="G88" s="8" t="str">
        <f t="shared" si="1"/>
        <v>DAVIDSON DAVID</v>
      </c>
    </row>
    <row r="89" spans="1:7" x14ac:dyDescent="0.25">
      <c r="A89" s="8">
        <v>42897.445543981485</v>
      </c>
      <c r="B89" s="20" t="s">
        <v>405</v>
      </c>
      <c r="C89" s="20" t="s">
        <v>719</v>
      </c>
      <c r="D89" s="141">
        <v>2270000</v>
      </c>
      <c r="E89" s="20" t="s">
        <v>549</v>
      </c>
      <c r="F89" s="20" t="s">
        <v>550</v>
      </c>
      <c r="G89" s="8" t="str">
        <f t="shared" si="1"/>
        <v>BROWN JACOB</v>
      </c>
    </row>
    <row r="90" spans="1:7" x14ac:dyDescent="0.25">
      <c r="A90" s="8">
        <v>42897.457060185188</v>
      </c>
      <c r="B90" s="20" t="s">
        <v>626</v>
      </c>
      <c r="C90" s="20" t="s">
        <v>627</v>
      </c>
      <c r="D90" s="141">
        <v>2560000</v>
      </c>
      <c r="E90" s="20" t="s">
        <v>542</v>
      </c>
      <c r="F90" s="20" t="s">
        <v>371</v>
      </c>
      <c r="G90" s="8" t="str">
        <f t="shared" si="1"/>
        <v>MACDONALD THOMAS</v>
      </c>
    </row>
    <row r="91" spans="1:7" x14ac:dyDescent="0.25">
      <c r="A91" s="8">
        <v>42897.457939814813</v>
      </c>
      <c r="B91" s="20" t="s">
        <v>494</v>
      </c>
      <c r="C91" s="20" t="s">
        <v>720</v>
      </c>
      <c r="D91" s="141">
        <v>2600000</v>
      </c>
      <c r="E91" s="20" t="s">
        <v>540</v>
      </c>
      <c r="F91" s="20" t="s">
        <v>541</v>
      </c>
      <c r="G91" s="8" t="str">
        <f t="shared" si="1"/>
        <v>DAVIDSON DAVID</v>
      </c>
    </row>
    <row r="92" spans="1:7" x14ac:dyDescent="0.25">
      <c r="A92" s="8">
        <v>42897.462210648147</v>
      </c>
      <c r="B92" s="20" t="s">
        <v>419</v>
      </c>
      <c r="C92" s="20" t="s">
        <v>721</v>
      </c>
      <c r="D92" s="141">
        <v>2140000</v>
      </c>
      <c r="E92" s="20" t="s">
        <v>417</v>
      </c>
      <c r="F92" s="20" t="s">
        <v>418</v>
      </c>
      <c r="G92" s="8" t="str">
        <f t="shared" si="1"/>
        <v>ROBINSON KADDIBA</v>
      </c>
    </row>
    <row r="93" spans="1:7" x14ac:dyDescent="0.25">
      <c r="A93" s="8">
        <v>42897.465416666666</v>
      </c>
      <c r="B93" s="20" t="s">
        <v>432</v>
      </c>
      <c r="C93" s="20" t="s">
        <v>722</v>
      </c>
      <c r="D93" s="141">
        <v>920000</v>
      </c>
      <c r="E93" s="20" t="s">
        <v>421</v>
      </c>
      <c r="F93" s="20" t="s">
        <v>194</v>
      </c>
      <c r="G93" s="8" t="str">
        <f t="shared" si="1"/>
        <v>DAVIS MICHAEL</v>
      </c>
    </row>
    <row r="94" spans="1:7" x14ac:dyDescent="0.25">
      <c r="A94" s="8">
        <v>42897.465613425928</v>
      </c>
      <c r="B94" s="20" t="s">
        <v>402</v>
      </c>
      <c r="C94" s="20" t="s">
        <v>723</v>
      </c>
      <c r="D94" s="141">
        <v>2970000</v>
      </c>
      <c r="E94" s="20" t="s">
        <v>384</v>
      </c>
      <c r="F94" s="20" t="s">
        <v>385</v>
      </c>
      <c r="G94" s="8" t="str">
        <f t="shared" si="1"/>
        <v>GUZMAN DANNY</v>
      </c>
    </row>
    <row r="95" spans="1:7" x14ac:dyDescent="0.25">
      <c r="A95" s="8">
        <v>42897.475162037037</v>
      </c>
      <c r="B95" s="20" t="s">
        <v>454</v>
      </c>
      <c r="C95" s="20" t="s">
        <v>628</v>
      </c>
      <c r="D95" s="141">
        <v>2360000</v>
      </c>
      <c r="E95" s="20" t="s">
        <v>543</v>
      </c>
      <c r="F95" s="20" t="s">
        <v>544</v>
      </c>
      <c r="G95" s="8" t="str">
        <f t="shared" si="1"/>
        <v>BRANDNER MELINDA</v>
      </c>
    </row>
    <row r="96" spans="1:7" x14ac:dyDescent="0.25">
      <c r="A96" s="8">
        <v>42897.483402777776</v>
      </c>
      <c r="B96" s="20" t="s">
        <v>516</v>
      </c>
      <c r="C96" s="20" t="s">
        <v>724</v>
      </c>
      <c r="D96" s="141">
        <v>2270000</v>
      </c>
      <c r="E96" s="20" t="s">
        <v>549</v>
      </c>
      <c r="F96" s="20" t="s">
        <v>550</v>
      </c>
      <c r="G96" s="8" t="str">
        <f t="shared" si="1"/>
        <v>BROWN JACOB</v>
      </c>
    </row>
    <row r="97" spans="1:7" x14ac:dyDescent="0.25">
      <c r="A97" s="8">
        <v>42897.484386574077</v>
      </c>
      <c r="B97" s="20" t="s">
        <v>491</v>
      </c>
      <c r="C97" s="20" t="s">
        <v>725</v>
      </c>
      <c r="D97" s="141">
        <v>2600000</v>
      </c>
      <c r="E97" s="20" t="s">
        <v>540</v>
      </c>
      <c r="F97" s="20" t="s">
        <v>541</v>
      </c>
      <c r="G97" s="8" t="str">
        <f t="shared" si="1"/>
        <v>DAVIDSON DAVID</v>
      </c>
    </row>
    <row r="98" spans="1:7" x14ac:dyDescent="0.25">
      <c r="A98" s="8">
        <v>42897.486296296294</v>
      </c>
      <c r="B98" s="20" t="s">
        <v>377</v>
      </c>
      <c r="C98" s="20" t="s">
        <v>726</v>
      </c>
      <c r="D98" s="141">
        <v>1770000</v>
      </c>
      <c r="E98" s="20" t="s">
        <v>545</v>
      </c>
      <c r="F98" s="20" t="s">
        <v>546</v>
      </c>
      <c r="G98" s="8" t="str">
        <f t="shared" si="1"/>
        <v>BRUDER RICHARD</v>
      </c>
    </row>
    <row r="99" spans="1:7" x14ac:dyDescent="0.25">
      <c r="A99" s="8">
        <v>42897.494328703702</v>
      </c>
      <c r="B99" s="20" t="s">
        <v>629</v>
      </c>
      <c r="C99" s="20" t="s">
        <v>630</v>
      </c>
      <c r="D99" s="141">
        <v>2560000</v>
      </c>
      <c r="E99" s="20" t="s">
        <v>542</v>
      </c>
      <c r="F99" s="20" t="s">
        <v>371</v>
      </c>
      <c r="G99" s="8" t="str">
        <f t="shared" si="1"/>
        <v>MACDONALD THOMAS</v>
      </c>
    </row>
    <row r="100" spans="1:7" x14ac:dyDescent="0.25">
      <c r="A100" s="8">
        <v>42897.496620370373</v>
      </c>
      <c r="B100" s="20" t="s">
        <v>361</v>
      </c>
      <c r="C100" s="20" t="s">
        <v>727</v>
      </c>
      <c r="D100" s="141">
        <v>2140000</v>
      </c>
      <c r="E100" s="20" t="s">
        <v>417</v>
      </c>
      <c r="F100" s="20" t="s">
        <v>418</v>
      </c>
      <c r="G100" s="8" t="str">
        <f t="shared" si="1"/>
        <v>ROBINSON KADDIBA</v>
      </c>
    </row>
    <row r="101" spans="1:7" x14ac:dyDescent="0.25">
      <c r="A101" s="8">
        <v>42897.499085648145</v>
      </c>
      <c r="B101" s="20" t="s">
        <v>494</v>
      </c>
      <c r="C101" s="20" t="s">
        <v>728</v>
      </c>
      <c r="D101" s="141">
        <v>2600000</v>
      </c>
      <c r="E101" s="20" t="s">
        <v>540</v>
      </c>
      <c r="F101" s="20" t="s">
        <v>541</v>
      </c>
      <c r="G101" s="8" t="str">
        <f t="shared" si="1"/>
        <v>DAVIDSON DAVID</v>
      </c>
    </row>
    <row r="102" spans="1:7" x14ac:dyDescent="0.25">
      <c r="A102" s="8">
        <v>42897.506550925929</v>
      </c>
      <c r="B102" s="20" t="s">
        <v>430</v>
      </c>
      <c r="C102" s="20" t="s">
        <v>729</v>
      </c>
      <c r="D102" s="141">
        <v>920000</v>
      </c>
      <c r="E102" s="20" t="s">
        <v>421</v>
      </c>
      <c r="F102" s="20" t="s">
        <v>194</v>
      </c>
      <c r="G102" s="8" t="str">
        <f t="shared" si="1"/>
        <v>DAVIS MICHAEL</v>
      </c>
    </row>
    <row r="103" spans="1:7" x14ac:dyDescent="0.25">
      <c r="A103" s="8">
        <v>42897.506956018522</v>
      </c>
      <c r="B103" s="20" t="s">
        <v>403</v>
      </c>
      <c r="C103" s="20" t="s">
        <v>730</v>
      </c>
      <c r="D103" s="141">
        <v>2370000</v>
      </c>
      <c r="E103" s="20" t="s">
        <v>731</v>
      </c>
      <c r="F103" s="20" t="s">
        <v>732</v>
      </c>
      <c r="G103" s="8" t="str">
        <f t="shared" si="1"/>
        <v>DELGADO DIANAH</v>
      </c>
    </row>
    <row r="104" spans="1:7" x14ac:dyDescent="0.25">
      <c r="A104" s="8">
        <v>42897.516828703701</v>
      </c>
      <c r="B104" s="20" t="s">
        <v>453</v>
      </c>
      <c r="C104" s="20" t="s">
        <v>631</v>
      </c>
      <c r="D104" s="141">
        <v>2360000</v>
      </c>
      <c r="E104" s="20" t="s">
        <v>543</v>
      </c>
      <c r="F104" s="20" t="s">
        <v>544</v>
      </c>
      <c r="G104" s="8" t="str">
        <f t="shared" si="1"/>
        <v>BRANDNER MELINDA</v>
      </c>
    </row>
    <row r="105" spans="1:7" x14ac:dyDescent="0.25">
      <c r="A105" s="8">
        <v>42897.518020833333</v>
      </c>
      <c r="B105" s="20" t="s">
        <v>405</v>
      </c>
      <c r="C105" s="20" t="s">
        <v>733</v>
      </c>
      <c r="D105" s="141">
        <v>2270000</v>
      </c>
      <c r="E105" s="20" t="s">
        <v>549</v>
      </c>
      <c r="F105" s="20" t="s">
        <v>550</v>
      </c>
      <c r="G105" s="8" t="str">
        <f t="shared" si="1"/>
        <v>BROWN JACOB</v>
      </c>
    </row>
    <row r="106" spans="1:7" x14ac:dyDescent="0.25">
      <c r="A106" s="8">
        <v>42897.524363425924</v>
      </c>
      <c r="B106" s="20" t="s">
        <v>374</v>
      </c>
      <c r="C106" s="20" t="s">
        <v>734</v>
      </c>
      <c r="D106" s="141">
        <v>1770000</v>
      </c>
      <c r="E106" s="20" t="s">
        <v>545</v>
      </c>
      <c r="F106" s="20" t="s">
        <v>546</v>
      </c>
      <c r="G106" s="8" t="str">
        <f t="shared" si="1"/>
        <v>BRUDER RICHARD</v>
      </c>
    </row>
    <row r="107" spans="1:7" x14ac:dyDescent="0.25">
      <c r="A107" s="8">
        <v>42897.525856481479</v>
      </c>
      <c r="B107" s="20" t="s">
        <v>491</v>
      </c>
      <c r="C107" s="20" t="s">
        <v>735</v>
      </c>
      <c r="D107" s="141">
        <v>2600000</v>
      </c>
      <c r="E107" s="20" t="s">
        <v>540</v>
      </c>
      <c r="F107" s="20" t="s">
        <v>541</v>
      </c>
      <c r="G107" s="8" t="str">
        <f t="shared" si="1"/>
        <v>DAVIDSON DAVID</v>
      </c>
    </row>
    <row r="108" spans="1:7" x14ac:dyDescent="0.25">
      <c r="A108" s="8">
        <v>42897.528807870367</v>
      </c>
      <c r="B108" s="20" t="s">
        <v>626</v>
      </c>
      <c r="C108" s="20" t="s">
        <v>736</v>
      </c>
      <c r="D108" s="141">
        <v>2440000</v>
      </c>
      <c r="E108" s="20" t="s">
        <v>547</v>
      </c>
      <c r="F108" s="20" t="s">
        <v>548</v>
      </c>
      <c r="G108" s="8" t="str">
        <f t="shared" si="1"/>
        <v>LOPES KIMBERLY</v>
      </c>
    </row>
    <row r="109" spans="1:7" x14ac:dyDescent="0.25">
      <c r="A109" s="8">
        <v>42897.533668981479</v>
      </c>
      <c r="B109" s="20" t="s">
        <v>419</v>
      </c>
      <c r="C109" s="20" t="s">
        <v>737</v>
      </c>
      <c r="D109" s="141">
        <v>2140000</v>
      </c>
      <c r="E109" s="20" t="s">
        <v>417</v>
      </c>
      <c r="F109" s="20" t="s">
        <v>418</v>
      </c>
      <c r="G109" s="8" t="str">
        <f t="shared" si="1"/>
        <v>ROBINSON KADDIBA</v>
      </c>
    </row>
    <row r="110" spans="1:7" x14ac:dyDescent="0.25">
      <c r="A110" s="8">
        <v>42897.54047453704</v>
      </c>
      <c r="B110" s="20" t="s">
        <v>432</v>
      </c>
      <c r="C110" s="20" t="s">
        <v>738</v>
      </c>
      <c r="D110" s="141">
        <v>920000</v>
      </c>
      <c r="E110" s="20" t="s">
        <v>421</v>
      </c>
      <c r="F110" s="20" t="s">
        <v>194</v>
      </c>
      <c r="G110" s="8" t="str">
        <f t="shared" si="1"/>
        <v>DAVIS MICHAEL</v>
      </c>
    </row>
    <row r="111" spans="1:7" x14ac:dyDescent="0.25">
      <c r="A111" s="8">
        <v>42897.541261574072</v>
      </c>
      <c r="B111" s="20" t="s">
        <v>494</v>
      </c>
      <c r="C111" s="20" t="s">
        <v>739</v>
      </c>
      <c r="D111" s="141">
        <v>2600000</v>
      </c>
      <c r="E111" s="20" t="s">
        <v>540</v>
      </c>
      <c r="F111" s="20" t="s">
        <v>541</v>
      </c>
      <c r="G111" s="8" t="str">
        <f t="shared" si="1"/>
        <v>DAVIDSON DAVID</v>
      </c>
    </row>
    <row r="112" spans="1:7" x14ac:dyDescent="0.25">
      <c r="A112" s="8">
        <v>42897.549143518518</v>
      </c>
      <c r="B112" s="20" t="s">
        <v>454</v>
      </c>
      <c r="C112" s="20" t="s">
        <v>740</v>
      </c>
      <c r="D112" s="141">
        <v>2360000</v>
      </c>
      <c r="E112" s="20" t="s">
        <v>543</v>
      </c>
      <c r="F112" s="20" t="s">
        <v>544</v>
      </c>
      <c r="G112" s="8" t="str">
        <f t="shared" si="1"/>
        <v>BRANDNER MELINDA</v>
      </c>
    </row>
    <row r="113" spans="1:7" x14ac:dyDescent="0.25">
      <c r="A113" s="8">
        <v>42897.557870370372</v>
      </c>
      <c r="B113" s="20" t="s">
        <v>377</v>
      </c>
      <c r="C113" s="20" t="s">
        <v>741</v>
      </c>
      <c r="D113" s="141">
        <v>1770000</v>
      </c>
      <c r="E113" s="20" t="s">
        <v>545</v>
      </c>
      <c r="F113" s="20" t="s">
        <v>546</v>
      </c>
      <c r="G113" s="8" t="str">
        <f t="shared" si="1"/>
        <v>BRUDER RICHARD</v>
      </c>
    </row>
    <row r="114" spans="1:7" x14ac:dyDescent="0.25">
      <c r="A114" s="8">
        <v>42897.55809027778</v>
      </c>
      <c r="B114" s="20" t="s">
        <v>516</v>
      </c>
      <c r="C114" s="20" t="s">
        <v>742</v>
      </c>
      <c r="D114" s="141">
        <v>2270000</v>
      </c>
      <c r="E114" s="20" t="s">
        <v>549</v>
      </c>
      <c r="F114" s="20" t="s">
        <v>550</v>
      </c>
      <c r="G114" s="8" t="str">
        <f t="shared" si="1"/>
        <v>BROWN JACOB</v>
      </c>
    </row>
    <row r="115" spans="1:7" x14ac:dyDescent="0.25">
      <c r="A115" s="8">
        <v>42897.567372685182</v>
      </c>
      <c r="B115" s="20" t="s">
        <v>629</v>
      </c>
      <c r="C115" s="20" t="s">
        <v>743</v>
      </c>
      <c r="D115" s="141">
        <v>2440000</v>
      </c>
      <c r="E115" s="20" t="s">
        <v>547</v>
      </c>
      <c r="F115" s="20" t="s">
        <v>548</v>
      </c>
      <c r="G115" s="8" t="str">
        <f t="shared" si="1"/>
        <v>LOPES KIMBERLY</v>
      </c>
    </row>
    <row r="116" spans="1:7" x14ac:dyDescent="0.25">
      <c r="A116" s="8">
        <v>42897.567824074074</v>
      </c>
      <c r="B116" s="20" t="s">
        <v>491</v>
      </c>
      <c r="C116" s="20" t="s">
        <v>744</v>
      </c>
      <c r="D116" s="141">
        <v>2600000</v>
      </c>
      <c r="E116" s="20" t="s">
        <v>540</v>
      </c>
      <c r="F116" s="20" t="s">
        <v>541</v>
      </c>
      <c r="G116" s="8" t="str">
        <f t="shared" si="1"/>
        <v>DAVIDSON DAVID</v>
      </c>
    </row>
    <row r="117" spans="1:7" x14ac:dyDescent="0.25">
      <c r="A117" s="8">
        <v>42897.57135416667</v>
      </c>
      <c r="B117" s="20" t="s">
        <v>361</v>
      </c>
      <c r="C117" s="20" t="s">
        <v>745</v>
      </c>
      <c r="D117" s="141">
        <v>2140000</v>
      </c>
      <c r="E117" s="20" t="s">
        <v>417</v>
      </c>
      <c r="F117" s="20" t="s">
        <v>418</v>
      </c>
      <c r="G117" s="8" t="str">
        <f t="shared" si="1"/>
        <v>ROBINSON KADDIBA</v>
      </c>
    </row>
    <row r="118" spans="1:7" x14ac:dyDescent="0.25">
      <c r="A118" s="8">
        <v>42897.580289351848</v>
      </c>
      <c r="B118" s="20" t="s">
        <v>430</v>
      </c>
      <c r="C118" s="20" t="s">
        <v>746</v>
      </c>
      <c r="D118" s="141">
        <v>920000</v>
      </c>
      <c r="E118" s="20" t="s">
        <v>421</v>
      </c>
      <c r="F118" s="20" t="s">
        <v>194</v>
      </c>
      <c r="G118" s="8" t="str">
        <f t="shared" si="1"/>
        <v>DAVIS MICHAEL</v>
      </c>
    </row>
    <row r="119" spans="1:7" x14ac:dyDescent="0.25">
      <c r="A119" s="8">
        <v>42897.580671296295</v>
      </c>
      <c r="B119" s="20" t="s">
        <v>403</v>
      </c>
      <c r="C119" s="20" t="s">
        <v>633</v>
      </c>
      <c r="D119" s="141">
        <v>2370000</v>
      </c>
      <c r="E119" s="20" t="s">
        <v>731</v>
      </c>
      <c r="F119" s="20" t="s">
        <v>732</v>
      </c>
      <c r="G119" s="8" t="str">
        <f t="shared" si="1"/>
        <v>DELGADO DIANAH</v>
      </c>
    </row>
    <row r="120" spans="1:7" x14ac:dyDescent="0.25">
      <c r="A120" s="8">
        <v>42897.588865740741</v>
      </c>
      <c r="B120" s="20" t="s">
        <v>494</v>
      </c>
      <c r="C120" s="20" t="s">
        <v>632</v>
      </c>
      <c r="D120" s="141">
        <v>2420000</v>
      </c>
      <c r="E120" s="20" t="s">
        <v>497</v>
      </c>
      <c r="F120" s="20" t="s">
        <v>498</v>
      </c>
      <c r="G120" s="8" t="str">
        <f t="shared" si="1"/>
        <v>HOLCOMB KAMDEN</v>
      </c>
    </row>
    <row r="121" spans="1:7" x14ac:dyDescent="0.25">
      <c r="A121" s="8">
        <v>42897.590752314813</v>
      </c>
      <c r="B121" s="20" t="s">
        <v>453</v>
      </c>
      <c r="C121" s="20" t="s">
        <v>634</v>
      </c>
      <c r="D121" s="141">
        <v>2360000</v>
      </c>
      <c r="E121" s="20" t="s">
        <v>543</v>
      </c>
      <c r="F121" s="20" t="s">
        <v>544</v>
      </c>
      <c r="G121" s="8" t="str">
        <f t="shared" si="1"/>
        <v>BRANDNER MELINDA</v>
      </c>
    </row>
    <row r="122" spans="1:7" x14ac:dyDescent="0.25">
      <c r="A122" s="8">
        <v>42897.591631944444</v>
      </c>
      <c r="B122" s="25" t="s">
        <v>405</v>
      </c>
      <c r="C122" s="20" t="s">
        <v>747</v>
      </c>
      <c r="D122" s="141">
        <v>2270000</v>
      </c>
      <c r="E122" s="20" t="s">
        <v>549</v>
      </c>
      <c r="F122" s="20" t="s">
        <v>550</v>
      </c>
      <c r="G122" s="8" t="str">
        <f t="shared" si="1"/>
        <v>BROWN JACOB</v>
      </c>
    </row>
    <row r="123" spans="1:7" x14ac:dyDescent="0.25">
      <c r="A123" s="8">
        <v>42897.596215277779</v>
      </c>
      <c r="B123" s="20" t="s">
        <v>374</v>
      </c>
      <c r="C123" s="20" t="s">
        <v>748</v>
      </c>
      <c r="D123" s="141">
        <v>1770000</v>
      </c>
      <c r="E123" s="20" t="s">
        <v>545</v>
      </c>
      <c r="F123" s="20" t="s">
        <v>546</v>
      </c>
      <c r="G123" s="8" t="str">
        <f t="shared" si="1"/>
        <v>BRUDER RICHARD</v>
      </c>
    </row>
    <row r="124" spans="1:7" x14ac:dyDescent="0.25">
      <c r="A124" s="8">
        <v>42897.599722222221</v>
      </c>
      <c r="B124" s="20" t="s">
        <v>626</v>
      </c>
      <c r="C124" s="20" t="s">
        <v>749</v>
      </c>
      <c r="D124" s="141">
        <v>2440000</v>
      </c>
      <c r="E124" s="20" t="s">
        <v>547</v>
      </c>
      <c r="F124" s="20" t="s">
        <v>548</v>
      </c>
      <c r="G124" s="8" t="str">
        <f t="shared" si="1"/>
        <v>LOPES KIMBERLY</v>
      </c>
    </row>
    <row r="125" spans="1:7" x14ac:dyDescent="0.25">
      <c r="A125" s="8">
        <v>42897.6094212963</v>
      </c>
      <c r="B125" s="20" t="s">
        <v>491</v>
      </c>
      <c r="C125" s="20" t="s">
        <v>635</v>
      </c>
      <c r="D125" s="141">
        <v>2420000</v>
      </c>
      <c r="E125" s="20" t="s">
        <v>497</v>
      </c>
      <c r="F125" s="20" t="s">
        <v>498</v>
      </c>
      <c r="G125" s="8" t="str">
        <f t="shared" si="1"/>
        <v>HOLCOMB KAMDEN</v>
      </c>
    </row>
    <row r="126" spans="1:7" x14ac:dyDescent="0.25">
      <c r="A126" s="8">
        <v>42897.610914351855</v>
      </c>
      <c r="B126" s="20" t="s">
        <v>419</v>
      </c>
      <c r="C126" s="20" t="s">
        <v>750</v>
      </c>
      <c r="D126" s="141">
        <v>2140000</v>
      </c>
      <c r="E126" s="20" t="s">
        <v>417</v>
      </c>
      <c r="F126" s="20" t="s">
        <v>418</v>
      </c>
      <c r="G126" s="8" t="str">
        <f t="shared" si="1"/>
        <v>ROBINSON KADDIBA</v>
      </c>
    </row>
    <row r="127" spans="1:7" x14ac:dyDescent="0.25">
      <c r="A127" s="8">
        <v>42897.614247685182</v>
      </c>
      <c r="B127" s="20" t="s">
        <v>432</v>
      </c>
      <c r="C127" s="20" t="s">
        <v>751</v>
      </c>
      <c r="D127" s="141">
        <v>920000</v>
      </c>
      <c r="E127" s="20" t="s">
        <v>421</v>
      </c>
      <c r="F127" s="20" t="s">
        <v>194</v>
      </c>
      <c r="G127" s="8" t="str">
        <f t="shared" si="1"/>
        <v>DAVIS MICHAEL</v>
      </c>
    </row>
    <row r="128" spans="1:7" x14ac:dyDescent="0.25">
      <c r="A128" s="8">
        <v>42897.619780092595</v>
      </c>
      <c r="B128" s="20" t="s">
        <v>402</v>
      </c>
      <c r="C128" s="20" t="s">
        <v>752</v>
      </c>
      <c r="D128" s="141">
        <v>2370000</v>
      </c>
      <c r="E128" s="20" t="s">
        <v>731</v>
      </c>
      <c r="F128" s="20" t="s">
        <v>732</v>
      </c>
      <c r="G128" s="8" t="str">
        <f t="shared" si="1"/>
        <v>DELGADO DIANAH</v>
      </c>
    </row>
    <row r="129" spans="1:7" x14ac:dyDescent="0.25">
      <c r="A129" s="8">
        <v>42897.622245370374</v>
      </c>
      <c r="B129" s="20" t="s">
        <v>454</v>
      </c>
      <c r="C129" s="20" t="s">
        <v>753</v>
      </c>
      <c r="D129" s="141">
        <v>2360000</v>
      </c>
      <c r="E129" s="20" t="s">
        <v>543</v>
      </c>
      <c r="F129" s="20" t="s">
        <v>544</v>
      </c>
      <c r="G129" s="8" t="str">
        <f t="shared" si="1"/>
        <v>BRANDNER MELINDA</v>
      </c>
    </row>
    <row r="130" spans="1:7" x14ac:dyDescent="0.25">
      <c r="A130" s="8">
        <v>42897.631238425929</v>
      </c>
      <c r="B130" s="20" t="s">
        <v>516</v>
      </c>
      <c r="C130" s="20" t="s">
        <v>754</v>
      </c>
      <c r="D130" s="141">
        <v>2270000</v>
      </c>
      <c r="E130" s="20" t="s">
        <v>549</v>
      </c>
      <c r="F130" s="20" t="s">
        <v>550</v>
      </c>
      <c r="G130" s="8" t="str">
        <f t="shared" si="1"/>
        <v>BROWN JACOB</v>
      </c>
    </row>
    <row r="131" spans="1:7" x14ac:dyDescent="0.25">
      <c r="A131" s="8">
        <v>42897.631412037037</v>
      </c>
      <c r="B131" s="20" t="s">
        <v>377</v>
      </c>
      <c r="C131" s="20" t="s">
        <v>755</v>
      </c>
      <c r="D131" s="141">
        <v>1770000</v>
      </c>
      <c r="E131" s="20" t="s">
        <v>545</v>
      </c>
      <c r="F131" s="20" t="s">
        <v>546</v>
      </c>
      <c r="G131" s="8" t="str">
        <f t="shared" ref="G131:G194" si="2">E131&amp;" "&amp;F131</f>
        <v>BRUDER RICHARD</v>
      </c>
    </row>
    <row r="132" spans="1:7" x14ac:dyDescent="0.25">
      <c r="A132" s="8">
        <v>42897.636874999997</v>
      </c>
      <c r="B132" s="20" t="s">
        <v>629</v>
      </c>
      <c r="C132" s="20" t="s">
        <v>756</v>
      </c>
      <c r="D132" s="141">
        <v>2440000</v>
      </c>
      <c r="E132" s="20" t="s">
        <v>547</v>
      </c>
      <c r="F132" s="20" t="s">
        <v>548</v>
      </c>
      <c r="G132" s="8" t="str">
        <f t="shared" si="2"/>
        <v>LOPES KIMBERLY</v>
      </c>
    </row>
    <row r="133" spans="1:7" x14ac:dyDescent="0.25">
      <c r="A133" s="8">
        <v>42897.637997685182</v>
      </c>
      <c r="B133" s="20" t="s">
        <v>494</v>
      </c>
      <c r="C133" s="20" t="s">
        <v>636</v>
      </c>
      <c r="D133" s="141">
        <v>2420000</v>
      </c>
      <c r="E133" s="20" t="s">
        <v>497</v>
      </c>
      <c r="F133" s="20" t="s">
        <v>498</v>
      </c>
      <c r="G133" s="8" t="str">
        <f t="shared" si="2"/>
        <v>HOLCOMB KAMDEN</v>
      </c>
    </row>
    <row r="134" spans="1:7" x14ac:dyDescent="0.25">
      <c r="A134" s="8">
        <v>42897.643969907411</v>
      </c>
      <c r="B134" s="20" t="s">
        <v>361</v>
      </c>
      <c r="C134" s="20" t="s">
        <v>757</v>
      </c>
      <c r="D134" s="141">
        <v>2140000</v>
      </c>
      <c r="E134" s="20" t="s">
        <v>417</v>
      </c>
      <c r="F134" s="20" t="s">
        <v>418</v>
      </c>
      <c r="G134" s="8" t="str">
        <f t="shared" si="2"/>
        <v>ROBINSON KADDIBA</v>
      </c>
    </row>
    <row r="135" spans="1:7" x14ac:dyDescent="0.25">
      <c r="A135" s="8">
        <v>42897.65185185185</v>
      </c>
      <c r="B135" s="20" t="s">
        <v>491</v>
      </c>
      <c r="C135" s="20" t="s">
        <v>637</v>
      </c>
      <c r="D135" s="141">
        <v>2420000</v>
      </c>
      <c r="E135" s="20" t="s">
        <v>497</v>
      </c>
      <c r="F135" s="20" t="s">
        <v>498</v>
      </c>
      <c r="G135" s="8" t="str">
        <f t="shared" si="2"/>
        <v>HOLCOMB KAMDEN</v>
      </c>
    </row>
    <row r="136" spans="1:7" x14ac:dyDescent="0.25">
      <c r="A136" s="8">
        <v>42897.652233796296</v>
      </c>
      <c r="B136" s="20" t="s">
        <v>403</v>
      </c>
      <c r="C136" s="20" t="s">
        <v>758</v>
      </c>
      <c r="D136" s="141">
        <v>2370000</v>
      </c>
      <c r="E136" s="20" t="s">
        <v>731</v>
      </c>
      <c r="F136" s="20" t="s">
        <v>732</v>
      </c>
      <c r="G136" s="8" t="str">
        <f t="shared" si="2"/>
        <v>DELGADO DIANAH</v>
      </c>
    </row>
    <row r="137" spans="1:7" x14ac:dyDescent="0.25">
      <c r="A137" s="8">
        <v>42897.653043981481</v>
      </c>
      <c r="B137" s="20" t="s">
        <v>430</v>
      </c>
      <c r="C137" s="20" t="s">
        <v>759</v>
      </c>
      <c r="D137" s="141">
        <v>920000</v>
      </c>
      <c r="E137" s="20" t="s">
        <v>421</v>
      </c>
      <c r="F137" s="20" t="s">
        <v>194</v>
      </c>
      <c r="G137" s="8" t="str">
        <f t="shared" si="2"/>
        <v>DAVIS MICHAEL</v>
      </c>
    </row>
    <row r="138" spans="1:7" x14ac:dyDescent="0.25">
      <c r="A138" s="8">
        <v>42897.662199074075</v>
      </c>
      <c r="B138" s="20" t="s">
        <v>453</v>
      </c>
      <c r="C138" s="20" t="s">
        <v>760</v>
      </c>
      <c r="D138" s="141">
        <v>2360000</v>
      </c>
      <c r="E138" s="20" t="s">
        <v>543</v>
      </c>
      <c r="F138" s="20" t="s">
        <v>544</v>
      </c>
      <c r="G138" s="8" t="str">
        <f t="shared" si="2"/>
        <v>BRANDNER MELINDA</v>
      </c>
    </row>
    <row r="139" spans="1:7" x14ac:dyDescent="0.25">
      <c r="A139" s="8">
        <v>42897.665810185186</v>
      </c>
      <c r="B139" s="20" t="s">
        <v>405</v>
      </c>
      <c r="C139" s="20" t="s">
        <v>761</v>
      </c>
      <c r="D139" s="141">
        <v>2270000</v>
      </c>
      <c r="E139" s="20" t="s">
        <v>549</v>
      </c>
      <c r="F139" s="20" t="s">
        <v>550</v>
      </c>
      <c r="G139" s="8" t="str">
        <f t="shared" si="2"/>
        <v>BROWN JACOB</v>
      </c>
    </row>
    <row r="140" spans="1:7" x14ac:dyDescent="0.25">
      <c r="A140" s="8">
        <v>42897.671296296299</v>
      </c>
      <c r="B140" s="20" t="s">
        <v>374</v>
      </c>
      <c r="C140" s="20" t="s">
        <v>762</v>
      </c>
      <c r="D140" s="141">
        <v>1770000</v>
      </c>
      <c r="E140" s="20" t="s">
        <v>545</v>
      </c>
      <c r="F140" s="20" t="s">
        <v>546</v>
      </c>
      <c r="G140" s="8" t="str">
        <f t="shared" si="2"/>
        <v>BRUDER RICHARD</v>
      </c>
    </row>
    <row r="141" spans="1:7" x14ac:dyDescent="0.25">
      <c r="A141" s="8">
        <v>42897.67291666667</v>
      </c>
      <c r="B141" s="20" t="s">
        <v>626</v>
      </c>
      <c r="C141" s="20" t="s">
        <v>763</v>
      </c>
      <c r="D141" s="141">
        <v>2440000</v>
      </c>
      <c r="E141" s="20" t="s">
        <v>547</v>
      </c>
      <c r="F141" s="20" t="s">
        <v>548</v>
      </c>
      <c r="G141" s="8" t="str">
        <f t="shared" si="2"/>
        <v>LOPES KIMBERLY</v>
      </c>
    </row>
    <row r="142" spans="1:7" x14ac:dyDescent="0.25">
      <c r="A142" s="8">
        <v>42897.67423611111</v>
      </c>
      <c r="B142" s="20" t="s">
        <v>494</v>
      </c>
      <c r="C142" s="20" t="s">
        <v>638</v>
      </c>
      <c r="D142" s="141">
        <v>2420000</v>
      </c>
      <c r="E142" s="20" t="s">
        <v>497</v>
      </c>
      <c r="F142" s="20" t="s">
        <v>498</v>
      </c>
      <c r="G142" s="8" t="str">
        <f t="shared" si="2"/>
        <v>HOLCOMB KAMDEN</v>
      </c>
    </row>
    <row r="143" spans="1:7" x14ac:dyDescent="0.25">
      <c r="A143" s="8">
        <v>42897.684756944444</v>
      </c>
      <c r="B143" s="20" t="s">
        <v>419</v>
      </c>
      <c r="C143" s="20" t="s">
        <v>764</v>
      </c>
      <c r="D143" s="141">
        <v>2140000</v>
      </c>
      <c r="E143" s="20" t="s">
        <v>417</v>
      </c>
      <c r="F143" s="20" t="s">
        <v>418</v>
      </c>
      <c r="G143" s="8" t="str">
        <f t="shared" si="2"/>
        <v>ROBINSON KADDIBA</v>
      </c>
    </row>
    <row r="144" spans="1:7" x14ac:dyDescent="0.25">
      <c r="A144" s="8">
        <v>42897.685543981483</v>
      </c>
      <c r="B144" s="20" t="s">
        <v>432</v>
      </c>
      <c r="C144" s="20" t="s">
        <v>765</v>
      </c>
      <c r="D144" s="141">
        <v>920000</v>
      </c>
      <c r="E144" s="20" t="s">
        <v>421</v>
      </c>
      <c r="F144" s="20" t="s">
        <v>194</v>
      </c>
      <c r="G144" s="8" t="str">
        <f t="shared" si="2"/>
        <v>DAVIS MICHAEL</v>
      </c>
    </row>
    <row r="145" spans="1:7" x14ac:dyDescent="0.25">
      <c r="A145" s="8">
        <v>42897.693009259259</v>
      </c>
      <c r="B145" s="20" t="s">
        <v>491</v>
      </c>
      <c r="C145" s="20" t="s">
        <v>766</v>
      </c>
      <c r="D145" s="141">
        <v>2420000</v>
      </c>
      <c r="E145" s="20" t="s">
        <v>497</v>
      </c>
      <c r="F145" s="20" t="s">
        <v>498</v>
      </c>
      <c r="G145" s="8" t="str">
        <f t="shared" si="2"/>
        <v>HOLCOMB KAMDEN</v>
      </c>
    </row>
    <row r="146" spans="1:7" x14ac:dyDescent="0.25">
      <c r="A146" s="8">
        <v>42897.693541666667</v>
      </c>
      <c r="B146" s="20" t="s">
        <v>402</v>
      </c>
      <c r="C146" s="20" t="s">
        <v>767</v>
      </c>
      <c r="D146" s="141">
        <v>2370000</v>
      </c>
      <c r="E146" s="20" t="s">
        <v>731</v>
      </c>
      <c r="F146" s="20" t="s">
        <v>732</v>
      </c>
      <c r="G146" s="8" t="str">
        <f t="shared" si="2"/>
        <v>DELGADO DIANAH</v>
      </c>
    </row>
    <row r="147" spans="1:7" x14ac:dyDescent="0.25">
      <c r="A147" s="8">
        <v>42897.6950462963</v>
      </c>
      <c r="B147" s="20" t="s">
        <v>454</v>
      </c>
      <c r="C147" s="20" t="s">
        <v>768</v>
      </c>
      <c r="D147" s="141">
        <v>2360000</v>
      </c>
      <c r="E147" s="20" t="s">
        <v>543</v>
      </c>
      <c r="F147" s="20" t="s">
        <v>544</v>
      </c>
      <c r="G147" s="8" t="str">
        <f t="shared" si="2"/>
        <v>BRANDNER MELINDA</v>
      </c>
    </row>
    <row r="148" spans="1:7" x14ac:dyDescent="0.25">
      <c r="A148" s="8">
        <v>42897.701053240744</v>
      </c>
      <c r="B148" s="20" t="s">
        <v>516</v>
      </c>
      <c r="C148" s="20" t="s">
        <v>769</v>
      </c>
      <c r="D148" s="141">
        <v>2270000</v>
      </c>
      <c r="E148" s="20" t="s">
        <v>549</v>
      </c>
      <c r="F148" s="20" t="s">
        <v>550</v>
      </c>
      <c r="G148" s="8" t="str">
        <f t="shared" si="2"/>
        <v>BROWN JACOB</v>
      </c>
    </row>
    <row r="149" spans="1:7" x14ac:dyDescent="0.25">
      <c r="A149" s="8">
        <v>42897.703229166669</v>
      </c>
      <c r="B149" s="20" t="s">
        <v>377</v>
      </c>
      <c r="C149" s="20" t="s">
        <v>770</v>
      </c>
      <c r="D149" s="141">
        <v>1770000</v>
      </c>
      <c r="E149" s="20" t="s">
        <v>545</v>
      </c>
      <c r="F149" s="20" t="s">
        <v>546</v>
      </c>
      <c r="G149" s="8" t="str">
        <f t="shared" si="2"/>
        <v>BRUDER RICHARD</v>
      </c>
    </row>
    <row r="150" spans="1:7" x14ac:dyDescent="0.25">
      <c r="A150" s="8">
        <v>42897.708865740744</v>
      </c>
      <c r="B150" s="20" t="s">
        <v>629</v>
      </c>
      <c r="C150" s="20" t="s">
        <v>771</v>
      </c>
      <c r="D150" s="141">
        <v>2440000</v>
      </c>
      <c r="E150" s="20" t="s">
        <v>547</v>
      </c>
      <c r="F150" s="20" t="s">
        <v>548</v>
      </c>
      <c r="G150" s="8" t="str">
        <f t="shared" si="2"/>
        <v>LOPES KIMBERLY</v>
      </c>
    </row>
    <row r="151" spans="1:7" x14ac:dyDescent="0.25">
      <c r="A151" s="8">
        <v>42897.715057870373</v>
      </c>
      <c r="B151" s="20" t="s">
        <v>361</v>
      </c>
      <c r="C151" s="20" t="s">
        <v>641</v>
      </c>
      <c r="D151" s="141">
        <v>2000000</v>
      </c>
      <c r="E151" s="20" t="s">
        <v>420</v>
      </c>
      <c r="F151" s="20" t="s">
        <v>191</v>
      </c>
      <c r="G151" s="8" t="str">
        <f t="shared" si="2"/>
        <v>STAMBAUGH JAMES</v>
      </c>
    </row>
    <row r="152" spans="1:7" x14ac:dyDescent="0.25">
      <c r="A152" s="8">
        <v>42897.715914351851</v>
      </c>
      <c r="B152" s="20" t="s">
        <v>474</v>
      </c>
      <c r="C152" s="20" t="s">
        <v>772</v>
      </c>
      <c r="D152" s="141">
        <v>2470000</v>
      </c>
      <c r="E152" s="20" t="s">
        <v>551</v>
      </c>
      <c r="F152" s="20" t="s">
        <v>552</v>
      </c>
      <c r="G152" s="8" t="str">
        <f t="shared" si="2"/>
        <v>ROMERO CHAD</v>
      </c>
    </row>
    <row r="153" spans="1:7" x14ac:dyDescent="0.25">
      <c r="A153" s="8">
        <v>42897.723020833335</v>
      </c>
      <c r="B153" s="20" t="s">
        <v>494</v>
      </c>
      <c r="C153" s="20" t="s">
        <v>639</v>
      </c>
      <c r="D153" s="141">
        <v>2420000</v>
      </c>
      <c r="E153" s="20" t="s">
        <v>497</v>
      </c>
      <c r="F153" s="20" t="s">
        <v>498</v>
      </c>
      <c r="G153" s="8" t="str">
        <f t="shared" si="2"/>
        <v>HOLCOMB KAMDEN</v>
      </c>
    </row>
    <row r="154" spans="1:7" x14ac:dyDescent="0.25">
      <c r="A154" s="8">
        <v>42897.724826388891</v>
      </c>
      <c r="B154" s="20" t="s">
        <v>430</v>
      </c>
      <c r="C154" s="20" t="s">
        <v>773</v>
      </c>
      <c r="D154" s="141">
        <v>920000</v>
      </c>
      <c r="E154" s="20" t="s">
        <v>421</v>
      </c>
      <c r="F154" s="20" t="s">
        <v>194</v>
      </c>
      <c r="G154" s="8" t="str">
        <f t="shared" si="2"/>
        <v>DAVIS MICHAEL</v>
      </c>
    </row>
    <row r="155" spans="1:7" x14ac:dyDescent="0.25">
      <c r="A155" s="8">
        <v>42897.724907407406</v>
      </c>
      <c r="B155" s="20" t="s">
        <v>468</v>
      </c>
      <c r="C155" s="20" t="s">
        <v>774</v>
      </c>
      <c r="D155" s="141">
        <v>2260000</v>
      </c>
      <c r="E155" s="20" t="s">
        <v>775</v>
      </c>
      <c r="F155" s="20" t="s">
        <v>776</v>
      </c>
      <c r="G155" s="8" t="str">
        <f t="shared" si="2"/>
        <v>ARVIDSON DANIEL</v>
      </c>
    </row>
    <row r="156" spans="1:7" x14ac:dyDescent="0.25">
      <c r="A156" s="8">
        <v>42897.725590277776</v>
      </c>
      <c r="B156" s="20" t="s">
        <v>403</v>
      </c>
      <c r="C156" s="20" t="s">
        <v>777</v>
      </c>
      <c r="D156" s="141">
        <v>2370000</v>
      </c>
      <c r="E156" s="20" t="s">
        <v>731</v>
      </c>
      <c r="F156" s="20" t="s">
        <v>732</v>
      </c>
      <c r="G156" s="8" t="str">
        <f t="shared" si="2"/>
        <v>DELGADO DIANAH</v>
      </c>
    </row>
    <row r="157" spans="1:7" x14ac:dyDescent="0.25">
      <c r="A157" s="8">
        <v>42897.734930555554</v>
      </c>
      <c r="B157" s="20" t="s">
        <v>491</v>
      </c>
      <c r="C157" s="20" t="s">
        <v>640</v>
      </c>
      <c r="D157" s="141">
        <v>2420000</v>
      </c>
      <c r="E157" s="20" t="s">
        <v>497</v>
      </c>
      <c r="F157" s="20" t="s">
        <v>498</v>
      </c>
      <c r="G157" s="8" t="str">
        <f t="shared" si="2"/>
        <v>HOLCOMB KAMDEN</v>
      </c>
    </row>
    <row r="158" spans="1:7" x14ac:dyDescent="0.25">
      <c r="A158" s="8">
        <v>42897.735648148147</v>
      </c>
      <c r="B158" s="20" t="s">
        <v>453</v>
      </c>
      <c r="C158" s="20" t="s">
        <v>778</v>
      </c>
      <c r="D158" s="141">
        <v>2360000</v>
      </c>
      <c r="E158" s="20" t="s">
        <v>543</v>
      </c>
      <c r="F158" s="20" t="s">
        <v>544</v>
      </c>
      <c r="G158" s="8" t="str">
        <f t="shared" si="2"/>
        <v>BRANDNER MELINDA</v>
      </c>
    </row>
    <row r="159" spans="1:7" x14ac:dyDescent="0.25">
      <c r="A159" s="8">
        <v>42897.736562500002</v>
      </c>
      <c r="B159" s="20" t="s">
        <v>405</v>
      </c>
      <c r="C159" s="20" t="s">
        <v>779</v>
      </c>
      <c r="D159" s="141">
        <v>2230000</v>
      </c>
      <c r="E159" s="20" t="s">
        <v>344</v>
      </c>
      <c r="F159" s="20" t="s">
        <v>194</v>
      </c>
      <c r="G159" s="8" t="str">
        <f t="shared" si="2"/>
        <v>SMITH MICHAEL</v>
      </c>
    </row>
    <row r="160" spans="1:7" x14ac:dyDescent="0.25">
      <c r="A160" s="8">
        <v>42897.741342592592</v>
      </c>
      <c r="B160" s="20" t="s">
        <v>493</v>
      </c>
      <c r="C160" s="20" t="s">
        <v>780</v>
      </c>
      <c r="D160" s="141">
        <v>3030000</v>
      </c>
      <c r="E160" s="20" t="s">
        <v>386</v>
      </c>
      <c r="F160" s="20" t="s">
        <v>371</v>
      </c>
      <c r="G160" s="8" t="str">
        <f t="shared" si="2"/>
        <v>BIRENBAUM THOMAS</v>
      </c>
    </row>
    <row r="161" spans="1:7" x14ac:dyDescent="0.25">
      <c r="A161" s="8">
        <v>42897.743703703702</v>
      </c>
      <c r="B161" s="20" t="s">
        <v>374</v>
      </c>
      <c r="C161" s="20" t="s">
        <v>781</v>
      </c>
      <c r="D161" s="141">
        <v>1770000</v>
      </c>
      <c r="E161" s="20" t="s">
        <v>545</v>
      </c>
      <c r="F161" s="20" t="s">
        <v>546</v>
      </c>
      <c r="G161" s="8" t="str">
        <f t="shared" si="2"/>
        <v>BRUDER RICHARD</v>
      </c>
    </row>
    <row r="162" spans="1:7" x14ac:dyDescent="0.25">
      <c r="A162" s="8">
        <v>42897.745381944442</v>
      </c>
      <c r="B162" s="20" t="s">
        <v>626</v>
      </c>
      <c r="C162" s="20" t="s">
        <v>642</v>
      </c>
      <c r="D162" s="141">
        <v>2440000</v>
      </c>
      <c r="E162" s="20" t="s">
        <v>547</v>
      </c>
      <c r="F162" s="20" t="s">
        <v>548</v>
      </c>
      <c r="G162" s="8" t="str">
        <f t="shared" si="2"/>
        <v>LOPES KIMBERLY</v>
      </c>
    </row>
    <row r="163" spans="1:7" x14ac:dyDescent="0.25">
      <c r="A163" s="8">
        <v>42897.753298611111</v>
      </c>
      <c r="B163" s="20" t="s">
        <v>419</v>
      </c>
      <c r="C163" s="20" t="s">
        <v>645</v>
      </c>
      <c r="D163" s="141">
        <v>2000000</v>
      </c>
      <c r="E163" s="20" t="s">
        <v>420</v>
      </c>
      <c r="F163" s="20" t="s">
        <v>191</v>
      </c>
      <c r="G163" s="8" t="str">
        <f t="shared" si="2"/>
        <v>STAMBAUGH JAMES</v>
      </c>
    </row>
    <row r="164" spans="1:7" x14ac:dyDescent="0.25">
      <c r="A164" s="8">
        <v>42897.758645833332</v>
      </c>
      <c r="B164" s="20" t="s">
        <v>432</v>
      </c>
      <c r="C164" s="20" t="s">
        <v>643</v>
      </c>
      <c r="D164" s="141">
        <v>3130000</v>
      </c>
      <c r="E164" s="20" t="s">
        <v>389</v>
      </c>
      <c r="F164" s="20" t="s">
        <v>390</v>
      </c>
      <c r="G164" s="8" t="str">
        <f t="shared" si="2"/>
        <v>ZEWDU DEREJE</v>
      </c>
    </row>
    <row r="165" spans="1:7" x14ac:dyDescent="0.25">
      <c r="A165" s="8">
        <v>42897.762002314812</v>
      </c>
      <c r="B165" s="20" t="s">
        <v>494</v>
      </c>
      <c r="C165" s="20" t="s">
        <v>644</v>
      </c>
      <c r="D165" s="141">
        <v>3120000</v>
      </c>
      <c r="E165" s="20" t="s">
        <v>782</v>
      </c>
      <c r="F165" s="20" t="s">
        <v>783</v>
      </c>
      <c r="G165" s="8" t="str">
        <f t="shared" si="2"/>
        <v>THOMPSON LESTER</v>
      </c>
    </row>
    <row r="166" spans="1:7" x14ac:dyDescent="0.25">
      <c r="A166" s="8">
        <v>42897.763854166667</v>
      </c>
      <c r="B166" s="20" t="s">
        <v>402</v>
      </c>
      <c r="C166" s="20" t="s">
        <v>646</v>
      </c>
      <c r="D166" s="141">
        <v>2370000</v>
      </c>
      <c r="E166" s="20" t="s">
        <v>731</v>
      </c>
      <c r="F166" s="20" t="s">
        <v>732</v>
      </c>
      <c r="G166" s="8" t="str">
        <f t="shared" si="2"/>
        <v>DELGADO DIANAH</v>
      </c>
    </row>
    <row r="167" spans="1:7" x14ac:dyDescent="0.25">
      <c r="A167" s="8">
        <v>42897.767256944448</v>
      </c>
      <c r="B167" s="20" t="s">
        <v>454</v>
      </c>
      <c r="C167" s="20" t="s">
        <v>784</v>
      </c>
      <c r="D167" s="141">
        <v>2090000</v>
      </c>
      <c r="E167" s="20" t="s">
        <v>785</v>
      </c>
      <c r="F167" s="20" t="s">
        <v>194</v>
      </c>
      <c r="G167" s="8" t="str">
        <f t="shared" si="2"/>
        <v>HAITHCOX MICHAEL</v>
      </c>
    </row>
    <row r="168" spans="1:7" x14ac:dyDescent="0.25">
      <c r="A168" s="8">
        <v>42897.771956018521</v>
      </c>
      <c r="B168" s="20" t="s">
        <v>516</v>
      </c>
      <c r="C168" s="20" t="s">
        <v>786</v>
      </c>
      <c r="D168" s="141">
        <v>2230000</v>
      </c>
      <c r="E168" s="20" t="s">
        <v>344</v>
      </c>
      <c r="F168" s="20" t="s">
        <v>194</v>
      </c>
      <c r="G168" s="8" t="str">
        <f t="shared" si="2"/>
        <v>SMITH MICHAEL</v>
      </c>
    </row>
    <row r="169" spans="1:7" x14ac:dyDescent="0.25">
      <c r="A169" s="8">
        <v>42897.776643518519</v>
      </c>
      <c r="B169" s="20" t="s">
        <v>377</v>
      </c>
      <c r="C169" s="20" t="s">
        <v>787</v>
      </c>
      <c r="D169" s="141">
        <v>1770000</v>
      </c>
      <c r="E169" s="20" t="s">
        <v>545</v>
      </c>
      <c r="F169" s="20" t="s">
        <v>546</v>
      </c>
      <c r="G169" s="8" t="str">
        <f t="shared" si="2"/>
        <v>BRUDER RICHARD</v>
      </c>
    </row>
    <row r="170" spans="1:7" x14ac:dyDescent="0.25">
      <c r="A170" s="8">
        <v>42897.776932870373</v>
      </c>
      <c r="B170" s="20" t="s">
        <v>491</v>
      </c>
      <c r="C170" s="20" t="s">
        <v>788</v>
      </c>
      <c r="D170" s="141">
        <v>3120000</v>
      </c>
      <c r="E170" s="20" t="s">
        <v>782</v>
      </c>
      <c r="F170" s="20" t="s">
        <v>783</v>
      </c>
      <c r="G170" s="8" t="str">
        <f t="shared" si="2"/>
        <v>THOMPSON LESTER</v>
      </c>
    </row>
    <row r="171" spans="1:7" x14ac:dyDescent="0.25">
      <c r="A171" s="8">
        <v>42897.781701388885</v>
      </c>
      <c r="B171" s="20" t="s">
        <v>629</v>
      </c>
      <c r="C171" s="20" t="s">
        <v>789</v>
      </c>
      <c r="D171" s="141">
        <v>2440000</v>
      </c>
      <c r="E171" s="20" t="s">
        <v>547</v>
      </c>
      <c r="F171" s="20" t="s">
        <v>548</v>
      </c>
      <c r="G171" s="8" t="str">
        <f t="shared" si="2"/>
        <v>LOPES KIMBERLY</v>
      </c>
    </row>
    <row r="172" spans="1:7" x14ac:dyDescent="0.25">
      <c r="A172" s="8">
        <v>42897.787233796298</v>
      </c>
      <c r="B172" s="20" t="s">
        <v>361</v>
      </c>
      <c r="C172" s="20" t="s">
        <v>790</v>
      </c>
      <c r="D172" s="141">
        <v>2000000</v>
      </c>
      <c r="E172" s="20" t="s">
        <v>420</v>
      </c>
      <c r="F172" s="20" t="s">
        <v>191</v>
      </c>
      <c r="G172" s="8" t="str">
        <f t="shared" si="2"/>
        <v>STAMBAUGH JAMES</v>
      </c>
    </row>
    <row r="173" spans="1:7" x14ac:dyDescent="0.25">
      <c r="A173" s="8">
        <v>42897.790127314816</v>
      </c>
      <c r="B173" s="20" t="s">
        <v>430</v>
      </c>
      <c r="C173" s="20" t="s">
        <v>791</v>
      </c>
      <c r="D173" s="141">
        <v>3130000</v>
      </c>
      <c r="E173" s="20" t="s">
        <v>389</v>
      </c>
      <c r="F173" s="20" t="s">
        <v>390</v>
      </c>
      <c r="G173" s="8" t="str">
        <f t="shared" si="2"/>
        <v>ZEWDU DEREJE</v>
      </c>
    </row>
    <row r="174" spans="1:7" x14ac:dyDescent="0.25">
      <c r="A174" s="8">
        <v>42897.799375000002</v>
      </c>
      <c r="B174" s="20" t="s">
        <v>403</v>
      </c>
      <c r="C174" s="20" t="s">
        <v>792</v>
      </c>
      <c r="D174" s="141">
        <v>2370000</v>
      </c>
      <c r="E174" s="20" t="s">
        <v>731</v>
      </c>
      <c r="F174" s="20" t="s">
        <v>732</v>
      </c>
      <c r="G174" s="8" t="str">
        <f t="shared" si="2"/>
        <v>DELGADO DIANAH</v>
      </c>
    </row>
    <row r="175" spans="1:7" x14ac:dyDescent="0.25">
      <c r="A175" s="8">
        <v>42897.800428240742</v>
      </c>
      <c r="B175" s="20" t="s">
        <v>453</v>
      </c>
      <c r="C175" s="20" t="s">
        <v>793</v>
      </c>
      <c r="D175" s="141">
        <v>2090000</v>
      </c>
      <c r="E175" s="20" t="s">
        <v>785</v>
      </c>
      <c r="F175" s="20" t="s">
        <v>194</v>
      </c>
      <c r="G175" s="8" t="str">
        <f t="shared" si="2"/>
        <v>HAITHCOX MICHAEL</v>
      </c>
    </row>
    <row r="176" spans="1:7" x14ac:dyDescent="0.25">
      <c r="A176" s="8">
        <v>42897.804537037038</v>
      </c>
      <c r="B176" s="20" t="s">
        <v>494</v>
      </c>
      <c r="C176" s="20" t="s">
        <v>794</v>
      </c>
      <c r="D176" s="141">
        <v>2420000</v>
      </c>
      <c r="E176" s="20" t="s">
        <v>497</v>
      </c>
      <c r="F176" s="20" t="s">
        <v>498</v>
      </c>
      <c r="G176" s="8" t="str">
        <f t="shared" si="2"/>
        <v>HOLCOMB KAMDEN</v>
      </c>
    </row>
    <row r="177" spans="1:7" x14ac:dyDescent="0.25">
      <c r="A177" s="8">
        <v>42897.809004629627</v>
      </c>
      <c r="B177" s="20" t="s">
        <v>405</v>
      </c>
      <c r="C177" s="20" t="s">
        <v>795</v>
      </c>
      <c r="D177" s="141">
        <v>3030000</v>
      </c>
      <c r="E177" s="20" t="s">
        <v>386</v>
      </c>
      <c r="F177" s="20" t="s">
        <v>371</v>
      </c>
      <c r="G177" s="8" t="str">
        <f t="shared" si="2"/>
        <v>BIRENBAUM THOMAS</v>
      </c>
    </row>
    <row r="178" spans="1:7" x14ac:dyDescent="0.25">
      <c r="A178" s="8">
        <v>42897.817245370374</v>
      </c>
      <c r="B178" s="20" t="s">
        <v>491</v>
      </c>
      <c r="C178" s="20" t="s">
        <v>796</v>
      </c>
      <c r="D178" s="141">
        <v>2420000</v>
      </c>
      <c r="E178" s="20" t="s">
        <v>497</v>
      </c>
      <c r="F178" s="20" t="s">
        <v>498</v>
      </c>
      <c r="G178" s="8" t="str">
        <f t="shared" si="2"/>
        <v>HOLCOMB KAMDEN</v>
      </c>
    </row>
    <row r="179" spans="1:7" x14ac:dyDescent="0.25">
      <c r="A179" s="8">
        <v>42897.818020833336</v>
      </c>
      <c r="B179" s="20" t="s">
        <v>626</v>
      </c>
      <c r="C179" s="20" t="s">
        <v>797</v>
      </c>
      <c r="D179" s="141">
        <v>2440000</v>
      </c>
      <c r="E179" s="20" t="s">
        <v>547</v>
      </c>
      <c r="F179" s="20" t="s">
        <v>548</v>
      </c>
      <c r="G179" s="8" t="str">
        <f t="shared" si="2"/>
        <v>LOPES KIMBERLY</v>
      </c>
    </row>
    <row r="180" spans="1:7" x14ac:dyDescent="0.25">
      <c r="A180" s="8">
        <v>42897.826608796298</v>
      </c>
      <c r="B180" s="20" t="s">
        <v>419</v>
      </c>
      <c r="C180" s="20" t="s">
        <v>798</v>
      </c>
      <c r="D180" s="141">
        <v>2000000</v>
      </c>
      <c r="E180" s="20" t="s">
        <v>420</v>
      </c>
      <c r="F180" s="20" t="s">
        <v>191</v>
      </c>
      <c r="G180" s="8" t="str">
        <f t="shared" si="2"/>
        <v>STAMBAUGH JAMES</v>
      </c>
    </row>
    <row r="181" spans="1:7" x14ac:dyDescent="0.25">
      <c r="A181" s="8">
        <v>42897.829733796294</v>
      </c>
      <c r="B181" s="20" t="s">
        <v>432</v>
      </c>
      <c r="C181" s="20" t="s">
        <v>799</v>
      </c>
      <c r="D181" s="141">
        <v>3130000</v>
      </c>
      <c r="E181" s="20" t="s">
        <v>389</v>
      </c>
      <c r="F181" s="20" t="s">
        <v>390</v>
      </c>
      <c r="G181" s="8" t="str">
        <f t="shared" si="2"/>
        <v>ZEWDU DEREJE</v>
      </c>
    </row>
    <row r="182" spans="1:7" x14ac:dyDescent="0.25">
      <c r="A182" s="8">
        <v>42897.841840277775</v>
      </c>
      <c r="B182" s="20" t="s">
        <v>454</v>
      </c>
      <c r="C182" s="20" t="s">
        <v>800</v>
      </c>
      <c r="D182" s="141">
        <v>2090000</v>
      </c>
      <c r="E182" s="20" t="s">
        <v>785</v>
      </c>
      <c r="F182" s="20" t="s">
        <v>194</v>
      </c>
      <c r="G182" s="8" t="str">
        <f t="shared" si="2"/>
        <v>HAITHCOX MICHAEL</v>
      </c>
    </row>
    <row r="183" spans="1:7" x14ac:dyDescent="0.25">
      <c r="A183" s="8">
        <v>42897.847268518519</v>
      </c>
      <c r="B183" s="20" t="s">
        <v>494</v>
      </c>
      <c r="C183" s="20" t="s">
        <v>801</v>
      </c>
      <c r="D183" s="141">
        <v>2420000</v>
      </c>
      <c r="E183" s="20" t="s">
        <v>497</v>
      </c>
      <c r="F183" s="20" t="s">
        <v>498</v>
      </c>
      <c r="G183" s="8" t="str">
        <f t="shared" si="2"/>
        <v>HOLCOMB KAMDEN</v>
      </c>
    </row>
    <row r="184" spans="1:7" x14ac:dyDescent="0.25">
      <c r="A184" s="8">
        <v>42897.84957175926</v>
      </c>
      <c r="B184" s="20" t="s">
        <v>516</v>
      </c>
      <c r="C184" s="20" t="s">
        <v>802</v>
      </c>
      <c r="D184" s="141">
        <v>3030000</v>
      </c>
      <c r="E184" s="20" t="s">
        <v>386</v>
      </c>
      <c r="F184" s="20" t="s">
        <v>371</v>
      </c>
      <c r="G184" s="8" t="str">
        <f t="shared" si="2"/>
        <v>BIRENBAUM THOMAS</v>
      </c>
    </row>
    <row r="185" spans="1:7" x14ac:dyDescent="0.25">
      <c r="A185" s="8">
        <v>42897.858749999999</v>
      </c>
      <c r="B185" s="20" t="s">
        <v>491</v>
      </c>
      <c r="C185" s="20" t="s">
        <v>647</v>
      </c>
      <c r="D185" s="141">
        <v>2420000</v>
      </c>
      <c r="E185" s="20" t="s">
        <v>497</v>
      </c>
      <c r="F185" s="20" t="s">
        <v>498</v>
      </c>
      <c r="G185" s="8" t="str">
        <f t="shared" si="2"/>
        <v>HOLCOMB KAMDEN</v>
      </c>
    </row>
    <row r="186" spans="1:7" x14ac:dyDescent="0.25">
      <c r="A186" s="8">
        <v>42897.859340277777</v>
      </c>
      <c r="B186" s="20" t="s">
        <v>361</v>
      </c>
      <c r="C186" s="20" t="s">
        <v>803</v>
      </c>
      <c r="D186" s="141">
        <v>2000000</v>
      </c>
      <c r="E186" s="20" t="s">
        <v>420</v>
      </c>
      <c r="F186" s="20" t="s">
        <v>191</v>
      </c>
      <c r="G186" s="8" t="str">
        <f t="shared" si="2"/>
        <v>STAMBAUGH JAMES</v>
      </c>
    </row>
    <row r="187" spans="1:7" x14ac:dyDescent="0.25">
      <c r="A187" s="8">
        <v>42897.87059027778</v>
      </c>
      <c r="B187" s="20" t="s">
        <v>430</v>
      </c>
      <c r="C187" s="20" t="s">
        <v>804</v>
      </c>
      <c r="D187" s="141">
        <v>3130000</v>
      </c>
      <c r="E187" s="20" t="s">
        <v>389</v>
      </c>
      <c r="F187" s="20" t="s">
        <v>390</v>
      </c>
      <c r="G187" s="8" t="str">
        <f t="shared" si="2"/>
        <v>ZEWDU DEREJE</v>
      </c>
    </row>
    <row r="188" spans="1:7" x14ac:dyDescent="0.25">
      <c r="A188" s="8">
        <v>42897.880925925929</v>
      </c>
      <c r="B188" s="20" t="s">
        <v>405</v>
      </c>
      <c r="C188" s="20" t="s">
        <v>805</v>
      </c>
      <c r="D188" s="141">
        <v>2230000</v>
      </c>
      <c r="E188" s="20" t="s">
        <v>344</v>
      </c>
      <c r="F188" s="20" t="s">
        <v>194</v>
      </c>
      <c r="G188" s="8" t="str">
        <f t="shared" si="2"/>
        <v>SMITH MICHAEL</v>
      </c>
    </row>
    <row r="189" spans="1:7" x14ac:dyDescent="0.25">
      <c r="A189" s="8">
        <v>42897.886805555558</v>
      </c>
      <c r="B189" s="20" t="s">
        <v>453</v>
      </c>
      <c r="C189" s="20" t="s">
        <v>806</v>
      </c>
      <c r="D189" s="141">
        <v>2090000</v>
      </c>
      <c r="E189" s="20" t="s">
        <v>785</v>
      </c>
      <c r="F189" s="20" t="s">
        <v>194</v>
      </c>
      <c r="G189" s="8" t="str">
        <f t="shared" si="2"/>
        <v>HAITHCOX MICHAEL</v>
      </c>
    </row>
    <row r="190" spans="1:7" x14ac:dyDescent="0.25">
      <c r="A190" s="8">
        <v>42897.888148148151</v>
      </c>
      <c r="B190" s="20" t="s">
        <v>494</v>
      </c>
      <c r="C190" s="20" t="s">
        <v>807</v>
      </c>
      <c r="D190" s="141">
        <v>3030000</v>
      </c>
      <c r="E190" s="20" t="s">
        <v>386</v>
      </c>
      <c r="F190" s="20" t="s">
        <v>371</v>
      </c>
      <c r="G190" s="8" t="str">
        <f t="shared" si="2"/>
        <v>BIRENBAUM THOMAS</v>
      </c>
    </row>
    <row r="191" spans="1:7" x14ac:dyDescent="0.25">
      <c r="A191" s="8">
        <v>42897.901458333334</v>
      </c>
      <c r="B191" s="20" t="s">
        <v>491</v>
      </c>
      <c r="C191" s="20" t="s">
        <v>808</v>
      </c>
      <c r="D191" s="141">
        <v>3030000</v>
      </c>
      <c r="E191" s="20" t="s">
        <v>386</v>
      </c>
      <c r="F191" s="20" t="s">
        <v>371</v>
      </c>
      <c r="G191" s="8" t="str">
        <f t="shared" si="2"/>
        <v>BIRENBAUM THOMAS</v>
      </c>
    </row>
    <row r="192" spans="1:7" x14ac:dyDescent="0.25">
      <c r="A192" s="8">
        <v>42897.906006944446</v>
      </c>
      <c r="B192" s="20" t="s">
        <v>432</v>
      </c>
      <c r="C192" s="20" t="s">
        <v>809</v>
      </c>
      <c r="D192" s="141">
        <v>3130000</v>
      </c>
      <c r="E192" s="20" t="s">
        <v>389</v>
      </c>
      <c r="F192" s="20" t="s">
        <v>390</v>
      </c>
      <c r="G192" s="8" t="str">
        <f t="shared" si="2"/>
        <v>ZEWDU DEREJE</v>
      </c>
    </row>
    <row r="193" spans="1:7" x14ac:dyDescent="0.25">
      <c r="A193" s="8">
        <v>42897.912847222222</v>
      </c>
      <c r="B193" s="20" t="s">
        <v>419</v>
      </c>
      <c r="C193" s="20" t="s">
        <v>648</v>
      </c>
      <c r="D193" s="141">
        <v>2000000</v>
      </c>
      <c r="E193" s="20" t="s">
        <v>420</v>
      </c>
      <c r="F193" s="20" t="s">
        <v>191</v>
      </c>
      <c r="G193" s="8" t="str">
        <f t="shared" si="2"/>
        <v>STAMBAUGH JAMES</v>
      </c>
    </row>
    <row r="194" spans="1:7" x14ac:dyDescent="0.25">
      <c r="A194" s="8">
        <v>42897.923877314817</v>
      </c>
      <c r="B194" s="20" t="s">
        <v>454</v>
      </c>
      <c r="C194" s="20" t="s">
        <v>810</v>
      </c>
      <c r="D194" s="141">
        <v>2090000</v>
      </c>
      <c r="E194" s="20" t="s">
        <v>785</v>
      </c>
      <c r="F194" s="20" t="s">
        <v>194</v>
      </c>
      <c r="G194" s="8" t="str">
        <f t="shared" si="2"/>
        <v>HAITHCOX MICHAEL</v>
      </c>
    </row>
    <row r="195" spans="1:7" x14ac:dyDescent="0.25">
      <c r="A195" s="8">
        <v>42897.927129629628</v>
      </c>
      <c r="B195" s="20" t="s">
        <v>516</v>
      </c>
      <c r="C195" s="20" t="s">
        <v>650</v>
      </c>
      <c r="D195" s="141">
        <v>2230000</v>
      </c>
      <c r="E195" s="20" t="s">
        <v>344</v>
      </c>
      <c r="F195" s="20" t="s">
        <v>194</v>
      </c>
      <c r="G195" s="8" t="str">
        <f t="shared" ref="G195:G258" si="3">E195&amp;" "&amp;F195</f>
        <v>SMITH MICHAEL</v>
      </c>
    </row>
    <row r="196" spans="1:7" x14ac:dyDescent="0.25">
      <c r="A196" s="8">
        <v>42897.931701388887</v>
      </c>
      <c r="B196" s="20" t="s">
        <v>494</v>
      </c>
      <c r="C196" s="20" t="s">
        <v>649</v>
      </c>
      <c r="D196" s="141">
        <v>2420000</v>
      </c>
      <c r="E196" s="20" t="s">
        <v>497</v>
      </c>
      <c r="F196" s="20" t="s">
        <v>498</v>
      </c>
      <c r="G196" s="8" t="str">
        <f t="shared" si="3"/>
        <v>HOLCOMB KAMDEN</v>
      </c>
    </row>
    <row r="197" spans="1:7" x14ac:dyDescent="0.25">
      <c r="A197" s="8">
        <v>42897.942835648151</v>
      </c>
      <c r="B197" s="20" t="s">
        <v>361</v>
      </c>
      <c r="C197" s="20" t="s">
        <v>811</v>
      </c>
      <c r="D197" s="141">
        <v>2000000</v>
      </c>
      <c r="E197" s="20" t="s">
        <v>420</v>
      </c>
      <c r="F197" s="20" t="s">
        <v>191</v>
      </c>
      <c r="G197" s="8" t="str">
        <f t="shared" si="3"/>
        <v>STAMBAUGH JAMES</v>
      </c>
    </row>
    <row r="198" spans="1:7" x14ac:dyDescent="0.25">
      <c r="A198" s="8">
        <v>42897.94425925926</v>
      </c>
      <c r="B198" s="20" t="s">
        <v>491</v>
      </c>
      <c r="C198" s="20" t="s">
        <v>812</v>
      </c>
      <c r="D198" s="141">
        <v>2420000</v>
      </c>
      <c r="E198" s="20" t="s">
        <v>497</v>
      </c>
      <c r="F198" s="20" t="s">
        <v>498</v>
      </c>
      <c r="G198" s="8" t="str">
        <f t="shared" si="3"/>
        <v>HOLCOMB KAMDEN</v>
      </c>
    </row>
    <row r="199" spans="1:7" x14ac:dyDescent="0.25">
      <c r="A199" s="8">
        <v>42897.944953703707</v>
      </c>
      <c r="B199" s="20" t="s">
        <v>432</v>
      </c>
      <c r="C199" s="20" t="s">
        <v>809</v>
      </c>
      <c r="D199" s="141">
        <v>3130000</v>
      </c>
      <c r="E199" s="20" t="s">
        <v>389</v>
      </c>
      <c r="F199" s="20" t="s">
        <v>390</v>
      </c>
      <c r="G199" s="8" t="str">
        <f t="shared" si="3"/>
        <v>ZEWDU DEREJE</v>
      </c>
    </row>
    <row r="200" spans="1:7" x14ac:dyDescent="0.25">
      <c r="A200" s="8">
        <v>42897.950555555559</v>
      </c>
      <c r="B200" s="20" t="s">
        <v>432</v>
      </c>
      <c r="C200" s="20" t="s">
        <v>809</v>
      </c>
      <c r="D200" s="141">
        <v>3130000</v>
      </c>
      <c r="E200" s="20" t="s">
        <v>389</v>
      </c>
      <c r="F200" s="20" t="s">
        <v>390</v>
      </c>
      <c r="G200" s="8" t="str">
        <f t="shared" si="3"/>
        <v>ZEWDU DEREJE</v>
      </c>
    </row>
    <row r="201" spans="1:7" x14ac:dyDescent="0.25">
      <c r="A201" s="8">
        <v>42897.951388888891</v>
      </c>
      <c r="B201" s="20" t="s">
        <v>494</v>
      </c>
      <c r="C201" s="20" t="s">
        <v>812</v>
      </c>
      <c r="D201" s="141">
        <v>2420000</v>
      </c>
      <c r="E201" s="20" t="s">
        <v>497</v>
      </c>
      <c r="F201" s="20" t="s">
        <v>498</v>
      </c>
      <c r="G201" s="8" t="str">
        <f t="shared" si="3"/>
        <v>HOLCOMB KAMDEN</v>
      </c>
    </row>
    <row r="202" spans="1:7" x14ac:dyDescent="0.25">
      <c r="A202" s="26">
        <v>42897.953229166669</v>
      </c>
      <c r="B202" s="20" t="s">
        <v>430</v>
      </c>
      <c r="C202" s="20" t="s">
        <v>813</v>
      </c>
      <c r="D202" s="141">
        <v>3130000</v>
      </c>
      <c r="E202" s="20" t="s">
        <v>389</v>
      </c>
      <c r="F202" s="20" t="s">
        <v>390</v>
      </c>
      <c r="G202" s="8" t="str">
        <f t="shared" si="3"/>
        <v>ZEWDU DEREJE</v>
      </c>
    </row>
    <row r="203" spans="1:7" x14ac:dyDescent="0.25">
      <c r="A203" s="8">
        <v>42897.967233796298</v>
      </c>
      <c r="B203" s="20" t="s">
        <v>453</v>
      </c>
      <c r="C203" s="20" t="s">
        <v>814</v>
      </c>
      <c r="D203" s="141">
        <v>2090000</v>
      </c>
      <c r="E203" s="20" t="s">
        <v>785</v>
      </c>
      <c r="F203" s="20" t="s">
        <v>194</v>
      </c>
      <c r="G203" s="8" t="str">
        <f t="shared" si="3"/>
        <v>HAITHCOX MICHAEL</v>
      </c>
    </row>
    <row r="204" spans="1:7" x14ac:dyDescent="0.25">
      <c r="A204" s="8">
        <v>42897.967638888891</v>
      </c>
      <c r="B204" s="20" t="s">
        <v>405</v>
      </c>
      <c r="C204" s="20" t="s">
        <v>815</v>
      </c>
      <c r="D204" s="141">
        <v>2230000</v>
      </c>
      <c r="E204" s="20" t="s">
        <v>344</v>
      </c>
      <c r="F204" s="20" t="s">
        <v>194</v>
      </c>
      <c r="G204" s="8" t="str">
        <f t="shared" si="3"/>
        <v>SMITH MICHAEL</v>
      </c>
    </row>
    <row r="205" spans="1:7" x14ac:dyDescent="0.25">
      <c r="A205" s="8">
        <v>42897.995162037034</v>
      </c>
      <c r="B205" s="20" t="s">
        <v>419</v>
      </c>
      <c r="C205" s="20" t="s">
        <v>816</v>
      </c>
      <c r="D205" s="141">
        <v>2000000</v>
      </c>
      <c r="E205" s="20" t="s">
        <v>420</v>
      </c>
      <c r="F205" s="20" t="s">
        <v>191</v>
      </c>
      <c r="G205" s="8" t="str">
        <f t="shared" si="3"/>
        <v>STAMBAUGH JAMES</v>
      </c>
    </row>
    <row r="206" spans="1:7" x14ac:dyDescent="0.25">
      <c r="A206" s="8">
        <v>42897.996759259258</v>
      </c>
      <c r="B206" s="20" t="s">
        <v>432</v>
      </c>
      <c r="C206" s="20" t="s">
        <v>817</v>
      </c>
      <c r="D206" s="141">
        <v>3130000</v>
      </c>
      <c r="E206" s="20" t="s">
        <v>389</v>
      </c>
      <c r="F206" s="20" t="s">
        <v>390</v>
      </c>
      <c r="G206" s="8" t="str">
        <f t="shared" si="3"/>
        <v>ZEWDU DEREJE</v>
      </c>
    </row>
    <row r="207" spans="1:7" x14ac:dyDescent="0.25">
      <c r="A207" s="8">
        <v>42898.008414351854</v>
      </c>
      <c r="B207" s="20" t="s">
        <v>516</v>
      </c>
      <c r="C207" s="20" t="s">
        <v>818</v>
      </c>
      <c r="D207" s="141">
        <v>2230000</v>
      </c>
      <c r="E207" s="20" t="s">
        <v>344</v>
      </c>
      <c r="F207" s="20" t="s">
        <v>194</v>
      </c>
      <c r="G207" s="8" t="str">
        <f t="shared" si="3"/>
        <v>SMITH MICHAEL</v>
      </c>
    </row>
    <row r="208" spans="1:7" x14ac:dyDescent="0.25">
      <c r="A208" s="8">
        <v>42898.014270833337</v>
      </c>
      <c r="B208" s="20" t="s">
        <v>454</v>
      </c>
      <c r="C208" s="20" t="s">
        <v>819</v>
      </c>
      <c r="D208" s="141">
        <v>2090000</v>
      </c>
      <c r="E208" s="20" t="s">
        <v>785</v>
      </c>
      <c r="F208" s="20" t="s">
        <v>194</v>
      </c>
      <c r="G208" s="8" t="str">
        <f t="shared" si="3"/>
        <v>HAITHCOX MICHAEL</v>
      </c>
    </row>
    <row r="209" spans="1:7" x14ac:dyDescent="0.25">
      <c r="A209" s="8">
        <v>42898.027025462965</v>
      </c>
      <c r="B209" s="20" t="s">
        <v>361</v>
      </c>
      <c r="C209" s="20" t="s">
        <v>820</v>
      </c>
      <c r="D209" s="141">
        <v>2000000</v>
      </c>
      <c r="E209" s="20" t="s">
        <v>420</v>
      </c>
      <c r="F209" s="20" t="s">
        <v>191</v>
      </c>
      <c r="G209" s="8" t="str">
        <f t="shared" si="3"/>
        <v>STAMBAUGH JAMES</v>
      </c>
    </row>
    <row r="210" spans="1:7" x14ac:dyDescent="0.25">
      <c r="A210" s="8">
        <v>42898.030300925922</v>
      </c>
      <c r="B210" s="20" t="s">
        <v>432</v>
      </c>
      <c r="C210" s="20" t="s">
        <v>817</v>
      </c>
      <c r="D210" s="141">
        <v>3130000</v>
      </c>
      <c r="E210" s="20" t="s">
        <v>389</v>
      </c>
      <c r="F210" s="20" t="s">
        <v>390</v>
      </c>
      <c r="G210" s="8" t="str">
        <f t="shared" si="3"/>
        <v>ZEWDU DEREJE</v>
      </c>
    </row>
    <row r="211" spans="1:7" x14ac:dyDescent="0.25">
      <c r="A211" s="8">
        <v>42898.034375000003</v>
      </c>
      <c r="B211" s="20" t="s">
        <v>430</v>
      </c>
      <c r="C211" s="20" t="s">
        <v>821</v>
      </c>
      <c r="D211" s="141">
        <v>3130000</v>
      </c>
      <c r="E211" s="20" t="s">
        <v>389</v>
      </c>
      <c r="F211" s="20" t="s">
        <v>390</v>
      </c>
      <c r="G211" s="8" t="str">
        <f t="shared" si="3"/>
        <v>ZEWDU DEREJE</v>
      </c>
    </row>
    <row r="212" spans="1:7" x14ac:dyDescent="0.25">
      <c r="A212" s="8">
        <v>42898.049629629626</v>
      </c>
      <c r="B212" s="20" t="s">
        <v>405</v>
      </c>
      <c r="C212" s="20" t="s">
        <v>822</v>
      </c>
      <c r="D212" s="141">
        <v>2230000</v>
      </c>
      <c r="E212" s="20" t="s">
        <v>344</v>
      </c>
      <c r="F212" s="20" t="s">
        <v>194</v>
      </c>
      <c r="G212" s="8" t="str">
        <f t="shared" si="3"/>
        <v>SMITH MICHAEL</v>
      </c>
    </row>
    <row r="213" spans="1:7" x14ac:dyDescent="0.25">
      <c r="A213" s="8">
        <v>42898.050752314812</v>
      </c>
      <c r="B213" s="20" t="s">
        <v>405</v>
      </c>
      <c r="C213" s="20" t="s">
        <v>822</v>
      </c>
      <c r="D213" s="141">
        <v>2230000</v>
      </c>
      <c r="E213" s="20" t="s">
        <v>344</v>
      </c>
      <c r="F213" s="20" t="s">
        <v>194</v>
      </c>
      <c r="G213" s="8" t="str">
        <f t="shared" si="3"/>
        <v>SMITH MICHAEL</v>
      </c>
    </row>
    <row r="214" spans="1:7" x14ac:dyDescent="0.25">
      <c r="A214" s="8">
        <v>42898.053935185184</v>
      </c>
      <c r="B214" s="20" t="s">
        <v>453</v>
      </c>
      <c r="C214" s="20" t="s">
        <v>823</v>
      </c>
      <c r="D214" s="141">
        <v>2090000</v>
      </c>
      <c r="E214" s="20" t="s">
        <v>785</v>
      </c>
      <c r="F214" s="20" t="s">
        <v>194</v>
      </c>
      <c r="G214" s="8" t="str">
        <f t="shared" si="3"/>
        <v>HAITHCOX MICHAEL</v>
      </c>
    </row>
    <row r="215" spans="1:7" x14ac:dyDescent="0.25">
      <c r="A215" s="8">
        <v>42898.074745370373</v>
      </c>
      <c r="B215" s="20" t="s">
        <v>432</v>
      </c>
      <c r="C215" s="20" t="s">
        <v>824</v>
      </c>
      <c r="D215" s="141">
        <v>3130000</v>
      </c>
      <c r="E215" s="20" t="s">
        <v>389</v>
      </c>
      <c r="F215" s="20" t="s">
        <v>390</v>
      </c>
      <c r="G215" s="8" t="str">
        <f t="shared" si="3"/>
        <v>ZEWDU DEREJE</v>
      </c>
    </row>
    <row r="216" spans="1:7" x14ac:dyDescent="0.25">
      <c r="A216" s="8">
        <v>42898.089814814812</v>
      </c>
      <c r="B216" s="20" t="s">
        <v>454</v>
      </c>
      <c r="C216" s="20" t="s">
        <v>825</v>
      </c>
      <c r="D216" s="141">
        <v>2090000</v>
      </c>
      <c r="E216" s="20" t="s">
        <v>785</v>
      </c>
      <c r="F216" s="20" t="s">
        <v>194</v>
      </c>
      <c r="G216" s="8" t="str">
        <f t="shared" si="3"/>
        <v>HAITHCOX MICHAEL</v>
      </c>
    </row>
    <row r="217" spans="1:7" x14ac:dyDescent="0.25">
      <c r="A217" s="8">
        <v>42898.114317129628</v>
      </c>
      <c r="B217" s="20" t="s">
        <v>429</v>
      </c>
      <c r="C217" s="20" t="s">
        <v>826</v>
      </c>
      <c r="D217" s="141">
        <v>2010000</v>
      </c>
      <c r="E217" s="20" t="s">
        <v>584</v>
      </c>
      <c r="F217" s="20" t="s">
        <v>585</v>
      </c>
      <c r="G217" s="8" t="str">
        <f t="shared" si="3"/>
        <v>MAELZER KURT</v>
      </c>
    </row>
    <row r="218" spans="1:7" x14ac:dyDescent="0.25">
      <c r="A218" s="8">
        <v>42896.827847222223</v>
      </c>
      <c r="B218" s="20" t="s">
        <v>515</v>
      </c>
      <c r="C218" s="20" t="s">
        <v>553</v>
      </c>
      <c r="D218" s="141">
        <v>3090000</v>
      </c>
      <c r="E218" s="20" t="s">
        <v>380</v>
      </c>
      <c r="F218" s="20" t="s">
        <v>381</v>
      </c>
      <c r="G218" s="8" t="str">
        <f t="shared" si="3"/>
        <v>LAMAR NEKESHA</v>
      </c>
    </row>
    <row r="219" spans="1:7" x14ac:dyDescent="0.25">
      <c r="A219" s="8">
        <v>42896.830694444441</v>
      </c>
      <c r="B219" s="20" t="s">
        <v>343</v>
      </c>
      <c r="C219" s="20" t="s">
        <v>530</v>
      </c>
      <c r="D219" s="141">
        <v>2610000</v>
      </c>
      <c r="E219" s="20" t="s">
        <v>424</v>
      </c>
      <c r="F219" s="20" t="s">
        <v>425</v>
      </c>
      <c r="G219" s="8" t="str">
        <f t="shared" si="3"/>
        <v>MAGEE KENYA</v>
      </c>
    </row>
    <row r="220" spans="1:7" x14ac:dyDescent="0.25">
      <c r="A220" s="8">
        <v>42896.838055555556</v>
      </c>
      <c r="B220" s="20" t="s">
        <v>404</v>
      </c>
      <c r="C220" s="20" t="s">
        <v>554</v>
      </c>
      <c r="D220" s="141">
        <v>3010000</v>
      </c>
      <c r="E220" s="20" t="s">
        <v>398</v>
      </c>
      <c r="F220" s="20" t="s">
        <v>399</v>
      </c>
      <c r="G220" s="8" t="str">
        <f t="shared" si="3"/>
        <v>SULLIVAN BRANDON</v>
      </c>
    </row>
    <row r="221" spans="1:7" x14ac:dyDescent="0.25">
      <c r="A221" s="8">
        <v>42896.842326388891</v>
      </c>
      <c r="B221" s="20" t="s">
        <v>341</v>
      </c>
      <c r="C221" s="20" t="s">
        <v>531</v>
      </c>
      <c r="D221" s="141">
        <v>3000000</v>
      </c>
      <c r="E221" s="20" t="s">
        <v>434</v>
      </c>
      <c r="F221" s="20" t="s">
        <v>435</v>
      </c>
      <c r="G221" s="8" t="str">
        <f t="shared" si="3"/>
        <v>FORTUNATO FRANK</v>
      </c>
    </row>
    <row r="222" spans="1:7" x14ac:dyDescent="0.25">
      <c r="A222" s="8">
        <v>42896.843263888892</v>
      </c>
      <c r="B222" s="20" t="s">
        <v>480</v>
      </c>
      <c r="C222" s="20" t="s">
        <v>555</v>
      </c>
      <c r="D222" s="141">
        <v>2630000</v>
      </c>
      <c r="E222" s="20" t="s">
        <v>455</v>
      </c>
      <c r="F222" s="20" t="s">
        <v>456</v>
      </c>
      <c r="G222" s="8" t="str">
        <f t="shared" si="3"/>
        <v>SAFIEF AEIMEN</v>
      </c>
    </row>
    <row r="223" spans="1:7" x14ac:dyDescent="0.25">
      <c r="A223" s="8">
        <v>42896.858865740738</v>
      </c>
      <c r="B223" s="20" t="s">
        <v>514</v>
      </c>
      <c r="C223" s="20" t="s">
        <v>556</v>
      </c>
      <c r="D223" s="141">
        <v>3010000</v>
      </c>
      <c r="E223" s="20" t="s">
        <v>398</v>
      </c>
      <c r="F223" s="20" t="s">
        <v>399</v>
      </c>
      <c r="G223" s="8" t="str">
        <f t="shared" si="3"/>
        <v>SULLIVAN BRANDON</v>
      </c>
    </row>
    <row r="224" spans="1:7" x14ac:dyDescent="0.25">
      <c r="A224" s="8">
        <v>42896.858923611115</v>
      </c>
      <c r="B224" t="s">
        <v>493</v>
      </c>
      <c r="C224" t="s">
        <v>557</v>
      </c>
      <c r="D224" s="141">
        <v>3030000</v>
      </c>
      <c r="E224" t="s">
        <v>386</v>
      </c>
      <c r="F224" s="20" t="s">
        <v>371</v>
      </c>
      <c r="G224" s="8" t="str">
        <f t="shared" si="3"/>
        <v>BIRENBAUM THOMAS</v>
      </c>
    </row>
    <row r="225" spans="1:7" x14ac:dyDescent="0.25">
      <c r="A225" s="8">
        <v>42896.862673611111</v>
      </c>
      <c r="B225" t="s">
        <v>492</v>
      </c>
      <c r="C225" t="s">
        <v>557</v>
      </c>
      <c r="D225" s="141">
        <v>3030000</v>
      </c>
      <c r="E225" t="s">
        <v>386</v>
      </c>
      <c r="F225" s="20" t="s">
        <v>371</v>
      </c>
      <c r="G225" s="8" t="str">
        <f t="shared" si="3"/>
        <v>BIRENBAUM THOMAS</v>
      </c>
    </row>
    <row r="226" spans="1:7" x14ac:dyDescent="0.25">
      <c r="A226" s="8">
        <v>42896.870474537034</v>
      </c>
      <c r="B226" t="s">
        <v>482</v>
      </c>
      <c r="C226" t="s">
        <v>558</v>
      </c>
      <c r="D226" s="141">
        <v>3090000</v>
      </c>
      <c r="E226" t="s">
        <v>380</v>
      </c>
      <c r="F226" s="20" t="s">
        <v>381</v>
      </c>
      <c r="G226" s="8" t="str">
        <f t="shared" si="3"/>
        <v>LAMAR NEKESHA</v>
      </c>
    </row>
    <row r="227" spans="1:7" x14ac:dyDescent="0.25">
      <c r="A227" s="8">
        <v>42896.871388888889</v>
      </c>
      <c r="B227" t="s">
        <v>370</v>
      </c>
      <c r="C227" t="s">
        <v>559</v>
      </c>
      <c r="D227" s="141">
        <v>2610000</v>
      </c>
      <c r="E227" t="s">
        <v>424</v>
      </c>
      <c r="F227" s="20" t="s">
        <v>425</v>
      </c>
      <c r="G227" s="8" t="str">
        <f t="shared" si="3"/>
        <v>MAGEE KENYA</v>
      </c>
    </row>
    <row r="228" spans="1:7" x14ac:dyDescent="0.25">
      <c r="A228" s="8">
        <v>42896.881423611114</v>
      </c>
      <c r="B228" t="s">
        <v>404</v>
      </c>
      <c r="C228" t="s">
        <v>532</v>
      </c>
      <c r="D228" s="141">
        <v>3010000</v>
      </c>
      <c r="E228" t="s">
        <v>398</v>
      </c>
      <c r="F228" s="20" t="s">
        <v>399</v>
      </c>
      <c r="G228" s="8" t="str">
        <f t="shared" si="3"/>
        <v>SULLIVAN BRANDON</v>
      </c>
    </row>
    <row r="229" spans="1:7" x14ac:dyDescent="0.25">
      <c r="A229" s="8">
        <v>42896.882453703707</v>
      </c>
      <c r="B229" t="s">
        <v>342</v>
      </c>
      <c r="C229" t="s">
        <v>560</v>
      </c>
      <c r="D229" s="141">
        <v>3000000</v>
      </c>
      <c r="E229" t="s">
        <v>434</v>
      </c>
      <c r="F229" s="20" t="s">
        <v>435</v>
      </c>
      <c r="G229" s="8" t="str">
        <f t="shared" si="3"/>
        <v>FORTUNATO FRANK</v>
      </c>
    </row>
    <row r="230" spans="1:7" x14ac:dyDescent="0.25">
      <c r="A230" s="8">
        <v>42896.888784722221</v>
      </c>
      <c r="B230" t="s">
        <v>481</v>
      </c>
      <c r="C230" t="s">
        <v>561</v>
      </c>
      <c r="D230" s="141">
        <v>2630000</v>
      </c>
      <c r="E230" t="s">
        <v>455</v>
      </c>
      <c r="F230" s="20" t="s">
        <v>456</v>
      </c>
      <c r="G230" s="8" t="str">
        <f t="shared" si="3"/>
        <v>SAFIEF AEIMEN</v>
      </c>
    </row>
    <row r="231" spans="1:7" x14ac:dyDescent="0.25">
      <c r="A231" s="8">
        <v>42896.897361111114</v>
      </c>
      <c r="B231" t="s">
        <v>468</v>
      </c>
      <c r="C231" t="s">
        <v>533</v>
      </c>
      <c r="D231" s="141">
        <v>3130000</v>
      </c>
      <c r="E231" t="s">
        <v>389</v>
      </c>
      <c r="F231" s="20" t="s">
        <v>390</v>
      </c>
      <c r="G231" s="8" t="str">
        <f t="shared" si="3"/>
        <v>ZEWDU DEREJE</v>
      </c>
    </row>
    <row r="232" spans="1:7" x14ac:dyDescent="0.25">
      <c r="A232" s="8">
        <v>42896.900636574072</v>
      </c>
      <c r="B232" t="s">
        <v>514</v>
      </c>
      <c r="C232" t="s">
        <v>562</v>
      </c>
      <c r="D232" s="141">
        <v>3010000</v>
      </c>
      <c r="E232" t="s">
        <v>398</v>
      </c>
      <c r="F232" s="20" t="s">
        <v>399</v>
      </c>
      <c r="G232" s="8" t="str">
        <f t="shared" si="3"/>
        <v>SULLIVAN BRANDON</v>
      </c>
    </row>
    <row r="233" spans="1:7" x14ac:dyDescent="0.25">
      <c r="A233" s="8">
        <v>42896.902233796296</v>
      </c>
      <c r="B233" t="s">
        <v>490</v>
      </c>
      <c r="C233" t="s">
        <v>533</v>
      </c>
      <c r="D233" s="141">
        <v>3130000</v>
      </c>
      <c r="E233" t="s">
        <v>389</v>
      </c>
      <c r="F233" s="20" t="s">
        <v>390</v>
      </c>
      <c r="G233" s="8" t="str">
        <f t="shared" si="3"/>
        <v>ZEWDU DEREJE</v>
      </c>
    </row>
    <row r="234" spans="1:7" x14ac:dyDescent="0.25">
      <c r="A234" s="8">
        <v>42896.903182870374</v>
      </c>
      <c r="B234" t="s">
        <v>490</v>
      </c>
      <c r="C234" t="s">
        <v>533</v>
      </c>
      <c r="D234" s="141">
        <v>3130000</v>
      </c>
      <c r="E234" t="s">
        <v>389</v>
      </c>
      <c r="F234" s="20" t="s">
        <v>390</v>
      </c>
      <c r="G234" s="8" t="str">
        <f t="shared" si="3"/>
        <v>ZEWDU DEREJE</v>
      </c>
    </row>
    <row r="235" spans="1:7" x14ac:dyDescent="0.25">
      <c r="A235" s="8">
        <v>42896.9143287037</v>
      </c>
      <c r="B235" t="s">
        <v>515</v>
      </c>
      <c r="C235" t="s">
        <v>563</v>
      </c>
      <c r="D235" s="141">
        <v>3090000</v>
      </c>
      <c r="E235" t="s">
        <v>380</v>
      </c>
      <c r="F235" s="20" t="s">
        <v>381</v>
      </c>
      <c r="G235" s="8" t="str">
        <f t="shared" si="3"/>
        <v>LAMAR NEKESHA</v>
      </c>
    </row>
    <row r="236" spans="1:7" x14ac:dyDescent="0.25">
      <c r="A236" s="8">
        <v>42896.91443287037</v>
      </c>
      <c r="B236" t="s">
        <v>343</v>
      </c>
      <c r="C236" t="s">
        <v>564</v>
      </c>
      <c r="D236" s="141">
        <v>2610000</v>
      </c>
      <c r="E236" t="s">
        <v>424</v>
      </c>
      <c r="F236" s="20" t="s">
        <v>425</v>
      </c>
      <c r="G236" s="8" t="str">
        <f t="shared" si="3"/>
        <v>MAGEE KENYA</v>
      </c>
    </row>
    <row r="237" spans="1:7" x14ac:dyDescent="0.25">
      <c r="A237" s="8">
        <v>42896.921400462961</v>
      </c>
      <c r="B237" t="s">
        <v>404</v>
      </c>
      <c r="C237" t="s">
        <v>565</v>
      </c>
      <c r="D237" s="141">
        <v>3010000</v>
      </c>
      <c r="E237" t="s">
        <v>398</v>
      </c>
      <c r="F237" s="20" t="s">
        <v>399</v>
      </c>
      <c r="G237" s="8" t="str">
        <f t="shared" si="3"/>
        <v>SULLIVAN BRANDON</v>
      </c>
    </row>
    <row r="238" spans="1:7" x14ac:dyDescent="0.25">
      <c r="A238" s="8">
        <v>42896.922685185185</v>
      </c>
      <c r="B238" t="s">
        <v>341</v>
      </c>
      <c r="C238" t="s">
        <v>566</v>
      </c>
      <c r="D238" s="141">
        <v>3000000</v>
      </c>
      <c r="E238" t="s">
        <v>434</v>
      </c>
      <c r="F238" s="20" t="s">
        <v>435</v>
      </c>
      <c r="G238" s="8" t="str">
        <f t="shared" si="3"/>
        <v>FORTUNATO FRANK</v>
      </c>
    </row>
    <row r="239" spans="1:7" x14ac:dyDescent="0.25">
      <c r="A239" s="8">
        <v>42896.928449074076</v>
      </c>
      <c r="B239" t="s">
        <v>480</v>
      </c>
      <c r="C239" t="s">
        <v>567</v>
      </c>
      <c r="D239" s="141">
        <v>2630000</v>
      </c>
      <c r="E239" t="s">
        <v>455</v>
      </c>
      <c r="F239" s="20" t="s">
        <v>456</v>
      </c>
      <c r="G239" s="8" t="str">
        <f t="shared" si="3"/>
        <v>SAFIEF AEIMEN</v>
      </c>
    </row>
    <row r="240" spans="1:7" x14ac:dyDescent="0.25">
      <c r="A240" s="8">
        <v>42896.943298611113</v>
      </c>
      <c r="B240" t="s">
        <v>514</v>
      </c>
      <c r="C240" t="s">
        <v>568</v>
      </c>
      <c r="D240" s="141">
        <v>3010000</v>
      </c>
      <c r="E240" t="s">
        <v>398</v>
      </c>
      <c r="F240" s="20" t="s">
        <v>399</v>
      </c>
      <c r="G240" s="8" t="str">
        <f t="shared" si="3"/>
        <v>SULLIVAN BRANDON</v>
      </c>
    </row>
    <row r="241" spans="1:7" x14ac:dyDescent="0.25">
      <c r="A241" s="8">
        <v>42896.944618055553</v>
      </c>
      <c r="B241" t="s">
        <v>482</v>
      </c>
      <c r="C241" t="s">
        <v>569</v>
      </c>
      <c r="D241" s="141">
        <v>3090000</v>
      </c>
      <c r="E241" t="s">
        <v>380</v>
      </c>
      <c r="F241" s="20" t="s">
        <v>381</v>
      </c>
      <c r="G241" s="8" t="str">
        <f t="shared" si="3"/>
        <v>LAMAR NEKESHA</v>
      </c>
    </row>
    <row r="242" spans="1:7" x14ac:dyDescent="0.25">
      <c r="A242" s="8">
        <v>42896.951192129629</v>
      </c>
      <c r="B242" t="s">
        <v>404</v>
      </c>
      <c r="C242" t="s">
        <v>568</v>
      </c>
      <c r="D242" s="141">
        <v>3010000</v>
      </c>
      <c r="E242" t="s">
        <v>398</v>
      </c>
      <c r="F242" s="20" t="s">
        <v>399</v>
      </c>
      <c r="G242" s="8" t="str">
        <f t="shared" si="3"/>
        <v>SULLIVAN BRANDON</v>
      </c>
    </row>
    <row r="243" spans="1:7" x14ac:dyDescent="0.25">
      <c r="A243" s="8">
        <v>42896.952118055553</v>
      </c>
      <c r="B243" t="s">
        <v>370</v>
      </c>
      <c r="C243" t="s">
        <v>570</v>
      </c>
      <c r="D243" s="141">
        <v>2610000</v>
      </c>
      <c r="E243" t="s">
        <v>424</v>
      </c>
      <c r="F243" s="20" t="s">
        <v>425</v>
      </c>
      <c r="G243" s="8" t="str">
        <f t="shared" si="3"/>
        <v>MAGEE KENYA</v>
      </c>
    </row>
    <row r="244" spans="1:7" x14ac:dyDescent="0.25">
      <c r="A244" s="8">
        <v>42896.953298611108</v>
      </c>
      <c r="B244" t="s">
        <v>370</v>
      </c>
      <c r="C244" t="s">
        <v>570</v>
      </c>
      <c r="D244" s="141">
        <v>2610000</v>
      </c>
      <c r="E244" t="s">
        <v>424</v>
      </c>
      <c r="F244" s="20" t="s">
        <v>425</v>
      </c>
      <c r="G244" s="8" t="str">
        <f t="shared" si="3"/>
        <v>MAGEE KENYA</v>
      </c>
    </row>
    <row r="245" spans="1:7" x14ac:dyDescent="0.25">
      <c r="A245" s="8">
        <v>42896.964849537035</v>
      </c>
      <c r="B245" t="s">
        <v>342</v>
      </c>
      <c r="C245" t="s">
        <v>571</v>
      </c>
      <c r="D245" s="141">
        <v>3000000</v>
      </c>
      <c r="E245" t="s">
        <v>434</v>
      </c>
      <c r="F245" s="20" t="s">
        <v>435</v>
      </c>
      <c r="G245" s="8" t="str">
        <f t="shared" si="3"/>
        <v>FORTUNATO FRANK</v>
      </c>
    </row>
    <row r="246" spans="1:7" x14ac:dyDescent="0.25">
      <c r="A246" s="8">
        <v>42896.965543981481</v>
      </c>
      <c r="B246" t="s">
        <v>481</v>
      </c>
      <c r="C246" t="s">
        <v>572</v>
      </c>
      <c r="D246" s="141">
        <v>2630000</v>
      </c>
      <c r="E246" t="s">
        <v>455</v>
      </c>
      <c r="F246" s="20" t="s">
        <v>456</v>
      </c>
      <c r="G246" s="8" t="str">
        <f t="shared" si="3"/>
        <v>SAFIEF AEIMEN</v>
      </c>
    </row>
    <row r="247" spans="1:7" x14ac:dyDescent="0.25">
      <c r="A247" s="8">
        <v>42896.994328703702</v>
      </c>
      <c r="B247" t="s">
        <v>515</v>
      </c>
      <c r="C247" t="s">
        <v>573</v>
      </c>
      <c r="D247" s="141">
        <v>3090000</v>
      </c>
      <c r="E247" t="s">
        <v>380</v>
      </c>
      <c r="F247" s="20" t="s">
        <v>381</v>
      </c>
      <c r="G247" s="8" t="str">
        <f t="shared" si="3"/>
        <v>LAMAR NEKESHA</v>
      </c>
    </row>
    <row r="248" spans="1:7" x14ac:dyDescent="0.25">
      <c r="A248" s="8">
        <v>42896.997974537036</v>
      </c>
      <c r="B248" t="s">
        <v>343</v>
      </c>
      <c r="C248" t="s">
        <v>574</v>
      </c>
      <c r="D248" s="141">
        <v>2610000</v>
      </c>
      <c r="E248" t="s">
        <v>424</v>
      </c>
      <c r="F248" s="20" t="s">
        <v>425</v>
      </c>
      <c r="G248" s="8" t="str">
        <f t="shared" si="3"/>
        <v>MAGEE KENYA</v>
      </c>
    </row>
    <row r="249" spans="1:7" x14ac:dyDescent="0.25">
      <c r="A249" s="8">
        <v>42897.005486111113</v>
      </c>
      <c r="B249" t="s">
        <v>341</v>
      </c>
      <c r="C249" t="s">
        <v>575</v>
      </c>
      <c r="D249" s="141">
        <v>3000000</v>
      </c>
      <c r="E249" t="s">
        <v>434</v>
      </c>
      <c r="F249" s="20" t="s">
        <v>435</v>
      </c>
      <c r="G249" s="8" t="str">
        <f t="shared" si="3"/>
        <v>FORTUNATO FRANK</v>
      </c>
    </row>
    <row r="250" spans="1:7" x14ac:dyDescent="0.25">
      <c r="A250" s="8">
        <v>42897.007465277777</v>
      </c>
      <c r="B250" t="s">
        <v>480</v>
      </c>
      <c r="C250" t="s">
        <v>576</v>
      </c>
      <c r="D250" s="141">
        <v>2630000</v>
      </c>
      <c r="E250" t="s">
        <v>455</v>
      </c>
      <c r="F250" s="20" t="s">
        <v>456</v>
      </c>
      <c r="G250" s="8" t="str">
        <f t="shared" si="3"/>
        <v>SAFIEF AEIMEN</v>
      </c>
    </row>
    <row r="251" spans="1:7" x14ac:dyDescent="0.25">
      <c r="A251" s="8">
        <v>42897.035844907405</v>
      </c>
      <c r="B251" t="s">
        <v>370</v>
      </c>
      <c r="C251" t="s">
        <v>577</v>
      </c>
      <c r="D251" s="141">
        <v>2610000</v>
      </c>
      <c r="E251" t="s">
        <v>424</v>
      </c>
      <c r="F251" s="20" t="s">
        <v>425</v>
      </c>
      <c r="G251" s="8" t="str">
        <f t="shared" si="3"/>
        <v>MAGEE KENYA</v>
      </c>
    </row>
    <row r="252" spans="1:7" x14ac:dyDescent="0.25">
      <c r="A252" s="8">
        <v>42897.036296296297</v>
      </c>
      <c r="B252" t="s">
        <v>482</v>
      </c>
      <c r="C252" t="s">
        <v>535</v>
      </c>
      <c r="D252" s="141">
        <v>3090000</v>
      </c>
      <c r="E252" t="s">
        <v>380</v>
      </c>
      <c r="F252" s="20" t="s">
        <v>381</v>
      </c>
      <c r="G252" s="8" t="str">
        <f t="shared" si="3"/>
        <v>LAMAR NEKESHA</v>
      </c>
    </row>
    <row r="253" spans="1:7" x14ac:dyDescent="0.25">
      <c r="A253" s="8">
        <v>42897.047569444447</v>
      </c>
      <c r="B253" t="s">
        <v>342</v>
      </c>
      <c r="C253" t="s">
        <v>578</v>
      </c>
      <c r="D253" s="141">
        <v>3000000</v>
      </c>
      <c r="E253" t="s">
        <v>434</v>
      </c>
      <c r="F253" s="20" t="s">
        <v>435</v>
      </c>
      <c r="G253" s="8" t="str">
        <f t="shared" si="3"/>
        <v>FORTUNATO FRANK</v>
      </c>
    </row>
    <row r="254" spans="1:7" x14ac:dyDescent="0.25">
      <c r="A254" s="8">
        <v>42897.048159722224</v>
      </c>
      <c r="B254" t="s">
        <v>481</v>
      </c>
      <c r="C254" t="s">
        <v>534</v>
      </c>
      <c r="D254" s="141">
        <v>2630000</v>
      </c>
      <c r="E254" t="s">
        <v>455</v>
      </c>
      <c r="F254" s="20" t="s">
        <v>456</v>
      </c>
      <c r="G254" s="8" t="str">
        <f t="shared" si="3"/>
        <v>SAFIEF AEIMEN</v>
      </c>
    </row>
    <row r="255" spans="1:7" x14ac:dyDescent="0.25">
      <c r="A255" s="8">
        <v>42897.068391203706</v>
      </c>
      <c r="B255" t="s">
        <v>343</v>
      </c>
      <c r="C255" t="s">
        <v>579</v>
      </c>
      <c r="D255" s="141">
        <v>2610000</v>
      </c>
      <c r="E255" t="s">
        <v>424</v>
      </c>
      <c r="F255" s="20" t="s">
        <v>425</v>
      </c>
      <c r="G255" s="8" t="str">
        <f t="shared" si="3"/>
        <v>MAGEE KENYA</v>
      </c>
    </row>
    <row r="256" spans="1:7" x14ac:dyDescent="0.25">
      <c r="A256" s="8">
        <v>42897.072789351849</v>
      </c>
      <c r="B256" t="s">
        <v>515</v>
      </c>
      <c r="C256" t="s">
        <v>580</v>
      </c>
      <c r="D256" s="141">
        <v>3090000</v>
      </c>
      <c r="E256" t="s">
        <v>380</v>
      </c>
      <c r="F256" s="20" t="s">
        <v>381</v>
      </c>
      <c r="G256" s="8" t="str">
        <f t="shared" si="3"/>
        <v>LAMAR NEKESHA</v>
      </c>
    </row>
    <row r="257" spans="1:7" x14ac:dyDescent="0.25">
      <c r="A257" s="8">
        <v>42897.089479166665</v>
      </c>
      <c r="B257" t="s">
        <v>341</v>
      </c>
      <c r="C257" t="s">
        <v>581</v>
      </c>
      <c r="D257" s="141">
        <v>3000000</v>
      </c>
      <c r="E257" t="s">
        <v>434</v>
      </c>
      <c r="F257" s="20" t="s">
        <v>435</v>
      </c>
      <c r="G257" s="8" t="str">
        <f t="shared" si="3"/>
        <v>FORTUNATO FRANK</v>
      </c>
    </row>
    <row r="258" spans="1:7" x14ac:dyDescent="0.25">
      <c r="A258" s="8">
        <v>42897.110775462963</v>
      </c>
      <c r="B258" t="s">
        <v>482</v>
      </c>
      <c r="C258" t="s">
        <v>582</v>
      </c>
      <c r="D258" s="141">
        <v>3090000</v>
      </c>
      <c r="E258" t="s">
        <v>380</v>
      </c>
      <c r="F258" s="20" t="s">
        <v>381</v>
      </c>
      <c r="G258" s="8" t="str">
        <f t="shared" si="3"/>
        <v>LAMAR NEKESHA</v>
      </c>
    </row>
    <row r="259" spans="1:7" x14ac:dyDescent="0.25">
      <c r="A259" s="8">
        <v>42897.113530092596</v>
      </c>
      <c r="B259" t="s">
        <v>475</v>
      </c>
      <c r="C259" t="s">
        <v>583</v>
      </c>
      <c r="D259" s="141">
        <v>2010000</v>
      </c>
      <c r="E259" t="s">
        <v>584</v>
      </c>
      <c r="F259" s="20" t="s">
        <v>585</v>
      </c>
      <c r="G259" s="8" t="str">
        <f t="shared" ref="G259:G322" si="4">E259&amp;" "&amp;F259</f>
        <v>MAELZER KURT</v>
      </c>
    </row>
    <row r="260" spans="1:7" x14ac:dyDescent="0.25">
      <c r="A260" s="8">
        <v>42888.081956018519</v>
      </c>
      <c r="B260" t="s">
        <v>369</v>
      </c>
      <c r="C260" t="s">
        <v>460</v>
      </c>
      <c r="D260" s="141">
        <v>2630000</v>
      </c>
      <c r="E260" t="s">
        <v>455</v>
      </c>
      <c r="F260" s="20" t="s">
        <v>456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453</v>
      </c>
      <c r="C261" t="s">
        <v>461</v>
      </c>
      <c r="D261" s="141">
        <v>910000</v>
      </c>
      <c r="E261" t="s">
        <v>462</v>
      </c>
      <c r="F261" s="20" t="s">
        <v>463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453</v>
      </c>
      <c r="C262" t="s">
        <v>461</v>
      </c>
      <c r="D262" s="141">
        <v>910000</v>
      </c>
      <c r="E262" t="s">
        <v>462</v>
      </c>
      <c r="F262" s="20" t="s">
        <v>463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404</v>
      </c>
      <c r="C263" t="s">
        <v>464</v>
      </c>
      <c r="D263" s="141">
        <v>3000000</v>
      </c>
      <c r="E263" t="s">
        <v>434</v>
      </c>
      <c r="F263" s="20" t="s">
        <v>435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454</v>
      </c>
      <c r="C264" t="s">
        <v>461</v>
      </c>
      <c r="D264" s="141">
        <v>910000</v>
      </c>
      <c r="E264" t="s">
        <v>462</v>
      </c>
      <c r="F264" s="20" t="s">
        <v>463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419</v>
      </c>
      <c r="C265" t="s">
        <v>438</v>
      </c>
      <c r="D265" s="141">
        <v>2140000</v>
      </c>
      <c r="E265" t="s">
        <v>417</v>
      </c>
      <c r="F265" s="20" t="s">
        <v>418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377</v>
      </c>
      <c r="C266" t="s">
        <v>437</v>
      </c>
      <c r="D266" s="141">
        <v>2000000</v>
      </c>
      <c r="E266" t="s">
        <v>420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432</v>
      </c>
      <c r="C267" t="s">
        <v>439</v>
      </c>
      <c r="D267" s="141">
        <v>3000000</v>
      </c>
      <c r="E267" t="s">
        <v>434</v>
      </c>
      <c r="F267" s="20" t="s">
        <v>435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402</v>
      </c>
      <c r="C268" t="s">
        <v>431</v>
      </c>
      <c r="D268" s="141">
        <v>2680000</v>
      </c>
      <c r="E268" t="s">
        <v>422</v>
      </c>
      <c r="F268" s="20" t="s">
        <v>423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440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433</v>
      </c>
      <c r="C270" t="s">
        <v>441</v>
      </c>
      <c r="D270" s="141">
        <v>2610000</v>
      </c>
      <c r="E270" t="s">
        <v>424</v>
      </c>
      <c r="F270" s="20" t="s">
        <v>425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361</v>
      </c>
      <c r="C271" t="s">
        <v>442</v>
      </c>
      <c r="D271" s="141">
        <v>2140000</v>
      </c>
      <c r="E271" t="s">
        <v>417</v>
      </c>
      <c r="F271" s="20" t="s">
        <v>418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430</v>
      </c>
      <c r="C272" t="s">
        <v>443</v>
      </c>
      <c r="D272" s="141">
        <v>3000000</v>
      </c>
      <c r="E272" t="s">
        <v>434</v>
      </c>
      <c r="F272" s="20" t="s">
        <v>435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403</v>
      </c>
      <c r="C273" t="s">
        <v>436</v>
      </c>
      <c r="D273" s="141">
        <v>2680000</v>
      </c>
      <c r="E273" t="s">
        <v>422</v>
      </c>
      <c r="F273" s="20" t="s">
        <v>423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444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429</v>
      </c>
      <c r="C275" t="s">
        <v>445</v>
      </c>
      <c r="D275" s="141">
        <v>2610000</v>
      </c>
      <c r="E275" t="s">
        <v>424</v>
      </c>
      <c r="F275" s="20" t="s">
        <v>425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432</v>
      </c>
      <c r="C276" t="s">
        <v>446</v>
      </c>
      <c r="D276" s="141">
        <v>3000000</v>
      </c>
      <c r="E276" t="s">
        <v>434</v>
      </c>
      <c r="F276" s="20" t="s">
        <v>435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433</v>
      </c>
      <c r="C277" t="s">
        <v>447</v>
      </c>
      <c r="D277" s="141">
        <v>2610000</v>
      </c>
      <c r="E277" t="s">
        <v>424</v>
      </c>
      <c r="F277" s="20" t="s">
        <v>425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406</v>
      </c>
      <c r="C278" t="s">
        <v>407</v>
      </c>
      <c r="D278" s="141">
        <v>2970000</v>
      </c>
      <c r="E278" t="s">
        <v>384</v>
      </c>
      <c r="F278" s="20" t="s">
        <v>385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405</v>
      </c>
      <c r="C279" t="s">
        <v>411</v>
      </c>
      <c r="D279" s="141">
        <v>1810000</v>
      </c>
      <c r="E279" t="s">
        <v>372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412</v>
      </c>
      <c r="D280" s="141">
        <v>3090000</v>
      </c>
      <c r="E280" t="s">
        <v>380</v>
      </c>
      <c r="F280" s="20" t="s">
        <v>381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403</v>
      </c>
      <c r="C281" t="s">
        <v>408</v>
      </c>
      <c r="D281" s="141">
        <v>3010000</v>
      </c>
      <c r="E281" t="s">
        <v>398</v>
      </c>
      <c r="F281" s="20" t="s">
        <v>399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409</v>
      </c>
      <c r="C282" t="s">
        <v>410</v>
      </c>
      <c r="D282" s="141">
        <v>2970000</v>
      </c>
      <c r="E282" t="s">
        <v>384</v>
      </c>
      <c r="F282" s="20" t="s">
        <v>385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402</v>
      </c>
      <c r="C283" t="s">
        <v>408</v>
      </c>
      <c r="D283" s="141">
        <v>3010000</v>
      </c>
      <c r="E283" t="s">
        <v>398</v>
      </c>
      <c r="F283" s="20" t="s">
        <v>399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404</v>
      </c>
      <c r="C284" t="s">
        <v>413</v>
      </c>
      <c r="D284" s="141">
        <v>3030000</v>
      </c>
      <c r="E284" t="s">
        <v>386</v>
      </c>
      <c r="F284" s="20" t="s">
        <v>371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402</v>
      </c>
      <c r="C285" t="s">
        <v>408</v>
      </c>
      <c r="D285" s="141">
        <v>3010000</v>
      </c>
      <c r="E285" t="s">
        <v>398</v>
      </c>
      <c r="F285" s="20" t="s">
        <v>399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406</v>
      </c>
      <c r="C286" t="s">
        <v>407</v>
      </c>
      <c r="D286" s="141">
        <v>2970000</v>
      </c>
      <c r="E286" t="s">
        <v>384</v>
      </c>
      <c r="F286" s="20" t="s">
        <v>385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409</v>
      </c>
      <c r="C287" t="s">
        <v>410</v>
      </c>
      <c r="D287" s="141">
        <v>2970000</v>
      </c>
      <c r="E287" t="s">
        <v>384</v>
      </c>
      <c r="F287" s="20" t="s">
        <v>385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414</v>
      </c>
      <c r="D288" s="141">
        <v>3090000</v>
      </c>
      <c r="E288" t="s">
        <v>380</v>
      </c>
      <c r="F288" s="20" t="s">
        <v>381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406</v>
      </c>
      <c r="C289" t="s">
        <v>407</v>
      </c>
      <c r="D289" s="141">
        <v>2970000</v>
      </c>
      <c r="E289" t="s">
        <v>384</v>
      </c>
      <c r="F289" s="20" t="s">
        <v>385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403</v>
      </c>
      <c r="C290" t="s">
        <v>408</v>
      </c>
      <c r="D290" s="141">
        <v>3010000</v>
      </c>
      <c r="E290" t="s">
        <v>398</v>
      </c>
      <c r="F290" s="20" t="s">
        <v>399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403</v>
      </c>
      <c r="C291" t="s">
        <v>408</v>
      </c>
      <c r="D291" s="141">
        <v>3010000</v>
      </c>
      <c r="E291" t="s">
        <v>398</v>
      </c>
      <c r="F291" s="20" t="s">
        <v>399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403</v>
      </c>
      <c r="C292" t="s">
        <v>408</v>
      </c>
      <c r="D292" s="141">
        <v>3010000</v>
      </c>
      <c r="E292" t="s">
        <v>398</v>
      </c>
      <c r="F292" s="20" t="s">
        <v>399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403</v>
      </c>
      <c r="C293" t="s">
        <v>408</v>
      </c>
      <c r="D293" s="141">
        <v>3010000</v>
      </c>
      <c r="E293" t="s">
        <v>398</v>
      </c>
      <c r="F293" s="20" t="s">
        <v>399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409</v>
      </c>
      <c r="C294" t="s">
        <v>410</v>
      </c>
      <c r="D294" s="141">
        <v>2970000</v>
      </c>
      <c r="E294" t="s">
        <v>384</v>
      </c>
      <c r="F294" s="20" t="s">
        <v>385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391</v>
      </c>
      <c r="D295" s="141">
        <v>1800000</v>
      </c>
      <c r="E295" t="s">
        <v>382</v>
      </c>
      <c r="F295" s="20" t="s">
        <v>383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370</v>
      </c>
      <c r="C296" t="s">
        <v>392</v>
      </c>
      <c r="D296" s="141">
        <v>3030000</v>
      </c>
      <c r="E296" t="s">
        <v>386</v>
      </c>
      <c r="F296" s="20" t="s">
        <v>371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379</v>
      </c>
      <c r="C297" t="s">
        <v>375</v>
      </c>
      <c r="D297" s="141">
        <v>2970000</v>
      </c>
      <c r="E297" t="s">
        <v>384</v>
      </c>
      <c r="F297" s="20" t="s">
        <v>385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361</v>
      </c>
      <c r="C298" t="s">
        <v>393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373</v>
      </c>
      <c r="C299" t="s">
        <v>375</v>
      </c>
      <c r="D299" s="141">
        <v>2970000</v>
      </c>
      <c r="E299" t="s">
        <v>384</v>
      </c>
      <c r="F299" s="20" t="s">
        <v>385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374</v>
      </c>
      <c r="C300" t="s">
        <v>378</v>
      </c>
      <c r="D300" s="141">
        <v>3130000</v>
      </c>
      <c r="E300" t="s">
        <v>389</v>
      </c>
      <c r="F300" s="20" t="s">
        <v>390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373</v>
      </c>
      <c r="C301" t="s">
        <v>375</v>
      </c>
      <c r="D301" s="141">
        <v>2970000</v>
      </c>
      <c r="E301" t="s">
        <v>384</v>
      </c>
      <c r="F301" s="20" t="s">
        <v>385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368</v>
      </c>
      <c r="C302" t="s">
        <v>376</v>
      </c>
      <c r="D302" s="141">
        <v>3040000</v>
      </c>
      <c r="E302" t="s">
        <v>387</v>
      </c>
      <c r="F302" s="20" t="s">
        <v>388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368</v>
      </c>
      <c r="C303" t="s">
        <v>376</v>
      </c>
      <c r="D303" s="141">
        <v>3040000</v>
      </c>
      <c r="E303" t="s">
        <v>387</v>
      </c>
      <c r="F303" s="20" t="s">
        <v>388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394</v>
      </c>
      <c r="D304" s="141">
        <v>3030000</v>
      </c>
      <c r="E304" t="s">
        <v>386</v>
      </c>
      <c r="F304" s="20" t="s">
        <v>371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379</v>
      </c>
      <c r="C305" t="s">
        <v>375</v>
      </c>
      <c r="D305" s="141">
        <v>2970000</v>
      </c>
      <c r="E305" t="s">
        <v>384</v>
      </c>
      <c r="F305" s="20" t="s">
        <v>385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373</v>
      </c>
      <c r="C306" t="s">
        <v>375</v>
      </c>
      <c r="D306" s="141">
        <v>2970000</v>
      </c>
      <c r="E306" t="s">
        <v>384</v>
      </c>
      <c r="F306" s="20" t="s">
        <v>385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369</v>
      </c>
      <c r="C307" t="s">
        <v>376</v>
      </c>
      <c r="D307" s="141">
        <v>3040000</v>
      </c>
      <c r="E307" t="s">
        <v>387</v>
      </c>
      <c r="F307" s="20" t="s">
        <v>388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377</v>
      </c>
      <c r="C308" t="s">
        <v>395</v>
      </c>
      <c r="D308" s="141">
        <v>3130000</v>
      </c>
      <c r="E308" t="s">
        <v>389</v>
      </c>
      <c r="F308" s="20" t="s">
        <v>390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368</v>
      </c>
      <c r="C309" t="s">
        <v>376</v>
      </c>
      <c r="D309" s="141">
        <v>3040000</v>
      </c>
      <c r="E309" t="s">
        <v>387</v>
      </c>
      <c r="F309" s="20" t="s">
        <v>388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379</v>
      </c>
      <c r="C310" t="s">
        <v>375</v>
      </c>
      <c r="D310" s="141">
        <v>2970000</v>
      </c>
      <c r="E310" t="s">
        <v>384</v>
      </c>
      <c r="F310" s="20" t="s">
        <v>385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373</v>
      </c>
      <c r="C311" t="s">
        <v>375</v>
      </c>
      <c r="D311" s="141">
        <v>2970000</v>
      </c>
      <c r="E311" t="s">
        <v>384</v>
      </c>
      <c r="F311" s="20" t="s">
        <v>385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827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69.08</v>
      </c>
      <c r="B2" s="179">
        <v>0.3</v>
      </c>
      <c r="C2" s="179">
        <v>50.08</v>
      </c>
      <c r="D2" s="8">
        <v>42897</v>
      </c>
      <c r="E2" s="179">
        <v>0.51</v>
      </c>
      <c r="F2" s="179" t="s">
        <v>476</v>
      </c>
      <c r="G2" s="179">
        <v>307.81</v>
      </c>
      <c r="H2" s="179">
        <v>0</v>
      </c>
      <c r="I2" s="179">
        <v>0</v>
      </c>
      <c r="J2" s="179"/>
      <c r="K2" s="179">
        <v>1000.81</v>
      </c>
      <c r="L2" s="179" t="s">
        <v>470</v>
      </c>
      <c r="M2" s="179">
        <v>69.08</v>
      </c>
      <c r="N2" s="179">
        <v>1497160800</v>
      </c>
      <c r="O2" s="179">
        <v>4.6399999999999997</v>
      </c>
      <c r="P2" s="179">
        <v>225</v>
      </c>
      <c r="Q2" s="179">
        <v>2.46</v>
      </c>
      <c r="R2"/>
    </row>
    <row r="3" spans="1:18" x14ac:dyDescent="0.25">
      <c r="A3" s="179">
        <v>67.290000000000006</v>
      </c>
      <c r="B3" s="179">
        <v>0.3</v>
      </c>
      <c r="C3" s="179">
        <v>48.08</v>
      </c>
      <c r="D3" s="8">
        <v>42897.041666666664</v>
      </c>
      <c r="E3" s="179">
        <v>0.5</v>
      </c>
      <c r="F3" s="179" t="s">
        <v>476</v>
      </c>
      <c r="G3" s="179">
        <v>307.57</v>
      </c>
      <c r="H3" s="179">
        <v>0</v>
      </c>
      <c r="I3" s="179">
        <v>0</v>
      </c>
      <c r="J3" s="179"/>
      <c r="K3" s="179">
        <v>1001.02</v>
      </c>
      <c r="L3" s="179" t="s">
        <v>470</v>
      </c>
      <c r="M3" s="179">
        <v>67.290000000000006</v>
      </c>
      <c r="N3" s="179">
        <v>1497164400</v>
      </c>
      <c r="O3" s="179">
        <v>4.8099999999999996</v>
      </c>
      <c r="P3" s="179">
        <v>220</v>
      </c>
      <c r="Q3" s="179">
        <v>3.07</v>
      </c>
      <c r="R3"/>
    </row>
    <row r="4" spans="1:18" x14ac:dyDescent="0.25">
      <c r="A4" s="179">
        <v>66.34</v>
      </c>
      <c r="B4" s="179">
        <v>0.33</v>
      </c>
      <c r="C4" s="179">
        <v>47.27</v>
      </c>
      <c r="D4" s="8">
        <v>42897.083333333336</v>
      </c>
      <c r="E4" s="179">
        <v>0.5</v>
      </c>
      <c r="F4" s="179" t="s">
        <v>476</v>
      </c>
      <c r="G4" s="179">
        <v>307.33999999999997</v>
      </c>
      <c r="H4" s="179">
        <v>0</v>
      </c>
      <c r="I4" s="179">
        <v>0</v>
      </c>
      <c r="J4" s="179"/>
      <c r="K4" s="179">
        <v>1001.26</v>
      </c>
      <c r="L4" s="179" t="s">
        <v>470</v>
      </c>
      <c r="M4" s="179">
        <v>66.34</v>
      </c>
      <c r="N4" s="179">
        <v>1497168000</v>
      </c>
      <c r="O4" s="179">
        <v>10</v>
      </c>
      <c r="P4" s="179">
        <v>243</v>
      </c>
      <c r="Q4" s="179">
        <v>3.62</v>
      </c>
      <c r="R4"/>
    </row>
    <row r="5" spans="1:18" x14ac:dyDescent="0.25">
      <c r="A5" s="179">
        <v>62.8</v>
      </c>
      <c r="B5" s="179">
        <v>0.35</v>
      </c>
      <c r="C5" s="179">
        <v>42.49</v>
      </c>
      <c r="D5" s="8">
        <v>42897.125</v>
      </c>
      <c r="E5" s="179">
        <v>0.47</v>
      </c>
      <c r="F5" s="179" t="s">
        <v>476</v>
      </c>
      <c r="G5" s="179">
        <v>307.10000000000002</v>
      </c>
      <c r="H5" s="179">
        <v>0</v>
      </c>
      <c r="I5" s="179">
        <v>0</v>
      </c>
      <c r="J5" s="179"/>
      <c r="K5" s="179">
        <v>1001.53</v>
      </c>
      <c r="L5" s="179" t="s">
        <v>470</v>
      </c>
      <c r="M5" s="179">
        <v>62.8</v>
      </c>
      <c r="N5" s="179">
        <v>1497171600</v>
      </c>
      <c r="O5" s="179">
        <v>4.7</v>
      </c>
      <c r="P5" s="179">
        <v>241</v>
      </c>
      <c r="Q5" s="179">
        <v>3.59</v>
      </c>
      <c r="R5"/>
    </row>
    <row r="6" spans="1:18" x14ac:dyDescent="0.25">
      <c r="A6" s="179">
        <v>61.96</v>
      </c>
      <c r="B6" s="179">
        <v>0.45</v>
      </c>
      <c r="C6" s="179">
        <v>41.02</v>
      </c>
      <c r="D6" s="8">
        <v>42897.166666666664</v>
      </c>
      <c r="E6" s="179">
        <v>0.46</v>
      </c>
      <c r="F6" s="179" t="s">
        <v>476</v>
      </c>
      <c r="G6" s="179">
        <v>307.33999999999997</v>
      </c>
      <c r="H6" s="179">
        <v>0</v>
      </c>
      <c r="I6" s="179">
        <v>0</v>
      </c>
      <c r="J6" s="179"/>
      <c r="K6" s="179">
        <v>1002.03</v>
      </c>
      <c r="L6" s="179" t="s">
        <v>470</v>
      </c>
      <c r="M6" s="179">
        <v>61.96</v>
      </c>
      <c r="N6" s="179">
        <v>1497175200</v>
      </c>
      <c r="O6" s="179">
        <v>5.17</v>
      </c>
      <c r="P6" s="179">
        <v>220</v>
      </c>
      <c r="Q6" s="179">
        <v>3.12</v>
      </c>
      <c r="R6"/>
    </row>
    <row r="7" spans="1:18" x14ac:dyDescent="0.25">
      <c r="A7" s="179">
        <v>59.99</v>
      </c>
      <c r="B7" s="179">
        <v>0.55000000000000004</v>
      </c>
      <c r="C7" s="179">
        <v>38.409999999999997</v>
      </c>
      <c r="D7" s="8">
        <v>42897.208333333336</v>
      </c>
      <c r="E7" s="179">
        <v>0.45</v>
      </c>
      <c r="F7" s="179" t="s">
        <v>476</v>
      </c>
      <c r="G7" s="179">
        <v>307.76</v>
      </c>
      <c r="H7" s="179">
        <v>0</v>
      </c>
      <c r="I7" s="179">
        <v>0</v>
      </c>
      <c r="J7" s="179"/>
      <c r="K7" s="179">
        <v>1002.65</v>
      </c>
      <c r="L7" s="179" t="s">
        <v>470</v>
      </c>
      <c r="M7" s="179">
        <v>59.99</v>
      </c>
      <c r="N7" s="179">
        <v>1497178800</v>
      </c>
      <c r="O7" s="179">
        <v>5.55</v>
      </c>
      <c r="P7" s="179">
        <v>214</v>
      </c>
      <c r="Q7" s="179">
        <v>3.42</v>
      </c>
      <c r="R7"/>
    </row>
    <row r="8" spans="1:18" x14ac:dyDescent="0.25">
      <c r="A8" s="179">
        <v>60.96</v>
      </c>
      <c r="B8" s="179">
        <v>0.61</v>
      </c>
      <c r="C8" s="179">
        <v>37.6</v>
      </c>
      <c r="D8" s="8">
        <v>42897.25</v>
      </c>
      <c r="E8" s="179">
        <v>0.42</v>
      </c>
      <c r="F8" s="179" t="s">
        <v>469</v>
      </c>
      <c r="G8" s="179">
        <v>308.11</v>
      </c>
      <c r="H8" s="179">
        <v>0</v>
      </c>
      <c r="I8" s="179">
        <v>0</v>
      </c>
      <c r="J8" s="179"/>
      <c r="K8" s="179">
        <v>1003.26</v>
      </c>
      <c r="L8" s="179" t="s">
        <v>828</v>
      </c>
      <c r="M8" s="179">
        <v>60.96</v>
      </c>
      <c r="N8" s="179">
        <v>1497182400</v>
      </c>
      <c r="O8" s="179">
        <v>4.43</v>
      </c>
      <c r="P8" s="179">
        <v>208</v>
      </c>
      <c r="Q8" s="179">
        <v>2.7</v>
      </c>
      <c r="R8"/>
    </row>
    <row r="9" spans="1:18" x14ac:dyDescent="0.25">
      <c r="A9" s="179">
        <v>62.68</v>
      </c>
      <c r="B9" s="179">
        <v>0.59</v>
      </c>
      <c r="C9" s="179">
        <v>37.75</v>
      </c>
      <c r="D9" s="8">
        <v>42897.291666666664</v>
      </c>
      <c r="E9" s="179">
        <v>0.4</v>
      </c>
      <c r="F9" s="179" t="s">
        <v>469</v>
      </c>
      <c r="G9" s="179">
        <v>308.14999999999998</v>
      </c>
      <c r="H9" s="179">
        <v>0</v>
      </c>
      <c r="I9" s="179">
        <v>0</v>
      </c>
      <c r="J9" s="179"/>
      <c r="K9" s="179">
        <v>1003.73</v>
      </c>
      <c r="L9" s="179" t="s">
        <v>470</v>
      </c>
      <c r="M9" s="179">
        <v>62.68</v>
      </c>
      <c r="N9" s="179">
        <v>1497186000</v>
      </c>
      <c r="O9" s="179">
        <v>3.85</v>
      </c>
      <c r="P9" s="179">
        <v>180</v>
      </c>
      <c r="Q9" s="179">
        <v>2.0499999999999998</v>
      </c>
      <c r="R9"/>
    </row>
    <row r="10" spans="1:18" x14ac:dyDescent="0.25">
      <c r="A10" s="179">
        <v>68.790000000000006</v>
      </c>
      <c r="B10" s="179">
        <v>0.54</v>
      </c>
      <c r="C10" s="179">
        <v>42.52</v>
      </c>
      <c r="D10" s="8">
        <v>42897.333333333336</v>
      </c>
      <c r="E10" s="179">
        <v>0.39</v>
      </c>
      <c r="F10" s="179" t="s">
        <v>469</v>
      </c>
      <c r="G10" s="179">
        <v>308.10000000000002</v>
      </c>
      <c r="H10" s="179">
        <v>0</v>
      </c>
      <c r="I10" s="179">
        <v>0</v>
      </c>
      <c r="J10" s="179"/>
      <c r="K10" s="179">
        <v>1004.16</v>
      </c>
      <c r="L10" s="179" t="s">
        <v>470</v>
      </c>
      <c r="M10" s="179">
        <v>68.790000000000006</v>
      </c>
      <c r="N10" s="179">
        <v>1497189600</v>
      </c>
      <c r="O10" s="179">
        <v>3.44</v>
      </c>
      <c r="P10" s="179">
        <v>359</v>
      </c>
      <c r="Q10" s="179">
        <v>0.61</v>
      </c>
      <c r="R10"/>
    </row>
    <row r="11" spans="1:18" x14ac:dyDescent="0.25">
      <c r="A11" s="179">
        <v>68.56</v>
      </c>
      <c r="B11" s="179">
        <v>0.55000000000000004</v>
      </c>
      <c r="C11" s="179">
        <v>48.62</v>
      </c>
      <c r="D11" s="8">
        <v>42897.375</v>
      </c>
      <c r="E11" s="179">
        <v>0.49</v>
      </c>
      <c r="F11" s="179" t="s">
        <v>469</v>
      </c>
      <c r="G11" s="179">
        <v>308.36</v>
      </c>
      <c r="H11" s="179">
        <v>0</v>
      </c>
      <c r="I11" s="179">
        <v>0</v>
      </c>
      <c r="J11" s="179"/>
      <c r="K11" s="179">
        <v>1004.52</v>
      </c>
      <c r="L11" s="179" t="s">
        <v>470</v>
      </c>
      <c r="M11" s="179">
        <v>68.56</v>
      </c>
      <c r="N11" s="179">
        <v>1497193200</v>
      </c>
      <c r="O11" s="179">
        <v>3.31</v>
      </c>
      <c r="P11" s="179">
        <v>35</v>
      </c>
      <c r="Q11" s="179">
        <v>5.53</v>
      </c>
      <c r="R11"/>
    </row>
    <row r="12" spans="1:18" x14ac:dyDescent="0.25">
      <c r="A12" s="179">
        <v>69.03</v>
      </c>
      <c r="B12" s="179">
        <v>0.55000000000000004</v>
      </c>
      <c r="C12" s="179">
        <v>52.13</v>
      </c>
      <c r="D12" s="8">
        <v>42897.416666666664</v>
      </c>
      <c r="E12" s="179">
        <v>0.55000000000000004</v>
      </c>
      <c r="F12" s="179" t="s">
        <v>469</v>
      </c>
      <c r="G12" s="179">
        <v>309.25</v>
      </c>
      <c r="H12" s="179">
        <v>0</v>
      </c>
      <c r="I12" s="179">
        <v>0</v>
      </c>
      <c r="J12" s="179"/>
      <c r="K12" s="179">
        <v>1005.17</v>
      </c>
      <c r="L12" s="179" t="s">
        <v>470</v>
      </c>
      <c r="M12" s="179">
        <v>69.03</v>
      </c>
      <c r="N12" s="179">
        <v>1497196800</v>
      </c>
      <c r="O12" s="179">
        <v>3.3</v>
      </c>
      <c r="P12" s="179">
        <v>26</v>
      </c>
      <c r="Q12" s="179">
        <v>6.13</v>
      </c>
      <c r="R12"/>
    </row>
    <row r="13" spans="1:18" x14ac:dyDescent="0.25">
      <c r="A13" s="179">
        <v>72.87</v>
      </c>
      <c r="B13" s="179">
        <v>0.6</v>
      </c>
      <c r="C13" s="179">
        <v>53.15</v>
      </c>
      <c r="D13" s="8">
        <v>42897.458333333336</v>
      </c>
      <c r="E13" s="179">
        <v>0.5</v>
      </c>
      <c r="F13" s="179" t="s">
        <v>469</v>
      </c>
      <c r="G13" s="179">
        <v>310.44</v>
      </c>
      <c r="H13" s="179">
        <v>0</v>
      </c>
      <c r="I13" s="179">
        <v>0</v>
      </c>
      <c r="J13" s="179"/>
      <c r="K13" s="179">
        <v>1006.07</v>
      </c>
      <c r="L13" s="179" t="s">
        <v>828</v>
      </c>
      <c r="M13" s="179">
        <v>72.87</v>
      </c>
      <c r="N13" s="179">
        <v>1497200400</v>
      </c>
      <c r="O13" s="179">
        <v>10</v>
      </c>
      <c r="P13" s="179">
        <v>15</v>
      </c>
      <c r="Q13" s="179">
        <v>4.42</v>
      </c>
      <c r="R13"/>
    </row>
    <row r="14" spans="1:18" x14ac:dyDescent="0.25">
      <c r="A14" s="179">
        <v>73.94</v>
      </c>
      <c r="B14" s="179">
        <v>0.6</v>
      </c>
      <c r="C14" s="179">
        <v>53.91</v>
      </c>
      <c r="D14" s="8">
        <v>42897.5</v>
      </c>
      <c r="E14" s="179">
        <v>0.5</v>
      </c>
      <c r="F14" s="179" t="s">
        <v>469</v>
      </c>
      <c r="G14" s="179">
        <v>311.36</v>
      </c>
      <c r="H14" s="179">
        <v>0</v>
      </c>
      <c r="I14" s="179">
        <v>0</v>
      </c>
      <c r="J14" s="179"/>
      <c r="K14" s="179">
        <v>1006.59</v>
      </c>
      <c r="L14" s="179" t="s">
        <v>828</v>
      </c>
      <c r="M14" s="179">
        <v>73.94</v>
      </c>
      <c r="N14" s="179">
        <v>1497204000</v>
      </c>
      <c r="O14" s="179">
        <v>3.48</v>
      </c>
      <c r="P14" s="179">
        <v>11</v>
      </c>
      <c r="Q14" s="179">
        <v>3.94</v>
      </c>
      <c r="R14"/>
    </row>
    <row r="15" spans="1:18" x14ac:dyDescent="0.25">
      <c r="A15" s="179">
        <v>74.19</v>
      </c>
      <c r="B15" s="179">
        <v>0.61</v>
      </c>
      <c r="C15" s="179">
        <v>54.05</v>
      </c>
      <c r="D15" s="8">
        <v>42897.541666666664</v>
      </c>
      <c r="E15" s="179">
        <v>0.49</v>
      </c>
      <c r="F15" s="179" t="s">
        <v>469</v>
      </c>
      <c r="G15" s="179">
        <v>311.77</v>
      </c>
      <c r="H15" s="179">
        <v>0</v>
      </c>
      <c r="I15" s="179">
        <v>0</v>
      </c>
      <c r="J15" s="179"/>
      <c r="K15" s="179">
        <v>1006.16</v>
      </c>
      <c r="L15" s="179" t="s">
        <v>828</v>
      </c>
      <c r="M15" s="179">
        <v>74.19</v>
      </c>
      <c r="N15" s="179">
        <v>1497207600</v>
      </c>
      <c r="O15" s="179">
        <v>3.54</v>
      </c>
      <c r="P15" s="179">
        <v>19</v>
      </c>
      <c r="Q15" s="179">
        <v>3.36</v>
      </c>
      <c r="R15"/>
    </row>
    <row r="16" spans="1:18" x14ac:dyDescent="0.25">
      <c r="A16" s="179">
        <v>76.53</v>
      </c>
      <c r="B16" s="179">
        <v>0.64</v>
      </c>
      <c r="C16" s="179">
        <v>53.6</v>
      </c>
      <c r="D16" s="8">
        <v>42897.583333333336</v>
      </c>
      <c r="E16" s="179">
        <v>0.45</v>
      </c>
      <c r="F16" s="179" t="s">
        <v>469</v>
      </c>
      <c r="G16" s="179">
        <v>311.91000000000003</v>
      </c>
      <c r="H16" s="179">
        <v>0</v>
      </c>
      <c r="I16" s="179">
        <v>0</v>
      </c>
      <c r="J16" s="179"/>
      <c r="K16" s="179">
        <v>1005.22</v>
      </c>
      <c r="L16" s="179" t="s">
        <v>828</v>
      </c>
      <c r="M16" s="179">
        <v>76.53</v>
      </c>
      <c r="N16" s="179">
        <v>1497211200</v>
      </c>
      <c r="O16" s="179">
        <v>3.52</v>
      </c>
      <c r="P16" s="179">
        <v>42</v>
      </c>
      <c r="Q16" s="179">
        <v>3.16</v>
      </c>
      <c r="R16"/>
    </row>
    <row r="17" spans="1:18" x14ac:dyDescent="0.25">
      <c r="A17" s="179">
        <v>78.06</v>
      </c>
      <c r="B17" s="179">
        <v>0.67</v>
      </c>
      <c r="C17" s="179">
        <v>52.64</v>
      </c>
      <c r="D17" s="8">
        <v>42897.625</v>
      </c>
      <c r="E17" s="179">
        <v>0.41</v>
      </c>
      <c r="F17" s="179" t="s">
        <v>469</v>
      </c>
      <c r="G17" s="179">
        <v>311.89999999999998</v>
      </c>
      <c r="H17" s="179">
        <v>0</v>
      </c>
      <c r="I17" s="179">
        <v>0</v>
      </c>
      <c r="J17" s="179"/>
      <c r="K17" s="179">
        <v>1004.64</v>
      </c>
      <c r="L17" s="179" t="s">
        <v>828</v>
      </c>
      <c r="M17" s="179">
        <v>78.06</v>
      </c>
      <c r="N17" s="179">
        <v>1497214800</v>
      </c>
      <c r="O17" s="179">
        <v>3.43</v>
      </c>
      <c r="P17" s="179">
        <v>45</v>
      </c>
      <c r="Q17" s="179">
        <v>3.4</v>
      </c>
      <c r="R17"/>
    </row>
    <row r="18" spans="1:18" x14ac:dyDescent="0.25">
      <c r="A18" s="179">
        <v>79.19</v>
      </c>
      <c r="B18" s="179">
        <v>0.62</v>
      </c>
      <c r="C18" s="179">
        <v>52.03</v>
      </c>
      <c r="D18" s="8">
        <v>42897.666666666664</v>
      </c>
      <c r="E18" s="179">
        <v>0.39</v>
      </c>
      <c r="F18" s="179" t="s">
        <v>469</v>
      </c>
      <c r="G18" s="179">
        <v>311.86</v>
      </c>
      <c r="H18" s="179">
        <v>0</v>
      </c>
      <c r="I18" s="179">
        <v>0</v>
      </c>
      <c r="J18" s="179"/>
      <c r="K18" s="179">
        <v>1004.73</v>
      </c>
      <c r="L18" s="179" t="s">
        <v>828</v>
      </c>
      <c r="M18" s="179">
        <v>79.19</v>
      </c>
      <c r="N18" s="179">
        <v>1497218400</v>
      </c>
      <c r="O18" s="179">
        <v>3.29</v>
      </c>
      <c r="P18" s="179">
        <v>68</v>
      </c>
      <c r="Q18" s="179">
        <v>3.53</v>
      </c>
      <c r="R18"/>
    </row>
    <row r="19" spans="1:18" x14ac:dyDescent="0.25">
      <c r="A19" s="179">
        <v>79.83</v>
      </c>
      <c r="B19" s="179">
        <v>0.54</v>
      </c>
      <c r="C19" s="179">
        <v>52.57</v>
      </c>
      <c r="D19" s="8">
        <v>42897.708333333336</v>
      </c>
      <c r="E19" s="179">
        <v>0.39</v>
      </c>
      <c r="F19" s="179" t="s">
        <v>469</v>
      </c>
      <c r="G19" s="179">
        <v>311.68</v>
      </c>
      <c r="H19" s="179">
        <v>0</v>
      </c>
      <c r="I19" s="179">
        <v>0</v>
      </c>
      <c r="J19" s="179"/>
      <c r="K19" s="179">
        <v>1005.03</v>
      </c>
      <c r="L19" s="179" t="s">
        <v>470</v>
      </c>
      <c r="M19" s="179">
        <v>79.83</v>
      </c>
      <c r="N19" s="179">
        <v>1497222000</v>
      </c>
      <c r="O19" s="179">
        <v>3.19</v>
      </c>
      <c r="P19" s="179">
        <v>89</v>
      </c>
      <c r="Q19" s="179">
        <v>3.32</v>
      </c>
      <c r="R19"/>
    </row>
    <row r="20" spans="1:18" x14ac:dyDescent="0.25">
      <c r="A20" s="179">
        <v>77.959999999999994</v>
      </c>
      <c r="B20" s="179">
        <v>0.41</v>
      </c>
      <c r="C20" s="179">
        <v>52.48</v>
      </c>
      <c r="D20" s="8">
        <v>42897.75</v>
      </c>
      <c r="E20" s="179">
        <v>0.41</v>
      </c>
      <c r="F20" s="179" t="s">
        <v>469</v>
      </c>
      <c r="G20" s="179">
        <v>311.16000000000003</v>
      </c>
      <c r="H20" s="179">
        <v>1E-3</v>
      </c>
      <c r="I20" s="179">
        <v>0.01</v>
      </c>
      <c r="J20" s="179" t="s">
        <v>829</v>
      </c>
      <c r="K20" s="179">
        <v>1005.46</v>
      </c>
      <c r="L20" s="179" t="s">
        <v>470</v>
      </c>
      <c r="M20" s="179">
        <v>77.959999999999994</v>
      </c>
      <c r="N20" s="179">
        <v>1497225600</v>
      </c>
      <c r="O20" s="179">
        <v>3.22</v>
      </c>
      <c r="P20" s="179">
        <v>96</v>
      </c>
      <c r="Q20" s="179">
        <v>4.29</v>
      </c>
      <c r="R20"/>
    </row>
    <row r="21" spans="1:18" x14ac:dyDescent="0.25">
      <c r="A21" s="179">
        <v>75.349999999999994</v>
      </c>
      <c r="B21" s="179">
        <v>0.4</v>
      </c>
      <c r="C21" s="179">
        <v>52.31</v>
      </c>
      <c r="D21" s="8">
        <v>42897.791666666664</v>
      </c>
      <c r="E21" s="179">
        <v>0.45</v>
      </c>
      <c r="F21" s="179" t="s">
        <v>469</v>
      </c>
      <c r="G21" s="179">
        <v>310.07</v>
      </c>
      <c r="H21" s="179">
        <v>3.5999999999999999E-3</v>
      </c>
      <c r="I21" s="179">
        <v>0.13</v>
      </c>
      <c r="J21" s="179" t="s">
        <v>829</v>
      </c>
      <c r="K21" s="179">
        <v>1006.08</v>
      </c>
      <c r="L21" s="179" t="s">
        <v>470</v>
      </c>
      <c r="M21" s="179">
        <v>75.349999999999994</v>
      </c>
      <c r="N21" s="179">
        <v>1497229200</v>
      </c>
      <c r="O21" s="179">
        <v>3.51</v>
      </c>
      <c r="P21" s="179">
        <v>105</v>
      </c>
      <c r="Q21" s="179">
        <v>3.76</v>
      </c>
      <c r="R21"/>
    </row>
    <row r="22" spans="1:18" x14ac:dyDescent="0.25">
      <c r="A22" s="179">
        <v>74.22</v>
      </c>
      <c r="B22" s="179">
        <v>0.36</v>
      </c>
      <c r="C22" s="179">
        <v>53.79</v>
      </c>
      <c r="D22" s="8">
        <v>42897.833333333336</v>
      </c>
      <c r="E22" s="179">
        <v>0.49</v>
      </c>
      <c r="F22" s="179" t="s">
        <v>829</v>
      </c>
      <c r="G22" s="179">
        <v>308.64999999999998</v>
      </c>
      <c r="H22" s="179">
        <v>9.2999999999999992E-3</v>
      </c>
      <c r="I22" s="179">
        <v>0.5</v>
      </c>
      <c r="J22" s="179" t="s">
        <v>829</v>
      </c>
      <c r="K22" s="179">
        <v>1006.97</v>
      </c>
      <c r="L22" s="179" t="s">
        <v>830</v>
      </c>
      <c r="M22" s="179">
        <v>74.22</v>
      </c>
      <c r="N22" s="179">
        <v>1497232800</v>
      </c>
      <c r="O22" s="179">
        <v>4.13</v>
      </c>
      <c r="P22" s="179">
        <v>87</v>
      </c>
      <c r="Q22" s="179">
        <v>2.36</v>
      </c>
      <c r="R22"/>
    </row>
    <row r="23" spans="1:18" x14ac:dyDescent="0.25">
      <c r="A23" s="179">
        <v>71.72</v>
      </c>
      <c r="B23" s="179">
        <v>0.37</v>
      </c>
      <c r="C23" s="179">
        <v>53.75</v>
      </c>
      <c r="D23" s="8">
        <v>42897.875</v>
      </c>
      <c r="E23" s="179">
        <v>0.53</v>
      </c>
      <c r="F23" s="179" t="s">
        <v>829</v>
      </c>
      <c r="G23" s="179">
        <v>307.45</v>
      </c>
      <c r="H23" s="179">
        <v>1.12E-2</v>
      </c>
      <c r="I23" s="179">
        <v>0.52</v>
      </c>
      <c r="J23" s="179" t="s">
        <v>829</v>
      </c>
      <c r="K23" s="179">
        <v>1007.63</v>
      </c>
      <c r="L23" s="179" t="s">
        <v>830</v>
      </c>
      <c r="M23" s="179">
        <v>71.72</v>
      </c>
      <c r="N23" s="179">
        <v>1497236400</v>
      </c>
      <c r="O23" s="179">
        <v>10</v>
      </c>
      <c r="P23" s="179">
        <v>54</v>
      </c>
      <c r="Q23" s="179">
        <v>0.96</v>
      </c>
      <c r="R23"/>
    </row>
    <row r="24" spans="1:18" x14ac:dyDescent="0.25">
      <c r="A24" s="179">
        <v>69.709999999999994</v>
      </c>
      <c r="B24" s="179">
        <v>0.46</v>
      </c>
      <c r="C24" s="179">
        <v>53.8</v>
      </c>
      <c r="D24" s="8">
        <v>42897.916666666664</v>
      </c>
      <c r="E24" s="179">
        <v>0.56999999999999995</v>
      </c>
      <c r="F24" s="179" t="s">
        <v>829</v>
      </c>
      <c r="G24" s="179">
        <v>306.79000000000002</v>
      </c>
      <c r="H24" s="179">
        <v>8.3000000000000001E-3</v>
      </c>
      <c r="I24" s="179">
        <v>0.43</v>
      </c>
      <c r="J24" s="179" t="s">
        <v>829</v>
      </c>
      <c r="K24" s="179">
        <v>1007.74</v>
      </c>
      <c r="L24" s="179" t="s">
        <v>831</v>
      </c>
      <c r="M24" s="179">
        <v>69.709999999999994</v>
      </c>
      <c r="N24" s="179">
        <v>1497240000</v>
      </c>
      <c r="O24" s="179">
        <v>4.3099999999999996</v>
      </c>
      <c r="P24" s="179">
        <v>128</v>
      </c>
      <c r="Q24" s="179">
        <v>1.02</v>
      </c>
      <c r="R24"/>
    </row>
    <row r="25" spans="1:18" x14ac:dyDescent="0.25">
      <c r="A25" s="179">
        <v>67.36</v>
      </c>
      <c r="B25" s="179">
        <v>0.39</v>
      </c>
      <c r="C25" s="179">
        <v>53.99</v>
      </c>
      <c r="D25" s="8">
        <v>42897.958333333336</v>
      </c>
      <c r="E25" s="179">
        <v>0.62</v>
      </c>
      <c r="F25" s="179" t="s">
        <v>476</v>
      </c>
      <c r="G25" s="179">
        <v>306.36</v>
      </c>
      <c r="H25" s="179">
        <v>3.8999999999999998E-3</v>
      </c>
      <c r="I25" s="179">
        <v>0.15</v>
      </c>
      <c r="J25" s="179" t="s">
        <v>829</v>
      </c>
      <c r="K25" s="179">
        <v>1007.55</v>
      </c>
      <c r="L25" s="179" t="s">
        <v>470</v>
      </c>
      <c r="M25" s="179">
        <v>67.36</v>
      </c>
      <c r="N25" s="179">
        <v>1497243600</v>
      </c>
      <c r="O25" s="179">
        <v>3.49</v>
      </c>
      <c r="P25" s="179">
        <v>131</v>
      </c>
      <c r="Q25" s="179">
        <v>2.2000000000000002</v>
      </c>
      <c r="R25"/>
    </row>
    <row r="26" spans="1:18" x14ac:dyDescent="0.25">
      <c r="A26" s="179">
        <v>66.23</v>
      </c>
      <c r="B26" s="179">
        <v>0.27</v>
      </c>
      <c r="C26" s="179">
        <v>54.74</v>
      </c>
      <c r="D26" s="8">
        <v>42898</v>
      </c>
      <c r="E26" s="179">
        <v>0.67</v>
      </c>
      <c r="F26" s="179" t="s">
        <v>476</v>
      </c>
      <c r="G26" s="179">
        <v>305.81</v>
      </c>
      <c r="H26" s="179">
        <v>1.4E-3</v>
      </c>
      <c r="I26" s="179">
        <v>0.03</v>
      </c>
      <c r="J26" s="179" t="s">
        <v>829</v>
      </c>
      <c r="K26" s="179">
        <v>1007.42</v>
      </c>
      <c r="L26" s="179" t="s">
        <v>470</v>
      </c>
      <c r="M26" s="179">
        <v>66.23</v>
      </c>
      <c r="N26" s="179">
        <v>1497247200</v>
      </c>
      <c r="O26" s="179">
        <v>2.99</v>
      </c>
      <c r="P26" s="179">
        <v>124</v>
      </c>
      <c r="Q26" s="179">
        <v>2.33</v>
      </c>
      <c r="R26"/>
    </row>
    <row r="27" spans="1:18" x14ac:dyDescent="0.25">
      <c r="A27" s="179">
        <v>65.12</v>
      </c>
      <c r="B27" s="179">
        <v>0.39</v>
      </c>
      <c r="C27" s="179">
        <v>54.98</v>
      </c>
      <c r="D27" s="8">
        <v>42898.041666666664</v>
      </c>
      <c r="E27" s="179">
        <v>0.7</v>
      </c>
      <c r="F27" s="179" t="s">
        <v>476</v>
      </c>
      <c r="G27" s="179">
        <v>304.89</v>
      </c>
      <c r="H27" s="179">
        <v>1.8E-3</v>
      </c>
      <c r="I27" s="179">
        <v>0.04</v>
      </c>
      <c r="J27" s="179" t="s">
        <v>829</v>
      </c>
      <c r="K27" s="179">
        <v>1007.57</v>
      </c>
      <c r="L27" s="179" t="s">
        <v>470</v>
      </c>
      <c r="M27" s="179">
        <v>65.12</v>
      </c>
      <c r="N27" s="179">
        <v>1497250800</v>
      </c>
      <c r="O27" s="179">
        <v>2.83</v>
      </c>
      <c r="P27" s="179">
        <v>138</v>
      </c>
      <c r="Q27" s="179">
        <v>2.5099999999999998</v>
      </c>
      <c r="R27"/>
    </row>
    <row r="28" spans="1:18" x14ac:dyDescent="0.25">
      <c r="A28" s="179">
        <v>64.39</v>
      </c>
      <c r="B28" s="179">
        <v>0.49</v>
      </c>
      <c r="C28" s="179">
        <v>54.75</v>
      </c>
      <c r="D28" s="8">
        <v>42898.083333333336</v>
      </c>
      <c r="E28" s="179">
        <v>0.71</v>
      </c>
      <c r="F28" s="179" t="s">
        <v>829</v>
      </c>
      <c r="G28" s="179">
        <v>303.98</v>
      </c>
      <c r="H28" s="179">
        <v>2.9700000000000001E-2</v>
      </c>
      <c r="I28" s="179">
        <v>0.66</v>
      </c>
      <c r="J28" s="179" t="s">
        <v>829</v>
      </c>
      <c r="K28" s="179">
        <v>1007.71</v>
      </c>
      <c r="L28" s="179" t="s">
        <v>830</v>
      </c>
      <c r="M28" s="179">
        <v>64.39</v>
      </c>
      <c r="N28" s="179">
        <v>1497254400</v>
      </c>
      <c r="O28" s="179">
        <v>2.33</v>
      </c>
      <c r="P28" s="179">
        <v>153</v>
      </c>
      <c r="Q28" s="179">
        <v>1.21</v>
      </c>
      <c r="R28"/>
    </row>
    <row r="29" spans="1:18" x14ac:dyDescent="0.25">
      <c r="A29" s="179">
        <v>63.1</v>
      </c>
      <c r="B29" s="179">
        <v>0.56000000000000005</v>
      </c>
      <c r="C29" s="179">
        <v>54.79</v>
      </c>
      <c r="D29" s="8">
        <v>42898.125</v>
      </c>
      <c r="E29" s="179">
        <v>0.74</v>
      </c>
      <c r="F29" s="179" t="s">
        <v>586</v>
      </c>
      <c r="G29" s="179">
        <v>303.06</v>
      </c>
      <c r="H29" s="179">
        <v>4.7999999999999996E-3</v>
      </c>
      <c r="I29" s="179">
        <v>0.2</v>
      </c>
      <c r="J29" s="179" t="s">
        <v>829</v>
      </c>
      <c r="K29" s="179">
        <v>1007.85</v>
      </c>
      <c r="L29" s="179" t="s">
        <v>587</v>
      </c>
      <c r="M29" s="179">
        <v>63.1</v>
      </c>
      <c r="N29" s="179">
        <v>1497258000</v>
      </c>
      <c r="O29" s="179">
        <v>1.73</v>
      </c>
      <c r="P29" s="179">
        <v>156</v>
      </c>
      <c r="Q29" s="179">
        <v>2.2000000000000002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5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42897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449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450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964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965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966</v>
      </c>
      <c r="J20" s="143" t="s">
        <v>87</v>
      </c>
      <c r="M20" s="157" t="s">
        <v>364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967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968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969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970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971</v>
      </c>
      <c r="J25" s="143" t="s">
        <v>148</v>
      </c>
      <c r="M25" s="157" t="b">
        <v>1</v>
      </c>
    </row>
    <row r="26" spans="3:24" x14ac:dyDescent="0.25">
      <c r="C26" t="s">
        <v>972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C:\Users\stu\Documents\GitHub\eaglep3-reporting\EC\2017-06-11-refined-times.txt</v>
      </c>
    </row>
    <row r="27" spans="3:24" x14ac:dyDescent="0.25">
      <c r="C27" t="s">
        <v>973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C:\Users\stu\Documents\GitHub\eaglep3-reporting\EC\2017-06-11-Enforcements.txt</v>
      </c>
    </row>
    <row r="28" spans="3:24" x14ac:dyDescent="0.25">
      <c r="C28" t="s">
        <v>974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C:\Users\stu\Documents\GitHub\eaglep3-reporting\EC\2017-06-11-Runs-refined.txt</v>
      </c>
    </row>
    <row r="29" spans="3:24" x14ac:dyDescent="0.25">
      <c r="C29" t="s">
        <v>975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C:\Users\stu\Documents\GitHub\eaglep3-reporting\EC\2017-06-11-Trips.txt</v>
      </c>
    </row>
    <row r="30" spans="3:24" x14ac:dyDescent="0.25">
      <c r="C30" t="s">
        <v>976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C:\Users\stu\Documents\GitHub\eaglep3-reporting\EC\2017-06-11-Weather.txt</v>
      </c>
    </row>
    <row r="31" spans="3:24" x14ac:dyDescent="0.25">
      <c r="C31" t="s">
        <v>977</v>
      </c>
      <c r="J31" s="143" t="s">
        <v>198</v>
      </c>
      <c r="M31" s="157" t="s">
        <v>199</v>
      </c>
    </row>
    <row r="32" spans="3:24" x14ac:dyDescent="0.25">
      <c r="C32" t="s">
        <v>978</v>
      </c>
    </row>
    <row r="33" spans="3:3" x14ac:dyDescent="0.25">
      <c r="C33" t="s">
        <v>979</v>
      </c>
    </row>
    <row r="34" spans="3:3" x14ac:dyDescent="0.25">
      <c r="C34" t="s">
        <v>980</v>
      </c>
    </row>
    <row r="35" spans="3:3" x14ac:dyDescent="0.25">
      <c r="C35" t="s">
        <v>981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2017-06-12T15:42:51Z</dcterms:modified>
</cp:coreProperties>
</file>