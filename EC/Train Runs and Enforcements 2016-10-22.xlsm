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Enforcements!$A$6:$AC$47</definedName>
    <definedName name="_xlnm._FilterDatabase" localSheetId="2" hidden="1">'Missing Trips'!$B$2:$I$2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1" i="1" l="1"/>
  <c r="Z112" i="1"/>
  <c r="X183" i="1" l="1"/>
  <c r="X184" i="1"/>
  <c r="X185" i="1"/>
  <c r="X186" i="1"/>
  <c r="X187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23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V31" i="1"/>
  <c r="S19" i="3" s="1"/>
  <c r="Y31" i="1"/>
  <c r="Z31" i="1"/>
  <c r="AB31" i="1"/>
  <c r="AC31" i="1"/>
  <c r="AD31" i="1"/>
  <c r="T31" i="1" s="1"/>
  <c r="AE31" i="1"/>
  <c r="R19" i="3" s="1"/>
  <c r="AF31" i="1"/>
  <c r="AH31" i="1"/>
  <c r="K32" i="1"/>
  <c r="L32" i="1"/>
  <c r="M32" i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S27" i="3" s="1"/>
  <c r="Y34" i="1"/>
  <c r="Z34" i="1"/>
  <c r="AB34" i="1"/>
  <c r="AC34" i="1"/>
  <c r="AD34" i="1"/>
  <c r="T34" i="1" s="1"/>
  <c r="AE34" i="1"/>
  <c r="R27" i="3" s="1"/>
  <c r="AF34" i="1"/>
  <c r="AH34" i="1"/>
  <c r="K35" i="1"/>
  <c r="L35" i="1"/>
  <c r="M35" i="1"/>
  <c r="N35" i="1" s="1"/>
  <c r="V35" i="1"/>
  <c r="X35" i="1"/>
  <c r="Y35" i="1"/>
  <c r="Z35" i="1"/>
  <c r="AB35" i="1"/>
  <c r="AC35" i="1"/>
  <c r="AD35" i="1"/>
  <c r="T35" i="1" s="1"/>
  <c r="AE35" i="1"/>
  <c r="AF35" i="1"/>
  <c r="AG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S13" i="3" s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S20" i="3" s="1"/>
  <c r="Y43" i="1"/>
  <c r="Z43" i="1"/>
  <c r="AB43" i="1"/>
  <c r="AC43" i="1"/>
  <c r="AD43" i="1"/>
  <c r="X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V48" i="1"/>
  <c r="S28" i="3" s="1"/>
  <c r="Y48" i="1"/>
  <c r="Z48" i="1"/>
  <c r="AB48" i="1"/>
  <c r="AC48" i="1"/>
  <c r="AD48" i="1"/>
  <c r="AG48" i="1" s="1"/>
  <c r="AE48" i="1"/>
  <c r="R28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R17" i="3" s="1"/>
  <c r="AF56" i="1"/>
  <c r="AH56" i="1"/>
  <c r="K57" i="1"/>
  <c r="L57" i="1"/>
  <c r="M57" i="1"/>
  <c r="N57" i="1" s="1"/>
  <c r="V57" i="1"/>
  <c r="S11" i="3" s="1"/>
  <c r="Y57" i="1"/>
  <c r="Z57" i="1"/>
  <c r="AB57" i="1"/>
  <c r="AC57" i="1"/>
  <c r="AD57" i="1"/>
  <c r="AG57" i="1" s="1"/>
  <c r="AE57" i="1"/>
  <c r="R11" i="3" s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R21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R18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S9" i="3" s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S7" i="3" s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K167" i="1"/>
  <c r="L167" i="1"/>
  <c r="M167" i="1"/>
  <c r="N167" i="1" s="1"/>
  <c r="V167" i="1"/>
  <c r="S32" i="3" s="1"/>
  <c r="Y167" i="1"/>
  <c r="Z167" i="1"/>
  <c r="AB167" i="1"/>
  <c r="AC167" i="1"/>
  <c r="AD167" i="1"/>
  <c r="AG167" i="1" s="1"/>
  <c r="AE167" i="1"/>
  <c r="R32" i="3" s="1"/>
  <c r="AF167" i="1"/>
  <c r="AH101" i="1"/>
  <c r="K168" i="1"/>
  <c r="L168" i="1"/>
  <c r="M168" i="1"/>
  <c r="N168" i="1" s="1"/>
  <c r="V168" i="1"/>
  <c r="S38" i="3" s="1"/>
  <c r="Y168" i="1"/>
  <c r="Z168" i="1"/>
  <c r="AB168" i="1"/>
  <c r="AC168" i="1"/>
  <c r="AD168" i="1"/>
  <c r="AG168" i="1" s="1"/>
  <c r="AE168" i="1"/>
  <c r="R38" i="3" s="1"/>
  <c r="AF168" i="1"/>
  <c r="AH102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K171" i="1"/>
  <c r="L171" i="1"/>
  <c r="M171" i="1"/>
  <c r="N171" i="1" s="1"/>
  <c r="V171" i="1"/>
  <c r="S33" i="3" s="1"/>
  <c r="Y171" i="1"/>
  <c r="Z171" i="1"/>
  <c r="AB171" i="1"/>
  <c r="AC171" i="1"/>
  <c r="AD171" i="1"/>
  <c r="AG171" i="1" s="1"/>
  <c r="AE171" i="1"/>
  <c r="AF171" i="1"/>
  <c r="AH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K174" i="1"/>
  <c r="L174" i="1"/>
  <c r="M174" i="1"/>
  <c r="N174" i="1" s="1"/>
  <c r="V174" i="1"/>
  <c r="S37" i="3" s="1"/>
  <c r="Y174" i="1"/>
  <c r="Z174" i="1"/>
  <c r="AB174" i="1"/>
  <c r="AC174" i="1"/>
  <c r="AD174" i="1"/>
  <c r="X174" i="1" s="1"/>
  <c r="AE174" i="1"/>
  <c r="AF174" i="1"/>
  <c r="AH108" i="1"/>
  <c r="AH109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K177" i="1"/>
  <c r="L177" i="1"/>
  <c r="M177" i="1"/>
  <c r="N177" i="1" s="1"/>
  <c r="V177" i="1"/>
  <c r="Y177" i="1"/>
  <c r="Z177" i="1"/>
  <c r="AB177" i="1"/>
  <c r="AC177" i="1"/>
  <c r="AD177" i="1"/>
  <c r="AE177" i="1"/>
  <c r="R31" i="3" s="1"/>
  <c r="AF177" i="1"/>
  <c r="AH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R39" i="3" s="1"/>
  <c r="AF180" i="1"/>
  <c r="AH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K184" i="1"/>
  <c r="L184" i="1"/>
  <c r="M184" i="1"/>
  <c r="P184" i="1" s="1"/>
  <c r="V184" i="1"/>
  <c r="S40" i="3" s="1"/>
  <c r="Y184" i="1"/>
  <c r="Z184" i="1"/>
  <c r="AB184" i="1"/>
  <c r="AC184" i="1"/>
  <c r="AD184" i="1"/>
  <c r="T184" i="1" s="1"/>
  <c r="AE184" i="1"/>
  <c r="R40" i="3" s="1"/>
  <c r="AF184" i="1"/>
  <c r="AH120" i="1"/>
  <c r="AH121" i="1"/>
  <c r="K185" i="1"/>
  <c r="L185" i="1"/>
  <c r="M185" i="1"/>
  <c r="N185" i="1" s="1"/>
  <c r="V185" i="1"/>
  <c r="S44" i="3" s="1"/>
  <c r="Y185" i="1"/>
  <c r="Z185" i="1"/>
  <c r="AB185" i="1"/>
  <c r="AC185" i="1"/>
  <c r="AD185" i="1"/>
  <c r="AE185" i="1"/>
  <c r="R44" i="3" s="1"/>
  <c r="AF185" i="1"/>
  <c r="AH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41" i="3" s="1"/>
  <c r="AF186" i="1"/>
  <c r="AH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K188" i="1"/>
  <c r="L188" i="1"/>
  <c r="M188" i="1"/>
  <c r="N188" i="1" s="1"/>
  <c r="V188" i="1"/>
  <c r="S42" i="3" s="1"/>
  <c r="Y188" i="1"/>
  <c r="Z188" i="1"/>
  <c r="AB188" i="1"/>
  <c r="AC188" i="1"/>
  <c r="AD188" i="1"/>
  <c r="T188" i="1" s="1"/>
  <c r="AE188" i="1"/>
  <c r="R42" i="3" s="1"/>
  <c r="AF188" i="1"/>
  <c r="AH125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26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7" i="1"/>
  <c r="K190" i="1"/>
  <c r="L190" i="1"/>
  <c r="M190" i="1"/>
  <c r="N190" i="1" s="1"/>
  <c r="V190" i="1"/>
  <c r="S43" i="3" s="1"/>
  <c r="Y190" i="1"/>
  <c r="Z190" i="1"/>
  <c r="AB190" i="1"/>
  <c r="AC190" i="1"/>
  <c r="AD190" i="1"/>
  <c r="T190" i="1" s="1"/>
  <c r="AE190" i="1"/>
  <c r="R43" i="3" s="1"/>
  <c r="AF190" i="1"/>
  <c r="AH12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R30" i="3" s="1"/>
  <c r="AF193" i="1"/>
  <c r="AH130" i="1"/>
  <c r="K97" i="1"/>
  <c r="L97" i="1"/>
  <c r="M97" i="1"/>
  <c r="N97" i="1" s="1"/>
  <c r="V97" i="1"/>
  <c r="Y97" i="1"/>
  <c r="AB97" i="1"/>
  <c r="AC97" i="1"/>
  <c r="AD97" i="1"/>
  <c r="T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H137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40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1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2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4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5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K111" i="1"/>
  <c r="L111" i="1"/>
  <c r="M111" i="1"/>
  <c r="P111" i="1" s="1"/>
  <c r="V111" i="1"/>
  <c r="Y111" i="1"/>
  <c r="AB111" i="1"/>
  <c r="AC111" i="1"/>
  <c r="AD111" i="1"/>
  <c r="T111" i="1" s="1"/>
  <c r="AE111" i="1"/>
  <c r="AF111" i="1"/>
  <c r="AH148" i="1"/>
  <c r="K112" i="1"/>
  <c r="L112" i="1"/>
  <c r="M112" i="1"/>
  <c r="N112" i="1" s="1"/>
  <c r="V112" i="1"/>
  <c r="S16" i="3" s="1"/>
  <c r="Y112" i="1"/>
  <c r="AB112" i="1"/>
  <c r="AC112" i="1"/>
  <c r="AD112" i="1"/>
  <c r="X112" i="1" s="1"/>
  <c r="AE112" i="1"/>
  <c r="AF112" i="1"/>
  <c r="AH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2" i="1"/>
  <c r="K116" i="1"/>
  <c r="L116" i="1"/>
  <c r="M116" i="1"/>
  <c r="N116" i="1" s="1"/>
  <c r="V116" i="1"/>
  <c r="S29" i="3" s="1"/>
  <c r="Y116" i="1"/>
  <c r="Z116" i="1"/>
  <c r="AB116" i="1"/>
  <c r="AC116" i="1"/>
  <c r="AD116" i="1"/>
  <c r="AE116" i="1"/>
  <c r="R29" i="3" s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7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K128" i="1"/>
  <c r="L128" i="1"/>
  <c r="M128" i="1"/>
  <c r="N128" i="1" s="1"/>
  <c r="V128" i="1"/>
  <c r="S8" i="3" s="1"/>
  <c r="Y128" i="1"/>
  <c r="Z128" i="1"/>
  <c r="AB128" i="1"/>
  <c r="AC128" i="1"/>
  <c r="AD128" i="1"/>
  <c r="AE128" i="1"/>
  <c r="R8" i="3" s="1"/>
  <c r="AF128" i="1"/>
  <c r="AH163" i="1"/>
  <c r="AH164" i="1"/>
  <c r="K129" i="1"/>
  <c r="L129" i="1"/>
  <c r="M129" i="1"/>
  <c r="N129" i="1" s="1"/>
  <c r="V129" i="1"/>
  <c r="S26" i="3" s="1"/>
  <c r="Y129" i="1"/>
  <c r="Z129" i="1"/>
  <c r="AB129" i="1"/>
  <c r="AC129" i="1"/>
  <c r="AD129" i="1"/>
  <c r="AE129" i="1"/>
  <c r="R26" i="3" s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3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K147" i="1"/>
  <c r="L147" i="1"/>
  <c r="M147" i="1"/>
  <c r="N147" i="1" s="1"/>
  <c r="V147" i="1"/>
  <c r="S22" i="3" s="1"/>
  <c r="Y147" i="1"/>
  <c r="Z147" i="1"/>
  <c r="AB147" i="1"/>
  <c r="AC147" i="1"/>
  <c r="AD147" i="1"/>
  <c r="T147" i="1" s="1"/>
  <c r="AE147" i="1"/>
  <c r="R22" i="3" s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6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8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9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0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1" i="1"/>
  <c r="AH192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93" i="1"/>
  <c r="AH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7" i="1"/>
  <c r="K206" i="1"/>
  <c r="L206" i="1"/>
  <c r="M206" i="1"/>
  <c r="N206" i="1"/>
  <c r="V206" i="1"/>
  <c r="Y206" i="1"/>
  <c r="Z206" i="1"/>
  <c r="AB206" i="1"/>
  <c r="AC206" i="1"/>
  <c r="AD206" i="1"/>
  <c r="AG206" i="1" s="1"/>
  <c r="AE206" i="1"/>
  <c r="AF206" i="1"/>
  <c r="AH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K212" i="1"/>
  <c r="L212" i="1"/>
  <c r="M212" i="1"/>
  <c r="N212" i="1" s="1"/>
  <c r="V212" i="1"/>
  <c r="S46" i="3" s="1"/>
  <c r="Y212" i="1"/>
  <c r="Z212" i="1"/>
  <c r="AB212" i="1"/>
  <c r="AC212" i="1"/>
  <c r="AD212" i="1"/>
  <c r="T212" i="1" s="1"/>
  <c r="AE212" i="1"/>
  <c r="R46" i="3" s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4" i="1"/>
  <c r="W22" i="3"/>
  <c r="V22" i="3"/>
  <c r="U22" i="3"/>
  <c r="AC22" i="3" s="1"/>
  <c r="W30" i="3"/>
  <c r="V30" i="3"/>
  <c r="U30" i="3"/>
  <c r="T30" i="3" s="1"/>
  <c r="S30" i="3"/>
  <c r="W43" i="3"/>
  <c r="Y43" i="3" s="1"/>
  <c r="V43" i="3"/>
  <c r="U43" i="3"/>
  <c r="AC43" i="3" s="1"/>
  <c r="W35" i="3"/>
  <c r="V35" i="3"/>
  <c r="U35" i="3"/>
  <c r="T35" i="3" s="1"/>
  <c r="W34" i="3"/>
  <c r="V34" i="3"/>
  <c r="U34" i="3"/>
  <c r="AC34" i="3" s="1"/>
  <c r="W42" i="3"/>
  <c r="V42" i="3"/>
  <c r="U42" i="3"/>
  <c r="T42" i="3" s="1"/>
  <c r="W26" i="3"/>
  <c r="Y26" i="3" s="1"/>
  <c r="V26" i="3"/>
  <c r="U26" i="3"/>
  <c r="AC26" i="3" s="1"/>
  <c r="W10" i="3"/>
  <c r="V10" i="3"/>
  <c r="U10" i="3"/>
  <c r="T10" i="3" s="1"/>
  <c r="W41" i="3"/>
  <c r="V41" i="3"/>
  <c r="U41" i="3"/>
  <c r="AC41" i="3" s="1"/>
  <c r="S41" i="3"/>
  <c r="W45" i="3"/>
  <c r="V45" i="3"/>
  <c r="U45" i="3"/>
  <c r="T45" i="3" s="1"/>
  <c r="S45" i="3"/>
  <c r="W44" i="3"/>
  <c r="V44" i="3"/>
  <c r="U44" i="3"/>
  <c r="AC44" i="3" s="1"/>
  <c r="W8" i="3"/>
  <c r="V8" i="3"/>
  <c r="U8" i="3"/>
  <c r="T8" i="3" s="1"/>
  <c r="W40" i="3"/>
  <c r="V40" i="3"/>
  <c r="U40" i="3"/>
  <c r="AC40" i="3" s="1"/>
  <c r="W46" i="3"/>
  <c r="V46" i="3"/>
  <c r="U46" i="3"/>
  <c r="T46" i="3" s="1"/>
  <c r="W29" i="3"/>
  <c r="V29" i="3"/>
  <c r="U29" i="3"/>
  <c r="AC29" i="3" s="1"/>
  <c r="W25" i="3"/>
  <c r="V25" i="3"/>
  <c r="U25" i="3"/>
  <c r="T25" i="3" s="1"/>
  <c r="S25" i="3"/>
  <c r="R25" i="3"/>
  <c r="W16" i="3"/>
  <c r="V16" i="3"/>
  <c r="U16" i="3"/>
  <c r="AC16" i="3" s="1"/>
  <c r="R16" i="3"/>
  <c r="W39" i="3"/>
  <c r="V39" i="3"/>
  <c r="U39" i="3"/>
  <c r="T39" i="3" s="1"/>
  <c r="S39" i="3"/>
  <c r="W7" i="3"/>
  <c r="V7" i="3"/>
  <c r="U7" i="3"/>
  <c r="AC7" i="3" s="1"/>
  <c r="R7" i="3"/>
  <c r="W31" i="3"/>
  <c r="V31" i="3"/>
  <c r="U31" i="3"/>
  <c r="T31" i="3" s="1"/>
  <c r="S31" i="3"/>
  <c r="W9" i="3"/>
  <c r="V9" i="3"/>
  <c r="U9" i="3"/>
  <c r="AC9" i="3" s="1"/>
  <c r="R9" i="3"/>
  <c r="W37" i="3"/>
  <c r="V37" i="3"/>
  <c r="U37" i="3"/>
  <c r="T37" i="3" s="1"/>
  <c r="R37" i="3"/>
  <c r="W36" i="3"/>
  <c r="V36" i="3"/>
  <c r="U36" i="3"/>
  <c r="AC36" i="3" s="1"/>
  <c r="R36" i="3"/>
  <c r="W33" i="3"/>
  <c r="V33" i="3"/>
  <c r="U33" i="3"/>
  <c r="T33" i="3" s="1"/>
  <c r="R33" i="3"/>
  <c r="W18" i="3"/>
  <c r="V18" i="3"/>
  <c r="U18" i="3"/>
  <c r="AC18" i="3" s="1"/>
  <c r="S18" i="3"/>
  <c r="W21" i="3"/>
  <c r="V21" i="3"/>
  <c r="U21" i="3"/>
  <c r="T21" i="3" s="1"/>
  <c r="S21" i="3"/>
  <c r="W11" i="3"/>
  <c r="V11" i="3"/>
  <c r="U11" i="3"/>
  <c r="AC11" i="3" s="1"/>
  <c r="W15" i="3"/>
  <c r="V15" i="3"/>
  <c r="U15" i="3"/>
  <c r="T15" i="3" s="1"/>
  <c r="W38" i="3"/>
  <c r="V38" i="3"/>
  <c r="U38" i="3"/>
  <c r="AC38" i="3" s="1"/>
  <c r="W17" i="3"/>
  <c r="V17" i="3"/>
  <c r="U17" i="3"/>
  <c r="T17" i="3" s="1"/>
  <c r="S17" i="3"/>
  <c r="W32" i="3"/>
  <c r="V32" i="3"/>
  <c r="U32" i="3"/>
  <c r="AC32" i="3" s="1"/>
  <c r="W28" i="3"/>
  <c r="V28" i="3"/>
  <c r="U28" i="3"/>
  <c r="T28" i="3" s="1"/>
  <c r="W12" i="3"/>
  <c r="V12" i="3"/>
  <c r="U12" i="3"/>
  <c r="AC12" i="3" s="1"/>
  <c r="S12" i="3"/>
  <c r="R12" i="3"/>
  <c r="W24" i="3"/>
  <c r="V24" i="3"/>
  <c r="U24" i="3"/>
  <c r="T24" i="3" s="1"/>
  <c r="S24" i="3"/>
  <c r="R24" i="3"/>
  <c r="W20" i="3"/>
  <c r="V20" i="3"/>
  <c r="U20" i="3"/>
  <c r="AC20" i="3" s="1"/>
  <c r="R20" i="3"/>
  <c r="W13" i="3"/>
  <c r="V13" i="3"/>
  <c r="U13" i="3"/>
  <c r="T13" i="3" s="1"/>
  <c r="R13" i="3"/>
  <c r="W14" i="3"/>
  <c r="V14" i="3"/>
  <c r="U14" i="3"/>
  <c r="AC14" i="3" s="1"/>
  <c r="S14" i="3"/>
  <c r="R14" i="3"/>
  <c r="W27" i="3"/>
  <c r="V27" i="3"/>
  <c r="U27" i="3"/>
  <c r="T27" i="3" s="1"/>
  <c r="W19" i="3"/>
  <c r="V19" i="3"/>
  <c r="U19" i="3"/>
  <c r="AC19" i="3" s="1"/>
  <c r="W23" i="3"/>
  <c r="V23" i="3"/>
  <c r="U23" i="3"/>
  <c r="T23" i="3" s="1"/>
  <c r="S23" i="3"/>
  <c r="N22" i="3"/>
  <c r="M22" i="3"/>
  <c r="N30" i="3"/>
  <c r="M30" i="3"/>
  <c r="N43" i="3"/>
  <c r="M43" i="3"/>
  <c r="N35" i="3"/>
  <c r="M35" i="3"/>
  <c r="N34" i="3"/>
  <c r="M34" i="3"/>
  <c r="N42" i="3"/>
  <c r="M42" i="3"/>
  <c r="N26" i="3"/>
  <c r="M26" i="3"/>
  <c r="N10" i="3"/>
  <c r="M10" i="3"/>
  <c r="N41" i="3"/>
  <c r="M41" i="3"/>
  <c r="N45" i="3"/>
  <c r="M45" i="3"/>
  <c r="N44" i="3"/>
  <c r="M44" i="3"/>
  <c r="N8" i="3"/>
  <c r="M8" i="3"/>
  <c r="N40" i="3"/>
  <c r="M40" i="3"/>
  <c r="N46" i="3"/>
  <c r="M46" i="3"/>
  <c r="N29" i="3"/>
  <c r="M29" i="3"/>
  <c r="N25" i="3"/>
  <c r="M25" i="3"/>
  <c r="N16" i="3"/>
  <c r="M16" i="3"/>
  <c r="N39" i="3"/>
  <c r="M39" i="3"/>
  <c r="N7" i="3"/>
  <c r="M7" i="3"/>
  <c r="N31" i="3"/>
  <c r="M31" i="3"/>
  <c r="N9" i="3"/>
  <c r="M9" i="3"/>
  <c r="N37" i="3"/>
  <c r="M37" i="3"/>
  <c r="N36" i="3"/>
  <c r="M36" i="3"/>
  <c r="N33" i="3"/>
  <c r="M33" i="3"/>
  <c r="N18" i="3"/>
  <c r="M18" i="3"/>
  <c r="N21" i="3"/>
  <c r="M21" i="3"/>
  <c r="N11" i="3"/>
  <c r="M11" i="3"/>
  <c r="N15" i="3"/>
  <c r="M15" i="3"/>
  <c r="N38" i="3"/>
  <c r="M38" i="3"/>
  <c r="N17" i="3"/>
  <c r="M17" i="3"/>
  <c r="N32" i="3"/>
  <c r="M32" i="3"/>
  <c r="N28" i="3"/>
  <c r="M28" i="3"/>
  <c r="N12" i="3"/>
  <c r="M12" i="3"/>
  <c r="N24" i="3"/>
  <c r="M24" i="3"/>
  <c r="N20" i="3"/>
  <c r="M20" i="3"/>
  <c r="N13" i="3"/>
  <c r="M13" i="3"/>
  <c r="N14" i="3"/>
  <c r="M14" i="3"/>
  <c r="N27" i="3"/>
  <c r="M27" i="3"/>
  <c r="N19" i="3"/>
  <c r="M19" i="3"/>
  <c r="N23" i="3"/>
  <c r="M23" i="3"/>
  <c r="Y19" i="3" l="1"/>
  <c r="Y13" i="3"/>
  <c r="Y20" i="3"/>
  <c r="Y32" i="3"/>
  <c r="Y10" i="3"/>
  <c r="Y35" i="3"/>
  <c r="Y15" i="3"/>
  <c r="Y25" i="3"/>
  <c r="Y8" i="3"/>
  <c r="Y23" i="3"/>
  <c r="Y28" i="3"/>
  <c r="Y11" i="3"/>
  <c r="Y33" i="3"/>
  <c r="Y36" i="3"/>
  <c r="Y31" i="3"/>
  <c r="Y7" i="3"/>
  <c r="Y29" i="3"/>
  <c r="Y44" i="3"/>
  <c r="T176" i="1"/>
  <c r="X176" i="1"/>
  <c r="AA144" i="1"/>
  <c r="AA143" i="1"/>
  <c r="T173" i="1"/>
  <c r="X173" i="1"/>
  <c r="R10" i="3"/>
  <c r="T89" i="1"/>
  <c r="U14" i="1"/>
  <c r="S14" i="1" s="1"/>
  <c r="S34" i="3"/>
  <c r="AA213" i="1"/>
  <c r="AA212" i="1"/>
  <c r="X124" i="1"/>
  <c r="AI160" i="1"/>
  <c r="AA21" i="1"/>
  <c r="AI20" i="1"/>
  <c r="AA18" i="1"/>
  <c r="AA16" i="1"/>
  <c r="AA80" i="1"/>
  <c r="W80" i="1" s="1"/>
  <c r="AA78" i="1"/>
  <c r="W78" i="1" s="1"/>
  <c r="AI74" i="1"/>
  <c r="AI66" i="1"/>
  <c r="AA37" i="1"/>
  <c r="AI36" i="1"/>
  <c r="AA183" i="1"/>
  <c r="AI168" i="1"/>
  <c r="AG85" i="1"/>
  <c r="U85" i="1" s="1"/>
  <c r="S85" i="1" s="1"/>
  <c r="T158" i="1"/>
  <c r="R34" i="3"/>
  <c r="T157" i="1"/>
  <c r="T156" i="1"/>
  <c r="X156" i="1"/>
  <c r="R45" i="3"/>
  <c r="AA116" i="1"/>
  <c r="X94" i="1"/>
  <c r="AI86" i="1"/>
  <c r="AA43" i="1"/>
  <c r="AA39" i="1"/>
  <c r="AG22" i="1"/>
  <c r="AI22" i="1" s="1"/>
  <c r="X82" i="1"/>
  <c r="R35" i="3"/>
  <c r="R15" i="3"/>
  <c r="T159" i="1"/>
  <c r="X159" i="1"/>
  <c r="AA159" i="1"/>
  <c r="AG140" i="1"/>
  <c r="U140" i="1" s="1"/>
  <c r="S140" i="1" s="1"/>
  <c r="X140" i="1"/>
  <c r="AI82" i="1"/>
  <c r="AA33" i="1"/>
  <c r="AA32" i="1"/>
  <c r="W32" i="1" s="1"/>
  <c r="AI24" i="1"/>
  <c r="AA15" i="1"/>
  <c r="T128" i="1"/>
  <c r="X128" i="1"/>
  <c r="AA163" i="1"/>
  <c r="AG138" i="1"/>
  <c r="AI138" i="1" s="1"/>
  <c r="AG81" i="1"/>
  <c r="U81" i="1" s="1"/>
  <c r="S81" i="1" s="1"/>
  <c r="X81" i="1"/>
  <c r="AI62" i="1"/>
  <c r="AG38" i="1"/>
  <c r="AG34" i="1"/>
  <c r="AI34" i="1" s="1"/>
  <c r="AA24" i="1"/>
  <c r="W24" i="1" s="1"/>
  <c r="AG19" i="1"/>
  <c r="AI150" i="1"/>
  <c r="AG60" i="1"/>
  <c r="S10" i="3"/>
  <c r="S35" i="3"/>
  <c r="AI209" i="1"/>
  <c r="AA206" i="1"/>
  <c r="W206" i="1" s="1"/>
  <c r="AA202" i="1"/>
  <c r="W202" i="1" s="1"/>
  <c r="AA201" i="1"/>
  <c r="W201" i="1" s="1"/>
  <c r="T132" i="1"/>
  <c r="X132" i="1"/>
  <c r="T131" i="1"/>
  <c r="X131" i="1"/>
  <c r="T130" i="1"/>
  <c r="X130" i="1"/>
  <c r="X129" i="1"/>
  <c r="AA120" i="1"/>
  <c r="AG161" i="1"/>
  <c r="AI54" i="1"/>
  <c r="T15" i="1"/>
  <c r="T103" i="1"/>
  <c r="X103" i="1"/>
  <c r="AG155" i="1"/>
  <c r="AI146" i="1"/>
  <c r="AA145" i="1"/>
  <c r="X117" i="1"/>
  <c r="X116" i="1"/>
  <c r="AA110" i="1"/>
  <c r="T102" i="1"/>
  <c r="X102" i="1"/>
  <c r="X192" i="1"/>
  <c r="AA95" i="1"/>
  <c r="AG173" i="1"/>
  <c r="U173" i="1" s="1"/>
  <c r="S173" i="1" s="1"/>
  <c r="AG165" i="1"/>
  <c r="AG72" i="1"/>
  <c r="U72" i="1" s="1"/>
  <c r="S72" i="1" s="1"/>
  <c r="AG52" i="1"/>
  <c r="S36" i="3"/>
  <c r="AG203" i="1"/>
  <c r="X201" i="1"/>
  <c r="AA155" i="1"/>
  <c r="AA154" i="1"/>
  <c r="W154" i="1" s="1"/>
  <c r="AG144" i="1"/>
  <c r="AA139" i="1"/>
  <c r="AG132" i="1"/>
  <c r="X120" i="1"/>
  <c r="AA118" i="1"/>
  <c r="T116" i="1"/>
  <c r="X113" i="1"/>
  <c r="T105" i="1"/>
  <c r="U105" i="1" s="1"/>
  <c r="S105" i="1" s="1"/>
  <c r="X105" i="1"/>
  <c r="T104" i="1"/>
  <c r="X104" i="1"/>
  <c r="AG98" i="1"/>
  <c r="U98" i="1" s="1"/>
  <c r="S98" i="1" s="1"/>
  <c r="AA96" i="1"/>
  <c r="AA188" i="1"/>
  <c r="AA186" i="1"/>
  <c r="AA174" i="1"/>
  <c r="AA173" i="1"/>
  <c r="AA164" i="1"/>
  <c r="W164" i="1" s="1"/>
  <c r="T93" i="1"/>
  <c r="U93" i="1" s="1"/>
  <c r="S93" i="1" s="1"/>
  <c r="AA88" i="1"/>
  <c r="AA71" i="1"/>
  <c r="AI70" i="1"/>
  <c r="X53" i="1"/>
  <c r="AA52" i="1"/>
  <c r="AA51" i="1"/>
  <c r="AI48" i="1"/>
  <c r="AA205" i="1"/>
  <c r="AG199" i="1"/>
  <c r="U199" i="1" s="1"/>
  <c r="S199" i="1" s="1"/>
  <c r="AA141" i="1"/>
  <c r="W141" i="1" s="1"/>
  <c r="AA132" i="1"/>
  <c r="AA187" i="1"/>
  <c r="X182" i="1"/>
  <c r="AA181" i="1"/>
  <c r="AA175" i="1"/>
  <c r="AG170" i="1"/>
  <c r="AI170" i="1" s="1"/>
  <c r="AA82" i="1"/>
  <c r="AA62" i="1"/>
  <c r="W62" i="1" s="1"/>
  <c r="AI49" i="1"/>
  <c r="AI44" i="1"/>
  <c r="AI40" i="1"/>
  <c r="AG30" i="1"/>
  <c r="U30" i="1" s="1"/>
  <c r="AG16" i="1"/>
  <c r="AI16" i="1" s="1"/>
  <c r="S15" i="3"/>
  <c r="AA210" i="1"/>
  <c r="W210" i="1" s="1"/>
  <c r="X141" i="1"/>
  <c r="AG139" i="1"/>
  <c r="U139" i="1" s="1"/>
  <c r="S139" i="1" s="1"/>
  <c r="X139" i="1"/>
  <c r="AG136" i="1"/>
  <c r="U136" i="1" s="1"/>
  <c r="S136" i="1" s="1"/>
  <c r="AG120" i="1"/>
  <c r="U120" i="1" s="1"/>
  <c r="AA117" i="1"/>
  <c r="W117" i="1" s="1"/>
  <c r="AG116" i="1"/>
  <c r="AA114" i="1"/>
  <c r="AA113" i="1"/>
  <c r="W113" i="1" s="1"/>
  <c r="AG111" i="1"/>
  <c r="AI111" i="1" s="1"/>
  <c r="AA105" i="1"/>
  <c r="W105" i="1" s="1"/>
  <c r="AG104" i="1"/>
  <c r="W104" i="1" s="1"/>
  <c r="AG100" i="1"/>
  <c r="U100" i="1" s="1"/>
  <c r="S100" i="1" s="1"/>
  <c r="AI87" i="1"/>
  <c r="AA58" i="1"/>
  <c r="W58" i="1" s="1"/>
  <c r="T27" i="1"/>
  <c r="U27" i="1" s="1"/>
  <c r="S27" i="1" s="1"/>
  <c r="AA199" i="1"/>
  <c r="AA198" i="1"/>
  <c r="W198" i="1" s="1"/>
  <c r="AA197" i="1"/>
  <c r="W197" i="1" s="1"/>
  <c r="AI164" i="1"/>
  <c r="AA121" i="1"/>
  <c r="AG181" i="1"/>
  <c r="U181" i="1" s="1"/>
  <c r="S181" i="1" s="1"/>
  <c r="AA170" i="1"/>
  <c r="W170" i="1" s="1"/>
  <c r="AA169" i="1"/>
  <c r="W169" i="1" s="1"/>
  <c r="AG77" i="1"/>
  <c r="U77" i="1" s="1"/>
  <c r="S77" i="1" s="1"/>
  <c r="X77" i="1"/>
  <c r="AA28" i="1"/>
  <c r="W28" i="1" s="1"/>
  <c r="N31" i="1"/>
  <c r="AA31" i="1"/>
  <c r="X121" i="1"/>
  <c r="AA109" i="1"/>
  <c r="T192" i="1"/>
  <c r="T189" i="1"/>
  <c r="AA171" i="1"/>
  <c r="W171" i="1" s="1"/>
  <c r="AA168" i="1"/>
  <c r="W168" i="1" s="1"/>
  <c r="AA167" i="1"/>
  <c r="W167" i="1" s="1"/>
  <c r="AA161" i="1"/>
  <c r="AA160" i="1"/>
  <c r="W160" i="1" s="1"/>
  <c r="X89" i="1"/>
  <c r="AA87" i="1"/>
  <c r="W87" i="1" s="1"/>
  <c r="X78" i="1"/>
  <c r="AA74" i="1"/>
  <c r="W74" i="1" s="1"/>
  <c r="AA70" i="1"/>
  <c r="W70" i="1" s="1"/>
  <c r="T57" i="1"/>
  <c r="AA54" i="1"/>
  <c r="W54" i="1" s="1"/>
  <c r="AA25" i="1"/>
  <c r="AA20" i="1"/>
  <c r="W20" i="1" s="1"/>
  <c r="AA211" i="1"/>
  <c r="AG205" i="1"/>
  <c r="AG195" i="1"/>
  <c r="U195" i="1" s="1"/>
  <c r="S195" i="1" s="1"/>
  <c r="AG157" i="1"/>
  <c r="AI157" i="1" s="1"/>
  <c r="AG152" i="1"/>
  <c r="X152" i="1"/>
  <c r="AG149" i="1"/>
  <c r="U149" i="1" s="1"/>
  <c r="S149" i="1" s="1"/>
  <c r="AA147" i="1"/>
  <c r="AA146" i="1"/>
  <c r="W146" i="1" s="1"/>
  <c r="AG135" i="1"/>
  <c r="U135" i="1" s="1"/>
  <c r="X135" i="1"/>
  <c r="AA134" i="1"/>
  <c r="W134" i="1" s="1"/>
  <c r="AG131" i="1"/>
  <c r="U131" i="1" s="1"/>
  <c r="S131" i="1" s="1"/>
  <c r="AA130" i="1"/>
  <c r="AG128" i="1"/>
  <c r="X125" i="1"/>
  <c r="AA125" i="1"/>
  <c r="W125" i="1" s="1"/>
  <c r="AA124" i="1"/>
  <c r="T124" i="1"/>
  <c r="AA107" i="1"/>
  <c r="AA106" i="1"/>
  <c r="X100" i="1"/>
  <c r="AA192" i="1"/>
  <c r="T185" i="1"/>
  <c r="U185" i="1" s="1"/>
  <c r="S185" i="1" s="1"/>
  <c r="T182" i="1"/>
  <c r="X177" i="1"/>
  <c r="AA176" i="1"/>
  <c r="AA86" i="1"/>
  <c r="W86" i="1" s="1"/>
  <c r="W82" i="1"/>
  <c r="X66" i="1"/>
  <c r="T65" i="1"/>
  <c r="AI58" i="1"/>
  <c r="AA57" i="1"/>
  <c r="W57" i="1" s="1"/>
  <c r="T47" i="1"/>
  <c r="AA44" i="1"/>
  <c r="W44" i="1" s="1"/>
  <c r="AA41" i="1"/>
  <c r="AA36" i="1"/>
  <c r="W36" i="1" s="1"/>
  <c r="AA19" i="1"/>
  <c r="T19" i="1"/>
  <c r="AG213" i="1"/>
  <c r="AI203" i="1"/>
  <c r="AA73" i="1"/>
  <c r="AG69" i="1"/>
  <c r="U69" i="1" s="1"/>
  <c r="S69" i="1" s="1"/>
  <c r="X54" i="1"/>
  <c r="AG210" i="1"/>
  <c r="X210" i="1"/>
  <c r="X196" i="1"/>
  <c r="AA195" i="1"/>
  <c r="W195" i="1" s="1"/>
  <c r="AA194" i="1"/>
  <c r="W194" i="1" s="1"/>
  <c r="AI154" i="1"/>
  <c r="X153" i="1"/>
  <c r="AA153" i="1"/>
  <c r="AA152" i="1"/>
  <c r="AG147" i="1"/>
  <c r="U147" i="1" s="1"/>
  <c r="S147" i="1" s="1"/>
  <c r="AI142" i="1"/>
  <c r="AA140" i="1"/>
  <c r="W140" i="1" s="1"/>
  <c r="X136" i="1"/>
  <c r="AA135" i="1"/>
  <c r="W135" i="1" s="1"/>
  <c r="AG130" i="1"/>
  <c r="AI130" i="1" s="1"/>
  <c r="AA128" i="1"/>
  <c r="AG124" i="1"/>
  <c r="AG121" i="1"/>
  <c r="AG107" i="1"/>
  <c r="U107" i="1" s="1"/>
  <c r="S107" i="1" s="1"/>
  <c r="AA208" i="1"/>
  <c r="AG102" i="1"/>
  <c r="AG99" i="1"/>
  <c r="X99" i="1"/>
  <c r="AA98" i="1"/>
  <c r="AA97" i="1"/>
  <c r="AG185" i="1"/>
  <c r="AA184" i="1"/>
  <c r="AG182" i="1"/>
  <c r="AI182" i="1" s="1"/>
  <c r="AA179" i="1"/>
  <c r="W179" i="1" s="1"/>
  <c r="T177" i="1"/>
  <c r="AA165" i="1"/>
  <c r="W165" i="1" s="1"/>
  <c r="AA162" i="1"/>
  <c r="T160" i="1"/>
  <c r="AG88" i="1"/>
  <c r="AI88" i="1" s="1"/>
  <c r="X88" i="1"/>
  <c r="AA83" i="1"/>
  <c r="AI78" i="1"/>
  <c r="AA66" i="1"/>
  <c r="AG65" i="1"/>
  <c r="AI65" i="1" s="1"/>
  <c r="AA63" i="1"/>
  <c r="AA61" i="1"/>
  <c r="AA60" i="1"/>
  <c r="AA59" i="1"/>
  <c r="AA49" i="1"/>
  <c r="W49" i="1" s="1"/>
  <c r="AG47" i="1"/>
  <c r="U47" i="1" s="1"/>
  <c r="S47" i="1" s="1"/>
  <c r="AA40" i="1"/>
  <c r="AA35" i="1"/>
  <c r="W35" i="1" s="1"/>
  <c r="AI32" i="1"/>
  <c r="AI28" i="1"/>
  <c r="AA23" i="1"/>
  <c r="AI113" i="1"/>
  <c r="T201" i="1"/>
  <c r="U201" i="1" s="1"/>
  <c r="S201" i="1" s="1"/>
  <c r="X197" i="1"/>
  <c r="U155" i="1"/>
  <c r="S155" i="1" s="1"/>
  <c r="X149" i="1"/>
  <c r="W144" i="1"/>
  <c r="W138" i="1"/>
  <c r="AA137" i="1"/>
  <c r="AG134" i="1"/>
  <c r="U121" i="1"/>
  <c r="S121" i="1" s="1"/>
  <c r="T109" i="1"/>
  <c r="AA214" i="1"/>
  <c r="T214" i="1"/>
  <c r="AG211" i="1"/>
  <c r="X211" i="1"/>
  <c r="T205" i="1"/>
  <c r="U205" i="1" s="1"/>
  <c r="S205" i="1" s="1"/>
  <c r="T204" i="1"/>
  <c r="U203" i="1"/>
  <c r="S203" i="1" s="1"/>
  <c r="AG200" i="1"/>
  <c r="U200" i="1" s="1"/>
  <c r="S200" i="1" s="1"/>
  <c r="X200" i="1"/>
  <c r="AA196" i="1"/>
  <c r="T196" i="1"/>
  <c r="AG159" i="1"/>
  <c r="AA158" i="1"/>
  <c r="AA157" i="1"/>
  <c r="AG156" i="1"/>
  <c r="AI156" i="1" s="1"/>
  <c r="T153" i="1"/>
  <c r="AG151" i="1"/>
  <c r="AA148" i="1"/>
  <c r="T145" i="1"/>
  <c r="AA142" i="1"/>
  <c r="W142" i="1" s="1"/>
  <c r="U138" i="1"/>
  <c r="AA126" i="1"/>
  <c r="T125" i="1"/>
  <c r="U125" i="1" s="1"/>
  <c r="S125" i="1" s="1"/>
  <c r="AG123" i="1"/>
  <c r="U123" i="1" s="1"/>
  <c r="S123" i="1" s="1"/>
  <c r="AA119" i="1"/>
  <c r="AA115" i="1"/>
  <c r="AA112" i="1"/>
  <c r="T112" i="1"/>
  <c r="AG109" i="1"/>
  <c r="AG108" i="1"/>
  <c r="U108" i="1" s="1"/>
  <c r="S108" i="1" s="1"/>
  <c r="X108" i="1"/>
  <c r="AA207" i="1"/>
  <c r="AG103" i="1"/>
  <c r="T197" i="1"/>
  <c r="U197" i="1" s="1"/>
  <c r="S197" i="1" s="1"/>
  <c r="T117" i="1"/>
  <c r="U117" i="1" s="1"/>
  <c r="S117" i="1" s="1"/>
  <c r="W116" i="1"/>
  <c r="T113" i="1"/>
  <c r="U113" i="1" s="1"/>
  <c r="S113" i="1" s="1"/>
  <c r="AG208" i="1"/>
  <c r="AG214" i="1"/>
  <c r="AI214" i="1" s="1"/>
  <c r="AA209" i="1"/>
  <c r="W209" i="1" s="1"/>
  <c r="AG204" i="1"/>
  <c r="AI204" i="1" s="1"/>
  <c r="AA200" i="1"/>
  <c r="AG196" i="1"/>
  <c r="AG158" i="1"/>
  <c r="U158" i="1" s="1"/>
  <c r="S158" i="1" s="1"/>
  <c r="AA156" i="1"/>
  <c r="AG153" i="1"/>
  <c r="AA151" i="1"/>
  <c r="AA150" i="1"/>
  <c r="W150" i="1" s="1"/>
  <c r="AA149" i="1"/>
  <c r="AG148" i="1"/>
  <c r="AG145" i="1"/>
  <c r="T141" i="1"/>
  <c r="U141" i="1" s="1"/>
  <c r="S141" i="1" s="1"/>
  <c r="AA133" i="1"/>
  <c r="AA131" i="1"/>
  <c r="AA129" i="1"/>
  <c r="AG127" i="1"/>
  <c r="AA123" i="1"/>
  <c r="AA122" i="1"/>
  <c r="AG119" i="1"/>
  <c r="U119" i="1" s="1"/>
  <c r="S119" i="1" s="1"/>
  <c r="AG115" i="1"/>
  <c r="U115" i="1" s="1"/>
  <c r="S115" i="1" s="1"/>
  <c r="AG112" i="1"/>
  <c r="AI112" i="1" s="1"/>
  <c r="AA108" i="1"/>
  <c r="AI105" i="1"/>
  <c r="AA103" i="1"/>
  <c r="AA100" i="1"/>
  <c r="U99" i="1"/>
  <c r="S99" i="1" s="1"/>
  <c r="AI99" i="1"/>
  <c r="AA101" i="1"/>
  <c r="X193" i="1"/>
  <c r="AA191" i="1"/>
  <c r="AA190" i="1"/>
  <c r="X96" i="1"/>
  <c r="AG189" i="1"/>
  <c r="T174" i="1"/>
  <c r="X170" i="1"/>
  <c r="AA94" i="1"/>
  <c r="T167" i="1"/>
  <c r="U167" i="1" s="1"/>
  <c r="S167" i="1" s="1"/>
  <c r="AG163" i="1"/>
  <c r="AI163" i="1" s="1"/>
  <c r="X86" i="1"/>
  <c r="T78" i="1"/>
  <c r="X74" i="1"/>
  <c r="X69" i="1"/>
  <c r="T66" i="1"/>
  <c r="U66" i="1" s="1"/>
  <c r="S66" i="1" s="1"/>
  <c r="X57" i="1"/>
  <c r="T54" i="1"/>
  <c r="U54" i="1" s="1"/>
  <c r="S54" i="1" s="1"/>
  <c r="W52" i="1"/>
  <c r="T43" i="1"/>
  <c r="W193" i="1"/>
  <c r="AA93" i="1"/>
  <c r="W93" i="1" s="1"/>
  <c r="AA91" i="1"/>
  <c r="AA89" i="1"/>
  <c r="W89" i="1" s="1"/>
  <c r="AA81" i="1"/>
  <c r="AA79" i="1"/>
  <c r="AA77" i="1"/>
  <c r="AG76" i="1"/>
  <c r="U76" i="1" s="1"/>
  <c r="S76" i="1" s="1"/>
  <c r="AG73" i="1"/>
  <c r="X73" i="1"/>
  <c r="T70" i="1"/>
  <c r="U70" i="1" s="1"/>
  <c r="S70" i="1" s="1"/>
  <c r="AA68" i="1"/>
  <c r="AA67" i="1"/>
  <c r="AA65" i="1"/>
  <c r="W65" i="1" s="1"/>
  <c r="AG64" i="1"/>
  <c r="U64" i="1" s="1"/>
  <c r="S64" i="1" s="1"/>
  <c r="X62" i="1"/>
  <c r="AG61" i="1"/>
  <c r="X61" i="1"/>
  <c r="T58" i="1"/>
  <c r="U58" i="1" s="1"/>
  <c r="S58" i="1" s="1"/>
  <c r="AA55" i="1"/>
  <c r="AA53" i="1"/>
  <c r="T53" i="1"/>
  <c r="AA46" i="1"/>
  <c r="W46" i="1" s="1"/>
  <c r="AA45" i="1"/>
  <c r="X44" i="1"/>
  <c r="AG43" i="1"/>
  <c r="AI43" i="1" s="1"/>
  <c r="AG42" i="1"/>
  <c r="U42" i="1" s="1"/>
  <c r="S42" i="1" s="1"/>
  <c r="T39" i="1"/>
  <c r="AG31" i="1"/>
  <c r="X31" i="1"/>
  <c r="AA27" i="1"/>
  <c r="W27" i="1" s="1"/>
  <c r="AG26" i="1"/>
  <c r="U26" i="1" s="1"/>
  <c r="T23" i="1"/>
  <c r="AA17" i="1"/>
  <c r="AG15" i="1"/>
  <c r="T193" i="1"/>
  <c r="U193" i="1" s="1"/>
  <c r="S193" i="1" s="1"/>
  <c r="AG191" i="1"/>
  <c r="AI191" i="1" s="1"/>
  <c r="T96" i="1"/>
  <c r="U96" i="1" s="1"/>
  <c r="S96" i="1" s="1"/>
  <c r="AA180" i="1"/>
  <c r="AA177" i="1"/>
  <c r="AG176" i="1"/>
  <c r="AI176" i="1" s="1"/>
  <c r="AG174" i="1"/>
  <c r="W174" i="1" s="1"/>
  <c r="T164" i="1"/>
  <c r="X160" i="1"/>
  <c r="AA90" i="1"/>
  <c r="U89" i="1"/>
  <c r="S89" i="1" s="1"/>
  <c r="T86" i="1"/>
  <c r="U86" i="1" s="1"/>
  <c r="S86" i="1" s="1"/>
  <c r="T74" i="1"/>
  <c r="U74" i="1" s="1"/>
  <c r="S74" i="1" s="1"/>
  <c r="T48" i="1"/>
  <c r="U48" i="1" s="1"/>
  <c r="S48" i="1" s="1"/>
  <c r="X27" i="1"/>
  <c r="AG18" i="1"/>
  <c r="U18" i="1" s="1"/>
  <c r="S18" i="1" s="1"/>
  <c r="AA14" i="1"/>
  <c r="W14" i="1" s="1"/>
  <c r="AA102" i="1"/>
  <c r="AA99" i="1"/>
  <c r="AG192" i="1"/>
  <c r="AA189" i="1"/>
  <c r="AG188" i="1"/>
  <c r="AI188" i="1" s="1"/>
  <c r="AA185" i="1"/>
  <c r="AA182" i="1"/>
  <c r="AA178" i="1"/>
  <c r="W178" i="1" s="1"/>
  <c r="AG177" i="1"/>
  <c r="AI177" i="1" s="1"/>
  <c r="AA172" i="1"/>
  <c r="X171" i="1"/>
  <c r="X167" i="1"/>
  <c r="AA85" i="1"/>
  <c r="T82" i="1"/>
  <c r="U82" i="1" s="1"/>
  <c r="S82" i="1" s="1"/>
  <c r="AA76" i="1"/>
  <c r="AA75" i="1"/>
  <c r="W75" i="1" s="1"/>
  <c r="X70" i="1"/>
  <c r="AA69" i="1"/>
  <c r="AG68" i="1"/>
  <c r="AI68" i="1" s="1"/>
  <c r="T62" i="1"/>
  <c r="U62" i="1" s="1"/>
  <c r="S62" i="1" s="1"/>
  <c r="X58" i="1"/>
  <c r="AG56" i="1"/>
  <c r="U56" i="1" s="1"/>
  <c r="S56" i="1" s="1"/>
  <c r="AG53" i="1"/>
  <c r="AI53" i="1" s="1"/>
  <c r="AG50" i="1"/>
  <c r="AI50" i="1" s="1"/>
  <c r="X50" i="1"/>
  <c r="AA48" i="1"/>
  <c r="W48" i="1" s="1"/>
  <c r="AA47" i="1"/>
  <c r="AG46" i="1"/>
  <c r="AI46" i="1" s="1"/>
  <c r="T44" i="1"/>
  <c r="AA42" i="1"/>
  <c r="AG39" i="1"/>
  <c r="W39" i="1" s="1"/>
  <c r="AA29" i="1"/>
  <c r="AA26" i="1"/>
  <c r="AG23" i="1"/>
  <c r="W23" i="1" s="1"/>
  <c r="U210" i="1"/>
  <c r="S210" i="1" s="1"/>
  <c r="U214" i="1"/>
  <c r="S214" i="1" s="1"/>
  <c r="AI206" i="1"/>
  <c r="AI205" i="1"/>
  <c r="AI196" i="1"/>
  <c r="U151" i="1"/>
  <c r="S151" i="1" s="1"/>
  <c r="X213" i="1"/>
  <c r="AG212" i="1"/>
  <c r="AI210" i="1"/>
  <c r="T206" i="1"/>
  <c r="U206" i="1" s="1"/>
  <c r="S206" i="1" s="1"/>
  <c r="AA204" i="1"/>
  <c r="U204" i="1"/>
  <c r="S204" i="1" s="1"/>
  <c r="AA203" i="1"/>
  <c r="W203" i="1" s="1"/>
  <c r="X212" i="1"/>
  <c r="T209" i="1"/>
  <c r="U209" i="1" s="1"/>
  <c r="S209" i="1" s="1"/>
  <c r="X209" i="1"/>
  <c r="X206" i="1"/>
  <c r="X202" i="1"/>
  <c r="T202" i="1"/>
  <c r="U202" i="1" s="1"/>
  <c r="S202" i="1" s="1"/>
  <c r="AI201" i="1"/>
  <c r="X198" i="1"/>
  <c r="T198" i="1"/>
  <c r="U198" i="1" s="1"/>
  <c r="S198" i="1" s="1"/>
  <c r="AI197" i="1"/>
  <c r="X194" i="1"/>
  <c r="T194" i="1"/>
  <c r="U194" i="1" s="1"/>
  <c r="S194" i="1" s="1"/>
  <c r="AI193" i="1"/>
  <c r="U157" i="1"/>
  <c r="S157" i="1" s="1"/>
  <c r="AI189" i="1"/>
  <c r="X154" i="1"/>
  <c r="T154" i="1"/>
  <c r="U154" i="1" s="1"/>
  <c r="S154" i="1" s="1"/>
  <c r="AI185" i="1"/>
  <c r="X150" i="1"/>
  <c r="T150" i="1"/>
  <c r="U150" i="1" s="1"/>
  <c r="S150" i="1" s="1"/>
  <c r="X146" i="1"/>
  <c r="T146" i="1"/>
  <c r="U146" i="1" s="1"/>
  <c r="S146" i="1" s="1"/>
  <c r="T133" i="1"/>
  <c r="X133" i="1"/>
  <c r="AG133" i="1"/>
  <c r="W133" i="1" s="1"/>
  <c r="AA127" i="1"/>
  <c r="T118" i="1"/>
  <c r="X118" i="1"/>
  <c r="AG118" i="1"/>
  <c r="AI118" i="1" s="1"/>
  <c r="AA111" i="1"/>
  <c r="W111" i="1" s="1"/>
  <c r="AI140" i="1"/>
  <c r="T207" i="1"/>
  <c r="X207" i="1"/>
  <c r="AG207" i="1"/>
  <c r="AI207" i="1" s="1"/>
  <c r="U152" i="1"/>
  <c r="S152" i="1" s="1"/>
  <c r="U148" i="1"/>
  <c r="S148" i="1" s="1"/>
  <c r="U144" i="1"/>
  <c r="S144" i="1" s="1"/>
  <c r="T142" i="1"/>
  <c r="U142" i="1" s="1"/>
  <c r="S142" i="1" s="1"/>
  <c r="X142" i="1"/>
  <c r="T129" i="1"/>
  <c r="AG129" i="1"/>
  <c r="AI152" i="1"/>
  <c r="T114" i="1"/>
  <c r="X114" i="1"/>
  <c r="AG114" i="1"/>
  <c r="AI114" i="1" s="1"/>
  <c r="AI136" i="1"/>
  <c r="T101" i="1"/>
  <c r="X101" i="1"/>
  <c r="AG101" i="1"/>
  <c r="AI101" i="1" s="1"/>
  <c r="W96" i="1"/>
  <c r="X148" i="1"/>
  <c r="X144" i="1"/>
  <c r="AG143" i="1"/>
  <c r="T126" i="1"/>
  <c r="X126" i="1"/>
  <c r="AG126" i="1"/>
  <c r="AI148" i="1"/>
  <c r="T110" i="1"/>
  <c r="X110" i="1"/>
  <c r="AG110" i="1"/>
  <c r="AI127" i="1"/>
  <c r="X203" i="1"/>
  <c r="AI202" i="1"/>
  <c r="X199" i="1"/>
  <c r="AI198" i="1"/>
  <c r="X195" i="1"/>
  <c r="AI194" i="1"/>
  <c r="X155" i="1"/>
  <c r="X151" i="1"/>
  <c r="X147" i="1"/>
  <c r="AI179" i="1"/>
  <c r="X143" i="1"/>
  <c r="S138" i="1"/>
  <c r="T137" i="1"/>
  <c r="X137" i="1"/>
  <c r="AG137" i="1"/>
  <c r="W137" i="1" s="1"/>
  <c r="U127" i="1"/>
  <c r="S127" i="1" s="1"/>
  <c r="T122" i="1"/>
  <c r="X122" i="1"/>
  <c r="AG122" i="1"/>
  <c r="AI122" i="1" s="1"/>
  <c r="U112" i="1"/>
  <c r="S112" i="1" s="1"/>
  <c r="AI144" i="1"/>
  <c r="T106" i="1"/>
  <c r="AG106" i="1"/>
  <c r="W102" i="1"/>
  <c r="T172" i="1"/>
  <c r="X172" i="1"/>
  <c r="T166" i="1"/>
  <c r="AI93" i="1"/>
  <c r="AI76" i="1"/>
  <c r="AI60" i="1"/>
  <c r="X138" i="1"/>
  <c r="AI171" i="1"/>
  <c r="S135" i="1"/>
  <c r="X134" i="1"/>
  <c r="AI167" i="1"/>
  <c r="X127" i="1"/>
  <c r="AI159" i="1"/>
  <c r="X123" i="1"/>
  <c r="S120" i="1"/>
  <c r="X119" i="1"/>
  <c r="AI153" i="1"/>
  <c r="X115" i="1"/>
  <c r="AI149" i="1"/>
  <c r="X111" i="1"/>
  <c r="X107" i="1"/>
  <c r="AI141" i="1"/>
  <c r="X208" i="1"/>
  <c r="X98" i="1"/>
  <c r="AG97" i="1"/>
  <c r="AI129" i="1"/>
  <c r="X191" i="1"/>
  <c r="AG190" i="1"/>
  <c r="AI190" i="1" s="1"/>
  <c r="X188" i="1"/>
  <c r="AG187" i="1"/>
  <c r="AI187" i="1" s="1"/>
  <c r="AG184" i="1"/>
  <c r="AI184" i="1" s="1"/>
  <c r="X181" i="1"/>
  <c r="AG180" i="1"/>
  <c r="T178" i="1"/>
  <c r="U178" i="1" s="1"/>
  <c r="S178" i="1" s="1"/>
  <c r="T175" i="1"/>
  <c r="AG172" i="1"/>
  <c r="AI172" i="1" s="1"/>
  <c r="T94" i="1"/>
  <c r="AG166" i="1"/>
  <c r="AI166" i="1" s="1"/>
  <c r="X166" i="1"/>
  <c r="AG162" i="1"/>
  <c r="W162" i="1" s="1"/>
  <c r="X163" i="1"/>
  <c r="T162" i="1"/>
  <c r="X162" i="1"/>
  <c r="U161" i="1"/>
  <c r="S161" i="1" s="1"/>
  <c r="X92" i="1"/>
  <c r="AG92" i="1"/>
  <c r="X93" i="1"/>
  <c r="AG90" i="1"/>
  <c r="W90" i="1" s="1"/>
  <c r="T90" i="1"/>
  <c r="X90" i="1"/>
  <c r="X97" i="1"/>
  <c r="X190" i="1"/>
  <c r="AI125" i="1"/>
  <c r="AG186" i="1"/>
  <c r="AI186" i="1" s="1"/>
  <c r="AI121" i="1"/>
  <c r="AG183" i="1"/>
  <c r="AI117" i="1"/>
  <c r="X180" i="1"/>
  <c r="AG95" i="1"/>
  <c r="AI95" i="1" s="1"/>
  <c r="T179" i="1"/>
  <c r="U179" i="1" s="1"/>
  <c r="S179" i="1" s="1"/>
  <c r="X179" i="1"/>
  <c r="X178" i="1"/>
  <c r="AG175" i="1"/>
  <c r="AI175" i="1" s="1"/>
  <c r="AG94" i="1"/>
  <c r="W94" i="1" s="1"/>
  <c r="T168" i="1"/>
  <c r="U168" i="1" s="1"/>
  <c r="S168" i="1" s="1"/>
  <c r="U165" i="1"/>
  <c r="S165" i="1" s="1"/>
  <c r="U164" i="1"/>
  <c r="S164" i="1" s="1"/>
  <c r="AI97" i="1"/>
  <c r="AI85" i="1"/>
  <c r="W66" i="1"/>
  <c r="T45" i="1"/>
  <c r="X45" i="1"/>
  <c r="AG45" i="1"/>
  <c r="W45" i="1" s="1"/>
  <c r="X46" i="1"/>
  <c r="X95" i="1"/>
  <c r="T171" i="1"/>
  <c r="U171" i="1" s="1"/>
  <c r="S171" i="1" s="1"/>
  <c r="T169" i="1"/>
  <c r="U169" i="1" s="1"/>
  <c r="S169" i="1" s="1"/>
  <c r="X169" i="1"/>
  <c r="X168" i="1"/>
  <c r="AA166" i="1"/>
  <c r="X164" i="1"/>
  <c r="U160" i="1"/>
  <c r="S160" i="1" s="1"/>
  <c r="T92" i="1"/>
  <c r="T79" i="1"/>
  <c r="X79" i="1"/>
  <c r="AG79" i="1"/>
  <c r="T75" i="1"/>
  <c r="X75" i="1"/>
  <c r="AG75" i="1"/>
  <c r="T59" i="1"/>
  <c r="X59" i="1"/>
  <c r="AG59" i="1"/>
  <c r="U50" i="1"/>
  <c r="S50" i="1" s="1"/>
  <c r="U34" i="1"/>
  <c r="S34" i="1" s="1"/>
  <c r="T91" i="1"/>
  <c r="X91" i="1"/>
  <c r="T84" i="1"/>
  <c r="X84" i="1"/>
  <c r="AI80" i="1"/>
  <c r="T67" i="1"/>
  <c r="X67" i="1"/>
  <c r="AG67" i="1"/>
  <c r="AI52" i="1"/>
  <c r="T51" i="1"/>
  <c r="X51" i="1"/>
  <c r="AG51" i="1"/>
  <c r="X165" i="1"/>
  <c r="X161" i="1"/>
  <c r="AA92" i="1"/>
  <c r="AG91" i="1"/>
  <c r="AI89" i="1"/>
  <c r="AG84" i="1"/>
  <c r="AA72" i="1"/>
  <c r="W72" i="1" s="1"/>
  <c r="T63" i="1"/>
  <c r="X63" i="1"/>
  <c r="AG63" i="1"/>
  <c r="AA56" i="1"/>
  <c r="U52" i="1"/>
  <c r="S52" i="1" s="1"/>
  <c r="W40" i="1"/>
  <c r="T33" i="1"/>
  <c r="X33" i="1"/>
  <c r="AG33" i="1"/>
  <c r="W33" i="1" s="1"/>
  <c r="T87" i="1"/>
  <c r="U87" i="1" s="1"/>
  <c r="S87" i="1" s="1"/>
  <c r="X87" i="1"/>
  <c r="X85" i="1"/>
  <c r="AA84" i="1"/>
  <c r="T83" i="1"/>
  <c r="X83" i="1"/>
  <c r="AG83" i="1"/>
  <c r="W81" i="1"/>
  <c r="T80" i="1"/>
  <c r="U80" i="1" s="1"/>
  <c r="S80" i="1" s="1"/>
  <c r="X80" i="1"/>
  <c r="U78" i="1"/>
  <c r="S78" i="1" s="1"/>
  <c r="T71" i="1"/>
  <c r="X71" i="1"/>
  <c r="AG71" i="1"/>
  <c r="AA64" i="1"/>
  <c r="T55" i="1"/>
  <c r="X55" i="1"/>
  <c r="AG55" i="1"/>
  <c r="AI47" i="1"/>
  <c r="U73" i="1"/>
  <c r="S73" i="1" s="1"/>
  <c r="U61" i="1"/>
  <c r="S61" i="1" s="1"/>
  <c r="U57" i="1"/>
  <c r="S57" i="1" s="1"/>
  <c r="AA38" i="1"/>
  <c r="W38" i="1" s="1"/>
  <c r="S30" i="1"/>
  <c r="T29" i="1"/>
  <c r="X29" i="1"/>
  <c r="AG29" i="1"/>
  <c r="AA22" i="1"/>
  <c r="W22" i="1" s="1"/>
  <c r="T17" i="1"/>
  <c r="X17" i="1"/>
  <c r="AG17" i="1"/>
  <c r="X76" i="1"/>
  <c r="AI73" i="1"/>
  <c r="X72" i="1"/>
  <c r="AI69" i="1"/>
  <c r="X68" i="1"/>
  <c r="X64" i="1"/>
  <c r="AI61" i="1"/>
  <c r="X60" i="1"/>
  <c r="AI57" i="1"/>
  <c r="X56" i="1"/>
  <c r="X52" i="1"/>
  <c r="T49" i="1"/>
  <c r="U49" i="1" s="1"/>
  <c r="S49" i="1" s="1"/>
  <c r="X49" i="1"/>
  <c r="X48" i="1"/>
  <c r="AI38" i="1"/>
  <c r="T37" i="1"/>
  <c r="X37" i="1"/>
  <c r="AG37" i="1"/>
  <c r="AA30" i="1"/>
  <c r="W30" i="1" s="1"/>
  <c r="T21" i="1"/>
  <c r="X21" i="1"/>
  <c r="AG21" i="1"/>
  <c r="AA50" i="1"/>
  <c r="U44" i="1"/>
  <c r="S44" i="1" s="1"/>
  <c r="AI42" i="1"/>
  <c r="T41" i="1"/>
  <c r="X41" i="1"/>
  <c r="AG41" i="1"/>
  <c r="U38" i="1"/>
  <c r="S38" i="1" s="1"/>
  <c r="AA34" i="1"/>
  <c r="S26" i="1"/>
  <c r="T25" i="1"/>
  <c r="X25" i="1"/>
  <c r="AG25" i="1"/>
  <c r="AI14" i="1"/>
  <c r="X40" i="1"/>
  <c r="T40" i="1"/>
  <c r="U40" i="1" s="1"/>
  <c r="S40" i="1" s="1"/>
  <c r="X36" i="1"/>
  <c r="T36" i="1"/>
  <c r="U36" i="1" s="1"/>
  <c r="S36" i="1" s="1"/>
  <c r="U35" i="1"/>
  <c r="S35" i="1" s="1"/>
  <c r="X32" i="1"/>
  <c r="T32" i="1"/>
  <c r="U32" i="1" s="1"/>
  <c r="U31" i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X16" i="1"/>
  <c r="X42" i="1"/>
  <c r="X38" i="1"/>
  <c r="AI35" i="1"/>
  <c r="X34" i="1"/>
  <c r="AI31" i="1"/>
  <c r="X30" i="1"/>
  <c r="AI27" i="1"/>
  <c r="X26" i="1"/>
  <c r="X22" i="1"/>
  <c r="AI19" i="1"/>
  <c r="X18" i="1"/>
  <c r="Y30" i="3"/>
  <c r="AC42" i="3"/>
  <c r="AC23" i="3"/>
  <c r="AC28" i="3"/>
  <c r="AC33" i="3"/>
  <c r="AC25" i="3"/>
  <c r="AC10" i="3"/>
  <c r="AC27" i="3"/>
  <c r="AC17" i="3"/>
  <c r="AC37" i="3"/>
  <c r="AC46" i="3"/>
  <c r="Y27" i="3"/>
  <c r="Y24" i="3"/>
  <c r="Y17" i="3"/>
  <c r="Y21" i="3"/>
  <c r="Y37" i="3"/>
  <c r="Y39" i="3"/>
  <c r="Y46" i="3"/>
  <c r="Y45" i="3"/>
  <c r="Y42" i="3"/>
  <c r="AC13" i="3"/>
  <c r="AC15" i="3"/>
  <c r="AC31" i="3"/>
  <c r="AC8" i="3"/>
  <c r="AC35" i="3"/>
  <c r="Y14" i="3"/>
  <c r="Y12" i="3"/>
  <c r="Y38" i="3"/>
  <c r="Y18" i="3"/>
  <c r="Y9" i="3"/>
  <c r="Y16" i="3"/>
  <c r="Y40" i="3"/>
  <c r="Y41" i="3"/>
  <c r="Y34" i="3"/>
  <c r="Y22" i="3"/>
  <c r="AC24" i="3"/>
  <c r="AC21" i="3"/>
  <c r="AC39" i="3"/>
  <c r="AC45" i="3"/>
  <c r="AC30" i="3"/>
  <c r="T19" i="3"/>
  <c r="T14" i="3"/>
  <c r="T20" i="3"/>
  <c r="T12" i="3"/>
  <c r="T32" i="3"/>
  <c r="T38" i="3"/>
  <c r="T11" i="3"/>
  <c r="T18" i="3"/>
  <c r="T36" i="3"/>
  <c r="T9" i="3"/>
  <c r="T7" i="3"/>
  <c r="T16" i="3"/>
  <c r="T29" i="3"/>
  <c r="T40" i="3"/>
  <c r="T44" i="3"/>
  <c r="T41" i="3"/>
  <c r="T26" i="3"/>
  <c r="T34" i="3"/>
  <c r="T43" i="3"/>
  <c r="T22" i="3"/>
  <c r="W47" i="3"/>
  <c r="V47" i="3"/>
  <c r="U47" i="3"/>
  <c r="AC47" i="3" s="1"/>
  <c r="S47" i="3"/>
  <c r="R47" i="3"/>
  <c r="N47" i="3"/>
  <c r="M47" i="3"/>
  <c r="W37" i="1" l="1"/>
  <c r="U46" i="1"/>
  <c r="S46" i="1" s="1"/>
  <c r="W64" i="1"/>
  <c r="U22" i="1"/>
  <c r="S22" i="1" s="1"/>
  <c r="W145" i="1"/>
  <c r="W115" i="1"/>
  <c r="W213" i="1"/>
  <c r="W50" i="1"/>
  <c r="W176" i="1"/>
  <c r="U188" i="1"/>
  <c r="S188" i="1" s="1"/>
  <c r="W127" i="1"/>
  <c r="W85" i="1"/>
  <c r="W182" i="1"/>
  <c r="U192" i="1"/>
  <c r="U15" i="1"/>
  <c r="S15" i="1" s="1"/>
  <c r="AI104" i="1"/>
  <c r="W152" i="1"/>
  <c r="W199" i="1"/>
  <c r="W51" i="1"/>
  <c r="W173" i="1"/>
  <c r="W17" i="1"/>
  <c r="AI64" i="1"/>
  <c r="W106" i="1"/>
  <c r="U156" i="1"/>
  <c r="S156" i="1" s="1"/>
  <c r="U65" i="1"/>
  <c r="S65" i="1" s="1"/>
  <c r="W91" i="1"/>
  <c r="W59" i="1"/>
  <c r="AI133" i="1"/>
  <c r="W69" i="1"/>
  <c r="U170" i="1"/>
  <c r="S170" i="1" s="1"/>
  <c r="W131" i="1"/>
  <c r="W132" i="1"/>
  <c r="W155" i="1"/>
  <c r="W60" i="1"/>
  <c r="U116" i="1"/>
  <c r="S116" i="1" s="1"/>
  <c r="AI15" i="1"/>
  <c r="AI23" i="1"/>
  <c r="AI39" i="1"/>
  <c r="W34" i="1"/>
  <c r="AI77" i="1"/>
  <c r="AI30" i="1"/>
  <c r="AI72" i="1"/>
  <c r="U68" i="1"/>
  <c r="S68" i="1" s="1"/>
  <c r="AI81" i="1"/>
  <c r="AI98" i="1"/>
  <c r="U163" i="1"/>
  <c r="S163" i="1" s="1"/>
  <c r="U60" i="1"/>
  <c r="S60" i="1" s="1"/>
  <c r="W118" i="1"/>
  <c r="AI174" i="1"/>
  <c r="W126" i="1"/>
  <c r="U213" i="1"/>
  <c r="S213" i="1" s="1"/>
  <c r="W15" i="1"/>
  <c r="W188" i="1"/>
  <c r="W77" i="1"/>
  <c r="U189" i="1"/>
  <c r="S189" i="1" s="1"/>
  <c r="W156" i="1"/>
  <c r="W109" i="1"/>
  <c r="W98" i="1"/>
  <c r="U124" i="1"/>
  <c r="S124" i="1" s="1"/>
  <c r="W128" i="1"/>
  <c r="U132" i="1"/>
  <c r="S132" i="1" s="1"/>
  <c r="U53" i="1"/>
  <c r="S53" i="1" s="1"/>
  <c r="U177" i="1"/>
  <c r="S177" i="1" s="1"/>
  <c r="U23" i="1"/>
  <c r="S23" i="1" s="1"/>
  <c r="U39" i="1"/>
  <c r="S39" i="1" s="1"/>
  <c r="AI26" i="1"/>
  <c r="U88" i="1"/>
  <c r="S88" i="1" s="1"/>
  <c r="AI137" i="1"/>
  <c r="AI213" i="1"/>
  <c r="W76" i="1"/>
  <c r="W31" i="1"/>
  <c r="W73" i="1"/>
  <c r="U196" i="1"/>
  <c r="S196" i="1" s="1"/>
  <c r="U153" i="1"/>
  <c r="S153" i="1" s="1"/>
  <c r="W159" i="1"/>
  <c r="W121" i="1"/>
  <c r="U104" i="1"/>
  <c r="S104" i="1" s="1"/>
  <c r="U19" i="1"/>
  <c r="S19" i="1" s="1"/>
  <c r="W163" i="1"/>
  <c r="W56" i="1"/>
  <c r="W88" i="1"/>
  <c r="AI94" i="1"/>
  <c r="AI108" i="1"/>
  <c r="AI126" i="1"/>
  <c r="AI145" i="1"/>
  <c r="U111" i="1"/>
  <c r="S111" i="1" s="1"/>
  <c r="U128" i="1"/>
  <c r="S128" i="1" s="1"/>
  <c r="U145" i="1"/>
  <c r="S145" i="1" s="1"/>
  <c r="AI200" i="1"/>
  <c r="W61" i="1"/>
  <c r="W153" i="1"/>
  <c r="W200" i="1"/>
  <c r="U130" i="1"/>
  <c r="S130" i="1" s="1"/>
  <c r="W19" i="1"/>
  <c r="W161" i="1"/>
  <c r="U16" i="1"/>
  <c r="S16" i="1" s="1"/>
  <c r="AI18" i="1"/>
  <c r="AI56" i="1"/>
  <c r="AI107" i="1"/>
  <c r="U191" i="1"/>
  <c r="S191" i="1" s="1"/>
  <c r="W130" i="1"/>
  <c r="U159" i="1"/>
  <c r="S159" i="1" s="1"/>
  <c r="AI181" i="1"/>
  <c r="W149" i="1"/>
  <c r="W208" i="1"/>
  <c r="W157" i="1"/>
  <c r="W92" i="1"/>
  <c r="U176" i="1"/>
  <c r="S176" i="1" s="1"/>
  <c r="W183" i="1"/>
  <c r="AI132" i="1"/>
  <c r="W47" i="1"/>
  <c r="W139" i="1"/>
  <c r="W166" i="1"/>
  <c r="W103" i="1"/>
  <c r="W107" i="1"/>
  <c r="U174" i="1"/>
  <c r="S174" i="1" s="1"/>
  <c r="W181" i="1"/>
  <c r="W124" i="1"/>
  <c r="W189" i="1"/>
  <c r="W136" i="1"/>
  <c r="S31" i="1"/>
  <c r="S192" i="1"/>
  <c r="W207" i="1"/>
  <c r="W204" i="1"/>
  <c r="W185" i="1"/>
  <c r="W99" i="1"/>
  <c r="W100" i="1"/>
  <c r="W108" i="1"/>
  <c r="W151" i="1"/>
  <c r="AI195" i="1"/>
  <c r="W120" i="1"/>
  <c r="W112" i="1"/>
  <c r="AI199" i="1"/>
  <c r="U182" i="1"/>
  <c r="S182" i="1" s="1"/>
  <c r="W205" i="1"/>
  <c r="W16" i="1"/>
  <c r="W148" i="1"/>
  <c r="AI102" i="1"/>
  <c r="U102" i="1"/>
  <c r="S102" i="1" s="1"/>
  <c r="W123" i="1"/>
  <c r="W147" i="1"/>
  <c r="AI183" i="1"/>
  <c r="AI192" i="1"/>
  <c r="W53" i="1"/>
  <c r="W18" i="1"/>
  <c r="W191" i="1"/>
  <c r="W158" i="1"/>
  <c r="W196" i="1"/>
  <c r="U211" i="1"/>
  <c r="S211" i="1" s="1"/>
  <c r="AI211" i="1"/>
  <c r="W180" i="1"/>
  <c r="AI180" i="1"/>
  <c r="AI134" i="1"/>
  <c r="U134" i="1"/>
  <c r="S134" i="1" s="1"/>
  <c r="AI162" i="1"/>
  <c r="W192" i="1"/>
  <c r="U103" i="1"/>
  <c r="S103" i="1" s="1"/>
  <c r="W214" i="1"/>
  <c r="W101" i="1"/>
  <c r="W26" i="1"/>
  <c r="W42" i="1"/>
  <c r="W177" i="1"/>
  <c r="U43" i="1"/>
  <c r="S43" i="1" s="1"/>
  <c r="W68" i="1"/>
  <c r="W43" i="1"/>
  <c r="U208" i="1"/>
  <c r="S208" i="1" s="1"/>
  <c r="AI208" i="1"/>
  <c r="U109" i="1"/>
  <c r="S109" i="1" s="1"/>
  <c r="AI109" i="1"/>
  <c r="W119" i="1"/>
  <c r="W211" i="1"/>
  <c r="U25" i="1"/>
  <c r="S25" i="1" s="1"/>
  <c r="AI25" i="1"/>
  <c r="U21" i="1"/>
  <c r="S21" i="1" s="1"/>
  <c r="AI21" i="1"/>
  <c r="U29" i="1"/>
  <c r="S29" i="1" s="1"/>
  <c r="AI29" i="1"/>
  <c r="U55" i="1"/>
  <c r="S55" i="1" s="1"/>
  <c r="AI55" i="1"/>
  <c r="U71" i="1"/>
  <c r="S71" i="1" s="1"/>
  <c r="AI71" i="1"/>
  <c r="U63" i="1"/>
  <c r="S63" i="1" s="1"/>
  <c r="AI63" i="1"/>
  <c r="U51" i="1"/>
  <c r="S51" i="1" s="1"/>
  <c r="AI51" i="1"/>
  <c r="U67" i="1"/>
  <c r="S67" i="1" s="1"/>
  <c r="AI67" i="1"/>
  <c r="U75" i="1"/>
  <c r="S75" i="1" s="1"/>
  <c r="AI75" i="1"/>
  <c r="U175" i="1"/>
  <c r="S175" i="1" s="1"/>
  <c r="AI110" i="1"/>
  <c r="U95" i="1"/>
  <c r="S95" i="1" s="1"/>
  <c r="AI115" i="1"/>
  <c r="U92" i="1"/>
  <c r="S92" i="1" s="1"/>
  <c r="AI92" i="1"/>
  <c r="AI124" i="1"/>
  <c r="U187" i="1"/>
  <c r="S187" i="1" s="1"/>
  <c r="AI128" i="1"/>
  <c r="U190" i="1"/>
  <c r="S190" i="1" s="1"/>
  <c r="AI131" i="1"/>
  <c r="U97" i="1"/>
  <c r="S97" i="1" s="1"/>
  <c r="AI139" i="1"/>
  <c r="U207" i="1"/>
  <c r="S207" i="1" s="1"/>
  <c r="AI155" i="1"/>
  <c r="U118" i="1"/>
  <c r="S118" i="1" s="1"/>
  <c r="AI169" i="1"/>
  <c r="U133" i="1"/>
  <c r="S133" i="1" s="1"/>
  <c r="W29" i="1"/>
  <c r="W25" i="1"/>
  <c r="W84" i="1"/>
  <c r="U33" i="1"/>
  <c r="S33" i="1" s="1"/>
  <c r="AI33" i="1"/>
  <c r="AI103" i="1"/>
  <c r="U94" i="1"/>
  <c r="S94" i="1" s="1"/>
  <c r="W55" i="1"/>
  <c r="AI106" i="1"/>
  <c r="U172" i="1"/>
  <c r="S172" i="1" s="1"/>
  <c r="AI120" i="1"/>
  <c r="U184" i="1"/>
  <c r="S184" i="1" s="1"/>
  <c r="W172" i="1"/>
  <c r="AI143" i="1"/>
  <c r="U106" i="1"/>
  <c r="S106" i="1" s="1"/>
  <c r="AI147" i="1"/>
  <c r="U110" i="1"/>
  <c r="S110" i="1" s="1"/>
  <c r="U143" i="1"/>
  <c r="S143" i="1" s="1"/>
  <c r="AI178" i="1"/>
  <c r="AI135" i="1"/>
  <c r="U101" i="1"/>
  <c r="S101" i="1" s="1"/>
  <c r="AI165" i="1"/>
  <c r="U129" i="1"/>
  <c r="S129" i="1" s="1"/>
  <c r="W190" i="1"/>
  <c r="U212" i="1"/>
  <c r="S212" i="1" s="1"/>
  <c r="AI212" i="1"/>
  <c r="W212" i="1"/>
  <c r="U37" i="1"/>
  <c r="S37" i="1" s="1"/>
  <c r="AI37" i="1"/>
  <c r="U83" i="1"/>
  <c r="S83" i="1" s="1"/>
  <c r="AI83" i="1"/>
  <c r="AI84" i="1"/>
  <c r="U84" i="1"/>
  <c r="S84" i="1" s="1"/>
  <c r="AI91" i="1"/>
  <c r="U91" i="1"/>
  <c r="S91" i="1" s="1"/>
  <c r="W21" i="1"/>
  <c r="W83" i="1"/>
  <c r="AI45" i="1"/>
  <c r="U45" i="1"/>
  <c r="S45" i="1" s="1"/>
  <c r="U186" i="1"/>
  <c r="S186" i="1" s="1"/>
  <c r="AI123" i="1"/>
  <c r="U90" i="1"/>
  <c r="S90" i="1" s="1"/>
  <c r="AI90" i="1"/>
  <c r="AI100" i="1"/>
  <c r="U166" i="1"/>
  <c r="S166" i="1" s="1"/>
  <c r="AI116" i="1"/>
  <c r="U180" i="1"/>
  <c r="S180" i="1" s="1"/>
  <c r="AI158" i="1"/>
  <c r="U122" i="1"/>
  <c r="S122" i="1" s="1"/>
  <c r="W186" i="1"/>
  <c r="W122" i="1"/>
  <c r="W184" i="1"/>
  <c r="W110" i="1"/>
  <c r="W143" i="1"/>
  <c r="U41" i="1"/>
  <c r="S41" i="1"/>
  <c r="AI41" i="1"/>
  <c r="W41" i="1"/>
  <c r="U17" i="1"/>
  <c r="S17" i="1" s="1"/>
  <c r="AI17" i="1"/>
  <c r="W67" i="1"/>
  <c r="W63" i="1"/>
  <c r="U59" i="1"/>
  <c r="S59" i="1"/>
  <c r="AI59" i="1"/>
  <c r="U79" i="1"/>
  <c r="S79" i="1" s="1"/>
  <c r="AI79" i="1"/>
  <c r="W79" i="1"/>
  <c r="U183" i="1"/>
  <c r="S183" i="1" s="1"/>
  <c r="AI119" i="1"/>
  <c r="W71" i="1"/>
  <c r="U162" i="1"/>
  <c r="S162" i="1" s="1"/>
  <c r="AI96" i="1"/>
  <c r="W95" i="1"/>
  <c r="AI173" i="1"/>
  <c r="U137" i="1"/>
  <c r="S137" i="1" s="1"/>
  <c r="W175" i="1"/>
  <c r="W97" i="1"/>
  <c r="AI161" i="1"/>
  <c r="U126" i="1"/>
  <c r="S126" i="1" s="1"/>
  <c r="W187" i="1"/>
  <c r="AI151" i="1"/>
  <c r="U114" i="1"/>
  <c r="S114" i="1" s="1"/>
  <c r="W114" i="1"/>
  <c r="W129" i="1"/>
  <c r="Y47" i="3"/>
  <c r="T47" i="3"/>
  <c r="X11" i="3"/>
  <c r="X22" i="3"/>
  <c r="X25" i="3"/>
  <c r="X12" i="3"/>
  <c r="X7" i="3"/>
  <c r="X23" i="3"/>
  <c r="X32" i="3"/>
  <c r="X43" i="3"/>
  <c r="X38" i="3"/>
  <c r="X21" i="3"/>
  <c r="X18" i="3"/>
  <c r="X44" i="3"/>
  <c r="X13" i="3"/>
  <c r="X47" i="3"/>
  <c r="X46" i="3"/>
  <c r="X9" i="3"/>
  <c r="X19" i="3"/>
  <c r="X24" i="3"/>
  <c r="X30" i="3"/>
  <c r="X27" i="3"/>
  <c r="X35" i="3"/>
  <c r="X40" i="3"/>
  <c r="X29" i="3"/>
  <c r="X10" i="3"/>
  <c r="X34" i="3"/>
  <c r="X39" i="3"/>
  <c r="X42" i="3"/>
  <c r="X36" i="3"/>
  <c r="X16" i="3"/>
  <c r="X15" i="3"/>
  <c r="X33" i="3"/>
  <c r="X14" i="3"/>
  <c r="X8" i="3"/>
  <c r="X45" i="3"/>
  <c r="X17" i="3"/>
  <c r="X41" i="3"/>
  <c r="X37" i="3"/>
  <c r="X31" i="3"/>
  <c r="X26" i="3"/>
  <c r="X20" i="3"/>
  <c r="X28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<sst xmlns="http://schemas.openxmlformats.org/spreadsheetml/2006/main" count="2218" uniqueCount="772">
  <si>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</si>
  <si>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</si>
  <si>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</si>
  <si>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</si>
  <si>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</si>
  <si>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</si>
  <si>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</si>
  <si>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</si>
  <si>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</si>
  <si>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</si>
  <si>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</si>
  <si>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</si>
  <si>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</si>
  <si>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</si>
  <si>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</si>
  <si>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</si>
  <si>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</si>
  <si>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</si>
  <si>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</si>
  <si>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</si>
  <si>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</si>
  <si>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</si>
  <si>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</si>
  <si>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</si>
  <si>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</si>
  <si>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</si>
  <si>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</si>
  <si>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</si>
  <si>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</si>
  <si>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</si>
  <si>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</si>
  <si>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</si>
  <si>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</si>
  <si>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</si>
  <si>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</si>
  <si>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</si>
  <si>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</si>
  <si>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</si>
  <si>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</si>
  <si>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</si>
  <si>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</si>
  <si>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</si>
  <si>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</si>
  <si>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</si>
  <si>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</si>
  <si>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</si>
  <si>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</si>
  <si>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</si>
  <si>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</si>
  <si>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</si>
  <si>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</si>
  <si>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</si>
  <si>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</si>
  <si>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</si>
  <si>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</si>
  <si>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</si>
  <si>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</si>
  <si>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</si>
  <si>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</si>
  <si>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</si>
  <si>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</si>
  <si>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</si>
  <si>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</si>
  <si>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</si>
  <si>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</si>
  <si>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</si>
  <si>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</si>
  <si>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</si>
  <si>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</si>
  <si>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</si>
  <si>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</si>
  <si>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</si>
  <si>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</si>
  <si>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</si>
  <si>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</si>
  <si>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</si>
  <si>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</si>
  <si>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</si>
  <si>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</si>
  <si>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</si>
  <si>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</si>
  <si>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</si>
  <si>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</si>
  <si>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</si>
  <si>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</si>
  <si>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</si>
  <si>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</si>
  <si>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</si>
  <si>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</si>
  <si>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</si>
  <si>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</si>
  <si>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</si>
  <si>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</si>
  <si>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</si>
  <si>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</si>
  <si>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</si>
  <si>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</si>
  <si>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</si>
  <si>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</si>
  <si>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</si>
  <si>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</si>
  <si>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</si>
  <si>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</si>
  <si>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</si>
  <si>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</si>
  <si>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</si>
  <si>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</si>
  <si>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</si>
  <si>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</si>
  <si>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</si>
  <si>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</si>
  <si>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</si>
  <si>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</si>
  <si>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</si>
  <si>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</si>
  <si>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</si>
  <si>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</si>
  <si>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</si>
  <si>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</si>
  <si>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</si>
  <si>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</si>
  <si>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</si>
  <si>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</si>
  <si>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</si>
  <si>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</si>
  <si>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</si>
  <si>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</si>
  <si>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</si>
  <si>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</si>
  <si>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</si>
  <si>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</si>
  <si>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</si>
  <si>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</si>
  <si>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</si>
  <si>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</si>
  <si>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</si>
  <si>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</si>
  <si>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</si>
  <si>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</si>
  <si>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</si>
  <si>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</si>
  <si>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</si>
  <si>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</si>
  <si>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</si>
  <si>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</si>
  <si>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</si>
  <si>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</si>
  <si>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</si>
  <si>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</si>
  <si>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</si>
  <si>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</si>
  <si>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</si>
  <si>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</si>
  <si>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</si>
  <si>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</si>
  <si>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</si>
  <si>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</si>
  <si>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</si>
  <si>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</si>
  <si>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</si>
  <si>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</si>
  <si>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</si>
  <si>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</si>
  <si>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</si>
  <si>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</si>
  <si>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</si>
  <si>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</si>
  <si>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</si>
  <si>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</si>
  <si>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</si>
  <si>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</si>
  <si>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</si>
  <si>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</si>
  <si>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</si>
  <si>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</si>
  <si>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</si>
  <si>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</si>
  <si>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</si>
  <si>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</si>
  <si>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</si>
  <si>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</si>
  <si>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</si>
  <si>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</si>
  <si>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</si>
  <si>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</si>
  <si>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</si>
  <si>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</si>
  <si>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</si>
  <si>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</si>
  <si>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</si>
  <si>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</si>
  <si>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</si>
  <si>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</si>
  <si>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</si>
  <si>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</si>
  <si>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</si>
  <si>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</si>
  <si>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</si>
  <si>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</si>
  <si>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</si>
  <si>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</si>
  <si>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</si>
  <si>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</si>
  <si>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</si>
  <si>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</si>
  <si>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</si>
  <si>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</si>
  <si>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</si>
  <si>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</si>
  <si>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</si>
  <si>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</si>
  <si>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</si>
  <si>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</si>
  <si>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</si>
  <si>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</si>
  <si>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</si>
  <si>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</si>
  <si>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</si>
  <si>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</si>
  <si>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</si>
  <si>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</si>
  <si>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</si>
  <si>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</si>
  <si>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</si>
  <si>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</si>
  <si>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</si>
  <si>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</si>
  <si>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</si>
  <si>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</si>
  <si>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</si>
  <si>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</si>
  <si>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</si>
  <si>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</si>
  <si>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</si>
  <si>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</si>
  <si>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</si>
  <si>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</si>
  <si>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</si>
  <si>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</si>
  <si>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</si>
  <si>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</si>
  <si>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</si>
  <si>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</si>
  <si>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</si>
  <si>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</si>
  <si>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</si>
  <si>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</si>
  <si>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</si>
  <si>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</si>
  <si>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</si>
  <si>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</si>
  <si>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</si>
  <si>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</si>
  <si>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</si>
  <si>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</si>
  <si>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</si>
  <si>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204:233301</t>
  </si>
  <si>
    <t>204:232994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</si>
  <si>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</si>
  <si>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</si>
  <si>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</si>
  <si>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</si>
  <si>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</si>
  <si>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</si>
  <si>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</si>
  <si>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204:233000</t>
  </si>
  <si>
    <t>rtdc.l.rtdc.4029:itc</t>
  </si>
  <si>
    <t>rtdc.l.rtdc.4030:itc</t>
  </si>
  <si>
    <t>BERLING</t>
  </si>
  <si>
    <t>204:139</t>
  </si>
  <si>
    <t>204:233278</t>
  </si>
  <si>
    <t>204:233304</t>
  </si>
  <si>
    <t>300:58615</t>
  </si>
  <si>
    <t>rtdc.l.rtdc.4054:itc</t>
  </si>
  <si>
    <t>rtdc.l.rtdc.4053:itc</t>
  </si>
  <si>
    <t>DELGADO</t>
  </si>
  <si>
    <t>MATTHEWS</t>
  </si>
  <si>
    <t>204:232983</t>
  </si>
  <si>
    <t>204:449</t>
  </si>
  <si>
    <t>204:158</t>
  </si>
  <si>
    <t>204:233311</t>
  </si>
  <si>
    <t>204:232986</t>
  </si>
  <si>
    <t>204:138</t>
  </si>
  <si>
    <t>204:232990</t>
  </si>
  <si>
    <t>300:23304</t>
  </si>
  <si>
    <t>300:58613</t>
  </si>
  <si>
    <t>300:58928</t>
  </si>
  <si>
    <t>rtdc.l.rtdc.4016:itc</t>
  </si>
  <si>
    <t>rtdc.l.rtdc.4015:itc</t>
  </si>
  <si>
    <t>54-18</t>
  </si>
  <si>
    <t>STORY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</si>
  <si>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</si>
  <si>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</si>
  <si>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</si>
  <si>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</si>
  <si>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</si>
  <si>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</si>
  <si>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</si>
  <si>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</si>
  <si>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</si>
  <si>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</si>
  <si>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</si>
  <si>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</si>
  <si>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</si>
  <si>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</si>
  <si>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</si>
  <si>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</si>
  <si>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</si>
  <si>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204:233319</t>
  </si>
  <si>
    <t>204:232984</t>
  </si>
  <si>
    <t>204:462</t>
  </si>
  <si>
    <t>Y</t>
  </si>
  <si>
    <t>MAELZER</t>
  </si>
  <si>
    <t>STRICKLAND</t>
  </si>
  <si>
    <t>ADANE</t>
  </si>
  <si>
    <t>MOSES</t>
  </si>
  <si>
    <t>YOUNG</t>
  </si>
  <si>
    <t>204:232973</t>
  </si>
  <si>
    <t>204:232989</t>
  </si>
  <si>
    <t>204:232993</t>
  </si>
  <si>
    <t>204:440</t>
  </si>
  <si>
    <t>204:233310</t>
  </si>
  <si>
    <t>204:233302</t>
  </si>
  <si>
    <t>204:169</t>
  </si>
  <si>
    <t>204:233011</t>
  </si>
  <si>
    <t>Reactive Warning (1)</t>
  </si>
  <si>
    <t>rtdc.l.rtdc.4037:itc</t>
  </si>
  <si>
    <t>rtdc.l.rtdc.4005:itc</t>
  </si>
  <si>
    <t>YORK</t>
  </si>
  <si>
    <t>rtdc.l.rtdc.4038:itc</t>
  </si>
  <si>
    <t>SHOOK</t>
  </si>
  <si>
    <t>NEWELL</t>
  </si>
  <si>
    <t>204:233321</t>
  </si>
  <si>
    <t>204:233006</t>
  </si>
  <si>
    <t>204:233309</t>
  </si>
  <si>
    <t>204:467</t>
  </si>
  <si>
    <t>204:163</t>
  </si>
  <si>
    <t>204:488</t>
  </si>
  <si>
    <t>204:233284</t>
  </si>
  <si>
    <t>204:232980</t>
  </si>
  <si>
    <t>204:136</t>
  </si>
  <si>
    <t>204:233336</t>
  </si>
  <si>
    <t>204:482</t>
  </si>
  <si>
    <t>204:233320</t>
  </si>
  <si>
    <t>300:58609</t>
  </si>
  <si>
    <t>300:58929</t>
  </si>
  <si>
    <t>300:58924</t>
  </si>
  <si>
    <t>300:58608</t>
  </si>
  <si>
    <t>204:747</t>
  </si>
  <si>
    <t>300:58926</t>
  </si>
  <si>
    <t>rtdc.l.rtdc.4045:itc</t>
  </si>
  <si>
    <t>rtdc.l.rtdc.4013:itc</t>
  </si>
  <si>
    <t>rtdc.l.rtdc.4014:itc</t>
  </si>
  <si>
    <t>234-21</t>
  </si>
  <si>
    <t>rtdc.l.rtdc.4027:itc</t>
  </si>
  <si>
    <t>241-21</t>
  </si>
  <si>
    <t>DAVIS</t>
  </si>
  <si>
    <t>MALAVE</t>
  </si>
  <si>
    <t>GEBRETEKLE</t>
  </si>
  <si>
    <t>STEWART</t>
  </si>
  <si>
    <t>CLARK</t>
  </si>
  <si>
    <t>HAITHCOX</t>
  </si>
  <si>
    <t>PUGH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</si>
  <si>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</si>
  <si>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</si>
  <si>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</si>
  <si>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</si>
  <si>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</si>
  <si>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</si>
  <si>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</si>
  <si>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</si>
  <si>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</si>
  <si>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</si>
  <si>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</si>
  <si>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</si>
  <si>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</si>
  <si>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204:743</t>
  </si>
  <si>
    <t>204:233291</t>
  </si>
  <si>
    <t>204:232971</t>
  </si>
  <si>
    <t>204:232985</t>
  </si>
  <si>
    <t>204:435</t>
  </si>
  <si>
    <t>204:233289</t>
  </si>
  <si>
    <t>204:750</t>
  </si>
  <si>
    <t>204:233001</t>
  </si>
  <si>
    <t>204:233305</t>
  </si>
  <si>
    <t>204:233298</t>
  </si>
  <si>
    <t>204:232972</t>
  </si>
  <si>
    <t>204:232938</t>
  </si>
  <si>
    <t>204:473</t>
  </si>
  <si>
    <t>204:442</t>
  </si>
  <si>
    <t>204:232965</t>
  </si>
  <si>
    <t>204:233307</t>
  </si>
  <si>
    <t>204:478</t>
  </si>
  <si>
    <t>204:233009</t>
  </si>
  <si>
    <t>204:233324</t>
  </si>
  <si>
    <t>204:132</t>
  </si>
  <si>
    <t>204:232963</t>
  </si>
  <si>
    <t>204:233288</t>
  </si>
  <si>
    <t>204:233323</t>
  </si>
  <si>
    <t>204:232969</t>
  </si>
  <si>
    <t>204:170</t>
  </si>
  <si>
    <t>204:233286</t>
  </si>
  <si>
    <t>204:233306</t>
  </si>
  <si>
    <t>300:23306</t>
  </si>
  <si>
    <t>300:58602</t>
  </si>
  <si>
    <t>204:1030</t>
  </si>
  <si>
    <t>300:58922</t>
  </si>
  <si>
    <t>300:58916</t>
  </si>
  <si>
    <t>204:748</t>
  </si>
  <si>
    <t>204:1044</t>
  </si>
  <si>
    <t>310-22</t>
  </si>
  <si>
    <t>106-22</t>
  </si>
  <si>
    <t>119-22</t>
  </si>
  <si>
    <t>121-22</t>
  </si>
  <si>
    <t>116-22</t>
  </si>
  <si>
    <t>129-22</t>
  </si>
  <si>
    <t>130-22</t>
  </si>
  <si>
    <t>126-22</t>
  </si>
  <si>
    <t>135-22</t>
  </si>
  <si>
    <t>1807-22</t>
  </si>
  <si>
    <t>143-22</t>
  </si>
  <si>
    <t>1808-22</t>
  </si>
  <si>
    <t>144-22</t>
  </si>
  <si>
    <t>150-22</t>
  </si>
  <si>
    <t>161-22</t>
  </si>
  <si>
    <t>1811-22</t>
  </si>
  <si>
    <t>1814-22</t>
  </si>
  <si>
    <t>TEMPORARY SPEED RESTRICTION</t>
  </si>
  <si>
    <t>rtdc.l.rtdc.4031:itc</t>
  </si>
  <si>
    <t>173-22</t>
  </si>
  <si>
    <t>1817-22</t>
  </si>
  <si>
    <t>176-22</t>
  </si>
  <si>
    <t>1820-22</t>
  </si>
  <si>
    <t>199-22</t>
  </si>
  <si>
    <t>192-22</t>
  </si>
  <si>
    <t>203-22</t>
  </si>
  <si>
    <t>65-22</t>
  </si>
  <si>
    <t>1824-22</t>
  </si>
  <si>
    <t>215-22</t>
  </si>
  <si>
    <t>1825-22</t>
  </si>
  <si>
    <t>1826-22</t>
  </si>
  <si>
    <t>rtdc.l.rtdc.4032:itc</t>
  </si>
  <si>
    <t>216-22</t>
  </si>
  <si>
    <t>1828-22</t>
  </si>
  <si>
    <t>1830-22</t>
  </si>
  <si>
    <t>1833-22</t>
  </si>
  <si>
    <t>234-22</t>
  </si>
  <si>
    <t>302-22</t>
  </si>
  <si>
    <t>315-21</t>
  </si>
  <si>
    <t>DE LA ROSA</t>
  </si>
  <si>
    <t>rtdc.l.rtdc.4011:itc</t>
  </si>
  <si>
    <t>101-22</t>
  </si>
  <si>
    <t>304-22</t>
  </si>
  <si>
    <t>103-22</t>
  </si>
  <si>
    <t>306-22</t>
  </si>
  <si>
    <t>ACKERMAN</t>
  </si>
  <si>
    <t>102-22</t>
  </si>
  <si>
    <t>308-22</t>
  </si>
  <si>
    <t>105-22</t>
  </si>
  <si>
    <t>KILLION</t>
  </si>
  <si>
    <t>107-22</t>
  </si>
  <si>
    <t>109-22</t>
  </si>
  <si>
    <t>104-22</t>
  </si>
  <si>
    <t>111-22</t>
  </si>
  <si>
    <t>113-22</t>
  </si>
  <si>
    <t>108-22</t>
  </si>
  <si>
    <t>1901-22</t>
  </si>
  <si>
    <t>110-22</t>
  </si>
  <si>
    <t>115-22</t>
  </si>
  <si>
    <t>1800-22</t>
  </si>
  <si>
    <t>117-22</t>
  </si>
  <si>
    <t>112-22</t>
  </si>
  <si>
    <t>1801-22</t>
  </si>
  <si>
    <t>114-22</t>
  </si>
  <si>
    <t>123-22</t>
  </si>
  <si>
    <t>1802-22</t>
  </si>
  <si>
    <t>118-22</t>
  </si>
  <si>
    <t>125-22</t>
  </si>
  <si>
    <t>120-22</t>
  </si>
  <si>
    <t>1803-22</t>
  </si>
  <si>
    <t>127-22</t>
  </si>
  <si>
    <t>122-22</t>
  </si>
  <si>
    <t>124-22</t>
  </si>
  <si>
    <t>131-22</t>
  </si>
  <si>
    <t>1804-22</t>
  </si>
  <si>
    <t>133-22</t>
  </si>
  <si>
    <t>128-22</t>
  </si>
  <si>
    <t>137-22</t>
  </si>
  <si>
    <t>1805-22</t>
  </si>
  <si>
    <t>132-22</t>
  </si>
  <si>
    <t>139-22</t>
  </si>
  <si>
    <t>134-22</t>
  </si>
  <si>
    <t>1806-22</t>
  </si>
  <si>
    <t>141-22</t>
  </si>
  <si>
    <t>136-22</t>
  </si>
  <si>
    <t>138-22</t>
  </si>
  <si>
    <t>145-22</t>
  </si>
  <si>
    <t>140-22</t>
  </si>
  <si>
    <t>147-22</t>
  </si>
  <si>
    <t>142-22</t>
  </si>
  <si>
    <t>149-22</t>
  </si>
  <si>
    <t>151-22</t>
  </si>
  <si>
    <t>146-22</t>
  </si>
  <si>
    <t>153-22</t>
  </si>
  <si>
    <t>148-22</t>
  </si>
  <si>
    <t>1809-22</t>
  </si>
  <si>
    <t>155-22</t>
  </si>
  <si>
    <t>1810-22</t>
  </si>
  <si>
    <t>157-22</t>
  </si>
  <si>
    <t>MAHAN</t>
  </si>
  <si>
    <t>152-22</t>
  </si>
  <si>
    <t>159-22</t>
  </si>
  <si>
    <t>154-22</t>
  </si>
  <si>
    <t>BARTLETT</t>
  </si>
  <si>
    <t>156-22</t>
  </si>
  <si>
    <t>158-22</t>
  </si>
  <si>
    <t>163-22</t>
  </si>
  <si>
    <t>1812-22</t>
  </si>
  <si>
    <t>165-22</t>
  </si>
  <si>
    <t>160-22</t>
  </si>
  <si>
    <t>167-22</t>
  </si>
  <si>
    <t>BRUDER</t>
  </si>
  <si>
    <t>162-22</t>
  </si>
  <si>
    <t>1813-22</t>
  </si>
  <si>
    <t>169-22</t>
  </si>
  <si>
    <t>164-22</t>
  </si>
  <si>
    <t>171-22</t>
  </si>
  <si>
    <t>166-22</t>
  </si>
  <si>
    <t>168-22</t>
  </si>
  <si>
    <t>175-22</t>
  </si>
  <si>
    <t>1815-22</t>
  </si>
  <si>
    <t>170-22</t>
  </si>
  <si>
    <t>177-22</t>
  </si>
  <si>
    <t>172-22</t>
  </si>
  <si>
    <t>179-22</t>
  </si>
  <si>
    <t>1816-22</t>
  </si>
  <si>
    <t>181-22</t>
  </si>
  <si>
    <t>174-22</t>
  </si>
  <si>
    <t>183-22</t>
  </si>
  <si>
    <t>178-22</t>
  </si>
  <si>
    <t>185-22</t>
  </si>
  <si>
    <t>180-22</t>
  </si>
  <si>
    <t>187-22</t>
  </si>
  <si>
    <t>182-22</t>
  </si>
  <si>
    <t>1818-22</t>
  </si>
  <si>
    <t>189-22</t>
  </si>
  <si>
    <t>184-22</t>
  </si>
  <si>
    <t>191-22</t>
  </si>
  <si>
    <t>186-22</t>
  </si>
  <si>
    <t>193-22</t>
  </si>
  <si>
    <t>1819-22</t>
  </si>
  <si>
    <t>188-22</t>
  </si>
  <si>
    <t>195-22</t>
  </si>
  <si>
    <t>190-22</t>
  </si>
  <si>
    <t>197-22</t>
  </si>
  <si>
    <t>194-22</t>
  </si>
  <si>
    <t>201-22</t>
  </si>
  <si>
    <t>1821-22</t>
  </si>
  <si>
    <t>196-22</t>
  </si>
  <si>
    <t>198-22</t>
  </si>
  <si>
    <t>1822-22</t>
  </si>
  <si>
    <t>205-22</t>
  </si>
  <si>
    <t>200-22</t>
  </si>
  <si>
    <t>207-22</t>
  </si>
  <si>
    <t>202-22</t>
  </si>
  <si>
    <t>209-22</t>
  </si>
  <si>
    <t>204-22</t>
  </si>
  <si>
    <t>1823-22</t>
  </si>
  <si>
    <t>211-22</t>
  </si>
  <si>
    <t>OUN</t>
  </si>
  <si>
    <t>56-22</t>
  </si>
  <si>
    <t>206-22</t>
  </si>
  <si>
    <t>213-22</t>
  </si>
  <si>
    <t>208-22</t>
  </si>
  <si>
    <t>210-22</t>
  </si>
  <si>
    <t>217-22</t>
  </si>
  <si>
    <t>212-22</t>
  </si>
  <si>
    <t>58-22</t>
  </si>
  <si>
    <t>BRANDNER</t>
  </si>
  <si>
    <t>214-22</t>
  </si>
  <si>
    <t>219-22</t>
  </si>
  <si>
    <t>ARVIDSON</t>
  </si>
  <si>
    <t>303-22</t>
  </si>
  <si>
    <t>221-22</t>
  </si>
  <si>
    <t>rtdc.l.rtdc.4006:itc</t>
  </si>
  <si>
    <t>64-22</t>
  </si>
  <si>
    <t>218-22</t>
  </si>
  <si>
    <t>305-22</t>
  </si>
  <si>
    <t>1827-22</t>
  </si>
  <si>
    <t>220-22</t>
  </si>
  <si>
    <t>223-22</t>
  </si>
  <si>
    <t>307-22</t>
  </si>
  <si>
    <t>222-22</t>
  </si>
  <si>
    <t>225-22</t>
  </si>
  <si>
    <t>224-22</t>
  </si>
  <si>
    <t>1829-22</t>
  </si>
  <si>
    <t>227-22</t>
  </si>
  <si>
    <t>229-22</t>
  </si>
  <si>
    <t>226-22</t>
  </si>
  <si>
    <t>1831-22</t>
  </si>
  <si>
    <t>231-22</t>
  </si>
  <si>
    <t>228-22</t>
  </si>
  <si>
    <t>1832-22</t>
  </si>
  <si>
    <t>230-22</t>
  </si>
  <si>
    <t>233-22</t>
  </si>
  <si>
    <t>232-22</t>
  </si>
  <si>
    <t>235-22</t>
  </si>
  <si>
    <t>237-22</t>
  </si>
  <si>
    <t>1902-22</t>
  </si>
  <si>
    <t>239-22</t>
  </si>
  <si>
    <t>236-22</t>
  </si>
  <si>
    <t>238-22</t>
  </si>
  <si>
    <t>241-22</t>
  </si>
  <si>
    <t>240-22</t>
  </si>
  <si>
    <t>243-22</t>
  </si>
  <si>
    <t>245-22</t>
  </si>
  <si>
    <t>242-22</t>
  </si>
  <si>
    <t>309-22</t>
  </si>
  <si>
    <t>244-22</t>
  </si>
  <si>
    <t>311-22</t>
  </si>
  <si>
    <t>246-22</t>
  </si>
  <si>
    <t>313-22</t>
  </si>
  <si>
    <t>315-22</t>
  </si>
  <si>
    <t>204:717</t>
  </si>
  <si>
    <t>204:233325</t>
  </si>
  <si>
    <t>204:232700</t>
  </si>
  <si>
    <t>204:130</t>
  </si>
  <si>
    <t>204:765</t>
  </si>
  <si>
    <t>204:232651</t>
  </si>
  <si>
    <t>204:165</t>
  </si>
  <si>
    <t>204:688</t>
  </si>
  <si>
    <t>204:233385</t>
  </si>
  <si>
    <t>204:232736</t>
  </si>
  <si>
    <t>204:125</t>
  </si>
  <si>
    <t>204:233281</t>
  </si>
  <si>
    <t>204:724</t>
  </si>
  <si>
    <t>204:233270</t>
  </si>
  <si>
    <t>204:233308</t>
  </si>
  <si>
    <t>204:172</t>
  </si>
  <si>
    <t>204:744</t>
  </si>
  <si>
    <t>204:64712</t>
  </si>
  <si>
    <t>204:64459</t>
  </si>
  <si>
    <t>204:407</t>
  </si>
  <si>
    <t>204:233257</t>
  </si>
  <si>
    <t>204:232925</t>
  </si>
  <si>
    <t>204:477</t>
  </si>
  <si>
    <t>204:232975</t>
  </si>
  <si>
    <t>204:480</t>
  </si>
  <si>
    <t>204:233276</t>
  </si>
  <si>
    <t>204:232961</t>
  </si>
  <si>
    <t>204:457</t>
  </si>
  <si>
    <t>204:232987</t>
  </si>
  <si>
    <t>204:129</t>
  </si>
  <si>
    <t>204:233043</t>
  </si>
  <si>
    <t>204:233010</t>
  </si>
  <si>
    <t>204:233314</t>
  </si>
  <si>
    <t>204:233360</t>
  </si>
  <si>
    <t>204:233036</t>
  </si>
  <si>
    <t>300:58600</t>
  </si>
  <si>
    <t>204:1039</t>
  </si>
  <si>
    <t>204:1028</t>
  </si>
  <si>
    <t>204:752</t>
  </si>
  <si>
    <t>204:1049</t>
  </si>
  <si>
    <t>204:1002</t>
  </si>
  <si>
    <t>204:1296</t>
  </si>
  <si>
    <t>300:58918</t>
  </si>
  <si>
    <t>204:233317</t>
  </si>
  <si>
    <t>204:764</t>
  </si>
  <si>
    <t>204:1048</t>
  </si>
  <si>
    <t>300:57362</t>
  </si>
  <si>
    <t>204:782</t>
  </si>
  <si>
    <t>204:1070</t>
  </si>
  <si>
    <t>204:755</t>
  </si>
  <si>
    <t>204:1041</t>
  </si>
  <si>
    <t>300:58975</t>
  </si>
  <si>
    <t>300:58660</t>
  </si>
  <si>
    <t>204:642</t>
  </si>
  <si>
    <t>204:922</t>
  </si>
  <si>
    <t>300:58999</t>
  </si>
  <si>
    <t>300:58683</t>
  </si>
  <si>
    <t>204:689</t>
  </si>
  <si>
    <t>204:983</t>
  </si>
  <si>
    <t>300:58982</t>
  </si>
  <si>
    <t>300:58666</t>
  </si>
  <si>
    <t>204:624</t>
  </si>
  <si>
    <t>204:915</t>
  </si>
  <si>
    <t>300:58963</t>
  </si>
  <si>
    <t>300:26832</t>
  </si>
  <si>
    <t>204:680</t>
  </si>
  <si>
    <t>204:967</t>
  </si>
  <si>
    <t>204:734</t>
  </si>
  <si>
    <t>300:58971</t>
  </si>
  <si>
    <t>300:58653</t>
  </si>
  <si>
    <t>204:631</t>
  </si>
  <si>
    <t>204:934</t>
  </si>
  <si>
    <t>300:58978</t>
  </si>
  <si>
    <t>300:58655</t>
  </si>
  <si>
    <t>204:832</t>
  </si>
  <si>
    <t>204:1126</t>
  </si>
  <si>
    <t>300:58986</t>
  </si>
  <si>
    <t>300:58673</t>
  </si>
  <si>
    <t>204:610</t>
  </si>
  <si>
    <t>300:58984</t>
  </si>
  <si>
    <t>204:80396</t>
  </si>
  <si>
    <t>204:232979</t>
  </si>
  <si>
    <t>204:167</t>
  </si>
  <si>
    <t>204:233353</t>
  </si>
  <si>
    <t>204:233059</t>
  </si>
  <si>
    <t>204:233032</t>
  </si>
  <si>
    <t>300:30093</t>
  </si>
  <si>
    <t>300:58670</t>
  </si>
  <si>
    <t>300:21352</t>
  </si>
  <si>
    <t>204:232992</t>
  </si>
  <si>
    <t>204:196</t>
  </si>
  <si>
    <t>204:178</t>
  </si>
  <si>
    <t>204:233303</t>
  </si>
  <si>
    <t>204:181</t>
  </si>
  <si>
    <t>204:233387</t>
  </si>
  <si>
    <t>204:233044</t>
  </si>
  <si>
    <t>204:509</t>
  </si>
  <si>
    <t>204:233338</t>
  </si>
  <si>
    <t>204:233038</t>
  </si>
  <si>
    <t>204:233362</t>
  </si>
  <si>
    <t>204:924</t>
  </si>
  <si>
    <t>204:231</t>
  </si>
  <si>
    <t>204:431</t>
  </si>
  <si>
    <t>204:232974</t>
  </si>
  <si>
    <t>204:232967</t>
  </si>
  <si>
    <t>204:127</t>
  </si>
  <si>
    <t>300:23264</t>
  </si>
  <si>
    <t>204:1232</t>
  </si>
  <si>
    <t>300:23312</t>
  </si>
  <si>
    <t>300:23495</t>
  </si>
  <si>
    <t>204:484</t>
  </si>
  <si>
    <t>300:22329</t>
  </si>
  <si>
    <t>204:94</t>
  </si>
  <si>
    <t>204:549</t>
  </si>
  <si>
    <t>300:23319</t>
  </si>
  <si>
    <t>300:23107</t>
  </si>
  <si>
    <t>300:22269</t>
  </si>
  <si>
    <t>300:22966</t>
  </si>
  <si>
    <t>300:23299</t>
  </si>
  <si>
    <t>300:21871</t>
  </si>
  <si>
    <t>204:906</t>
  </si>
  <si>
    <t>300:22894</t>
  </si>
  <si>
    <t>204:142</t>
  </si>
  <si>
    <t>204:1500</t>
  </si>
  <si>
    <t>204:1880</t>
  </si>
  <si>
    <t>204:3507</t>
  </si>
  <si>
    <t>300:23346</t>
  </si>
  <si>
    <t>300:9377</t>
  </si>
  <si>
    <t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t>
  </si>
  <si>
    <t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t>
  </si>
  <si>
    <t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t>
  </si>
  <si>
    <t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t>
  </si>
  <si>
    <t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t>
  </si>
  <si>
    <t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t>
  </si>
  <si>
    <t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t>
  </si>
  <si>
    <t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t>
  </si>
  <si>
    <t>Premature downgrade at EC0629XH 57-1T 1N</t>
  </si>
  <si>
    <t>At 06:14:24, EC0629 57-1T 1N dropped from 270 to STOP &amp; PROCEED. Any issues at this time?</t>
  </si>
  <si>
    <t>Onboard in-route failure delayed departure</t>
  </si>
  <si>
    <t>multiple cpu faults at 18:56</t>
  </si>
  <si>
    <t>Onboard in-route failure</t>
  </si>
  <si>
    <t>braking algorithm failure at 17:43</t>
  </si>
  <si>
    <t>Pena 4S STOP, cleared afterward</t>
  </si>
  <si>
    <t>Early arrival</t>
  </si>
  <si>
    <t>Wi-MAX outage</t>
  </si>
  <si>
    <t>http://stevetu21.github.io/eaglep3/load_kml.html?kml=http://rtdc.gmaps-snips.s3.amazonaws.com/994bcf2b-a8c5-4f75-8742-f426f7f12f9e.kml</t>
  </si>
  <si>
    <t>http://stevetu21.github.io/eaglep3/load_kml.html?kml=http://rtdc.gmaps-snips.s3.amazonaws.com/88c68e79-6b22-4891-8458-8722e8b0d71a.kml</t>
  </si>
  <si>
    <t>http://stevetu21.github.io/eaglep3/load_kml.html?kml=http://rtdc.gmaps-snips.s3.amazonaws.com/73fdcd7f-13fb-4979-b3c7-acdc25880ef2.kml</t>
  </si>
  <si>
    <t>Slices fought for primary around 17:05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</si>
</sst>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tevetu21.github.io/eaglep3/load_kml.html?kml=http://rtdc.gmaps-snips.s3.amazonaws.com/73fdcd7f-13fb-4979-b3c7-acdc25880ef2.kml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stevetu21.github.io/eaglep3/load_kml.html?kml=http://rtdc.gmaps-snips.s3.amazonaws.com/88c68e79-6b22-4891-8458-8722e8b0d71a.kml" TargetMode="External"/><Relationship Id="rId1" Type="http://schemas.openxmlformats.org/officeDocument/2006/relationships/hyperlink" Target="http://stevetu21.github.io/eaglep3/load_kml.html?kml=http://rtdc.gmaps-snips.s3.amazonaws.com/994bcf2b-a8c5-4f75-8742-f426f7f12f9e.kml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4"/>
  <sheetViews>
    <sheetView zoomScaleNormal="100" workbookViewId="0">
      <selection activeCell="N16" sqref="N1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42665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COUNTIFS($N$13:$N$9407,"&gt;0",$AG$13:$AG$9407,I1)</f>
        <v>145</v>
      </c>
      <c r="K5" s="44"/>
      <c r="L5" s="44"/>
      <c r="M5" s="45">
        <f>AVERAGEIFS($N$13:$N$9407,$AG$13:$AG$9407,I1)</f>
        <v>38.592643678413125</v>
      </c>
      <c r="N5" s="43">
        <f t="array" ref="N5">MIN(IF($AG$13:$AG$9407=I1,IF(ISNUMBER($N$13:$N$9407),IF($N$13:$N$9407&gt;0,$N$13:$N$9407))))</f>
        <v>33.516666664509103</v>
      </c>
      <c r="O5" s="3">
        <f t="array" ref="O5">MAX(IF($AG$13:$AG$9407=I1,IF(ISNUMBER($N$13:$N$9407),IF($N$13:$N$9407&gt;0,$N$13:$N$9407))))</f>
        <v>51.48333334014751</v>
      </c>
      <c r="P5" s="2"/>
      <c r="R5" s="80" t="s">
        <v>17</v>
      </c>
      <c r="S5" s="55">
        <f>COUNTIFS($N$13:$N$9407,"&gt;0",$AG$13:$AG$9407,R1)</f>
        <v>33</v>
      </c>
      <c r="T5" s="44"/>
      <c r="U5" s="175"/>
      <c r="V5" s="45">
        <f>AVERAGEIFS($N$13:$N$9407,$AG$13:$AG$9407,R1)</f>
        <v>14.164646463997832</v>
      </c>
      <c r="W5" s="43">
        <f t="array" ref="W5">MIN(IF($AG$13:$AG$9407=R1,IF(ISNUMBER($N$13:$N$9407),IF($N$13:$N$9407&gt;0,$N$13:$N$9407))))</f>
        <v>12.066666668979451</v>
      </c>
      <c r="X5" s="167">
        <f t="array" ref="X5">MAX(IF($AG$13:$AG$9407=R1,IF(ISNUMBER($N$13:$N$9407),IF($N$13:$N$9407&gt;0,$N$13:$N$9407))))</f>
        <v>18.083333338145167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COUNT($O$13:$O$178)</f>
        <v>0</v>
      </c>
      <c r="K6" s="44"/>
      <c r="L6" s="44"/>
      <c r="M6" s="45">
        <f>IFERROR(AVERAGE($O$13:$O$178),0)</f>
        <v>0</v>
      </c>
      <c r="N6" s="43">
        <f>MIN($O$13:$O$178)</f>
        <v>0</v>
      </c>
      <c r="O6" s="3">
        <f>MAX($O$13:$O$178)</f>
        <v>0</v>
      </c>
      <c r="P6" s="2"/>
      <c r="R6" s="81" t="s">
        <v>43</v>
      </c>
      <c r="S6" s="55">
        <f>COUNT($O$13:$O$178)</f>
        <v>0</v>
      </c>
      <c r="T6" s="44"/>
      <c r="U6" s="175"/>
      <c r="V6" s="45">
        <f>IFERROR(AVERAGE($O$13:$O$178),0)</f>
        <v>0</v>
      </c>
      <c r="W6" s="43">
        <f>MIN($O$13:$O$178)</f>
        <v>0</v>
      </c>
      <c r="X6" s="167">
        <f>MAX($O$13:$O$178)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COUNTIFS($P$13:$P$9407,"&gt;0",$AG$13:$AG$9407,I1)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COUNTIFS($P$13:$P$9407,"&gt;0",$AG$13:$AG$9407,R1)</f>
        <v>1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145</v>
      </c>
      <c r="K8" s="44"/>
      <c r="L8" s="44"/>
      <c r="M8" s="45">
        <f>M5</f>
        <v>38.592643678413125</v>
      </c>
      <c r="N8" s="43">
        <f>N5</f>
        <v>33.516666664509103</v>
      </c>
      <c r="O8" s="3">
        <f>O5</f>
        <v>51.48333334014751</v>
      </c>
      <c r="P8" s="2"/>
      <c r="R8" s="80" t="s">
        <v>16</v>
      </c>
      <c r="S8" s="55">
        <f>S5</f>
        <v>33</v>
      </c>
      <c r="T8" s="44"/>
      <c r="U8" s="175"/>
      <c r="V8" s="45">
        <f>V5</f>
        <v>14.164646463997832</v>
      </c>
      <c r="W8" s="43">
        <f>W5</f>
        <v>12.066666668979451</v>
      </c>
      <c r="X8" s="167">
        <f>X5</f>
        <v>18.083333338145167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0.99315068493150682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- 2016-10-22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AVERAGE(S13:S113)</f>
        <v>0.9916666666666667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451</v>
      </c>
      <c r="B13" s="7">
        <v>4011</v>
      </c>
      <c r="C13" s="22" t="s">
        <v>99</v>
      </c>
      <c r="D13" s="22" t="s">
        <v>623</v>
      </c>
      <c r="E13" s="13">
        <v>42665.130023148151</v>
      </c>
      <c r="F13" s="13">
        <v>42665.135694444441</v>
      </c>
      <c r="G13" s="7">
        <v>2</v>
      </c>
      <c r="H13" s="13" t="s">
        <v>624</v>
      </c>
      <c r="I13" s="13">
        <v>42665.161111111112</v>
      </c>
      <c r="J13" s="7">
        <v>0</v>
      </c>
      <c r="K13" s="112" t="str">
        <f t="shared" ref="K13:K76" si="0">IF(ISEVEN(B13),(B13-1)&amp;"/"&amp;B13,B13&amp;"/"&amp;(B13+1))</f>
        <v>4011/4012</v>
      </c>
      <c r="L13" s="22" t="str">
        <f>VLOOKUP(A13,'Trips&amp;Operators'!$C$1:$E$10000,3,FALSE)</f>
        <v>MAELZER</v>
      </c>
      <c r="M13" s="6">
        <f t="shared" ref="M13:M76" si="1">I13-F13</f>
        <v>2.5416666670935228E-2</v>
      </c>
      <c r="N13" s="7">
        <f t="shared" ref="N13:N76" si="2">24*60*SUM($M13:$M13)</f>
        <v>36.600000006146729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https://search-rtdc-monitor-bjffxe2xuh6vdkpspy63sjmuny.us-east-1.es.amazonaws.com/_plugin/kibana/#/discover/Steve-Slow-Train-Analysis-(2080s-and-2083s)?_g=(refreshInterval:(display:Off,section:0,value:0),time:(from:'2016-10-22 02:07:14-0600',mode:absolute,to:'2016-10-22 04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" s="52" t="str">
        <f t="shared" ref="W13:W76" si="6">IF(AA13&lt;IF(AG13="EC",23,5.65),"Y","N")</f>
        <v>N</v>
      </c>
      <c r="X13" s="171" t="e">
        <f t="shared" ref="X13:X76" si="7">VALUE(LEFT(AD13,4))-VALUE(LEFT(AD12,4))</f>
        <v>#VALUE!</v>
      </c>
      <c r="Y13" s="67">
        <f t="shared" ref="Y13:Y76" si="8">RIGHT(D13,LEN(D13)-4)/10000</f>
        <v>7.17E-2</v>
      </c>
      <c r="Z13" s="67">
        <f t="shared" ref="Z13:Z76" si="9">RIGHT(H13,LEN(H13)-4)/10000</f>
        <v>23.3325</v>
      </c>
      <c r="AA13" s="67">
        <f t="shared" ref="AA13:AA76" si="10">ABS(Z13-Y13)</f>
        <v>23.2608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0101-22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/stypes="app*4011*20161022*"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4011 --swversion DE.1.0.7.0 --startMP 204:717 --initTime 2016-10-22T03:07:14 --startdatetime 2016-10-22T03:15:24 --delay 2 --endMP 204:233325 --enddatetime 2016-10-22T03:52:00 --enforcementcount 0 &gt;&gt;C:\Users\stu\Documents\GitHub\eaglep3-reporting\EC\2016-10-22-refined-times.txt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{"issue":{"subject":"","project_id":79,"tracker_id":40,"status_id":1,"priority_id":2,"assigned_to_id":23,"start_date":"2016-10-22","description":"","custom_fields":[{"id":1,"name":"Subdivision","value":"EC"},{"id":4,"name":"Milepost","value":"23.3325"},{"id":17,"name":"Train ID","value":"101-22"},{"id":16,"name":"Locomotive ID","value":"4011"},{"id":130,"name":"Impact","value":""},{"id":150,"name":"Time of Event (Mountain Time)","value":"03:52:00"},{"id":151,"name":"Denver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456</v>
      </c>
      <c r="B14" s="7">
        <v>4030</v>
      </c>
      <c r="C14" s="22" t="s">
        <v>99</v>
      </c>
      <c r="D14" s="22" t="s">
        <v>625</v>
      </c>
      <c r="E14" s="13">
        <v>42665.166747685187</v>
      </c>
      <c r="F14" s="13">
        <v>42665.174641203703</v>
      </c>
      <c r="G14" s="7">
        <v>0</v>
      </c>
      <c r="H14" s="13" t="s">
        <v>626</v>
      </c>
      <c r="I14" s="13">
        <v>42665.201307870368</v>
      </c>
      <c r="J14" s="7">
        <v>0</v>
      </c>
      <c r="K14" s="112" t="str">
        <f t="shared" si="0"/>
        <v>4029/4030</v>
      </c>
      <c r="L14" s="22" t="str">
        <f>VLOOKUP(A14,'Trips&amp;Operators'!$C$1:$E$10000,3,FALSE)</f>
        <v>MAELZER</v>
      </c>
      <c r="M14" s="6">
        <f t="shared" si="1"/>
        <v>2.6666666664823424E-2</v>
      </c>
      <c r="N14" s="7">
        <f t="shared" si="2"/>
        <v>38.399999997345731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03:00:07-0600',mode:absolute,to:'2016-10-22 05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23.27</v>
      </c>
      <c r="Z14" s="67">
        <f t="shared" si="9"/>
        <v>1.2999999999999999E-2</v>
      </c>
      <c r="AA14" s="67">
        <f t="shared" si="10"/>
        <v>23.256999999999998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0102-22</v>
      </c>
      <c r="AE14" s="91" t="str">
        <f t="shared" si="12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14" s="88" t="str">
        <f t="shared" si="13"/>
        <v>"C:\Program Files (x86)\AstroGrep\AstroGrep.exe" /spath="%USERPROFILE%\AppData\Local\Temp\OnboardLogs" /stypes="app*4030*20161022*"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4030 --swversion DE.1.0.7.0 --startMP 204:232700 --initTime 2016-10-22T04:00:07 --startdatetime 2016-10-22T04:11:29 --delay 0 --endMP 204:130 --enddatetime 2016-10-22T04:49:53 --enforcementcount 0 &gt;&gt;C:\Users\stu\Documents\GitHub\eaglep3-reporting\EC\2016-10-22-refined-times.txt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{"issue":{"subject":"","project_id":79,"tracker_id":40,"status_id":1,"priority_id":2,"assigned_to_id":23,"start_date":"2016-10-22","description":"","custom_fields":[{"id":1,"name":"Subdivision","value":"EC"},{"id":4,"name":"Milepost","value":"0.013"},{"id":17,"name":"Train ID","value":"102-22"},{"id":16,"name":"Locomotive ID","value":"4030"},{"id":130,"name":"Impact","value":""},{"id":150,"name":"Time of Event (Mountain Time)","value":"04:49:53"},{"id":151,"name":"Denver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453</v>
      </c>
      <c r="B15" s="7">
        <v>4053</v>
      </c>
      <c r="C15" s="22" t="s">
        <v>99</v>
      </c>
      <c r="D15" s="22" t="s">
        <v>627</v>
      </c>
      <c r="E15" s="13">
        <v>42665.155810185184</v>
      </c>
      <c r="F15" s="13">
        <v>42665.156886574077</v>
      </c>
      <c r="G15" s="7">
        <v>1</v>
      </c>
      <c r="H15" s="13" t="s">
        <v>377</v>
      </c>
      <c r="I15" s="13">
        <v>42665.181493055556</v>
      </c>
      <c r="J15" s="7">
        <v>0</v>
      </c>
      <c r="K15" s="112" t="str">
        <f t="shared" si="0"/>
        <v>4053/4054</v>
      </c>
      <c r="L15" s="22" t="str">
        <f>VLOOKUP(A15,'Trips&amp;Operators'!$C$1:$E$10000,3,FALSE)</f>
        <v>MALAVE</v>
      </c>
      <c r="M15" s="6">
        <f t="shared" si="1"/>
        <v>2.4606481478258502E-2</v>
      </c>
      <c r="N15" s="7">
        <f t="shared" si="2"/>
        <v>35.433333328692243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02:44:22-0600',mode:absolute,to:'2016-10-22 05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7.6499999999999999E-2</v>
      </c>
      <c r="Z15" s="67">
        <f t="shared" si="9"/>
        <v>23.3291</v>
      </c>
      <c r="AA15" s="67">
        <f t="shared" si="10"/>
        <v>23.252600000000001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0103-22</v>
      </c>
      <c r="AE15" s="91" t="str">
        <f t="shared" si="12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5" s="88" t="str">
        <f t="shared" si="13"/>
        <v>"C:\Program Files (x86)\AstroGrep\AstroGrep.exe" /spath="%USERPROFILE%\AppData\Local\Temp\OnboardLogs" /stypes="app*4053*20161022*"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103-22 --locoid 4053 --swversion DE.1.0.7.0 --startMP 204:765 --initTime 2016-10-22T03:44:22 --startdatetime 2016-10-22T03:45:55 --delay 1 --endMP 204:233291 --enddatetime 2016-10-22T04:21:21 --enforcementcount 0 &gt;&gt;C:\Users\stu\Documents\GitHub\eaglep3-reporting\EC\2016-10-22-refined-times.txt</v>
      </c>
      <c r="AI1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{"issue":{"subject":"","project_id":79,"tracker_id":40,"status_id":1,"priority_id":2,"assigned_to_id":23,"start_date":"2016-10-22","description":"","custom_fields":[{"id":1,"name":"Subdivision","value":"EC"},{"id":4,"name":"Milepost","value":"23.3291"},{"id":17,"name":"Train ID","value":"103-22"},{"id":16,"name":"Locomotive ID","value":"4053"},{"id":130,"name":"Impact","value":""},{"id":150,"name":"Time of Event (Mountain Time)","value":"04:21:21"},{"id":151,"name":"Denver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462</v>
      </c>
      <c r="B16" s="7">
        <v>4032</v>
      </c>
      <c r="C16" s="22" t="s">
        <v>99</v>
      </c>
      <c r="D16" s="22" t="s">
        <v>628</v>
      </c>
      <c r="E16" s="13">
        <v>42665.192476851851</v>
      </c>
      <c r="F16" s="13">
        <v>42665.195462962962</v>
      </c>
      <c r="G16" s="7">
        <v>1</v>
      </c>
      <c r="H16" s="13" t="s">
        <v>629</v>
      </c>
      <c r="I16" s="13">
        <v>42665.223263888889</v>
      </c>
      <c r="J16" s="7">
        <v>0</v>
      </c>
      <c r="K16" s="112" t="str">
        <f t="shared" si="0"/>
        <v>4031/4032</v>
      </c>
      <c r="L16" s="22" t="str">
        <f>VLOOKUP(A16,'Trips&amp;Operators'!$C$1:$E$10000,3,FALSE)</f>
        <v>MALAVE</v>
      </c>
      <c r="M16" s="6">
        <f t="shared" si="1"/>
        <v>2.7800925927294884E-2</v>
      </c>
      <c r="N16" s="7">
        <f t="shared" si="2"/>
        <v>40.033333335304633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03:37:10-0600',mode:absolute,to:'2016-10-22 06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23.2651</v>
      </c>
      <c r="Z16" s="67">
        <f t="shared" si="9"/>
        <v>1.6500000000000001E-2</v>
      </c>
      <c r="AA16" s="67">
        <f t="shared" si="10"/>
        <v>23.2486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0104-22</v>
      </c>
      <c r="AE16" s="91" t="str">
        <f t="shared" si="12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16" s="88" t="str">
        <f t="shared" si="13"/>
        <v>"C:\Program Files (x86)\AstroGrep\AstroGrep.exe" /spath="%USERPROFILE%\AppData\Local\Temp\OnboardLogs" /stypes="app*4032*20161022*"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104-22 --locoid 4032 --swversion DE.1.0.7.0 --startMP 204:232651 --initTime 2016-10-22T04:37:10 --startdatetime 2016-10-22T04:41:28 --delay 1 --endMP 204:165 --enddatetime 2016-10-22T05:21:30 --enforcementcount 0 &gt;&gt;C:\Users\stu\Documents\GitHub\eaglep3-reporting\EC\2016-10-22-refined-times.txt</v>
      </c>
      <c r="AI1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{"issue":{"subject":"","project_id":79,"tracker_id":40,"status_id":1,"priority_id":2,"assigned_to_id":23,"start_date":"2016-10-22","description":"","custom_fields":[{"id":1,"name":"Subdivision","value":"EC"},{"id":4,"name":"Milepost","value":"0.0165"},{"id":17,"name":"Train ID","value":"104-22"},{"id":16,"name":"Locomotive ID","value":"4032"},{"id":130,"name":"Impact","value":""},{"id":150,"name":"Time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458</v>
      </c>
      <c r="B17" s="7">
        <v>4038</v>
      </c>
      <c r="C17" s="22" t="s">
        <v>99</v>
      </c>
      <c r="D17" s="22" t="s">
        <v>630</v>
      </c>
      <c r="E17" s="13">
        <v>42665.172974537039</v>
      </c>
      <c r="F17" s="13">
        <v>42665.177291666667</v>
      </c>
      <c r="G17" s="7">
        <v>2</v>
      </c>
      <c r="H17" s="13" t="s">
        <v>631</v>
      </c>
      <c r="I17" s="13">
        <v>42665.202997685185</v>
      </c>
      <c r="J17" s="7">
        <v>0</v>
      </c>
      <c r="K17" s="112" t="str">
        <f t="shared" si="0"/>
        <v>4037/4038</v>
      </c>
      <c r="L17" s="22" t="str">
        <f>VLOOKUP(A17,'Trips&amp;Operators'!$C$1:$E$10000,3,FALSE)</f>
        <v>ACKERMAN</v>
      </c>
      <c r="M17" s="6">
        <f t="shared" si="1"/>
        <v>2.5706018517666962E-2</v>
      </c>
      <c r="N17" s="7">
        <f t="shared" si="2"/>
        <v>37.016666665440425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03:09:05-0600',mode:absolute,to:'2016-10-22 05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6.88E-2</v>
      </c>
      <c r="Z17" s="67">
        <f t="shared" si="9"/>
        <v>23.3385</v>
      </c>
      <c r="AA17" s="67">
        <f t="shared" si="10"/>
        <v>23.2697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0105-22</v>
      </c>
      <c r="AE17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7" s="88" t="str">
        <f t="shared" si="13"/>
        <v>"C:\Program Files (x86)\AstroGrep\AstroGrep.exe" /spath="%USERPROFILE%\AppData\Local\Temp\OnboardLogs" /stypes="app*4038*20161022*"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105-22 --locoid 4038 --swversion DE.1.0.7.0 --startMP 204:688 --initTime 2016-10-22T04:09:05 --startdatetime 2016-10-22T04:15:18 --delay 2 --endMP 204:233385 --enddatetime 2016-10-22T04:52:19 --enforcementcount 0 &gt;&gt;C:\Users\stu\Documents\GitHub\eaglep3-reporting\EC\2016-10-22-refined-times.txt</v>
      </c>
      <c r="AI1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{"issue":{"subject":"","project_id":79,"tracker_id":40,"status_id":1,"priority_id":2,"assigned_to_id":23,"start_date":"2016-10-22","description":"","custom_fields":[{"id":1,"name":"Subdivision","value":"EC"},{"id":4,"name":"Milepost","value":"23.3385"},{"id":17,"name":"Train ID","value":"105-22"},{"id":16,"name":"Locomotive ID","value":"4038"},{"id":130,"name":"Impact","value":""},{"id":150,"name":"Time of Event (Mountain Time)","value":"04:52:19"},{"id":151,"name":"Denver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411</v>
      </c>
      <c r="B18" s="7">
        <v>4017</v>
      </c>
      <c r="C18" s="22" t="s">
        <v>99</v>
      </c>
      <c r="D18" s="22" t="s">
        <v>632</v>
      </c>
      <c r="E18" s="13">
        <v>42665.209421296298</v>
      </c>
      <c r="F18" s="13">
        <v>42665.216226851851</v>
      </c>
      <c r="G18" s="7">
        <v>1</v>
      </c>
      <c r="H18" s="13" t="s">
        <v>340</v>
      </c>
      <c r="I18" s="13">
        <v>42665.243587962963</v>
      </c>
      <c r="J18" s="7">
        <v>0</v>
      </c>
      <c r="K18" s="112" t="str">
        <f t="shared" si="0"/>
        <v>4017/4018</v>
      </c>
      <c r="L18" s="22" t="str">
        <f>VLOOKUP(A18,'Trips&amp;Operators'!$C$1:$E$10000,3,FALSE)</f>
        <v>ACKERMAN</v>
      </c>
      <c r="M18" s="6">
        <f t="shared" si="1"/>
        <v>2.73611111115315E-2</v>
      </c>
      <c r="N18" s="7">
        <f t="shared" si="2"/>
        <v>39.40000000060536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04:01:34-0600',mode:absolute,to:'2016-10-22 06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23.273599999999998</v>
      </c>
      <c r="Z18" s="67">
        <f t="shared" si="9"/>
        <v>1.3599999999999999E-2</v>
      </c>
      <c r="AA18" s="67">
        <f t="shared" si="10"/>
        <v>23.259999999999998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0106-22</v>
      </c>
      <c r="AE18" s="91" t="str">
        <f t="shared" si="12"/>
        <v>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 &amp; 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</v>
      </c>
      <c r="AF18" s="88" t="str">
        <f t="shared" si="13"/>
        <v>"C:\Program Files (x86)\AstroGrep\AstroGrep.exe" /spath="%USERPROFILE%\AppData\Local\Temp\OnboardLogs" /stypes="app*4017*20161022*"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106-22 --locoid 4017 --swversion DE.1.0.7.0 --startMP 204:232736 --initTime 2016-10-22T05:01:34 --startdatetime 2016-10-22T05:11:22 --delay 1 --endMP 204:136 --enddatetime 2016-10-22T05:50:46 --enforcementcount 0 &gt;&gt;C:\Users\stu\Documents\GitHub\eaglep3-reporting\EC\2016-10-22-refined-times.txt</v>
      </c>
      <c r="AI1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{"issue":{"subject":"","project_id":79,"tracker_id":40,"status_id":1,"priority_id":2,"assigned_to_id":23,"start_date":"2016-10-22","description":"","custom_fields":[{"id":1,"name":"Subdivision","value":"EC"},{"id":4,"name":"Milepost","value":"0.0136"},{"id":17,"name":"Train ID","value":"106-22"},{"id":16,"name":"Locomotive ID","value":"4017"},{"id":130,"name":"Impact","value":""},{"id":150,"name":"Time of Event (Mountain Time)","value":"05:50:46"},{"id":151,"name":"Denver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460</v>
      </c>
      <c r="B19" s="7">
        <v>4042</v>
      </c>
      <c r="C19" s="22" t="s">
        <v>99</v>
      </c>
      <c r="D19" s="22" t="s">
        <v>235</v>
      </c>
      <c r="E19" s="13">
        <v>42665.18304398148</v>
      </c>
      <c r="F19" s="13">
        <v>42665.187685185185</v>
      </c>
      <c r="G19" s="7">
        <v>1</v>
      </c>
      <c r="H19" s="13" t="s">
        <v>391</v>
      </c>
      <c r="I19" s="13">
        <v>42665.215011574073</v>
      </c>
      <c r="J19" s="7">
        <v>0</v>
      </c>
      <c r="K19" s="112" t="str">
        <f t="shared" si="0"/>
        <v>4041/4042</v>
      </c>
      <c r="L19" s="22" t="str">
        <f>VLOOKUP(A19,'Trips&amp;Operators'!$C$1:$E$10000,3,FALSE)</f>
        <v>DAVIS</v>
      </c>
      <c r="M19" s="6">
        <f t="shared" si="1"/>
        <v>2.73263888884685E-2</v>
      </c>
      <c r="N19" s="7">
        <f t="shared" si="2"/>
        <v>39.34999999939464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03:23:35-0600',mode:absolute,to:'2016-10-22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4.4600000000000001E-2</v>
      </c>
      <c r="Z19" s="67">
        <f t="shared" si="9"/>
        <v>23.3307</v>
      </c>
      <c r="AA19" s="67">
        <f t="shared" si="10"/>
        <v>23.286100000000001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0107-22</v>
      </c>
      <c r="AE19" s="91" t="str">
        <f t="shared" si="12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9" s="88" t="str">
        <f t="shared" si="13"/>
        <v>"C:\Program Files (x86)\AstroGrep\AstroGrep.exe" /spath="%USERPROFILE%\AppData\Local\Temp\OnboardLogs" /stypes="app*4042*20161022*"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107-22 --locoid 4042 --swversion DE.1.0.7.0 --startMP 204:446 --initTime 2016-10-22T04:23:35 --startdatetime 2016-10-22T04:30:16 --delay 1 --endMP 204:233307 --enddatetime 2016-10-22T05:09:37 --enforcementcount 0 &gt;&gt;C:\Users\stu\Documents\GitHub\eaglep3-reporting\EC\2016-10-22-refined-times.txt</v>
      </c>
      <c r="AI1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{"issue":{"subject":"","project_id":79,"tracker_id":40,"status_id":1,"priority_id":2,"assigned_to_id":23,"start_date":"2016-10-22","description":"","custom_fields":[{"id":1,"name":"Subdivision","value":"EC"},{"id":4,"name":"Milepost","value":"23.3307"},{"id":17,"name":"Train ID","value":"107-22"},{"id":16,"name":"Locomotive ID","value":"4042"},{"id":130,"name":"Impact","value":""},{"id":150,"name":"Time of Event (Mountain Time)","value":"05:09:37"},{"id":151,"name":"Denver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465</v>
      </c>
      <c r="B20" s="7">
        <v>4041</v>
      </c>
      <c r="C20" s="22" t="s">
        <v>99</v>
      </c>
      <c r="D20" s="22" t="s">
        <v>281</v>
      </c>
      <c r="E20" s="13">
        <v>42665.221747685187</v>
      </c>
      <c r="F20" s="13">
        <v>42665.226620370369</v>
      </c>
      <c r="G20" s="7">
        <v>2</v>
      </c>
      <c r="H20" s="13" t="s">
        <v>633</v>
      </c>
      <c r="I20" s="13">
        <v>42665.255879629629</v>
      </c>
      <c r="J20" s="7">
        <v>0</v>
      </c>
      <c r="K20" s="112" t="str">
        <f t="shared" si="0"/>
        <v>4041/4042</v>
      </c>
      <c r="L20" s="22" t="str">
        <f>VLOOKUP(A20,'Trips&amp;Operators'!$C$1:$E$10000,3,FALSE)</f>
        <v>DAVIS</v>
      </c>
      <c r="M20" s="6">
        <f t="shared" si="1"/>
        <v>2.9259259259561077E-2</v>
      </c>
      <c r="N20" s="7">
        <f t="shared" si="2"/>
        <v>42.133333333767951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04:19:19-0600',mode:absolute,to:'2016-10-22 07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23.2986</v>
      </c>
      <c r="Z20" s="67">
        <f t="shared" si="9"/>
        <v>1.2500000000000001E-2</v>
      </c>
      <c r="AA20" s="67">
        <f t="shared" si="10"/>
        <v>23.286100000000001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0108-22</v>
      </c>
      <c r="AE20" s="91" t="str">
        <f t="shared" si="12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20" s="88" t="str">
        <f t="shared" si="13"/>
        <v>"C:\Program Files (x86)\AstroGrep\AstroGrep.exe" /spath="%USERPROFILE%\AppData\Local\Temp\OnboardLogs" /stypes="app*4041*20161022*"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108-22 --locoid 4041 --swversion DE.1.0.7.0 --startMP 204:232986 --initTime 2016-10-22T05:19:19 --startdatetime 2016-10-22T05:26:20 --delay 2 --endMP 204:125 --enddatetime 2016-10-22T06:08:28 --enforcementcount 0 &gt;&gt;C:\Users\stu\Documents\GitHub\eaglep3-reporting\EC\2016-10-22-refined-times.txt</v>
      </c>
      <c r="AI2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{"issue":{"subject":"","project_id":79,"tracker_id":40,"status_id":1,"priority_id":2,"assigned_to_id":23,"start_date":"2016-10-22","description":"","custom_fields":[{"id":1,"name":"Subdivision","value":"EC"},{"id":4,"name":"Milepost","value":"0.0125"},{"id":17,"name":"Train ID","value":"108-22"},{"id":16,"name":"Locomotive ID","value":"4041"},{"id":130,"name":"Impact","value":""},{"id":150,"name":"Time of Event (Mountain Time)","value":"06:08:28"},{"id":151,"name":"Denver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461</v>
      </c>
      <c r="B21" s="7">
        <v>4044</v>
      </c>
      <c r="C21" s="22" t="s">
        <v>99</v>
      </c>
      <c r="D21" s="22" t="s">
        <v>238</v>
      </c>
      <c r="E21" s="13">
        <v>42665.186851851853</v>
      </c>
      <c r="F21" s="13">
        <v>42665.198113425926</v>
      </c>
      <c r="G21" s="7">
        <v>1</v>
      </c>
      <c r="H21" s="13" t="s">
        <v>634</v>
      </c>
      <c r="I21" s="13">
        <v>42665.223067129627</v>
      </c>
      <c r="J21" s="7">
        <v>0</v>
      </c>
      <c r="K21" s="112" t="str">
        <f t="shared" si="0"/>
        <v>4043/4044</v>
      </c>
      <c r="L21" s="22" t="str">
        <f>VLOOKUP(A21,'Trips&amp;Operators'!$C$1:$E$10000,3,FALSE)</f>
        <v>KILLION</v>
      </c>
      <c r="M21" s="6">
        <f t="shared" si="1"/>
        <v>2.495370370161254E-2</v>
      </c>
      <c r="N21" s="7">
        <f t="shared" si="2"/>
        <v>35.933333330322057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03:29:04-0600',mode:absolute,to:'2016-10-22 06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4.5999999999999999E-2</v>
      </c>
      <c r="Z21" s="67">
        <f t="shared" si="9"/>
        <v>23.328099999999999</v>
      </c>
      <c r="AA21" s="67">
        <f t="shared" si="10"/>
        <v>23.2821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0109-22</v>
      </c>
      <c r="AE21" s="91" t="str">
        <f t="shared" si="12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21" s="88" t="str">
        <f t="shared" si="13"/>
        <v>"C:\Program Files (x86)\AstroGrep\AstroGrep.exe" /spath="%USERPROFILE%\AppData\Local\Temp\OnboardLogs" /stypes="app*4044*20161022*"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109-22 --locoid 4044 --swversion DE.1.0.7.0 --startMP 204:460 --initTime 2016-10-22T04:29:04 --startdatetime 2016-10-22T04:45:17 --delay 1 --endMP 204:233281 --enddatetime 2016-10-22T05:21:13 --enforcementcount 0 &gt;&gt;C:\Users\stu\Documents\GitHub\eaglep3-reporting\EC\2016-10-22-refined-times.txt</v>
      </c>
      <c r="AI21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{"issue":{"subject":"","project_id":79,"tracker_id":40,"status_id":1,"priority_id":2,"assigned_to_id":23,"start_date":"2016-10-22","description":"","custom_fields":[{"id":1,"name":"Subdivision","value":"EC"},{"id":4,"name":"Milepost","value":"23.3281"},{"id":17,"name":"Train ID","value":"109-22"},{"id":16,"name":"Locomotive ID","value":"4044"},{"id":130,"name":"Impact","value":""},{"id":150,"name":"Time of Event (Mountain Time)","value":"05:21:13"},{"id":151,"name":"Denver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467</v>
      </c>
      <c r="B22" s="7">
        <v>4043</v>
      </c>
      <c r="C22" s="22" t="s">
        <v>99</v>
      </c>
      <c r="D22" s="22" t="s">
        <v>318</v>
      </c>
      <c r="E22" s="13">
        <v>42665.228391203702</v>
      </c>
      <c r="F22" s="13">
        <v>42665.237025462964</v>
      </c>
      <c r="G22" s="7">
        <v>1</v>
      </c>
      <c r="H22" s="13" t="s">
        <v>176</v>
      </c>
      <c r="I22" s="13">
        <v>42665.264351851853</v>
      </c>
      <c r="J22" s="7">
        <v>0</v>
      </c>
      <c r="K22" s="112" t="str">
        <f t="shared" si="0"/>
        <v>4043/4044</v>
      </c>
      <c r="L22" s="22" t="str">
        <f>VLOOKUP(A22,'Trips&amp;Operators'!$C$1:$E$10000,3,FALSE)</f>
        <v>KILLION</v>
      </c>
      <c r="M22" s="6">
        <f t="shared" si="1"/>
        <v>2.73263888884685E-2</v>
      </c>
      <c r="N22" s="7">
        <f t="shared" si="2"/>
        <v>39.34999999939464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04:28:53-0600',mode:absolute,to:'2016-10-22 07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23.2989</v>
      </c>
      <c r="Z22" s="67">
        <f t="shared" si="9"/>
        <v>1.47E-2</v>
      </c>
      <c r="AA22" s="67">
        <f t="shared" si="10"/>
        <v>23.284199999999998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0110-22</v>
      </c>
      <c r="AE22" s="91" t="str">
        <f t="shared" si="12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22" s="88" t="str">
        <f t="shared" si="13"/>
        <v>"C:\Program Files (x86)\AstroGrep\AstroGrep.exe" /spath="%USERPROFILE%\AppData\Local\Temp\OnboardLogs" /stypes="app*4043*20161022*"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110-22 --locoid 4043 --swversion DE.1.0.7.0 --startMP 204:232989 --initTime 2016-10-22T05:28:53 --startdatetime 2016-10-22T05:41:19 --delay 1 --endMP 204:147 --enddatetime 2016-10-22T06:20:40 --enforcementcount 0 &gt;&gt;C:\Users\stu\Documents\GitHub\eaglep3-reporting\EC\2016-10-22-refined-times.txt</v>
      </c>
      <c r="AI2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{"issue":{"subject":"","project_id":79,"tracker_id":40,"status_id":1,"priority_id":2,"assigned_to_id":23,"start_date":"2016-10-22","description":"","custom_fields":[{"id":1,"name":"Subdivision","value":"EC"},{"id":4,"name":"Milepost","value":"0.0147"},{"id":17,"name":"Train ID","value":"110-22"},{"id":16,"name":"Locomotive ID","value":"4043"},{"id":130,"name":"Impact","value":""},{"id":150,"name":"Time of Event (Mountain Time)","value":"06:20:40"},{"id":151,"name":"Denver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463</v>
      </c>
      <c r="B23" s="7">
        <v>4011</v>
      </c>
      <c r="C23" s="22" t="s">
        <v>99</v>
      </c>
      <c r="D23" s="22" t="s">
        <v>635</v>
      </c>
      <c r="E23" s="13">
        <v>42665.204305555555</v>
      </c>
      <c r="F23" s="13">
        <v>42665.208541666667</v>
      </c>
      <c r="G23" s="7">
        <v>5</v>
      </c>
      <c r="H23" s="13" t="s">
        <v>636</v>
      </c>
      <c r="I23" s="13">
        <v>42665.23296296296</v>
      </c>
      <c r="J23" s="7">
        <v>0</v>
      </c>
      <c r="K23" s="112" t="str">
        <f t="shared" si="0"/>
        <v>4011/4012</v>
      </c>
      <c r="L23" s="22" t="str">
        <f>VLOOKUP(A23,'Trips&amp;Operators'!$C$1:$E$10000,3,FALSE)</f>
        <v>GEBRETEKLE</v>
      </c>
      <c r="M23" s="6">
        <f t="shared" si="1"/>
        <v>2.4421296293439809E-2</v>
      </c>
      <c r="N23" s="7">
        <f t="shared" si="2"/>
        <v>35.166666662553325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03:54:12-0600',mode:absolute,to:'2016-10-22 06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7.2400000000000006E-2</v>
      </c>
      <c r="Z23" s="67">
        <f t="shared" si="9"/>
        <v>23.327000000000002</v>
      </c>
      <c r="AA23" s="67">
        <f t="shared" si="10"/>
        <v>23.254600000000003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0111-22</v>
      </c>
      <c r="AE23" s="91" t="str">
        <f t="shared" si="12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23" s="88" t="str">
        <f t="shared" si="13"/>
        <v>"C:\Program Files (x86)\AstroGrep\AstroGrep.exe" /spath="%USERPROFILE%\AppData\Local\Temp\OnboardLogs" /stypes="app*4011*20161022*"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111-22 --locoid 4011 --swversion DE.1.0.7.0 --startMP 204:724 --initTime 2016-10-22T04:54:12 --startdatetime 2016-10-22T05:00:18 --delay 5 --endMP 204:233270 --enddatetime 2016-10-22T05:35:28 --enforcementcount 0 &gt;&gt;C:\Users\stu\Documents\GitHub\eaglep3-reporting\EC\2016-10-22-refined-times.txt</v>
      </c>
      <c r="AI2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{"issue":{"subject":"","project_id":79,"tracker_id":40,"status_id":1,"priority_id":2,"assigned_to_id":23,"start_date":"2016-10-22","description":"","custom_fields":[{"id":1,"name":"Subdivision","value":"EC"},{"id":4,"name":"Milepost","value":"23.327"},{"id":17,"name":"Train ID","value":"111-22"},{"id":16,"name":"Locomotive ID","value":"4011"},{"id":130,"name":"Impact","value":""},{"id":150,"name":"Time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471</v>
      </c>
      <c r="B24" s="7">
        <v>4012</v>
      </c>
      <c r="C24" s="22" t="s">
        <v>99</v>
      </c>
      <c r="D24" s="22" t="s">
        <v>396</v>
      </c>
      <c r="E24" s="13">
        <v>42665.242013888892</v>
      </c>
      <c r="F24" s="13">
        <v>42665.247407407405</v>
      </c>
      <c r="G24" s="7">
        <v>1</v>
      </c>
      <c r="H24" s="13" t="s">
        <v>336</v>
      </c>
      <c r="I24" s="13">
        <v>42665.275034722225</v>
      </c>
      <c r="J24" s="7">
        <v>0</v>
      </c>
      <c r="K24" s="112" t="str">
        <f t="shared" si="0"/>
        <v>4011/4012</v>
      </c>
      <c r="L24" s="22" t="str">
        <f>VLOOKUP(A24,'Trips&amp;Operators'!$C$1:$E$10000,3,FALSE)</f>
        <v>GEBRETEKLE</v>
      </c>
      <c r="M24" s="6">
        <f t="shared" si="1"/>
        <v>2.7627314819255844E-2</v>
      </c>
      <c r="N24" s="7">
        <f t="shared" si="2"/>
        <v>39.783333339728415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04:48:30-0600',mode:absolute,to:'2016-10-22 07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23.296299999999999</v>
      </c>
      <c r="Z24" s="67">
        <f t="shared" si="9"/>
        <v>1.6299999999999999E-2</v>
      </c>
      <c r="AA24" s="67">
        <f t="shared" si="10"/>
        <v>23.279999999999998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0112-22</v>
      </c>
      <c r="AE24" s="91" t="str">
        <f t="shared" si="12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24" s="88" t="str">
        <f t="shared" si="13"/>
        <v>"C:\Program Files (x86)\AstroGrep\AstroGrep.exe" /spath="%USERPROFILE%\AppData\Local\Temp\OnboardLogs" /stypes="app*4012*20161022*"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112-22 --locoid 4012 --swversion DE.1.0.7.0 --startMP 204:232963 --initTime 2016-10-22T05:48:30 --startdatetime 2016-10-22T05:56:16 --delay 1 --endMP 204:163 --enddatetime 2016-10-22T06:36:03 --enforcementcount 0 &gt;&gt;C:\Users\stu\Documents\GitHub\eaglep3-reporting\EC\2016-10-22-refined-times.txt</v>
      </c>
      <c r="AI2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{"issue":{"subject":"","project_id":79,"tracker_id":40,"status_id":1,"priority_id":2,"assigned_to_id":23,"start_date":"2016-10-22","description":"","custom_fields":[{"id":1,"name":"Subdivision","value":"EC"},{"id":4,"name":"Milepost","value":"0.0163"},{"id":17,"name":"Train ID","value":"112-22"},{"id":16,"name":"Locomotive ID","value":"4012"},{"id":130,"name":"Impact","value":""},{"id":150,"name":"Time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464</v>
      </c>
      <c r="B25" s="7">
        <v>4029</v>
      </c>
      <c r="C25" s="22" t="s">
        <v>99</v>
      </c>
      <c r="D25" s="22" t="s">
        <v>320</v>
      </c>
      <c r="E25" s="13">
        <v>42665.208807870367</v>
      </c>
      <c r="F25" s="13">
        <v>42665.219050925924</v>
      </c>
      <c r="G25" s="7">
        <v>1</v>
      </c>
      <c r="H25" s="13" t="s">
        <v>637</v>
      </c>
      <c r="I25" s="13">
        <v>42665.244664351849</v>
      </c>
      <c r="J25" s="7">
        <v>0</v>
      </c>
      <c r="K25" s="112" t="str">
        <f t="shared" si="0"/>
        <v>4029/4030</v>
      </c>
      <c r="L25" s="22" t="str">
        <f>VLOOKUP(A25,'Trips&amp;Operators'!$C$1:$E$10000,3,FALSE)</f>
        <v>MAELZER</v>
      </c>
      <c r="M25" s="6">
        <f t="shared" si="1"/>
        <v>2.5613425925257616E-2</v>
      </c>
      <c r="N25" s="7">
        <f t="shared" si="2"/>
        <v>36.883333332370967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04:00:41-0600',mode:absolute,to:'2016-10-22 06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4.3999999999999997E-2</v>
      </c>
      <c r="Z25" s="67">
        <f t="shared" si="9"/>
        <v>23.3308</v>
      </c>
      <c r="AA25" s="67">
        <f t="shared" si="10"/>
        <v>23.286799999999999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0113-22</v>
      </c>
      <c r="AE25" s="91" t="str">
        <f t="shared" si="12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25" s="88" t="str">
        <f t="shared" si="13"/>
        <v>"C:\Program Files (x86)\AstroGrep\AstroGrep.exe" /spath="%USERPROFILE%\AppData\Local\Temp\OnboardLogs" /stypes="app*4029*20161022*"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113-22 --locoid 4029 --swversion DE.1.0.7.0 --startMP 204:440 --initTime 2016-10-22T05:00:41 --startdatetime 2016-10-22T05:15:26 --delay 1 --endMP 204:233308 --enddatetime 2016-10-22T05:52:19 --enforcementcount 0 &gt;&gt;C:\Users\stu\Documents\GitHub\eaglep3-reporting\EC\2016-10-22-refined-times.txt</v>
      </c>
      <c r="AI2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{"issue":{"subject":"","project_id":79,"tracker_id":40,"status_id":1,"priority_id":2,"assigned_to_id":23,"start_date":"2016-10-22","description":"","custom_fields":[{"id":1,"name":"Subdivision","value":"EC"},{"id":4,"name":"Milepost","value":"23.3308"},{"id":17,"name":"Train ID","value":"113-22"},{"id":16,"name":"Locomotive ID","value":"4029"},{"id":130,"name":"Impact","value":""},{"id":150,"name":"Time of Event (Mountain Time)","value":"05:52:19"},{"id":151,"name":"Denver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473</v>
      </c>
      <c r="B26" s="7">
        <v>4030</v>
      </c>
      <c r="C26" s="22" t="s">
        <v>99</v>
      </c>
      <c r="D26" s="22" t="s">
        <v>277</v>
      </c>
      <c r="E26" s="13">
        <v>42665.253912037035</v>
      </c>
      <c r="F26" s="13">
        <v>42665.257974537039</v>
      </c>
      <c r="G26" s="7">
        <v>1</v>
      </c>
      <c r="H26" s="13" t="s">
        <v>638</v>
      </c>
      <c r="I26" s="13">
        <v>42665.287268518521</v>
      </c>
      <c r="J26" s="7">
        <v>0</v>
      </c>
      <c r="K26" s="112" t="str">
        <f t="shared" si="0"/>
        <v>4029/4030</v>
      </c>
      <c r="L26" s="22" t="str">
        <f>VLOOKUP(A26,'Trips&amp;Operators'!$C$1:$E$10000,3,FALSE)</f>
        <v>MAELZER</v>
      </c>
      <c r="M26" s="6">
        <f t="shared" si="1"/>
        <v>2.9293981482624076E-2</v>
      </c>
      <c r="N26" s="7">
        <f t="shared" si="2"/>
        <v>42.18333333497867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05:05:38-0600',mode:absolute,to:'2016-10-22 07:53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23.298300000000001</v>
      </c>
      <c r="Z26" s="67">
        <f t="shared" si="9"/>
        <v>1.72E-2</v>
      </c>
      <c r="AA26" s="67">
        <f t="shared" si="10"/>
        <v>23.281100000000002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0114-22</v>
      </c>
      <c r="AE26" s="91" t="str">
        <f t="shared" si="12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26" s="88" t="str">
        <f t="shared" si="13"/>
        <v>"C:\Program Files (x86)\AstroGrep\AstroGrep.exe" /spath="%USERPROFILE%\AppData\Local\Temp\OnboardLogs" /stypes="app*4030*20161022*"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114-22 --locoid 4030 --swversion DE.1.0.7.0 --startMP 204:232983 --initTime 2016-10-22T06:05:38 --startdatetime 2016-10-22T06:11:29 --delay 1 --endMP 204:172 --enddatetime 2016-10-22T06:53:40 --enforcementcount 0 &gt;&gt;C:\Users\stu\Documents\GitHub\eaglep3-reporting\EC\2016-10-22-refined-times.txt</v>
      </c>
      <c r="AI2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{"issue":{"subject":"","project_id":79,"tracker_id":40,"status_id":1,"priority_id":2,"assigned_to_id":23,"start_date":"2016-10-22","description":"","custom_fields":[{"id":1,"name":"Subdivision","value":"EC"},{"id":4,"name":"Milepost","value":"0.0172"},{"id":17,"name":"Train ID","value":"114-22"},{"id":16,"name":"Locomotive ID","value":"4030"},{"id":130,"name":"Impact","value":""},{"id":150,"name":"Time of Event (Mountain Time)","value":"06:53:40"},{"id":151,"name":"Denver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468</v>
      </c>
      <c r="B27" s="7">
        <v>4053</v>
      </c>
      <c r="C27" s="22" t="s">
        <v>99</v>
      </c>
      <c r="D27" s="22" t="s">
        <v>639</v>
      </c>
      <c r="E27" s="13">
        <v>42665.229594907411</v>
      </c>
      <c r="F27" s="13">
        <v>42665.231550925928</v>
      </c>
      <c r="G27" s="7">
        <v>1</v>
      </c>
      <c r="H27" s="13" t="s">
        <v>636</v>
      </c>
      <c r="I27" s="13">
        <v>42665.256747685184</v>
      </c>
      <c r="J27" s="7">
        <v>0</v>
      </c>
      <c r="K27" s="112" t="str">
        <f t="shared" si="0"/>
        <v>4053/4054</v>
      </c>
      <c r="L27" s="22" t="str">
        <f>VLOOKUP(A27,'Trips&amp;Operators'!$C$1:$E$10000,3,FALSE)</f>
        <v>STRICKLAND</v>
      </c>
      <c r="M27" s="6">
        <f t="shared" si="1"/>
        <v>2.5196759255777579E-2</v>
      </c>
      <c r="N27" s="7">
        <f t="shared" si="2"/>
        <v>36.283333328319713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04:30:37-0600',mode:absolute,to:'2016-10-22 07:09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7.4399999999999994E-2</v>
      </c>
      <c r="Z27" s="67">
        <f t="shared" si="9"/>
        <v>23.327000000000002</v>
      </c>
      <c r="AA27" s="67">
        <f t="shared" si="10"/>
        <v>23.252600000000001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0115-22</v>
      </c>
      <c r="AE27" s="91" t="str">
        <f t="shared" si="12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27" s="88" t="str">
        <f t="shared" si="13"/>
        <v>"C:\Program Files (x86)\AstroGrep\AstroGrep.exe" /spath="%USERPROFILE%\AppData\Local\Temp\OnboardLogs" /stypes="app*4053*20161022*"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115-22 --locoid 4053 --swversion DE.1.0.7.0 --startMP 204:744 --initTime 2016-10-22T05:30:37 --startdatetime 2016-10-22T05:33:26 --delay 1 --endMP 204:233270 --enddatetime 2016-10-22T06:09:43 --enforcementcount 0 &gt;&gt;C:\Users\stu\Documents\GitHub\eaglep3-reporting\EC\2016-10-22-refined-times.txt</v>
      </c>
      <c r="AI2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{"issue":{"subject":"","project_id":79,"tracker_id":40,"status_id":1,"priority_id":2,"assigned_to_id":23,"start_date":"2016-10-22","description":"","custom_fields":[{"id":1,"name":"Subdivision","value":"EC"},{"id":4,"name":"Milepost","value":"23.327"},{"id":17,"name":"Train ID","value":"115-22"},{"id":16,"name":"Locomotive ID","value":"4053"},{"id":130,"name":"Impact","value":""},{"id":150,"name":"Time of Event (Mountain Time)","value":"06:09:43"},{"id":151,"name":"Denver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414</v>
      </c>
      <c r="B28" s="7">
        <v>4054</v>
      </c>
      <c r="C28" s="22" t="s">
        <v>99</v>
      </c>
      <c r="D28" s="22" t="s">
        <v>317</v>
      </c>
      <c r="E28" s="13">
        <v>42665.265057870369</v>
      </c>
      <c r="F28" s="13">
        <v>42665.268252314818</v>
      </c>
      <c r="G28" s="7">
        <v>1</v>
      </c>
      <c r="H28" s="13" t="s">
        <v>220</v>
      </c>
      <c r="I28" s="13">
        <v>42665.296666666669</v>
      </c>
      <c r="J28" s="7">
        <v>0</v>
      </c>
      <c r="K28" s="112" t="str">
        <f t="shared" si="0"/>
        <v>4053/4054</v>
      </c>
      <c r="L28" s="22" t="str">
        <f>VLOOKUP(A28,'Trips&amp;Operators'!$C$1:$E$10000,3,FALSE)</f>
        <v>STRICKLAND</v>
      </c>
      <c r="M28" s="6">
        <f t="shared" si="1"/>
        <v>2.8414351851097308E-2</v>
      </c>
      <c r="N28" s="7">
        <f t="shared" si="2"/>
        <v>40.916666665580124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05:21:41-0600',mode:absolute,to:'2016-10-22 08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23.2973</v>
      </c>
      <c r="Z28" s="67">
        <f t="shared" si="9"/>
        <v>1.54E-2</v>
      </c>
      <c r="AA28" s="67">
        <f t="shared" si="10"/>
        <v>23.2819</v>
      </c>
      <c r="AB28" s="64" t="str">
        <f>VLOOKUP(A28,Enforcements!$C$7:$K$21,8,0)</f>
        <v>Speed (6)</v>
      </c>
      <c r="AC28" s="60" t="str">
        <f>VLOOKUP(A28,Enforcements!$C$7:$E$21,3,0)</f>
        <v>PERMANENT SPEED RESTRICTION</v>
      </c>
      <c r="AD28" s="61" t="str">
        <f t="shared" si="11"/>
        <v>0116-22</v>
      </c>
      <c r="AE28" s="91" t="str">
        <f t="shared" si="12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28" s="88" t="str">
        <f t="shared" si="13"/>
        <v>"C:\Program Files (x86)\AstroGrep\AstroGrep.exe" /spath="%USERPROFILE%\AppData\Local\Temp\OnboardLogs" /stypes="app*4054*20161022*"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116-22 --locoid 4054 --swversion DE.1.0.7.0 --startMP 204:232973 --initTime 2016-10-22T06:21:41 --startdatetime 2016-10-22T06:26:17 --delay 1 --endMP 204:154 --enddatetime 2016-10-22T07:07:12 --enforcementcount 0 &gt;&gt;C:\Users\stu\Documents\GitHub\eaglep3-reporting\EC\2016-10-22-refined-times.txt</v>
      </c>
      <c r="AI2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{"issue":{"subject":"","project_id":79,"tracker_id":40,"status_id":1,"priority_id":2,"assigned_to_id":23,"start_date":"2016-10-22","description":"","custom_fields":[{"id":1,"name":"Subdivision","value":"EC"},{"id":4,"name":"Milepost","value":"0.0154"},{"id":17,"name":"Train ID","value":"116-22"},{"id":16,"name":"Locomotive ID","value":"4054"},{"id":130,"name":"Impact","value":""},{"id":150,"name":"Time of Event (Mountain Time)","value":"07:07:12"},{"id":151,"name":"Denver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470</v>
      </c>
      <c r="B29" s="7">
        <v>4031</v>
      </c>
      <c r="C29" s="22" t="s">
        <v>99</v>
      </c>
      <c r="D29" s="22" t="s">
        <v>230</v>
      </c>
      <c r="E29" s="13">
        <v>42665.236388888887</v>
      </c>
      <c r="F29" s="13">
        <v>42665.239837962959</v>
      </c>
      <c r="G29" s="7">
        <v>1</v>
      </c>
      <c r="H29" s="13" t="s">
        <v>270</v>
      </c>
      <c r="I29" s="13">
        <v>42665.265092592592</v>
      </c>
      <c r="J29" s="7">
        <v>0</v>
      </c>
      <c r="K29" s="112" t="str">
        <f t="shared" si="0"/>
        <v>4031/4032</v>
      </c>
      <c r="L29" s="22" t="str">
        <f>VLOOKUP(A29,'Trips&amp;Operators'!$C$1:$E$10000,3,FALSE)</f>
        <v>MALAVE</v>
      </c>
      <c r="M29" s="6">
        <f t="shared" si="1"/>
        <v>2.5254629632399883E-2</v>
      </c>
      <c r="N29" s="7">
        <f t="shared" si="2"/>
        <v>36.366666670655832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04:40:24-0600',mode:absolute,to:'2016-10-22 07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4.6399999999999997E-2</v>
      </c>
      <c r="Z29" s="67">
        <f t="shared" si="9"/>
        <v>23.3278</v>
      </c>
      <c r="AA29" s="67">
        <f t="shared" si="10"/>
        <v>23.281400000000001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0117-22</v>
      </c>
      <c r="AE29" s="91" t="str">
        <f t="shared" si="12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29" s="88" t="str">
        <f t="shared" si="13"/>
        <v>"C:\Program Files (x86)\AstroGrep\AstroGrep.exe" /spath="%USERPROFILE%\AppData\Local\Temp\OnboardLogs" /stypes="app*4031*20161022*"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117-22 --locoid 4031 --swversion DE.1.0.7.0 --startMP 204:464 --initTime 2016-10-22T05:40:24 --startdatetime 2016-10-22T05:45:22 --delay 1 --endMP 204:233278 --enddatetime 2016-10-22T06:21:44 --enforcementcount 0 &gt;&gt;C:\Users\stu\Documents\GitHub\eaglep3-reporting\EC\2016-10-22-refined-times.txt</v>
      </c>
      <c r="AI2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{"issue":{"subject":"","project_id":79,"tracker_id":40,"status_id":1,"priority_id":2,"assigned_to_id":23,"start_date":"2016-10-22","description":"","custom_fields":[{"id":1,"name":"Subdivision","value":"EC"},{"id":4,"name":"Milepost","value":"23.3278"},{"id":17,"name":"Train ID","value":"117-22"},{"id":16,"name":"Locomotive ID","value":"4031"},{"id":130,"name":"Impact","value":""},{"id":150,"name":"Time of Event (Mountain Time)","value":"06:21:44"},{"id":151,"name":"Denver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476</v>
      </c>
      <c r="B30" s="7">
        <v>4032</v>
      </c>
      <c r="C30" s="22" t="s">
        <v>99</v>
      </c>
      <c r="D30" s="22" t="s">
        <v>386</v>
      </c>
      <c r="E30" s="13">
        <v>42665.275682870371</v>
      </c>
      <c r="F30" s="13">
        <v>42665.278900462959</v>
      </c>
      <c r="G30" s="7">
        <v>1</v>
      </c>
      <c r="H30" s="13" t="s">
        <v>323</v>
      </c>
      <c r="I30" s="13">
        <v>42665.306469907409</v>
      </c>
      <c r="J30" s="7">
        <v>0</v>
      </c>
      <c r="K30" s="112" t="str">
        <f t="shared" si="0"/>
        <v>4031/4032</v>
      </c>
      <c r="L30" s="22" t="str">
        <f>VLOOKUP(A30,'Trips&amp;Operators'!$C$1:$E$10000,3,FALSE)</f>
        <v>MALAVE</v>
      </c>
      <c r="M30" s="6">
        <f t="shared" si="1"/>
        <v>2.7569444449909497E-2</v>
      </c>
      <c r="N30" s="7">
        <f t="shared" si="2"/>
        <v>39.700000007869676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05:36:59-0600',mode:absolute,to:'2016-10-22 08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23.2972</v>
      </c>
      <c r="Z30" s="67">
        <f t="shared" si="9"/>
        <v>1.6899999999999998E-2</v>
      </c>
      <c r="AA30" s="67">
        <f t="shared" si="10"/>
        <v>23.2803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0118-22</v>
      </c>
      <c r="AE30" s="91" t="str">
        <f t="shared" si="12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30" s="88" t="str">
        <f t="shared" si="13"/>
        <v>"C:\Program Files (x86)\AstroGrep\AstroGrep.exe" /spath="%USERPROFILE%\AppData\Local\Temp\OnboardLogs" /stypes="app*4032*20161022*"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118-22 --locoid 4032 --swversion DE.1.0.7.0 --startMP 204:232972 --initTime 2016-10-22T06:36:59 --startdatetime 2016-10-22T06:41:37 --delay 1 --endMP 204:169 --enddatetime 2016-10-22T07:21:19 --enforcementcount 0 &gt;&gt;C:\Users\stu\Documents\GitHub\eaglep3-reporting\EC\2016-10-22-refined-times.txt</v>
      </c>
      <c r="AI3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ID","value":"118-22"},{"id":16,"name":"Locomotive ID","value":"4032"},{"id":130,"name":"Impact","value":""},{"id":150,"name":"Time of Event (Mountain Time)","value":"07:21:19"},{"id":151,"name":"Denver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412</v>
      </c>
      <c r="B31" s="7">
        <v>4038</v>
      </c>
      <c r="C31" s="22" t="s">
        <v>99</v>
      </c>
      <c r="D31" s="22" t="s">
        <v>640</v>
      </c>
      <c r="E31" s="13">
        <v>42665.263113425928</v>
      </c>
      <c r="F31" s="13">
        <v>42665.250497685185</v>
      </c>
      <c r="G31" s="7">
        <v>1</v>
      </c>
      <c r="H31" s="13" t="s">
        <v>397</v>
      </c>
      <c r="I31" s="13">
        <v>42665.260208333333</v>
      </c>
      <c r="J31" s="7">
        <v>0</v>
      </c>
      <c r="K31" s="112" t="str">
        <f t="shared" si="0"/>
        <v>4037/4038</v>
      </c>
      <c r="L31" s="22" t="str">
        <f>VLOOKUP(A31,'Trips&amp;Operators'!$C$1:$E$10000,3,FALSE)</f>
        <v>ACKERMAN</v>
      </c>
      <c r="M31" s="6">
        <f t="shared" si="1"/>
        <v>9.710648148029577E-3</v>
      </c>
      <c r="N31" s="7">
        <f>24*60*SUM($M31:$M32)</f>
        <v>39.249999996973202</v>
      </c>
      <c r="O31" s="7"/>
      <c r="P31" s="7"/>
      <c r="Q31" s="23"/>
      <c r="R31" s="23" t="s">
        <v>759</v>
      </c>
      <c r="S31" s="35">
        <f>SUM(U31:U32)/IF(AG31="EC",12,1)</f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3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05:18:53-0600',mode:absolute,to:'2016-10-22 07:14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6"/>
        <v>Y</v>
      </c>
      <c r="X31" s="171">
        <f t="shared" si="7"/>
        <v>1</v>
      </c>
      <c r="Y31" s="67">
        <f t="shared" si="8"/>
        <v>6.4711999999999996</v>
      </c>
      <c r="Z31" s="67">
        <f t="shared" si="9"/>
        <v>23.328800000000001</v>
      </c>
      <c r="AA31" s="67">
        <f t="shared" si="10"/>
        <v>16.857600000000001</v>
      </c>
      <c r="AB31" s="64" t="str">
        <f>VLOOKUP(A31,Enforcements!$C$7:$K$21,8,0)</f>
        <v>Signal based authority (5)</v>
      </c>
      <c r="AC31" s="60" t="str">
        <f>VLOOKUP(A31,Enforcements!$C$7:$E$21,3,0)</f>
        <v>SIGNAL</v>
      </c>
      <c r="AD31" s="61" t="str">
        <f t="shared" si="11"/>
        <v>0119-22</v>
      </c>
      <c r="AE31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31" s="88" t="str">
        <f t="shared" si="13"/>
        <v>"C:\Program Files (x86)\AstroGrep\AstroGrep.exe" /spath="%USERPROFILE%\AppData\Local\Temp\OnboardLogs" /stypes="app*4038*20161022*"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119-22 --locoid 4038 --swversion DE.1.0.7.0 --startMP 204:64712 --initTime 2016-10-22T06:18:53 --startdatetime 2016-10-22T06:00:43 --delay 1 --endMP 204:233288 --enddatetime 2016-10-22T06:14:42 --enforcementcount 0 &gt;&gt;C:\Users\stu\Documents\GitHub\eaglep3-reporting\EC\2016-10-22-refined-times.txt</v>
      </c>
      <c r="AI31" s="122" t="str">
        <f t="shared" si="18"/>
        <v>echo {"issue":{"subject":"Premature downgrade at EC0629XH 57-1T 1N","project_id":79,"tracker_id":40,"status_id":1,"priority_id":2,"assigned_to_id":23,"start_date":"2016-10-22","description":"At 06:14:24, EC0629 57-1T 1N dropped from 270 to STOP &amp; PROCEED. Any issues at this time?","custom_fields":[{"id":1,"name":"Subdivision","value":"EC"},{"id":4,"name":"Milepost","value":"23.3288"},{"id":17,"name":"Train ID","value":"119-22"},{"id":16,"name":"Locomotive ID","value":"4038"},{"id":130,"name":"Impact","value":"Enforcement"},{"id":150,"name":"Time of Event (Mountain Time)","value":"06:14:42"},{"id":151,"name":"Denver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1" s="53" t="s">
        <v>760</v>
      </c>
      <c r="AK31" s="53" t="s">
        <v>126</v>
      </c>
      <c r="AL31" s="53" t="s">
        <v>131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412</v>
      </c>
      <c r="B32" s="7">
        <v>4038</v>
      </c>
      <c r="C32" s="22" t="s">
        <v>99</v>
      </c>
      <c r="D32" s="22" t="s">
        <v>382</v>
      </c>
      <c r="E32" s="13">
        <v>42665.247094907405</v>
      </c>
      <c r="F32" s="13">
        <v>42665.264108796298</v>
      </c>
      <c r="G32" s="7">
        <v>2</v>
      </c>
      <c r="H32" s="13" t="s">
        <v>641</v>
      </c>
      <c r="I32" s="13">
        <v>42665.281655092593</v>
      </c>
      <c r="J32" s="7">
        <v>1</v>
      </c>
      <c r="K32" s="112" t="str">
        <f t="shared" si="0"/>
        <v>4037/4038</v>
      </c>
      <c r="L32" s="22" t="str">
        <f>VLOOKUP(A32,'Trips&amp;Operators'!$C$1:$E$10000,3,FALSE)</f>
        <v>ACKERMAN</v>
      </c>
      <c r="M32" s="6">
        <f t="shared" si="1"/>
        <v>1.7546296294312924E-2</v>
      </c>
      <c r="N32" s="7"/>
      <c r="O32" s="7"/>
      <c r="P32" s="7"/>
      <c r="Q32" s="23"/>
      <c r="R32" s="23"/>
      <c r="S32" s="35"/>
      <c r="T32" s="50" t="str">
        <f t="shared" si="4"/>
        <v>NorthBound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9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04:55:49-0600',mode:absolute,to:'2016-10-22 07:45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2" s="52" t="str">
        <f t="shared" si="6"/>
        <v>Y</v>
      </c>
      <c r="X32" s="171">
        <f t="shared" si="7"/>
        <v>0</v>
      </c>
      <c r="Y32" s="67">
        <f t="shared" si="8"/>
        <v>7.4999999999999997E-2</v>
      </c>
      <c r="Z32" s="67">
        <f t="shared" si="9"/>
        <v>6.4459</v>
      </c>
      <c r="AA32" s="67">
        <f t="shared" si="10"/>
        <v>6.3708999999999998</v>
      </c>
      <c r="AB32" s="64" t="str">
        <f>VLOOKUP(A32,Enforcements!$C$7:$K$21,8,0)</f>
        <v>Signal based authority (5)</v>
      </c>
      <c r="AC32" s="60" t="str">
        <f>VLOOKUP(A32,Enforcements!$C$7:$E$21,3,0)</f>
        <v>SIGNAL</v>
      </c>
      <c r="AD32" s="61" t="str">
        <f t="shared" si="11"/>
        <v>0119-22</v>
      </c>
      <c r="AE32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32" s="88" t="str">
        <f t="shared" si="13"/>
        <v>"C:\Program Files (x86)\AstroGrep\AstroGrep.exe" /spath="%USERPROFILE%\AppData\Local\Temp\OnboardLogs" /stypes="app*4038*20161022*" /stext=" 12:.+((SYSTEM_STATE.+slice.+state.+changed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119-22 --locoid 4038 --swversion DE.1.0.7.0 --startMP 204:750 --initTime 2016-10-22T05:55:49 --startdatetime 2016-10-22T06:20:19 --delay 2 --endMP 204:64459 --enddatetime 2016-10-22T06:45:35 --enforcementcount 1 &gt;&gt;C:\Users\stu\Documents\GitHub\eaglep3-reporting\EC\2016-10-22-refined-times.txt</v>
      </c>
      <c r="AI3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{"issue":{"subject":"","project_id":79,"tracker_id":40,"status_id":1,"priority_id":2,"assigned_to_id":23,"start_date":"2016-10-22","description":"","custom_fields":[{"id":1,"name":"Subdivision","value":"EC"},{"id":4,"name":"Milepost","value":"6.4459"},{"id":17,"name":"Train ID","value":"119-22"},{"id":16,"name":"Locomotive ID","value":"4038"},{"id":130,"name":"Impact","value":""},{"id":150,"name":"Time of Event (Mountain Time)","value":"06:45:35"},{"id":151,"name":"Denver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478</v>
      </c>
      <c r="B33" s="7">
        <v>4037</v>
      </c>
      <c r="C33" s="22" t="s">
        <v>99</v>
      </c>
      <c r="D33" s="22" t="s">
        <v>396</v>
      </c>
      <c r="E33" s="13">
        <v>42665.285104166665</v>
      </c>
      <c r="F33" s="13">
        <v>42665.323101851849</v>
      </c>
      <c r="G33" s="7">
        <v>2</v>
      </c>
      <c r="H33" s="13" t="s">
        <v>225</v>
      </c>
      <c r="I33" s="13">
        <v>42665.347708333335</v>
      </c>
      <c r="J33" s="7">
        <v>0</v>
      </c>
      <c r="K33" s="112" t="str">
        <f t="shared" si="0"/>
        <v>4037/4038</v>
      </c>
      <c r="L33" s="22" t="str">
        <f>VLOOKUP(A33,'Trips&amp;Operators'!$C$1:$E$10000,3,FALSE)</f>
        <v>ACKERMAN</v>
      </c>
      <c r="M33" s="6">
        <f t="shared" si="1"/>
        <v>2.4606481485534459E-2</v>
      </c>
      <c r="N33" s="7">
        <f t="shared" si="2"/>
        <v>35.433333339169621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05:50:33-0600',mode:absolute,to:'2016-10-22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23.296299999999999</v>
      </c>
      <c r="Z33" s="67">
        <f t="shared" si="9"/>
        <v>1.43E-2</v>
      </c>
      <c r="AA33" s="67">
        <f t="shared" si="10"/>
        <v>23.282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0120-22</v>
      </c>
      <c r="AE33" s="91" t="str">
        <f t="shared" si="12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33" s="88" t="str">
        <f t="shared" si="13"/>
        <v>"C:\Program Files (x86)\AstroGrep\AstroGrep.exe" /spath="%USERPROFILE%\AppData\Local\Temp\OnboardLogs" /stypes="app*4037*20161022*" /stext=" 14:.+((SYSTEM_STATE.+slice.+state.+changed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120-22 --locoid 4037 --swversion DE.1.0.7.0 --startMP 204:232963 --initTime 2016-10-22T06:50:33 --startdatetime 2016-10-22T07:45:16 --delay 2 --endMP 204:143 --enddatetime 2016-10-22T08:20:42 --enforcementcount 0 &gt;&gt;C:\Users\stu\Documents\GitHub\eaglep3-reporting\EC\2016-10-22-refined-times.txt</v>
      </c>
      <c r="AI3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{"issue":{"subject":"","project_id":79,"tracker_id":40,"status_id":1,"priority_id":2,"assigned_to_id":23,"start_date":"2016-10-22","description":"","custom_fields":[{"id":1,"name":"Subdivision","value":"EC"},{"id":4,"name":"Milepost","value":"0.0143"},{"id":17,"name":"Train ID","value":"120-22"},{"id":16,"name":"Locomotive ID","value":"4037"},{"id":130,"name":"Impact","value":""},{"id":150,"name":"Time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413</v>
      </c>
      <c r="B34" s="7">
        <v>4042</v>
      </c>
      <c r="C34" s="22" t="s">
        <v>99</v>
      </c>
      <c r="D34" s="22" t="s">
        <v>642</v>
      </c>
      <c r="E34" s="13">
        <v>42665.257210648146</v>
      </c>
      <c r="F34" s="13">
        <v>42665.260613425926</v>
      </c>
      <c r="G34" s="7">
        <v>1</v>
      </c>
      <c r="H34" s="13" t="s">
        <v>643</v>
      </c>
      <c r="I34" s="13">
        <v>42665.287719907406</v>
      </c>
      <c r="J34" s="7">
        <v>0</v>
      </c>
      <c r="K34" s="112" t="str">
        <f t="shared" si="0"/>
        <v>4041/4042</v>
      </c>
      <c r="L34" s="22" t="str">
        <f>VLOOKUP(A34,'Trips&amp;Operators'!$C$1:$E$10000,3,FALSE)</f>
        <v>DAVIS</v>
      </c>
      <c r="M34" s="6">
        <f t="shared" si="1"/>
        <v>2.7106481480586808E-2</v>
      </c>
      <c r="N34" s="7">
        <f t="shared" si="2"/>
        <v>39.033333332045004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05:10:23-0600',mode:absolute,to:'2016-10-22 07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4.07E-2</v>
      </c>
      <c r="Z34" s="67">
        <f t="shared" si="9"/>
        <v>23.325700000000001</v>
      </c>
      <c r="AA34" s="67">
        <f t="shared" si="10"/>
        <v>23.285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0121-22</v>
      </c>
      <c r="AE34" s="91" t="str">
        <f t="shared" si="12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34" s="88" t="str">
        <f t="shared" si="13"/>
        <v>"C:\Program Files (x86)\AstroGrep\AstroGrep.exe" /spath="%USERPROFILE%\AppData\Local\Temp\OnboardLogs" /stypes="app*4042*20161022*" /stext=" 12:.+((SYSTEM_STATE.+slice.+state.+changed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121-22 --locoid 4042 --swversion DE.1.0.7.0 --startMP 204:407 --initTime 2016-10-22T06:10:23 --startdatetime 2016-10-22T06:15:17 --delay 1 --endMP 204:233257 --enddatetime 2016-10-22T06:54:19 --enforcementcount 0 &gt;&gt;C:\Users\stu\Documents\GitHub\eaglep3-reporting\EC\2016-10-22-refined-times.txt</v>
      </c>
      <c r="AI3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{"issue":{"subject":"","project_id":79,"tracker_id":40,"status_id":1,"priority_id":2,"assigned_to_id":23,"start_date":"2016-10-22","description":"","custom_fields":[{"id":1,"name":"Subdivision","value":"EC"},{"id":4,"name":"Milepost","value":"23.3257"},{"id":17,"name":"Train ID","value":"121-22"},{"id":16,"name":"Locomotive ID","value":"4042"},{"id":130,"name":"Impact","value":""},{"id":150,"name":"Time of Event (Mountain Time)","value":"06:54:19"},{"id":151,"name":"Denver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481</v>
      </c>
      <c r="B35" s="7">
        <v>4041</v>
      </c>
      <c r="C35" s="22" t="s">
        <v>99</v>
      </c>
      <c r="D35" s="22" t="s">
        <v>644</v>
      </c>
      <c r="E35" s="13">
        <v>42665.299513888887</v>
      </c>
      <c r="F35" s="13">
        <v>42665.300833333335</v>
      </c>
      <c r="G35" s="7">
        <v>1</v>
      </c>
      <c r="H35" s="13" t="s">
        <v>269</v>
      </c>
      <c r="I35" s="13">
        <v>42665.327974537038</v>
      </c>
      <c r="J35" s="7">
        <v>0</v>
      </c>
      <c r="K35" s="112" t="str">
        <f t="shared" si="0"/>
        <v>4041/4042</v>
      </c>
      <c r="L35" s="22" t="str">
        <f>VLOOKUP(A35,'Trips&amp;Operators'!$C$1:$E$10000,3,FALSE)</f>
        <v>DAVIS</v>
      </c>
      <c r="M35" s="6">
        <f t="shared" si="1"/>
        <v>2.7141203703649808E-2</v>
      </c>
      <c r="N35" s="7">
        <f t="shared" si="2"/>
        <v>39.083333333255723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06:11:18-0600',mode:absolute,to:'2016-10-22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23.2925</v>
      </c>
      <c r="Z35" s="67">
        <f t="shared" si="9"/>
        <v>1.3899999999999999E-2</v>
      </c>
      <c r="AA35" s="67">
        <f t="shared" si="10"/>
        <v>23.278600000000001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0122-22</v>
      </c>
      <c r="AE35" s="91" t="str">
        <f t="shared" si="12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35" s="88" t="str">
        <f t="shared" si="13"/>
        <v>"C:\Program Files (x86)\AstroGrep\AstroGrep.exe" /spath="%USERPROFILE%\AppData\Local\Temp\OnboardLogs" /stypes="app*4041*20161022*"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122-22 --locoid 4041 --swversion DE.1.0.7.0 --startMP 204:232925 --initTime 2016-10-22T07:11:18 --startdatetime 2016-10-22T07:13:12 --delay 1 --endMP 204:139 --enddatetime 2016-10-22T07:52:17 --enforcementcount 0 &gt;&gt;C:\Users\stu\Documents\GitHub\eaglep3-reporting\EC\2016-10-22-refined-times.txt</v>
      </c>
      <c r="AI3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{"issue":{"subject":"","project_id":79,"tracker_id":40,"status_id":1,"priority_id":2,"assigned_to_id":23,"start_date":"2016-10-22","description":"","custom_fields":[{"id":1,"name":"Subdivision","value":"EC"},{"id":4,"name":"Milepost","value":"0.0139"},{"id":17,"name":"Train ID","value":"122-22"},{"id":16,"name":"Locomotive ID","value":"4041"},{"id":130,"name":"Impact","value":""},{"id":150,"name":"Time of Event (Mountain Time)","value":"07:52:17"},{"id":151,"name":"Denver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474</v>
      </c>
      <c r="B36" s="7">
        <v>4044</v>
      </c>
      <c r="C36" s="22" t="s">
        <v>99</v>
      </c>
      <c r="D36" s="22" t="s">
        <v>645</v>
      </c>
      <c r="E36" s="13">
        <v>42665.265740740739</v>
      </c>
      <c r="F36" s="13">
        <v>42665.27103009259</v>
      </c>
      <c r="G36" s="7">
        <v>1</v>
      </c>
      <c r="H36" s="13" t="s">
        <v>234</v>
      </c>
      <c r="I36" s="13">
        <v>42665.296319444446</v>
      </c>
      <c r="J36" s="7">
        <v>0</v>
      </c>
      <c r="K36" s="112" t="str">
        <f t="shared" si="0"/>
        <v>4043/4044</v>
      </c>
      <c r="L36" s="22" t="str">
        <f>VLOOKUP(A36,'Trips&amp;Operators'!$C$1:$E$10000,3,FALSE)</f>
        <v>KILLION</v>
      </c>
      <c r="M36" s="6">
        <f t="shared" si="1"/>
        <v>2.5289351855462883E-2</v>
      </c>
      <c r="N36" s="7">
        <f t="shared" si="2"/>
        <v>36.416666671866551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05:22:40-0600',mode:absolute,to:'2016-10-22 08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4.7699999999999999E-2</v>
      </c>
      <c r="Z36" s="67">
        <f t="shared" si="9"/>
        <v>23.329499999999999</v>
      </c>
      <c r="AA36" s="67">
        <f t="shared" si="10"/>
        <v>23.2818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0123-22</v>
      </c>
      <c r="AE36" s="91" t="str">
        <f t="shared" si="12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36" s="88" t="str">
        <f t="shared" si="13"/>
        <v>"C:\Program Files (x86)\AstroGrep\AstroGrep.exe" /spath="%USERPROFILE%\AppData\Local\Temp\OnboardLogs" /stypes="app*4044*20161022*"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123-22 --locoid 4044 --swversion DE.1.0.7.0 --startMP 204:477 --initTime 2016-10-22T06:22:40 --startdatetime 2016-10-22T06:30:17 --delay 1 --endMP 204:233295 --enddatetime 2016-10-22T07:06:42 --enforcementcount 0 &gt;&gt;C:\Users\stu\Documents\GitHub\eaglep3-reporting\EC\2016-10-22-refined-times.txt</v>
      </c>
      <c r="AI3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{"issue":{"subject":"","project_id":79,"tracker_id":40,"status_id":1,"priority_id":2,"assigned_to_id":23,"start_date":"2016-10-22","description":"","custom_fields":[{"id":1,"name":"Subdivision","value":"EC"},{"id":4,"name":"Milepost","value":"23.3295"},{"id":17,"name":"Train ID","value":"123-22"},{"id":16,"name":"Locomotive ID","value":"4044"},{"id":130,"name":"Impact","value":""},{"id":150,"name":"Time of Event (Mountain Time)","value":"07:06:42"},{"id":151,"name":"Denver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4043</v>
      </c>
      <c r="C37" s="22" t="s">
        <v>99</v>
      </c>
      <c r="D37" s="22" t="s">
        <v>646</v>
      </c>
      <c r="E37" s="13">
        <v>42665.307847222219</v>
      </c>
      <c r="F37" s="13">
        <v>42665.309918981482</v>
      </c>
      <c r="G37" s="7">
        <v>1</v>
      </c>
      <c r="H37" s="13" t="s">
        <v>176</v>
      </c>
      <c r="I37" s="13">
        <v>42665.337002314816</v>
      </c>
      <c r="J37" s="7">
        <v>0</v>
      </c>
      <c r="K37" s="112" t="str">
        <f t="shared" si="0"/>
        <v>4043/4044</v>
      </c>
      <c r="L37" s="22" t="str">
        <f>VLOOKUP(A37,'Trips&amp;Operators'!$C$1:$E$10000,3,FALSE)</f>
        <v>KILLION</v>
      </c>
      <c r="M37" s="6">
        <f t="shared" si="1"/>
        <v>2.7083333334303461E-2</v>
      </c>
      <c r="N37" s="7">
        <f t="shared" si="2"/>
        <v>39.000000001396984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06:23:18-0600',mode:absolute,to:'2016-10-22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23.297499999999999</v>
      </c>
      <c r="Z37" s="67">
        <f t="shared" si="9"/>
        <v>1.47E-2</v>
      </c>
      <c r="AA37" s="67">
        <f t="shared" si="10"/>
        <v>23.282799999999998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0124-22</v>
      </c>
      <c r="AE37" s="91" t="str">
        <f t="shared" si="12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37" s="88" t="str">
        <f t="shared" si="13"/>
        <v>"C:\Program Files (x86)\AstroGrep\AstroGrep.exe" /spath="%USERPROFILE%\AppData\Local\Temp\OnboardLogs" /stypes="app*4043*20161022*"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124-22 --locoid 4043 --swversion DE.1.0.7.0 --startMP 204:232975 --initTime 2016-10-22T07:23:18 --startdatetime 2016-10-22T07:26:17 --delay 1 --endMP 204:147 --enddatetime 2016-10-22T08:05:17 --enforcementcount 0 &gt;&gt;C:\Users\stu\Documents\GitHub\eaglep3-reporting\EC\2016-10-22-refined-times.txt</v>
      </c>
      <c r="AI3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{"issue":{"subject":"","project_id":79,"tracker_id":40,"status_id":1,"priority_id":2,"assigned_to_id":23,"start_date":"2016-10-22","description":"","custom_fields":[{"id":1,"name":"Subdivision","value":"EC"},{"id":4,"name":"Milepost","value":"0.0147"},{"id":17,"name":"Train ID","value":"124-22"},{"id":16,"name":"Locomotive ID","value":"4043"},{"id":130,"name":"Impact","value":""},{"id":150,"name":"Time of Event (Mountain Time)","value":"08:05:17"},{"id":151,"name":"Denver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477</v>
      </c>
      <c r="B38" s="7">
        <v>4011</v>
      </c>
      <c r="C38" s="22" t="s">
        <v>99</v>
      </c>
      <c r="D38" s="22" t="s">
        <v>238</v>
      </c>
      <c r="E38" s="13">
        <v>42665.27684027778</v>
      </c>
      <c r="F38" s="13">
        <v>42665.281469907408</v>
      </c>
      <c r="G38" s="7">
        <v>1</v>
      </c>
      <c r="H38" s="13" t="s">
        <v>332</v>
      </c>
      <c r="I38" s="13">
        <v>42665.305902777778</v>
      </c>
      <c r="J38" s="7">
        <v>0</v>
      </c>
      <c r="K38" s="112" t="str">
        <f t="shared" si="0"/>
        <v>4011/4012</v>
      </c>
      <c r="L38" s="22" t="str">
        <f>VLOOKUP(A38,'Trips&amp;Operators'!$C$1:$E$10000,3,FALSE)</f>
        <v>GEBRETEKLE</v>
      </c>
      <c r="M38" s="6">
        <f t="shared" si="1"/>
        <v>2.4432870370219462E-2</v>
      </c>
      <c r="N38" s="7">
        <f t="shared" si="2"/>
        <v>35.183333333116025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05:38:39-0600',mode:absolute,to:'2016-10-22 08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4.5999999999999999E-2</v>
      </c>
      <c r="Z38" s="67">
        <f t="shared" si="9"/>
        <v>23.332100000000001</v>
      </c>
      <c r="AA38" s="67">
        <f t="shared" si="10"/>
        <v>23.286100000000001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0125-22</v>
      </c>
      <c r="AE38" s="91" t="str">
        <f t="shared" si="12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38" s="88" t="str">
        <f t="shared" si="13"/>
        <v>"C:\Program Files (x86)\AstroGrep\AstroGrep.exe" /spath="%USERPROFILE%\AppData\Local\Temp\OnboardLogs" /stypes="app*4011*20161022*"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125-22 --locoid 4011 --swversion DE.1.0.7.0 --startMP 204:460 --initTime 2016-10-22T06:38:39 --startdatetime 2016-10-22T06:45:19 --delay 1 --endMP 204:233321 --enddatetime 2016-10-22T07:20:30 --enforcementcount 0 &gt;&gt;C:\Users\stu\Documents\GitHub\eaglep3-reporting\EC\2016-10-22-refined-times.txt</v>
      </c>
      <c r="AI3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{"issue":{"subject":"","project_id":79,"tracker_id":40,"status_id":1,"priority_id":2,"assigned_to_id":23,"start_date":"2016-10-22","description":"","custom_fields":[{"id":1,"name":"Subdivision","value":"EC"},{"id":4,"name":"Milepost","value":"23.3321"},{"id":17,"name":"Train ID","value":"125-22"},{"id":16,"name":"Locomotive ID","value":"4011"},{"id":130,"name":"Impact","value":""},{"id":150,"name":"Time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417</v>
      </c>
      <c r="B39" s="7">
        <v>4012</v>
      </c>
      <c r="C39" s="22" t="s">
        <v>99</v>
      </c>
      <c r="D39" s="22" t="s">
        <v>265</v>
      </c>
      <c r="E39" s="13">
        <v>42665.314826388887</v>
      </c>
      <c r="F39" s="13">
        <v>42665.3203125</v>
      </c>
      <c r="G39" s="7">
        <v>1</v>
      </c>
      <c r="H39" s="13" t="s">
        <v>225</v>
      </c>
      <c r="I39" s="13">
        <v>42665.347893518519</v>
      </c>
      <c r="J39" s="7">
        <v>0</v>
      </c>
      <c r="K39" s="112" t="str">
        <f t="shared" si="0"/>
        <v>4011/4012</v>
      </c>
      <c r="L39" s="22" t="str">
        <f>VLOOKUP(A39,'Trips&amp;Operators'!$C$1:$E$10000,3,FALSE)</f>
        <v>GEBRETEKLE</v>
      </c>
      <c r="M39" s="6">
        <f t="shared" si="1"/>
        <v>2.7581018519413192E-2</v>
      </c>
      <c r="N39" s="7">
        <f t="shared" si="2"/>
        <v>39.716666667954996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06:33:21-0600',mode:absolute,to:'2016-10-22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23.3</v>
      </c>
      <c r="Z39" s="67">
        <f t="shared" si="9"/>
        <v>1.43E-2</v>
      </c>
      <c r="AA39" s="67">
        <f t="shared" si="10"/>
        <v>23.285700000000002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0126-22</v>
      </c>
      <c r="AE39" s="91" t="str">
        <f t="shared" si="12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39" s="88" t="str">
        <f t="shared" si="13"/>
        <v>"C:\Program Files (x86)\AstroGrep\AstroGrep.exe" /spath="%USERPROFILE%\AppData\Local\Temp\OnboardLogs" /stypes="app*4012*20161022*"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126-22 --locoid 4012 --swversion DE.1.0.7.0 --startMP 204:233000 --initTime 2016-10-22T07:33:21 --startdatetime 2016-10-22T07:41:15 --delay 1 --endMP 204:143 --enddatetime 2016-10-22T08:20:58 --enforcementcount 0 &gt;&gt;C:\Users\stu\Documents\GitHub\eaglep3-reporting\EC\2016-10-22-refined-times.txt</v>
      </c>
      <c r="AI3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{"issue":{"subject":"","project_id":79,"tracker_id":40,"status_id":1,"priority_id":2,"assigned_to_id":23,"start_date":"2016-10-22","description":"","custom_fields":[{"id":1,"name":"Subdivision","value":"EC"},{"id":4,"name":"Milepost","value":"0.0143"},{"id":17,"name":"Train ID","value":"126-22"},{"id":16,"name":"Locomotive ID","value":"4012"},{"id":130,"name":"Impact","value":""},{"id":150,"name":"Time of Event (Mountain Time)","value":"08:20:58"},{"id":151,"name":"Denver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480</v>
      </c>
      <c r="B40" s="7">
        <v>4029</v>
      </c>
      <c r="C40" s="22" t="s">
        <v>99</v>
      </c>
      <c r="D40" s="22" t="s">
        <v>235</v>
      </c>
      <c r="E40" s="13">
        <v>42665.288912037038</v>
      </c>
      <c r="F40" s="13">
        <v>42665.292164351849</v>
      </c>
      <c r="G40" s="7">
        <v>1</v>
      </c>
      <c r="H40" s="13" t="s">
        <v>343</v>
      </c>
      <c r="I40" s="13">
        <v>42665.318368055552</v>
      </c>
      <c r="J40" s="7">
        <v>0</v>
      </c>
      <c r="K40" s="112" t="str">
        <f t="shared" si="0"/>
        <v>4029/4030</v>
      </c>
      <c r="L40" s="22" t="str">
        <f>VLOOKUP(A40,'Trips&amp;Operators'!$C$1:$E$10000,3,FALSE)</f>
        <v>MAELZER</v>
      </c>
      <c r="M40" s="6">
        <f t="shared" si="1"/>
        <v>2.6203703702776693E-2</v>
      </c>
      <c r="N40" s="7">
        <f t="shared" si="2"/>
        <v>37.733333331998438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05:56:02-0600',mode:absolute,to:'2016-10-22 08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4.4600000000000001E-2</v>
      </c>
      <c r="Z40" s="67">
        <f t="shared" si="9"/>
        <v>23.332000000000001</v>
      </c>
      <c r="AA40" s="67">
        <f t="shared" si="10"/>
        <v>23.287400000000002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0127-22</v>
      </c>
      <c r="AE40" s="91" t="str">
        <f t="shared" si="12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40" s="88" t="str">
        <f t="shared" si="13"/>
        <v>"C:\Program Files (x86)\AstroGrep\AstroGrep.exe" /spath="%USERPROFILE%\AppData\Local\Temp\OnboardLogs" /stypes="app*4029*20161022*"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127-22 --locoid 4029 --swversion DE.1.0.7.0 --startMP 204:446 --initTime 2016-10-22T06:56:02 --startdatetime 2016-10-22T07:00:43 --delay 1 --endMP 204:233320 --enddatetime 2016-10-22T07:38:27 --enforcementcount 0 &gt;&gt;C:\Users\stu\Documents\GitHub\eaglep3-reporting\EC\2016-10-22-refined-times.txt</v>
      </c>
      <c r="AI4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{"issue":{"subject":"","project_id":79,"tracker_id":40,"status_id":1,"priority_id":2,"assigned_to_id":23,"start_date":"2016-10-22","description":"","custom_fields":[{"id":1,"name":"Subdivision","value":"EC"},{"id":4,"name":"Milepost","value":"23.332"},{"id":17,"name":"Train ID","value":"127-22"},{"id":16,"name":"Locomotive ID","value":"4029"},{"id":130,"name":"Impact","value":""},{"id":150,"name":"Time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486</v>
      </c>
      <c r="B41" s="7">
        <v>4030</v>
      </c>
      <c r="C41" s="22" t="s">
        <v>99</v>
      </c>
      <c r="D41" s="22" t="s">
        <v>257</v>
      </c>
      <c r="E41" s="13">
        <v>42665.326701388891</v>
      </c>
      <c r="F41" s="13">
        <v>42665.330833333333</v>
      </c>
      <c r="G41" s="7">
        <v>0</v>
      </c>
      <c r="H41" s="13" t="s">
        <v>633</v>
      </c>
      <c r="I41" s="13">
        <v>42665.357256944444</v>
      </c>
      <c r="J41" s="7">
        <v>0</v>
      </c>
      <c r="K41" s="112" t="str">
        <f t="shared" si="0"/>
        <v>4029/4030</v>
      </c>
      <c r="L41" s="22" t="str">
        <f>VLOOKUP(A41,'Trips&amp;Operators'!$C$1:$E$10000,3,FALSE)</f>
        <v>MAELZER</v>
      </c>
      <c r="M41" s="6">
        <f t="shared" si="1"/>
        <v>2.6423611110658385E-2</v>
      </c>
      <c r="N41" s="7">
        <f t="shared" si="2"/>
        <v>38.049999999348074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06:50:27-0600',mode:absolute,to:'2016-10-22 09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23.299399999999999</v>
      </c>
      <c r="Z41" s="67">
        <f t="shared" si="9"/>
        <v>1.2500000000000001E-2</v>
      </c>
      <c r="AA41" s="67">
        <f t="shared" si="10"/>
        <v>23.286899999999999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0128-22</v>
      </c>
      <c r="AE41" s="91" t="str">
        <f t="shared" si="12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41" s="88" t="str">
        <f t="shared" si="13"/>
        <v>"C:\Program Files (x86)\AstroGrep\AstroGrep.exe" /spath="%USERPROFILE%\AppData\Local\Temp\OnboardLogs" /stypes="app*4030*20161022*"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128-22 --locoid 4030 --swversion DE.1.0.7.0 --startMP 204:232994 --initTime 2016-10-22T07:50:27 --startdatetime 2016-10-22T07:56:24 --delay 0 --endMP 204:125 --enddatetime 2016-10-22T08:34:27 --enforcementcount 0 &gt;&gt;C:\Users\stu\Documents\GitHub\eaglep3-reporting\EC\2016-10-22-refined-times.txt</v>
      </c>
      <c r="AI41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{"issue":{"subject":"","project_id":79,"tracker_id":40,"status_id":1,"priority_id":2,"assigned_to_id":23,"start_date":"2016-10-22","description":"","custom_fields":[{"id":1,"name":"Subdivision","value":"EC"},{"id":4,"name":"Milepost","value":"0.0125"},{"id":17,"name":"Train ID","value":"128-22"},{"id":16,"name":"Locomotive ID","value":"4030"},{"id":130,"name":"Impact","value":""},{"id":150,"name":"Time of Event (Mountain Time)","value":"08:34:27"},{"id":151,"name":"Denver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415</v>
      </c>
      <c r="B42" s="7">
        <v>4053</v>
      </c>
      <c r="C42" s="22" t="s">
        <v>99</v>
      </c>
      <c r="D42" s="22" t="s">
        <v>231</v>
      </c>
      <c r="E42" s="13">
        <v>42665.298576388886</v>
      </c>
      <c r="F42" s="13">
        <v>42665.302407407406</v>
      </c>
      <c r="G42" s="7">
        <v>1</v>
      </c>
      <c r="H42" s="13" t="s">
        <v>229</v>
      </c>
      <c r="I42" s="13">
        <v>42665.329062500001</v>
      </c>
      <c r="J42" s="7">
        <v>0</v>
      </c>
      <c r="K42" s="112" t="str">
        <f t="shared" si="0"/>
        <v>4053/4054</v>
      </c>
      <c r="L42" s="22" t="str">
        <f>VLOOKUP(A42,'Trips&amp;Operators'!$C$1:$E$10000,3,FALSE)</f>
        <v>STRICKLAND</v>
      </c>
      <c r="M42" s="6">
        <f t="shared" si="1"/>
        <v>2.6655092595319729E-2</v>
      </c>
      <c r="N42" s="7">
        <f t="shared" si="2"/>
        <v>38.38333333726041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06:09:57-0600',mode:absolute,to:'2016-10-22 08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4.5499999999999999E-2</v>
      </c>
      <c r="Z42" s="67">
        <f t="shared" si="9"/>
        <v>23.33</v>
      </c>
      <c r="AA42" s="67">
        <f t="shared" si="10"/>
        <v>23.284499999999998</v>
      </c>
      <c r="AB42" s="64" t="str">
        <f>VLOOKUP(A42,Enforcements!$C$7:$K$21,8,0)</f>
        <v>Speed (6)</v>
      </c>
      <c r="AC42" s="60" t="str">
        <f>VLOOKUP(A42,Enforcements!$C$7:$E$21,3,0)</f>
        <v>PERMANENT SPEED RESTRICTION</v>
      </c>
      <c r="AD42" s="61" t="str">
        <f t="shared" si="11"/>
        <v>0129-22</v>
      </c>
      <c r="AE42" s="91" t="str">
        <f t="shared" si="12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42" s="88" t="str">
        <f t="shared" si="13"/>
        <v>"C:\Program Files (x86)\AstroGrep\AstroGrep.exe" /spath="%USERPROFILE%\AppData\Local\Temp\OnboardLogs" /stypes="app*4053*20161022*"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129-22 --locoid 4053 --swversion DE.1.0.7.0 --startMP 204:455 --initTime 2016-10-22T07:09:57 --startdatetime 2016-10-22T07:15:28 --delay 1 --endMP 204:233300 --enddatetime 2016-10-22T07:53:51 --enforcementcount 0 &gt;&gt;C:\Users\stu\Documents\GitHub\eaglep3-reporting\EC\2016-10-22-refined-times.txt</v>
      </c>
      <c r="AI4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{"issue":{"subject":"","project_id":79,"tracker_id":40,"status_id":1,"priority_id":2,"assigned_to_id":23,"start_date":"2016-10-22","description":"","custom_fields":[{"id":1,"name":"Subdivision","value":"EC"},{"id":4,"name":"Milepost","value":"23.33"},{"id":17,"name":"Train ID","value":"129-22"},{"id":16,"name":"Locomotive ID","value":"4053"},{"id":130,"name":"Impact","value":""},{"id":150,"name":"Time of Event (Mountain Time)","value":"07:53:51"},{"id":151,"name":"Denver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416</v>
      </c>
      <c r="B43" s="7">
        <v>4054</v>
      </c>
      <c r="C43" s="22" t="s">
        <v>99</v>
      </c>
      <c r="D43" s="22" t="s">
        <v>379</v>
      </c>
      <c r="E43" s="13">
        <v>42665.337037037039</v>
      </c>
      <c r="F43" s="13">
        <v>42665.341157407405</v>
      </c>
      <c r="G43" s="7">
        <v>1</v>
      </c>
      <c r="H43" s="13" t="s">
        <v>226</v>
      </c>
      <c r="I43" s="13">
        <v>42665.369293981479</v>
      </c>
      <c r="J43" s="7">
        <v>0</v>
      </c>
      <c r="K43" s="112" t="str">
        <f t="shared" si="0"/>
        <v>4053/4054</v>
      </c>
      <c r="L43" s="22" t="str">
        <f>VLOOKUP(A43,'Trips&amp;Operators'!$C$1:$E$10000,3,FALSE)</f>
        <v>STRICKLAND</v>
      </c>
      <c r="M43" s="6">
        <f t="shared" si="1"/>
        <v>2.8136574073869269E-2</v>
      </c>
      <c r="N43" s="7">
        <f t="shared" si="2"/>
        <v>40.516666666371748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07:05:20-0600',mode:absolute,to:'2016-10-22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23.298500000000001</v>
      </c>
      <c r="Z43" s="67">
        <f t="shared" si="9"/>
        <v>1.4999999999999999E-2</v>
      </c>
      <c r="AA43" s="67">
        <f t="shared" si="10"/>
        <v>23.2835</v>
      </c>
      <c r="AB43" s="64" t="str">
        <f>VLOOKUP(A43,Enforcements!$C$7:$K$21,8,0)</f>
        <v>Bulletin (2)</v>
      </c>
      <c r="AC43" s="60" t="str">
        <f>VLOOKUP(A43,Enforcements!$C$7:$E$21,3,0)</f>
        <v>GRADE CROSSING</v>
      </c>
      <c r="AD43" s="61" t="str">
        <f t="shared" si="11"/>
        <v>0130-22</v>
      </c>
      <c r="AE43" s="91" t="str">
        <f t="shared" si="12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43" s="88" t="str">
        <f t="shared" si="13"/>
        <v>"C:\Program Files (x86)\AstroGrep\AstroGrep.exe" /spath="%USERPROFILE%\AppData\Local\Temp\OnboardLogs" /stypes="app*4054*20161022*"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130-22 --locoid 4054 --swversion DE.1.0.7.0 --startMP 204:232985 --initTime 2016-10-22T08:05:20 --startdatetime 2016-10-22T08:11:16 --delay 1 --endMP 204:150 --enddatetime 2016-10-22T08:51:47 --enforcementcount 0 &gt;&gt;C:\Users\stu\Documents\GitHub\eaglep3-reporting\EC\2016-10-22-refined-times.txt</v>
      </c>
      <c r="AI4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ID","value":"130-22"},{"id":16,"name":"Locomotive ID","value":"4054"},{"id":130,"name":"Impact","value":""},{"id":150,"name":"Time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483</v>
      </c>
      <c r="B44" s="7">
        <v>4031</v>
      </c>
      <c r="C44" s="22" t="s">
        <v>99</v>
      </c>
      <c r="D44" s="22" t="s">
        <v>647</v>
      </c>
      <c r="E44" s="13">
        <v>42665.310902777775</v>
      </c>
      <c r="F44" s="13">
        <v>42665.312800925924</v>
      </c>
      <c r="G44" s="7">
        <v>1</v>
      </c>
      <c r="H44" s="13" t="s">
        <v>648</v>
      </c>
      <c r="I44" s="13">
        <v>42665.337453703702</v>
      </c>
      <c r="J44" s="7">
        <v>0</v>
      </c>
      <c r="K44" s="112" t="str">
        <f t="shared" si="0"/>
        <v>4031/4032</v>
      </c>
      <c r="L44" s="22" t="str">
        <f>VLOOKUP(A44,'Trips&amp;Operators'!$C$1:$E$10000,3,FALSE)</f>
        <v>MALAVE</v>
      </c>
      <c r="M44" s="6">
        <f t="shared" si="1"/>
        <v>2.4652777778101154E-2</v>
      </c>
      <c r="N44" s="7">
        <f t="shared" si="2"/>
        <v>35.500000000465661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06:27:42-0600',mode:absolute,to:'2016-10-22 09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4.8000000000000001E-2</v>
      </c>
      <c r="Z44" s="67">
        <f t="shared" si="9"/>
        <v>23.3276</v>
      </c>
      <c r="AA44" s="67">
        <f t="shared" si="10"/>
        <v>23.279600000000002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0131-22</v>
      </c>
      <c r="AE44" s="91" t="str">
        <f t="shared" si="12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44" s="88" t="str">
        <f t="shared" si="13"/>
        <v>"C:\Program Files (x86)\AstroGrep\AstroGrep.exe" /spath="%USERPROFILE%\AppData\Local\Temp\OnboardLogs" /stypes="app*4031*20161022*"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131-22 --locoid 4031 --swversion DE.1.0.7.0 --startMP 204:480 --initTime 2016-10-22T07:27:42 --startdatetime 2016-10-22T07:30:26 --delay 1 --endMP 204:233276 --enddatetime 2016-10-22T08:05:56 --enforcementcount 0 &gt;&gt;C:\Users\stu\Documents\GitHub\eaglep3-reporting\EC\2016-10-22-refined-times.txt</v>
      </c>
      <c r="AI4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{"issue":{"subject":"","project_id":79,"tracker_id":40,"status_id":1,"priority_id":2,"assigned_to_id":23,"start_date":"2016-10-22","description":"","custom_fields":[{"id":1,"name":"Subdivision","value":"EC"},{"id":4,"name":"Milepost","value":"23.3276"},{"id":17,"name":"Train ID","value":"131-22"},{"id":16,"name":"Locomotive ID","value":"4031"},{"id":130,"name":"Impact","value":""},{"id":150,"name":"Time of Event (Mountain Time)","value":"08:05:56"},{"id":151,"name":"Denver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489</v>
      </c>
      <c r="B45" s="7">
        <v>4032</v>
      </c>
      <c r="C45" s="22" t="s">
        <v>99</v>
      </c>
      <c r="D45" s="22" t="s">
        <v>387</v>
      </c>
      <c r="E45" s="13">
        <v>42665.35087962963</v>
      </c>
      <c r="F45" s="13">
        <v>42665.351736111108</v>
      </c>
      <c r="G45" s="7">
        <v>1</v>
      </c>
      <c r="H45" s="13" t="s">
        <v>629</v>
      </c>
      <c r="I45" s="13">
        <v>42665.378518518519</v>
      </c>
      <c r="J45" s="7">
        <v>0</v>
      </c>
      <c r="K45" s="112" t="str">
        <f t="shared" si="0"/>
        <v>4031/4032</v>
      </c>
      <c r="L45" s="22" t="str">
        <f>VLOOKUP(A45,'Trips&amp;Operators'!$C$1:$E$10000,3,FALSE)</f>
        <v>MALAVE</v>
      </c>
      <c r="M45" s="6">
        <f t="shared" si="1"/>
        <v>2.6782407410792075E-2</v>
      </c>
      <c r="N45" s="7">
        <f t="shared" si="2"/>
        <v>38.566666671540588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07:25:16-0600',mode:absolute,to:'2016-10-22 10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5" s="52" t="str">
        <f t="shared" si="6"/>
        <v>N</v>
      </c>
      <c r="X45" s="171">
        <f t="shared" si="7"/>
        <v>1</v>
      </c>
      <c r="Y45" s="67">
        <f t="shared" si="8"/>
        <v>23.293800000000001</v>
      </c>
      <c r="Z45" s="67">
        <f t="shared" si="9"/>
        <v>1.6500000000000001E-2</v>
      </c>
      <c r="AA45" s="67">
        <f t="shared" si="10"/>
        <v>23.2773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0132-22</v>
      </c>
      <c r="AE45" s="91" t="str">
        <f t="shared" si="12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45" s="88" t="str">
        <f t="shared" si="13"/>
        <v>"C:\Program Files (x86)\AstroGrep\AstroGrep.exe" /spath="%USERPROFILE%\AppData\Local\Temp\OnboardLogs" /stypes="app*4032*20161022*"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132-22 --locoid 4032 --swversion DE.1.0.7.0 --startMP 204:232938 --initTime 2016-10-22T08:25:16 --startdatetime 2016-10-22T08:26:30 --delay 1 --endMP 204:165 --enddatetime 2016-10-22T09:05:04 --enforcementcount 0 &gt;&gt;C:\Users\stu\Documents\GitHub\eaglep3-reporting\EC\2016-10-22-refined-times.txt</v>
      </c>
      <c r="AI4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{"issue":{"subject":"","project_id":79,"tracker_id":40,"status_id":1,"priority_id":2,"assigned_to_id":23,"start_date":"2016-10-22","description":"","custom_fields":[{"id":1,"name":"Subdivision","value":"EC"},{"id":4,"name":"Milepost","value":"0.0165"},{"id":17,"name":"Train ID","value":"132-22"},{"id":16,"name":"Locomotive ID","value":"4032"},{"id":130,"name":"Impact","value":""},{"id":150,"name":"Time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485</v>
      </c>
      <c r="B46" s="7">
        <v>4038</v>
      </c>
      <c r="C46" s="22" t="s">
        <v>99</v>
      </c>
      <c r="D46" s="22" t="s">
        <v>227</v>
      </c>
      <c r="E46" s="13">
        <v>42665.319004629629</v>
      </c>
      <c r="F46" s="13">
        <v>42665.323101851849</v>
      </c>
      <c r="G46" s="7">
        <v>1</v>
      </c>
      <c r="H46" s="13" t="s">
        <v>322</v>
      </c>
      <c r="I46" s="13">
        <v>42665.347708333335</v>
      </c>
      <c r="J46" s="7">
        <v>0</v>
      </c>
      <c r="K46" s="112" t="str">
        <f t="shared" si="0"/>
        <v>4037/4038</v>
      </c>
      <c r="L46" s="22" t="str">
        <f>VLOOKUP(A46,'Trips&amp;Operators'!$C$1:$E$10000,3,FALSE)</f>
        <v>ACKERMAN</v>
      </c>
      <c r="M46" s="6">
        <f t="shared" si="1"/>
        <v>2.4606481485534459E-2</v>
      </c>
      <c r="N46" s="7">
        <f t="shared" si="2"/>
        <v>35.433333339169621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06:39:22-0600',mode:absolute,to:'2016-10-22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4.4699999999999997E-2</v>
      </c>
      <c r="Z46" s="67">
        <f t="shared" si="9"/>
        <v>23.330200000000001</v>
      </c>
      <c r="AA46" s="67">
        <f t="shared" si="10"/>
        <v>23.285500000000003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0133-22</v>
      </c>
      <c r="AE46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46" s="88" t="str">
        <f t="shared" si="13"/>
        <v>"C:\Program Files (x86)\AstroGrep\AstroGrep.exe" /spath="%USERPROFILE%\AppData\Local\Temp\OnboardLogs" /stypes="app*4038*20161022*"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133-22 --locoid 4038 --swversion DE.1.0.7.0 --startMP 204:447 --initTime 2016-10-22T07:39:22 --startdatetime 2016-10-22T07:45:16 --delay 1 --endMP 204:233302 --enddatetime 2016-10-22T08:20:42 --enforcementcount 0 &gt;&gt;C:\Users\stu\Documents\GitHub\eaglep3-reporting\EC\2016-10-22-refined-times.txt</v>
      </c>
      <c r="AI4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{"issue":{"subject":"","project_id":79,"tracker_id":40,"status_id":1,"priority_id":2,"assigned_to_id":23,"start_date":"2016-10-22","description":"","custom_fields":[{"id":1,"name":"Subdivision","value":"EC"},{"id":4,"name":"Milepost","value":"23.3302"},{"id":17,"name":"Train ID","value":"133-22"},{"id":16,"name":"Locomotive ID","value":"4038"},{"id":130,"name":"Impact","value":""},{"id":150,"name":"Time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491</v>
      </c>
      <c r="B47" s="7">
        <v>4037</v>
      </c>
      <c r="C47" s="22" t="s">
        <v>99</v>
      </c>
      <c r="D47" s="22" t="s">
        <v>257</v>
      </c>
      <c r="E47" s="13">
        <v>42665.355312500003</v>
      </c>
      <c r="F47" s="13">
        <v>42665.362175925926</v>
      </c>
      <c r="G47" s="7">
        <v>1</v>
      </c>
      <c r="H47" s="13" t="s">
        <v>232</v>
      </c>
      <c r="I47" s="13">
        <v>42665.388599537036</v>
      </c>
      <c r="J47" s="7">
        <v>0</v>
      </c>
      <c r="K47" s="112" t="str">
        <f t="shared" si="0"/>
        <v>4037/4038</v>
      </c>
      <c r="L47" s="22" t="str">
        <f>VLOOKUP(A47,'Trips&amp;Operators'!$C$1:$E$10000,3,FALSE)</f>
        <v>ACKERMAN</v>
      </c>
      <c r="M47" s="6">
        <f t="shared" si="1"/>
        <v>2.6423611110658385E-2</v>
      </c>
      <c r="N47" s="7">
        <f t="shared" si="2"/>
        <v>38.049999999348074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07:31:39-0600',mode:absolute,to:'2016-10-22 10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23.299399999999999</v>
      </c>
      <c r="Z47" s="67">
        <f t="shared" si="9"/>
        <v>1.34E-2</v>
      </c>
      <c r="AA47" s="67">
        <f t="shared" si="10"/>
        <v>23.285999999999998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0134-22</v>
      </c>
      <c r="AE47" s="91" t="str">
        <f t="shared" si="12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47" s="88" t="str">
        <f t="shared" si="13"/>
        <v>"C:\Program Files (x86)\AstroGrep\AstroGrep.exe" /spath="%USERPROFILE%\AppData\Local\Temp\OnboardLogs" /stypes="app*4037*20161022*"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134-22 --locoid 4037 --swversion DE.1.0.7.0 --startMP 204:232994 --initTime 2016-10-22T08:31:39 --startdatetime 2016-10-22T08:41:32 --delay 1 --endMP 204:134 --enddatetime 2016-10-22T09:19:35 --enforcementcount 0 &gt;&gt;C:\Users\stu\Documents\GitHub\eaglep3-reporting\EC\2016-10-22-refined-times.txt</v>
      </c>
      <c r="AI4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{"issue":{"subject":"","project_id":79,"tracker_id":40,"status_id":1,"priority_id":2,"assigned_to_id":23,"start_date":"2016-10-22","description":"","custom_fields":[{"id":1,"name":"Subdivision","value":"EC"},{"id":4,"name":"Milepost","value":"0.0134"},{"id":17,"name":"Train ID","value":"134-22"},{"id":16,"name":"Locomotive ID","value":"4037"},{"id":130,"name":"Impact","value":""},{"id":150,"name":"Time of Event (Mountain Time)","value":"09:19:35"},{"id":151,"name":"Denver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418</v>
      </c>
      <c r="B48" s="7">
        <v>4042</v>
      </c>
      <c r="C48" s="22" t="s">
        <v>99</v>
      </c>
      <c r="D48" s="22" t="s">
        <v>227</v>
      </c>
      <c r="E48" s="13">
        <v>42665.329097222224</v>
      </c>
      <c r="F48" s="13">
        <v>42665.333506944444</v>
      </c>
      <c r="G48" s="7">
        <v>1</v>
      </c>
      <c r="H48" s="13" t="s">
        <v>338</v>
      </c>
      <c r="I48" s="13">
        <v>42665.360046296293</v>
      </c>
      <c r="J48" s="7">
        <v>0</v>
      </c>
      <c r="K48" s="112" t="str">
        <f t="shared" si="0"/>
        <v>4041/4042</v>
      </c>
      <c r="L48" s="22" t="str">
        <f>VLOOKUP(A48,'Trips&amp;Operators'!$C$1:$E$10000,3,FALSE)</f>
        <v>DAVIS</v>
      </c>
      <c r="M48" s="6">
        <f t="shared" si="1"/>
        <v>2.6539351849351078E-2</v>
      </c>
      <c r="N48" s="7">
        <f t="shared" si="2"/>
        <v>38.216666663065553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06:53:54-0600',mode:absolute,to:'2016-10-22 09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4.4699999999999997E-2</v>
      </c>
      <c r="Z48" s="67">
        <f t="shared" si="9"/>
        <v>23.328399999999998</v>
      </c>
      <c r="AA48" s="67">
        <f t="shared" si="10"/>
        <v>23.2837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0135-22</v>
      </c>
      <c r="AE48" s="91" t="str">
        <f t="shared" si="12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48" s="88" t="str">
        <f t="shared" si="13"/>
        <v>"C:\Program Files (x86)\AstroGrep\AstroGrep.exe" /spath="%USERPROFILE%\AppData\Local\Temp\OnboardLogs" /stypes="app*4042*20161022*"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135-22 --locoid 4042 --swversion DE.1.0.7.0 --startMP 204:447 --initTime 2016-10-22T07:53:54 --startdatetime 2016-10-22T08:00:15 --delay 1 --endMP 204:233284 --enddatetime 2016-10-22T08:38:28 --enforcementcount 0 &gt;&gt;C:\Users\stu\Documents\GitHub\eaglep3-reporting\EC\2016-10-22-refined-times.txt</v>
      </c>
      <c r="AI4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{"issue":{"subject":"","project_id":79,"tracker_id":40,"status_id":1,"priority_id":2,"assigned_to_id":23,"start_date":"2016-10-22","description":"","custom_fields":[{"id":1,"name":"Subdivision","value":"EC"},{"id":4,"name":"Milepost","value":"23.3284"},{"id":17,"name":"Train ID","value":"135-22"},{"id":16,"name":"Locomotive ID","value":"4042"},{"id":130,"name":"Impact","value":""},{"id":150,"name":"Time of Event (Mountain Time)","value":"08:38:28"},{"id":151,"name":"Denver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494</v>
      </c>
      <c r="B49" s="7">
        <v>4041</v>
      </c>
      <c r="C49" s="22" t="s">
        <v>99</v>
      </c>
      <c r="D49" s="22" t="s">
        <v>390</v>
      </c>
      <c r="E49" s="13">
        <v>42665.366412037038</v>
      </c>
      <c r="F49" s="13">
        <v>42665.372361111113</v>
      </c>
      <c r="G49" s="7">
        <v>1</v>
      </c>
      <c r="H49" s="13" t="s">
        <v>282</v>
      </c>
      <c r="I49" s="13">
        <v>42665.400625000002</v>
      </c>
      <c r="J49" s="7">
        <v>0</v>
      </c>
      <c r="K49" s="112" t="str">
        <f t="shared" si="0"/>
        <v>4041/4042</v>
      </c>
      <c r="L49" s="22" t="str">
        <f>VLOOKUP(A49,'Trips&amp;Operators'!$C$1:$E$10000,3,FALSE)</f>
        <v>DAVIS</v>
      </c>
      <c r="M49" s="6">
        <f t="shared" si="1"/>
        <v>2.8263888889341615E-2</v>
      </c>
      <c r="N49" s="7">
        <f t="shared" si="2"/>
        <v>40.700000000651926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07:47:38-0600',mode:absolute,to:'2016-10-22 10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52" t="str">
        <f t="shared" si="6"/>
        <v>N</v>
      </c>
      <c r="X49" s="171">
        <f t="shared" si="7"/>
        <v>1</v>
      </c>
      <c r="Y49" s="67">
        <f t="shared" si="8"/>
        <v>23.296500000000002</v>
      </c>
      <c r="Z49" s="67">
        <f t="shared" si="9"/>
        <v>1.38E-2</v>
      </c>
      <c r="AA49" s="67">
        <f t="shared" si="10"/>
        <v>23.282700000000002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0136-22</v>
      </c>
      <c r="AE49" s="91" t="str">
        <f t="shared" si="12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49" s="88" t="str">
        <f t="shared" si="13"/>
        <v>"C:\Program Files (x86)\AstroGrep\AstroGrep.exe" /spath="%USERPROFILE%\AppData\Local\Temp\OnboardLogs" /stypes="app*4041*20161022*"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136-22 --locoid 4041 --swversion DE.1.0.7.0 --startMP 204:232965 --initTime 2016-10-22T08:47:38 --startdatetime 2016-10-22T08:56:12 --delay 1 --endMP 204:138 --enddatetime 2016-10-22T09:36:54 --enforcementcount 0 &gt;&gt;C:\Users\stu\Documents\GitHub\eaglep3-reporting\EC\2016-10-22-refined-times.txt</v>
      </c>
      <c r="AI4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{"issue":{"subject":"","project_id":79,"tracker_id":40,"status_id":1,"priority_id":2,"assigned_to_id":23,"start_date":"2016-10-22","description":"","custom_fields":[{"id":1,"name":"Subdivision","value":"EC"},{"id":4,"name":"Milepost","value":"0.0138"},{"id":17,"name":"Train ID","value":"136-22"},{"id":16,"name":"Locomotive ID","value":"4041"},{"id":130,"name":"Impact","value":""},{"id":150,"name":"Time of Event (Mountain Time)","value":"09:36:54"},{"id":151,"name":"Denver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487</v>
      </c>
      <c r="B50" s="7">
        <v>4044</v>
      </c>
      <c r="C50" s="22" t="s">
        <v>99</v>
      </c>
      <c r="D50" s="22" t="s">
        <v>235</v>
      </c>
      <c r="E50" s="13">
        <v>42665.338472222225</v>
      </c>
      <c r="F50" s="13">
        <v>42665.343946759262</v>
      </c>
      <c r="G50" s="7">
        <v>1</v>
      </c>
      <c r="H50" s="13" t="s">
        <v>634</v>
      </c>
      <c r="I50" s="13">
        <v>42665.368622685186</v>
      </c>
      <c r="J50" s="7">
        <v>0</v>
      </c>
      <c r="K50" s="112" t="str">
        <f t="shared" si="0"/>
        <v>4043/4044</v>
      </c>
      <c r="L50" s="22" t="str">
        <f>VLOOKUP(A50,'Trips&amp;Operators'!$C$1:$E$10000,3,FALSE)</f>
        <v>KILLION</v>
      </c>
      <c r="M50" s="6">
        <f t="shared" si="1"/>
        <v>2.4675925924384501E-2</v>
      </c>
      <c r="N50" s="7">
        <f t="shared" si="2"/>
        <v>35.533333331113681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07:07:24-0600',mode:absolute,to:'2016-10-22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0" s="52" t="str">
        <f t="shared" si="6"/>
        <v>N</v>
      </c>
      <c r="X50" s="171">
        <f t="shared" si="7"/>
        <v>1</v>
      </c>
      <c r="Y50" s="67">
        <f t="shared" si="8"/>
        <v>4.4600000000000001E-2</v>
      </c>
      <c r="Z50" s="67">
        <f t="shared" si="9"/>
        <v>23.328099999999999</v>
      </c>
      <c r="AA50" s="67">
        <f t="shared" si="10"/>
        <v>23.2835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0137-22</v>
      </c>
      <c r="AE50" s="91" t="str">
        <f t="shared" si="12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50" s="88" t="str">
        <f t="shared" si="13"/>
        <v>"C:\Program Files (x86)\AstroGrep\AstroGrep.exe" /spath="%USERPROFILE%\AppData\Local\Temp\OnboardLogs" /stypes="app*4044*20161022*"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137-22 --locoid 4044 --swversion DE.1.0.7.0 --startMP 204:446 --initTime 2016-10-22T08:07:24 --startdatetime 2016-10-22T08:15:17 --delay 1 --endMP 204:233281 --enddatetime 2016-10-22T08:50:49 --enforcementcount 0 &gt;&gt;C:\Users\stu\Documents\GitHub\eaglep3-reporting\EC\2016-10-22-refined-times.txt</v>
      </c>
      <c r="AI5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{"issue":{"subject":"","project_id":79,"tracker_id":40,"status_id":1,"priority_id":2,"assigned_to_id":23,"start_date":"2016-10-22","description":"","custom_fields":[{"id":1,"name":"Subdivision","value":"EC"},{"id":4,"name":"Milepost","value":"23.3281"},{"id":17,"name":"Train ID","value":"137-22"},{"id":16,"name":"Locomotive ID","value":"4044"},{"id":130,"name":"Impact","value":""},{"id":150,"name":"Time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495</v>
      </c>
      <c r="B51" s="7">
        <v>4043</v>
      </c>
      <c r="C51" s="22" t="s">
        <v>99</v>
      </c>
      <c r="D51" s="22" t="s">
        <v>255</v>
      </c>
      <c r="E51" s="13">
        <v>42665.375208333331</v>
      </c>
      <c r="F51" s="13">
        <v>42665.382893518516</v>
      </c>
      <c r="G51" s="7">
        <v>1</v>
      </c>
      <c r="H51" s="13" t="s">
        <v>226</v>
      </c>
      <c r="I51" s="13">
        <v>42665.409178240741</v>
      </c>
      <c r="J51" s="7">
        <v>0</v>
      </c>
      <c r="K51" s="112" t="str">
        <f t="shared" si="0"/>
        <v>4043/4044</v>
      </c>
      <c r="L51" s="22" t="str">
        <f>VLOOKUP(A51,'Trips&amp;Operators'!$C$1:$E$10000,3,FALSE)</f>
        <v>KILLION</v>
      </c>
      <c r="M51" s="6">
        <f t="shared" si="1"/>
        <v>2.6284722225682344E-2</v>
      </c>
      <c r="N51" s="7">
        <f t="shared" si="2"/>
        <v>37.850000004982576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08:00:18-0600',mode:absolute,to:'2016-10-22 10:49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23.297699999999999</v>
      </c>
      <c r="Z51" s="67">
        <f t="shared" si="9"/>
        <v>1.4999999999999999E-2</v>
      </c>
      <c r="AA51" s="67">
        <f t="shared" si="10"/>
        <v>23.282699999999998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0138-22</v>
      </c>
      <c r="AE51" s="91" t="str">
        <f t="shared" si="12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51" s="88" t="str">
        <f t="shared" si="13"/>
        <v>"C:\Program Files (x86)\AstroGrep\AstroGrep.exe" /spath="%USERPROFILE%\AppData\Local\Temp\OnboardLogs" /stypes="app*4043*20161022*"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138-22 --locoid 4043 --swversion DE.1.0.7.0 --startMP 204:232977 --initTime 2016-10-22T09:00:18 --startdatetime 2016-10-22T09:11:22 --delay 1 --endMP 204:150 --enddatetime 2016-10-22T09:49:13 --enforcementcount 0 &gt;&gt;C:\Users\stu\Documents\GitHub\eaglep3-reporting\EC\2016-10-22-refined-times.txt</v>
      </c>
      <c r="AI51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ID","value":"138-22"},{"id":16,"name":"Locomotive ID","value":"4043"},{"id":130,"name":"Impact","value":""},{"id":150,"name":"Time of Event (Mountain Time)","value":"09:49:13"},{"id":151,"name":"Denver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490</v>
      </c>
      <c r="B52" s="7">
        <v>4011</v>
      </c>
      <c r="C52" s="22" t="s">
        <v>99</v>
      </c>
      <c r="D52" s="22" t="s">
        <v>240</v>
      </c>
      <c r="E52" s="13">
        <v>42665.350081018521</v>
      </c>
      <c r="F52" s="13">
        <v>42665.354421296295</v>
      </c>
      <c r="G52" s="7">
        <v>1</v>
      </c>
      <c r="H52" s="13" t="s">
        <v>224</v>
      </c>
      <c r="I52" s="13">
        <v>42665.378368055557</v>
      </c>
      <c r="J52" s="7">
        <v>0</v>
      </c>
      <c r="K52" s="112" t="str">
        <f t="shared" si="0"/>
        <v>4011/4012</v>
      </c>
      <c r="L52" s="22" t="str">
        <f>VLOOKUP(A52,'Trips&amp;Operators'!$C$1:$E$10000,3,FALSE)</f>
        <v>GEBRETEKLE</v>
      </c>
      <c r="M52" s="6">
        <f t="shared" si="1"/>
        <v>2.3946759261889383E-2</v>
      </c>
      <c r="N52" s="7">
        <f t="shared" si="2"/>
        <v>34.483333337120712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07:24:07-0600',mode:absolute,to:'2016-10-22 10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4.5100000000000001E-2</v>
      </c>
      <c r="Z52" s="67">
        <f t="shared" si="9"/>
        <v>23.3293</v>
      </c>
      <c r="AA52" s="67">
        <f t="shared" si="10"/>
        <v>23.284199999999998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0139-22</v>
      </c>
      <c r="AE52" s="91" t="str">
        <f t="shared" si="12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52" s="88" t="str">
        <f t="shared" si="13"/>
        <v>"C:\Program Files (x86)\AstroGrep\AstroGrep.exe" /spath="%USERPROFILE%\AppData\Local\Temp\OnboardLogs" /stypes="app*4011*20161022*"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139-22 --locoid 4011 --swversion DE.1.0.7.0 --startMP 204:451 --initTime 2016-10-22T08:24:07 --startdatetime 2016-10-22T08:30:22 --delay 1 --endMP 204:233293 --enddatetime 2016-10-22T09:04:51 --enforcementcount 0 &gt;&gt;C:\Users\stu\Documents\GitHub\eaglep3-reporting\EC\2016-10-22-refined-times.txt</v>
      </c>
      <c r="AI5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{"issue":{"subject":"","project_id":79,"tracker_id":40,"status_id":1,"priority_id":2,"assigned_to_id":23,"start_date":"2016-10-22","description":"","custom_fields":[{"id":1,"name":"Subdivision","value":"EC"},{"id":4,"name":"Milepost","value":"23.3293"},{"id":17,"name":"Train ID","value":"139-22"},{"id":16,"name":"Locomotive ID","value":"4011"},{"id":130,"name":"Impact","value":""},{"id":150,"name":"Time of Event (Mountain Time)","value":"09:04:51"},{"id":151,"name":"Denver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497</v>
      </c>
      <c r="B53" s="7">
        <v>4012</v>
      </c>
      <c r="C53" s="22" t="s">
        <v>99</v>
      </c>
      <c r="D53" s="22" t="s">
        <v>649</v>
      </c>
      <c r="E53" s="13">
        <v>42665.387118055558</v>
      </c>
      <c r="F53" s="13">
        <v>42665.393240740741</v>
      </c>
      <c r="G53" s="7">
        <v>1</v>
      </c>
      <c r="H53" s="13" t="s">
        <v>177</v>
      </c>
      <c r="I53" s="13">
        <v>42665.421076388891</v>
      </c>
      <c r="J53" s="7">
        <v>0</v>
      </c>
      <c r="K53" s="112" t="str">
        <f t="shared" si="0"/>
        <v>4011/4012</v>
      </c>
      <c r="L53" s="22" t="str">
        <f>VLOOKUP(A53,'Trips&amp;Operators'!$C$1:$E$10000,3,FALSE)</f>
        <v>GEBRETEKLE</v>
      </c>
      <c r="M53" s="6">
        <f t="shared" si="1"/>
        <v>2.7835648150357883E-2</v>
      </c>
      <c r="N53" s="7">
        <f t="shared" si="2"/>
        <v>40.083333336515352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08:17:27-0600',mode:absolute,to:'2016-10-22 11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23.296099999999999</v>
      </c>
      <c r="Z53" s="67">
        <f t="shared" si="9"/>
        <v>1.52E-2</v>
      </c>
      <c r="AA53" s="67">
        <f t="shared" si="10"/>
        <v>23.280899999999999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0140-22</v>
      </c>
      <c r="AE53" s="91" t="str">
        <f t="shared" si="12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53" s="88" t="str">
        <f t="shared" si="13"/>
        <v>"C:\Program Files (x86)\AstroGrep\AstroGrep.exe" /spath="%USERPROFILE%\AppData\Local\Temp\OnboardLogs" /stypes="app*4012*20161022*"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140-22 --locoid 4012 --swversion DE.1.0.7.0 --startMP 204:232961 --initTime 2016-10-22T09:17:27 --startdatetime 2016-10-22T09:26:16 --delay 1 --endMP 204:152 --enddatetime 2016-10-22T10:06:21 --enforcementcount 0 &gt;&gt;C:\Users\stu\Documents\GitHub\eaglep3-reporting\EC\2016-10-22-refined-times.txt</v>
      </c>
      <c r="AI5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{"issue":{"subject":"","project_id":79,"tracker_id":40,"status_id":1,"priority_id":2,"assigned_to_id":23,"start_date":"2016-10-22","description":"","custom_fields":[{"id":1,"name":"Subdivision","value":"EC"},{"id":4,"name":"Milepost","value":"0.0152"},{"id":17,"name":"Train ID","value":"140-22"},{"id":16,"name":"Locomotive ID","value":"4012"},{"id":130,"name":"Impact","value":""},{"id":150,"name":"Time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493</v>
      </c>
      <c r="B54" s="7">
        <v>4029</v>
      </c>
      <c r="C54" s="22" t="s">
        <v>99</v>
      </c>
      <c r="D54" s="22" t="s">
        <v>380</v>
      </c>
      <c r="E54" s="13">
        <v>42665.359282407408</v>
      </c>
      <c r="F54" s="13">
        <v>42665.365057870367</v>
      </c>
      <c r="G54" s="7">
        <v>1</v>
      </c>
      <c r="H54" s="13" t="s">
        <v>637</v>
      </c>
      <c r="I54" s="13">
        <v>42665.390162037038</v>
      </c>
      <c r="J54" s="7">
        <v>0</v>
      </c>
      <c r="K54" s="112" t="str">
        <f t="shared" si="0"/>
        <v>4029/4030</v>
      </c>
      <c r="L54" s="22" t="str">
        <f>VLOOKUP(A54,'Trips&amp;Operators'!$C$1:$E$10000,3,FALSE)</f>
        <v>MAELZER</v>
      </c>
      <c r="M54" s="6">
        <f t="shared" si="1"/>
        <v>2.510416667064419E-2</v>
      </c>
      <c r="N54" s="7">
        <f t="shared" si="2"/>
        <v>36.150000005727634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07:37:22-0600',mode:absolute,to:'2016-10-22 10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4.3499999999999997E-2</v>
      </c>
      <c r="Z54" s="67">
        <f t="shared" si="9"/>
        <v>23.3308</v>
      </c>
      <c r="AA54" s="67">
        <f t="shared" si="10"/>
        <v>23.287299999999998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0141-22</v>
      </c>
      <c r="AE54" s="91" t="str">
        <f t="shared" si="12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54" s="88" t="str">
        <f t="shared" si="13"/>
        <v>"C:\Program Files (x86)\AstroGrep\AstroGrep.exe" /spath="%USERPROFILE%\AppData\Local\Temp\OnboardLogs" /stypes="app*4029*20161022*"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141-22 --locoid 4029 --swversion DE.1.0.7.0 --startMP 204:435 --initTime 2016-10-22T08:37:22 --startdatetime 2016-10-22T08:45:41 --delay 1 --endMP 204:233308 --enddatetime 2016-10-22T09:21:50 --enforcementcount 0 &gt;&gt;C:\Users\stu\Documents\GitHub\eaglep3-reporting\EC\2016-10-22-refined-times.txt</v>
      </c>
      <c r="AI5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{"issue":{"subject":"","project_id":79,"tracker_id":40,"status_id":1,"priority_id":2,"assigned_to_id":23,"start_date":"2016-10-22","description":"","custom_fields":[{"id":1,"name":"Subdivision","value":"EC"},{"id":4,"name":"Milepost","value":"23.3308"},{"id":17,"name":"Train ID","value":"141-22"},{"id":16,"name":"Locomotive ID","value":"4029"},{"id":130,"name":"Impact","value":""},{"id":150,"name":"Time of Event (Mountain Time)","value":"09:21:50"},{"id":151,"name":"Denver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499</v>
      </c>
      <c r="B55" s="7">
        <v>4030</v>
      </c>
      <c r="C55" s="22" t="s">
        <v>99</v>
      </c>
      <c r="D55" s="22" t="s">
        <v>257</v>
      </c>
      <c r="E55" s="13">
        <v>42665.395162037035</v>
      </c>
      <c r="F55" s="13">
        <v>42665.403784722221</v>
      </c>
      <c r="G55" s="7">
        <v>0</v>
      </c>
      <c r="H55" s="13" t="s">
        <v>226</v>
      </c>
      <c r="I55" s="13">
        <v>42665.430034722223</v>
      </c>
      <c r="J55" s="7">
        <v>0</v>
      </c>
      <c r="K55" s="112" t="str">
        <f t="shared" si="0"/>
        <v>4029/4030</v>
      </c>
      <c r="L55" s="22" t="str">
        <f>VLOOKUP(A55,'Trips&amp;Operators'!$C$1:$E$10000,3,FALSE)</f>
        <v>MAELZER</v>
      </c>
      <c r="M55" s="6">
        <f t="shared" si="1"/>
        <v>2.6250000002619345E-2</v>
      </c>
      <c r="N55" s="7">
        <f t="shared" si="2"/>
        <v>37.800000003771856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08:29:02-0600',mode:absolute,to:'2016-10-22 11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23.299399999999999</v>
      </c>
      <c r="Z55" s="67">
        <f t="shared" si="9"/>
        <v>1.4999999999999999E-2</v>
      </c>
      <c r="AA55" s="67">
        <f t="shared" si="10"/>
        <v>23.284399999999998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0142-22</v>
      </c>
      <c r="AE55" s="91" t="str">
        <f t="shared" si="12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55" s="88" t="str">
        <f t="shared" si="13"/>
        <v>"C:\Program Files (x86)\AstroGrep\AstroGrep.exe" /spath="%USERPROFILE%\AppData\Local\Temp\OnboardLogs" /stypes="app*4030*20161022*"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142-22 --locoid 4030 --swversion DE.1.0.7.0 --startMP 204:232994 --initTime 2016-10-22T09:29:02 --startdatetime 2016-10-22T09:41:27 --delay 0 --endMP 204:150 --enddatetime 2016-10-22T10:19:15 --enforcementcount 0 &gt;&gt;C:\Users\stu\Documents\GitHub\eaglep3-reporting\EC\2016-10-22-refined-times.txt</v>
      </c>
      <c r="AI5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ID","value":"142-22"},{"id":16,"name":"Locomotive ID","value":"4030"},{"id":130,"name":"Impact","value":""},{"id":150,"name":"Time of Event (Mountain Time)","value":"10:19:15"},{"id":151,"name":"Denver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420</v>
      </c>
      <c r="B56" s="7">
        <v>4053</v>
      </c>
      <c r="C56" s="22" t="s">
        <v>99</v>
      </c>
      <c r="D56" s="22" t="s">
        <v>650</v>
      </c>
      <c r="E56" s="13">
        <v>42665.371655092589</v>
      </c>
      <c r="F56" s="13">
        <v>42665.375231481485</v>
      </c>
      <c r="G56" s="7">
        <v>1</v>
      </c>
      <c r="H56" s="13" t="s">
        <v>341</v>
      </c>
      <c r="I56" s="13">
        <v>42665.40289351852</v>
      </c>
      <c r="J56" s="7">
        <v>0</v>
      </c>
      <c r="K56" s="112" t="str">
        <f t="shared" si="0"/>
        <v>4053/4054</v>
      </c>
      <c r="L56" s="22" t="str">
        <f>VLOOKUP(A56,'Trips&amp;Operators'!$C$1:$E$10000,3,FALSE)</f>
        <v>STRICKLAND</v>
      </c>
      <c r="M56" s="6">
        <f t="shared" si="1"/>
        <v>2.7662037035042886E-2</v>
      </c>
      <c r="N56" s="7">
        <f t="shared" si="2"/>
        <v>39.833333330461755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07:55:11-0600',mode:absolute,to:'2016-10-22 10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4.5699999999999998E-2</v>
      </c>
      <c r="Z56" s="67">
        <f t="shared" si="9"/>
        <v>23.333600000000001</v>
      </c>
      <c r="AA56" s="67">
        <f t="shared" si="10"/>
        <v>23.2879</v>
      </c>
      <c r="AB56" s="64" t="str">
        <f>VLOOKUP(A56,Enforcements!$C$7:$K$21,8,0)</f>
        <v>Speed (6)</v>
      </c>
      <c r="AC56" s="60" t="str">
        <f>VLOOKUP(A56,Enforcements!$C$7:$E$21,3,0)</f>
        <v>PERMANENT SPEED RESTRICTION</v>
      </c>
      <c r="AD56" s="61" t="str">
        <f t="shared" si="11"/>
        <v>0143-22</v>
      </c>
      <c r="AE56" s="91" t="str">
        <f t="shared" si="12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56" s="88" t="str">
        <f t="shared" si="13"/>
        <v>"C:\Program Files (x86)\AstroGrep\AstroGrep.exe" /spath="%USERPROFILE%\AppData\Local\Temp\OnboardLogs" /stypes="app*4053*20161022*"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143-22 --locoid 4053 --swversion DE.1.0.7.0 --startMP 204:457 --initTime 2016-10-22T08:55:11 --startdatetime 2016-10-22T09:00:20 --delay 1 --endMP 204:233336 --enddatetime 2016-10-22T09:40:10 --enforcementcount 0 &gt;&gt;C:\Users\stu\Documents\GitHub\eaglep3-reporting\EC\2016-10-22-refined-times.txt</v>
      </c>
      <c r="AI5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{"issue":{"subject":"","project_id":79,"tracker_id":40,"status_id":1,"priority_id":2,"assigned_to_id":23,"start_date":"2016-10-22","description":"","custom_fields":[{"id":1,"name":"Subdivision","value":"EC"},{"id":4,"name":"Milepost","value":"23.3336"},{"id":17,"name":"Train ID","value":"143-22"},{"id":16,"name":"Locomotive ID","value":"4053"},{"id":130,"name":"Impact","value":""},{"id":150,"name":"Time of Event (Mountain Time)","value":"09:40:10"},{"id":151,"name":"Denver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422</v>
      </c>
      <c r="B57" s="7">
        <v>4054</v>
      </c>
      <c r="C57" s="22" t="s">
        <v>99</v>
      </c>
      <c r="D57" s="22" t="s">
        <v>283</v>
      </c>
      <c r="E57" s="13">
        <v>42665.410127314812</v>
      </c>
      <c r="F57" s="13">
        <v>42665.414120370369</v>
      </c>
      <c r="G57" s="7">
        <v>1</v>
      </c>
      <c r="H57" s="13" t="s">
        <v>237</v>
      </c>
      <c r="I57" s="13">
        <v>42665.442546296297</v>
      </c>
      <c r="J57" s="7">
        <v>0</v>
      </c>
      <c r="K57" s="112" t="str">
        <f t="shared" si="0"/>
        <v>4053/4054</v>
      </c>
      <c r="L57" s="22" t="str">
        <f>VLOOKUP(A57,'Trips&amp;Operators'!$C$1:$E$10000,3,FALSE)</f>
        <v>STRICKLAND</v>
      </c>
      <c r="M57" s="6">
        <f t="shared" si="1"/>
        <v>2.842592592787696E-2</v>
      </c>
      <c r="N57" s="7">
        <f t="shared" si="2"/>
        <v>40.933333336142823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08:50:35-0600',mode:absolute,to:'2016-10-22 11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23.298999999999999</v>
      </c>
      <c r="Z57" s="67">
        <f t="shared" si="9"/>
        <v>1.6E-2</v>
      </c>
      <c r="AA57" s="67">
        <f t="shared" si="10"/>
        <v>23.283000000000001</v>
      </c>
      <c r="AB57" s="64" t="str">
        <f>VLOOKUP(A57,Enforcements!$C$7:$K$21,8,0)</f>
        <v>Bulletin (2)</v>
      </c>
      <c r="AC57" s="60" t="str">
        <f>VLOOKUP(A57,Enforcements!$C$7:$E$21,3,0)</f>
        <v>GRADE CROSSING</v>
      </c>
      <c r="AD57" s="61" t="str">
        <f t="shared" si="11"/>
        <v>0144-22</v>
      </c>
      <c r="AE57" s="91" t="str">
        <f t="shared" si="12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57" s="88" t="str">
        <f t="shared" si="13"/>
        <v>"C:\Program Files (x86)\AstroGrep\AstroGrep.exe" /spath="%USERPROFILE%\AppData\Local\Temp\OnboardLogs" /stypes="app*4054*20161022*"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144-22 --locoid 4054 --swversion DE.1.0.7.0 --startMP 204:232990 --initTime 2016-10-22T09:50:35 --startdatetime 2016-10-22T09:56:20 --delay 1 --endMP 204:160 --enddatetime 2016-10-22T10:37:16 --enforcementcount 0 &gt;&gt;C:\Users\stu\Documents\GitHub\eaglep3-reporting\EC\2016-10-22-refined-times.txt</v>
      </c>
      <c r="AI5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{"issue":{"subject":"","project_id":79,"tracker_id":40,"status_id":1,"priority_id":2,"assigned_to_id":23,"start_date":"2016-10-22","description":"","custom_fields":[{"id":1,"name":"Subdivision","value":"EC"},{"id":4,"name":"Milepost","value":"0.016"},{"id":17,"name":"Train ID","value":"144-22"},{"id":16,"name":"Locomotive ID","value":"4054"},{"id":130,"name":"Impact","value":""},{"id":150,"name":"Time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496</v>
      </c>
      <c r="B58" s="7">
        <v>4031</v>
      </c>
      <c r="C58" s="22" t="s">
        <v>99</v>
      </c>
      <c r="D58" s="22" t="s">
        <v>230</v>
      </c>
      <c r="E58" s="13">
        <v>42665.383344907408</v>
      </c>
      <c r="F58" s="13">
        <v>42665.385648148149</v>
      </c>
      <c r="G58" s="7">
        <v>1</v>
      </c>
      <c r="H58" s="13" t="s">
        <v>195</v>
      </c>
      <c r="I58" s="13">
        <v>42665.410520833335</v>
      </c>
      <c r="J58" s="7">
        <v>0</v>
      </c>
      <c r="K58" s="112" t="str">
        <f t="shared" si="0"/>
        <v>4031/4032</v>
      </c>
      <c r="L58" s="22" t="str">
        <f>VLOOKUP(A58,'Trips&amp;Operators'!$C$1:$E$10000,3,FALSE)</f>
        <v>MALAVE</v>
      </c>
      <c r="M58" s="6">
        <f t="shared" si="1"/>
        <v>2.4872685185982846E-2</v>
      </c>
      <c r="N58" s="7">
        <f t="shared" si="2"/>
        <v>35.816666667815298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08:12:01-0600',mode:absolute,to:'2016-10-22 10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4.6399999999999997E-2</v>
      </c>
      <c r="Z58" s="67">
        <f t="shared" si="9"/>
        <v>23.329699999999999</v>
      </c>
      <c r="AA58" s="67">
        <f t="shared" si="10"/>
        <v>23.283300000000001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0145-22</v>
      </c>
      <c r="AE58" s="91" t="str">
        <f t="shared" si="12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58" s="88" t="str">
        <f t="shared" si="13"/>
        <v>"C:\Program Files (x86)\AstroGrep\AstroGrep.exe" /spath="%USERPROFILE%\AppData\Local\Temp\OnboardLogs" /stypes="app*4031*20161022*"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145-22 --locoid 4031 --swversion DE.1.0.7.0 --startMP 204:464 --initTime 2016-10-22T09:12:01 --startdatetime 2016-10-22T09:15:20 --delay 1 --endMP 204:233297 --enddatetime 2016-10-22T09:51:09 --enforcementcount 0 &gt;&gt;C:\Users\stu\Documents\GitHub\eaglep3-reporting\EC\2016-10-22-refined-times.txt</v>
      </c>
      <c r="AI5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{"issue":{"subject":"","project_id":79,"tracker_id":40,"status_id":1,"priority_id":2,"assigned_to_id":23,"start_date":"2016-10-22","description":"","custom_fields":[{"id":1,"name":"Subdivision","value":"EC"},{"id":4,"name":"Milepost","value":"23.3297"},{"id":17,"name":"Train ID","value":"145-22"},{"id":16,"name":"Locomotive ID","value":"4031"},{"id":130,"name":"Impact","value":""},{"id":150,"name":"Time of Event (Mountain Time)","value":"09:51:09"},{"id":151,"name":"Denver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502</v>
      </c>
      <c r="B59" s="7">
        <v>4032</v>
      </c>
      <c r="C59" s="22" t="s">
        <v>99</v>
      </c>
      <c r="D59" s="22" t="s">
        <v>651</v>
      </c>
      <c r="E59" s="13">
        <v>42665.422129629631</v>
      </c>
      <c r="F59" s="13">
        <v>42665.424571759257</v>
      </c>
      <c r="G59" s="7">
        <v>3</v>
      </c>
      <c r="H59" s="13" t="s">
        <v>323</v>
      </c>
      <c r="I59" s="13">
        <v>42665.451412037037</v>
      </c>
      <c r="J59" s="7">
        <v>0</v>
      </c>
      <c r="K59" s="112" t="str">
        <f t="shared" si="0"/>
        <v>4031/4032</v>
      </c>
      <c r="L59" s="22" t="str">
        <f>VLOOKUP(A59,'Trips&amp;Operators'!$C$1:$E$10000,3,FALSE)</f>
        <v>MALAVE</v>
      </c>
      <c r="M59" s="6">
        <f t="shared" si="1"/>
        <v>2.6840277780138422E-2</v>
      </c>
      <c r="N59" s="7">
        <f t="shared" si="2"/>
        <v>38.650000003399327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09:07:52-0600',mode:absolute,to:'2016-10-22 11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9" s="52" t="str">
        <f t="shared" si="6"/>
        <v>N</v>
      </c>
      <c r="X59" s="171">
        <f t="shared" si="7"/>
        <v>1</v>
      </c>
      <c r="Y59" s="67">
        <f t="shared" si="8"/>
        <v>23.2987</v>
      </c>
      <c r="Z59" s="67">
        <f t="shared" si="9"/>
        <v>1.6899999999999998E-2</v>
      </c>
      <c r="AA59" s="67">
        <f t="shared" si="10"/>
        <v>23.2818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0146-22</v>
      </c>
      <c r="AE59" s="91" t="str">
        <f t="shared" si="12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59" s="88" t="str">
        <f t="shared" si="13"/>
        <v>"C:\Program Files (x86)\AstroGrep\AstroGrep.exe" /spath="%USERPROFILE%\AppData\Local\Temp\OnboardLogs" /stypes="app*4032*20161022*"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146-22 --locoid 4032 --swversion DE.1.0.7.0 --startMP 204:232987 --initTime 2016-10-22T10:07:52 --startdatetime 2016-10-22T10:11:23 --delay 3 --endMP 204:169 --enddatetime 2016-10-22T10:50:02 --enforcementcount 0 &gt;&gt;C:\Users\stu\Documents\GitHub\eaglep3-reporting\EC\2016-10-22-refined-times.txt</v>
      </c>
      <c r="AI5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ID","value":"146-22"},{"id":16,"name":"Locomotive ID","value":"4032"},{"id":130,"name":"Impact","value":""},{"id":150,"name":"Time of Event (Mountain Time)","value":"10:50:02"},{"id":151,"name":"Denver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498</v>
      </c>
      <c r="B60" s="7">
        <v>4038</v>
      </c>
      <c r="C60" s="22" t="s">
        <v>99</v>
      </c>
      <c r="D60" s="22" t="s">
        <v>380</v>
      </c>
      <c r="E60" s="13">
        <v>42665.390115740738</v>
      </c>
      <c r="F60" s="13">
        <v>42665.396018518521</v>
      </c>
      <c r="G60" s="7">
        <v>1</v>
      </c>
      <c r="H60" s="13" t="s">
        <v>236</v>
      </c>
      <c r="I60" s="13">
        <v>42665.421331018515</v>
      </c>
      <c r="J60" s="7">
        <v>0</v>
      </c>
      <c r="K60" s="112" t="str">
        <f t="shared" si="0"/>
        <v>4037/4038</v>
      </c>
      <c r="L60" s="22" t="str">
        <f>VLOOKUP(A60,'Trips&amp;Operators'!$C$1:$E$10000,3,FALSE)</f>
        <v>ACKERMAN</v>
      </c>
      <c r="M60" s="6">
        <f t="shared" si="1"/>
        <v>2.5312499994470272E-2</v>
      </c>
      <c r="N60" s="7">
        <f t="shared" si="2"/>
        <v>36.449999992037192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08:21:46-0600',mode:absolute,to:'2016-10-22 11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0" s="52" t="str">
        <f t="shared" si="6"/>
        <v>N</v>
      </c>
      <c r="X60" s="171">
        <f t="shared" si="7"/>
        <v>1</v>
      </c>
      <c r="Y60" s="67">
        <f t="shared" si="8"/>
        <v>4.3499999999999997E-2</v>
      </c>
      <c r="Z60" s="67">
        <f t="shared" si="9"/>
        <v>23.329899999999999</v>
      </c>
      <c r="AA60" s="67">
        <f t="shared" si="10"/>
        <v>23.286399999999997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0147-22</v>
      </c>
      <c r="AE60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60" s="88" t="str">
        <f t="shared" si="13"/>
        <v>"C:\Program Files (x86)\AstroGrep\AstroGrep.exe" /spath="%USERPROFILE%\AppData\Local\Temp\OnboardLogs" /stypes="app*4038*20161022*"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147-22 --locoid 4038 --swversion DE.1.0.7.0 --startMP 204:435 --initTime 2016-10-22T09:21:46 --startdatetime 2016-10-22T09:30:16 --delay 1 --endMP 204:233299 --enddatetime 2016-10-22T10:06:43 --enforcementcount 0 &gt;&gt;C:\Users\stu\Documents\GitHub\eaglep3-reporting\EC\2016-10-22-refined-times.txt</v>
      </c>
      <c r="AI6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{"issue":{"subject":"","project_id":79,"tracker_id":40,"status_id":1,"priority_id":2,"assigned_to_id":23,"start_date":"2016-10-22","description":"","custom_fields":[{"id":1,"name":"Subdivision","value":"EC"},{"id":4,"name":"Milepost","value":"23.3299"},{"id":17,"name":"Train ID","value":"147-22"},{"id":16,"name":"Locomotive ID","value":"4038"},{"id":130,"name":"Impact","value":""},{"id":150,"name":"Time of Event (Mountain Time)","value":"10:06:43"},{"id":151,"name":"Denver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504</v>
      </c>
      <c r="B61" s="7">
        <v>4037</v>
      </c>
      <c r="C61" s="22" t="s">
        <v>99</v>
      </c>
      <c r="D61" s="22" t="s">
        <v>649</v>
      </c>
      <c r="E61" s="13">
        <v>42665.427523148152</v>
      </c>
      <c r="F61" s="13">
        <v>42665.434918981482</v>
      </c>
      <c r="G61" s="7">
        <v>2</v>
      </c>
      <c r="H61" s="13" t="s">
        <v>182</v>
      </c>
      <c r="I61" s="13">
        <v>42665.461342592593</v>
      </c>
      <c r="J61" s="7">
        <v>0</v>
      </c>
      <c r="K61" s="112" t="str">
        <f t="shared" si="0"/>
        <v>4037/4038</v>
      </c>
      <c r="L61" s="22" t="str">
        <f>VLOOKUP(A61,'Trips&amp;Operators'!$C$1:$E$10000,3,FALSE)</f>
        <v>ACKERMAN</v>
      </c>
      <c r="M61" s="6">
        <f t="shared" si="1"/>
        <v>2.6423611110658385E-2</v>
      </c>
      <c r="N61" s="7">
        <f t="shared" si="2"/>
        <v>38.049999999348074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09:15:38-0600',mode:absolute,to:'2016-10-22 12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23.296099999999999</v>
      </c>
      <c r="Z61" s="67">
        <f t="shared" si="9"/>
        <v>1.41E-2</v>
      </c>
      <c r="AA61" s="67">
        <f t="shared" si="10"/>
        <v>23.282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0148-22</v>
      </c>
      <c r="AE61" s="91" t="str">
        <f t="shared" si="12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61" s="88" t="str">
        <f t="shared" si="13"/>
        <v>"C:\Program Files (x86)\AstroGrep\AstroGrep.exe" /spath="%USERPROFILE%\AppData\Local\Temp\OnboardLogs" /stypes="app*4037*20161022*"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148-22 --locoid 4037 --swversion DE.1.0.7.0 --startMP 204:232961 --initTime 2016-10-22T10:15:38 --startdatetime 2016-10-22T10:26:17 --delay 2 --endMP 204:141 --enddatetime 2016-10-22T11:04:20 --enforcementcount 0 &gt;&gt;C:\Users\stu\Documents\GitHub\eaglep3-reporting\EC\2016-10-22-refined-times.txt</v>
      </c>
      <c r="AI61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{"issue":{"subject":"","project_id":79,"tracker_id":40,"status_id":1,"priority_id":2,"assigned_to_id":23,"start_date":"2016-10-22","description":"","custom_fields":[{"id":1,"name":"Subdivision","value":"EC"},{"id":4,"name":"Milepost","value":"0.0141"},{"id":17,"name":"Train ID","value":"148-22"},{"id":16,"name":"Locomotive ID","value":"4037"},{"id":130,"name":"Impact","value":""},{"id":150,"name":"Time of Event (Mountain Time)","value":"11:04:20"},{"id":151,"name":"Denver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500</v>
      </c>
      <c r="B62" s="7">
        <v>4042</v>
      </c>
      <c r="C62" s="22" t="s">
        <v>99</v>
      </c>
      <c r="D62" s="22" t="s">
        <v>259</v>
      </c>
      <c r="E62" s="13">
        <v>42665.402187500003</v>
      </c>
      <c r="F62" s="13">
        <v>42665.406412037039</v>
      </c>
      <c r="G62" s="7">
        <v>1</v>
      </c>
      <c r="H62" s="13" t="s">
        <v>321</v>
      </c>
      <c r="I62" s="13">
        <v>42665.432997685188</v>
      </c>
      <c r="J62" s="7">
        <v>0</v>
      </c>
      <c r="K62" s="112" t="str">
        <f t="shared" si="0"/>
        <v>4041/4042</v>
      </c>
      <c r="L62" s="22" t="str">
        <f>VLOOKUP(A62,'Trips&amp;Operators'!$C$1:$E$10000,3,FALSE)</f>
        <v>DAVIS</v>
      </c>
      <c r="M62" s="6">
        <f t="shared" si="1"/>
        <v>2.658564814919373E-2</v>
      </c>
      <c r="N62" s="7">
        <f t="shared" si="2"/>
        <v>38.283333334838971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08:39:09-0600',mode:absolute,to:'2016-10-22 11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4.7100000000000003E-2</v>
      </c>
      <c r="Z62" s="67">
        <f t="shared" si="9"/>
        <v>23.331</v>
      </c>
      <c r="AA62" s="67">
        <f t="shared" si="10"/>
        <v>23.283899999999999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0149-22</v>
      </c>
      <c r="AE62" s="91" t="str">
        <f t="shared" si="12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62" s="88" t="str">
        <f t="shared" si="13"/>
        <v>"C:\Program Files (x86)\AstroGrep\AstroGrep.exe" /spath="%USERPROFILE%\AppData\Local\Temp\OnboardLogs" /stypes="app*4042*20161022*"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149-22 --locoid 4042 --swversion DE.1.0.7.0 --startMP 204:471 --initTime 2016-10-22T09:39:09 --startdatetime 2016-10-22T09:45:14 --delay 1 --endMP 204:233310 --enddatetime 2016-10-22T10:23:31 --enforcementcount 0 &gt;&gt;C:\Users\stu\Documents\GitHub\eaglep3-reporting\EC\2016-10-22-refined-times.txt</v>
      </c>
      <c r="AI6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{"issue":{"subject":"","project_id":79,"tracker_id":40,"status_id":1,"priority_id":2,"assigned_to_id":23,"start_date":"2016-10-22","description":"","custom_fields":[{"id":1,"name":"Subdivision","value":"EC"},{"id":4,"name":"Milepost","value":"23.331"},{"id":17,"name":"Train ID","value":"149-22"},{"id":16,"name":"Locomotive ID","value":"4042"},{"id":130,"name":"Impact","value":""},{"id":150,"name":"Time of Event (Mountain Time)","value":"10:23:31"},{"id":151,"name":"Denver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423</v>
      </c>
      <c r="B63" s="7">
        <v>4041</v>
      </c>
      <c r="C63" s="22" t="s">
        <v>99</v>
      </c>
      <c r="D63" s="22" t="s">
        <v>319</v>
      </c>
      <c r="E63" s="13">
        <v>42665.440925925926</v>
      </c>
      <c r="F63" s="13">
        <v>42665.445277777777</v>
      </c>
      <c r="G63" s="7">
        <v>1</v>
      </c>
      <c r="H63" s="13" t="s">
        <v>652</v>
      </c>
      <c r="I63" s="13">
        <v>42665.474652777775</v>
      </c>
      <c r="J63" s="7">
        <v>0</v>
      </c>
      <c r="K63" s="112" t="str">
        <f t="shared" si="0"/>
        <v>4041/4042</v>
      </c>
      <c r="L63" s="22" t="str">
        <f>VLOOKUP(A63,'Trips&amp;Operators'!$C$1:$E$10000,3,FALSE)</f>
        <v>DAVIS</v>
      </c>
      <c r="M63" s="6">
        <f t="shared" si="1"/>
        <v>2.937499999825377E-2</v>
      </c>
      <c r="N63" s="7">
        <f t="shared" si="2"/>
        <v>42.299999997485429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09:34:56-0600',mode:absolute,to:'2016-10-22 12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23.299299999999999</v>
      </c>
      <c r="Z63" s="67">
        <f t="shared" si="9"/>
        <v>1.29E-2</v>
      </c>
      <c r="AA63" s="67">
        <f t="shared" si="10"/>
        <v>23.2864</v>
      </c>
      <c r="AB63" s="64" t="str">
        <f>VLOOKUP(A63,Enforcements!$C$7:$K$21,8,0)</f>
        <v>Signal based authority (5)</v>
      </c>
      <c r="AC63" s="60" t="str">
        <f>VLOOKUP(A63,Enforcements!$C$7:$E$21,3,0)</f>
        <v>SIGNAL</v>
      </c>
      <c r="AD63" s="61" t="str">
        <f t="shared" si="11"/>
        <v>0150-22</v>
      </c>
      <c r="AE63" s="91" t="str">
        <f t="shared" si="12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63" s="88" t="str">
        <f t="shared" si="13"/>
        <v>"C:\Program Files (x86)\AstroGrep\AstroGrep.exe" /spath="%USERPROFILE%\AppData\Local\Temp\OnboardLogs" /stypes="app*4041*20161022*"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150-22 --locoid 4041 --swversion DE.1.0.7.0 --startMP 204:232993 --initTime 2016-10-22T10:34:56 --startdatetime 2016-10-22T10:41:12 --delay 1 --endMP 204:129 --enddatetime 2016-10-22T11:23:30 --enforcementcount 0 &gt;&gt;C:\Users\stu\Documents\GitHub\eaglep3-reporting\EC\2016-10-22-refined-times.txt</v>
      </c>
      <c r="AI6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{"issue":{"subject":"","project_id":79,"tracker_id":40,"status_id":1,"priority_id":2,"assigned_to_id":23,"start_date":"2016-10-22","description":"","custom_fields":[{"id":1,"name":"Subdivision","value":"EC"},{"id":4,"name":"Milepost","value":"0.0129"},{"id":17,"name":"Train ID","value":"150-22"},{"id":16,"name":"Locomotive ID","value":"4041"},{"id":130,"name":"Impact","value":""},{"id":150,"name":"Time of Event (Mountain Time)","value":"11:23:30"},{"id":151,"name":"Denver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501</v>
      </c>
      <c r="B64" s="7">
        <v>4044</v>
      </c>
      <c r="C64" s="22" t="s">
        <v>99</v>
      </c>
      <c r="D64" s="22" t="s">
        <v>389</v>
      </c>
      <c r="E64" s="13">
        <v>42665.411111111112</v>
      </c>
      <c r="F64" s="13">
        <v>42665.416863425926</v>
      </c>
      <c r="G64" s="7">
        <v>1</v>
      </c>
      <c r="H64" s="13" t="s">
        <v>377</v>
      </c>
      <c r="I64" s="13">
        <v>42665.441874999997</v>
      </c>
      <c r="J64" s="7">
        <v>0</v>
      </c>
      <c r="K64" s="112" t="str">
        <f t="shared" si="0"/>
        <v>4043/4044</v>
      </c>
      <c r="L64" s="22" t="str">
        <f>VLOOKUP(A64,'Trips&amp;Operators'!$C$1:$E$10000,3,FALSE)</f>
        <v>KILLION</v>
      </c>
      <c r="M64" s="6">
        <f t="shared" si="1"/>
        <v>2.5011574070958886E-2</v>
      </c>
      <c r="N64" s="7">
        <f t="shared" si="2"/>
        <v>36.016666662180796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08:52:00-0600',mode:absolute,to:'2016-10-22 11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4.4200000000000003E-2</v>
      </c>
      <c r="Z64" s="67">
        <f t="shared" si="9"/>
        <v>23.3291</v>
      </c>
      <c r="AA64" s="67">
        <f t="shared" si="10"/>
        <v>23.2849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0151-22</v>
      </c>
      <c r="AE64" s="91" t="str">
        <f t="shared" si="12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64" s="88" t="str">
        <f t="shared" si="13"/>
        <v>"C:\Program Files (x86)\AstroGrep\AstroGrep.exe" /spath="%USERPROFILE%\AppData\Local\Temp\OnboardLogs" /stypes="app*4044*20161022*"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151-22 --locoid 4044 --swversion DE.1.0.7.0 --startMP 204:442 --initTime 2016-10-22T09:52:00 --startdatetime 2016-10-22T10:00:17 --delay 1 --endMP 204:233291 --enddatetime 2016-10-22T10:36:18 --enforcementcount 0 &gt;&gt;C:\Users\stu\Documents\GitHub\eaglep3-reporting\EC\2016-10-22-refined-times.txt</v>
      </c>
      <c r="AI6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{"issue":{"subject":"","project_id":79,"tracker_id":40,"status_id":1,"priority_id":2,"assigned_to_id":23,"start_date":"2016-10-22","description":"","custom_fields":[{"id":1,"name":"Subdivision","value":"EC"},{"id":4,"name":"Milepost","value":"23.3291"},{"id":17,"name":"Train ID","value":"151-22"},{"id":16,"name":"Locomotive ID","value":"4044"},{"id":130,"name":"Impact","value":""},{"id":150,"name":"Time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4043</v>
      </c>
      <c r="C65" s="22" t="s">
        <v>99</v>
      </c>
      <c r="D65" s="22" t="s">
        <v>378</v>
      </c>
      <c r="E65" s="13">
        <v>42665.448182870372</v>
      </c>
      <c r="F65" s="13">
        <v>42665.455752314818</v>
      </c>
      <c r="G65" s="7">
        <v>1</v>
      </c>
      <c r="H65" s="13" t="s">
        <v>264</v>
      </c>
      <c r="I65" s="13">
        <v>42665.484224537038</v>
      </c>
      <c r="J65" s="7">
        <v>0</v>
      </c>
      <c r="K65" s="112" t="str">
        <f t="shared" si="0"/>
        <v>4043/4044</v>
      </c>
      <c r="L65" s="22" t="str">
        <f>VLOOKUP(A65,'Trips&amp;Operators'!$C$1:$E$10000,3,FALSE)</f>
        <v>KILLION</v>
      </c>
      <c r="M65" s="6">
        <f t="shared" si="1"/>
        <v>2.8472222220443655E-2</v>
      </c>
      <c r="N65" s="7">
        <f t="shared" si="2"/>
        <v>40.999999997438863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09:45:23-0600',mode:absolute,to:'2016-10-22 12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23.2971</v>
      </c>
      <c r="Z65" s="67">
        <f t="shared" si="9"/>
        <v>1.5599999999999999E-2</v>
      </c>
      <c r="AA65" s="67">
        <f t="shared" si="10"/>
        <v>23.281500000000001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0152-22</v>
      </c>
      <c r="AE65" s="91" t="str">
        <f t="shared" si="12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65" s="88" t="str">
        <f t="shared" si="13"/>
        <v>"C:\Program Files (x86)\AstroGrep\AstroGrep.exe" /spath="%USERPROFILE%\AppData\Local\Temp\OnboardLogs" /stypes="app*4043*20161022*"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152-22 --locoid 4043 --swversion DE.1.0.7.0 --startMP 204:232971 --initTime 2016-10-22T10:45:23 --startdatetime 2016-10-22T10:56:17 --delay 1 --endMP 204:156 --enddatetime 2016-10-22T11:37:17 --enforcementcount 0 &gt;&gt;C:\Users\stu\Documents\GitHub\eaglep3-reporting\EC\2016-10-22-refined-times.txt</v>
      </c>
      <c r="AI6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ID","value":"152-22"},{"id":16,"name":"Locomotive ID","value":"4043"},{"id":130,"name":"Impact","value":""},{"id":150,"name":"Time of Event (Mountain Time)","value":"11:37:17"},{"id":151,"name":"Denver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503</v>
      </c>
      <c r="B66" s="7">
        <v>4011</v>
      </c>
      <c r="C66" s="22" t="s">
        <v>99</v>
      </c>
      <c r="D66" s="22" t="s">
        <v>320</v>
      </c>
      <c r="E66" s="13">
        <v>42665.423298611109</v>
      </c>
      <c r="F66" s="13">
        <v>42665.427361111113</v>
      </c>
      <c r="G66" s="7">
        <v>1</v>
      </c>
      <c r="H66" s="13" t="s">
        <v>183</v>
      </c>
      <c r="I66" s="13">
        <v>42665.451909722222</v>
      </c>
      <c r="J66" s="7">
        <v>0</v>
      </c>
      <c r="K66" s="112" t="str">
        <f t="shared" si="0"/>
        <v>4011/4012</v>
      </c>
      <c r="L66" s="22" t="str">
        <f>VLOOKUP(A66,'Trips&amp;Operators'!$C$1:$E$10000,3,FALSE)</f>
        <v>GEBRETEKLE</v>
      </c>
      <c r="M66" s="6">
        <f t="shared" si="1"/>
        <v>2.4548611108912155E-2</v>
      </c>
      <c r="N66" s="7">
        <f t="shared" si="2"/>
        <v>35.349999996833503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09:09:33-0600',mode:absolute,to:'2016-10-22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4.3999999999999997E-2</v>
      </c>
      <c r="Z66" s="67">
        <f t="shared" si="9"/>
        <v>23.331199999999999</v>
      </c>
      <c r="AA66" s="67">
        <f t="shared" si="10"/>
        <v>23.287199999999999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0153-22</v>
      </c>
      <c r="AE66" s="91" t="str">
        <f t="shared" si="12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66" s="88" t="str">
        <f t="shared" si="13"/>
        <v>"C:\Program Files (x86)\AstroGrep\AstroGrep.exe" /spath="%USERPROFILE%\AppData\Local\Temp\OnboardLogs" /stypes="app*4011*20161022*"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153-22 --locoid 4011 --swversion DE.1.0.7.0 --startMP 204:440 --initTime 2016-10-22T10:09:33 --startdatetime 2016-10-22T10:15:24 --delay 1 --endMP 204:233312 --enddatetime 2016-10-22T10:50:45 --enforcementcount 0 &gt;&gt;C:\Users\stu\Documents\GitHub\eaglep3-reporting\EC\2016-10-22-refined-times.txt</v>
      </c>
      <c r="AI6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{"issue":{"subject":"","project_id":79,"tracker_id":40,"status_id":1,"priority_id":2,"assigned_to_id":23,"start_date":"2016-10-22","description":"","custom_fields":[{"id":1,"name":"Subdivision","value":"EC"},{"id":4,"name":"Milepost","value":"23.3312"},{"id":17,"name":"Train ID","value":"153-22"},{"id":16,"name":"Locomotive ID","value":"4011"},{"id":130,"name":"Impact","value":""},{"id":150,"name":"Time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512</v>
      </c>
      <c r="B67" s="7">
        <v>4012</v>
      </c>
      <c r="C67" s="22" t="s">
        <v>99</v>
      </c>
      <c r="D67" s="22" t="s">
        <v>319</v>
      </c>
      <c r="E67" s="13">
        <v>42665.462025462963</v>
      </c>
      <c r="F67" s="13">
        <v>42665.466168981482</v>
      </c>
      <c r="G67" s="7">
        <v>0</v>
      </c>
      <c r="H67" s="13" t="s">
        <v>226</v>
      </c>
      <c r="I67" s="13">
        <v>42665.492997685185</v>
      </c>
      <c r="J67" s="7">
        <v>0</v>
      </c>
      <c r="K67" s="112" t="str">
        <f t="shared" si="0"/>
        <v>4011/4012</v>
      </c>
      <c r="L67" s="22" t="str">
        <f>VLOOKUP(A67,'Trips&amp;Operators'!$C$1:$E$10000,3,FALSE)</f>
        <v>GEBRETEKLE</v>
      </c>
      <c r="M67" s="6">
        <f t="shared" si="1"/>
        <v>2.6828703703358769E-2</v>
      </c>
      <c r="N67" s="7">
        <f t="shared" si="2"/>
        <v>38.633333332836628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10:05:19-0600',mode:absolute,to:'2016-10-22 12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23.299299999999999</v>
      </c>
      <c r="Z67" s="67">
        <f t="shared" si="9"/>
        <v>1.4999999999999999E-2</v>
      </c>
      <c r="AA67" s="67">
        <f t="shared" si="10"/>
        <v>23.284299999999998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0154-22</v>
      </c>
      <c r="AE67" s="91" t="str">
        <f t="shared" si="12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67" s="88" t="str">
        <f t="shared" si="13"/>
        <v>"C:\Program Files (x86)\AstroGrep\AstroGrep.exe" /spath="%USERPROFILE%\AppData\Local\Temp\OnboardLogs" /stypes="app*4012*20161022*"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154-22 --locoid 4012 --swversion DE.1.0.7.0 --startMP 204:232993 --initTime 2016-10-22T11:05:19 --startdatetime 2016-10-22T11:11:17 --delay 0 --endMP 204:150 --enddatetime 2016-10-22T11:49:55 --enforcementcount 0 &gt;&gt;C:\Users\stu\Documents\GitHub\eaglep3-reporting\EC\2016-10-22-refined-times.txt</v>
      </c>
      <c r="AI6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ID","value":"154-22"},{"id":16,"name":"Locomotive ID","value":"4012"},{"id":130,"name":"Impact","value":""},{"id":150,"name":"Time of Event (Mountain Time)","value":"11:49:55"},{"id":151,"name":"Denver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506</v>
      </c>
      <c r="B68" s="7">
        <v>4029</v>
      </c>
      <c r="C68" s="22" t="s">
        <v>99</v>
      </c>
      <c r="D68" s="22" t="s">
        <v>235</v>
      </c>
      <c r="E68" s="13">
        <v>42665.432349537034</v>
      </c>
      <c r="F68" s="13">
        <v>42665.437696759262</v>
      </c>
      <c r="G68" s="7">
        <v>1</v>
      </c>
      <c r="H68" s="13" t="s">
        <v>224</v>
      </c>
      <c r="I68" s="13">
        <v>42665.46503472222</v>
      </c>
      <c r="J68" s="7">
        <v>0</v>
      </c>
      <c r="K68" s="112" t="str">
        <f t="shared" si="0"/>
        <v>4029/4030</v>
      </c>
      <c r="L68" s="22" t="str">
        <f>VLOOKUP(A68,'Trips&amp;Operators'!$C$1:$E$10000,3,FALSE)</f>
        <v>CLARK</v>
      </c>
      <c r="M68" s="6">
        <f t="shared" si="1"/>
        <v>2.7337962957972195E-2</v>
      </c>
      <c r="N68" s="7">
        <f t="shared" si="2"/>
        <v>39.366666659479961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09:22:35-0600',mode:absolute,to:'2016-10-22 12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4.4600000000000001E-2</v>
      </c>
      <c r="Z68" s="67">
        <f t="shared" si="9"/>
        <v>23.3293</v>
      </c>
      <c r="AA68" s="67">
        <f t="shared" si="10"/>
        <v>23.284700000000001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0155-22</v>
      </c>
      <c r="AE68" s="91" t="str">
        <f t="shared" si="12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68" s="88" t="str">
        <f t="shared" si="13"/>
        <v>"C:\Program Files (x86)\AstroGrep\AstroGrep.exe" /spath="%USERPROFILE%\AppData\Local\Temp\OnboardLogs" /stypes="app*4029*20161022*"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155-22 --locoid 4029 --swversion DE.1.0.7.0 --startMP 204:446 --initTime 2016-10-22T10:22:35 --startdatetime 2016-10-22T10:30:17 --delay 1 --endMP 204:233293 --enddatetime 2016-10-22T11:09:39 --enforcementcount 0 &gt;&gt;C:\Users\stu\Documents\GitHub\eaglep3-reporting\EC\2016-10-22-refined-times.txt</v>
      </c>
      <c r="AI68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{"issue":{"subject":"","project_id":79,"tracker_id":40,"status_id":1,"priority_id":2,"assigned_to_id":23,"start_date":"2016-10-22","description":"","custom_fields":[{"id":1,"name":"Subdivision","value":"EC"},{"id":4,"name":"Milepost","value":"23.3293"},{"id":17,"name":"Train ID","value":"155-22"},{"id":16,"name":"Locomotive ID","value":"4029"},{"id":130,"name":"Impact","value":""},{"id":150,"name":"Time of Event (Mountain Time)","value":"11:09:39"},{"id":151,"name":"Denver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514</v>
      </c>
      <c r="B69" s="7">
        <v>4030</v>
      </c>
      <c r="C69" s="22" t="s">
        <v>99</v>
      </c>
      <c r="D69" s="22" t="s">
        <v>309</v>
      </c>
      <c r="E69" s="13">
        <v>42665.472048611111</v>
      </c>
      <c r="F69" s="13">
        <v>42665.4765625</v>
      </c>
      <c r="G69" s="7">
        <v>1</v>
      </c>
      <c r="H69" s="13" t="s">
        <v>226</v>
      </c>
      <c r="I69" s="13">
        <v>42665.504918981482</v>
      </c>
      <c r="J69" s="7">
        <v>0</v>
      </c>
      <c r="K69" s="112" t="str">
        <f t="shared" si="0"/>
        <v>4029/4030</v>
      </c>
      <c r="L69" s="22" t="str">
        <f>VLOOKUP(A69,'Trips&amp;Operators'!$C$1:$E$10000,3,FALSE)</f>
        <v>CLARK</v>
      </c>
      <c r="M69" s="6">
        <f t="shared" si="1"/>
        <v>2.8356481481750961E-2</v>
      </c>
      <c r="N69" s="7">
        <f t="shared" si="2"/>
        <v>40.833333333721384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10:19:45-0600',mode:absolute,to:'2016-10-22 13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23.298400000000001</v>
      </c>
      <c r="Z69" s="67">
        <f t="shared" si="9"/>
        <v>1.4999999999999999E-2</v>
      </c>
      <c r="AA69" s="67">
        <f t="shared" si="10"/>
        <v>23.2834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0156-22</v>
      </c>
      <c r="AE69" s="91" t="str">
        <f t="shared" si="12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69" s="88" t="str">
        <f t="shared" si="13"/>
        <v>"C:\Program Files (x86)\AstroGrep\AstroGrep.exe" /spath="%USERPROFILE%\AppData\Local\Temp\OnboardLogs" /stypes="app*4030*20161022*"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156-22 --locoid 4030 --swversion DE.1.0.7.0 --startMP 204:232984 --initTime 2016-10-22T11:19:45 --startdatetime 2016-10-22T11:26:15 --delay 1 --endMP 204:150 --enddatetime 2016-10-22T12:07:05 --enforcementcount 0 &gt;&gt;C:\Users\stu\Documents\GitHub\eaglep3-reporting\EC\2016-10-22-refined-times.txt</v>
      </c>
      <c r="AI69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ID","value":"156-22"},{"id":16,"name":"Locomotive ID","value":"4030"},{"id":130,"name":"Impact","value":""},{"id":150,"name":"Time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508</v>
      </c>
      <c r="B70" s="7">
        <v>4053</v>
      </c>
      <c r="C70" s="22" t="s">
        <v>99</v>
      </c>
      <c r="D70" s="22" t="s">
        <v>337</v>
      </c>
      <c r="E70" s="13">
        <v>42665.446134259262</v>
      </c>
      <c r="F70" s="13">
        <v>42665.448506944442</v>
      </c>
      <c r="G70" s="7">
        <v>2</v>
      </c>
      <c r="H70" s="13" t="s">
        <v>270</v>
      </c>
      <c r="I70" s="13">
        <v>42665.474548611113</v>
      </c>
      <c r="J70" s="7">
        <v>0</v>
      </c>
      <c r="K70" s="112" t="str">
        <f t="shared" si="0"/>
        <v>4053/4054</v>
      </c>
      <c r="L70" s="22" t="str">
        <f>VLOOKUP(A70,'Trips&amp;Operators'!$C$1:$E$10000,3,FALSE)</f>
        <v>MAHAN</v>
      </c>
      <c r="M70" s="6">
        <f t="shared" si="1"/>
        <v>2.6041666671517305E-2</v>
      </c>
      <c r="N70" s="7">
        <f t="shared" si="2"/>
        <v>37.500000006984919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09:42:26-0600',mode:absolute,to:'2016-10-22 12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4.8800000000000003E-2</v>
      </c>
      <c r="Z70" s="67">
        <f t="shared" si="9"/>
        <v>23.3278</v>
      </c>
      <c r="AA70" s="67">
        <f t="shared" si="10"/>
        <v>23.279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0157-22</v>
      </c>
      <c r="AE70" s="91" t="str">
        <f t="shared" si="12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70" s="88" t="str">
        <f t="shared" si="13"/>
        <v>"C:\Program Files (x86)\AstroGrep\AstroGrep.exe" /spath="%USERPROFILE%\AppData\Local\Temp\OnboardLogs" /stypes="app*4053*20161022*"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157-22 --locoid 4053 --swversion DE.1.0.7.0 --startMP 204:488 --initTime 2016-10-22T10:42:26 --startdatetime 2016-10-22T10:45:51 --delay 2 --endMP 204:233278 --enddatetime 2016-10-22T11:23:21 --enforcementcount 0 &gt;&gt;C:\Users\stu\Documents\GitHub\eaglep3-reporting\EC\2016-10-22-refined-times.txt</v>
      </c>
      <c r="AI70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{"issue":{"subject":"","project_id":79,"tracker_id":40,"status_id":1,"priority_id":2,"assigned_to_id":23,"start_date":"2016-10-22","description":"","custom_fields":[{"id":1,"name":"Subdivision","value":"EC"},{"id":4,"name":"Milepost","value":"23.3278"},{"id":17,"name":"Train ID","value":"157-22"},{"id":16,"name":"Locomotive ID","value":"4053"},{"id":130,"name":"Impact","value":""},{"id":150,"name":"Time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515</v>
      </c>
      <c r="B71" s="7">
        <v>4054</v>
      </c>
      <c r="C71" s="22" t="s">
        <v>99</v>
      </c>
      <c r="D71" s="22" t="s">
        <v>386</v>
      </c>
      <c r="E71" s="13">
        <v>42665.476284722223</v>
      </c>
      <c r="F71" s="13">
        <v>42665.487037037034</v>
      </c>
      <c r="G71" s="7">
        <v>1</v>
      </c>
      <c r="H71" s="13" t="s">
        <v>226</v>
      </c>
      <c r="I71" s="13">
        <v>42665.515925925924</v>
      </c>
      <c r="J71" s="7">
        <v>0</v>
      </c>
      <c r="K71" s="112" t="str">
        <f t="shared" si="0"/>
        <v>4053/4054</v>
      </c>
      <c r="L71" s="22" t="str">
        <f>VLOOKUP(A71,'Trips&amp;Operators'!$C$1:$E$10000,3,FALSE)</f>
        <v>MAHAN</v>
      </c>
      <c r="M71" s="6">
        <f t="shared" si="1"/>
        <v>2.8888888889923692E-2</v>
      </c>
      <c r="N71" s="7">
        <f t="shared" si="2"/>
        <v>41.600000001490116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10:25:51-0600',mode:absolute,to:'2016-10-22 13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23.2972</v>
      </c>
      <c r="Z71" s="67">
        <f t="shared" si="9"/>
        <v>1.4999999999999999E-2</v>
      </c>
      <c r="AA71" s="67">
        <f t="shared" si="10"/>
        <v>23.2822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0158-22</v>
      </c>
      <c r="AE71" s="91" t="str">
        <f t="shared" si="12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71" s="88" t="str">
        <f t="shared" si="13"/>
        <v>"C:\Program Files (x86)\AstroGrep\AstroGrep.exe" /spath="%USERPROFILE%\AppData\Local\Temp\OnboardLogs" /stypes="app*4054*20161022*"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158-22 --locoid 4054 --swversion DE.1.0.7.0 --startMP 204:232972 --initTime 2016-10-22T11:25:51 --startdatetime 2016-10-22T11:41:20 --delay 1 --endMP 204:150 --enddatetime 2016-10-22T12:22:56 --enforcementcount 0 &gt;&gt;C:\Users\stu\Documents\GitHub\eaglep3-reporting\EC\2016-10-22-refined-times.txt</v>
      </c>
      <c r="AI71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ID","value":"158-22"},{"id":16,"name":"Locomotive ID","value":"4054"},{"id":130,"name":"Impact","value":""},{"id":150,"name":"Time of Event (Mountain Time)","value":"12:22:56"},{"id":151,"name":"Denver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511</v>
      </c>
      <c r="B72" s="7">
        <v>4031</v>
      </c>
      <c r="C72" s="22" t="s">
        <v>99</v>
      </c>
      <c r="D72" s="22" t="s">
        <v>388</v>
      </c>
      <c r="E72" s="13">
        <v>42665.453229166669</v>
      </c>
      <c r="F72" s="13">
        <v>42665.458599537036</v>
      </c>
      <c r="G72" s="7">
        <v>2</v>
      </c>
      <c r="H72" s="13" t="s">
        <v>391</v>
      </c>
      <c r="I72" s="13">
        <v>42665.483541666668</v>
      </c>
      <c r="J72" s="7">
        <v>0</v>
      </c>
      <c r="K72" s="112" t="str">
        <f t="shared" si="0"/>
        <v>4031/4032</v>
      </c>
      <c r="L72" s="22" t="str">
        <f>VLOOKUP(A72,'Trips&amp;Operators'!$C$1:$E$10000,3,FALSE)</f>
        <v>STEWART</v>
      </c>
      <c r="M72" s="6">
        <f t="shared" si="1"/>
        <v>2.4942129632108845E-2</v>
      </c>
      <c r="N72" s="7">
        <f t="shared" si="2"/>
        <v>35.916666670236737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09:52:39-0600',mode:absolute,to:'2016-10-22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4.7300000000000002E-2</v>
      </c>
      <c r="Z72" s="67">
        <f t="shared" si="9"/>
        <v>23.3307</v>
      </c>
      <c r="AA72" s="67">
        <f t="shared" si="10"/>
        <v>23.2834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0159-22</v>
      </c>
      <c r="AE72" s="91" t="str">
        <f t="shared" si="12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72" s="88" t="str">
        <f t="shared" si="13"/>
        <v>"C:\Program Files (x86)\AstroGrep\AstroGrep.exe" /spath="%USERPROFILE%\AppData\Local\Temp\OnboardLogs" /stypes="app*4031*20161022*"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159-22 --locoid 4031 --swversion DE.1.0.7.0 --startMP 204:473 --initTime 2016-10-22T10:52:39 --startdatetime 2016-10-22T11:00:23 --delay 2 --endMP 204:233307 --enddatetime 2016-10-22T11:36:18 --enforcementcount 0 &gt;&gt;C:\Users\stu\Documents\GitHub\eaglep3-reporting\EC\2016-10-22-refined-times.txt</v>
      </c>
      <c r="AI72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{"issue":{"subject":"","project_id":79,"tracker_id":40,"status_id":1,"priority_id":2,"assigned_to_id":23,"start_date":"2016-10-22","description":"","custom_fields":[{"id":1,"name":"Subdivision","value":"EC"},{"id":4,"name":"Milepost","value":"23.3307"},{"id":17,"name":"Train ID","value":"159-22"},{"id":16,"name":"Locomotive ID","value":"4031"},{"id":130,"name":"Impact","value":""},{"id":150,"name":"Time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4032</v>
      </c>
      <c r="C73" s="22" t="s">
        <v>99</v>
      </c>
      <c r="D73" s="22" t="s">
        <v>339</v>
      </c>
      <c r="E73" s="13">
        <v>42665.494537037041</v>
      </c>
      <c r="F73" s="13">
        <v>42665.497476851851</v>
      </c>
      <c r="G73" s="7">
        <v>2</v>
      </c>
      <c r="H73" s="13" t="s">
        <v>219</v>
      </c>
      <c r="I73" s="13">
        <v>42665.525127314817</v>
      </c>
      <c r="J73" s="7">
        <v>0</v>
      </c>
      <c r="K73" s="112" t="str">
        <f t="shared" si="0"/>
        <v>4031/4032</v>
      </c>
      <c r="L73" s="22" t="str">
        <f>VLOOKUP(A73,'Trips&amp;Operators'!$C$1:$E$10000,3,FALSE)</f>
        <v>STEWART</v>
      </c>
      <c r="M73" s="6">
        <f t="shared" si="1"/>
        <v>2.7650462965539191E-2</v>
      </c>
      <c r="N73" s="7">
        <f t="shared" si="2"/>
        <v>39.816666670376435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10:52:08-0600',mode:absolute,to:'2016-10-22 13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23.297999999999998</v>
      </c>
      <c r="Z73" s="67">
        <f t="shared" si="9"/>
        <v>1.61E-2</v>
      </c>
      <c r="AA73" s="67">
        <f t="shared" si="10"/>
        <v>23.281899999999997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0160-22</v>
      </c>
      <c r="AE73" s="91" t="str">
        <f t="shared" si="12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73" s="88" t="str">
        <f t="shared" si="13"/>
        <v>"C:\Program Files (x86)\AstroGrep\AstroGrep.exe" /spath="%USERPROFILE%\AppData\Local\Temp\OnboardLogs" /stypes="app*4032*20161022*"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160-22 --locoid 4032 --swversion DE.1.0.7.0 --startMP 204:232980 --initTime 2016-10-22T11:52:08 --startdatetime 2016-10-22T11:56:22 --delay 2 --endMP 204:161 --enddatetime 2016-10-22T12:36:11 --enforcementcount 0 &gt;&gt;C:\Users\stu\Documents\GitHub\eaglep3-reporting\EC\2016-10-22-refined-times.txt</v>
      </c>
      <c r="AI73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ID","value":"160-22"},{"id":16,"name":"Locomotive ID","value":"4032"},{"id":130,"name":"Impact","value":""},{"id":150,"name":"Time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424</v>
      </c>
      <c r="B74" s="7">
        <v>4038</v>
      </c>
      <c r="C74" s="22" t="s">
        <v>99</v>
      </c>
      <c r="D74" s="22" t="s">
        <v>262</v>
      </c>
      <c r="E74" s="13">
        <v>42665.463055555556</v>
      </c>
      <c r="F74" s="13">
        <v>42665.4690162037</v>
      </c>
      <c r="G74" s="7">
        <v>1</v>
      </c>
      <c r="H74" s="13" t="s">
        <v>183</v>
      </c>
      <c r="I74" s="13">
        <v>42665.494837962964</v>
      </c>
      <c r="J74" s="7">
        <v>0</v>
      </c>
      <c r="K74" s="112" t="str">
        <f t="shared" si="0"/>
        <v>4037/4038</v>
      </c>
      <c r="L74" s="22" t="str">
        <f>VLOOKUP(A74,'Trips&amp;Operators'!$C$1:$E$10000,3,FALSE)</f>
        <v>BARTLETT</v>
      </c>
      <c r="M74" s="6">
        <f t="shared" si="1"/>
        <v>2.5821759263635613E-2</v>
      </c>
      <c r="N74" s="7">
        <f t="shared" si="2"/>
        <v>37.183333339635283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10:06:48-0600',mode:absolute,to:'2016-10-22 12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4" s="52" t="str">
        <f t="shared" si="6"/>
        <v>N</v>
      </c>
      <c r="X74" s="171">
        <f t="shared" si="7"/>
        <v>1</v>
      </c>
      <c r="Y74" s="67">
        <f t="shared" si="8"/>
        <v>4.4400000000000002E-2</v>
      </c>
      <c r="Z74" s="67">
        <f t="shared" si="9"/>
        <v>23.331199999999999</v>
      </c>
      <c r="AA74" s="67">
        <f t="shared" si="10"/>
        <v>23.286799999999999</v>
      </c>
      <c r="AB74" s="64" t="str">
        <f>VLOOKUP(A74,Enforcements!$C$7:$K$21,8,0)</f>
        <v>Signal based authority (5)</v>
      </c>
      <c r="AC74" s="60" t="str">
        <f>VLOOKUP(A74,Enforcements!$C$7:$E$21,3,0)</f>
        <v>SIGNAL</v>
      </c>
      <c r="AD74" s="61" t="str">
        <f t="shared" si="11"/>
        <v>0161-22</v>
      </c>
      <c r="AE74" s="91" t="str">
        <f t="shared" si="12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74" s="88" t="str">
        <f t="shared" si="13"/>
        <v>"C:\Program Files (x86)\AstroGrep\AstroGrep.exe" /spath="%USERPROFILE%\AppData\Local\Temp\OnboardLogs" /stypes="app*4038*20161022*"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161-22 --locoid 4038 --swversion DE.1.0.7.0 --startMP 204:444 --initTime 2016-10-22T11:06:48 --startdatetime 2016-10-22T11:15:23 --delay 1 --endMP 204:233312 --enddatetime 2016-10-22T11:52:34 --enforcementcount 0 &gt;&gt;C:\Users\stu\Documents\GitHub\eaglep3-reporting\EC\2016-10-22-refined-times.txt</v>
      </c>
      <c r="AI74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{"issue":{"subject":"","project_id":79,"tracker_id":40,"status_id":1,"priority_id":2,"assigned_to_id":23,"start_date":"2016-10-22","description":"","custom_fields":[{"id":1,"name":"Subdivision","value":"EC"},{"id":4,"name":"Milepost","value":"23.3312"},{"id":17,"name":"Train ID","value":"161-22"},{"id":16,"name":"Locomotive ID","value":"4038"},{"id":130,"name":"Impact","value":""},{"id":150,"name":"Time of Event (Mountain Time)","value":"11:52:34"},{"id":151,"name":"Denver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522</v>
      </c>
      <c r="B75" s="7">
        <v>4037</v>
      </c>
      <c r="C75" s="22" t="s">
        <v>99</v>
      </c>
      <c r="D75" s="22" t="s">
        <v>319</v>
      </c>
      <c r="E75" s="13">
        <v>42665.496620370373</v>
      </c>
      <c r="F75" s="13">
        <v>42665.5078587963</v>
      </c>
      <c r="G75" s="7">
        <v>1</v>
      </c>
      <c r="H75" s="13" t="s">
        <v>219</v>
      </c>
      <c r="I75" s="13">
        <v>42665.53465277778</v>
      </c>
      <c r="J75" s="7">
        <v>0</v>
      </c>
      <c r="K75" s="112" t="str">
        <f t="shared" si="0"/>
        <v>4037/4038</v>
      </c>
      <c r="L75" s="22" t="str">
        <f>VLOOKUP(A75,'Trips&amp;Operators'!$C$1:$E$10000,3,FALSE)</f>
        <v>BARTLETT</v>
      </c>
      <c r="M75" s="6">
        <f t="shared" si="1"/>
        <v>2.679398148029577E-2</v>
      </c>
      <c r="N75" s="7">
        <f t="shared" si="2"/>
        <v>38.583333331625909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10:55:08-0600',mode:absolute,to:'2016-10-22 13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23.299299999999999</v>
      </c>
      <c r="Z75" s="67">
        <f t="shared" si="9"/>
        <v>1.61E-2</v>
      </c>
      <c r="AA75" s="67">
        <f t="shared" si="10"/>
        <v>23.283199999999997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0162-22</v>
      </c>
      <c r="AE75" s="91" t="str">
        <f t="shared" si="12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75" s="88" t="str">
        <f t="shared" si="13"/>
        <v>"C:\Program Files (x86)\AstroGrep\AstroGrep.exe" /spath="%USERPROFILE%\AppData\Local\Temp\OnboardLogs" /stypes="app*4037*20161022*"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162-22 --locoid 4037 --swversion DE.1.0.7.0 --startMP 204:232993 --initTime 2016-10-22T11:55:08 --startdatetime 2016-10-22T12:11:19 --delay 1 --endMP 204:161 --enddatetime 2016-10-22T12:49:54 --enforcementcount 0 &gt;&gt;C:\Users\stu\Documents\GitHub\eaglep3-reporting\EC\2016-10-22-refined-times.txt</v>
      </c>
      <c r="AI75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ID","value":"162-22"},{"id":16,"name":"Locomotive ID","value":"4037"},{"id":130,"name":"Impact","value":""},{"id":150,"name":"Time of Event (Mountain Time)","value":"12:49:54"},{"id":151,"name":"Denver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516</v>
      </c>
      <c r="B76" s="7">
        <v>4042</v>
      </c>
      <c r="C76" s="22" t="s">
        <v>99</v>
      </c>
      <c r="D76" s="22" t="s">
        <v>228</v>
      </c>
      <c r="E76" s="13">
        <v>42665.478541666664</v>
      </c>
      <c r="F76" s="13">
        <v>42665.480324074073</v>
      </c>
      <c r="G76" s="7">
        <v>2</v>
      </c>
      <c r="H76" s="13" t="s">
        <v>401</v>
      </c>
      <c r="I76" s="13">
        <v>42665.50577546296</v>
      </c>
      <c r="J76" s="7">
        <v>0</v>
      </c>
      <c r="K76" s="112" t="str">
        <f t="shared" si="0"/>
        <v>4041/4042</v>
      </c>
      <c r="L76" s="22" t="str">
        <f>VLOOKUP(A76,'Trips&amp;Operators'!$C$1:$E$10000,3,FALSE)</f>
        <v>MOSES</v>
      </c>
      <c r="M76" s="6">
        <f t="shared" si="1"/>
        <v>2.545138888672227E-2</v>
      </c>
      <c r="N76" s="7">
        <f t="shared" si="2"/>
        <v>36.649999996880069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https://search-rtdc-monitor-bjffxe2xuh6vdkpspy63sjmuny.us-east-1.es.amazonaws.com/_plugin/kibana/#/discover/Steve-Slow-Train-Analysis-(2080s-and-2083s)?_g=(refreshInterval:(display:Off,section:0,value:0),time:(from:'2016-10-22 10:29:06-0600',mode:absolute,to:'2016-10-22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52" t="str">
        <f t="shared" si="6"/>
        <v>N</v>
      </c>
      <c r="X76" s="171">
        <f t="shared" si="7"/>
        <v>1</v>
      </c>
      <c r="Y76" s="67">
        <f t="shared" si="8"/>
        <v>4.53E-2</v>
      </c>
      <c r="Z76" s="67">
        <f t="shared" si="9"/>
        <v>23.328600000000002</v>
      </c>
      <c r="AA76" s="67">
        <f t="shared" si="10"/>
        <v>23.283300000000001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0163-22</v>
      </c>
      <c r="AE76" s="91" t="str">
        <f t="shared" si="12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76" s="88" t="str">
        <f t="shared" si="13"/>
        <v>"C:\Program Files (x86)\AstroGrep\AstroGrep.exe" /spath="%USERPROFILE%\AppData\Local\Temp\OnboardLogs" /stypes="app*4042*20161022*"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163-22 --locoid 4042 --swversion DE.1.0.7.0 --startMP 204:453 --initTime 2016-10-22T11:29:06 --startdatetime 2016-10-22T11:31:40 --delay 2 --endMP 204:233286 --enddatetime 2016-10-22T12:08:19 --enforcementcount 0 &gt;&gt;C:\Users\stu\Documents\GitHub\eaglep3-reporting\EC\2016-10-22-refined-times.txt</v>
      </c>
      <c r="AI76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{"issue":{"subject":"","project_id":79,"tracker_id":40,"status_id":1,"priority_id":2,"assigned_to_id":23,"start_date":"2016-10-22","description":"","custom_fields":[{"id":1,"name":"Subdivision","value":"EC"},{"id":4,"name":"Milepost","value":"23.3286"},{"id":17,"name":"Train ID","value":"163-22"},{"id":16,"name":"Locomotive ID","value":"4042"},{"id":130,"name":"Impact","value":""},{"id":150,"name":"Time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525</v>
      </c>
      <c r="B77" s="7">
        <v>4041</v>
      </c>
      <c r="C77" s="22" t="s">
        <v>99</v>
      </c>
      <c r="D77" s="22" t="s">
        <v>396</v>
      </c>
      <c r="E77" s="13">
        <v>42665.514224537037</v>
      </c>
      <c r="F77" s="13">
        <v>42665.51829861111</v>
      </c>
      <c r="G77" s="7">
        <v>1</v>
      </c>
      <c r="H77" s="13" t="s">
        <v>177</v>
      </c>
      <c r="I77" s="13">
        <v>42665.546377314815</v>
      </c>
      <c r="J77" s="7">
        <v>0</v>
      </c>
      <c r="K77" s="112" t="str">
        <f t="shared" ref="K77:K138" si="19">IF(ISEVEN(B77),(B77-1)&amp;"/"&amp;B77,B77&amp;"/"&amp;(B77+1))</f>
        <v>4041/4042</v>
      </c>
      <c r="L77" s="22" t="str">
        <f>VLOOKUP(A77,'Trips&amp;Operators'!$C$1:$E$10000,3,FALSE)</f>
        <v>MOSES</v>
      </c>
      <c r="M77" s="6">
        <f t="shared" ref="M77:M138" si="20">I77-F77</f>
        <v>2.8078703704522923E-2</v>
      </c>
      <c r="N77" s="7">
        <f t="shared" ref="N77:P138" si="21">24*60*SUM($M77:$M77)</f>
        <v>40.433333334513009</v>
      </c>
      <c r="O77" s="7"/>
      <c r="P77" s="7"/>
      <c r="Q77" s="23"/>
      <c r="R77" s="23"/>
      <c r="S77" s="35">
        <f t="shared" ref="S77:S138" si="22">SUM(U77:U77)/IF(AG77="EC",12,1)</f>
        <v>1</v>
      </c>
      <c r="T77" s="50" t="str">
        <f t="shared" ref="T77:T138" si="23"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38" si="2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https://search-rtdc-monitor-bjffxe2xuh6vdkpspy63sjmuny.us-east-1.es.amazonaws.com/_plugin/kibana/#/discover/Steve-Slow-Train-Analysis-(2080s-and-2083s)?_g=(refreshInterval:(display:Off,section:0,value:0),time:(from:'2016-10-22 11:20:29-0600',mode:absolute,to:'2016-10-22 14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52" t="str">
        <f t="shared" ref="W77:W138" si="25">IF(AA77&lt;IF(AG77="EC",23,5.65),"Y","N")</f>
        <v>N</v>
      </c>
      <c r="X77" s="171">
        <f t="shared" ref="X77:X138" si="26">VALUE(LEFT(AD77,4))-VALUE(LEFT(AD76,4))</f>
        <v>1</v>
      </c>
      <c r="Y77" s="67">
        <f t="shared" ref="Y77:Y138" si="27">RIGHT(D77,LEN(D77)-4)/10000</f>
        <v>23.296299999999999</v>
      </c>
      <c r="Z77" s="67">
        <f t="shared" ref="Z77:Z138" si="28">RIGHT(H77,LEN(H77)-4)/10000</f>
        <v>1.52E-2</v>
      </c>
      <c r="AA77" s="67">
        <f t="shared" ref="AA77:AA138" si="29">ABS(Z77-Y77)</f>
        <v>23.281099999999999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38" si="30">IF(LEN(A77)=6,"0"&amp;A77,A77)</f>
        <v>0164-22</v>
      </c>
      <c r="AE77" s="91" t="str">
        <f t="shared" ref="AE77:AE138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77" s="88" t="str">
        <f t="shared" ref="AF77:AF138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/stypes="app*4041*20161022*" /stext=" 19:.+((SYSTEM_STATE.+slice.+state.+changed )|(ment ac)|(system.+state.+changed )|(\[timeout)|(PRM\|1\|D)|(kpr)|(kdp)|(\|lc)|(penalty))" /e /r /s</v>
      </c>
      <c r="AG77" s="1" t="str">
        <f t="shared" ref="AG77:AG138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164-22 --locoid 4041 --swversion DE.1.0.7.0 --startMP 204:232963 --initTime 2016-10-22T12:20:29 --startdatetime 2016-10-22T12:26:21 --delay 1 --endMP 204:152 --enddatetime 2016-10-22T13:06:47 --enforcementcount 0 &gt;&gt;C:\Users\stu\Documents\GitHub\eaglep3-reporting\EC\2016-10-22-refined-times.txt</v>
      </c>
      <c r="AI77" s="122" t="str">
        <f t="shared" si="18"/>
        <v>echo {"issue":{"subject":"","project_id":79,"tracker_id":40,"status_id":1,"priority_id":2,"assigned_to_id":23,"start_date":"2016-10-22","description":"","custom_fields":[{"id":1,"name":"Subdivision","value":"EC"},{"id":4,"name":"Milepost","value":"0.0152"},{"id":17,"name":"Train ID","value":"164-22"},{"id":16,"name":"Locomotive ID","value":"4041"},{"id":130,"name":"Impact","value":""},{"id":150,"name":"Time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518</v>
      </c>
      <c r="B78" s="7">
        <v>4044</v>
      </c>
      <c r="C78" s="22" t="s">
        <v>99</v>
      </c>
      <c r="D78" s="22" t="s">
        <v>320</v>
      </c>
      <c r="E78" s="13">
        <v>42665.48641203704</v>
      </c>
      <c r="F78" s="13">
        <v>42665.489791666667</v>
      </c>
      <c r="G78" s="7">
        <v>1</v>
      </c>
      <c r="H78" s="13" t="s">
        <v>631</v>
      </c>
      <c r="I78" s="13">
        <v>42665.515219907407</v>
      </c>
      <c r="J78" s="7">
        <v>0</v>
      </c>
      <c r="K78" s="112" t="str">
        <f t="shared" si="19"/>
        <v>4043/4044</v>
      </c>
      <c r="L78" s="22" t="str">
        <f>VLOOKUP(A78,'Trips&amp;Operators'!$C$1:$E$10000,3,FALSE)</f>
        <v>SHOOK</v>
      </c>
      <c r="M78" s="6">
        <f t="shared" si="20"/>
        <v>2.5428240740438923E-2</v>
      </c>
      <c r="N78" s="7">
        <f t="shared" si="21"/>
        <v>36.616666666232049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10:40:26-0600',mode:absolute,to:'2016-10-22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8" s="52" t="str">
        <f t="shared" si="25"/>
        <v>N</v>
      </c>
      <c r="X78" s="171">
        <f t="shared" si="26"/>
        <v>1</v>
      </c>
      <c r="Y78" s="67">
        <f t="shared" si="27"/>
        <v>4.3999999999999997E-2</v>
      </c>
      <c r="Z78" s="67">
        <f t="shared" si="28"/>
        <v>23.3385</v>
      </c>
      <c r="AA78" s="67">
        <f t="shared" si="29"/>
        <v>23.294499999999999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0"/>
        <v>0165-22</v>
      </c>
      <c r="AE78" s="91" t="str">
        <f t="shared" si="31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78" s="88" t="str">
        <f t="shared" si="32"/>
        <v>"C:\Program Files (x86)\AstroGrep\AstroGrep.exe" /spath="%USERPROFILE%\AppData\Local\Temp\OnboardLogs" /stypes="app*4044*20161022*" /stext=" 18:.+((SYSTEM_STATE.+slice.+state.+changed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39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165-22 --locoid 4044 --swversion DE.1.0.7.0 --startMP 204:440 --initTime 2016-10-22T11:40:26 --startdatetime 2016-10-22T11:45:18 --delay 1 --endMP 204:233385 --enddatetime 2016-10-22T12:21:55 --enforcementcount 0 &gt;&gt;C:\Users\stu\Documents\GitHub\eaglep3-reporting\EC\2016-10-22-refined-times.txt</v>
      </c>
      <c r="AI78" s="122" t="str">
        <f t="shared" ref="AI78:AI139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{"issue":{"subject":"","project_id":79,"tracker_id":40,"status_id":1,"priority_id":2,"assigned_to_id":23,"start_date":"2016-10-22","description":"","custom_fields":[{"id":1,"name":"Subdivision","value":"EC"},{"id":4,"name":"Milepost","value":"23.3385"},{"id":17,"name":"Train ID","value":"165-22"},{"id":16,"name":"Locomotive ID","value":"4044"},{"id":130,"name":"Impact","value":""},{"id":150,"name":"Time of Event (Mountain Time)","value":"12:21:55"},{"id":151,"name":"Denver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527</v>
      </c>
      <c r="B79" s="7">
        <v>4043</v>
      </c>
      <c r="C79" s="22" t="s">
        <v>99</v>
      </c>
      <c r="D79" s="22" t="s">
        <v>653</v>
      </c>
      <c r="E79" s="13">
        <v>42665.524201388886</v>
      </c>
      <c r="F79" s="13">
        <v>42665.528703703705</v>
      </c>
      <c r="G79" s="7">
        <v>1</v>
      </c>
      <c r="H79" s="13" t="s">
        <v>226</v>
      </c>
      <c r="I79" s="13">
        <v>42665.555358796293</v>
      </c>
      <c r="J79" s="7">
        <v>0</v>
      </c>
      <c r="K79" s="112" t="str">
        <f t="shared" si="19"/>
        <v>4043/4044</v>
      </c>
      <c r="L79" s="22" t="str">
        <f>VLOOKUP(A79,'Trips&amp;Operators'!$C$1:$E$10000,3,FALSE)</f>
        <v>SHOOK</v>
      </c>
      <c r="M79" s="6">
        <f t="shared" si="20"/>
        <v>2.6655092588043772E-2</v>
      </c>
      <c r="N79" s="7">
        <f t="shared" si="21"/>
        <v>38.383333326783031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11:34:51-0600',mode:absolute,to:'2016-10-22 14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9" s="52" t="str">
        <f t="shared" si="25"/>
        <v>N</v>
      </c>
      <c r="X79" s="171">
        <f t="shared" si="26"/>
        <v>1</v>
      </c>
      <c r="Y79" s="67">
        <f t="shared" si="27"/>
        <v>23.304300000000001</v>
      </c>
      <c r="Z79" s="67">
        <f t="shared" si="28"/>
        <v>1.4999999999999999E-2</v>
      </c>
      <c r="AA79" s="67">
        <f t="shared" si="29"/>
        <v>23.289300000000001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0"/>
        <v>0166-22</v>
      </c>
      <c r="AE79" s="91" t="str">
        <f t="shared" si="31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79" s="88" t="str">
        <f t="shared" si="32"/>
        <v>"C:\Program Files (x86)\AstroGrep\AstroGrep.exe" /spath="%USERPROFILE%\AppData\Local\Temp\OnboardLogs" /stypes="app*4043*20161022*" /stext=" 19:.+((SYSTEM_STATE.+slice.+state.+changed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166-22 --locoid 4043 --swversion DE.1.0.7.0 --startMP 204:233043 --initTime 2016-10-22T12:34:51 --startdatetime 2016-10-22T12:41:20 --delay 1 --endMP 204:150 --enddatetime 2016-10-22T13:19:43 --enforcementcount 0 &gt;&gt;C:\Users\stu\Documents\GitHub\eaglep3-reporting\EC\2016-10-22-refined-times.txt</v>
      </c>
      <c r="AI7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ID","value":"166-22"},{"id":16,"name":"Locomotive ID","value":"4043"},{"id":130,"name":"Impact","value":""},{"id":150,"name":"Time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520</v>
      </c>
      <c r="B80" s="7">
        <v>4011</v>
      </c>
      <c r="C80" s="22" t="s">
        <v>99</v>
      </c>
      <c r="D80" s="22" t="s">
        <v>233</v>
      </c>
      <c r="E80" s="13">
        <v>42665.496145833335</v>
      </c>
      <c r="F80" s="13">
        <v>42665.500254629631</v>
      </c>
      <c r="G80" s="7">
        <v>1</v>
      </c>
      <c r="H80" s="13" t="s">
        <v>381</v>
      </c>
      <c r="I80" s="13">
        <v>42665.526655092595</v>
      </c>
      <c r="J80" s="7">
        <v>0</v>
      </c>
      <c r="K80" s="112" t="str">
        <f t="shared" si="19"/>
        <v>4011/4012</v>
      </c>
      <c r="L80" s="22" t="str">
        <f>VLOOKUP(A80,'Trips&amp;Operators'!$C$1:$E$10000,3,FALSE)</f>
        <v>BRUDER</v>
      </c>
      <c r="M80" s="6">
        <f t="shared" si="20"/>
        <v>2.6400462964375038E-2</v>
      </c>
      <c r="N80" s="7">
        <f t="shared" si="21"/>
        <v>38.016666668700054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10:54:27-0600',mode:absolute,to:'2016-10-22 13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0" s="52" t="str">
        <f t="shared" si="25"/>
        <v>N</v>
      </c>
      <c r="X80" s="171">
        <f t="shared" si="26"/>
        <v>1</v>
      </c>
      <c r="Y80" s="67">
        <f t="shared" si="27"/>
        <v>4.6600000000000003E-2</v>
      </c>
      <c r="Z80" s="67">
        <f t="shared" si="28"/>
        <v>23.328900000000001</v>
      </c>
      <c r="AA80" s="67">
        <f t="shared" si="29"/>
        <v>23.282299999999999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0"/>
        <v>0167-22</v>
      </c>
      <c r="AE80" s="91" t="str">
        <f t="shared" si="31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80" s="88" t="str">
        <f t="shared" si="32"/>
        <v>"C:\Program Files (x86)\AstroGrep\AstroGrep.exe" /spath="%USERPROFILE%\AppData\Local\Temp\OnboardLogs" /stypes="app*4011*20161022*" /stext=" 18:.+((SYSTEM_STATE.+slice.+state.+changed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167-22 --locoid 4011 --swversion DE.1.0.7.0 --startMP 204:466 --initTime 2016-10-22T11:54:27 --startdatetime 2016-10-22T12:00:22 --delay 1 --endMP 204:233289 --enddatetime 2016-10-22T12:38:23 --enforcementcount 0 &gt;&gt;C:\Users\stu\Documents\GitHub\eaglep3-reporting\EC\2016-10-22-refined-times.txt</v>
      </c>
      <c r="AI8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{"issue":{"subject":"","project_id":79,"tracker_id":40,"status_id":1,"priority_id":2,"assigned_to_id":23,"start_date":"2016-10-22","description":"","custom_fields":[{"id":1,"name":"Subdivision","value":"EC"},{"id":4,"name":"Milepost","value":"23.3289"},{"id":17,"name":"Train ID","value":"167-22"},{"id":16,"name":"Locomotive ID","value":"4011"},{"id":130,"name":"Impact","value":""},{"id":150,"name":"Time of Event (Mountain Time)","value":"12:38:23"},{"id":151,"name":"Denver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528</v>
      </c>
      <c r="B81" s="7">
        <v>4012</v>
      </c>
      <c r="C81" s="22" t="s">
        <v>99</v>
      </c>
      <c r="D81" s="22" t="s">
        <v>317</v>
      </c>
      <c r="E81" s="13">
        <v>42665.534548611111</v>
      </c>
      <c r="F81" s="13">
        <v>42665.539085648146</v>
      </c>
      <c r="G81" s="7">
        <v>1</v>
      </c>
      <c r="H81" s="13" t="s">
        <v>219</v>
      </c>
      <c r="I81" s="13">
        <v>42665.565891203703</v>
      </c>
      <c r="J81" s="7">
        <v>0</v>
      </c>
      <c r="K81" s="112" t="str">
        <f t="shared" si="19"/>
        <v>4011/4012</v>
      </c>
      <c r="L81" s="22" t="str">
        <f>VLOOKUP(A81,'Trips&amp;Operators'!$C$1:$E$10000,3,FALSE)</f>
        <v>BRUDER</v>
      </c>
      <c r="M81" s="6">
        <f t="shared" si="20"/>
        <v>2.6805555557075422E-2</v>
      </c>
      <c r="N81" s="7">
        <f t="shared" si="21"/>
        <v>38.600000002188608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11:49:45-0600',mode:absolute,to:'2016-10-22 14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1" s="52" t="str">
        <f t="shared" si="25"/>
        <v>N</v>
      </c>
      <c r="X81" s="171">
        <f t="shared" si="26"/>
        <v>1</v>
      </c>
      <c r="Y81" s="67">
        <f t="shared" si="27"/>
        <v>23.2973</v>
      </c>
      <c r="Z81" s="67">
        <f t="shared" si="28"/>
        <v>1.61E-2</v>
      </c>
      <c r="AA81" s="67">
        <f t="shared" si="29"/>
        <v>23.281199999999998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0"/>
        <v>0168-22</v>
      </c>
      <c r="AE81" s="91" t="str">
        <f t="shared" si="31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81" s="88" t="str">
        <f t="shared" si="32"/>
        <v>"C:\Program Files (x86)\AstroGrep\AstroGrep.exe" /spath="%USERPROFILE%\AppData\Local\Temp\OnboardLogs" /stypes="app*4012*20161022*" /stext=" 19:.+((SYSTEM_STATE.+slice.+state.+changed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168-22 --locoid 4012 --swversion DE.1.0.7.0 --startMP 204:232973 --initTime 2016-10-22T12:49:45 --startdatetime 2016-10-22T12:56:17 --delay 1 --endMP 204:161 --enddatetime 2016-10-22T13:34:53 --enforcementcount 0 &gt;&gt;C:\Users\stu\Documents\GitHub\eaglep3-reporting\EC\2016-10-22-refined-times.txt</v>
      </c>
      <c r="AI81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{"issue":{"subject":"","project_id":79,"tracker_id":40,"status_id":1,"priority_id":2,"assigned_to_id":23,"start_date":"2016-10-22","description":"","custom_fields":[{"id":1,"name":"Subdivision","value":"EC"},{"id":4,"name":"Milepost","value":"0.0161"},{"id":17,"name":"Train ID","value":"168-22"},{"id":16,"name":"Locomotive ID","value":"4012"},{"id":130,"name":"Impact","value":""},{"id":150,"name":"Time of Event (Mountain Time)","value":"13:34:53"},{"id":151,"name":"Denver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4029</v>
      </c>
      <c r="C82" s="22" t="s">
        <v>99</v>
      </c>
      <c r="D82" s="22" t="s">
        <v>650</v>
      </c>
      <c r="E82" s="13">
        <v>42665.506145833337</v>
      </c>
      <c r="F82" s="13">
        <v>42665.510601851849</v>
      </c>
      <c r="G82" s="7">
        <v>1</v>
      </c>
      <c r="H82" s="13" t="s">
        <v>271</v>
      </c>
      <c r="I82" s="13">
        <v>42665.536736111113</v>
      </c>
      <c r="J82" s="7">
        <v>0</v>
      </c>
      <c r="K82" s="112" t="str">
        <f t="shared" si="19"/>
        <v>4029/4030</v>
      </c>
      <c r="L82" s="22" t="str">
        <f>VLOOKUP(A82,'Trips&amp;Operators'!$C$1:$E$10000,3,FALSE)</f>
        <v>CLARK</v>
      </c>
      <c r="M82" s="6">
        <f t="shared" si="20"/>
        <v>2.6134259263926651E-2</v>
      </c>
      <c r="N82" s="7">
        <f t="shared" si="21"/>
        <v>37.633333340054378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11:08:51-0600',mode:absolute,to:'2016-10-22 13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 t="shared" si="25"/>
        <v>N</v>
      </c>
      <c r="X82" s="171">
        <f t="shared" si="26"/>
        <v>1</v>
      </c>
      <c r="Y82" s="67">
        <f t="shared" si="27"/>
        <v>4.5699999999999998E-2</v>
      </c>
      <c r="Z82" s="67">
        <f t="shared" si="28"/>
        <v>23.330400000000001</v>
      </c>
      <c r="AA82" s="67">
        <f t="shared" si="29"/>
        <v>23.284700000000001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0"/>
        <v>0169-22</v>
      </c>
      <c r="AE82" s="91" t="str">
        <f t="shared" si="31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82" s="88" t="str">
        <f t="shared" si="32"/>
        <v>"C:\Program Files (x86)\AstroGrep\AstroGrep.exe" /spath="%USERPROFILE%\AppData\Local\Temp\OnboardLogs" /stypes="app*4029*20161022*" /stext=" 18:.+((SYSTEM_STATE.+slice.+state.+changed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169-22 --locoid 4029 --swversion DE.1.0.7.0 --startMP 204:457 --initTime 2016-10-22T12:08:51 --startdatetime 2016-10-22T12:15:16 --delay 1 --endMP 204:233304 --enddatetime 2016-10-22T12:52:54 --enforcementcount 0 &gt;&gt;C:\Users\stu\Documents\GitHub\eaglep3-reporting\EC\2016-10-22-refined-times.txt</v>
      </c>
      <c r="AI8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{"issue":{"subject":"","project_id":79,"tracker_id":40,"status_id":1,"priority_id":2,"assigned_to_id":23,"start_date":"2016-10-22","description":"","custom_fields":[{"id":1,"name":"Subdivision","value":"EC"},{"id":4,"name":"Milepost","value":"23.3304"},{"id":17,"name":"Train ID","value":"169-22"},{"id":16,"name":"Locomotive ID","value":"4029"},{"id":130,"name":"Impact","value":""},{"id":150,"name":"Time of Event (Mountain Time)","value":"12:52:54"},{"id":151,"name":"Denver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4030</v>
      </c>
      <c r="C83" s="22" t="s">
        <v>99</v>
      </c>
      <c r="D83" s="22" t="s">
        <v>654</v>
      </c>
      <c r="E83" s="13">
        <v>42665.545729166668</v>
      </c>
      <c r="F83" s="13">
        <v>42665.549467592595</v>
      </c>
      <c r="G83" s="7">
        <v>1</v>
      </c>
      <c r="H83" s="13" t="s">
        <v>264</v>
      </c>
      <c r="I83" s="13">
        <v>42665.578425925924</v>
      </c>
      <c r="J83" s="7">
        <v>0</v>
      </c>
      <c r="K83" s="112" t="str">
        <f t="shared" si="19"/>
        <v>4029/4030</v>
      </c>
      <c r="L83" s="22" t="str">
        <f>VLOOKUP(A83,'Trips&amp;Operators'!$C$1:$E$10000,3,FALSE)</f>
        <v>CLARK</v>
      </c>
      <c r="M83" s="6">
        <f t="shared" si="20"/>
        <v>2.8958333328773733E-2</v>
      </c>
      <c r="N83" s="7">
        <f t="shared" si="21"/>
        <v>41.699999993434176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12:05:51-0600',mode:absolute,to:'2016-10-22 14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 t="shared" si="25"/>
        <v>N</v>
      </c>
      <c r="X83" s="171">
        <f t="shared" si="26"/>
        <v>1</v>
      </c>
      <c r="Y83" s="67">
        <f t="shared" si="27"/>
        <v>23.300999999999998</v>
      </c>
      <c r="Z83" s="67">
        <f t="shared" si="28"/>
        <v>1.5599999999999999E-2</v>
      </c>
      <c r="AA83" s="67">
        <f t="shared" si="29"/>
        <v>23.285399999999999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0"/>
        <v>0170-22</v>
      </c>
      <c r="AE83" s="91" t="str">
        <f t="shared" si="31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83" s="88" t="str">
        <f t="shared" si="32"/>
        <v>"C:\Program Files (x86)\AstroGrep\AstroGrep.exe" /spath="%USERPROFILE%\AppData\Local\Temp\OnboardLogs" /stypes="app*4030*20161022*" /stext=" 19:.+((SYSTEM_STATE.+slice.+state.+changed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170-22 --locoid 4030 --swversion DE.1.0.7.0 --startMP 204:233010 --initTime 2016-10-22T13:05:51 --startdatetime 2016-10-22T13:11:14 --delay 1 --endMP 204:156 --enddatetime 2016-10-22T13:52:56 --enforcementcount 0 &gt;&gt;C:\Users\stu\Documents\GitHub\eaglep3-reporting\EC\2016-10-22-refined-times.txt</v>
      </c>
      <c r="AI8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ID","value":"170-22"},{"id":16,"name":"Locomotive ID","value":"4030"},{"id":130,"name":"Impact","value":""},{"id":150,"name":"Time of Event (Mountain Time)","value":"13:52:56"},{"id":151,"name":"Denver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4053</v>
      </c>
      <c r="C84" s="22" t="s">
        <v>99</v>
      </c>
      <c r="D84" s="22" t="s">
        <v>239</v>
      </c>
      <c r="E84" s="13">
        <v>42665.518680555557</v>
      </c>
      <c r="F84" s="13">
        <v>42665.521192129629</v>
      </c>
      <c r="G84" s="7">
        <v>2</v>
      </c>
      <c r="H84" s="13" t="s">
        <v>280</v>
      </c>
      <c r="I84" s="13">
        <v>42665.546400462961</v>
      </c>
      <c r="J84" s="7">
        <v>0</v>
      </c>
      <c r="K84" s="112" t="str">
        <f t="shared" si="19"/>
        <v>4053/4054</v>
      </c>
      <c r="L84" s="22" t="str">
        <f>VLOOKUP(A84,'Trips&amp;Operators'!$C$1:$E$10000,3,FALSE)</f>
        <v>STORY</v>
      </c>
      <c r="M84" s="6">
        <f t="shared" si="20"/>
        <v>2.5208333332557231E-2</v>
      </c>
      <c r="N84" s="7">
        <f t="shared" si="21"/>
        <v>36.299999998882413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11:26:54-0600',mode:absolute,to:'2016-10-22 14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4" s="52" t="str">
        <f t="shared" si="25"/>
        <v>N</v>
      </c>
      <c r="X84" s="171">
        <f t="shared" si="26"/>
        <v>1</v>
      </c>
      <c r="Y84" s="67">
        <f t="shared" si="27"/>
        <v>4.6899999999999997E-2</v>
      </c>
      <c r="Z84" s="67">
        <f t="shared" si="28"/>
        <v>23.331099999999999</v>
      </c>
      <c r="AA84" s="67">
        <f t="shared" si="29"/>
        <v>23.284199999999998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0"/>
        <v>0171-22</v>
      </c>
      <c r="AE84" s="91" t="str">
        <f t="shared" si="31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84" s="88" t="str">
        <f t="shared" si="32"/>
        <v>"C:\Program Files (x86)\AstroGrep\AstroGrep.exe" /spath="%USERPROFILE%\AppData\Local\Temp\OnboardLogs" /stypes="app*4053*20161022*" /stext=" 19:.+((SYSTEM_STATE.+slice.+state.+changed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171-22 --locoid 4053 --swversion DE.1.0.7.0 --startMP 204:469 --initTime 2016-10-22T12:26:54 --startdatetime 2016-10-22T12:30:31 --delay 2 --endMP 204:233311 --enddatetime 2016-10-22T13:06:49 --enforcementcount 0 &gt;&gt;C:\Users\stu\Documents\GitHub\eaglep3-reporting\EC\2016-10-22-refined-times.txt</v>
      </c>
      <c r="AI8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{"issue":{"subject":"","project_id":79,"tracker_id":40,"status_id":1,"priority_id":2,"assigned_to_id":23,"start_date":"2016-10-22","description":"","custom_fields":[{"id":1,"name":"Subdivision","value":"EC"},{"id":4,"name":"Milepost","value":"23.3311"},{"id":17,"name":"Train ID","value":"171-22"},{"id":16,"name":"Locomotive ID","value":"4053"},{"id":130,"name":"Impact","value":""},{"id":150,"name":"Time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533</v>
      </c>
      <c r="B85" s="7">
        <v>4054</v>
      </c>
      <c r="C85" s="22" t="s">
        <v>99</v>
      </c>
      <c r="D85" s="22" t="s">
        <v>393</v>
      </c>
      <c r="E85" s="13">
        <v>42665.555266203701</v>
      </c>
      <c r="F85" s="13">
        <v>42665.559988425928</v>
      </c>
      <c r="G85" s="7">
        <v>1</v>
      </c>
      <c r="H85" s="13" t="s">
        <v>336</v>
      </c>
      <c r="I85" s="13">
        <v>42665.586516203701</v>
      </c>
      <c r="J85" s="7">
        <v>0</v>
      </c>
      <c r="K85" s="112" t="str">
        <f t="shared" si="19"/>
        <v>4053/4054</v>
      </c>
      <c r="L85" s="22" t="str">
        <f>VLOOKUP(A85,'Trips&amp;Operators'!$C$1:$E$10000,3,FALSE)</f>
        <v>STORY</v>
      </c>
      <c r="M85" s="6">
        <f t="shared" si="20"/>
        <v>2.6527777772571426E-2</v>
      </c>
      <c r="N85" s="7">
        <f t="shared" si="21"/>
        <v>38.199999992502853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12:19:35-0600',mode:absolute,to:'2016-10-22 15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5" s="52" t="str">
        <f t="shared" si="25"/>
        <v>N</v>
      </c>
      <c r="X85" s="171">
        <f t="shared" si="26"/>
        <v>1</v>
      </c>
      <c r="Y85" s="67">
        <f t="shared" si="27"/>
        <v>23.300899999999999</v>
      </c>
      <c r="Z85" s="67">
        <f t="shared" si="28"/>
        <v>1.6299999999999999E-2</v>
      </c>
      <c r="AA85" s="67">
        <f t="shared" si="29"/>
        <v>23.284599999999998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0"/>
        <v>0172-22</v>
      </c>
      <c r="AE85" s="91" t="str">
        <f t="shared" si="31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85" s="88" t="str">
        <f t="shared" si="32"/>
        <v>"C:\Program Files (x86)\AstroGrep\AstroGrep.exe" /spath="%USERPROFILE%\AppData\Local\Temp\OnboardLogs" /stypes="app*4054*20161022*" /stext=" 20:.+((SYSTEM_STATE.+slice.+state.+changed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172-22 --locoid 4054 --swversion DE.1.0.7.0 --startMP 204:233009 --initTime 2016-10-22T13:19:35 --startdatetime 2016-10-22T13:26:23 --delay 1 --endMP 204:163 --enddatetime 2016-10-22T14:04:35 --enforcementcount 0 &gt;&gt;C:\Users\stu\Documents\GitHub\eaglep3-reporting\EC\2016-10-22-refined-times.txt</v>
      </c>
      <c r="AI8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{"issue":{"subject":"","project_id":79,"tracker_id":40,"status_id":1,"priority_id":2,"assigned_to_id":23,"start_date":"2016-10-22","description":"","custom_fields":[{"id":1,"name":"Subdivision","value":"EC"},{"id":4,"name":"Milepost","value":"0.0163"},{"id":17,"name":"Train ID","value":"172-22"},{"id":16,"name":"Locomotive ID","value":"4054"},{"id":130,"name":"Impact","value":""},{"id":150,"name":"Time of Event (Mountain Time)","value":"14:04:35"},{"id":151,"name":"Denver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429</v>
      </c>
      <c r="B86" s="7">
        <v>4031</v>
      </c>
      <c r="C86" s="22" t="s">
        <v>99</v>
      </c>
      <c r="D86" s="22" t="s">
        <v>239</v>
      </c>
      <c r="E86" s="13">
        <v>42665.527395833335</v>
      </c>
      <c r="F86" s="13">
        <v>42665.531469907408</v>
      </c>
      <c r="G86" s="7">
        <v>1</v>
      </c>
      <c r="H86" s="13" t="s">
        <v>655</v>
      </c>
      <c r="I86" s="13">
        <v>42665.557175925926</v>
      </c>
      <c r="J86" s="7">
        <v>0</v>
      </c>
      <c r="K86" s="112" t="str">
        <f t="shared" si="19"/>
        <v>4031/4032</v>
      </c>
      <c r="L86" s="22" t="str">
        <f>VLOOKUP(A86,'Trips&amp;Operators'!$C$1:$E$10000,3,FALSE)</f>
        <v>STEWART</v>
      </c>
      <c r="M86" s="6">
        <f t="shared" si="20"/>
        <v>2.5706018517666962E-2</v>
      </c>
      <c r="N86" s="7">
        <f t="shared" si="21"/>
        <v>37.016666665440425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11:39:27-0600',mode:absolute,to:'2016-10-22 14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6" s="52" t="str">
        <f t="shared" si="25"/>
        <v>N</v>
      </c>
      <c r="X86" s="171">
        <f t="shared" si="26"/>
        <v>1</v>
      </c>
      <c r="Y86" s="67">
        <f t="shared" si="27"/>
        <v>4.6899999999999997E-2</v>
      </c>
      <c r="Z86" s="67">
        <f t="shared" si="28"/>
        <v>23.331399999999999</v>
      </c>
      <c r="AA86" s="67">
        <f t="shared" si="29"/>
        <v>23.284499999999998</v>
      </c>
      <c r="AB86" s="64" t="str">
        <f>VLOOKUP(A86,Enforcements!$C$7:$K$21,8,0)</f>
        <v>Bulletin (2)</v>
      </c>
      <c r="AC86" s="60" t="str">
        <f>VLOOKUP(A86,Enforcements!$C$7:$E$21,3,0)</f>
        <v>GRADE CROSSING</v>
      </c>
      <c r="AD86" s="61" t="str">
        <f t="shared" si="30"/>
        <v>0173-22</v>
      </c>
      <c r="AE86" s="91" t="str">
        <f t="shared" si="31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86" s="88" t="str">
        <f t="shared" si="32"/>
        <v>"C:\Program Files (x86)\AstroGrep\AstroGrep.exe" /spath="%USERPROFILE%\AppData\Local\Temp\OnboardLogs" /stypes="app*4031*20161022*" /stext=" 19:.+((SYSTEM_STATE.+slice.+state.+changed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173-22 --locoid 4031 --swversion DE.1.0.7.0 --startMP 204:469 --initTime 2016-10-22T12:39:27 --startdatetime 2016-10-22T12:45:19 --delay 1 --endMP 204:233314 --enddatetime 2016-10-22T13:22:20 --enforcementcount 0 &gt;&gt;C:\Users\stu\Documents\GitHub\eaglep3-reporting\EC\2016-10-22-refined-times.txt</v>
      </c>
      <c r="AI8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{"issue":{"subject":"","project_id":79,"tracker_id":40,"status_id":1,"priority_id":2,"assigned_to_id":23,"start_date":"2016-10-22","description":"","custom_fields":[{"id":1,"name":"Subdivision","value":"EC"},{"id":4,"name":"Milepost","value":"23.3314"},{"id":17,"name":"Train ID","value":"173-22"},{"id":16,"name":"Locomotive ID","value":"4031"},{"id":130,"name":"Impact","value":""},{"id":150,"name":"Time of Event (Mountain Time)","value":"13:22:20"},{"id":151,"name":"Denver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537</v>
      </c>
      <c r="B87" s="7">
        <v>4032</v>
      </c>
      <c r="C87" s="22" t="s">
        <v>99</v>
      </c>
      <c r="D87" s="22" t="s">
        <v>277</v>
      </c>
      <c r="E87" s="13">
        <v>42665.567939814813</v>
      </c>
      <c r="F87" s="13">
        <v>42665.570439814815</v>
      </c>
      <c r="G87" s="7">
        <v>1</v>
      </c>
      <c r="H87" s="13" t="s">
        <v>182</v>
      </c>
      <c r="I87" s="13">
        <v>42665.596550925926</v>
      </c>
      <c r="J87" s="7">
        <v>0</v>
      </c>
      <c r="K87" s="112" t="str">
        <f t="shared" si="19"/>
        <v>4031/4032</v>
      </c>
      <c r="L87" s="22" t="str">
        <f>VLOOKUP(A87,'Trips&amp;Operators'!$C$1:$E$10000,3,FALSE)</f>
        <v>STEWART</v>
      </c>
      <c r="M87" s="6">
        <f t="shared" si="20"/>
        <v>2.6111111110367347E-2</v>
      </c>
      <c r="N87" s="7">
        <f t="shared" si="21"/>
        <v>37.599999998928979</v>
      </c>
      <c r="O87" s="7"/>
      <c r="P87" s="7"/>
      <c r="Q87" s="23"/>
      <c r="R87" s="23"/>
      <c r="S87" s="35">
        <f t="shared" si="22"/>
        <v>1</v>
      </c>
      <c r="T87" s="50" t="str">
        <f t="shared" si="23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12:37:50-0600',mode:absolute,to:'2016-10-22 15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7" s="52" t="str">
        <f t="shared" si="25"/>
        <v>N</v>
      </c>
      <c r="X87" s="171">
        <f t="shared" si="26"/>
        <v>1</v>
      </c>
      <c r="Y87" s="67">
        <f t="shared" si="27"/>
        <v>23.298300000000001</v>
      </c>
      <c r="Z87" s="67">
        <f t="shared" si="28"/>
        <v>1.41E-2</v>
      </c>
      <c r="AA87" s="67">
        <f t="shared" si="29"/>
        <v>23.284200000000002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0"/>
        <v>0174-22</v>
      </c>
      <c r="AE87" s="91" t="str">
        <f t="shared" si="31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87" s="88" t="str">
        <f t="shared" si="32"/>
        <v>"C:\Program Files (x86)\AstroGrep\AstroGrep.exe" /spath="%USERPROFILE%\AppData\Local\Temp\OnboardLogs" /stypes="app*4032*20161022*" /stext=" 20:.+((SYSTEM_STATE.+slice.+state.+changed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174-22 --locoid 4032 --swversion DE.1.0.7.0 --startMP 204:232983 --initTime 2016-10-22T13:37:50 --startdatetime 2016-10-22T13:41:26 --delay 1 --endMP 204:141 --enddatetime 2016-10-22T14:19:02 --enforcementcount 0 &gt;&gt;C:\Users\stu\Documents\GitHub\eaglep3-reporting\EC\2016-10-22-refined-times.txt</v>
      </c>
      <c r="AI8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{"issue":{"subject":"","project_id":79,"tracker_id":40,"status_id":1,"priority_id":2,"assigned_to_id":23,"start_date":"2016-10-22","description":"","custom_fields":[{"id":1,"name":"Subdivision","value":"EC"},{"id":4,"name":"Milepost","value":"0.0141"},{"id":17,"name":"Train ID","value":"174-22"},{"id":16,"name":"Locomotive ID","value":"4032"},{"id":130,"name":"Impact","value":""},{"id":150,"name":"Time of Event (Mountain Time)","value":"14:19:02"},{"id":151,"name":"Denver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529</v>
      </c>
      <c r="B88" s="7">
        <v>4038</v>
      </c>
      <c r="C88" s="22" t="s">
        <v>99</v>
      </c>
      <c r="D88" s="22" t="s">
        <v>239</v>
      </c>
      <c r="E88" s="13">
        <v>42665.536689814813</v>
      </c>
      <c r="F88" s="13">
        <v>42665.541967592595</v>
      </c>
      <c r="G88" s="7">
        <v>1</v>
      </c>
      <c r="H88" s="13" t="s">
        <v>655</v>
      </c>
      <c r="I88" s="13">
        <v>42665.56763888889</v>
      </c>
      <c r="J88" s="7">
        <v>0</v>
      </c>
      <c r="K88" s="112" t="str">
        <f t="shared" si="19"/>
        <v>4037/4038</v>
      </c>
      <c r="L88" s="22" t="str">
        <f>VLOOKUP(A88,'Trips&amp;Operators'!$C$1:$E$10000,3,FALSE)</f>
        <v>BARTLETT</v>
      </c>
      <c r="M88" s="6">
        <f t="shared" si="20"/>
        <v>2.5671296294603962E-2</v>
      </c>
      <c r="N88" s="7">
        <f t="shared" si="21"/>
        <v>36.966666664229706</v>
      </c>
      <c r="O88" s="7"/>
      <c r="P88" s="7"/>
      <c r="Q88" s="23"/>
      <c r="R88" s="23"/>
      <c r="S88" s="35">
        <f t="shared" si="22"/>
        <v>1</v>
      </c>
      <c r="T88" s="50" t="str">
        <f t="shared" si="23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11:52:50-0600',mode:absolute,to:'2016-10-22 14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8" s="52" t="str">
        <f t="shared" si="25"/>
        <v>N</v>
      </c>
      <c r="X88" s="171">
        <f t="shared" si="26"/>
        <v>1</v>
      </c>
      <c r="Y88" s="67">
        <f t="shared" si="27"/>
        <v>4.6899999999999997E-2</v>
      </c>
      <c r="Z88" s="67">
        <f t="shared" si="28"/>
        <v>23.331399999999999</v>
      </c>
      <c r="AA88" s="67">
        <f t="shared" si="29"/>
        <v>23.284499999999998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0"/>
        <v>0175-22</v>
      </c>
      <c r="AE88" s="91" t="str">
        <f t="shared" si="31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88" s="88" t="str">
        <f t="shared" si="32"/>
        <v>"C:\Program Files (x86)\AstroGrep\AstroGrep.exe" /spath="%USERPROFILE%\AppData\Local\Temp\OnboardLogs" /stypes="app*4038*20161022*" /stext=" 19:.+((SYSTEM_STATE.+slice.+state.+changed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175-22 --locoid 4038 --swversion DE.1.0.7.0 --startMP 204:469 --initTime 2016-10-22T12:52:50 --startdatetime 2016-10-22T13:00:26 --delay 1 --endMP 204:233314 --enddatetime 2016-10-22T13:37:24 --enforcementcount 0 &gt;&gt;C:\Users\stu\Documents\GitHub\eaglep3-reporting\EC\2016-10-22-refined-times.txt</v>
      </c>
      <c r="AI8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{"issue":{"subject":"","project_id":79,"tracker_id":40,"status_id":1,"priority_id":2,"assigned_to_id":23,"start_date":"2016-10-22","description":"","custom_fields":[{"id":1,"name":"Subdivision","value":"EC"},{"id":4,"name":"Milepost","value":"23.3314"},{"id":17,"name":"Train ID","value":"175-22"},{"id":16,"name":"Locomotive ID","value":"4038"},{"id":130,"name":"Impact","value":""},{"id":150,"name":"Time of Event (Mountain Time)","value":"13:37:24"},{"id":151,"name":"Denver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431</v>
      </c>
      <c r="B89" s="7">
        <v>4037</v>
      </c>
      <c r="C89" s="22" t="s">
        <v>99</v>
      </c>
      <c r="D89" s="22" t="s">
        <v>255</v>
      </c>
      <c r="E89" s="13">
        <v>42665.569594907407</v>
      </c>
      <c r="F89" s="13">
        <v>42665.580810185187</v>
      </c>
      <c r="G89" s="7">
        <v>1</v>
      </c>
      <c r="H89" s="13" t="s">
        <v>177</v>
      </c>
      <c r="I89" s="13">
        <v>42665.608229166668</v>
      </c>
      <c r="J89" s="7">
        <v>0</v>
      </c>
      <c r="K89" s="112" t="str">
        <f t="shared" si="19"/>
        <v>4037/4038</v>
      </c>
      <c r="L89" s="22" t="str">
        <f>VLOOKUP(A89,'Trips&amp;Operators'!$C$1:$E$10000,3,FALSE)</f>
        <v>BARTLETT</v>
      </c>
      <c r="M89" s="6">
        <f t="shared" si="20"/>
        <v>2.7418981480877846E-2</v>
      </c>
      <c r="N89" s="7">
        <f t="shared" si="21"/>
        <v>39.483333332464099</v>
      </c>
      <c r="O89" s="7"/>
      <c r="P89" s="7"/>
      <c r="Q89" s="23"/>
      <c r="R89" s="23"/>
      <c r="S89" s="35">
        <f t="shared" si="22"/>
        <v>1</v>
      </c>
      <c r="T89" s="50" t="str">
        <f t="shared" si="23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12:40:13-0600',mode:absolute,to:'2016-10-22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9" s="52" t="str">
        <f t="shared" si="25"/>
        <v>N</v>
      </c>
      <c r="X89" s="171">
        <f t="shared" si="26"/>
        <v>1</v>
      </c>
      <c r="Y89" s="67">
        <f t="shared" si="27"/>
        <v>23.297699999999999</v>
      </c>
      <c r="Z89" s="67">
        <f t="shared" si="28"/>
        <v>1.52E-2</v>
      </c>
      <c r="AA89" s="67">
        <f t="shared" si="29"/>
        <v>23.282499999999999</v>
      </c>
      <c r="AB89" s="64" t="str">
        <f>VLOOKUP(A89,Enforcements!$C$7:$K$21,8,0)</f>
        <v>Bulletin (2)</v>
      </c>
      <c r="AC89" s="60" t="str">
        <f>VLOOKUP(A89,Enforcements!$C$7:$E$21,3,0)</f>
        <v>GRADE CROSSING</v>
      </c>
      <c r="AD89" s="61" t="str">
        <f t="shared" si="30"/>
        <v>0176-22</v>
      </c>
      <c r="AE89" s="91" t="str">
        <f t="shared" si="31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89" s="88" t="str">
        <f t="shared" si="32"/>
        <v>"C:\Program Files (x86)\AstroGrep\AstroGrep.exe" /spath="%USERPROFILE%\AppData\Local\Temp\OnboardLogs" /stypes="app*4037*20161022*" /stext=" 20:.+((SYSTEM_STATE.+slice.+state.+changed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176-22 --locoid 4037 --swversion DE.1.0.7.0 --startMP 204:232977 --initTime 2016-10-22T13:40:13 --startdatetime 2016-10-22T13:56:22 --delay 1 --endMP 204:152 --enddatetime 2016-10-22T14:35:51 --enforcementcount 0 &gt;&gt;C:\Users\stu\Documents\GitHub\eaglep3-reporting\EC\2016-10-22-refined-times.txt</v>
      </c>
      <c r="AI8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{"issue":{"subject":"","project_id":79,"tracker_id":40,"status_id":1,"priority_id":2,"assigned_to_id":23,"start_date":"2016-10-22","description":"","custom_fields":[{"id":1,"name":"Subdivision","value":"EC"},{"id":4,"name":"Milepost","value":"0.0152"},{"id":17,"name":"Train ID","value":"176-22"},{"id":16,"name":"Locomotive ID","value":"4037"},{"id":130,"name":"Impact","value":""},{"id":150,"name":"Time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532</v>
      </c>
      <c r="B90" s="7">
        <v>4042</v>
      </c>
      <c r="C90" s="22" t="s">
        <v>99</v>
      </c>
      <c r="D90" s="22" t="s">
        <v>310</v>
      </c>
      <c r="E90" s="13">
        <v>42665.549803240741</v>
      </c>
      <c r="F90" s="13">
        <v>42665.552361111113</v>
      </c>
      <c r="G90" s="7">
        <v>1</v>
      </c>
      <c r="H90" s="13" t="s">
        <v>332</v>
      </c>
      <c r="I90" s="13">
        <v>42665.577569444446</v>
      </c>
      <c r="J90" s="7">
        <v>0</v>
      </c>
      <c r="K90" s="112" t="str">
        <f t="shared" si="19"/>
        <v>4041/4042</v>
      </c>
      <c r="L90" s="22" t="str">
        <f>VLOOKUP(A90,'Trips&amp;Operators'!$C$1:$E$10000,3,FALSE)</f>
        <v>MOSES</v>
      </c>
      <c r="M90" s="6">
        <f t="shared" si="20"/>
        <v>2.5208333332557231E-2</v>
      </c>
      <c r="N90" s="7">
        <f t="shared" si="21"/>
        <v>36.299999998882413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12:11:43-0600',mode:absolute,to:'2016-10-22 14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52" t="str">
        <f t="shared" si="25"/>
        <v>N</v>
      </c>
      <c r="X90" s="171">
        <f t="shared" si="26"/>
        <v>1</v>
      </c>
      <c r="Y90" s="67">
        <f t="shared" si="27"/>
        <v>4.6199999999999998E-2</v>
      </c>
      <c r="Z90" s="67">
        <f t="shared" si="28"/>
        <v>23.332100000000001</v>
      </c>
      <c r="AA90" s="67">
        <f t="shared" si="29"/>
        <v>23.285900000000002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0"/>
        <v>0177-22</v>
      </c>
      <c r="AE90" s="91" t="str">
        <f t="shared" si="31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90" s="88" t="str">
        <f t="shared" si="32"/>
        <v>"C:\Program Files (x86)\AstroGrep\AstroGrep.exe" /spath="%USERPROFILE%\AppData\Local\Temp\OnboardLogs" /stypes="app*4042*20161022*" /stext=" 19:.+((SYSTEM_STATE.+slice.+state.+changed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177-22 --locoid 4042 --swversion DE.1.0.7.0 --startMP 204:462 --initTime 2016-10-22T13:11:43 --startdatetime 2016-10-22T13:15:24 --delay 1 --endMP 204:233321 --enddatetime 2016-10-22T13:51:42 --enforcementcount 0 &gt;&gt;C:\Users\stu\Documents\GitHub\eaglep3-reporting\EC\2016-10-22-refined-times.txt</v>
      </c>
      <c r="AI9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{"issue":{"subject":"","project_id":79,"tracker_id":40,"status_id":1,"priority_id":2,"assigned_to_id":23,"start_date":"2016-10-22","description":"","custom_fields":[{"id":1,"name":"Subdivision","value":"EC"},{"id":4,"name":"Milepost","value":"23.3321"},{"id":17,"name":"Train ID","value":"177-22"},{"id":16,"name":"Locomotive ID","value":"4042"},{"id":130,"name":"Impact","value":""},{"id":150,"name":"Time of Event (Mountain Time)","value":"13:51:42"},{"id":151,"name":"Denver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539</v>
      </c>
      <c r="B91" s="7">
        <v>4041</v>
      </c>
      <c r="C91" s="22" t="s">
        <v>99</v>
      </c>
      <c r="D91" s="22" t="s">
        <v>333</v>
      </c>
      <c r="E91" s="13">
        <v>42665.586608796293</v>
      </c>
      <c r="F91" s="13">
        <v>42665.591296296298</v>
      </c>
      <c r="G91" s="7">
        <v>1</v>
      </c>
      <c r="H91" s="13" t="s">
        <v>182</v>
      </c>
      <c r="I91" s="13">
        <v>42665.618877314817</v>
      </c>
      <c r="J91" s="7">
        <v>0</v>
      </c>
      <c r="K91" s="112" t="str">
        <f t="shared" si="19"/>
        <v>4041/4042</v>
      </c>
      <c r="L91" s="22" t="str">
        <f>VLOOKUP(A91,'Trips&amp;Operators'!$C$1:$E$10000,3,FALSE)</f>
        <v>MOSES</v>
      </c>
      <c r="M91" s="6">
        <f t="shared" si="20"/>
        <v>2.7581018519413192E-2</v>
      </c>
      <c r="N91" s="7">
        <f t="shared" si="21"/>
        <v>39.716666667954996</v>
      </c>
      <c r="O91" s="7"/>
      <c r="P91" s="7"/>
      <c r="Q91" s="23"/>
      <c r="R91" s="23"/>
      <c r="S91" s="35">
        <f t="shared" si="22"/>
        <v>1</v>
      </c>
      <c r="T91" s="50" t="str">
        <f t="shared" si="23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13:04:43-0600',mode:absolute,to:'2016-10-22 15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52" t="str">
        <f t="shared" si="25"/>
        <v>N</v>
      </c>
      <c r="X91" s="171">
        <f t="shared" si="26"/>
        <v>1</v>
      </c>
      <c r="Y91" s="67">
        <f t="shared" si="27"/>
        <v>23.300599999999999</v>
      </c>
      <c r="Z91" s="67">
        <f t="shared" si="28"/>
        <v>1.41E-2</v>
      </c>
      <c r="AA91" s="67">
        <f t="shared" si="29"/>
        <v>23.2865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0"/>
        <v>0178-22</v>
      </c>
      <c r="AE91" s="91" t="str">
        <f t="shared" si="31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91" s="88" t="str">
        <f t="shared" si="32"/>
        <v>"C:\Program Files (x86)\AstroGrep\AstroGrep.exe" /spath="%USERPROFILE%\AppData\Local\Temp\OnboardLogs" /stypes="app*4041*20161022*" /stext=" 20:.+((SYSTEM_STATE.+slice.+state.+changed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178-22 --locoid 4041 --swversion DE.1.0.7.0 --startMP 204:233006 --initTime 2016-10-22T14:04:43 --startdatetime 2016-10-22T14:11:28 --delay 1 --endMP 204:141 --enddatetime 2016-10-22T14:51:11 --enforcementcount 0 &gt;&gt;C:\Users\stu\Documents\GitHub\eaglep3-reporting\EC\2016-10-22-refined-times.txt</v>
      </c>
      <c r="AI91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{"issue":{"subject":"","project_id":79,"tracker_id":40,"status_id":1,"priority_id":2,"assigned_to_id":23,"start_date":"2016-10-22","description":"","custom_fields":[{"id":1,"name":"Subdivision","value":"EC"},{"id":4,"name":"Milepost","value":"0.0141"},{"id":17,"name":"Train ID","value":"178-22"},{"id":16,"name":"Locomotive ID","value":"4041"},{"id":130,"name":"Impact","value":""},{"id":150,"name":"Time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4044</v>
      </c>
      <c r="C92" s="22" t="s">
        <v>99</v>
      </c>
      <c r="D92" s="22" t="s">
        <v>222</v>
      </c>
      <c r="E92" s="13">
        <v>42665.557199074072</v>
      </c>
      <c r="F92" s="13">
        <v>42665.562708333331</v>
      </c>
      <c r="G92" s="7">
        <v>1</v>
      </c>
      <c r="H92" s="13" t="s">
        <v>656</v>
      </c>
      <c r="I92" s="13">
        <v>42665.588263888887</v>
      </c>
      <c r="J92" s="7">
        <v>0</v>
      </c>
      <c r="K92" s="112" t="str">
        <f t="shared" si="19"/>
        <v>4043/4044</v>
      </c>
      <c r="L92" s="22" t="str">
        <f>VLOOKUP(A92,'Trips&amp;Operators'!$C$1:$E$10000,3,FALSE)</f>
        <v>SHOOK</v>
      </c>
      <c r="M92" s="6">
        <f t="shared" si="20"/>
        <v>2.5555555555911269E-2</v>
      </c>
      <c r="N92" s="7">
        <f t="shared" si="21"/>
        <v>36.800000000512227</v>
      </c>
      <c r="O92" s="7"/>
      <c r="P92" s="7"/>
      <c r="Q92" s="23"/>
      <c r="R92" s="23"/>
      <c r="S92" s="35">
        <f t="shared" si="22"/>
        <v>1</v>
      </c>
      <c r="T92" s="50" t="str">
        <f t="shared" si="23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12:22:22-0600',mode:absolute,to:'2016-10-22 15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2" s="52" t="str">
        <f t="shared" si="25"/>
        <v>N</v>
      </c>
      <c r="X92" s="171">
        <f t="shared" si="26"/>
        <v>1</v>
      </c>
      <c r="Y92" s="67">
        <f t="shared" si="27"/>
        <v>4.58E-2</v>
      </c>
      <c r="Z92" s="67">
        <f t="shared" si="28"/>
        <v>23.335999999999999</v>
      </c>
      <c r="AA92" s="67">
        <f t="shared" si="29"/>
        <v>23.290199999999999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0"/>
        <v>0179-22</v>
      </c>
      <c r="AE92" s="91" t="str">
        <f t="shared" si="31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92" s="88" t="str">
        <f t="shared" si="32"/>
        <v>"C:\Program Files (x86)\AstroGrep\AstroGrep.exe" /spath="%USERPROFILE%\AppData\Local\Temp\OnboardLogs" /stypes="app*4044*20161022*" /stext=" 20:.+((SYSTEM_STATE.+slice.+state.+changed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179-22 --locoid 4044 --swversion DE.1.0.7.0 --startMP 204:458 --initTime 2016-10-22T13:22:22 --startdatetime 2016-10-22T13:30:18 --delay 1 --endMP 204:233360 --enddatetime 2016-10-22T14:07:06 --enforcementcount 0 &gt;&gt;C:\Users\stu\Documents\GitHub\eaglep3-reporting\EC\2016-10-22-refined-times.txt</v>
      </c>
      <c r="AI9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{"issue":{"subject":"","project_id":79,"tracker_id":40,"status_id":1,"priority_id":2,"assigned_to_id":23,"start_date":"2016-10-22","description":"","custom_fields":[{"id":1,"name":"Subdivision","value":"EC"},{"id":4,"name":"Milepost","value":"23.336"},{"id":17,"name":"Train ID","value":"179-22"},{"id":16,"name":"Locomotive ID","value":"4044"},{"id":130,"name":"Impact","value":""},{"id":150,"name":"Time of Event (Mountain Time)","value":"14:07:06"},{"id":151,"name":"Denver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541</v>
      </c>
      <c r="B93" s="7">
        <v>4043</v>
      </c>
      <c r="C93" s="22" t="s">
        <v>99</v>
      </c>
      <c r="D93" s="22" t="s">
        <v>657</v>
      </c>
      <c r="E93" s="13">
        <v>42665.595092592594</v>
      </c>
      <c r="F93" s="13">
        <v>42665.6016087963</v>
      </c>
      <c r="G93" s="7">
        <v>1</v>
      </c>
      <c r="H93" s="13" t="s">
        <v>226</v>
      </c>
      <c r="I93" s="13">
        <v>42665.628900462965</v>
      </c>
      <c r="J93" s="7">
        <v>0</v>
      </c>
      <c r="K93" s="112" t="str">
        <f t="shared" si="19"/>
        <v>4043/4044</v>
      </c>
      <c r="L93" s="22" t="str">
        <f>VLOOKUP(A93,'Trips&amp;Operators'!$C$1:$E$10000,3,FALSE)</f>
        <v>SHOOK</v>
      </c>
      <c r="M93" s="6">
        <f t="shared" si="20"/>
        <v>2.7291666665405501E-2</v>
      </c>
      <c r="N93" s="7">
        <f t="shared" si="21"/>
        <v>39.299999998183921</v>
      </c>
      <c r="O93" s="7"/>
      <c r="P93" s="7"/>
      <c r="Q93" s="23"/>
      <c r="R93" s="23"/>
      <c r="S93" s="35">
        <f t="shared" si="22"/>
        <v>1</v>
      </c>
      <c r="T93" s="50" t="str">
        <f t="shared" si="23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13:16:56-0600',mode:absolute,to:'2016-10-22 16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3" s="52" t="str">
        <f t="shared" si="25"/>
        <v>N</v>
      </c>
      <c r="X93" s="171">
        <f t="shared" si="26"/>
        <v>1</v>
      </c>
      <c r="Y93" s="67">
        <f t="shared" si="27"/>
        <v>23.303599999999999</v>
      </c>
      <c r="Z93" s="67">
        <f t="shared" si="28"/>
        <v>1.4999999999999999E-2</v>
      </c>
      <c r="AA93" s="67">
        <f t="shared" si="29"/>
        <v>23.288599999999999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0"/>
        <v>0180-22</v>
      </c>
      <c r="AE93" s="91" t="str">
        <f t="shared" si="31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93" s="88" t="str">
        <f t="shared" si="32"/>
        <v>"C:\Program Files (x86)\AstroGrep\AstroGrep.exe" /spath="%USERPROFILE%\AppData\Local\Temp\OnboardLogs" /stypes="app*4043*20161022*" /stext=" 21:.+((SYSTEM_STATE.+slice.+state.+changed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180-22 --locoid 4043 --swversion DE.1.0.7.0 --startMP 204:233036 --initTime 2016-10-22T14:16:56 --startdatetime 2016-10-22T14:26:19 --delay 1 --endMP 204:150 --enddatetime 2016-10-22T15:05:37 --enforcementcount 0 &gt;&gt;C:\Users\stu\Documents\GitHub\eaglep3-reporting\EC\2016-10-22-refined-times.txt</v>
      </c>
      <c r="AI9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ID","value":"180-22"},{"id":16,"name":"Locomotive ID","value":"4043"},{"id":130,"name":"Impact","value":""},{"id":150,"name":"Time of Event (Mountain Time)","value":"15:05:37"},{"id":151,"name":"Denver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536</v>
      </c>
      <c r="B94" s="7">
        <v>4011</v>
      </c>
      <c r="C94" s="22" t="s">
        <v>99</v>
      </c>
      <c r="D94" s="22" t="s">
        <v>278</v>
      </c>
      <c r="E94" s="13">
        <v>42665.567418981482</v>
      </c>
      <c r="F94" s="13">
        <v>42665.573148148149</v>
      </c>
      <c r="G94" s="7">
        <v>1</v>
      </c>
      <c r="H94" s="13" t="s">
        <v>666</v>
      </c>
      <c r="I94" s="13">
        <v>42665.597905092596</v>
      </c>
      <c r="J94" s="7">
        <v>0</v>
      </c>
      <c r="K94" s="112" t="str">
        <f t="shared" si="19"/>
        <v>4011/4012</v>
      </c>
      <c r="L94" s="22" t="str">
        <f>VLOOKUP(A94,'Trips&amp;Operators'!$C$1:$E$10000,3,FALSE)</f>
        <v>BRUDER</v>
      </c>
      <c r="M94" s="6">
        <f t="shared" si="20"/>
        <v>2.4756944447290152E-2</v>
      </c>
      <c r="N94" s="7">
        <f t="shared" si="21"/>
        <v>35.650000004097819</v>
      </c>
      <c r="O94" s="7"/>
      <c r="P94" s="7"/>
      <c r="Q94" s="23"/>
      <c r="R94" s="23"/>
      <c r="S94" s="35">
        <f t="shared" si="22"/>
        <v>1</v>
      </c>
      <c r="T94" s="50" t="str">
        <f t="shared" si="23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12:37:05-0600',mode:absolute,to:'2016-10-22 15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4" s="52" t="str">
        <f t="shared" si="25"/>
        <v>N</v>
      </c>
      <c r="X94" s="171">
        <f t="shared" si="26"/>
        <v>1</v>
      </c>
      <c r="Y94" s="67">
        <f t="shared" si="27"/>
        <v>4.4900000000000002E-2</v>
      </c>
      <c r="Z94" s="67">
        <f t="shared" si="28"/>
        <v>23.331700000000001</v>
      </c>
      <c r="AA94" s="67">
        <f t="shared" si="29"/>
        <v>23.286800000000003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0"/>
        <v>0181-22</v>
      </c>
      <c r="AE94" s="91" t="str">
        <f t="shared" si="31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94" s="88" t="str">
        <f t="shared" si="32"/>
        <v>"C:\Program Files (x86)\AstroGrep\AstroGrep.exe" /spath="%USERPROFILE%\AppData\Local\Temp\OnboardLogs" /stypes="app*4011*20161022*" /stext=" 20:.+((SYSTEM_STATE.+slice.+state.+changed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181-22 --locoid 4011 --swversion DE.1.0.7.0 --startMP 204:449 --initTime 2016-10-22T13:37:05 --startdatetime 2016-10-22T13:45:20 --delay 1 --endMP 204:233317 --enddatetime 2016-10-22T14:20:59 --enforcementcount 0 &gt;&gt;C:\Users\stu\Documents\GitHub\eaglep3-reporting\EC\2016-10-22-refined-times.txt</v>
      </c>
      <c r="AI9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{"issue":{"subject":"","project_id":79,"tracker_id":40,"status_id":1,"priority_id":2,"assigned_to_id":23,"start_date":"2016-10-22","description":"","custom_fields":[{"id":1,"name":"Subdivision","value":"EC"},{"id":4,"name":"Milepost","value":"23.3317"},{"id":17,"name":"Train ID","value":"181-22"},{"id":16,"name":"Locomotive ID","value":"4011"},{"id":130,"name":"Impact","value":""},{"id":150,"name":"Time of Event (Mountain Time)","value":"14:20:59"},{"id":151,"name":"Denver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543</v>
      </c>
      <c r="B95" s="7">
        <v>4012</v>
      </c>
      <c r="C95" s="22" t="s">
        <v>99</v>
      </c>
      <c r="D95" s="22" t="s">
        <v>318</v>
      </c>
      <c r="E95" s="13">
        <v>42665.604467592595</v>
      </c>
      <c r="F95" s="13">
        <v>42665.61215277778</v>
      </c>
      <c r="G95" s="7">
        <v>1</v>
      </c>
      <c r="H95" s="13" t="s">
        <v>221</v>
      </c>
      <c r="I95" s="13">
        <v>42665.639618055553</v>
      </c>
      <c r="J95" s="7">
        <v>0</v>
      </c>
      <c r="K95" s="112" t="str">
        <f t="shared" si="19"/>
        <v>4011/4012</v>
      </c>
      <c r="L95" s="22" t="str">
        <f>VLOOKUP(A95,'Trips&amp;Operators'!$C$1:$E$10000,3,FALSE)</f>
        <v>BRUDER</v>
      </c>
      <c r="M95" s="6">
        <f t="shared" si="20"/>
        <v>2.7465277773444541E-2</v>
      </c>
      <c r="N95" s="7">
        <f t="shared" si="21"/>
        <v>39.549999993760139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13:30:26-0600',mode:absolute,to:'2016-10-22 16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5" s="52" t="str">
        <f t="shared" si="25"/>
        <v>N</v>
      </c>
      <c r="X95" s="171">
        <f t="shared" si="26"/>
        <v>1</v>
      </c>
      <c r="Y95" s="67">
        <f t="shared" si="27"/>
        <v>23.2989</v>
      </c>
      <c r="Z95" s="67">
        <f t="shared" si="28"/>
        <v>1.4500000000000001E-2</v>
      </c>
      <c r="AA95" s="67">
        <f t="shared" si="29"/>
        <v>23.284399999999998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0"/>
        <v>0182-22</v>
      </c>
      <c r="AE95" s="91" t="str">
        <f t="shared" si="31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95" s="88" t="str">
        <f t="shared" si="32"/>
        <v>"C:\Program Files (x86)\AstroGrep\AstroGrep.exe" /spath="%USERPROFILE%\AppData\Local\Temp\OnboardLogs" /stypes="app*4012*20161022*" /stext=" 21:.+((SYSTEM_STATE.+slice.+state.+changed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182-22 --locoid 4012 --swversion DE.1.0.7.0 --startMP 204:232989 --initTime 2016-10-22T14:30:26 --startdatetime 2016-10-22T14:41:30 --delay 1 --endMP 204:145 --enddatetime 2016-10-22T15:21:03 --enforcementcount 0 &gt;&gt;C:\Users\stu\Documents\GitHub\eaglep3-reporting\EC\2016-10-22-refined-times.txt</v>
      </c>
      <c r="AI9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{"issue":{"subject":"","project_id":79,"tracker_id":40,"status_id":1,"priority_id":2,"assigned_to_id":23,"start_date":"2016-10-22","description":"","custom_fields":[{"id":1,"name":"Subdivision","value":"EC"},{"id":4,"name":"Milepost","value":"0.0145"},{"id":17,"name":"Train ID","value":"182-22"},{"id":16,"name":"Locomotive ID","value":"4012"},{"id":130,"name":"Impact","value":""},{"id":150,"name":"Time of Event (Mountain Time)","value":"15:21:03"},{"id":151,"name":"Denver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538</v>
      </c>
      <c r="B96" s="7">
        <v>4029</v>
      </c>
      <c r="C96" s="22" t="s">
        <v>99</v>
      </c>
      <c r="D96" s="22" t="s">
        <v>240</v>
      </c>
      <c r="E96" s="13">
        <v>42665.581122685187</v>
      </c>
      <c r="F96" s="13">
        <v>42665.583622685182</v>
      </c>
      <c r="G96" s="7">
        <v>1</v>
      </c>
      <c r="H96" s="13" t="s">
        <v>280</v>
      </c>
      <c r="I96" s="13">
        <v>42665.609247685185</v>
      </c>
      <c r="J96" s="7">
        <v>0</v>
      </c>
      <c r="K96" s="112" t="str">
        <f t="shared" si="19"/>
        <v>4029/4030</v>
      </c>
      <c r="L96" s="22" t="str">
        <f>VLOOKUP(A96,'Trips&amp;Operators'!$C$1:$E$10000,3,FALSE)</f>
        <v>CLARK</v>
      </c>
      <c r="M96" s="6">
        <f t="shared" si="20"/>
        <v>2.5625000002037268E-2</v>
      </c>
      <c r="N96" s="7">
        <f t="shared" si="21"/>
        <v>36.900000002933666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12:56:49-0600',mode:absolute,to:'2016-10-22 15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6" s="52" t="str">
        <f t="shared" si="25"/>
        <v>N</v>
      </c>
      <c r="X96" s="171">
        <f t="shared" si="26"/>
        <v>1</v>
      </c>
      <c r="Y96" s="67">
        <f t="shared" si="27"/>
        <v>4.5100000000000001E-2</v>
      </c>
      <c r="Z96" s="67">
        <f t="shared" si="28"/>
        <v>23.331099999999999</v>
      </c>
      <c r="AA96" s="67">
        <f t="shared" si="29"/>
        <v>23.285999999999998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0"/>
        <v>0183-22</v>
      </c>
      <c r="AE96" s="91" t="str">
        <f t="shared" si="31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96" s="88" t="str">
        <f t="shared" si="32"/>
        <v>"C:\Program Files (x86)\AstroGrep\AstroGrep.exe" /spath="%USERPROFILE%\AppData\Local\Temp\OnboardLogs" /stypes="app*4029*20161022*" /stext=" 20:.+((SYSTEM_STATE.+slice.+state.+changed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183-22 --locoid 4029 --swversion DE.1.0.7.0 --startMP 204:451 --initTime 2016-10-22T13:56:49 --startdatetime 2016-10-22T14:00:25 --delay 1 --endMP 204:233311 --enddatetime 2016-10-22T14:37:19 --enforcementcount 0 &gt;&gt;C:\Users\stu\Documents\GitHub\eaglep3-reporting\EC\2016-10-22-refined-times.txt</v>
      </c>
      <c r="AI9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{"issue":{"subject":"","project_id":79,"tracker_id":40,"status_id":1,"priority_id":2,"assigned_to_id":23,"start_date":"2016-10-22","description":"","custom_fields":[{"id":1,"name":"Subdivision","value":"EC"},{"id":4,"name":"Milepost","value":"23.3311"},{"id":17,"name":"Train ID","value":"183-22"},{"id":16,"name":"Locomotive ID","value":"4029"},{"id":130,"name":"Impact","value":""},{"id":150,"name":"Time of Event (Mountain Time)","value":"14:37:19"},{"id":151,"name":"Denver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546</v>
      </c>
      <c r="B97" s="7">
        <v>4030</v>
      </c>
      <c r="C97" s="22" t="s">
        <v>99</v>
      </c>
      <c r="D97" s="22" t="s">
        <v>383</v>
      </c>
      <c r="E97" s="13">
        <v>42665.618125000001</v>
      </c>
      <c r="F97" s="13">
        <v>42665.622395833336</v>
      </c>
      <c r="G97" s="7">
        <v>1</v>
      </c>
      <c r="H97" s="13" t="s">
        <v>703</v>
      </c>
      <c r="I97" s="13">
        <v>42665.652731481481</v>
      </c>
      <c r="J97" s="7">
        <v>0</v>
      </c>
      <c r="K97" s="112" t="str">
        <f t="shared" si="19"/>
        <v>4029/4030</v>
      </c>
      <c r="L97" s="22" t="str">
        <f>VLOOKUP(A97,'Trips&amp;Operators'!$C$1:$E$10000,3,FALSE)</f>
        <v>CLARK</v>
      </c>
      <c r="M97" s="6">
        <f t="shared" si="20"/>
        <v>3.0335648145410232E-2</v>
      </c>
      <c r="N97" s="7">
        <f t="shared" si="21"/>
        <v>43.683333329390734</v>
      </c>
      <c r="O97" s="7"/>
      <c r="P97" s="7"/>
      <c r="Q97" s="23"/>
      <c r="R97" s="23"/>
      <c r="S97" s="35">
        <f t="shared" si="22"/>
        <v>1</v>
      </c>
      <c r="T97" s="50" t="str">
        <f t="shared" si="23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13:50:06-0600',mode:absolute,to:'2016-10-22 16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7" s="52" t="str">
        <f t="shared" si="25"/>
        <v>N</v>
      </c>
      <c r="X97" s="171">
        <f t="shared" si="26"/>
        <v>1</v>
      </c>
      <c r="Y97" s="67">
        <f t="shared" si="27"/>
        <v>23.3001</v>
      </c>
      <c r="Z97" s="67">
        <v>0.01</v>
      </c>
      <c r="AA97" s="67">
        <f t="shared" si="29"/>
        <v>23.290099999999999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0"/>
        <v>0184-22</v>
      </c>
      <c r="AE97" s="91" t="str">
        <f t="shared" si="31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97" s="88" t="str">
        <f t="shared" si="32"/>
        <v>"C:\Program Files (x86)\AstroGrep\AstroGrep.exe" /spath="%USERPROFILE%\AppData\Local\Temp\OnboardLogs" /stypes="app*4030*20161022*" /stext=" 21:.+((SYSTEM_STATE.+slice.+state.+changed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184-22 --locoid 4030 --swversion DE.1.0.7.0 --startMP 204:233001 --initTime 2016-10-22T14:50:06 --startdatetime 2016-10-22T14:56:15 --delay 1 --endMP 204:80396 --enddatetime 2016-10-22T15:39:56 --enforcementcount 0 &gt;&gt;C:\Users\stu\Documents\GitHub\eaglep3-reporting\EC\2016-10-22-refined-times.txt</v>
      </c>
      <c r="AI9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{"issue":{"subject":"","project_id":79,"tracker_id":40,"status_id":1,"priority_id":2,"assigned_to_id":23,"start_date":"2016-10-22","description":"","custom_fields":[{"id":1,"name":"Subdivision","value":"EC"},{"id":4,"name":"Milepost","value":"0.01"},{"id":17,"name":"Train ID","value":"184-22"},{"id":16,"name":"Locomotive ID","value":"4030"},{"id":130,"name":"Impact","value":""},{"id":150,"name":"Time of Event (Mountain Time)","value":"15:39:56"},{"id":151,"name":"Denver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540</v>
      </c>
      <c r="B98" s="7">
        <v>4053</v>
      </c>
      <c r="C98" s="22" t="s">
        <v>99</v>
      </c>
      <c r="D98" s="22" t="s">
        <v>238</v>
      </c>
      <c r="E98" s="13">
        <v>42665.588252314818</v>
      </c>
      <c r="F98" s="13">
        <v>42665.593969907408</v>
      </c>
      <c r="G98" s="7">
        <v>1</v>
      </c>
      <c r="H98" s="13" t="s">
        <v>195</v>
      </c>
      <c r="I98" s="13">
        <v>42665.620393518519</v>
      </c>
      <c r="J98" s="7">
        <v>0</v>
      </c>
      <c r="K98" s="112" t="str">
        <f t="shared" si="19"/>
        <v>4053/4054</v>
      </c>
      <c r="L98" s="22" t="str">
        <f>VLOOKUP(A98,'Trips&amp;Operators'!$C$1:$E$10000,3,FALSE)</f>
        <v>STORY</v>
      </c>
      <c r="M98" s="6">
        <f t="shared" si="20"/>
        <v>2.6423611110658385E-2</v>
      </c>
      <c r="N98" s="7">
        <f t="shared" si="21"/>
        <v>38.049999999348074</v>
      </c>
      <c r="O98" s="7"/>
      <c r="P98" s="7"/>
      <c r="Q98" s="23"/>
      <c r="R98" s="23"/>
      <c r="S98" s="35">
        <f t="shared" si="22"/>
        <v>1</v>
      </c>
      <c r="T98" s="50" t="str">
        <f t="shared" si="23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13:07:05-0600',mode:absolute,to:'2016-10-22 15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8" s="52" t="str">
        <f t="shared" si="25"/>
        <v>N</v>
      </c>
      <c r="X98" s="171">
        <f t="shared" si="26"/>
        <v>1</v>
      </c>
      <c r="Y98" s="67">
        <f t="shared" si="27"/>
        <v>4.5999999999999999E-2</v>
      </c>
      <c r="Z98" s="67">
        <f t="shared" si="28"/>
        <v>23.329699999999999</v>
      </c>
      <c r="AA98" s="67">
        <f t="shared" si="29"/>
        <v>23.2837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0"/>
        <v>0185-22</v>
      </c>
      <c r="AE98" s="91" t="str">
        <f t="shared" si="31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98" s="88" t="str">
        <f t="shared" si="32"/>
        <v>"C:\Program Files (x86)\AstroGrep\AstroGrep.exe" /spath="%USERPROFILE%\AppData\Local\Temp\OnboardLogs" /stypes="app*4053*20161022*" /stext=" 20:.+((SYSTEM_STATE.+slice.+state.+changed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185-22 --locoid 4053 --swversion DE.1.0.7.0 --startMP 204:460 --initTime 2016-10-22T14:07:05 --startdatetime 2016-10-22T14:15:19 --delay 1 --endMP 204:233297 --enddatetime 2016-10-22T14:53:22 --enforcementcount 0 &gt;&gt;C:\Users\stu\Documents\GitHub\eaglep3-reporting\EC\2016-10-22-refined-times.txt</v>
      </c>
      <c r="AI9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{"issue":{"subject":"","project_id":79,"tracker_id":40,"status_id":1,"priority_id":2,"assigned_to_id":23,"start_date":"2016-10-22","description":"","custom_fields":[{"id":1,"name":"Subdivision","value":"EC"},{"id":4,"name":"Milepost","value":"23.3297"},{"id":17,"name":"Train ID","value":"185-22"},{"id":16,"name":"Locomotive ID","value":"4053"},{"id":130,"name":"Impact","value":""},{"id":150,"name":"Time of Event (Mountain Time)","value":"14:53:22"},{"id":151,"name":"Denver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548</v>
      </c>
      <c r="B99" s="7">
        <v>4054</v>
      </c>
      <c r="C99" s="22" t="s">
        <v>99</v>
      </c>
      <c r="D99" s="22" t="s">
        <v>704</v>
      </c>
      <c r="E99" s="13">
        <v>42665.629745370374</v>
      </c>
      <c r="F99" s="13">
        <v>42665.633032407408</v>
      </c>
      <c r="G99" s="7">
        <v>1</v>
      </c>
      <c r="H99" s="13" t="s">
        <v>323</v>
      </c>
      <c r="I99" s="13">
        <v>42665.662766203706</v>
      </c>
      <c r="J99" s="7">
        <v>0</v>
      </c>
      <c r="K99" s="112" t="str">
        <f t="shared" si="19"/>
        <v>4053/4054</v>
      </c>
      <c r="L99" s="22" t="str">
        <f>VLOOKUP(A99,'Trips&amp;Operators'!$C$1:$E$10000,3,FALSE)</f>
        <v>STORY</v>
      </c>
      <c r="M99" s="6">
        <f t="shared" si="20"/>
        <v>2.973379629838746E-2</v>
      </c>
      <c r="N99" s="7">
        <f t="shared" si="21"/>
        <v>42.816666669677943</v>
      </c>
      <c r="O99" s="7"/>
      <c r="P99" s="7"/>
      <c r="Q99" s="23"/>
      <c r="R99" s="23"/>
      <c r="S99" s="35">
        <f t="shared" si="22"/>
        <v>1</v>
      </c>
      <c r="T99" s="50" t="str">
        <f t="shared" si="23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14:06:50-0600',mode:absolute,to:'2016-10-22 16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9" s="52" t="str">
        <f t="shared" si="25"/>
        <v>N</v>
      </c>
      <c r="X99" s="171">
        <f t="shared" si="26"/>
        <v>1</v>
      </c>
      <c r="Y99" s="67">
        <f t="shared" si="27"/>
        <v>23.297899999999998</v>
      </c>
      <c r="Z99" s="67">
        <f t="shared" si="28"/>
        <v>1.6899999999999998E-2</v>
      </c>
      <c r="AA99" s="67">
        <f t="shared" si="29"/>
        <v>23.280999999999999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0"/>
        <v>0186-22</v>
      </c>
      <c r="AE99" s="91" t="str">
        <f t="shared" si="31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99" s="88" t="str">
        <f t="shared" si="32"/>
        <v>"C:\Program Files (x86)\AstroGrep\AstroGrep.exe" /spath="%USERPROFILE%\AppData\Local\Temp\OnboardLogs" /stypes="app*4054*20161022*"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186-22 --locoid 4054 --swversion DE.1.0.7.0 --startMP 204:232979 --initTime 2016-10-22T15:06:50 --startdatetime 2016-10-22T15:11:34 --delay 1 --endMP 204:169 --enddatetime 2016-10-22T15:54:23 --enforcementcount 0 &gt;&gt;C:\Users\stu\Documents\GitHub\eaglep3-reporting\EC\2016-10-22-refined-times.txt</v>
      </c>
      <c r="AI9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{"issue":{"subject":"","project_id":79,"tracker_id":40,"status_id":1,"priority_id":2,"assigned_to_id":23,"start_date":"2016-10-22","description":"","custom_fields":[{"id":1,"name":"Subdivision","value":"EC"},{"id":4,"name":"Milepost","value":"0.0169"},{"id":17,"name":"Train ID","value":"186-22"},{"id":16,"name":"Locomotive ID","value":"4054"},{"id":130,"name":"Impact","value":""},{"id":150,"name":"Time of Event (Mountain Time)","value":"15:54:23"},{"id":151,"name":"Denver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542</v>
      </c>
      <c r="B100" s="7">
        <v>4031</v>
      </c>
      <c r="C100" s="22" t="s">
        <v>99</v>
      </c>
      <c r="D100" s="22" t="s">
        <v>337</v>
      </c>
      <c r="E100" s="13">
        <v>42665.599814814814</v>
      </c>
      <c r="F100" s="13">
        <v>42665.604421296295</v>
      </c>
      <c r="G100" s="7">
        <v>1</v>
      </c>
      <c r="H100" s="13" t="s">
        <v>381</v>
      </c>
      <c r="I100" s="13">
        <v>42665.629317129627</v>
      </c>
      <c r="J100" s="7">
        <v>0</v>
      </c>
      <c r="K100" s="112" t="str">
        <f t="shared" si="19"/>
        <v>4031/4032</v>
      </c>
      <c r="L100" s="22" t="str">
        <f>VLOOKUP(A100,'Trips&amp;Operators'!$C$1:$E$10000,3,FALSE)</f>
        <v>STEWART</v>
      </c>
      <c r="M100" s="6">
        <f t="shared" si="20"/>
        <v>2.4895833332266193E-2</v>
      </c>
      <c r="N100" s="7">
        <f t="shared" si="21"/>
        <v>35.849999998463318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13:23:44-0600',mode:absolute,to:'2016-10-22 16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0" s="52" t="str">
        <f t="shared" si="25"/>
        <v>N</v>
      </c>
      <c r="X100" s="171">
        <f t="shared" si="26"/>
        <v>1</v>
      </c>
      <c r="Y100" s="67">
        <f t="shared" si="27"/>
        <v>4.8800000000000003E-2</v>
      </c>
      <c r="Z100" s="67">
        <f t="shared" si="28"/>
        <v>23.328900000000001</v>
      </c>
      <c r="AA100" s="67">
        <f t="shared" si="29"/>
        <v>23.280100000000001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0"/>
        <v>0187-22</v>
      </c>
      <c r="AE100" s="91" t="str">
        <f t="shared" si="31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100" s="88" t="str">
        <f t="shared" si="32"/>
        <v>"C:\Program Files (x86)\AstroGrep\AstroGrep.exe" /spath="%USERPROFILE%\AppData\Local\Temp\OnboardLogs" /stypes="app*4031*20161022*" /stext=" 21:.+((SYSTEM_STATE.+slice.+state.+changed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187-22 --locoid 4031 --swversion DE.1.0.7.0 --startMP 204:488 --initTime 2016-10-22T14:23:44 --startdatetime 2016-10-22T14:30:22 --delay 1 --endMP 204:233289 --enddatetime 2016-10-22T15:06:13 --enforcementcount 0 &gt;&gt;C:\Users\stu\Documents\GitHub\eaglep3-reporting\EC\2016-10-22-refined-times.txt</v>
      </c>
      <c r="AI10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{"issue":{"subject":"","project_id":79,"tracker_id":40,"status_id":1,"priority_id":2,"assigned_to_id":23,"start_date":"2016-10-22","description":"","custom_fields":[{"id":1,"name":"Subdivision","value":"EC"},{"id":4,"name":"Milepost","value":"23.3289"},{"id":17,"name":"Train ID","value":"187-22"},{"id":16,"name":"Locomotive ID","value":"4031"},{"id":130,"name":"Impact","value":""},{"id":150,"name":"Time of Event (Mountain Time)","value":"15:06:13"},{"id":151,"name":"Denver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551</v>
      </c>
      <c r="B101" s="7">
        <v>4032</v>
      </c>
      <c r="C101" s="22" t="s">
        <v>99</v>
      </c>
      <c r="D101" s="22" t="s">
        <v>399</v>
      </c>
      <c r="E101" s="13">
        <v>42665.638819444444</v>
      </c>
      <c r="F101" s="13">
        <v>42665.64335648148</v>
      </c>
      <c r="G101" s="7">
        <v>1</v>
      </c>
      <c r="H101" s="13" t="s">
        <v>705</v>
      </c>
      <c r="I101" s="13">
        <v>42665.672743055555</v>
      </c>
      <c r="J101" s="7">
        <v>0</v>
      </c>
      <c r="K101" s="112" t="str">
        <f t="shared" si="19"/>
        <v>4031/4032</v>
      </c>
      <c r="L101" s="22" t="str">
        <f>VLOOKUP(A101,'Trips&amp;Operators'!$C$1:$E$10000,3,FALSE)</f>
        <v>STEWART</v>
      </c>
      <c r="M101" s="6">
        <f t="shared" si="20"/>
        <v>2.9386574075033423E-2</v>
      </c>
      <c r="N101" s="7">
        <f t="shared" si="21"/>
        <v>42.316666668048128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14:19:54-0600',mode:absolute,to:'2016-10-22 17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1" s="52" t="str">
        <f t="shared" si="25"/>
        <v>N</v>
      </c>
      <c r="X101" s="171">
        <f t="shared" si="26"/>
        <v>1</v>
      </c>
      <c r="Y101" s="67">
        <f t="shared" si="27"/>
        <v>23.296900000000001</v>
      </c>
      <c r="Z101" s="67">
        <f t="shared" si="28"/>
        <v>1.67E-2</v>
      </c>
      <c r="AA101" s="67">
        <f t="shared" si="29"/>
        <v>23.280200000000001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0"/>
        <v>0188-22</v>
      </c>
      <c r="AE101" s="91" t="str">
        <f t="shared" si="31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101" s="88" t="str">
        <f t="shared" si="32"/>
        <v>"C:\Program Files (x86)\AstroGrep\AstroGrep.exe" /spath="%USERPROFILE%\AppData\Local\Temp\OnboardLogs" /stypes="app*4032*20161022*" /stext=" 22:.+((SYSTEM_STATE.+slice.+state.+changed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188-22 --locoid 4032 --swversion DE.1.0.7.0 --startMP 204:232969 --initTime 2016-10-22T15:19:54 --startdatetime 2016-10-22T15:26:26 --delay 1 --endMP 204:167 --enddatetime 2016-10-22T16:08:45 --enforcementcount 0 &gt;&gt;C:\Users\stu\Documents\GitHub\eaglep3-reporting\EC\2016-10-22-refined-times.txt</v>
      </c>
      <c r="AI101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{"issue":{"subject":"","project_id":79,"tracker_id":40,"status_id":1,"priority_id":2,"assigned_to_id":23,"start_date":"2016-10-22","description":"","custom_fields":[{"id":1,"name":"Subdivision","value":"EC"},{"id":4,"name":"Milepost","value":"0.0167"},{"id":17,"name":"Train ID","value":"188-22"},{"id":16,"name":"Locomotive ID","value":"4032"},{"id":130,"name":"Impact","value":""},{"id":150,"name":"Time of Event (Mountain Time)","value":"16:08:45"},{"id":151,"name":"Denver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545</v>
      </c>
      <c r="B102" s="7">
        <v>4038</v>
      </c>
      <c r="C102" s="22" t="s">
        <v>99</v>
      </c>
      <c r="D102" s="22" t="s">
        <v>342</v>
      </c>
      <c r="E102" s="13">
        <v>42665.609780092593</v>
      </c>
      <c r="F102" s="13">
        <v>42665.614907407406</v>
      </c>
      <c r="G102" s="7">
        <v>1</v>
      </c>
      <c r="H102" s="13" t="s">
        <v>706</v>
      </c>
      <c r="I102" s="13">
        <v>42665.6403125</v>
      </c>
      <c r="J102" s="7">
        <v>0</v>
      </c>
      <c r="K102" s="112" t="str">
        <f t="shared" si="19"/>
        <v>4037/4038</v>
      </c>
      <c r="L102" s="22" t="str">
        <f>VLOOKUP(A102,'Trips&amp;Operators'!$C$1:$E$10000,3,FALSE)</f>
        <v>BARTLETT</v>
      </c>
      <c r="M102" s="6">
        <f t="shared" si="20"/>
        <v>2.5405092594155576E-2</v>
      </c>
      <c r="N102" s="7">
        <f t="shared" si="21"/>
        <v>36.58333333558403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13:38:05-0600',mode:absolute,to:'2016-10-22 16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2" s="52" t="str">
        <f t="shared" si="25"/>
        <v>N</v>
      </c>
      <c r="X102" s="171">
        <f t="shared" si="26"/>
        <v>1</v>
      </c>
      <c r="Y102" s="67">
        <f t="shared" si="27"/>
        <v>4.82E-2</v>
      </c>
      <c r="Z102" s="67">
        <f t="shared" si="28"/>
        <v>23.3353</v>
      </c>
      <c r="AA102" s="67">
        <f t="shared" si="29"/>
        <v>23.287099999999999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0"/>
        <v>0189-22</v>
      </c>
      <c r="AE102" s="91" t="str">
        <f t="shared" si="31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02" s="88" t="str">
        <f t="shared" si="32"/>
        <v>"C:\Program Files (x86)\AstroGrep\AstroGrep.exe" /spath="%USERPROFILE%\AppData\Local\Temp\OnboardLogs" /stypes="app*4038*20161022*" /stext=" 21:.+((SYSTEM_STATE.+slice.+state.+changed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189-22 --locoid 4038 --swversion DE.1.0.7.0 --startMP 204:482 --initTime 2016-10-22T14:38:05 --startdatetime 2016-10-22T14:45:28 --delay 1 --endMP 204:233353 --enddatetime 2016-10-22T15:22:03 --enforcementcount 0 &gt;&gt;C:\Users\stu\Documents\GitHub\eaglep3-reporting\EC\2016-10-22-refined-times.txt</v>
      </c>
      <c r="AI10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{"issue":{"subject":"","project_id":79,"tracker_id":40,"status_id":1,"priority_id":2,"assigned_to_id":23,"start_date":"2016-10-22","description":"","custom_fields":[{"id":1,"name":"Subdivision","value":"EC"},{"id":4,"name":"Milepost","value":"23.3353"},{"id":17,"name":"Train ID","value":"189-22"},{"id":16,"name":"Locomotive ID","value":"4038"},{"id":130,"name":"Impact","value":""},{"id":150,"name":"Time of Event (Mountain Time)","value":"15:22:03"},{"id":151,"name":"Denver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553</v>
      </c>
      <c r="B103" s="7">
        <v>4037</v>
      </c>
      <c r="C103" s="22" t="s">
        <v>99</v>
      </c>
      <c r="D103" s="22" t="s">
        <v>707</v>
      </c>
      <c r="E103" s="13">
        <v>42665.655115740738</v>
      </c>
      <c r="F103" s="13">
        <v>42665.65625</v>
      </c>
      <c r="G103" s="7">
        <v>1</v>
      </c>
      <c r="H103" s="13" t="s">
        <v>279</v>
      </c>
      <c r="I103" s="13">
        <v>42665.683425925927</v>
      </c>
      <c r="J103" s="7">
        <v>0</v>
      </c>
      <c r="K103" s="112" t="str">
        <f t="shared" si="19"/>
        <v>4037/4038</v>
      </c>
      <c r="L103" s="22" t="str">
        <f>VLOOKUP(A103,'Trips&amp;Operators'!$C$1:$E$10000,3,FALSE)</f>
        <v>BARTLETT</v>
      </c>
      <c r="M103" s="6">
        <f t="shared" si="20"/>
        <v>2.7175925926712807E-2</v>
      </c>
      <c r="N103" s="7">
        <f t="shared" si="21"/>
        <v>39.133333334466442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14:43:22-0600',mode:absolute,to:'2016-10-22 17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3" s="52" t="str">
        <f t="shared" si="25"/>
        <v>N</v>
      </c>
      <c r="X103" s="171">
        <f t="shared" si="26"/>
        <v>1</v>
      </c>
      <c r="Y103" s="67">
        <f t="shared" si="27"/>
        <v>23.305900000000001</v>
      </c>
      <c r="Z103" s="67">
        <f t="shared" si="28"/>
        <v>1.5800000000000002E-2</v>
      </c>
      <c r="AA103" s="67">
        <f t="shared" si="29"/>
        <v>23.290100000000002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0"/>
        <v>0190-22</v>
      </c>
      <c r="AE103" s="91" t="str">
        <f t="shared" si="31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103" s="88" t="str">
        <f t="shared" si="32"/>
        <v>"C:\Program Files (x86)\AstroGrep\AstroGrep.exe" /spath="%USERPROFILE%\AppData\Local\Temp\OnboardLogs" /stypes="app*4037*20161022*" /stext=" 22:.+((SYSTEM_STATE.+slice.+state.+changed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190-22 --locoid 4037 --swversion DE.1.0.7.0 --startMP 204:233059 --initTime 2016-10-22T15:43:22 --startdatetime 2016-10-22T15:45:00 --delay 1 --endMP 204:158 --enddatetime 2016-10-22T16:24:08 --enforcementcount 0 &gt;&gt;C:\Users\stu\Documents\GitHub\eaglep3-reporting\EC\2016-10-22-refined-times.txt</v>
      </c>
      <c r="AI10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ID","value":"190-22"},{"id":16,"name":"Locomotive ID","value":"4037"},{"id":130,"name":"Impact","value":""},{"id":150,"name":"Time of Event (Mountain Time)","value":"16:24:08"},{"id":151,"name":"Denver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547</v>
      </c>
      <c r="B104" s="7">
        <v>4042</v>
      </c>
      <c r="C104" s="22" t="s">
        <v>99</v>
      </c>
      <c r="D104" s="22" t="s">
        <v>650</v>
      </c>
      <c r="E104" s="13">
        <v>42665.622025462966</v>
      </c>
      <c r="F104" s="13">
        <v>42665.6252662037</v>
      </c>
      <c r="G104" s="7">
        <v>2</v>
      </c>
      <c r="H104" s="13" t="s">
        <v>334</v>
      </c>
      <c r="I104" s="13">
        <v>42665.650266203702</v>
      </c>
      <c r="J104" s="7">
        <v>0</v>
      </c>
      <c r="K104" s="112" t="str">
        <f t="shared" si="19"/>
        <v>4041/4042</v>
      </c>
      <c r="L104" s="22" t="str">
        <f>VLOOKUP(A104,'Trips&amp;Operators'!$C$1:$E$10000,3,FALSE)</f>
        <v>MOSES</v>
      </c>
      <c r="M104" s="6">
        <f t="shared" si="20"/>
        <v>2.5000000001455192E-2</v>
      </c>
      <c r="N104" s="7">
        <f t="shared" si="21"/>
        <v>36.000000002095476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13:55:43-0600',mode:absolute,to:'2016-10-22 16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52" t="str">
        <f t="shared" si="25"/>
        <v>N</v>
      </c>
      <c r="X104" s="171">
        <f t="shared" si="26"/>
        <v>1</v>
      </c>
      <c r="Y104" s="67">
        <f t="shared" si="27"/>
        <v>4.5699999999999998E-2</v>
      </c>
      <c r="Z104" s="67">
        <f t="shared" si="28"/>
        <v>23.3309</v>
      </c>
      <c r="AA104" s="67">
        <f t="shared" si="29"/>
        <v>23.2852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0"/>
        <v>0191-22</v>
      </c>
      <c r="AE104" s="91" t="str">
        <f t="shared" si="31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04" s="88" t="str">
        <f t="shared" si="32"/>
        <v>"C:\Program Files (x86)\AstroGrep\AstroGrep.exe" /spath="%USERPROFILE%\AppData\Local\Temp\OnboardLogs" /stypes="app*4042*20161022*" /stext=" 21:.+((SYSTEM_STATE.+slice.+state.+changed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191-22 --locoid 4042 --swversion DE.1.0.7.0 --startMP 204:457 --initTime 2016-10-22T14:55:43 --startdatetime 2016-10-22T15:00:23 --delay 2 --endMP 204:233309 --enddatetime 2016-10-22T15:36:23 --enforcementcount 0 &gt;&gt;C:\Users\stu\Documents\GitHub\eaglep3-reporting\EC\2016-10-22-refined-times.txt</v>
      </c>
      <c r="AI10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{"issue":{"subject":"","project_id":79,"tracker_id":40,"status_id":1,"priority_id":2,"assigned_to_id":23,"start_date":"2016-10-22","description":"","custom_fields":[{"id":1,"name":"Subdivision","value":"EC"},{"id":4,"name":"Milepost","value":"23.3309"},{"id":17,"name":"Train ID","value":"191-22"},{"id":16,"name":"Locomotive ID","value":"4042"},{"id":130,"name":"Impact","value":""},{"id":150,"name":"Time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434</v>
      </c>
      <c r="B105" s="7">
        <v>4041</v>
      </c>
      <c r="C105" s="22" t="s">
        <v>99</v>
      </c>
      <c r="D105" s="22" t="s">
        <v>712</v>
      </c>
      <c r="E105" s="13">
        <v>42665.660092592596</v>
      </c>
      <c r="F105" s="13">
        <v>42665.664537037039</v>
      </c>
      <c r="G105" s="7">
        <v>1</v>
      </c>
      <c r="H105" s="13" t="s">
        <v>713</v>
      </c>
      <c r="I105" s="13">
        <v>42665.696157407408</v>
      </c>
      <c r="J105" s="7">
        <v>0</v>
      </c>
      <c r="K105" s="112" t="str">
        <f t="shared" si="19"/>
        <v>4041/4042</v>
      </c>
      <c r="L105" s="22" t="str">
        <f>VLOOKUP(A105,'Trips&amp;Operators'!$C$1:$E$10000,3,FALSE)</f>
        <v>MOSES</v>
      </c>
      <c r="M105" s="6">
        <f t="shared" si="20"/>
        <v>3.1620370369637385E-2</v>
      </c>
      <c r="N105" s="7">
        <f t="shared" si="21"/>
        <v>45.533333332277834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14:50:32-0600',mode:absolute,to:'2016-10-22 17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52" t="str">
        <f t="shared" si="25"/>
        <v>N</v>
      </c>
      <c r="X105" s="171">
        <f t="shared" si="26"/>
        <v>1</v>
      </c>
      <c r="Y105" s="67">
        <f t="shared" si="27"/>
        <v>23.299199999999999</v>
      </c>
      <c r="Z105" s="67">
        <f t="shared" si="28"/>
        <v>1.9599999999999999E-2</v>
      </c>
      <c r="AA105" s="67">
        <f t="shared" si="29"/>
        <v>23.279599999999999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0"/>
        <v>0192-22</v>
      </c>
      <c r="AE105" s="91" t="str">
        <f t="shared" si="31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105" s="88" t="str">
        <f t="shared" si="32"/>
        <v>"C:\Program Files (x86)\AstroGrep\AstroGrep.exe" /spath="%USERPROFILE%\AppData\Local\Temp\OnboardLogs" /stypes="app*4041*20161022*"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192-22 --locoid 4041 --swversion DE.1.0.7.0 --startMP 204:232992 --initTime 2016-10-22T15:50:32 --startdatetime 2016-10-22T15:56:56 --delay 1 --endMP 204:196 --enddatetime 2016-10-22T16:42:28 --enforcementcount 0 &gt;&gt;C:\Users\stu\Documents\GitHub\eaglep3-reporting\EC\2016-10-22-refined-times.txt</v>
      </c>
      <c r="AI10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{"issue":{"subject":"","project_id":79,"tracker_id":40,"status_id":1,"priority_id":2,"assigned_to_id":23,"start_date":"2016-10-22","description":"","custom_fields":[{"id":1,"name":"Subdivision","value":"EC"},{"id":4,"name":"Milepost","value":"0.0196"},{"id":17,"name":"Train ID","value":"192-22"},{"id":16,"name":"Locomotive ID","value":"4041"},{"id":130,"name":"Impact","value":""},{"id":150,"name":"Time of Event (Mountain Time)","value":"16:42:28"},{"id":151,"name":"Denver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549</v>
      </c>
      <c r="B106" s="7">
        <v>4044</v>
      </c>
      <c r="C106" s="22" t="s">
        <v>99</v>
      </c>
      <c r="D106" s="22" t="s">
        <v>231</v>
      </c>
      <c r="E106" s="13">
        <v>42665.63071759259</v>
      </c>
      <c r="F106" s="13">
        <v>42665.63559027778</v>
      </c>
      <c r="G106" s="7">
        <v>1</v>
      </c>
      <c r="H106" s="13" t="s">
        <v>666</v>
      </c>
      <c r="I106" s="13">
        <v>42665.660891203705</v>
      </c>
      <c r="J106" s="7">
        <v>0</v>
      </c>
      <c r="K106" s="112" t="str">
        <f t="shared" si="19"/>
        <v>4043/4044</v>
      </c>
      <c r="L106" s="22" t="str">
        <f>VLOOKUP(A106,'Trips&amp;Operators'!$C$1:$E$10000,3,FALSE)</f>
        <v>SHOOK</v>
      </c>
      <c r="M106" s="6">
        <f t="shared" si="20"/>
        <v>2.5300925924966577E-2</v>
      </c>
      <c r="N106" s="7">
        <f t="shared" si="21"/>
        <v>36.433333331951872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14:08:14-0600',mode:absolute,to:'2016-10-22 16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6" s="52" t="str">
        <f t="shared" si="25"/>
        <v>N</v>
      </c>
      <c r="X106" s="171">
        <f t="shared" si="26"/>
        <v>1</v>
      </c>
      <c r="Y106" s="67">
        <f t="shared" si="27"/>
        <v>4.5499999999999999E-2</v>
      </c>
      <c r="Z106" s="67">
        <f t="shared" si="28"/>
        <v>23.331700000000001</v>
      </c>
      <c r="AA106" s="67">
        <f t="shared" si="29"/>
        <v>23.286200000000001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0"/>
        <v>0193-22</v>
      </c>
      <c r="AE106" s="91" t="str">
        <f t="shared" si="31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106" s="88" t="str">
        <f t="shared" si="32"/>
        <v>"C:\Program Files (x86)\AstroGrep\AstroGrep.exe" /spath="%USERPROFILE%\AppData\Local\Temp\OnboardLogs" /stypes="app*4044*20161022*" /stext=" 21:.+((SYSTEM_STATE.+slice.+state.+changed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193-22 --locoid 4044 --swversion DE.1.0.7.0 --startMP 204:455 --initTime 2016-10-22T15:08:14 --startdatetime 2016-10-22T15:15:15 --delay 1 --endMP 204:233317 --enddatetime 2016-10-22T15:51:41 --enforcementcount 0 &gt;&gt;C:\Users\stu\Documents\GitHub\eaglep3-reporting\EC\2016-10-22-refined-times.txt</v>
      </c>
      <c r="AI10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{"issue":{"subject":"","project_id":79,"tracker_id":40,"status_id":1,"priority_id":2,"assigned_to_id":23,"start_date":"2016-10-22","description":"","custom_fields":[{"id":1,"name":"Subdivision","value":"EC"},{"id":4,"name":"Milepost","value":"23.3317"},{"id":17,"name":"Train ID","value":"193-22"},{"id":16,"name":"Locomotive ID","value":"4044"},{"id":130,"name":"Impact","value":""},{"id":150,"name":"Time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555</v>
      </c>
      <c r="B107" s="7">
        <v>4043</v>
      </c>
      <c r="C107" s="22" t="s">
        <v>99</v>
      </c>
      <c r="D107" s="22" t="s">
        <v>708</v>
      </c>
      <c r="E107" s="13">
        <v>42665.669502314813</v>
      </c>
      <c r="F107" s="13">
        <v>42665.67597222222</v>
      </c>
      <c r="G107" s="7">
        <v>1</v>
      </c>
      <c r="H107" s="13" t="s">
        <v>226</v>
      </c>
      <c r="I107" s="13">
        <v>42665.704201388886</v>
      </c>
      <c r="J107" s="7">
        <v>0</v>
      </c>
      <c r="K107" s="112" t="str">
        <f t="shared" si="19"/>
        <v>4043/4044</v>
      </c>
      <c r="L107" s="22" t="str">
        <f>VLOOKUP(A107,'Trips&amp;Operators'!$C$1:$E$10000,3,FALSE)</f>
        <v>SHOOK</v>
      </c>
      <c r="M107" s="6">
        <f t="shared" si="20"/>
        <v>2.8229166666278616E-2</v>
      </c>
      <c r="N107" s="7">
        <f t="shared" si="21"/>
        <v>40.649999999441206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15:04:05-0600',mode:absolute,to:'2016-10-22 17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7" s="52" t="str">
        <f t="shared" si="25"/>
        <v>N</v>
      </c>
      <c r="X107" s="171">
        <f t="shared" si="26"/>
        <v>1</v>
      </c>
      <c r="Y107" s="67">
        <f t="shared" si="27"/>
        <v>23.3032</v>
      </c>
      <c r="Z107" s="67">
        <f t="shared" si="28"/>
        <v>1.4999999999999999E-2</v>
      </c>
      <c r="AA107" s="67">
        <f t="shared" si="29"/>
        <v>23.2882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0"/>
        <v>0194-22</v>
      </c>
      <c r="AE107" s="91" t="str">
        <f t="shared" si="31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107" s="88" t="str">
        <f t="shared" si="32"/>
        <v>"C:\Program Files (x86)\AstroGrep\AstroGrep.exe" /spath="%USERPROFILE%\AppData\Local\Temp\OnboardLogs" /stypes="app*4043*20161022*"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194-22 --locoid 4043 --swversion DE.1.0.7.0 --startMP 204:233032 --initTime 2016-10-22T16:04:05 --startdatetime 2016-10-22T16:13:24 --delay 1 --endMP 204:150 --enddatetime 2016-10-22T16:54:03 --enforcementcount 0 &gt;&gt;C:\Users\stu\Documents\GitHub\eaglep3-reporting\EC\2016-10-22-refined-times.txt</v>
      </c>
      <c r="AI10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{"issue":{"subject":"","project_id":79,"tracker_id":40,"status_id":1,"priority_id":2,"assigned_to_id":23,"start_date":"2016-10-22","description":"","custom_fields":[{"id":1,"name":"Subdivision","value":"EC"},{"id":4,"name":"Milepost","value":"0.015"},{"id":17,"name":"Train ID","value":"194-22"},{"id":16,"name":"Locomotive ID","value":"4043"},{"id":130,"name":"Impact","value":""},{"id":150,"name":"Time of Event (Mountain Time)","value":"16:54:03"},{"id":151,"name":"Denver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552</v>
      </c>
      <c r="B108" s="7">
        <v>4011</v>
      </c>
      <c r="C108" s="22" t="s">
        <v>99</v>
      </c>
      <c r="D108" s="22" t="s">
        <v>228</v>
      </c>
      <c r="E108" s="13">
        <v>42665.641261574077</v>
      </c>
      <c r="F108" s="13">
        <v>42665.648182870369</v>
      </c>
      <c r="G108" s="7">
        <v>1</v>
      </c>
      <c r="H108" s="13" t="s">
        <v>655</v>
      </c>
      <c r="I108" s="13">
        <v>42665.674166666664</v>
      </c>
      <c r="J108" s="7">
        <v>0</v>
      </c>
      <c r="K108" s="112" t="str">
        <f t="shared" si="19"/>
        <v>4011/4012</v>
      </c>
      <c r="L108" s="22" t="str">
        <f>VLOOKUP(A108,'Trips&amp;Operators'!$C$1:$E$10000,3,FALSE)</f>
        <v>BRUDER</v>
      </c>
      <c r="M108" s="6">
        <f t="shared" si="20"/>
        <v>2.5983796294895001E-2</v>
      </c>
      <c r="N108" s="7">
        <f t="shared" si="21"/>
        <v>37.416666664648801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14:23:25-0600',mode:absolute,to:'2016-10-22 17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8" s="52" t="str">
        <f t="shared" si="25"/>
        <v>N</v>
      </c>
      <c r="X108" s="171">
        <f t="shared" si="26"/>
        <v>1</v>
      </c>
      <c r="Y108" s="67">
        <f t="shared" si="27"/>
        <v>4.53E-2</v>
      </c>
      <c r="Z108" s="67">
        <f t="shared" si="28"/>
        <v>23.331399999999999</v>
      </c>
      <c r="AA108" s="67">
        <f t="shared" si="29"/>
        <v>23.286099999999998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0"/>
        <v>0195-22</v>
      </c>
      <c r="AE108" s="91" t="str">
        <f t="shared" si="31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08" s="88" t="str">
        <f t="shared" si="32"/>
        <v>"C:\Program Files (x86)\AstroGrep\AstroGrep.exe" /spath="%USERPROFILE%\AppData\Local\Temp\OnboardLogs" /stypes="app*4011*20161022*" /stext=" 22:.+((SYSTEM_STATE.+slice.+state.+changed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195-22 --locoid 4011 --swversion DE.1.0.7.0 --startMP 204:453 --initTime 2016-10-22T15:23:25 --startdatetime 2016-10-22T15:33:23 --delay 1 --endMP 204:233314 --enddatetime 2016-10-22T16:10:48 --enforcementcount 0 &gt;&gt;C:\Users\stu\Documents\GitHub\eaglep3-reporting\EC\2016-10-22-refined-times.txt</v>
      </c>
      <c r="AI10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{"issue":{"subject":"","project_id":79,"tracker_id":40,"status_id":1,"priority_id":2,"assigned_to_id":23,"start_date":"2016-10-22","description":"","custom_fields":[{"id":1,"name":"Subdivision","value":"EC"},{"id":4,"name":"Milepost","value":"23.3314"},{"id":17,"name":"Train ID","value":"195-22"},{"id":16,"name":"Locomotive ID","value":"4011"},{"id":130,"name":"Impact","value":""},{"id":150,"name":"Time of Event (Mountain Time)","value":"16:10:48"},{"id":151,"name":"Denver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558</v>
      </c>
      <c r="B109" s="7">
        <v>4012</v>
      </c>
      <c r="C109" s="22" t="s">
        <v>99</v>
      </c>
      <c r="D109" s="22" t="s">
        <v>281</v>
      </c>
      <c r="E109" s="13">
        <v>42665.680775462963</v>
      </c>
      <c r="F109" s="13">
        <v>42665.686284722222</v>
      </c>
      <c r="G109" s="7">
        <v>1</v>
      </c>
      <c r="H109" s="13" t="s">
        <v>714</v>
      </c>
      <c r="I109" s="13">
        <v>42665.713900462964</v>
      </c>
      <c r="J109" s="7">
        <v>0</v>
      </c>
      <c r="K109" s="112" t="str">
        <f t="shared" si="19"/>
        <v>4011/4012</v>
      </c>
      <c r="L109" s="22" t="str">
        <f>VLOOKUP(A109,'Trips&amp;Operators'!$C$1:$E$10000,3,FALSE)</f>
        <v>BRUDER</v>
      </c>
      <c r="M109" s="6">
        <f t="shared" si="20"/>
        <v>2.7615740742476191E-2</v>
      </c>
      <c r="N109" s="7">
        <f t="shared" si="21"/>
        <v>39.766666669165716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15:20:19-0600',mode:absolute,to:'2016-10-22 18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9" s="52" t="str">
        <f t="shared" si="25"/>
        <v>N</v>
      </c>
      <c r="X109" s="171">
        <f t="shared" si="26"/>
        <v>1</v>
      </c>
      <c r="Y109" s="67">
        <f t="shared" si="27"/>
        <v>23.2986</v>
      </c>
      <c r="Z109" s="67">
        <f t="shared" si="28"/>
        <v>1.78E-2</v>
      </c>
      <c r="AA109" s="67">
        <f t="shared" si="29"/>
        <v>23.280799999999999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0"/>
        <v>0196-22</v>
      </c>
      <c r="AE109" s="91" t="str">
        <f t="shared" si="31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109" s="88" t="str">
        <f t="shared" si="32"/>
        <v>"C:\Program Files (x86)\AstroGrep\AstroGrep.exe" /spath="%USERPROFILE%\AppData\Local\Temp\OnboardLogs" /stypes="app*4012*20161022*"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196-22 --locoid 4012 --swversion DE.1.0.7.0 --startMP 204:232986 --initTime 2016-10-22T16:20:19 --startdatetime 2016-10-22T16:28:15 --delay 1 --endMP 204:178 --enddatetime 2016-10-22T17:08:01 --enforcementcount 0 &gt;&gt;C:\Users\stu\Documents\GitHub\eaglep3-reporting\EC\2016-10-22-refined-times.txt</v>
      </c>
      <c r="AI10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{"issue":{"subject":"","project_id":79,"tracker_id":40,"status_id":1,"priority_id":2,"assigned_to_id":23,"start_date":"2016-10-22","description":"","custom_fields":[{"id":1,"name":"Subdivision","value":"EC"},{"id":4,"name":"Milepost","value":"0.0178"},{"id":17,"name":"Train ID","value":"196-22"},{"id":16,"name":"Locomotive ID","value":"4012"},{"id":130,"name":"Impact","value":""},{"id":150,"name":"Time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554</v>
      </c>
      <c r="B110" s="7">
        <v>4029</v>
      </c>
      <c r="C110" s="22" t="s">
        <v>99</v>
      </c>
      <c r="D110" s="22" t="s">
        <v>389</v>
      </c>
      <c r="E110" s="13">
        <v>42665.654999999999</v>
      </c>
      <c r="F110" s="13">
        <v>42665.656712962962</v>
      </c>
      <c r="G110" s="7">
        <v>1</v>
      </c>
      <c r="H110" s="13" t="s">
        <v>402</v>
      </c>
      <c r="I110" s="13">
        <v>42665.682708333334</v>
      </c>
      <c r="J110" s="7">
        <v>0</v>
      </c>
      <c r="K110" s="112" t="str">
        <f t="shared" si="19"/>
        <v>4029/4030</v>
      </c>
      <c r="L110" s="22" t="str">
        <f>VLOOKUP(A110,'Trips&amp;Operators'!$C$1:$E$10000,3,FALSE)</f>
        <v>HAITHCOX</v>
      </c>
      <c r="M110" s="6">
        <f t="shared" si="20"/>
        <v>2.5995370371674653E-2</v>
      </c>
      <c r="N110" s="7">
        <f t="shared" si="21"/>
        <v>37.433333335211501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14:43:12-0600',mode:absolute,to:'2016-10-22 17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0" s="52" t="str">
        <f t="shared" si="25"/>
        <v>N</v>
      </c>
      <c r="X110" s="171">
        <f t="shared" si="26"/>
        <v>1</v>
      </c>
      <c r="Y110" s="67">
        <f t="shared" si="27"/>
        <v>4.4200000000000003E-2</v>
      </c>
      <c r="Z110" s="67">
        <f t="shared" si="28"/>
        <v>23.3306</v>
      </c>
      <c r="AA110" s="67">
        <f t="shared" si="29"/>
        <v>23.2864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0"/>
        <v>0197-22</v>
      </c>
      <c r="AE110" s="91" t="str">
        <f t="shared" si="31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110" s="88" t="str">
        <f t="shared" si="32"/>
        <v>"C:\Program Files (x86)\AstroGrep\AstroGrep.exe" /spath="%USERPROFILE%\AppData\Local\Temp\OnboardLogs" /stypes="app*4029*20161022*" /stext=" 22:.+((SYSTEM_STATE.+slice.+state.+changed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197-22 --locoid 4029 --swversion DE.1.0.7.0 --startMP 204:442 --initTime 2016-10-22T15:43:12 --startdatetime 2016-10-22T15:45:40 --delay 1 --endMP 204:233306 --enddatetime 2016-10-22T16:23:06 --enforcementcount 0 &gt;&gt;C:\Users\stu\Documents\GitHub\eaglep3-reporting\EC\2016-10-22-refined-times.txt</v>
      </c>
      <c r="AI11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{"issue":{"subject":"","project_id":79,"tracker_id":40,"status_id":1,"priority_id":2,"assigned_to_id":23,"start_date":"2016-10-22","description":"","custom_fields":[{"id":1,"name":"Subdivision","value":"EC"},{"id":4,"name":"Milepost","value":"23.3306"},{"id":17,"name":"Train ID","value":"197-22"},{"id":16,"name":"Locomotive ID","value":"4029"},{"id":130,"name":"Impact","value":""},{"id":150,"name":"Time of Event (Mountain Time)","value":"16:23:06"},{"id":151,"name":"Denver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559</v>
      </c>
      <c r="B111" s="7">
        <v>4030</v>
      </c>
      <c r="C111" s="22" t="s">
        <v>99</v>
      </c>
      <c r="D111" s="22" t="s">
        <v>257</v>
      </c>
      <c r="E111" s="13">
        <v>42665.691643518519</v>
      </c>
      <c r="F111" s="13">
        <v>42665.693865740737</v>
      </c>
      <c r="G111" s="7">
        <v>3</v>
      </c>
      <c r="H111" s="13" t="s">
        <v>703</v>
      </c>
      <c r="I111" s="13">
        <v>42665.711539351854</v>
      </c>
      <c r="J111" s="7">
        <v>0</v>
      </c>
      <c r="K111" s="112" t="str">
        <f t="shared" si="19"/>
        <v>4029/4030</v>
      </c>
      <c r="L111" s="22" t="str">
        <f>VLOOKUP(A111,'Trips&amp;Operators'!$C$1:$E$10000,3,FALSE)</f>
        <v>HAITHCOX</v>
      </c>
      <c r="M111" s="6">
        <f t="shared" si="20"/>
        <v>1.7673611117061228E-2</v>
      </c>
      <c r="N111" s="7"/>
      <c r="O111" s="7"/>
      <c r="P111" s="7">
        <f t="shared" si="21"/>
        <v>25.450000008568168</v>
      </c>
      <c r="Q111" s="23"/>
      <c r="R111" s="23" t="s">
        <v>763</v>
      </c>
      <c r="S111" s="35">
        <f t="shared" si="22"/>
        <v>0.16666666666666666</v>
      </c>
      <c r="T111" s="50" t="str">
        <f t="shared" si="23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15:35:58-0600',mode:absolute,to:'2016-10-22 18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52" t="str">
        <f t="shared" si="25"/>
        <v>Y</v>
      </c>
      <c r="X111" s="171">
        <f t="shared" si="26"/>
        <v>1</v>
      </c>
      <c r="Y111" s="67">
        <f t="shared" si="27"/>
        <v>23.299399999999999</v>
      </c>
      <c r="Z111" s="67">
        <f t="shared" si="28"/>
        <v>8.0396000000000001</v>
      </c>
      <c r="AA111" s="67">
        <f t="shared" si="29"/>
        <v>15.259799999999998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0"/>
        <v>0198-22</v>
      </c>
      <c r="AE111" s="91" t="str">
        <f t="shared" si="31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111" s="88" t="str">
        <f t="shared" si="32"/>
        <v>"C:\Program Files (x86)\AstroGrep\AstroGrep.exe" /spath="%USERPROFILE%\AppData\Local\Temp\OnboardLogs" /stypes="app*4030*20161022*"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198-22 --locoid 4030 --swversion DE.1.0.7.0 --startMP 204:232994 --initTime 2016-10-22T16:35:58 --startdatetime 2016-10-22T16:39:10 --delay 3 --endMP 204:80396 --enddatetime 2016-10-22T17:04:37 --enforcementcount 0 &gt;&gt;C:\Users\stu\Documents\GitHub\eaglep3-reporting\EC\2016-10-22-refined-times.txt</v>
      </c>
      <c r="AI111" s="122" t="str">
        <f t="shared" si="35"/>
        <v>echo {"issue":{"subject":"Onboard in-route failure","project_id":79,"tracker_id":40,"status_id":1,"priority_id":2,"assigned_to_id":23,"start_date":"2016-10-22","description":"Slices fought for primary around 17:05","custom_fields":[{"id":1,"name":"Subdivision","value":"EC"},{"id":4,"name":"Milepost","value":"8.0396"},{"id":17,"name":"Train ID","value":"198-22"},{"id":16,"name":"Locomotive ID","value":"4030"},{"id":130,"name":"Impact","value":"Failed State"},{"id":150,"name":"Time of Event (Mountain Time)","value":"17:04:37"},{"id":151,"name":"Denver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1" s="53" t="s">
        <v>771</v>
      </c>
      <c r="AK111" s="53" t="s">
        <v>129</v>
      </c>
      <c r="AL111" s="53" t="s">
        <v>179</v>
      </c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433</v>
      </c>
      <c r="B112" s="7">
        <v>4053</v>
      </c>
      <c r="C112" s="22" t="s">
        <v>99</v>
      </c>
      <c r="D112" s="22" t="s">
        <v>230</v>
      </c>
      <c r="E112" s="13">
        <v>42665.664479166669</v>
      </c>
      <c r="F112" s="13">
        <v>42665.667129629626</v>
      </c>
      <c r="G112" s="7">
        <v>1</v>
      </c>
      <c r="H112" s="13" t="s">
        <v>715</v>
      </c>
      <c r="I112" s="13">
        <v>42665.693344907406</v>
      </c>
      <c r="J112" s="7">
        <v>0</v>
      </c>
      <c r="K112" s="112" t="str">
        <f t="shared" si="19"/>
        <v>4053/4054</v>
      </c>
      <c r="L112" s="22" t="str">
        <f>VLOOKUP(A112,'Trips&amp;Operators'!$C$1:$E$10000,3,FALSE)</f>
        <v>STORY</v>
      </c>
      <c r="M112" s="6">
        <f t="shared" si="20"/>
        <v>2.6215277779556345E-2</v>
      </c>
      <c r="N112" s="7">
        <f t="shared" si="21"/>
        <v>37.750000002561137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14:56:51-0600',mode:absolute,to:'2016-10-22 17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2" s="52" t="str">
        <f t="shared" si="25"/>
        <v>N</v>
      </c>
      <c r="X112" s="171">
        <f t="shared" si="26"/>
        <v>1</v>
      </c>
      <c r="Y112" s="67">
        <f t="shared" si="27"/>
        <v>4.6399999999999997E-2</v>
      </c>
      <c r="Z112" s="67">
        <f t="shared" si="28"/>
        <v>23.330300000000001</v>
      </c>
      <c r="AA112" s="67">
        <f t="shared" si="29"/>
        <v>23.283900000000003</v>
      </c>
      <c r="AB112" s="64" t="str">
        <f>VLOOKUP(A112,Enforcements!$C$7:$K$21,8,0)</f>
        <v>Speed (6)</v>
      </c>
      <c r="AC112" s="60" t="str">
        <f>VLOOKUP(A112,Enforcements!$C$7:$E$21,3,0)</f>
        <v>PERMANENT SPEED RESTRICTION</v>
      </c>
      <c r="AD112" s="61" t="str">
        <f t="shared" si="30"/>
        <v>0199-22</v>
      </c>
      <c r="AE112" s="91" t="str">
        <f t="shared" si="31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12" s="88" t="str">
        <f t="shared" si="32"/>
        <v>"C:\Program Files (x86)\AstroGrep\AstroGrep.exe" /spath="%USERPROFILE%\AppData\Local\Temp\OnboardLogs" /stypes="app*4053*20161022*" /stext=" 22:.+((SYSTEM_STATE.+slice.+state.+changed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199-22 --locoid 4053 --swversion DE.1.0.7.0 --startMP 204:464 --initTime 2016-10-22T15:56:51 --startdatetime 2016-10-22T16:00:40 --delay 1 --endMP 204:233303 --enddatetime 2016-10-22T16:38:25 --enforcementcount 0 &gt;&gt;C:\Users\stu\Documents\GitHub\eaglep3-reporting\EC\2016-10-22-refined-times.txt</v>
      </c>
      <c r="AI11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{"issue":{"subject":"","project_id":79,"tracker_id":40,"status_id":1,"priority_id":2,"assigned_to_id":23,"start_date":"2016-10-22","description":"","custom_fields":[{"id":1,"name":"Subdivision","value":"EC"},{"id":4,"name":"Milepost","value":"23.3303"},{"id":17,"name":"Train ID","value":"199-22"},{"id":16,"name":"Locomotive ID","value":"4053"},{"id":130,"name":"Impact","value":""},{"id":150,"name":"Time of Event (Mountain Time)","value":"16:38:25"},{"id":151,"name":"Denver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562</v>
      </c>
      <c r="B113" s="7">
        <v>4054</v>
      </c>
      <c r="C113" s="22" t="s">
        <v>99</v>
      </c>
      <c r="D113" s="22" t="s">
        <v>399</v>
      </c>
      <c r="E113" s="13">
        <v>42665.703634259262</v>
      </c>
      <c r="F113" s="13">
        <v>42665.705995370372</v>
      </c>
      <c r="G113" s="7">
        <v>1</v>
      </c>
      <c r="H113" s="13" t="s">
        <v>716</v>
      </c>
      <c r="I113" s="13">
        <v>42665.735520833332</v>
      </c>
      <c r="J113" s="7">
        <v>0</v>
      </c>
      <c r="K113" s="112" t="str">
        <f t="shared" si="19"/>
        <v>4053/4054</v>
      </c>
      <c r="L113" s="22" t="str">
        <f>VLOOKUP(A113,'Trips&amp;Operators'!$C$1:$E$10000,3,FALSE)</f>
        <v>STORY</v>
      </c>
      <c r="M113" s="6">
        <f t="shared" si="20"/>
        <v>2.9525462960009463E-2</v>
      </c>
      <c r="N113" s="7">
        <f t="shared" si="21"/>
        <v>42.516666662413627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15:53:14-0600',mode:absolute,to:'2016-10-22 18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3" s="52" t="str">
        <f t="shared" si="25"/>
        <v>N</v>
      </c>
      <c r="X113" s="171">
        <f t="shared" si="26"/>
        <v>1</v>
      </c>
      <c r="Y113" s="67">
        <f t="shared" si="27"/>
        <v>23.296900000000001</v>
      </c>
      <c r="Z113" s="67">
        <f t="shared" si="28"/>
        <v>1.8100000000000002E-2</v>
      </c>
      <c r="AA113" s="67">
        <f t="shared" si="29"/>
        <v>23.2788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0"/>
        <v>0200-22</v>
      </c>
      <c r="AE113" s="91" t="str">
        <f t="shared" si="31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113" s="88" t="str">
        <f t="shared" si="32"/>
        <v>"C:\Program Files (x86)\AstroGrep\AstroGrep.exe" /spath="%USERPROFILE%\AppData\Local\Temp\OnboardLogs" /stypes="app*4054*20161022*"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200-22 --locoid 4054 --swversion DE.1.0.7.0 --startMP 204:232969 --initTime 2016-10-22T16:53:14 --startdatetime 2016-10-22T16:56:38 --delay 1 --endMP 204:181 --enddatetime 2016-10-22T17:39:09 --enforcementcount 0 &gt;&gt;C:\Users\stu\Documents\GitHub\eaglep3-reporting\EC\2016-10-22-refined-times.txt</v>
      </c>
      <c r="AI11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{"issue":{"subject":"","project_id":79,"tracker_id":40,"status_id":1,"priority_id":2,"assigned_to_id":23,"start_date":"2016-10-22","description":"","custom_fields":[{"id":1,"name":"Subdivision","value":"EC"},{"id":4,"name":"Milepost","value":"0.0181"},{"id":17,"name":"Train ID","value":"200-22"},{"id":16,"name":"Locomotive ID","value":"4054"},{"id":130,"name":"Impact","value":""},{"id":150,"name":"Time of Event (Mountain Time)","value":"17:39:09"},{"id":151,"name":"Denver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556</v>
      </c>
      <c r="B114" s="7">
        <v>4031</v>
      </c>
      <c r="C114" s="22" t="s">
        <v>99</v>
      </c>
      <c r="D114" s="22" t="s">
        <v>238</v>
      </c>
      <c r="E114" s="13">
        <v>42665.674618055556</v>
      </c>
      <c r="F114" s="13">
        <v>42665.677395833336</v>
      </c>
      <c r="G114" s="7">
        <v>1</v>
      </c>
      <c r="H114" s="13" t="s">
        <v>195</v>
      </c>
      <c r="I114" s="13">
        <v>42665.703969907408</v>
      </c>
      <c r="J114" s="7">
        <v>0</v>
      </c>
      <c r="K114" s="112" t="str">
        <f t="shared" si="19"/>
        <v>4031/4032</v>
      </c>
      <c r="L114" s="22" t="str">
        <f>VLOOKUP(A114,'Trips&amp;Operators'!$C$1:$E$10000,3,FALSE)</f>
        <v>STEWART</v>
      </c>
      <c r="M114" s="6">
        <f t="shared" si="20"/>
        <v>2.6574074072414078E-2</v>
      </c>
      <c r="N114" s="7">
        <f t="shared" si="21"/>
        <v>38.266666664276272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15:11:27-0600',mode:absolute,to:'2016-10-22 17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4" s="52" t="str">
        <f t="shared" si="25"/>
        <v>N</v>
      </c>
      <c r="X114" s="171">
        <f t="shared" si="26"/>
        <v>1</v>
      </c>
      <c r="Y114" s="67">
        <f t="shared" si="27"/>
        <v>4.5999999999999999E-2</v>
      </c>
      <c r="Z114" s="67">
        <f t="shared" si="28"/>
        <v>23.329699999999999</v>
      </c>
      <c r="AA114" s="67">
        <f t="shared" si="29"/>
        <v>23.2837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0"/>
        <v>0201-22</v>
      </c>
      <c r="AE114" s="91" t="str">
        <f t="shared" si="31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114" s="88" t="str">
        <f t="shared" si="32"/>
        <v>"C:\Program Files (x86)\AstroGrep\AstroGrep.exe" /spath="%USERPROFILE%\AppData\Local\Temp\OnboardLogs" /stypes="app*4031*20161022*" /stext=" 22:.+((SYSTEM_STATE.+slice.+state.+changed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201-22 --locoid 4031 --swversion DE.1.0.7.0 --startMP 204:460 --initTime 2016-10-22T16:11:27 --startdatetime 2016-10-22T16:15:27 --delay 1 --endMP 204:233297 --enddatetime 2016-10-22T16:53:43 --enforcementcount 0 &gt;&gt;C:\Users\stu\Documents\GitHub\eaglep3-reporting\EC\2016-10-22-refined-times.txt</v>
      </c>
      <c r="AI11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{"issue":{"subject":"","project_id":79,"tracker_id":40,"status_id":1,"priority_id":2,"assigned_to_id":23,"start_date":"2016-10-22","description":"","custom_fields":[{"id":1,"name":"Subdivision","value":"EC"},{"id":4,"name":"Milepost","value":"23.3297"},{"id":17,"name":"Train ID","value":"201-22"},{"id":16,"name":"Locomotive ID","value":"4031"},{"id":130,"name":"Impact","value":""},{"id":150,"name":"Time of Event (Mountain Time)","value":"16:53:43"},{"id":151,"name":"Denver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564</v>
      </c>
      <c r="B115" s="7">
        <v>4032</v>
      </c>
      <c r="C115" s="22" t="s">
        <v>99</v>
      </c>
      <c r="D115" s="22" t="s">
        <v>704</v>
      </c>
      <c r="E115" s="13">
        <v>42665.712164351855</v>
      </c>
      <c r="F115" s="13">
        <v>42665.716284722221</v>
      </c>
      <c r="G115" s="7">
        <v>1</v>
      </c>
      <c r="H115" s="13" t="s">
        <v>279</v>
      </c>
      <c r="I115" s="13">
        <v>42665.747361111113</v>
      </c>
      <c r="J115" s="7">
        <v>0</v>
      </c>
      <c r="K115" s="112" t="str">
        <f t="shared" si="19"/>
        <v>4031/4032</v>
      </c>
      <c r="L115" s="22" t="str">
        <f>VLOOKUP(A115,'Trips&amp;Operators'!$C$1:$E$10000,3,FALSE)</f>
        <v>STEWART</v>
      </c>
      <c r="M115" s="6">
        <f t="shared" si="20"/>
        <v>3.107638889196096E-2</v>
      </c>
      <c r="N115" s="7">
        <f t="shared" si="21"/>
        <v>44.750000004423782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16:05:31-0600',mode:absolute,to:'2016-10-22 18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5" s="52" t="str">
        <f t="shared" si="25"/>
        <v>N</v>
      </c>
      <c r="X115" s="171">
        <f t="shared" si="26"/>
        <v>1</v>
      </c>
      <c r="Y115" s="67">
        <f t="shared" si="27"/>
        <v>23.297899999999998</v>
      </c>
      <c r="Z115" s="67">
        <f t="shared" si="28"/>
        <v>1.5800000000000002E-2</v>
      </c>
      <c r="AA115" s="67">
        <f t="shared" si="29"/>
        <v>23.2821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0"/>
        <v>0202-22</v>
      </c>
      <c r="AE115" s="91" t="str">
        <f t="shared" si="31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115" s="88" t="str">
        <f t="shared" si="32"/>
        <v>"C:\Program Files (x86)\AstroGrep\AstroGrep.exe" /spath="%USERPROFILE%\AppData\Local\Temp\OnboardLogs" /stypes="app*4032*20161022*"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202-22 --locoid 4032 --swversion DE.1.0.7.0 --startMP 204:232979 --initTime 2016-10-22T17:05:31 --startdatetime 2016-10-22T17:11:27 --delay 1 --endMP 204:158 --enddatetime 2016-10-22T17:56:12 --enforcementcount 0 &gt;&gt;C:\Users\stu\Documents\GitHub\eaglep3-reporting\EC\2016-10-22-refined-times.txt</v>
      </c>
      <c r="AI11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ID","value":"202-22"},{"id":16,"name":"Locomotive ID","value":"4032"},{"id":130,"name":"Impact","value":""},{"id":150,"name":"Time of Event (Mountain Time)","value":"17:56:12"},{"id":151,"name":"Denver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435</v>
      </c>
      <c r="B116" s="7">
        <v>4038</v>
      </c>
      <c r="C116" s="22" t="s">
        <v>99</v>
      </c>
      <c r="D116" s="22" t="s">
        <v>392</v>
      </c>
      <c r="E116" s="13">
        <v>42665.684687499997</v>
      </c>
      <c r="F116" s="13">
        <v>42665.687997685185</v>
      </c>
      <c r="G116" s="7">
        <v>1</v>
      </c>
      <c r="H116" s="13" t="s">
        <v>717</v>
      </c>
      <c r="I116" s="13">
        <v>42665.713761574072</v>
      </c>
      <c r="J116" s="7">
        <v>0</v>
      </c>
      <c r="K116" s="112" t="str">
        <f t="shared" si="19"/>
        <v>4037/4038</v>
      </c>
      <c r="L116" s="22" t="str">
        <f>VLOOKUP(A116,'Trips&amp;Operators'!$C$1:$E$10000,3,FALSE)</f>
        <v>BARTLETT</v>
      </c>
      <c r="M116" s="6">
        <f t="shared" si="20"/>
        <v>2.5763888887013309E-2</v>
      </c>
      <c r="N116" s="7">
        <f t="shared" si="21"/>
        <v>37.099999997299165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15:25:57-0600',mode:absolute,to:'2016-10-22 18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6" s="52" t="str">
        <f t="shared" si="25"/>
        <v>N</v>
      </c>
      <c r="X116" s="171">
        <f t="shared" si="26"/>
        <v>1</v>
      </c>
      <c r="Y116" s="67">
        <f t="shared" si="27"/>
        <v>4.7800000000000002E-2</v>
      </c>
      <c r="Z116" s="67">
        <f t="shared" si="28"/>
        <v>23.338699999999999</v>
      </c>
      <c r="AA116" s="67">
        <f t="shared" si="29"/>
        <v>23.290900000000001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0"/>
        <v>0203-22</v>
      </c>
      <c r="AE116" s="91" t="str">
        <f t="shared" si="31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16" s="88" t="str">
        <f t="shared" si="32"/>
        <v>"C:\Program Files (x86)\AstroGrep\AstroGrep.exe" /spath="%USERPROFILE%\AppData\Local\Temp\OnboardLogs" /stypes="app*4038*20161022*" /stext=" 23:.+((SYSTEM_STATE.+slice.+state.+changed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203-22 --locoid 4038 --swversion DE.1.0.7.0 --startMP 204:478 --initTime 2016-10-22T16:25:57 --startdatetime 2016-10-22T16:30:43 --delay 1 --endMP 204:233387 --enddatetime 2016-10-22T17:07:49 --enforcementcount 0 &gt;&gt;C:\Users\stu\Documents\GitHub\eaglep3-reporting\EC\2016-10-22-refined-times.txt</v>
      </c>
      <c r="AI11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{"issue":{"subject":"","project_id":79,"tracker_id":40,"status_id":1,"priority_id":2,"assigned_to_id":23,"start_date":"2016-10-22","description":"","custom_fields":[{"id":1,"name":"Subdivision","value":"EC"},{"id":4,"name":"Milepost","value":"23.3387"},{"id":17,"name":"Train ID","value":"203-22"},{"id":16,"name":"Locomotive ID","value":"4038"},{"id":130,"name":"Impact","value":""},{"id":150,"name":"Time of Event (Mountain Time)","value":"17:07:49"},{"id":151,"name":"Denver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566</v>
      </c>
      <c r="B117" s="7">
        <v>4037</v>
      </c>
      <c r="C117" s="22" t="s">
        <v>99</v>
      </c>
      <c r="D117" s="22" t="s">
        <v>718</v>
      </c>
      <c r="E117" s="13">
        <v>42665.716041666667</v>
      </c>
      <c r="F117" s="13">
        <v>42665.726747685185</v>
      </c>
      <c r="G117" s="7">
        <v>0</v>
      </c>
      <c r="H117" s="13" t="s">
        <v>176</v>
      </c>
      <c r="I117" s="13">
        <v>42665.754965277774</v>
      </c>
      <c r="J117" s="7">
        <v>0</v>
      </c>
      <c r="K117" s="112" t="str">
        <f t="shared" si="19"/>
        <v>4037/4038</v>
      </c>
      <c r="L117" s="22" t="str">
        <f>VLOOKUP(A117,'Trips&amp;Operators'!$C$1:$E$10000,3,FALSE)</f>
        <v>BARTLETT</v>
      </c>
      <c r="M117" s="6">
        <f t="shared" si="20"/>
        <v>2.8217592589498963E-2</v>
      </c>
      <c r="N117" s="7">
        <f t="shared" si="21"/>
        <v>40.633333328878507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16:11:06-0600',mode:absolute,to:'2016-10-22 19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7" s="52" t="str">
        <f t="shared" si="25"/>
        <v>N</v>
      </c>
      <c r="X117" s="171">
        <f t="shared" si="26"/>
        <v>1</v>
      </c>
      <c r="Y117" s="67">
        <f t="shared" si="27"/>
        <v>23.304400000000001</v>
      </c>
      <c r="Z117" s="67">
        <f t="shared" si="28"/>
        <v>1.47E-2</v>
      </c>
      <c r="AA117" s="67">
        <f t="shared" si="29"/>
        <v>23.2897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0"/>
        <v>0204-22</v>
      </c>
      <c r="AE117" s="91" t="str">
        <f t="shared" si="31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117" s="88" t="str">
        <f t="shared" si="32"/>
        <v>"C:\Program Files (x86)\AstroGrep\AstroGrep.exe" /spath="%USERPROFILE%\AppData\Local\Temp\OnboardLogs" /stypes="app*4037*20161023*"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204-22 --locoid 4037 --swversion DE.1.0.7.0 --startMP 204:233044 --initTime 2016-10-22T17:11:06 --startdatetime 2016-10-22T17:26:31 --delay 0 --endMP 204:147 --enddatetime 2016-10-22T18:07:09 --enforcementcount 0 &gt;&gt;C:\Users\stu\Documents\GitHub\eaglep3-reporting\EC\2016-10-22-refined-times.txt</v>
      </c>
      <c r="AI11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{"issue":{"subject":"","project_id":79,"tracker_id":40,"status_id":1,"priority_id":2,"assigned_to_id":23,"start_date":"2016-10-22","description":"","custom_fields":[{"id":1,"name":"Subdivision","value":"EC"},{"id":4,"name":"Milepost","value":"0.0147"},{"id":17,"name":"Train ID","value":"204-22"},{"id":16,"name":"Locomotive ID","value":"4037"},{"id":130,"name":"Impact","value":""},{"id":150,"name":"Time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561</v>
      </c>
      <c r="B118" s="7">
        <v>4042</v>
      </c>
      <c r="C118" s="22" t="s">
        <v>99</v>
      </c>
      <c r="D118" s="22" t="s">
        <v>719</v>
      </c>
      <c r="E118" s="13">
        <v>42665.698194444441</v>
      </c>
      <c r="F118" s="13">
        <v>42665.700231481482</v>
      </c>
      <c r="G118" s="7">
        <v>1</v>
      </c>
      <c r="H118" s="13" t="s">
        <v>720</v>
      </c>
      <c r="I118" s="13">
        <v>42665.725983796299</v>
      </c>
      <c r="J118" s="7">
        <v>0</v>
      </c>
      <c r="K118" s="112" t="str">
        <f t="shared" si="19"/>
        <v>4041/4042</v>
      </c>
      <c r="L118" s="22" t="str">
        <f>VLOOKUP(A118,'Trips&amp;Operators'!$C$1:$E$10000,3,FALSE)</f>
        <v>MOSES</v>
      </c>
      <c r="M118" s="6">
        <f t="shared" si="20"/>
        <v>2.5752314817509614E-2</v>
      </c>
      <c r="N118" s="7">
        <f t="shared" si="21"/>
        <v>37.083333337213844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15:45:24-0600',mode:absolute,to:'2016-10-22 18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52" t="str">
        <f t="shared" si="25"/>
        <v>N</v>
      </c>
      <c r="X118" s="171">
        <f t="shared" si="26"/>
        <v>1</v>
      </c>
      <c r="Y118" s="67">
        <f t="shared" si="27"/>
        <v>5.0900000000000001E-2</v>
      </c>
      <c r="Z118" s="67">
        <f t="shared" si="28"/>
        <v>23.3338</v>
      </c>
      <c r="AA118" s="67">
        <f t="shared" si="29"/>
        <v>23.282900000000001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0"/>
        <v>0205-22</v>
      </c>
      <c r="AE118" s="91" t="str">
        <f t="shared" si="31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18" s="88" t="str">
        <f t="shared" si="32"/>
        <v>"C:\Program Files (x86)\AstroGrep\AstroGrep.exe" /spath="%USERPROFILE%\AppData\Local\Temp\OnboardLogs" /stypes="app*4042*20161022*" /stext=" 23:.+((SYSTEM_STATE.+slice.+state.+changed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205-22 --locoid 4042 --swversion DE.1.0.7.0 --startMP 204:509 --initTime 2016-10-22T16:45:24 --startdatetime 2016-10-22T16:48:20 --delay 1 --endMP 204:233338 --enddatetime 2016-10-22T17:25:25 --enforcementcount 0 &gt;&gt;C:\Users\stu\Documents\GitHub\eaglep3-reporting\EC\2016-10-22-refined-times.txt</v>
      </c>
      <c r="AI11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{"issue":{"subject":"","project_id":79,"tracker_id":40,"status_id":1,"priority_id":2,"assigned_to_id":23,"start_date":"2016-10-22","description":"","custom_fields":[{"id":1,"name":"Subdivision","value":"EC"},{"id":4,"name":"Milepost","value":"23.3338"},{"id":17,"name":"Train ID","value":"205-22"},{"id":16,"name":"Locomotive ID","value":"4042"},{"id":130,"name":"Impact","value":""},{"id":150,"name":"Time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571</v>
      </c>
      <c r="B119" s="7">
        <v>4041</v>
      </c>
      <c r="C119" s="22" t="s">
        <v>99</v>
      </c>
      <c r="D119" s="22" t="s">
        <v>721</v>
      </c>
      <c r="E119" s="13">
        <v>42665.732939814814</v>
      </c>
      <c r="F119" s="13">
        <v>42665.737164351849</v>
      </c>
      <c r="G119" s="7">
        <v>1</v>
      </c>
      <c r="H119" s="13" t="s">
        <v>279</v>
      </c>
      <c r="I119" s="13">
        <v>42665.765775462962</v>
      </c>
      <c r="J119" s="7">
        <v>0</v>
      </c>
      <c r="K119" s="112" t="str">
        <f t="shared" si="19"/>
        <v>4041/4042</v>
      </c>
      <c r="L119" s="22" t="str">
        <f>VLOOKUP(A119,'Trips&amp;Operators'!$C$1:$E$10000,3,FALSE)</f>
        <v>MOSES</v>
      </c>
      <c r="M119" s="6">
        <f t="shared" si="20"/>
        <v>2.8611111112695653E-2</v>
      </c>
      <c r="N119" s="7">
        <f t="shared" si="21"/>
        <v>41.20000000228174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16:35:26-0600',mode:absolute,to:'2016-10-22 19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52" t="str">
        <f t="shared" si="25"/>
        <v>N</v>
      </c>
      <c r="X119" s="171">
        <f t="shared" si="26"/>
        <v>1</v>
      </c>
      <c r="Y119" s="67">
        <f t="shared" si="27"/>
        <v>23.303799999999999</v>
      </c>
      <c r="Z119" s="67">
        <f t="shared" si="28"/>
        <v>1.5800000000000002E-2</v>
      </c>
      <c r="AA119" s="67">
        <f t="shared" si="29"/>
        <v>23.288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0"/>
        <v>0206-22</v>
      </c>
      <c r="AE119" s="91" t="str">
        <f t="shared" si="31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119" s="88" t="str">
        <f t="shared" si="32"/>
        <v>"C:\Program Files (x86)\AstroGrep\AstroGrep.exe" /spath="%USERPROFILE%\AppData\Local\Temp\OnboardLogs" /stypes="app*4041*20161023*"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206-22 --locoid 4041 --swversion DE.1.0.7.0 --startMP 204:233038 --initTime 2016-10-22T17:35:26 --startdatetime 2016-10-22T17:41:31 --delay 1 --endMP 204:158 --enddatetime 2016-10-22T18:22:43 --enforcementcount 0 &gt;&gt;C:\Users\stu\Documents\GitHub\eaglep3-reporting\EC\2016-10-22-refined-times.txt</v>
      </c>
      <c r="AI11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ID","value":"206-22"},{"id":16,"name":"Locomotive ID","value":"4041"},{"id":130,"name":"Impact","value":""},{"id":150,"name":"Time of Event (Mountain Time)","value":"18:22:43"},{"id":151,"name":"Denver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563</v>
      </c>
      <c r="B120" s="7">
        <v>4044</v>
      </c>
      <c r="C120" s="22" t="s">
        <v>99</v>
      </c>
      <c r="D120" s="22" t="s">
        <v>231</v>
      </c>
      <c r="E120" s="13">
        <v>42665.705995370372</v>
      </c>
      <c r="F120" s="13">
        <v>42665.708518518521</v>
      </c>
      <c r="G120" s="7">
        <v>1</v>
      </c>
      <c r="H120" s="13" t="s">
        <v>722</v>
      </c>
      <c r="I120" s="13">
        <v>42665.735231481478</v>
      </c>
      <c r="J120" s="7">
        <v>0</v>
      </c>
      <c r="K120" s="112" t="str">
        <f t="shared" si="19"/>
        <v>4043/4044</v>
      </c>
      <c r="L120" s="22" t="str">
        <f>VLOOKUP(A120,'Trips&amp;Operators'!$C$1:$E$10000,3,FALSE)</f>
        <v>SHOOK</v>
      </c>
      <c r="M120" s="6">
        <f t="shared" si="20"/>
        <v>2.6712962957390118E-2</v>
      </c>
      <c r="N120" s="7">
        <f t="shared" si="21"/>
        <v>38.46666665864177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15:56:38-0600',mode:absolute,to:'2016-10-22 18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0" s="52" t="str">
        <f t="shared" si="25"/>
        <v>N</v>
      </c>
      <c r="X120" s="171">
        <f t="shared" si="26"/>
        <v>1</v>
      </c>
      <c r="Y120" s="67">
        <f t="shared" si="27"/>
        <v>4.5499999999999999E-2</v>
      </c>
      <c r="Z120" s="67">
        <f t="shared" si="28"/>
        <v>23.336200000000002</v>
      </c>
      <c r="AA120" s="67">
        <f t="shared" si="29"/>
        <v>23.290700000000001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0"/>
        <v>0207-22</v>
      </c>
      <c r="AE120" s="91" t="str">
        <f t="shared" si="31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120" s="88" t="str">
        <f t="shared" si="32"/>
        <v>"C:\Program Files (x86)\AstroGrep\AstroGrep.exe" /spath="%USERPROFILE%\AppData\Local\Temp\OnboardLogs" /stypes="app*4044*20161022*" /stext=" 23:.+((SYSTEM_STATE.+slice.+state.+changed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207-22 --locoid 4044 --swversion DE.1.0.7.0 --startMP 204:455 --initTime 2016-10-22T16:56:38 --startdatetime 2016-10-22T17:00:16 --delay 1 --endMP 204:233362 --enddatetime 2016-10-22T17:38:44 --enforcementcount 0 &gt;&gt;C:\Users\stu\Documents\GitHub\eaglep3-reporting\EC\2016-10-22-refined-times.txt</v>
      </c>
      <c r="AI12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{"issue":{"subject":"","project_id":79,"tracker_id":40,"status_id":1,"priority_id":2,"assigned_to_id":23,"start_date":"2016-10-22","description":"","custom_fields":[{"id":1,"name":"Subdivision","value":"EC"},{"id":4,"name":"Milepost","value":"23.3362"},{"id":17,"name":"Train ID","value":"207-22"},{"id":16,"name":"Locomotive ID","value":"4044"},{"id":130,"name":"Impact","value":""},{"id":150,"name":"Time of Event (Mountain Time)","value":"17:38:44"},{"id":151,"name":"Denver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573</v>
      </c>
      <c r="B121" s="7">
        <v>4043</v>
      </c>
      <c r="C121" s="22" t="s">
        <v>99</v>
      </c>
      <c r="D121" s="22" t="s">
        <v>324</v>
      </c>
      <c r="E121" s="13">
        <v>42665.742037037038</v>
      </c>
      <c r="F121" s="13">
        <v>42665.747349537036</v>
      </c>
      <c r="G121" s="7">
        <v>1</v>
      </c>
      <c r="H121" s="13" t="s">
        <v>723</v>
      </c>
      <c r="I121" s="13">
        <v>42665.783101851855</v>
      </c>
      <c r="J121" s="7">
        <v>0</v>
      </c>
      <c r="K121" s="112" t="str">
        <f t="shared" si="19"/>
        <v>4043/4044</v>
      </c>
      <c r="L121" s="22" t="str">
        <f>VLOOKUP(A121,'Trips&amp;Operators'!$C$1:$E$10000,3,FALSE)</f>
        <v>SHOOK</v>
      </c>
      <c r="M121" s="6">
        <f t="shared" si="20"/>
        <v>3.5752314819546882E-2</v>
      </c>
      <c r="N121" s="7">
        <f t="shared" si="21"/>
        <v>51.48333334014751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16:48:32-0600',mode:absolute,to:'2016-10-22 19:47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1" s="52" t="str">
        <f t="shared" si="25"/>
        <v>N</v>
      </c>
      <c r="X121" s="171">
        <f t="shared" si="26"/>
        <v>1</v>
      </c>
      <c r="Y121" s="67">
        <f t="shared" si="27"/>
        <v>23.301100000000002</v>
      </c>
      <c r="Z121" s="67">
        <f t="shared" si="28"/>
        <v>9.2399999999999996E-2</v>
      </c>
      <c r="AA121" s="67">
        <f t="shared" si="29"/>
        <v>23.2087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0"/>
        <v>0208-22</v>
      </c>
      <c r="AE121" s="91" t="str">
        <f t="shared" si="31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121" s="88" t="str">
        <f t="shared" si="32"/>
        <v>"C:\Program Files (x86)\AstroGrep\AstroGrep.exe" /spath="%USERPROFILE%\AppData\Local\Temp\OnboardLogs" /stypes="app*4043*20161023*"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208-22 --locoid 4043 --swversion DE.1.0.7.0 --startMP 204:233011 --initTime 2016-10-22T17:48:32 --startdatetime 2016-10-22T17:56:11 --delay 1 --endMP 204:924 --enddatetime 2016-10-22T18:47:40 --enforcementcount 0 &gt;&gt;C:\Users\stu\Documents\GitHub\eaglep3-reporting\EC\2016-10-22-refined-times.txt</v>
      </c>
      <c r="AI121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{"issue":{"subject":"","project_id":79,"tracker_id":40,"status_id":1,"priority_id":2,"assigned_to_id":23,"start_date":"2016-10-22","description":"","custom_fields":[{"id":1,"name":"Subdivision","value":"EC"},{"id":4,"name":"Milepost","value":"0.0924"},{"id":17,"name":"Train ID","value":"208-22"},{"id":16,"name":"Locomotive ID","value":"4043"},{"id":130,"name":"Impact","value":""},{"id":150,"name":"Time of Event (Mountain Time)","value":"18:47:40"},{"id":151,"name":"Denver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565</v>
      </c>
      <c r="B122" s="7">
        <v>4011</v>
      </c>
      <c r="C122" s="22" t="s">
        <v>99</v>
      </c>
      <c r="D122" s="22" t="s">
        <v>392</v>
      </c>
      <c r="E122" s="13">
        <v>42665.715289351851</v>
      </c>
      <c r="F122" s="13">
        <v>42665.718958333331</v>
      </c>
      <c r="G122" s="7">
        <v>1</v>
      </c>
      <c r="H122" s="13" t="s">
        <v>402</v>
      </c>
      <c r="I122" s="13">
        <v>42665.744780092595</v>
      </c>
      <c r="J122" s="7">
        <v>0</v>
      </c>
      <c r="K122" s="112" t="str">
        <f t="shared" si="19"/>
        <v>4011/4012</v>
      </c>
      <c r="L122" s="22" t="str">
        <f>VLOOKUP(A122,'Trips&amp;Operators'!$C$1:$E$10000,3,FALSE)</f>
        <v>BRUDER</v>
      </c>
      <c r="M122" s="6">
        <f t="shared" si="20"/>
        <v>2.5821759263635613E-2</v>
      </c>
      <c r="N122" s="7">
        <f t="shared" si="21"/>
        <v>37.183333339635283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16:10:01-0600',mode:absolute,to:'2016-10-22 18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2" s="52" t="str">
        <f t="shared" si="25"/>
        <v>N</v>
      </c>
      <c r="X122" s="171">
        <f t="shared" si="26"/>
        <v>1</v>
      </c>
      <c r="Y122" s="67">
        <f t="shared" si="27"/>
        <v>4.7800000000000002E-2</v>
      </c>
      <c r="Z122" s="67">
        <f t="shared" si="28"/>
        <v>23.3306</v>
      </c>
      <c r="AA122" s="67">
        <f t="shared" si="29"/>
        <v>23.282800000000002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0"/>
        <v>0209-22</v>
      </c>
      <c r="AE122" s="91" t="str">
        <f t="shared" si="31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22" s="88" t="str">
        <f t="shared" si="32"/>
        <v>"C:\Program Files (x86)\AstroGrep\AstroGrep.exe" /spath="%USERPROFILE%\AppData\Local\Temp\OnboardLogs" /stypes="app*4011*20161022*" /stext=" 23:.+((SYSTEM_STATE.+slice.+state.+changed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209-22 --locoid 4011 --swversion DE.1.0.7.0 --startMP 204:478 --initTime 2016-10-22T17:10:01 --startdatetime 2016-10-22T17:15:18 --delay 1 --endMP 204:233306 --enddatetime 2016-10-22T17:52:29 --enforcementcount 0 &gt;&gt;C:\Users\stu\Documents\GitHub\eaglep3-reporting\EC\2016-10-22-refined-times.txt</v>
      </c>
      <c r="AI12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{"issue":{"subject":"","project_id":79,"tracker_id":40,"status_id":1,"priority_id":2,"assigned_to_id":23,"start_date":"2016-10-22","description":"","custom_fields":[{"id":1,"name":"Subdivision","value":"EC"},{"id":4,"name":"Milepost","value":"23.3306"},{"id":17,"name":"Train ID","value":"209-22"},{"id":16,"name":"Locomotive ID","value":"4011"},{"id":130,"name":"Impact","value":""},{"id":150,"name":"Time of Event (Mountain Time)","value":"17:52:29"},{"id":151,"name":"Denver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574</v>
      </c>
      <c r="B123" s="7">
        <v>4012</v>
      </c>
      <c r="C123" s="22" t="s">
        <v>99</v>
      </c>
      <c r="D123" s="22" t="s">
        <v>319</v>
      </c>
      <c r="E123" s="13">
        <v>42665.751793981479</v>
      </c>
      <c r="F123" s="13">
        <v>42665.758067129631</v>
      </c>
      <c r="G123" s="7">
        <v>0</v>
      </c>
      <c r="H123" s="13" t="s">
        <v>264</v>
      </c>
      <c r="I123" s="13">
        <v>42665.785694444443</v>
      </c>
      <c r="J123" s="7">
        <v>0</v>
      </c>
      <c r="K123" s="112" t="str">
        <f t="shared" si="19"/>
        <v>4011/4012</v>
      </c>
      <c r="L123" s="22" t="str">
        <f>VLOOKUP(A123,'Trips&amp;Operators'!$C$1:$E$10000,3,FALSE)</f>
        <v>BRUDER</v>
      </c>
      <c r="M123" s="6">
        <f t="shared" si="20"/>
        <v>2.7627314811979886E-2</v>
      </c>
      <c r="N123" s="7">
        <f t="shared" si="21"/>
        <v>39.783333329251036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17:02:35-0600',mode:absolute,to:'2016-10-22 19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3" s="52" t="str">
        <f t="shared" si="25"/>
        <v>N</v>
      </c>
      <c r="X123" s="171">
        <f t="shared" si="26"/>
        <v>1</v>
      </c>
      <c r="Y123" s="67">
        <f t="shared" si="27"/>
        <v>23.299299999999999</v>
      </c>
      <c r="Z123" s="67">
        <f t="shared" si="28"/>
        <v>1.5599999999999999E-2</v>
      </c>
      <c r="AA123" s="67">
        <f t="shared" si="29"/>
        <v>23.2837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0"/>
        <v>0210-22</v>
      </c>
      <c r="AE123" s="91" t="str">
        <f t="shared" si="31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123" s="88" t="str">
        <f t="shared" si="32"/>
        <v>"C:\Program Files (x86)\AstroGrep\AstroGrep.exe" /spath="%USERPROFILE%\AppData\Local\Temp\OnboardLogs" /stypes="app*4012*20161023*"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210-22 --locoid 4012 --swversion DE.1.0.7.0 --startMP 204:232993 --initTime 2016-10-22T18:02:35 --startdatetime 2016-10-22T18:11:37 --delay 0 --endMP 204:156 --enddatetime 2016-10-22T18:51:24 --enforcementcount 0 &gt;&gt;C:\Users\stu\Documents\GitHub\eaglep3-reporting\EC\2016-10-22-refined-times.txt</v>
      </c>
      <c r="AI12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ID","value":"210-22"},{"id":16,"name":"Locomotive ID","value":"4012"},{"id":130,"name":"Impact","value":""},{"id":150,"name":"Time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568</v>
      </c>
      <c r="B124" s="7">
        <v>4029</v>
      </c>
      <c r="C124" s="22" t="s">
        <v>99</v>
      </c>
      <c r="D124" s="22" t="s">
        <v>227</v>
      </c>
      <c r="E124" s="13">
        <v>42665.726736111108</v>
      </c>
      <c r="F124" s="13">
        <v>42665.729895833334</v>
      </c>
      <c r="G124" s="7">
        <v>1</v>
      </c>
      <c r="H124" s="13" t="s">
        <v>307</v>
      </c>
      <c r="I124" s="13">
        <v>42665.756689814814</v>
      </c>
      <c r="J124" s="7">
        <v>0</v>
      </c>
      <c r="K124" s="112" t="str">
        <f t="shared" si="19"/>
        <v>4029/4030</v>
      </c>
      <c r="L124" s="22" t="str">
        <f>VLOOKUP(A124,'Trips&amp;Operators'!$C$1:$E$10000,3,FALSE)</f>
        <v>OUN</v>
      </c>
      <c r="M124" s="6">
        <f t="shared" si="20"/>
        <v>2.679398148029577E-2</v>
      </c>
      <c r="N124" s="7">
        <f t="shared" si="21"/>
        <v>38.583333331625909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16:26:30-0600',mode:absolute,to:'2016-10-22 19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4" s="52" t="str">
        <f t="shared" si="25"/>
        <v>N</v>
      </c>
      <c r="X124" s="171">
        <f t="shared" si="26"/>
        <v>1</v>
      </c>
      <c r="Y124" s="67">
        <f t="shared" si="27"/>
        <v>4.4699999999999997E-2</v>
      </c>
      <c r="Z124" s="67">
        <f t="shared" si="28"/>
        <v>23.327999999999999</v>
      </c>
      <c r="AA124" s="67">
        <f t="shared" si="29"/>
        <v>23.283300000000001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0"/>
        <v>0211-22</v>
      </c>
      <c r="AE124" s="91" t="str">
        <f t="shared" si="31"/>
        <v>aws s3 cp s3://rtdc.mdm.uploadarchive.raw/RTDC4029/ "%USERPROFILE%\AppData\Local\Temp\OnboardLogs"\RTDC4029\2016-10-22 --exclude "*" --recursive --include "*20161022*" &amp; "%USERPROFILE%\Documents\GitHub\mrs-test-scripts\Headless Mode &amp; Sideloading\WalkAndUnGZ.bat" "%USERPROFILE%\AppData\Local\Temp\OnboardLogs"\RTDC4029\2016-10-22 &amp; aws s3 cp s3://rtdc.mdm.uploadarchive.raw/RTDC4029/ "%USERPROFILE%\AppData\Local\Temp\OnboardLogs"\RTDC4029\2016-10-23 --exclude "*" --recursive --include "*20161023*" &amp; "%USERPROFILE%\Documents\GitHub\mrs-test-scripts\Headless Mode &amp; Sideloading\WalkAndUnGZ.bat" "%USERPROFILE%\AppData\Local\Temp\OnboardLogs"\RTDC4029\2016-10-23</v>
      </c>
      <c r="AF124" s="88" t="str">
        <f t="shared" si="32"/>
        <v>"C:\Program Files (x86)\AstroGrep\AstroGrep.exe" /spath="%USERPROFILE%\AppData\Local\Temp\OnboardLogs" /stypes="app*4029*20161023*" /stext=" 00:.+((SYSTEM_STATE.+slice.+state.+changed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211-22 --locoid 4029 --swversion DE.1.0.7.0 --startMP 204:447 --initTime 2016-10-22T17:26:30 --startdatetime 2016-10-22T17:31:03 --delay 1 --endMP 204:233280 --enddatetime 2016-10-22T18:09:38 --enforcementcount 0 &gt;&gt;C:\Users\stu\Documents\GitHub\eaglep3-reporting\EC\2016-10-22-refined-times.txt</v>
      </c>
      <c r="AI12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{"issue":{"subject":"","project_id":79,"tracker_id":40,"status_id":1,"priority_id":2,"assigned_to_id":23,"start_date":"2016-10-22","description":"","custom_fields":[{"id":1,"name":"Subdivision","value":"EC"},{"id":4,"name":"Milepost","value":"23.328"},{"id":17,"name":"Train ID","value":"211-22"},{"id":16,"name":"Locomotive ID","value":"4029"},{"id":130,"name":"Impact","value":""},{"id":150,"name":"Time of Event (Mountain Time)","value":"18:09:38"},{"id":151,"name":"Denver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576</v>
      </c>
      <c r="B125" s="7">
        <v>4030</v>
      </c>
      <c r="C125" s="22" t="s">
        <v>99</v>
      </c>
      <c r="D125" s="22" t="s">
        <v>255</v>
      </c>
      <c r="E125" s="13">
        <v>42665.76358796296</v>
      </c>
      <c r="F125" s="13">
        <v>42665.768240740741</v>
      </c>
      <c r="G125" s="7">
        <v>1</v>
      </c>
      <c r="H125" s="13" t="s">
        <v>264</v>
      </c>
      <c r="I125" s="13">
        <v>42665.797812500001</v>
      </c>
      <c r="J125" s="7">
        <v>0</v>
      </c>
      <c r="K125" s="112" t="str">
        <f t="shared" si="19"/>
        <v>4029/4030</v>
      </c>
      <c r="L125" s="22" t="str">
        <f>VLOOKUP(A125,'Trips&amp;Operators'!$C$1:$E$10000,3,FALSE)</f>
        <v>CLARK</v>
      </c>
      <c r="M125" s="6">
        <f t="shared" si="20"/>
        <v>2.9571759259852115E-2</v>
      </c>
      <c r="N125" s="7">
        <f t="shared" si="21"/>
        <v>42.583333334187046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17:19:34-0600',mode:absolute,to:'2016-10-22 20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5" s="52" t="str">
        <f t="shared" si="25"/>
        <v>N</v>
      </c>
      <c r="X125" s="171">
        <f t="shared" si="26"/>
        <v>1</v>
      </c>
      <c r="Y125" s="67">
        <f t="shared" si="27"/>
        <v>23.297699999999999</v>
      </c>
      <c r="Z125" s="67">
        <f t="shared" si="28"/>
        <v>1.5599999999999999E-2</v>
      </c>
      <c r="AA125" s="67">
        <f t="shared" si="29"/>
        <v>23.2821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0"/>
        <v>0212-22</v>
      </c>
      <c r="AE125" s="91" t="str">
        <f t="shared" si="31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125" s="88" t="str">
        <f t="shared" si="32"/>
        <v>"C:\Program Files (x86)\AstroGrep\AstroGrep.exe" /spath="%USERPROFILE%\AppData\Local\Temp\OnboardLogs" /stypes="app*4030*20161023*"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212-22 --locoid 4030 --swversion DE.1.0.7.0 --startMP 204:232977 --initTime 2016-10-22T18:19:34 --startdatetime 2016-10-22T18:26:16 --delay 1 --endMP 204:156 --enddatetime 2016-10-22T19:08:51 --enforcementcount 0 &gt;&gt;C:\Users\stu\Documents\GitHub\eaglep3-reporting\EC\2016-10-22-refined-times.txt</v>
      </c>
      <c r="AI12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ID","value":"212-22"},{"id":16,"name":"Locomotive ID","value":"4030"},{"id":130,"name":"Impact","value":""},{"id":150,"name":"Time of Event (Mountain Time)","value":"19:08:51"},{"id":151,"name":"Denver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572</v>
      </c>
      <c r="B126" s="7">
        <v>4053</v>
      </c>
      <c r="C126" s="22" t="s">
        <v>99</v>
      </c>
      <c r="D126" s="22" t="s">
        <v>335</v>
      </c>
      <c r="E126" s="13">
        <v>42665.73814814815</v>
      </c>
      <c r="F126" s="13">
        <v>42665.739907407406</v>
      </c>
      <c r="G126" s="7">
        <v>1</v>
      </c>
      <c r="H126" s="13" t="s">
        <v>308</v>
      </c>
      <c r="I126" s="13">
        <v>42665.765127314815</v>
      </c>
      <c r="J126" s="7">
        <v>0</v>
      </c>
      <c r="K126" s="112" t="str">
        <f t="shared" si="19"/>
        <v>4053/4054</v>
      </c>
      <c r="L126" s="22" t="str">
        <f>VLOOKUP(A126,'Trips&amp;Operators'!$C$1:$E$10000,3,FALSE)</f>
        <v>NEWELL</v>
      </c>
      <c r="M126" s="6">
        <f t="shared" si="20"/>
        <v>2.5219907409336884E-2</v>
      </c>
      <c r="N126" s="7">
        <f t="shared" si="21"/>
        <v>36.316666669445112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16:42:56-0600',mode:absolute,to:'2016-10-22 19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 t="shared" si="25"/>
        <v>N</v>
      </c>
      <c r="X126" s="171">
        <f t="shared" si="26"/>
        <v>1</v>
      </c>
      <c r="Y126" s="67">
        <f t="shared" si="27"/>
        <v>4.6699999999999998E-2</v>
      </c>
      <c r="Z126" s="67">
        <f t="shared" si="28"/>
        <v>23.331900000000001</v>
      </c>
      <c r="AA126" s="67">
        <f t="shared" si="29"/>
        <v>23.2852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0"/>
        <v>0213-22</v>
      </c>
      <c r="AE126" s="91" t="str">
        <f t="shared" si="31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26" s="88" t="str">
        <f t="shared" si="32"/>
        <v>"C:\Program Files (x86)\AstroGrep\AstroGrep.exe" /spath="%USERPROFILE%\AppData\Local\Temp\OnboardLogs" /stypes="app*4053*20161023*" /stext=" 00:.+((SYSTEM_STATE.+slice.+state.+changed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213-22 --locoid 4053 --swversion DE.1.0.7.0 --startMP 204:467 --initTime 2016-10-22T17:42:56 --startdatetime 2016-10-22T17:45:28 --delay 1 --endMP 204:233319 --enddatetime 2016-10-22T18:21:47 --enforcementcount 0 &gt;&gt;C:\Users\stu\Documents\GitHub\eaglep3-reporting\EC\2016-10-22-refined-times.txt</v>
      </c>
      <c r="AI12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{"issue":{"subject":"","project_id":79,"tracker_id":40,"status_id":1,"priority_id":2,"assigned_to_id":23,"start_date":"2016-10-22","description":"","custom_fields":[{"id":1,"name":"Subdivision","value":"EC"},{"id":4,"name":"Milepost","value":"23.3319"},{"id":17,"name":"Train ID","value":"213-22"},{"id":16,"name":"Locomotive ID","value":"4053"},{"id":130,"name":"Impact","value":""},{"id":150,"name":"Time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579</v>
      </c>
      <c r="B127" s="7">
        <v>4054</v>
      </c>
      <c r="C127" s="22" t="s">
        <v>99</v>
      </c>
      <c r="D127" s="22" t="s">
        <v>258</v>
      </c>
      <c r="E127" s="13">
        <v>42665.769814814812</v>
      </c>
      <c r="F127" s="13">
        <v>42665.778773148151</v>
      </c>
      <c r="G127" s="7">
        <v>2</v>
      </c>
      <c r="H127" s="13" t="s">
        <v>264</v>
      </c>
      <c r="I127" s="13">
        <v>42665.806400462963</v>
      </c>
      <c r="J127" s="7">
        <v>0</v>
      </c>
      <c r="K127" s="112" t="str">
        <f t="shared" si="19"/>
        <v>4053/4054</v>
      </c>
      <c r="L127" s="22" t="str">
        <f>VLOOKUP(A127,'Trips&amp;Operators'!$C$1:$E$10000,3,FALSE)</f>
        <v>NEWELL</v>
      </c>
      <c r="M127" s="6">
        <f t="shared" si="20"/>
        <v>2.7627314811979886E-2</v>
      </c>
      <c r="N127" s="7">
        <f t="shared" si="21"/>
        <v>39.783333329251036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17:28:32-0600',mode:absolute,to:'2016-10-22 20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7" s="52" t="str">
        <f t="shared" si="25"/>
        <v>N</v>
      </c>
      <c r="X127" s="171">
        <f t="shared" si="26"/>
        <v>1</v>
      </c>
      <c r="Y127" s="67">
        <f t="shared" si="27"/>
        <v>23.299099999999999</v>
      </c>
      <c r="Z127" s="67">
        <f t="shared" si="28"/>
        <v>1.5599999999999999E-2</v>
      </c>
      <c r="AA127" s="67">
        <f t="shared" si="29"/>
        <v>23.2835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0"/>
        <v>0214-22</v>
      </c>
      <c r="AE127" s="91" t="str">
        <f t="shared" si="31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127" s="88" t="str">
        <f t="shared" si="32"/>
        <v>"C:\Program Files (x86)\AstroGrep\AstroGrep.exe" /spath="%USERPROFILE%\AppData\Local\Temp\OnboardLogs" /stypes="app*4054*20161023*"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214-22 --locoid 4054 --swversion DE.1.0.7.0 --startMP 204:232991 --initTime 2016-10-22T18:28:32 --startdatetime 2016-10-22T18:41:26 --delay 2 --endMP 204:156 --enddatetime 2016-10-22T19:21:13 --enforcementcount 0 &gt;&gt;C:\Users\stu\Documents\GitHub\eaglep3-reporting\EC\2016-10-22-refined-times.txt</v>
      </c>
      <c r="AI12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ID","value":"214-22"},{"id":16,"name":"Locomotive ID","value":"4054"},{"id":130,"name":"Impact","value":""},{"id":150,"name":"Time of Event (Mountain Time)","value":"19:21:13"},{"id":151,"name":"Denver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438</v>
      </c>
      <c r="B128" s="7">
        <v>4031</v>
      </c>
      <c r="C128" s="22" t="s">
        <v>99</v>
      </c>
      <c r="D128" s="22" t="s">
        <v>230</v>
      </c>
      <c r="E128" s="13">
        <v>42665.749513888892</v>
      </c>
      <c r="F128" s="13">
        <v>42665.751284722224</v>
      </c>
      <c r="G128" s="7">
        <v>1</v>
      </c>
      <c r="H128" s="13" t="s">
        <v>256</v>
      </c>
      <c r="I128" s="13">
        <v>42665.777118055557</v>
      </c>
      <c r="J128" s="7">
        <v>0</v>
      </c>
      <c r="K128" s="112" t="str">
        <f t="shared" si="19"/>
        <v>4031/4032</v>
      </c>
      <c r="L128" s="22" t="str">
        <f>VLOOKUP(A128,'Trips&amp;Operators'!$C$1:$E$10000,3,FALSE)</f>
        <v>STORY</v>
      </c>
      <c r="M128" s="6">
        <f t="shared" si="20"/>
        <v>2.5833333333139308E-2</v>
      </c>
      <c r="N128" s="7">
        <f t="shared" si="21"/>
        <v>37.199999999720603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16:59:18-0600',mode:absolute,to:'2016-10-22 19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8" s="52" t="str">
        <f t="shared" si="25"/>
        <v>N</v>
      </c>
      <c r="X128" s="171">
        <f t="shared" si="26"/>
        <v>1</v>
      </c>
      <c r="Y128" s="67">
        <f t="shared" si="27"/>
        <v>4.6399999999999997E-2</v>
      </c>
      <c r="Z128" s="67">
        <f t="shared" si="28"/>
        <v>23.330100000000002</v>
      </c>
      <c r="AA128" s="67">
        <f t="shared" si="29"/>
        <v>23.283700000000003</v>
      </c>
      <c r="AB128" s="64" t="str">
        <f>VLOOKUP(A128,Enforcements!$C$7:$K$21,8,0)</f>
        <v>Bulletin (2)</v>
      </c>
      <c r="AC128" s="60" t="str">
        <f>VLOOKUP(A128,Enforcements!$C$7:$E$21,3,0)</f>
        <v>GRADE CROSSING</v>
      </c>
      <c r="AD128" s="61" t="str">
        <f t="shared" si="30"/>
        <v>0215-22</v>
      </c>
      <c r="AE128" s="91" t="str">
        <f t="shared" si="31"/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AF128" s="88" t="str">
        <f t="shared" si="32"/>
        <v>"C:\Program Files (x86)\AstroGrep\AstroGrep.exe" /spath="%USERPROFILE%\AppData\Local\Temp\OnboardLogs" /stypes="app*4031*20161023*" /stext=" 00:.+((SYSTEM_STATE.+slice.+state.+changed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215-22 --locoid 4031 --swversion DE.1.0.7.0 --startMP 204:464 --initTime 2016-10-22T17:59:18 --startdatetime 2016-10-22T18:01:51 --delay 1 --endMP 204:233301 --enddatetime 2016-10-22T18:39:03 --enforcementcount 0 &gt;&gt;C:\Users\stu\Documents\GitHub\eaglep3-reporting\EC\2016-10-22-refined-times.txt</v>
      </c>
      <c r="AI12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{"issue":{"subject":"","project_id":79,"tracker_id":40,"status_id":1,"priority_id":2,"assigned_to_id":23,"start_date":"2016-10-22","description":"","custom_fields":[{"id":1,"name":"Subdivision","value":"EC"},{"id":4,"name":"Milepost","value":"23.3301"},{"id":17,"name":"Train ID","value":"215-22"},{"id":16,"name":"Locomotive ID","value":"4031"},{"id":130,"name":"Impact","value":""},{"id":150,"name":"Time of Event (Mountain Time)","value":"18:39:03"},{"id":151,"name":"Denver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442</v>
      </c>
      <c r="B129" s="7">
        <v>4032</v>
      </c>
      <c r="C129" s="22" t="s">
        <v>99</v>
      </c>
      <c r="D129" s="22" t="s">
        <v>309</v>
      </c>
      <c r="E129" s="13">
        <v>42665.787407407406</v>
      </c>
      <c r="F129" s="13">
        <v>42665.789513888885</v>
      </c>
      <c r="G129" s="7">
        <v>1</v>
      </c>
      <c r="H129" s="13" t="s">
        <v>724</v>
      </c>
      <c r="I129" s="13">
        <v>42665.822372685187</v>
      </c>
      <c r="J129" s="7">
        <v>0</v>
      </c>
      <c r="K129" s="112" t="str">
        <f t="shared" si="19"/>
        <v>4031/4032</v>
      </c>
      <c r="L129" s="22" t="str">
        <f>VLOOKUP(A129,'Trips&amp;Operators'!$C$1:$E$10000,3,FALSE)</f>
        <v>STORY</v>
      </c>
      <c r="M129" s="6">
        <f t="shared" si="20"/>
        <v>3.2858796301297843E-2</v>
      </c>
      <c r="N129" s="7">
        <f t="shared" si="21"/>
        <v>47.316666673868895</v>
      </c>
      <c r="O129" s="7"/>
      <c r="P129" s="7"/>
      <c r="Q129" s="23"/>
      <c r="R129" s="23" t="s">
        <v>761</v>
      </c>
      <c r="S129" s="35">
        <f t="shared" si="22"/>
        <v>1</v>
      </c>
      <c r="T129" s="50" t="str">
        <f t="shared" si="23"/>
        <v>Southbound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17:53:52-0600',mode:absolute,to:'2016-10-22 20:44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9" s="52" t="str">
        <f t="shared" si="25"/>
        <v>N</v>
      </c>
      <c r="X129" s="171">
        <f t="shared" si="26"/>
        <v>1</v>
      </c>
      <c r="Y129" s="67">
        <f t="shared" si="27"/>
        <v>23.298400000000001</v>
      </c>
      <c r="Z129" s="67">
        <f t="shared" si="28"/>
        <v>2.3099999999999999E-2</v>
      </c>
      <c r="AA129" s="67">
        <f t="shared" si="29"/>
        <v>23.275300000000001</v>
      </c>
      <c r="AB129" s="64" t="str">
        <f>VLOOKUP(A129,Enforcements!$C$7:$K$21,8,0)</f>
        <v>Bulletin (2)</v>
      </c>
      <c r="AC129" s="60" t="str">
        <f>VLOOKUP(A129,Enforcements!$C$7:$E$21,3,0)</f>
        <v>GRADE CROSSING</v>
      </c>
      <c r="AD129" s="61" t="str">
        <f t="shared" si="30"/>
        <v>0216-22</v>
      </c>
      <c r="AE129" s="91" t="str">
        <f t="shared" si="31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129" s="88" t="str">
        <f t="shared" si="32"/>
        <v>"C:\Program Files (x86)\AstroGrep\AstroGrep.exe" /spath="%USERPROFILE%\AppData\Local\Temp\OnboardLogs" /stypes="app*4032*20161023*"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216-22 --locoid 4032 --swversion DE.1.0.7.0 --startMP 204:232984 --initTime 2016-10-22T18:53:52 --startdatetime 2016-10-22T18:56:54 --delay 1 --endMP 204:231 --enddatetime 2016-10-22T19:44:13 --enforcementcount 0 &gt;&gt;C:\Users\stu\Documents\GitHub\eaglep3-reporting\EC\2016-10-22-refined-times.txt</v>
      </c>
      <c r="AI129" s="122" t="str">
        <f t="shared" si="35"/>
        <v>echo {"issue":{"subject":"Onboard in-route failure delayed departure","project_id":79,"tracker_id":40,"status_id":1,"priority_id":2,"assigned_to_id":23,"start_date":"2016-10-22","description":"multiple cpu faults at 18:56","custom_fields":[{"id":1,"name":"Subdivision","value":"EC"},{"id":4,"name":"Milepost","value":"0.0231"},{"id":17,"name":"Train ID","value":"216-22"},{"id":16,"name":"Locomotive ID","value":"4032"},{"id":130,"name":"Impact","value":"Failed State"},{"id":150,"name":"Time of Event (Mountain Time)","value":"19:44:13"},{"id":151,"name":"Denver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9" s="53" t="s">
        <v>762</v>
      </c>
      <c r="AK129" s="53" t="s">
        <v>129</v>
      </c>
      <c r="AL129" s="53" t="s">
        <v>179</v>
      </c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575</v>
      </c>
      <c r="B130" s="7">
        <v>4038</v>
      </c>
      <c r="C130" s="22" t="s">
        <v>99</v>
      </c>
      <c r="D130" s="22" t="s">
        <v>725</v>
      </c>
      <c r="E130" s="13">
        <v>42665.759722222225</v>
      </c>
      <c r="F130" s="13">
        <v>42665.760960648149</v>
      </c>
      <c r="G130" s="7">
        <v>1</v>
      </c>
      <c r="H130" s="13" t="s">
        <v>402</v>
      </c>
      <c r="I130" s="13">
        <v>42665.786678240744</v>
      </c>
      <c r="J130" s="7">
        <v>0</v>
      </c>
      <c r="K130" s="112" t="str">
        <f t="shared" si="19"/>
        <v>4037/4038</v>
      </c>
      <c r="L130" s="22" t="str">
        <f>VLOOKUP(A130,'Trips&amp;Operators'!$C$1:$E$10000,3,FALSE)</f>
        <v>CHANDLER</v>
      </c>
      <c r="M130" s="6">
        <f t="shared" si="20"/>
        <v>2.5717592594446614E-2</v>
      </c>
      <c r="N130" s="7">
        <f t="shared" si="21"/>
        <v>37.033333336003125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NorthBound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17:14:00-0600',mode:absolute,to:'2016-10-22 19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0" s="52" t="str">
        <f t="shared" si="25"/>
        <v>N</v>
      </c>
      <c r="X130" s="171">
        <f t="shared" si="26"/>
        <v>1</v>
      </c>
      <c r="Y130" s="67">
        <f t="shared" si="27"/>
        <v>4.3099999999999999E-2</v>
      </c>
      <c r="Z130" s="67">
        <f t="shared" si="28"/>
        <v>23.3306</v>
      </c>
      <c r="AA130" s="67">
        <f t="shared" si="29"/>
        <v>23.287500000000001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0"/>
        <v>0217-22</v>
      </c>
      <c r="AE130" s="91" t="str">
        <f t="shared" si="31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30" s="88" t="str">
        <f t="shared" si="32"/>
        <v>"C:\Program Files (x86)\AstroGrep\AstroGrep.exe" /spath="%USERPROFILE%\AppData\Local\Temp\OnboardLogs" /stypes="app*4038*20161023*" /stext=" 00:.+((SYSTEM_STATE.+slice.+state.+changed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217-22 --locoid 4038 --swversion DE.1.0.7.0 --startMP 204:431 --initTime 2016-10-22T18:14:00 --startdatetime 2016-10-22T18:15:47 --delay 1 --endMP 204:233306 --enddatetime 2016-10-22T18:52:49 --enforcementcount 0 &gt;&gt;C:\Users\stu\Documents\GitHub\eaglep3-reporting\EC\2016-10-22-refined-times.txt</v>
      </c>
      <c r="AI130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{"issue":{"subject":"","project_id":79,"tracker_id":40,"status_id":1,"priority_id":2,"assigned_to_id":23,"start_date":"2016-10-22","description":"","custom_fields":[{"id":1,"name":"Subdivision","value":"EC"},{"id":4,"name":"Milepost","value":"23.3306"},{"id":17,"name":"Train ID","value":"217-22"},{"id":16,"name":"Locomotive ID","value":"4038"},{"id":130,"name":"Impact","value":""},{"id":150,"name":"Time of Event (Mountain Time)","value":"18:52:49"},{"id":151,"name":"Denver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586</v>
      </c>
      <c r="B131" s="7">
        <v>4037</v>
      </c>
      <c r="C131" s="22" t="s">
        <v>99</v>
      </c>
      <c r="D131" s="22" t="s">
        <v>726</v>
      </c>
      <c r="E131" s="13">
        <v>42665.79650462963</v>
      </c>
      <c r="F131" s="13">
        <v>42665.799675925926</v>
      </c>
      <c r="G131" s="7">
        <v>1</v>
      </c>
      <c r="H131" s="13" t="s">
        <v>220</v>
      </c>
      <c r="I131" s="13">
        <v>42665.828576388885</v>
      </c>
      <c r="J131" s="7">
        <v>0</v>
      </c>
      <c r="K131" s="112" t="str">
        <f t="shared" si="19"/>
        <v>4037/4038</v>
      </c>
      <c r="L131" s="22" t="str">
        <f>VLOOKUP(A131,'Trips&amp;Operators'!$C$1:$E$10000,3,FALSE)</f>
        <v>CHANDLER</v>
      </c>
      <c r="M131" s="6">
        <f t="shared" si="20"/>
        <v>2.8900462959427387E-2</v>
      </c>
      <c r="N131" s="7">
        <f t="shared" si="21"/>
        <v>41.616666661575437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Southbound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18:06:58-0600',mode:absolute,to:'2016-10-22 20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1" s="52" t="str">
        <f t="shared" si="25"/>
        <v>N</v>
      </c>
      <c r="X131" s="171">
        <f t="shared" si="26"/>
        <v>1</v>
      </c>
      <c r="Y131" s="67">
        <f t="shared" si="27"/>
        <v>23.2974</v>
      </c>
      <c r="Z131" s="67">
        <f t="shared" si="28"/>
        <v>1.54E-2</v>
      </c>
      <c r="AA131" s="67">
        <f t="shared" si="29"/>
        <v>23.282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0"/>
        <v>0218-22</v>
      </c>
      <c r="AE131" s="91" t="str">
        <f t="shared" si="31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131" s="88" t="str">
        <f t="shared" si="32"/>
        <v>"C:\Program Files (x86)\AstroGrep\AstroGrep.exe" /spath="%USERPROFILE%\AppData\Local\Temp\OnboardLogs" /stypes="app*4037*20161023*"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218-22 --locoid 4037 --swversion DE.1.0.7.0 --startMP 204:232974 --initTime 2016-10-22T19:06:58 --startdatetime 2016-10-22T19:11:32 --delay 1 --endMP 204:154 --enddatetime 2016-10-22T19:53:09 --enforcementcount 0 &gt;&gt;C:\Users\stu\Documents\GitHub\eaglep3-reporting\EC\2016-10-22-refined-times.txt</v>
      </c>
      <c r="AI131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{"issue":{"subject":"","project_id":79,"tracker_id":40,"status_id":1,"priority_id":2,"assigned_to_id":23,"start_date":"2016-10-22","description":"","custom_fields":[{"id":1,"name":"Subdivision","value":"EC"},{"id":4,"name":"Milepost","value":"0.0154"},{"id":17,"name":"Train ID","value":"218-22"},{"id":16,"name":"Locomotive ID","value":"4037"},{"id":130,"name":"Impact","value":""},{"id":150,"name":"Time of Event (Mountain Time)","value":"19:53:09"},{"id":151,"name":"Denver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580</v>
      </c>
      <c r="B132" s="7">
        <v>4042</v>
      </c>
      <c r="C132" s="22" t="s">
        <v>99</v>
      </c>
      <c r="D132" s="22" t="s">
        <v>230</v>
      </c>
      <c r="E132" s="13">
        <v>42665.770243055558</v>
      </c>
      <c r="F132" s="13">
        <v>42665.772488425922</v>
      </c>
      <c r="G132" s="7">
        <v>1</v>
      </c>
      <c r="H132" s="13" t="s">
        <v>384</v>
      </c>
      <c r="I132" s="13">
        <v>42665.800196759257</v>
      </c>
      <c r="J132" s="7">
        <v>0</v>
      </c>
      <c r="K132" s="112" t="str">
        <f t="shared" si="19"/>
        <v>4041/4042</v>
      </c>
      <c r="L132" s="22" t="str">
        <f>VLOOKUP(A132,'Trips&amp;Operators'!$C$1:$E$10000,3,FALSE)</f>
        <v>ARVIDSON</v>
      </c>
      <c r="M132" s="6">
        <f t="shared" si="20"/>
        <v>2.7708333334885538E-2</v>
      </c>
      <c r="N132" s="7">
        <f t="shared" si="21"/>
        <v>39.900000002235174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NorthBound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17:29:09-0600',mode:absolute,to:'2016-10-22 20:12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52" t="str">
        <f t="shared" si="25"/>
        <v>N</v>
      </c>
      <c r="X132" s="171">
        <f t="shared" si="26"/>
        <v>1</v>
      </c>
      <c r="Y132" s="67">
        <f t="shared" si="27"/>
        <v>4.6399999999999997E-2</v>
      </c>
      <c r="Z132" s="67">
        <f t="shared" si="28"/>
        <v>23.330500000000001</v>
      </c>
      <c r="AA132" s="67">
        <f t="shared" si="29"/>
        <v>23.284100000000002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0"/>
        <v>0219-22</v>
      </c>
      <c r="AE132" s="91" t="str">
        <f t="shared" si="31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32" s="88" t="str">
        <f t="shared" si="32"/>
        <v>"C:\Program Files (x86)\AstroGrep\AstroGrep.exe" /spath="%USERPROFILE%\AppData\Local\Temp\OnboardLogs" /stypes="app*4042*20161023*" /stext=" 01:.+((SYSTEM_STATE.+slice.+state.+changed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219-22 --locoid 4042 --swversion DE.1.0.7.0 --startMP 204:464 --initTime 2016-10-22T18:29:09 --startdatetime 2016-10-22T18:32:23 --delay 1 --endMP 204:233305 --enddatetime 2016-10-22T19:12:17 --enforcementcount 0 &gt;&gt;C:\Users\stu\Documents\GitHub\eaglep3-reporting\EC\2016-10-22-refined-times.txt</v>
      </c>
      <c r="AI132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{"issue":{"subject":"","project_id":79,"tracker_id":40,"status_id":1,"priority_id":2,"assigned_to_id":23,"start_date":"2016-10-22","description":"","custom_fields":[{"id":1,"name":"Subdivision","value":"EC"},{"id":4,"name":"Milepost","value":"23.3305"},{"id":17,"name":"Train ID","value":"219-22"},{"id":16,"name":"Locomotive ID","value":"4042"},{"id":130,"name":"Impact","value":""},{"id":150,"name":"Time of Event (Mountain Time)","value":"19:12:17"},{"id":151,"name":"Denver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589</v>
      </c>
      <c r="B133" s="7">
        <v>4041</v>
      </c>
      <c r="C133" s="22" t="s">
        <v>99</v>
      </c>
      <c r="D133" s="22" t="s">
        <v>727</v>
      </c>
      <c r="E133" s="13">
        <v>42665.805532407408</v>
      </c>
      <c r="F133" s="13">
        <v>42665.810011574074</v>
      </c>
      <c r="G133" s="7">
        <v>1</v>
      </c>
      <c r="H133" s="13" t="s">
        <v>400</v>
      </c>
      <c r="I133" s="13">
        <v>42665.840416666666</v>
      </c>
      <c r="J133" s="7">
        <v>0</v>
      </c>
      <c r="K133" s="112" t="str">
        <f t="shared" si="19"/>
        <v>4041/4042</v>
      </c>
      <c r="L133" s="22" t="str">
        <f>VLOOKUP(A133,'Trips&amp;Operators'!$C$1:$E$10000,3,FALSE)</f>
        <v>ARVIDSON</v>
      </c>
      <c r="M133" s="6">
        <f t="shared" si="20"/>
        <v>3.0405092591536231E-2</v>
      </c>
      <c r="N133" s="7">
        <f t="shared" si="21"/>
        <v>43.783333331812173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Southbound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18:19:58-0600',mode:absolute,to:'2016-10-22 21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52" t="str">
        <f t="shared" si="25"/>
        <v>N</v>
      </c>
      <c r="X133" s="171">
        <f t="shared" si="26"/>
        <v>1</v>
      </c>
      <c r="Y133" s="67">
        <f t="shared" si="27"/>
        <v>23.296700000000001</v>
      </c>
      <c r="Z133" s="67">
        <f t="shared" si="28"/>
        <v>1.7000000000000001E-2</v>
      </c>
      <c r="AA133" s="67">
        <f t="shared" si="29"/>
        <v>23.279700000000002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0"/>
        <v>0220-22</v>
      </c>
      <c r="AE133" s="91" t="str">
        <f t="shared" si="31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133" s="88" t="str">
        <f t="shared" si="32"/>
        <v>"C:\Program Files (x86)\AstroGrep\AstroGrep.exe" /spath="%USERPROFILE%\AppData\Local\Temp\OnboardLogs" /stypes="app*4041*20161023*"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220-22 --locoid 4041 --swversion DE.1.0.7.0 --startMP 204:232967 --initTime 2016-10-22T19:19:58 --startdatetime 2016-10-22T19:26:25 --delay 1 --endMP 204:170 --enddatetime 2016-10-22T20:10:12 --enforcementcount 0 &gt;&gt;C:\Users\stu\Documents\GitHub\eaglep3-reporting\EC\2016-10-22-refined-times.txt</v>
      </c>
      <c r="AI133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{"issue":{"subject":"","project_id":79,"tracker_id":40,"status_id":1,"priority_id":2,"assigned_to_id":23,"start_date":"2016-10-22","description":"","custom_fields":[{"id":1,"name":"Subdivision","value":"EC"},{"id":4,"name":"Milepost","value":"0.017"},{"id":17,"name":"Train ID","value":"220-22"},{"id":16,"name":"Locomotive ID","value":"4041"},{"id":130,"name":"Impact","value":""},{"id":150,"name":"Time of Event (Mountain Time)","value":"20:10:12"},{"id":151,"name":"Denver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583</v>
      </c>
      <c r="B134" s="7">
        <v>4011</v>
      </c>
      <c r="C134" s="22" t="s">
        <v>99</v>
      </c>
      <c r="D134" s="22" t="s">
        <v>228</v>
      </c>
      <c r="E134" s="13">
        <v>42665.788819444446</v>
      </c>
      <c r="F134" s="13">
        <v>42665.79210648148</v>
      </c>
      <c r="G134" s="7">
        <v>1</v>
      </c>
      <c r="H134" s="13" t="s">
        <v>655</v>
      </c>
      <c r="I134" s="13">
        <v>42665.820428240739</v>
      </c>
      <c r="J134" s="7">
        <v>0</v>
      </c>
      <c r="K134" s="112" t="str">
        <f t="shared" si="19"/>
        <v>4011/4012</v>
      </c>
      <c r="L134" s="22" t="str">
        <f>VLOOKUP(A134,'Trips&amp;Operators'!$C$1:$E$10000,3,FALSE)</f>
        <v>BRANDNER</v>
      </c>
      <c r="M134" s="6">
        <f t="shared" si="20"/>
        <v>2.8321759258687962E-2</v>
      </c>
      <c r="N134" s="7">
        <f t="shared" si="21"/>
        <v>40.783333332510665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17:55:54-0600',mode:absolute,to:'2016-10-22 20:41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4" s="52" t="str">
        <f t="shared" si="25"/>
        <v>N</v>
      </c>
      <c r="X134" s="171">
        <f t="shared" si="26"/>
        <v>1</v>
      </c>
      <c r="Y134" s="67">
        <f t="shared" si="27"/>
        <v>4.53E-2</v>
      </c>
      <c r="Z134" s="67">
        <f t="shared" si="28"/>
        <v>23.331399999999999</v>
      </c>
      <c r="AA134" s="67">
        <f t="shared" si="29"/>
        <v>23.286099999999998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0"/>
        <v>0221-22</v>
      </c>
      <c r="AE134" s="91" t="str">
        <f t="shared" si="31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34" s="88" t="str">
        <f t="shared" si="32"/>
        <v>"C:\Program Files (x86)\AstroGrep\AstroGrep.exe" /spath="%USERPROFILE%\AppData\Local\Temp\OnboardLogs" /stypes="app*4011*20161023*" /stext=" 01:.+((SYSTEM_STATE.+slice.+state.+changed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221-22 --locoid 4011 --swversion DE.1.0.7.0 --startMP 204:453 --initTime 2016-10-22T18:55:54 --startdatetime 2016-10-22T19:00:38 --delay 1 --endMP 204:233314 --enddatetime 2016-10-22T19:41:25 --enforcementcount 0 &gt;&gt;C:\Users\stu\Documents\GitHub\eaglep3-reporting\EC\2016-10-22-refined-times.txt</v>
      </c>
      <c r="AI134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{"issue":{"subject":"","project_id":79,"tracker_id":40,"status_id":1,"priority_id":2,"assigned_to_id":23,"start_date":"2016-10-22","description":"","custom_fields":[{"id":1,"name":"Subdivision","value":"EC"},{"id":4,"name":"Milepost","value":"23.3314"},{"id":17,"name":"Train ID","value":"221-22"},{"id":16,"name":"Locomotive ID","value":"4011"},{"id":130,"name":"Impact","value":""},{"id":150,"name":"Time of Event (Mountain Time)","value":"19:41:25"},{"id":151,"name":"Denver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592</v>
      </c>
      <c r="B135" s="7">
        <v>4012</v>
      </c>
      <c r="C135" s="22" t="s">
        <v>99</v>
      </c>
      <c r="D135" s="22" t="s">
        <v>265</v>
      </c>
      <c r="E135" s="13">
        <v>42665.826828703706</v>
      </c>
      <c r="F135" s="13">
        <v>42665.830729166664</v>
      </c>
      <c r="G135" s="7">
        <v>2</v>
      </c>
      <c r="H135" s="13" t="s">
        <v>282</v>
      </c>
      <c r="I135" s="13">
        <v>42665.857777777775</v>
      </c>
      <c r="J135" s="7">
        <v>0</v>
      </c>
      <c r="K135" s="112" t="str">
        <f t="shared" si="19"/>
        <v>4011/4012</v>
      </c>
      <c r="L135" s="22" t="str">
        <f>VLOOKUP(A135,'Trips&amp;Operators'!$C$1:$E$10000,3,FALSE)</f>
        <v>BRANDNER</v>
      </c>
      <c r="M135" s="6">
        <f t="shared" si="20"/>
        <v>2.7048611111240461E-2</v>
      </c>
      <c r="N135" s="7">
        <f t="shared" si="21"/>
        <v>38.950000000186265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18:50:38-0600',mode:absolute,to:'2016-10-22 21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5" s="52" t="str">
        <f t="shared" si="25"/>
        <v>N</v>
      </c>
      <c r="X135" s="171">
        <f t="shared" si="26"/>
        <v>1</v>
      </c>
      <c r="Y135" s="67">
        <f t="shared" si="27"/>
        <v>23.3</v>
      </c>
      <c r="Z135" s="67">
        <f t="shared" si="28"/>
        <v>1.38E-2</v>
      </c>
      <c r="AA135" s="67">
        <f t="shared" si="29"/>
        <v>23.286200000000001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0"/>
        <v>0222-22</v>
      </c>
      <c r="AE135" s="91" t="str">
        <f t="shared" si="31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135" s="88" t="str">
        <f t="shared" si="32"/>
        <v>"C:\Program Files (x86)\AstroGrep\AstroGrep.exe" /spath="%USERPROFILE%\AppData\Local\Temp\OnboardLogs" /stypes="app*4012*20161023*" /stext=" 02:.+((SYSTEM_STATE.+slice.+state.+changed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222-22 --locoid 4012 --swversion DE.1.0.7.0 --startMP 204:233000 --initTime 2016-10-22T19:50:38 --startdatetime 2016-10-22T19:56:15 --delay 2 --endMP 204:138 --enddatetime 2016-10-22T20:35:12 --enforcementcount 0 &gt;&gt;C:\Users\stu\Documents\GitHub\eaglep3-reporting\EC\2016-10-22-refined-times.txt</v>
      </c>
      <c r="AI135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{"issue":{"subject":"","project_id":79,"tracker_id":40,"status_id":1,"priority_id":2,"assigned_to_id":23,"start_date":"2016-10-22","description":"","custom_fields":[{"id":1,"name":"Subdivision","value":"EC"},{"id":4,"name":"Milepost","value":"0.0138"},{"id":17,"name":"Train ID","value":"222-22"},{"id":16,"name":"Locomotive ID","value":"4012"},{"id":130,"name":"Impact","value":""},{"id":150,"name":"Time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590</v>
      </c>
      <c r="B136" s="7">
        <v>4053</v>
      </c>
      <c r="C136" s="22" t="s">
        <v>99</v>
      </c>
      <c r="D136" s="22" t="s">
        <v>310</v>
      </c>
      <c r="E136" s="13">
        <v>42665.807974537034</v>
      </c>
      <c r="F136" s="13">
        <v>42665.813125000001</v>
      </c>
      <c r="G136" s="7">
        <v>1</v>
      </c>
      <c r="H136" s="13" t="s">
        <v>397</v>
      </c>
      <c r="I136" s="13">
        <v>42665.836400462962</v>
      </c>
      <c r="J136" s="7">
        <v>0</v>
      </c>
      <c r="K136" s="112" t="str">
        <f t="shared" si="19"/>
        <v>4053/4054</v>
      </c>
      <c r="L136" s="22" t="str">
        <f>VLOOKUP(A136,'Trips&amp;Operators'!$C$1:$E$10000,3,FALSE)</f>
        <v>NEWELL</v>
      </c>
      <c r="M136" s="6">
        <f t="shared" si="20"/>
        <v>2.3275462961464655E-2</v>
      </c>
      <c r="N136" s="7">
        <f t="shared" si="21"/>
        <v>33.516666664509103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18:23:29-0600',mode:absolute,to:'2016-10-22 21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6" s="52" t="str">
        <f t="shared" si="25"/>
        <v>N</v>
      </c>
      <c r="X136" s="171">
        <f t="shared" si="26"/>
        <v>1</v>
      </c>
      <c r="Y136" s="67">
        <f t="shared" si="27"/>
        <v>4.6199999999999998E-2</v>
      </c>
      <c r="Z136" s="67">
        <f t="shared" si="28"/>
        <v>23.328800000000001</v>
      </c>
      <c r="AA136" s="67">
        <f t="shared" si="29"/>
        <v>23.282600000000002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0"/>
        <v>0223-22</v>
      </c>
      <c r="AE136" s="91" t="str">
        <f t="shared" si="31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36" s="88" t="str">
        <f t="shared" si="32"/>
        <v>"C:\Program Files (x86)\AstroGrep\AstroGrep.exe" /spath="%USERPROFILE%\AppData\Local\Temp\OnboardLogs" /stypes="app*4053*20161023*" /stext=" 02:.+((SYSTEM_STATE.+slice.+state.+changed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223-22 --locoid 4053 --swversion DE.1.0.7.0 --startMP 204:462 --initTime 2016-10-22T19:23:29 --startdatetime 2016-10-22T19:30:54 --delay 1 --endMP 204:233288 --enddatetime 2016-10-22T20:04:25 --enforcementcount 0 &gt;&gt;C:\Users\stu\Documents\GitHub\eaglep3-reporting\EC\2016-10-22-refined-times.txt</v>
      </c>
      <c r="AI136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{"issue":{"subject":"","project_id":79,"tracker_id":40,"status_id":1,"priority_id":2,"assigned_to_id":23,"start_date":"2016-10-22","description":"","custom_fields":[{"id":1,"name":"Subdivision","value":"EC"},{"id":4,"name":"Milepost","value":"23.3288"},{"id":17,"name":"Train ID","value":"223-22"},{"id":16,"name":"Locomotive ID","value":"4053"},{"id":130,"name":"Impact","value":""},{"id":150,"name":"Time of Event (Mountain Time)","value":"20:04:25"},{"id":151,"name":"Denver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594</v>
      </c>
      <c r="B137" s="7">
        <v>4054</v>
      </c>
      <c r="C137" s="22" t="s">
        <v>99</v>
      </c>
      <c r="D137" s="22" t="s">
        <v>317</v>
      </c>
      <c r="E137" s="13">
        <v>42665.839270833334</v>
      </c>
      <c r="F137" s="13">
        <v>42665.851550925923</v>
      </c>
      <c r="G137" s="7">
        <v>0</v>
      </c>
      <c r="H137" s="13" t="s">
        <v>223</v>
      </c>
      <c r="I137" s="13">
        <v>42665.879259259258</v>
      </c>
      <c r="J137" s="7">
        <v>0</v>
      </c>
      <c r="K137" s="112" t="str">
        <f t="shared" si="19"/>
        <v>4053/4054</v>
      </c>
      <c r="L137" s="22" t="str">
        <f>VLOOKUP(A137,'Trips&amp;Operators'!$C$1:$E$10000,3,FALSE)</f>
        <v>NEWELL</v>
      </c>
      <c r="M137" s="6">
        <f t="shared" si="20"/>
        <v>2.7708333334885538E-2</v>
      </c>
      <c r="N137" s="7">
        <f t="shared" si="21"/>
        <v>39.900000002235174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19:08:33-0600',mode:absolute,to:'2016-10-22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7" s="52" t="str">
        <f t="shared" si="25"/>
        <v>N</v>
      </c>
      <c r="X137" s="171">
        <f t="shared" si="26"/>
        <v>1</v>
      </c>
      <c r="Y137" s="67">
        <f t="shared" si="27"/>
        <v>23.2973</v>
      </c>
      <c r="Z137" s="67">
        <f t="shared" si="28"/>
        <v>1.49E-2</v>
      </c>
      <c r="AA137" s="67">
        <f t="shared" si="29"/>
        <v>23.282399999999999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0"/>
        <v>0224-22</v>
      </c>
      <c r="AE137" s="91" t="str">
        <f t="shared" si="31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137" s="88" t="str">
        <f t="shared" si="32"/>
        <v>"C:\Program Files (x86)\AstroGrep\AstroGrep.exe" /spath="%USERPROFILE%\AppData\Local\Temp\OnboardLogs" /stypes="app*4054*20161023*" /stext=" 03:.+((SYSTEM_STATE.+slice.+state.+changed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224-22 --locoid 4054 --swversion DE.1.0.7.0 --startMP 204:232973 --initTime 2016-10-22T20:08:33 --startdatetime 2016-10-22T20:26:14 --delay 0 --endMP 204:149 --enddatetime 2016-10-22T21:06:08 --enforcementcount 0 &gt;&gt;C:\Users\stu\Documents\GitHub\eaglep3-reporting\EC\2016-10-22-refined-times.txt</v>
      </c>
      <c r="AI137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{"issue":{"subject":"","project_id":79,"tracker_id":40,"status_id":1,"priority_id":2,"assigned_to_id":23,"start_date":"2016-10-22","description":"","custom_fields":[{"id":1,"name":"Subdivision","value":"EC"},{"id":4,"name":"Milepost","value":"0.0149"},{"id":17,"name":"Train ID","value":"224-22"},{"id":16,"name":"Locomotive ID","value":"4054"},{"id":130,"name":"Impact","value":""},{"id":150,"name":"Time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593</v>
      </c>
      <c r="B138" s="7">
        <v>4038</v>
      </c>
      <c r="C138" s="22" t="s">
        <v>99</v>
      </c>
      <c r="D138" s="22" t="s">
        <v>240</v>
      </c>
      <c r="E138" s="13">
        <v>42665.831631944442</v>
      </c>
      <c r="F138" s="13">
        <v>42665.83357638889</v>
      </c>
      <c r="G138" s="7">
        <v>1</v>
      </c>
      <c r="H138" s="13" t="s">
        <v>234</v>
      </c>
      <c r="I138" s="13">
        <v>42665.858749999999</v>
      </c>
      <c r="J138" s="7">
        <v>0</v>
      </c>
      <c r="K138" s="112" t="str">
        <f t="shared" si="19"/>
        <v>4037/4038</v>
      </c>
      <c r="L138" s="22" t="str">
        <f>VLOOKUP(A138,'Trips&amp;Operators'!$C$1:$E$10000,3,FALSE)</f>
        <v>CHANDLER</v>
      </c>
      <c r="M138" s="6">
        <f t="shared" si="20"/>
        <v>2.5173611109494232E-2</v>
      </c>
      <c r="N138" s="7">
        <f t="shared" si="21"/>
        <v>36.249999997671694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https://search-rtdc-monitor-bjffxe2xuh6vdkpspy63sjmuny.us-east-1.es.amazonaws.com/_plugin/kibana/#/discover/Steve-Slow-Train-Analysis-(2080s-and-2083s)?_g=(refreshInterval:(display:Off,section:0,value:0),time:(from:'2016-10-22 18:57:33-0600',mode:absolute,to:'2016-10-22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8" s="52" t="str">
        <f t="shared" si="25"/>
        <v>N</v>
      </c>
      <c r="X138" s="171">
        <f t="shared" si="26"/>
        <v>1</v>
      </c>
      <c r="Y138" s="67">
        <f t="shared" si="27"/>
        <v>4.5100000000000001E-2</v>
      </c>
      <c r="Z138" s="67">
        <f t="shared" si="28"/>
        <v>23.329499999999999</v>
      </c>
      <c r="AA138" s="67">
        <f t="shared" si="29"/>
        <v>23.284399999999998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0"/>
        <v>0225-22</v>
      </c>
      <c r="AE138" s="91" t="str">
        <f t="shared" si="31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38" s="88" t="str">
        <f t="shared" si="32"/>
        <v>"C:\Program Files (x86)\AstroGrep\AstroGrep.exe" /spath="%USERPROFILE%\AppData\Local\Temp\OnboardLogs" /stypes="app*4038*20161023*" /stext=" 02:.+((SYSTEM_STATE.+slice.+state.+changed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225-22 --locoid 4038 --swversion DE.1.0.7.0 --startMP 204:451 --initTime 2016-10-22T19:57:33 --startdatetime 2016-10-22T20:00:21 --delay 1 --endMP 204:233295 --enddatetime 2016-10-22T20:36:36 --enforcementcount 0 &gt;&gt;C:\Users\stu\Documents\GitHub\eaglep3-reporting\EC\2016-10-22-refined-times.txt</v>
      </c>
      <c r="AI138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{"issue":{"subject":"","project_id":79,"tracker_id":40,"status_id":1,"priority_id":2,"assigned_to_id":23,"start_date":"2016-10-22","description":"","custom_fields":[{"id":1,"name":"Subdivision","value":"EC"},{"id":4,"name":"Milepost","value":"23.3295"},{"id":17,"name":"Train ID","value":"225-22"},{"id":16,"name":"Locomotive ID","value":"4038"},{"id":130,"name":"Impact","value":""},{"id":150,"name":"Time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598</v>
      </c>
      <c r="B139" s="7">
        <v>4037</v>
      </c>
      <c r="C139" s="22" t="s">
        <v>99</v>
      </c>
      <c r="D139" s="22" t="s">
        <v>704</v>
      </c>
      <c r="E139" s="13">
        <v>42665.871469907404</v>
      </c>
      <c r="F139" s="13">
        <v>42665.87263888889</v>
      </c>
      <c r="G139" s="7">
        <v>1</v>
      </c>
      <c r="H139" s="13" t="s">
        <v>279</v>
      </c>
      <c r="I139" s="13">
        <v>42665.900972222225</v>
      </c>
      <c r="J139" s="7">
        <v>0</v>
      </c>
      <c r="K139" s="112" t="str">
        <f t="shared" ref="K139:K198" si="36">IF(ISEVEN(B139),(B139-1)&amp;"/"&amp;B139,B139&amp;"/"&amp;(B139+1))</f>
        <v>4037/4038</v>
      </c>
      <c r="L139" s="22" t="str">
        <f>VLOOKUP(A139,'Trips&amp;Operators'!$C$1:$E$10000,3,FALSE)</f>
        <v>CHANDLER</v>
      </c>
      <c r="M139" s="6">
        <f t="shared" ref="M139:M198" si="37">I139-F139</f>
        <v>2.8333333335467614E-2</v>
      </c>
      <c r="N139" s="7">
        <f t="shared" ref="N139:P198" si="38">24*60*SUM($M139:$M139)</f>
        <v>40.800000003073364</v>
      </c>
      <c r="O139" s="7"/>
      <c r="P139" s="7"/>
      <c r="Q139" s="23"/>
      <c r="R139" s="23"/>
      <c r="S139" s="35">
        <f t="shared" ref="S139:S198" si="39">SUM(U139:U139)/IF(AG139="EC",12,1)</f>
        <v>1</v>
      </c>
      <c r="T139" s="50" t="str">
        <f t="shared" ref="T139:T198" si="40">IF(ISEVEN(LEFT(AD139,4)),"Southbound","NorthBound")</f>
        <v>Southbound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198" si="41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https://search-rtdc-monitor-bjffxe2xuh6vdkpspy63sjmuny.us-east-1.es.amazonaws.com/_plugin/kibana/#/discover/Steve-Slow-Train-Analysis-(2080s-and-2083s)?_g=(refreshInterval:(display:Off,section:0,value:0),time:(from:'2016-10-22 19:54:55-0600',mode:absolute,to:'2016-10-22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9" s="52" t="str">
        <f t="shared" ref="W139:W198" si="42">IF(AA139&lt;IF(AG139="EC",23,5.65),"Y","N")</f>
        <v>N</v>
      </c>
      <c r="X139" s="171">
        <f t="shared" ref="X139:X198" si="43">VALUE(LEFT(AD139,4))-VALUE(LEFT(AD138,4))</f>
        <v>1</v>
      </c>
      <c r="Y139" s="67">
        <f t="shared" ref="Y139:Y198" si="44">RIGHT(D139,LEN(D139)-4)/10000</f>
        <v>23.297899999999998</v>
      </c>
      <c r="Z139" s="67">
        <f t="shared" ref="Z139:Z198" si="45">RIGHT(H139,LEN(H139)-4)/10000</f>
        <v>1.5800000000000002E-2</v>
      </c>
      <c r="AA139" s="67">
        <f t="shared" ref="AA139:AA198" si="46">ABS(Z139-Y139)</f>
        <v>23.2821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ref="AD139:AD198" si="47">IF(LEN(A139)=6,"0"&amp;A139,A139)</f>
        <v>0226-22</v>
      </c>
      <c r="AE139" s="91" t="str">
        <f t="shared" ref="AE139:AE198" si="48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139" s="88" t="str">
        <f t="shared" ref="AF139:AF198" si="49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/stypes="app*4037*20161023*" /stext=" 03:.+((SYSTEM_STATE.+slice.+state.+changed )|(ment ac)|(system.+state.+changed )|(\[timeout)|(PRM\|1\|D)|(kpr)|(kdp)|(\|lc)|(penalty))" /e /r /s</v>
      </c>
      <c r="AG139" s="1" t="str">
        <f t="shared" ref="AG139:AG198" si="50">IFERROR(IF(VALUE(LEFT(AD139,2))&lt;=2,"EC",IF(OR(VALUE(LEFT(AD139,2))=8,VALUE(LEFT(AD139,2))=18),"NW","Other")),"Other")</f>
        <v>EC</v>
      </c>
      <c r="AH139" s="92" t="str">
        <f t="shared" si="34"/>
        <v>"%USERPROFILE%\Documents\GitHub\eaglep3\Utilities\RefineRTDCRunTimes.py" --tripid 226-22 --locoid 4037 --swversion DE.1.0.7.0 --startMP 204:232979 --initTime 2016-10-22T20:54:55 --startdatetime 2016-10-22T20:56:36 --delay 1 --endMP 204:158 --enddatetime 2016-10-22T21:37:24 --enforcementcount 0 &gt;&gt;C:\Users\stu\Documents\GitHub\eaglep3-reporting\EC\2016-10-22-refined-times.txt</v>
      </c>
      <c r="AI139" s="122" t="str">
        <f t="shared" si="35"/>
        <v>echo {"issue":{"subject":"","project_id":79,"tracker_id":40,"status_id":1,"priority_id":2,"assigned_to_id":23,"start_date":"2016-10-22","description":"","custom_fields":[{"id":1,"name":"Subdivision","value":"EC"},{"id":4,"name":"Milepost","value":"0.0158"},{"id":17,"name":"Train ID","value":"226-22"},{"id":16,"name":"Locomotive ID","value":"4037"},{"id":130,"name":"Impact","value":""},{"id":150,"name":"Time of Event (Mountain Time)","value":"21:37:24"},{"id":151,"name":"Denver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596</v>
      </c>
      <c r="B140" s="7">
        <v>4042</v>
      </c>
      <c r="C140" s="22" t="s">
        <v>99</v>
      </c>
      <c r="D140" s="22" t="s">
        <v>233</v>
      </c>
      <c r="E140" s="13">
        <v>42665.850266203706</v>
      </c>
      <c r="F140" s="13">
        <v>42665.854421296295</v>
      </c>
      <c r="G140" s="7">
        <v>1</v>
      </c>
      <c r="H140" s="13" t="s">
        <v>256</v>
      </c>
      <c r="I140" s="13">
        <v>42665.880520833336</v>
      </c>
      <c r="J140" s="7">
        <v>0</v>
      </c>
      <c r="K140" s="112" t="str">
        <f t="shared" si="36"/>
        <v>4041/4042</v>
      </c>
      <c r="L140" s="22" t="str">
        <f>VLOOKUP(A140,'Trips&amp;Operators'!$C$1:$E$10000,3,FALSE)</f>
        <v>ARVIDSON</v>
      </c>
      <c r="M140" s="6">
        <f t="shared" si="37"/>
        <v>2.6099537040863652E-2</v>
      </c>
      <c r="N140" s="7">
        <f t="shared" si="38"/>
        <v>37.583333338843659</v>
      </c>
      <c r="O140" s="7"/>
      <c r="P140" s="7"/>
      <c r="Q140" s="23"/>
      <c r="R140" s="23"/>
      <c r="S140" s="35">
        <f t="shared" si="39"/>
        <v>1</v>
      </c>
      <c r="T140" s="50" t="str">
        <f t="shared" si="40"/>
        <v>NorthBound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19:24:23-0600',mode:absolute,to:'2016-10-22 22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52" t="str">
        <f t="shared" si="42"/>
        <v>N</v>
      </c>
      <c r="X140" s="171">
        <f t="shared" si="43"/>
        <v>1</v>
      </c>
      <c r="Y140" s="67">
        <f t="shared" si="44"/>
        <v>4.6600000000000003E-2</v>
      </c>
      <c r="Z140" s="67">
        <f t="shared" si="45"/>
        <v>23.330100000000002</v>
      </c>
      <c r="AA140" s="67">
        <f t="shared" si="46"/>
        <v>23.2835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7"/>
        <v>0227-22</v>
      </c>
      <c r="AE140" s="91" t="str">
        <f t="shared" si="48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40" s="88" t="str">
        <f t="shared" si="49"/>
        <v>"C:\Program Files (x86)\AstroGrep\AstroGrep.exe" /spath="%USERPROFILE%\AppData\Local\Temp\OnboardLogs" /stypes="app*4042*20161023*" /stext=" 03:.+((SYSTEM_STATE.+slice.+state.+changed )|(ment ac)|(system.+state.+changed )|(\[timeout)|(PRM\|1\|D)|(kpr)|(kdp)|(\|lc)|(penalty))" /e /r /s</v>
      </c>
      <c r="AG140" s="1" t="str">
        <f t="shared" si="50"/>
        <v>EC</v>
      </c>
      <c r="AH140" s="92" t="str">
        <f t="shared" ref="AH140:AH199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227-22 --locoid 4042 --swversion DE.1.0.7.0 --startMP 204:466 --initTime 2016-10-22T20:24:23 --startdatetime 2016-10-22T20:30:22 --delay 1 --endMP 204:233301 --enddatetime 2016-10-22T21:07:57 --enforcementcount 0 &gt;&gt;C:\Users\stu\Documents\GitHub\eaglep3-reporting\EC\2016-10-22-refined-times.txt</v>
      </c>
      <c r="AI140" s="122" t="str">
        <f t="shared" ref="AI140:AI199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{"issue":{"subject":"","project_id":79,"tracker_id":40,"status_id":1,"priority_id":2,"assigned_to_id":23,"start_date":"2016-10-22","description":"","custom_fields":[{"id":1,"name":"Subdivision","value":"EC"},{"id":4,"name":"Milepost","value":"23.3301"},{"id":17,"name":"Train ID","value":"227-22"},{"id":16,"name":"Locomotive ID","value":"4042"},{"id":130,"name":"Impact","value":""},{"id":150,"name":"Time of Event (Mountain Time)","value":"21:07:57"},{"id":151,"name":"Denver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601</v>
      </c>
      <c r="B141" s="7">
        <v>4041</v>
      </c>
      <c r="C141" s="22" t="s">
        <v>99</v>
      </c>
      <c r="D141" s="22" t="s">
        <v>399</v>
      </c>
      <c r="E141" s="13">
        <v>42665.889270833337</v>
      </c>
      <c r="F141" s="13">
        <v>42665.89329861111</v>
      </c>
      <c r="G141" s="7">
        <v>1</v>
      </c>
      <c r="H141" s="13" t="s">
        <v>264</v>
      </c>
      <c r="I141" s="13">
        <v>42665.920925925922</v>
      </c>
      <c r="J141" s="7">
        <v>0</v>
      </c>
      <c r="K141" s="112" t="str">
        <f t="shared" si="36"/>
        <v>4041/4042</v>
      </c>
      <c r="L141" s="22" t="str">
        <f>VLOOKUP(A141,'Trips&amp;Operators'!$C$1:$E$10000,3,FALSE)</f>
        <v>ARVIDSON</v>
      </c>
      <c r="M141" s="6">
        <f t="shared" si="37"/>
        <v>2.7627314811979886E-2</v>
      </c>
      <c r="N141" s="7">
        <f t="shared" si="38"/>
        <v>39.783333329251036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Southbound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20:20:33-0600',mode:absolute,to:'2016-10-22 23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52" t="str">
        <f t="shared" si="42"/>
        <v>N</v>
      </c>
      <c r="X141" s="171">
        <f t="shared" si="43"/>
        <v>1</v>
      </c>
      <c r="Y141" s="67">
        <f t="shared" si="44"/>
        <v>23.296900000000001</v>
      </c>
      <c r="Z141" s="67">
        <f t="shared" si="45"/>
        <v>1.5599999999999999E-2</v>
      </c>
      <c r="AA141" s="67">
        <f t="shared" si="46"/>
        <v>23.281300000000002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47"/>
        <v>0228-22</v>
      </c>
      <c r="AE141" s="91" t="str">
        <f t="shared" si="48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141" s="88" t="str">
        <f t="shared" si="49"/>
        <v>"C:\Program Files (x86)\AstroGrep\AstroGrep.exe" /spath="%USERPROFILE%\AppData\Local\Temp\OnboardLogs" /stypes="app*4041*20161023*" /stext=" 04:.+((SYSTEM_STATE.+slice.+state.+changed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si="51"/>
        <v>"%USERPROFILE%\Documents\GitHub\eaglep3\Utilities\RefineRTDCRunTimes.py" --tripid 228-22 --locoid 4041 --swversion DE.1.0.7.0 --startMP 204:232969 --initTime 2016-10-22T21:20:33 --startdatetime 2016-10-22T21:26:21 --delay 1 --endMP 204:156 --enddatetime 2016-10-22T22:06:08 --enforcementcount 0 &gt;&gt;C:\Users\stu\Documents\GitHub\eaglep3-reporting\EC\2016-10-22-refined-times.txt</v>
      </c>
      <c r="AI141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ID","value":"228-22"},{"id":16,"name":"Locomotive ID","value":"4041"},{"id":130,"name":"Impact","value":""},{"id":150,"name":"Time of Event (Mountain Time)","value":"22:06:08"},{"id":151,"name":"Denver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597</v>
      </c>
      <c r="B142" s="7">
        <v>4011</v>
      </c>
      <c r="C142" s="22" t="s">
        <v>99</v>
      </c>
      <c r="D142" s="22" t="s">
        <v>320</v>
      </c>
      <c r="E142" s="13">
        <v>42665.86310185185</v>
      </c>
      <c r="F142" s="13">
        <v>42665.875474537039</v>
      </c>
      <c r="G142" s="7">
        <v>1</v>
      </c>
      <c r="H142" s="13" t="s">
        <v>398</v>
      </c>
      <c r="I142" s="13">
        <v>42665.900370370371</v>
      </c>
      <c r="J142" s="7">
        <v>0</v>
      </c>
      <c r="K142" s="112" t="str">
        <f t="shared" si="36"/>
        <v>4011/4012</v>
      </c>
      <c r="L142" s="22" t="str">
        <f>VLOOKUP(A142,'Trips&amp;Operators'!$C$1:$E$10000,3,FALSE)</f>
        <v>PUGH</v>
      </c>
      <c r="M142" s="6">
        <f t="shared" si="37"/>
        <v>2.4895833332266193E-2</v>
      </c>
      <c r="N142" s="7">
        <f t="shared" si="38"/>
        <v>35.849999998463318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19:42:52-0600',mode:absolute,to:'2016-10-22 22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2" s="52" t="str">
        <f t="shared" si="42"/>
        <v>N</v>
      </c>
      <c r="X142" s="171">
        <f t="shared" si="43"/>
        <v>1</v>
      </c>
      <c r="Y142" s="67">
        <f t="shared" si="44"/>
        <v>4.3999999999999997E-2</v>
      </c>
      <c r="Z142" s="67">
        <f t="shared" si="45"/>
        <v>23.3323</v>
      </c>
      <c r="AA142" s="67">
        <f t="shared" si="46"/>
        <v>23.2883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47"/>
        <v>0229-22</v>
      </c>
      <c r="AE142" s="91" t="str">
        <f t="shared" si="48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42" s="88" t="str">
        <f t="shared" si="49"/>
        <v>"C:\Program Files (x86)\AstroGrep\AstroGrep.exe" /spath="%USERPROFILE%\AppData\Local\Temp\OnboardLogs" /stypes="app*4011*20161023*" /stext=" 03:.+((SYSTEM_STATE.+slice.+state.+changed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229-22 --locoid 4011 --swversion DE.1.0.7.0 --startMP 204:440 --initTime 2016-10-22T20:42:52 --startdatetime 2016-10-22T21:00:41 --delay 1 --endMP 204:233323 --enddatetime 2016-10-22T21:36:32 --enforcementcount 0 &gt;&gt;C:\Users\stu\Documents\GitHub\eaglep3-reporting\EC\2016-10-22-refined-times.txt</v>
      </c>
      <c r="AI142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{"issue":{"subject":"","project_id":79,"tracker_id":40,"status_id":1,"priority_id":2,"assigned_to_id":23,"start_date":"2016-10-22","description":"","custom_fields":[{"id":1,"name":"Subdivision","value":"EC"},{"id":4,"name":"Milepost","value":"23.3323"},{"id":17,"name":"Train ID","value":"229-22"},{"id":16,"name":"Locomotive ID","value":"4011"},{"id":130,"name":"Impact","value":""},{"id":150,"name":"Time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603</v>
      </c>
      <c r="B143" s="7">
        <v>4012</v>
      </c>
      <c r="C143" s="22" t="s">
        <v>99</v>
      </c>
      <c r="D143" s="22" t="s">
        <v>333</v>
      </c>
      <c r="E143" s="13">
        <v>42665.906053240738</v>
      </c>
      <c r="F143" s="13">
        <v>42665.914513888885</v>
      </c>
      <c r="G143" s="7">
        <v>1</v>
      </c>
      <c r="H143" s="13" t="s">
        <v>264</v>
      </c>
      <c r="I143" s="13">
        <v>42665.940266203703</v>
      </c>
      <c r="J143" s="7">
        <v>0</v>
      </c>
      <c r="K143" s="112" t="str">
        <f t="shared" si="36"/>
        <v>4011/4012</v>
      </c>
      <c r="L143" s="22" t="str">
        <f>VLOOKUP(A143,'Trips&amp;Operators'!$C$1:$E$10000,3,FALSE)</f>
        <v>PUGH</v>
      </c>
      <c r="M143" s="6">
        <f t="shared" si="37"/>
        <v>2.5752314817509614E-2</v>
      </c>
      <c r="N143" s="7">
        <f t="shared" si="38"/>
        <v>37.083333337213844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20:44:43-0600',mode:absolute,to:'2016-10-22 23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3" s="52" t="str">
        <f t="shared" si="42"/>
        <v>N</v>
      </c>
      <c r="X143" s="171">
        <f t="shared" si="43"/>
        <v>1</v>
      </c>
      <c r="Y143" s="67">
        <f t="shared" si="44"/>
        <v>23.300599999999999</v>
      </c>
      <c r="Z143" s="67">
        <f t="shared" si="45"/>
        <v>1.5599999999999999E-2</v>
      </c>
      <c r="AA143" s="67">
        <f t="shared" si="46"/>
        <v>23.285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47"/>
        <v>0230-22</v>
      </c>
      <c r="AE143" s="91" t="str">
        <f t="shared" si="48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143" s="88" t="str">
        <f t="shared" si="49"/>
        <v>"C:\Program Files (x86)\AstroGrep\AstroGrep.exe" /spath="%USERPROFILE%\AppData\Local\Temp\OnboardLogs" /stypes="app*4012*20161023*" /stext=" 04:.+((SYSTEM_STATE.+slice.+state.+changed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230-22 --locoid 4012 --swversion DE.1.0.7.0 --startMP 204:233006 --initTime 2016-10-22T21:44:43 --startdatetime 2016-10-22T21:56:54 --delay 1 --endMP 204:156 --enddatetime 2016-10-22T22:33:59 --enforcementcount 0 &gt;&gt;C:\Users\stu\Documents\GitHub\eaglep3-reporting\EC\2016-10-22-refined-times.txt</v>
      </c>
      <c r="AI143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{"issue":{"subject":"","project_id":79,"tracker_id":40,"status_id":1,"priority_id":2,"assigned_to_id":23,"start_date":"2016-10-22","description":"","custom_fields":[{"id":1,"name":"Subdivision","value":"EC"},{"id":4,"name":"Milepost","value":"0.0156"},{"id":17,"name":"Train ID","value":"230-22"},{"id":16,"name":"Locomotive ID","value":"4012"},{"id":130,"name":"Impact","value":""},{"id":150,"name":"Time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600</v>
      </c>
      <c r="B144" s="7">
        <v>4053</v>
      </c>
      <c r="C144" s="22" t="s">
        <v>99</v>
      </c>
      <c r="D144" s="22" t="s">
        <v>233</v>
      </c>
      <c r="E144" s="13">
        <v>42665.888240740744</v>
      </c>
      <c r="F144" s="13">
        <v>42665.896018518521</v>
      </c>
      <c r="G144" s="7">
        <v>1</v>
      </c>
      <c r="H144" s="13" t="s">
        <v>394</v>
      </c>
      <c r="I144" s="13">
        <v>42665.920046296298</v>
      </c>
      <c r="J144" s="7">
        <v>0</v>
      </c>
      <c r="K144" s="112" t="str">
        <f t="shared" si="36"/>
        <v>4053/4054</v>
      </c>
      <c r="L144" s="22" t="str">
        <f>VLOOKUP(A144,'Trips&amp;Operators'!$C$1:$E$10000,3,FALSE)</f>
        <v>NEWELL</v>
      </c>
      <c r="M144" s="6">
        <f t="shared" si="37"/>
        <v>2.4027777777519077E-2</v>
      </c>
      <c r="N144" s="7">
        <f t="shared" si="38"/>
        <v>34.599999999627471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20:19:04-0600',mode:absolute,to:'2016-10-22 23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4" s="52" t="str">
        <f t="shared" si="42"/>
        <v>N</v>
      </c>
      <c r="X144" s="171">
        <f t="shared" si="43"/>
        <v>1</v>
      </c>
      <c r="Y144" s="67">
        <f t="shared" si="44"/>
        <v>4.6600000000000003E-2</v>
      </c>
      <c r="Z144" s="67">
        <f t="shared" si="45"/>
        <v>23.3324</v>
      </c>
      <c r="AA144" s="67">
        <f t="shared" si="46"/>
        <v>23.285799999999998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47"/>
        <v>0231-22</v>
      </c>
      <c r="AE144" s="91" t="str">
        <f t="shared" si="48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44" s="88" t="str">
        <f t="shared" si="49"/>
        <v>"C:\Program Files (x86)\AstroGrep\AstroGrep.exe" /spath="%USERPROFILE%\AppData\Local\Temp\OnboardLogs" /stypes="app*4053*20161023*"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231-22 --locoid 4053 --swversion DE.1.0.7.0 --startMP 204:466 --initTime 2016-10-22T21:19:04 --startdatetime 2016-10-22T21:30:16 --delay 1 --endMP 204:233324 --enddatetime 2016-10-22T22:04:52 --enforcementcount 0 &gt;&gt;C:\Users\stu\Documents\GitHub\eaglep3-reporting\EC\2016-10-22-refined-times.txt</v>
      </c>
      <c r="AI144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{"issue":{"subject":"","project_id":79,"tracker_id":40,"status_id":1,"priority_id":2,"assigned_to_id":23,"start_date":"2016-10-22","description":"","custom_fields":[{"id":1,"name":"Subdivision","value":"EC"},{"id":4,"name":"Milepost","value":"23.3324"},{"id":17,"name":"Train ID","value":"231-22"},{"id":16,"name":"Locomotive ID","value":"4053"},{"id":130,"name":"Impact","value":""},{"id":150,"name":"Time of Event (Mountain Time)","value":"22:04:52"},{"id":151,"name":"Denver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605</v>
      </c>
      <c r="B145" s="7">
        <v>4054</v>
      </c>
      <c r="C145" s="22" t="s">
        <v>99</v>
      </c>
      <c r="D145" s="22" t="s">
        <v>257</v>
      </c>
      <c r="E145" s="13">
        <v>42665.929675925923</v>
      </c>
      <c r="F145" s="13">
        <v>42665.934872685182</v>
      </c>
      <c r="G145" s="7">
        <v>1</v>
      </c>
      <c r="H145" s="13" t="s">
        <v>237</v>
      </c>
      <c r="I145" s="13">
        <v>42665.960995370369</v>
      </c>
      <c r="J145" s="7">
        <v>0</v>
      </c>
      <c r="K145" s="112" t="str">
        <f t="shared" si="36"/>
        <v>4053/4054</v>
      </c>
      <c r="L145" s="22" t="str">
        <f>VLOOKUP(A145,'Trips&amp;Operators'!$C$1:$E$10000,3,FALSE)</f>
        <v>NEWELL</v>
      </c>
      <c r="M145" s="6">
        <f t="shared" si="37"/>
        <v>2.6122685187146999E-2</v>
      </c>
      <c r="N145" s="7">
        <f t="shared" si="38"/>
        <v>37.616666669491678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21:18:44-0600',mode:absolute,to:'2016-10-23 00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5" s="52" t="str">
        <f t="shared" si="42"/>
        <v>N</v>
      </c>
      <c r="X145" s="171">
        <f t="shared" si="43"/>
        <v>1</v>
      </c>
      <c r="Y145" s="67">
        <f t="shared" si="44"/>
        <v>23.299399999999999</v>
      </c>
      <c r="Z145" s="67">
        <f t="shared" si="45"/>
        <v>1.6E-2</v>
      </c>
      <c r="AA145" s="67">
        <f t="shared" si="46"/>
        <v>23.2834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47"/>
        <v>0232-22</v>
      </c>
      <c r="AE145" s="91" t="str">
        <f t="shared" si="48"/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AF145" s="88" t="str">
        <f t="shared" si="49"/>
        <v>"C:\Program Files (x86)\AstroGrep\AstroGrep.exe" /spath="%USERPROFILE%\AppData\Local\Temp\OnboardLogs" /stypes="app*4054*20161023*"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232-22 --locoid 4054 --swversion DE.1.0.7.0 --startMP 204:232994 --initTime 2016-10-22T22:18:44 --startdatetime 2016-10-22T22:26:13 --delay 1 --endMP 204:160 --enddatetime 2016-10-22T23:03:50 --enforcementcount 0 &gt;&gt;C:\Users\stu\Documents\GitHub\eaglep3-reporting\EC\2016-10-22-refined-times.txt</v>
      </c>
      <c r="AI145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{"issue":{"subject":"","project_id":79,"tracker_id":40,"status_id":1,"priority_id":2,"assigned_to_id":23,"start_date":"2016-10-22","description":"","custom_fields":[{"id":1,"name":"Subdivision","value":"EC"},{"id":4,"name":"Milepost","value":"0.016"},{"id":17,"name":"Train ID","value":"232-22"},{"id":16,"name":"Locomotive ID","value":"4054"},{"id":130,"name":"Impact","value":""},{"id":150,"name":"Time of Event (Mountain Time)","value":"23:03:50"},{"id":151,"name":"Denver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604</v>
      </c>
      <c r="B146" s="7">
        <v>4038</v>
      </c>
      <c r="C146" s="22" t="s">
        <v>99</v>
      </c>
      <c r="D146" s="22" t="s">
        <v>239</v>
      </c>
      <c r="E146" s="13">
        <v>42665.914571759262</v>
      </c>
      <c r="F146" s="13">
        <v>42665.916909722226</v>
      </c>
      <c r="G146" s="7">
        <v>0</v>
      </c>
      <c r="H146" s="13" t="s">
        <v>183</v>
      </c>
      <c r="I146" s="13">
        <v>42665.941805555558</v>
      </c>
      <c r="J146" s="7">
        <v>0</v>
      </c>
      <c r="K146" s="112" t="str">
        <f t="shared" si="36"/>
        <v>4037/4038</v>
      </c>
      <c r="L146" s="22" t="str">
        <f>VLOOKUP(A146,'Trips&amp;Operators'!$C$1:$E$10000,3,FALSE)</f>
        <v>CHANDLER</v>
      </c>
      <c r="M146" s="6">
        <f t="shared" si="37"/>
        <v>2.4895833332266193E-2</v>
      </c>
      <c r="N146" s="7">
        <f t="shared" si="38"/>
        <v>35.849999998463318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20:56:59-0600',mode:absolute,to:'2016-10-22 23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6" s="52" t="str">
        <f t="shared" si="42"/>
        <v>N</v>
      </c>
      <c r="X146" s="171">
        <f t="shared" si="43"/>
        <v>1</v>
      </c>
      <c r="Y146" s="67">
        <f t="shared" si="44"/>
        <v>4.6899999999999997E-2</v>
      </c>
      <c r="Z146" s="67">
        <f t="shared" si="45"/>
        <v>23.331199999999999</v>
      </c>
      <c r="AA146" s="67">
        <f t="shared" si="46"/>
        <v>23.284299999999998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47"/>
        <v>0233-22</v>
      </c>
      <c r="AE146" s="91" t="str">
        <f t="shared" si="48"/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AF146" s="88" t="str">
        <f t="shared" si="49"/>
        <v>"C:\Program Files (x86)\AstroGrep\AstroGrep.exe" /spath="%USERPROFILE%\AppData\Local\Temp\OnboardLogs" /stypes="app*4038*20161023*" /stext=" 04:.+((SYSTEM_STATE.+slice.+state.+changed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233-22 --locoid 4038 --swversion DE.1.0.7.0 --startMP 204:469 --initTime 2016-10-22T21:56:59 --startdatetime 2016-10-22T22:00:21 --delay 0 --endMP 204:233312 --enddatetime 2016-10-22T22:36:12 --enforcementcount 0 &gt;&gt;C:\Users\stu\Documents\GitHub\eaglep3-reporting\EC\2016-10-22-refined-times.txt</v>
      </c>
      <c r="AI146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{"issue":{"subject":"","project_id":79,"tracker_id":40,"status_id":1,"priority_id":2,"assigned_to_id":23,"start_date":"2016-10-22","description":"","custom_fields":[{"id":1,"name":"Subdivision","value":"EC"},{"id":4,"name":"Milepost","value":"23.3312"},{"id":17,"name":"Train ID","value":"233-22"},{"id":16,"name":"Locomotive ID","value":"4038"},{"id":130,"name":"Impact","value":""},{"id":150,"name":"Time of Event (Mountain Time)","value":"22:36:12"},{"id":151,"name":"Denver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446</v>
      </c>
      <c r="B147" s="7">
        <v>4037</v>
      </c>
      <c r="C147" s="22" t="s">
        <v>99</v>
      </c>
      <c r="D147" s="22" t="s">
        <v>379</v>
      </c>
      <c r="E147" s="13">
        <v>42665.954618055555</v>
      </c>
      <c r="F147" s="13">
        <v>42665.956192129626</v>
      </c>
      <c r="G147" s="7">
        <v>1</v>
      </c>
      <c r="H147" s="13" t="s">
        <v>728</v>
      </c>
      <c r="I147" s="13">
        <v>42665.983194444445</v>
      </c>
      <c r="J147" s="7">
        <v>0</v>
      </c>
      <c r="K147" s="112" t="str">
        <f t="shared" si="36"/>
        <v>4037/4038</v>
      </c>
      <c r="L147" s="22" t="str">
        <f>VLOOKUP(A147,'Trips&amp;Operators'!$C$1:$E$10000,3,FALSE)</f>
        <v>CHANDLER</v>
      </c>
      <c r="M147" s="6">
        <f t="shared" si="37"/>
        <v>2.7002314818673767E-2</v>
      </c>
      <c r="N147" s="7">
        <f t="shared" si="38"/>
        <v>38.883333338890225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21:54:39-0600',mode:absolute,to:'2016-10-23 00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7" s="52" t="str">
        <f t="shared" si="42"/>
        <v>N</v>
      </c>
      <c r="X147" s="171">
        <f t="shared" si="43"/>
        <v>1</v>
      </c>
      <c r="Y147" s="67">
        <f t="shared" si="44"/>
        <v>23.298500000000001</v>
      </c>
      <c r="Z147" s="67">
        <f t="shared" si="45"/>
        <v>1.2699999999999999E-2</v>
      </c>
      <c r="AA147" s="67">
        <f t="shared" si="46"/>
        <v>23.285800000000002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47"/>
        <v>0234-22</v>
      </c>
      <c r="AE147" s="91" t="str">
        <f t="shared" si="48"/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AF147" s="88" t="str">
        <f t="shared" si="49"/>
        <v>"C:\Program Files (x86)\AstroGrep\AstroGrep.exe" /spath="%USERPROFILE%\AppData\Local\Temp\OnboardLogs" /stypes="app*4037*20161023*" /stext=" 05:.+((SYSTEM_STATE.+slice.+state.+changed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234-22 --locoid 4037 --swversion DE.1.0.7.0 --startMP 204:232985 --initTime 2016-10-22T22:54:39 --startdatetime 2016-10-22T22:56:55 --delay 1 --endMP 204:127 --enddatetime 2016-10-22T23:35:48 --enforcementcount 0 &gt;&gt;C:\Users\stu\Documents\GitHub\eaglep3-reporting\EC\2016-10-22-refined-times.txt</v>
      </c>
      <c r="AI147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{"issue":{"subject":"","project_id":79,"tracker_id":40,"status_id":1,"priority_id":2,"assigned_to_id":23,"start_date":"2016-10-22","description":"","custom_fields":[{"id":1,"name":"Subdivision","value":"EC"},{"id":4,"name":"Milepost","value":"0.0127"},{"id":17,"name":"Train ID","value":"234-22"},{"id":16,"name":"Locomotive ID","value":"4037"},{"id":130,"name":"Impact","value":""},{"id":150,"name":"Time of Event (Mountain Time)","value":"23:35:48"},{"id":151,"name":"Denver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606</v>
      </c>
      <c r="B148" s="7">
        <v>4042</v>
      </c>
      <c r="C148" s="22" t="s">
        <v>99</v>
      </c>
      <c r="D148" s="22" t="s">
        <v>650</v>
      </c>
      <c r="E148" s="13">
        <v>42665.932673611111</v>
      </c>
      <c r="F148" s="13">
        <v>42665.937743055554</v>
      </c>
      <c r="G148" s="7">
        <v>1</v>
      </c>
      <c r="H148" s="13" t="s">
        <v>256</v>
      </c>
      <c r="I148" s="13">
        <v>42665.96361111111</v>
      </c>
      <c r="J148" s="7">
        <v>0</v>
      </c>
      <c r="K148" s="112" t="str">
        <f t="shared" si="36"/>
        <v>4041/4042</v>
      </c>
      <c r="L148" s="22" t="str">
        <f>VLOOKUP(A148,'Trips&amp;Operators'!$C$1:$E$10000,3,FALSE)</f>
        <v>ARVIDSON</v>
      </c>
      <c r="M148" s="6">
        <f t="shared" si="37"/>
        <v>2.5868055556202307E-2</v>
      </c>
      <c r="N148" s="7">
        <f t="shared" si="38"/>
        <v>37.250000000931323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21:23:03-0600',mode:absolute,to:'2016-10-23 00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52" t="str">
        <f t="shared" si="42"/>
        <v>N</v>
      </c>
      <c r="X148" s="171">
        <f t="shared" si="43"/>
        <v>1</v>
      </c>
      <c r="Y148" s="67">
        <f t="shared" si="44"/>
        <v>4.5699999999999998E-2</v>
      </c>
      <c r="Z148" s="67">
        <f t="shared" si="45"/>
        <v>23.330100000000002</v>
      </c>
      <c r="AA148" s="67">
        <f t="shared" si="46"/>
        <v>23.284400000000002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47"/>
        <v>0235-22</v>
      </c>
      <c r="AE148" s="91" t="str">
        <f t="shared" si="48"/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AF148" s="88" t="str">
        <f t="shared" si="49"/>
        <v>"C:\Program Files (x86)\AstroGrep\AstroGrep.exe" /spath="%USERPROFILE%\AppData\Local\Temp\OnboardLogs" /stypes="app*4042*20161023*"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235-22 --locoid 4042 --swversion DE.1.0.7.0 --startMP 204:457 --initTime 2016-10-22T22:23:03 --startdatetime 2016-10-22T22:30:21 --delay 1 --endMP 204:233301 --enddatetime 2016-10-22T23:07:36 --enforcementcount 0 &gt;&gt;C:\Users\stu\Documents\GitHub\eaglep3-reporting\EC\2016-10-22-refined-times.txt</v>
      </c>
      <c r="AI148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{"issue":{"subject":"","project_id":79,"tracker_id":40,"status_id":1,"priority_id":2,"assigned_to_id":23,"start_date":"2016-10-22","description":"","custom_fields":[{"id":1,"name":"Subdivision","value":"EC"},{"id":4,"name":"Milepost","value":"23.3301"},{"id":17,"name":"Train ID","value":"235-22"},{"id":16,"name":"Locomotive ID","value":"4042"},{"id":130,"name":"Impact","value":""},{"id":150,"name":"Time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610</v>
      </c>
      <c r="B149" s="7">
        <v>4041</v>
      </c>
      <c r="C149" s="22" t="s">
        <v>99</v>
      </c>
      <c r="D149" s="22" t="s">
        <v>317</v>
      </c>
      <c r="E149" s="13">
        <v>42665.973622685182</v>
      </c>
      <c r="F149" s="13">
        <v>42665.976655092592</v>
      </c>
      <c r="G149" s="7">
        <v>1</v>
      </c>
      <c r="H149" s="13" t="s">
        <v>728</v>
      </c>
      <c r="I149" s="13">
        <v>42666.004583333335</v>
      </c>
      <c r="J149" s="7">
        <v>0</v>
      </c>
      <c r="K149" s="112" t="str">
        <f t="shared" si="36"/>
        <v>4041/4042</v>
      </c>
      <c r="L149" s="22" t="str">
        <f>VLOOKUP(A149,'Trips&amp;Operators'!$C$1:$E$10000,3,FALSE)</f>
        <v>ARVIDSON</v>
      </c>
      <c r="M149" s="6">
        <f t="shared" si="37"/>
        <v>2.792824074276723E-2</v>
      </c>
      <c r="N149" s="7">
        <f t="shared" si="38"/>
        <v>40.216666669584811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22:22:01-0600',mode:absolute,to:'2016-10-23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52" t="str">
        <f t="shared" si="42"/>
        <v>N</v>
      </c>
      <c r="X149" s="171">
        <f t="shared" si="43"/>
        <v>1</v>
      </c>
      <c r="Y149" s="67">
        <f t="shared" si="44"/>
        <v>23.2973</v>
      </c>
      <c r="Z149" s="67">
        <f t="shared" si="45"/>
        <v>1.2699999999999999E-2</v>
      </c>
      <c r="AA149" s="67">
        <f t="shared" si="46"/>
        <v>23.284600000000001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47"/>
        <v>0236-22</v>
      </c>
      <c r="AE149" s="91" t="str">
        <f t="shared" si="48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149" s="88" t="str">
        <f t="shared" si="49"/>
        <v>"C:\Program Files (x86)\AstroGrep\AstroGrep.exe" /spath="%USERPROFILE%\AppData\Local\Temp\OnboardLogs" /stypes="app*4041*20161023*"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236-22 --locoid 4041 --swversion DE.1.0.7.0 --startMP 204:232973 --initTime 2016-10-22T23:22:01 --startdatetime 2016-10-22T23:26:23 --delay 1 --endMP 204:127 --enddatetime 2016-10-23T00:06:36 --enforcementcount 0 &gt;&gt;C:\Users\stu\Documents\GitHub\eaglep3-reporting\EC\2016-10-22-refined-times.txt</v>
      </c>
      <c r="AI149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{"issue":{"subject":"","project_id":79,"tracker_id":40,"status_id":1,"priority_id":2,"assigned_to_id":23,"start_date":"2016-10-23","description":"","custom_fields":[{"id":1,"name":"Subdivision","value":"EC"},{"id":4,"name":"Milepost","value":"0.0127"},{"id":17,"name":"Train ID","value":"236-22"},{"id":16,"name":"Locomotive ID","value":"4041"},{"id":130,"name":"Impact","value":""},{"id":150,"name":"Time of Event (Mountain Time)","value":"00:06:36"},{"id":151,"name":"Denver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607</v>
      </c>
      <c r="B150" s="7">
        <v>4011</v>
      </c>
      <c r="C150" s="22" t="s">
        <v>99</v>
      </c>
      <c r="D150" s="22" t="s">
        <v>647</v>
      </c>
      <c r="E150" s="13">
        <v>42665.944780092592</v>
      </c>
      <c r="F150" s="13">
        <v>42665.958657407406</v>
      </c>
      <c r="G150" s="7">
        <v>1</v>
      </c>
      <c r="H150" s="13" t="s">
        <v>636</v>
      </c>
      <c r="I150" s="13">
        <v>42665.985092592593</v>
      </c>
      <c r="J150" s="7">
        <v>0</v>
      </c>
      <c r="K150" s="112" t="str">
        <f t="shared" si="36"/>
        <v>4011/4012</v>
      </c>
      <c r="L150" s="22" t="str">
        <f>VLOOKUP(A150,'Trips&amp;Operators'!$C$1:$E$10000,3,FALSE)</f>
        <v>BRANDNER</v>
      </c>
      <c r="M150" s="6">
        <f t="shared" si="37"/>
        <v>2.6435185187438037E-2</v>
      </c>
      <c r="N150" s="7">
        <f t="shared" si="38"/>
        <v>38.066666669910774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21:40:29-0600',mode:absolute,to:'2016-10-23 00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0" s="52" t="str">
        <f t="shared" si="42"/>
        <v>N</v>
      </c>
      <c r="X150" s="171">
        <f t="shared" si="43"/>
        <v>1</v>
      </c>
      <c r="Y150" s="67">
        <f t="shared" si="44"/>
        <v>4.8000000000000001E-2</v>
      </c>
      <c r="Z150" s="67">
        <f t="shared" si="45"/>
        <v>23.327000000000002</v>
      </c>
      <c r="AA150" s="67">
        <f t="shared" si="46"/>
        <v>23.279000000000003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47"/>
        <v>0237-22</v>
      </c>
      <c r="AE150" s="91" t="str">
        <f t="shared" si="48"/>
        <v>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 &amp; 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</v>
      </c>
      <c r="AF150" s="88" t="str">
        <f t="shared" si="49"/>
        <v>"C:\Program Files (x86)\AstroGrep\AstroGrep.exe" /spath="%USERPROFILE%\AppData\Local\Temp\OnboardLogs" /stypes="app*4011*20161023*" /stext=" 05:.+((SYSTEM_STATE.+slice.+state.+changed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237-22 --locoid 4011 --swversion DE.1.0.7.0 --startMP 204:480 --initTime 2016-10-22T22:40:29 --startdatetime 2016-10-22T23:00:28 --delay 1 --endMP 204:233270 --enddatetime 2016-10-22T23:38:32 --enforcementcount 0 &gt;&gt;C:\Users\stu\Documents\GitHub\eaglep3-reporting\EC\2016-10-22-refined-times.txt</v>
      </c>
      <c r="AI150" s="122" t="str">
        <f t="shared" si="52"/>
        <v>echo {"issue":{"subject":"","project_id":79,"tracker_id":40,"status_id":1,"priority_id":2,"assigned_to_id":23,"start_date":"2016-10-22","description":"","custom_fields":[{"id":1,"name":"Subdivision","value":"EC"},{"id":4,"name":"Milepost","value":"23.327"},{"id":17,"name":"Train ID","value":"237-22"},{"id":16,"name":"Locomotive ID","value":"4011"},{"id":130,"name":"Impact","value":""},{"id":150,"name":"Time of Event (Mountain Time)","value":"23:38:32"},{"id":151,"name":"Denver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7" t="s">
        <v>611</v>
      </c>
      <c r="B151" s="7">
        <v>4012</v>
      </c>
      <c r="C151" s="22" t="s">
        <v>99</v>
      </c>
      <c r="D151" s="22" t="s">
        <v>277</v>
      </c>
      <c r="E151" s="13">
        <v>42665.993171296293</v>
      </c>
      <c r="F151" s="13">
        <v>42665.997384259259</v>
      </c>
      <c r="G151" s="7">
        <v>1</v>
      </c>
      <c r="H151" s="13" t="s">
        <v>176</v>
      </c>
      <c r="I151" s="13">
        <v>42666.023726851854</v>
      </c>
      <c r="J151" s="7">
        <v>0</v>
      </c>
      <c r="K151" s="112" t="str">
        <f t="shared" si="36"/>
        <v>4011/4012</v>
      </c>
      <c r="L151" s="22" t="str">
        <f>VLOOKUP(A151,'Trips&amp;Operators'!$C$1:$E$10000,3,FALSE)</f>
        <v>BRANDNER</v>
      </c>
      <c r="M151" s="6">
        <f t="shared" si="37"/>
        <v>2.6342592595028691E-2</v>
      </c>
      <c r="N151" s="7">
        <f t="shared" si="38"/>
        <v>37.933333336841315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22:50:10-0600',mode:absolute,to:'2016-10-23 01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52" t="str">
        <f t="shared" si="42"/>
        <v>N</v>
      </c>
      <c r="X151" s="171">
        <f t="shared" si="43"/>
        <v>1</v>
      </c>
      <c r="Y151" s="67">
        <f t="shared" si="44"/>
        <v>23.298300000000001</v>
      </c>
      <c r="Z151" s="67">
        <f t="shared" si="45"/>
        <v>1.47E-2</v>
      </c>
      <c r="AA151" s="67">
        <f t="shared" si="46"/>
        <v>23.2836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47"/>
        <v>0238-22</v>
      </c>
      <c r="AE151" s="91" t="str">
        <f t="shared" si="48"/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AF151" s="88" t="str">
        <f t="shared" si="49"/>
        <v>"C:\Program Files (x86)\AstroGrep\AstroGrep.exe" /spath="%USERPROFILE%\AppData\Local\Temp\OnboardLogs" /stypes="app*4012*20161023*" /stext=" 06:.+((SYSTEM_STATE.+slice.+state.+changed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238-22 --locoid 4012 --swversion DE.1.0.7.0 --startMP 204:232983 --initTime 2016-10-22T23:50:10 --startdatetime 2016-10-22T23:56:14 --delay 1 --endMP 204:147 --enddatetime 2016-10-23T00:34:10 --enforcementcount 0 &gt;&gt;C:\Users\stu\Documents\GitHub\eaglep3-reporting\EC\2016-10-22-refined-times.txt</v>
      </c>
      <c r="AI151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{"issue":{"subject":"","project_id":79,"tracker_id":40,"status_id":1,"priority_id":2,"assigned_to_id":23,"start_date":"2016-10-23","description":"","custom_fields":[{"id":1,"name":"Subdivision","value":"EC"},{"id":4,"name":"Milepost","value":"0.0147"},{"id":17,"name":"Train ID","value":"238-22"},{"id":16,"name":"Locomotive ID","value":"4012"},{"id":130,"name":"Impact","value":""},{"id":150,"name":"Time of Event (Mountain Time)","value":"00:34:10"},{"id":151,"name":"Denver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x14ac:dyDescent="0.25">
      <c r="A152" s="37" t="s">
        <v>609</v>
      </c>
      <c r="B152" s="7">
        <v>4053</v>
      </c>
      <c r="C152" s="22" t="s">
        <v>99</v>
      </c>
      <c r="D152" s="22" t="s">
        <v>227</v>
      </c>
      <c r="E152" s="13">
        <v>42665.962766203702</v>
      </c>
      <c r="F152" s="13">
        <v>42665.979328703703</v>
      </c>
      <c r="G152" s="7">
        <v>1</v>
      </c>
      <c r="H152" s="13" t="s">
        <v>234</v>
      </c>
      <c r="I152" s="13">
        <v>42666.00335648148</v>
      </c>
      <c r="J152" s="7">
        <v>0</v>
      </c>
      <c r="K152" s="112" t="str">
        <f t="shared" si="36"/>
        <v>4053/4054</v>
      </c>
      <c r="L152" s="22" t="str">
        <f>VLOOKUP(A152,'Trips&amp;Operators'!$C$1:$E$10000,3,FALSE)</f>
        <v>NEWELL</v>
      </c>
      <c r="M152" s="6">
        <f t="shared" si="37"/>
        <v>2.4027777777519077E-2</v>
      </c>
      <c r="N152" s="7">
        <f t="shared" si="38"/>
        <v>34.599999999627471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22:06:23-0600',mode:absolute,to:'2016-10-23 01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2" s="52" t="str">
        <f t="shared" si="42"/>
        <v>N</v>
      </c>
      <c r="X152" s="171">
        <f t="shared" si="43"/>
        <v>1</v>
      </c>
      <c r="Y152" s="67">
        <f t="shared" si="44"/>
        <v>4.4699999999999997E-2</v>
      </c>
      <c r="Z152" s="67">
        <f t="shared" si="45"/>
        <v>23.329499999999999</v>
      </c>
      <c r="AA152" s="67">
        <f t="shared" si="46"/>
        <v>23.284800000000001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47"/>
        <v>0239-22</v>
      </c>
      <c r="AE152" s="91" t="str">
        <f t="shared" si="48"/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AF152" s="88" t="str">
        <f t="shared" si="49"/>
        <v>"C:\Program Files (x86)\AstroGrep\AstroGrep.exe" /spath="%USERPROFILE%\AppData\Local\Temp\OnboardLogs" /stypes="app*4053*20161023*"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239-22 --locoid 4053 --swversion DE.1.0.7.0 --startMP 204:447 --initTime 2016-10-22T23:06:23 --startdatetime 2016-10-22T23:30:14 --delay 1 --endMP 204:233295 --enddatetime 2016-10-23T00:04:50 --enforcementcount 0 &gt;&gt;C:\Users\stu\Documents\GitHub\eaglep3-reporting\EC\2016-10-22-refined-times.txt</v>
      </c>
      <c r="AI152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{"issue":{"subject":"","project_id":79,"tracker_id":40,"status_id":1,"priority_id":2,"assigned_to_id":23,"start_date":"2016-10-23","description":"","custom_fields":[{"id":1,"name":"Subdivision","value":"EC"},{"id":4,"name":"Milepost","value":"23.3295"},{"id":17,"name":"Train ID","value":"239-22"},{"id":16,"name":"Locomotive ID","value":"4053"},{"id":130,"name":"Impact","value":""},{"id":150,"name":"Time of Event (Mountain Time)","value":"00:04:50"},{"id":151,"name":"Denver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613</v>
      </c>
      <c r="B153" s="7">
        <v>4054</v>
      </c>
      <c r="C153" s="22" t="s">
        <v>99</v>
      </c>
      <c r="D153" s="22" t="s">
        <v>281</v>
      </c>
      <c r="E153" s="13">
        <v>42666.005879629629</v>
      </c>
      <c r="F153" s="13">
        <v>42666.018229166664</v>
      </c>
      <c r="G153" s="7">
        <v>1</v>
      </c>
      <c r="H153" s="13" t="s">
        <v>221</v>
      </c>
      <c r="I153" s="13">
        <v>42666.04415509259</v>
      </c>
      <c r="J153" s="7">
        <v>0</v>
      </c>
      <c r="K153" s="112" t="str">
        <f t="shared" si="36"/>
        <v>4053/4054</v>
      </c>
      <c r="L153" s="22" t="str">
        <f>VLOOKUP(A153,'Trips&amp;Operators'!$C$1:$E$10000,3,FALSE)</f>
        <v>NEWELL</v>
      </c>
      <c r="M153" s="6">
        <f t="shared" si="37"/>
        <v>2.5925925925548654E-2</v>
      </c>
      <c r="N153" s="7">
        <f t="shared" si="38"/>
        <v>37.333333332790062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23:08:28-0600',mode:absolute,to:'2016-10-23 02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42"/>
        <v>N</v>
      </c>
      <c r="X153" s="171">
        <f t="shared" si="43"/>
        <v>1</v>
      </c>
      <c r="Y153" s="67">
        <f t="shared" si="44"/>
        <v>23.2986</v>
      </c>
      <c r="Z153" s="67">
        <f t="shared" si="45"/>
        <v>1.4500000000000001E-2</v>
      </c>
      <c r="AA153" s="67">
        <f t="shared" si="46"/>
        <v>23.284099999999999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47"/>
        <v>0240-22</v>
      </c>
      <c r="AE153" s="91" t="str">
        <f t="shared" si="48"/>
        <v>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 &amp; aws s3 cp s3://rtdc.mdm.uploadarchive.raw/RTDC4054/ "%USERPROFILE%\AppData\Local\Temp\OnboardLogs"\RTDC4054\2016-10-24 --exclude "*" --recursive --include "*20161024*" &amp; "%USERPROFILE%\Documents\GitHub\mrs-test-scripts\Headless Mode &amp; Sideloading\WalkAndUnGZ.bat" "%USERPROFILE%\AppData\Local\Temp\OnboardLogs"\RTDC4054\2016-10-24</v>
      </c>
      <c r="AF153" s="88" t="str">
        <f t="shared" si="49"/>
        <v>"C:\Program Files (x86)\AstroGrep\AstroGrep.exe" /spath="%USERPROFILE%\AppData\Local\Temp\OnboardLogs" /stypes="app*4054*20161023*"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240-22 --locoid 4054 --swversion DE.1.0.7.0 --startMP 204:232986 --initTime 2016-10-23T00:08:28 --startdatetime 2016-10-23T00:26:15 --delay 1 --endMP 204:145 --enddatetime 2016-10-23T01:03:35 --enforcementcount 0 &gt;&gt;C:\Users\stu\Documents\GitHub\eaglep3-reporting\EC\2016-10-22-refined-times.txt</v>
      </c>
      <c r="AI153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ID","value":"240-22"},{"id":16,"name":"Locomotive ID","value":"4054"},{"id":130,"name":"Impact","value":""},{"id":150,"name":"Time of Event (Mountain Time)","value":"01:03:35"},{"id":151,"name":"Denver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s="21" customFormat="1" x14ac:dyDescent="0.25">
      <c r="A154" s="37" t="s">
        <v>612</v>
      </c>
      <c r="B154" s="7">
        <v>4038</v>
      </c>
      <c r="C154" s="22" t="s">
        <v>99</v>
      </c>
      <c r="D154" s="22" t="s">
        <v>238</v>
      </c>
      <c r="E154" s="13">
        <v>42665.997534722221</v>
      </c>
      <c r="F154" s="13">
        <v>42666.000277777777</v>
      </c>
      <c r="G154" s="7">
        <v>1</v>
      </c>
      <c r="H154" s="13" t="s">
        <v>385</v>
      </c>
      <c r="I154" s="13">
        <v>42666.024745370371</v>
      </c>
      <c r="J154" s="7">
        <v>0</v>
      </c>
      <c r="K154" s="112" t="str">
        <f t="shared" si="36"/>
        <v>4037/4038</v>
      </c>
      <c r="L154" s="22" t="str">
        <f>VLOOKUP(A154,'Trips&amp;Operators'!$C$1:$E$10000,3,FALSE)</f>
        <v>CHANDLER</v>
      </c>
      <c r="M154" s="6">
        <f t="shared" si="37"/>
        <v>2.4467592593282461E-2</v>
      </c>
      <c r="N154" s="7">
        <f t="shared" si="38"/>
        <v>35.233333334326744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NorthBound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22:56:27-0600',mode:absolute,to:'2016-10-23 01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4" s="52" t="str">
        <f t="shared" si="42"/>
        <v>N</v>
      </c>
      <c r="X154" s="171">
        <f t="shared" si="43"/>
        <v>1</v>
      </c>
      <c r="Y154" s="67">
        <f t="shared" si="44"/>
        <v>4.5999999999999999E-2</v>
      </c>
      <c r="Z154" s="67">
        <f t="shared" si="45"/>
        <v>23.329799999999999</v>
      </c>
      <c r="AA154" s="67">
        <f t="shared" si="46"/>
        <v>23.283799999999999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47"/>
        <v>0241-22</v>
      </c>
      <c r="AE154" s="91" t="str">
        <f t="shared" si="48"/>
        <v>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 &amp; 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</v>
      </c>
      <c r="AF154" s="88" t="str">
        <f t="shared" si="49"/>
        <v>"C:\Program Files (x86)\AstroGrep\AstroGrep.exe" /spath="%USERPROFILE%\AppData\Local\Temp\OnboardLogs" /stypes="app*4038*20161023*" /stext=" 06:.+((SYSTEM_STATE.+slice.+state.+changed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241-22 --locoid 4038 --swversion DE.1.0.7.0 --startMP 204:460 --initTime 2016-10-22T23:56:27 --startdatetime 2016-10-23T00:00:24 --delay 1 --endMP 204:233298 --enddatetime 2016-10-23T00:35:38 --enforcementcount 0 &gt;&gt;C:\Users\stu\Documents\GitHub\eaglep3-reporting\EC\2016-10-22-refined-times.txt</v>
      </c>
      <c r="AI154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ID","value":"241-22"},{"id":16,"name":"Locomotive ID","value":"4038"},{"id":130,"name":"Impact","value":""},{"id":150,"name":"Time of Event (Mountain Time)","value":"00:35:38"},{"id":151,"name":"Denver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616</v>
      </c>
      <c r="B155" s="7">
        <v>4037</v>
      </c>
      <c r="C155" s="22" t="s">
        <v>99</v>
      </c>
      <c r="D155" s="22" t="s">
        <v>704</v>
      </c>
      <c r="E155" s="13">
        <v>42666.037847222222</v>
      </c>
      <c r="F155" s="13">
        <v>42666.039178240739</v>
      </c>
      <c r="G155" s="7">
        <v>1</v>
      </c>
      <c r="H155" s="13" t="s">
        <v>264</v>
      </c>
      <c r="I155" s="13">
        <v>42666.068657407406</v>
      </c>
      <c r="J155" s="7">
        <v>0</v>
      </c>
      <c r="K155" s="112" t="str">
        <f t="shared" si="36"/>
        <v>4037/4038</v>
      </c>
      <c r="L155" s="22" t="str">
        <f>VLOOKUP(A155,'Trips&amp;Operators'!$C$1:$E$10000,3,FALSE)</f>
        <v>CHANDLER</v>
      </c>
      <c r="M155" s="6">
        <f t="shared" si="37"/>
        <v>2.9479166667442769E-2</v>
      </c>
      <c r="N155" s="7">
        <f t="shared" si="38"/>
        <v>42.450000001117587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23:54:30-0600',mode:absolute,to:'2016-10-23 02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5" s="52" t="str">
        <f t="shared" si="42"/>
        <v>N</v>
      </c>
      <c r="X155" s="171">
        <f t="shared" si="43"/>
        <v>1</v>
      </c>
      <c r="Y155" s="67">
        <f t="shared" si="44"/>
        <v>23.297899999999998</v>
      </c>
      <c r="Z155" s="67">
        <f t="shared" si="45"/>
        <v>1.5599999999999999E-2</v>
      </c>
      <c r="AA155" s="67">
        <f t="shared" si="46"/>
        <v>23.282299999999999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47"/>
        <v>0242-22</v>
      </c>
      <c r="AE155" s="91" t="str">
        <f t="shared" si="48"/>
        <v>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 &amp; aws s3 cp s3://rtdc.mdm.uploadarchive.raw/RTDC4037/ "%USERPROFILE%\AppData\Local\Temp\OnboardLogs"\RTDC4037\2016-10-24 --exclude "*" --recursive --include "*20161024*" &amp; "%USERPROFILE%\Documents\GitHub\mrs-test-scripts\Headless Mode &amp; Sideloading\WalkAndUnGZ.bat" "%USERPROFILE%\AppData\Local\Temp\OnboardLogs"\RTDC4037\2016-10-24</v>
      </c>
      <c r="AF155" s="88" t="str">
        <f t="shared" si="49"/>
        <v>"C:\Program Files (x86)\AstroGrep\AstroGrep.exe" /spath="%USERPROFILE%\AppData\Local\Temp\OnboardLogs" /stypes="app*4037*20161023*" /stext=" 07:.+((SYSTEM_STATE.+slice.+state.+changed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242-22 --locoid 4037 --swversion DE.1.0.7.0 --startMP 204:232979 --initTime 2016-10-23T00:54:30 --startdatetime 2016-10-23T00:56:25 --delay 1 --endMP 204:156 --enddatetime 2016-10-23T01:38:52 --enforcementcount 0 &gt;&gt;C:\Users\stu\Documents\GitHub\eaglep3-reporting\EC\2016-10-22-refined-times.txt</v>
      </c>
      <c r="AI155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ID","value":"242-22"},{"id":16,"name":"Locomotive ID","value":"4037"},{"id":130,"name":"Impact","value":""},{"id":150,"name":"Time of Event (Mountain Time)","value":"01:38:52"},{"id":151,"name":"Denver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614</v>
      </c>
      <c r="B156" s="7">
        <v>4042</v>
      </c>
      <c r="C156" s="22" t="s">
        <v>99</v>
      </c>
      <c r="D156" s="22" t="s">
        <v>320</v>
      </c>
      <c r="E156" s="13">
        <v>42666.016782407409</v>
      </c>
      <c r="F156" s="13">
        <v>42666.021145833336</v>
      </c>
      <c r="G156" s="7">
        <v>1</v>
      </c>
      <c r="H156" s="13" t="s">
        <v>401</v>
      </c>
      <c r="I156" s="13">
        <v>42666.049467592595</v>
      </c>
      <c r="J156" s="7">
        <v>0</v>
      </c>
      <c r="K156" s="112" t="str">
        <f t="shared" si="36"/>
        <v>4041/4042</v>
      </c>
      <c r="L156" s="22" t="str">
        <f>VLOOKUP(A156,'Trips&amp;Operators'!$C$1:$E$10000,3,FALSE)</f>
        <v>ARVIDSON</v>
      </c>
      <c r="M156" s="6">
        <f t="shared" si="37"/>
        <v>2.8321759258687962E-2</v>
      </c>
      <c r="N156" s="7">
        <f t="shared" si="38"/>
        <v>40.783333332510665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23:24:10-0600',mode:absolute,to:'2016-10-23 02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52" t="str">
        <f t="shared" si="42"/>
        <v>N</v>
      </c>
      <c r="X156" s="171">
        <f t="shared" si="43"/>
        <v>1</v>
      </c>
      <c r="Y156" s="67">
        <f t="shared" si="44"/>
        <v>4.3999999999999997E-2</v>
      </c>
      <c r="Z156" s="67">
        <f t="shared" si="45"/>
        <v>23.328600000000002</v>
      </c>
      <c r="AA156" s="67">
        <f t="shared" si="46"/>
        <v>23.284600000000001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47"/>
        <v>0243-22</v>
      </c>
      <c r="AE156" s="91" t="str">
        <f t="shared" si="48"/>
        <v>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 &amp; aws s3 cp s3://rtdc.mdm.uploadarchive.raw/RTDC4042/ "%USERPROFILE%\AppData\Local\Temp\OnboardLogs"\RTDC4042\2016-10-24 --exclude "*" --recursive --include "*20161024*" &amp; "%USERPROFILE%\Documents\GitHub\mrs-test-scripts\Headless Mode &amp; Sideloading\WalkAndUnGZ.bat" "%USERPROFILE%\AppData\Local\Temp\OnboardLogs"\RTDC4042\2016-10-24</v>
      </c>
      <c r="AF156" s="88" t="str">
        <f t="shared" si="49"/>
        <v>"C:\Program Files (x86)\AstroGrep\AstroGrep.exe" /spath="%USERPROFILE%\AppData\Local\Temp\OnboardLogs" /stypes="app*4042*20161023*"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243-22 --locoid 4042 --swversion DE.1.0.7.0 --startMP 204:440 --initTime 2016-10-23T00:24:10 --startdatetime 2016-10-23T00:30:27 --delay 1 --endMP 204:233286 --enddatetime 2016-10-23T01:11:14 --enforcementcount 0 &gt;&gt;C:\Users\stu\Documents\GitHub\eaglep3-reporting\EC\2016-10-22-refined-times.txt</v>
      </c>
      <c r="AI156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{"issue":{"subject":"","project_id":79,"tracker_id":40,"status_id":1,"priority_id":2,"assigned_to_id":23,"start_date":"2016-10-23","description":"","custom_fields":[{"id":1,"name":"Subdivision","value":"EC"},{"id":4,"name":"Milepost","value":"23.3286"},{"id":17,"name":"Train ID","value":"243-22"},{"id":16,"name":"Locomotive ID","value":"4042"},{"id":130,"name":"Impact","value":""},{"id":150,"name":"Time of Event (Mountain Time)","value":"01:11:14"},{"id":151,"name":"Denver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618</v>
      </c>
      <c r="B157" s="7">
        <v>4041</v>
      </c>
      <c r="C157" s="22" t="s">
        <v>99</v>
      </c>
      <c r="D157" s="22" t="s">
        <v>390</v>
      </c>
      <c r="E157" s="13">
        <v>42666.053553240738</v>
      </c>
      <c r="F157" s="13">
        <v>42666.060219907406</v>
      </c>
      <c r="G157" s="7">
        <v>1</v>
      </c>
      <c r="H157" s="13" t="s">
        <v>182</v>
      </c>
      <c r="I157" s="13">
        <v>42666.087638888886</v>
      </c>
      <c r="J157" s="7">
        <v>0</v>
      </c>
      <c r="K157" s="112" t="str">
        <f t="shared" si="36"/>
        <v>4041/4042</v>
      </c>
      <c r="L157" s="22" t="str">
        <f>VLOOKUP(A157,'Trips&amp;Operators'!$C$1:$E$10000,3,FALSE)</f>
        <v>ARVIDSON</v>
      </c>
      <c r="M157" s="6">
        <f t="shared" si="37"/>
        <v>2.7418981480877846E-2</v>
      </c>
      <c r="N157" s="7">
        <f t="shared" si="38"/>
        <v>39.483333332464099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https://search-rtdc-monitor-bjffxe2xuh6vdkpspy63sjmuny.us-east-1.es.amazonaws.com/_plugin/kibana/#/discover/Steve-Slow-Train-Analysis-(2080s-and-2083s)?_g=(refreshInterval:(display:Off,section:0,value:0),time:(from:'2016-10-23 00:17:07-0600',mode:absolute,to:'2016-10-23 03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52" t="str">
        <f t="shared" si="42"/>
        <v>N</v>
      </c>
      <c r="X157" s="171">
        <f t="shared" si="43"/>
        <v>1</v>
      </c>
      <c r="Y157" s="67">
        <f t="shared" si="44"/>
        <v>23.296500000000002</v>
      </c>
      <c r="Z157" s="67">
        <f t="shared" si="45"/>
        <v>1.41E-2</v>
      </c>
      <c r="AA157" s="67">
        <f t="shared" si="46"/>
        <v>23.282400000000003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47"/>
        <v>0244-22</v>
      </c>
      <c r="AE157" s="91" t="str">
        <f t="shared" si="48"/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AF157" s="88" t="str">
        <f t="shared" si="49"/>
        <v>"C:\Program Files (x86)\AstroGrep\AstroGrep.exe" /spath="%USERPROFILE%\AppData\Local\Temp\OnboardLogs" /stypes="app*4041*20161023*" /stext=" 08:.+((SYSTEM_STATE.+slice.+state.+changed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244-22 --locoid 4041 --swversion DE.1.0.7.0 --startMP 204:232965 --initTime 2016-10-23T01:17:07 --startdatetime 2016-10-23T01:26:43 --delay 1 --endMP 204:141 --enddatetime 2016-10-23T02:06:12 --enforcementcount 0 &gt;&gt;C:\Users\stu\Documents\GitHub\eaglep3-reporting\EC\2016-10-22-refined-times.txt</v>
      </c>
      <c r="AI157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{"issue":{"subject":"","project_id":79,"tracker_id":40,"status_id":1,"priority_id":2,"assigned_to_id":23,"start_date":"2016-10-23","description":"","custom_fields":[{"id":1,"name":"Subdivision","value":"EC"},{"id":4,"name":"Milepost","value":"0.0141"},{"id":17,"name":"Train ID","value":"244-22"},{"id":16,"name":"Locomotive ID","value":"4041"},{"id":130,"name":"Impact","value":""},{"id":150,"name":"Time of Event (Mountain Time)","value":"02:06:12"},{"id":151,"name":"Denver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615</v>
      </c>
      <c r="B158" s="7">
        <v>4011</v>
      </c>
      <c r="C158" s="22" t="s">
        <v>99</v>
      </c>
      <c r="D158" s="22" t="s">
        <v>650</v>
      </c>
      <c r="E158" s="13">
        <v>42666.033738425926</v>
      </c>
      <c r="F158" s="13">
        <v>42666.041967592595</v>
      </c>
      <c r="G158" s="7">
        <v>1</v>
      </c>
      <c r="H158" s="13" t="s">
        <v>377</v>
      </c>
      <c r="I158" s="13">
        <v>42666.067962962959</v>
      </c>
      <c r="J158" s="7">
        <v>0</v>
      </c>
      <c r="K158" s="112" t="str">
        <f t="shared" si="36"/>
        <v>4011/4012</v>
      </c>
      <c r="L158" s="22" t="str">
        <f>VLOOKUP(A158,'Trips&amp;Operators'!$C$1:$E$10000,3,FALSE)</f>
        <v>BRANDNER</v>
      </c>
      <c r="M158" s="6">
        <f t="shared" si="37"/>
        <v>2.5995370364398696E-2</v>
      </c>
      <c r="N158" s="7">
        <f t="shared" si="38"/>
        <v>37.433333324734122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23:48:35-0600',mode:absolute,to:'2016-10-23 02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8" s="52" t="str">
        <f t="shared" si="42"/>
        <v>N</v>
      </c>
      <c r="X158" s="171">
        <f t="shared" si="43"/>
        <v>1</v>
      </c>
      <c r="Y158" s="67">
        <f t="shared" si="44"/>
        <v>4.5699999999999998E-2</v>
      </c>
      <c r="Z158" s="67">
        <f t="shared" si="45"/>
        <v>23.3291</v>
      </c>
      <c r="AA158" s="67">
        <f t="shared" si="46"/>
        <v>23.2834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47"/>
        <v>0245-22</v>
      </c>
      <c r="AE158" s="91" t="str">
        <f t="shared" si="48"/>
        <v>aws s3 cp s3://rtdc.mdm.uploadarchive.raw/RTDC4011/ "%USERPROFILE%\AppData\Local\Temp\OnboardLogs"\RTDC4011\2016-10-23 --exclude "*" --recursive --include "*20161023*" &amp; "%USERPROFILE%\Documents\GitHub\mrs-test-scripts\Headless Mode &amp; Sideloading\WalkAndUnGZ.bat" "%USERPROFILE%\AppData\Local\Temp\OnboardLogs"\RTDC4011\2016-10-23 &amp; aws s3 cp s3://rtdc.mdm.uploadarchive.raw/RTDC4011/ "%USERPROFILE%\AppData\Local\Temp\OnboardLogs"\RTDC4011\2016-10-24 --exclude "*" --recursive --include "*20161024*" &amp; "%USERPROFILE%\Documents\GitHub\mrs-test-scripts\Headless Mode &amp; Sideloading\WalkAndUnGZ.bat" "%USERPROFILE%\AppData\Local\Temp\OnboardLogs"\RTDC4011\2016-10-24</v>
      </c>
      <c r="AF158" s="88" t="str">
        <f t="shared" si="49"/>
        <v>"C:\Program Files (x86)\AstroGrep\AstroGrep.exe" /spath="%USERPROFILE%\AppData\Local\Temp\OnboardLogs" /stypes="app*4011*20161023*" /stext=" 07:.+((SYSTEM_STATE.+slice.+state.+changed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245-22 --locoid 4011 --swversion DE.1.0.7.0 --startMP 204:457 --initTime 2016-10-23T00:48:35 --startdatetime 2016-10-23T01:00:26 --delay 1 --endMP 204:233291 --enddatetime 2016-10-23T01:37:52 --enforcementcount 0 &gt;&gt;C:\Users\stu\Documents\GitHub\eaglep3-reporting\EC\2016-10-22-refined-times.txt</v>
      </c>
      <c r="AI158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{"issue":{"subject":"","project_id":79,"tracker_id":40,"status_id":1,"priority_id":2,"assigned_to_id":23,"start_date":"2016-10-23","description":"","custom_fields":[{"id":1,"name":"Subdivision","value":"EC"},{"id":4,"name":"Milepost","value":"23.3291"},{"id":17,"name":"Train ID","value":"245-22"},{"id":16,"name":"Locomotive ID","value":"4011"},{"id":130,"name":"Impact","value":""},{"id":150,"name":"Time of Event (Mountain Time)","value":"01:37:52"},{"id":151,"name":"Denver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620</v>
      </c>
      <c r="B159" s="7">
        <v>4012</v>
      </c>
      <c r="C159" s="22" t="s">
        <v>99</v>
      </c>
      <c r="D159" s="22" t="s">
        <v>651</v>
      </c>
      <c r="E159" s="13">
        <v>42666.076608796298</v>
      </c>
      <c r="F159" s="13">
        <v>42666.080995370372</v>
      </c>
      <c r="G159" s="7">
        <v>1</v>
      </c>
      <c r="H159" s="13" t="s">
        <v>225</v>
      </c>
      <c r="I159" s="13">
        <v>42666.107847222222</v>
      </c>
      <c r="J159" s="7">
        <v>0</v>
      </c>
      <c r="K159" s="112" t="str">
        <f t="shared" si="36"/>
        <v>4011/4012</v>
      </c>
      <c r="L159" s="22" t="str">
        <f>VLOOKUP(A159,'Trips&amp;Operators'!$C$1:$E$10000,3,FALSE)</f>
        <v>BRANDNER</v>
      </c>
      <c r="M159" s="6">
        <f t="shared" si="37"/>
        <v>2.6851851849642117E-2</v>
      </c>
      <c r="N159" s="7">
        <f t="shared" si="38"/>
        <v>38.666666663484648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https://search-rtdc-monitor-bjffxe2xuh6vdkpspy63sjmuny.us-east-1.es.amazonaws.com/_plugin/kibana/#/discover/Steve-Slow-Train-Analysis-(2080s-and-2083s)?_g=(refreshInterval:(display:Off,section:0,value:0),time:(from:'2016-10-23 00:50:19-0600',mode:absolute,to:'2016-10-23 03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9" s="52" t="str">
        <f t="shared" si="42"/>
        <v>N</v>
      </c>
      <c r="X159" s="171">
        <f t="shared" si="43"/>
        <v>1</v>
      </c>
      <c r="Y159" s="67">
        <f t="shared" si="44"/>
        <v>23.2987</v>
      </c>
      <c r="Z159" s="67">
        <f t="shared" si="45"/>
        <v>1.43E-2</v>
      </c>
      <c r="AA159" s="67">
        <f t="shared" si="46"/>
        <v>23.284400000000002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47"/>
        <v>0246-22</v>
      </c>
      <c r="AE159" s="91" t="str">
        <f t="shared" si="48"/>
        <v>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 &amp; aws s3 cp s3://rtdc.mdm.uploadarchive.raw/RTDC4012/ "%USERPROFILE%\AppData\Local\Temp\OnboardLogs"\RTDC4012\2016-10-24 --exclude "*" --recursive --include "*20161024*" &amp; "%USERPROFILE%\Documents\GitHub\mrs-test-scripts\Headless Mode &amp; Sideloading\WalkAndUnGZ.bat" "%USERPROFILE%\AppData\Local\Temp\OnboardLogs"\RTDC4012\2016-10-24</v>
      </c>
      <c r="AF159" s="88" t="str">
        <f t="shared" si="49"/>
        <v>"C:\Program Files (x86)\AstroGrep\AstroGrep.exe" /spath="%USERPROFILE%\AppData\Local\Temp\OnboardLogs" /stypes="app*4012*20161023*" /stext=" 08:.+((SYSTEM_STATE.+slice.+state.+changed )|(ment ac)|(system.+state.+changed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246-22 --locoid 4012 --swversion DE.1.0.7.0 --startMP 204:232987 --initTime 2016-10-23T01:50:19 --startdatetime 2016-10-23T01:56:38 --delay 1 --endMP 204:143 --enddatetime 2016-10-23T02:35:18 --enforcementcount 0 &gt;&gt;C:\Users\stu\Documents\GitHub\eaglep3-reporting\EC\2016-10-22-refined-times.txt</v>
      </c>
      <c r="AI159" s="122" t="str">
        <f t="shared" si="52"/>
        <v>echo {"issue":{"subject":"","project_id":79,"tracker_id":40,"status_id":1,"priority_id":2,"assigned_to_id":23,"start_date":"2016-10-23","description":"","custom_fields":[{"id":1,"name":"Subdivision","value":"EC"},{"id":4,"name":"Milepost","value":"0.0143"},{"id":17,"name":"Train ID","value":"246-22"},{"id":16,"name":"Locomotive ID","value":"4012"},{"id":130,"name":"Impact","value":""},{"id":150,"name":"Time of Event (Mountain Time)","value":"02:35:18"},{"id":151,"name":"Denver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469</v>
      </c>
      <c r="B160" s="7">
        <v>4045</v>
      </c>
      <c r="C160" s="22" t="s">
        <v>99</v>
      </c>
      <c r="D160" s="22" t="s">
        <v>658</v>
      </c>
      <c r="E160" s="13">
        <v>42665.233298611114</v>
      </c>
      <c r="F160" s="13">
        <v>42665.235763888886</v>
      </c>
      <c r="G160" s="7">
        <v>1</v>
      </c>
      <c r="H160" s="13" t="s">
        <v>382</v>
      </c>
      <c r="I160" s="13">
        <v>42665.246053240742</v>
      </c>
      <c r="J160" s="7">
        <v>0</v>
      </c>
      <c r="K160" s="112" t="str">
        <f t="shared" si="36"/>
        <v>4045/4046</v>
      </c>
      <c r="L160" s="22" t="str">
        <f>VLOOKUP(A160,'Trips&amp;Operators'!$C$1:$E$10000,3,FALSE)</f>
        <v>YORK</v>
      </c>
      <c r="M160" s="6">
        <f t="shared" si="37"/>
        <v>1.0289351856044959E-2</v>
      </c>
      <c r="N160" s="7">
        <f t="shared" si="38"/>
        <v>14.816666672704741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04:35:57-0600',mode:absolute,to:'2016-10-22 06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0" s="52" t="str">
        <f t="shared" si="42"/>
        <v>N</v>
      </c>
      <c r="X160" s="171">
        <f t="shared" si="43"/>
        <v>1554</v>
      </c>
      <c r="Y160" s="67">
        <f t="shared" si="44"/>
        <v>5.86</v>
      </c>
      <c r="Z160" s="67">
        <f t="shared" si="45"/>
        <v>7.4999999999999997E-2</v>
      </c>
      <c r="AA160" s="67">
        <f t="shared" si="46"/>
        <v>5.7850000000000001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47"/>
        <v>1800-22</v>
      </c>
      <c r="AE160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60" s="88" t="str">
        <f t="shared" si="49"/>
        <v>"C:\Program Files (x86)\AstroGrep\AstroGrep.exe" /spath="%USERPROFILE%\AppData\Local\Temp\OnboardLogs" /stypes="app*4045*20161022*" /stext=" 11:.+((SYSTEM_STATE.+slice.+state.+changed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1800-22 --locoid 4045 --swversion DE.1.0.7.0 --startMP 300:58600 --initTime 2016-10-22T05:35:57 --startdatetime 2016-10-22T05:39:30 --delay 1 --endMP 204:750 --enddatetime 2016-10-22T05:54:19 --enforcementcount 0 &gt;&gt;C:\Users\stu\Documents\GitHub\eaglep3-reporting\EC\2016-10-22-refined-times.txt</v>
      </c>
      <c r="AI160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{"issue":{"subject":"","project_id":79,"tracker_id":40,"status_id":1,"priority_id":2,"assigned_to_id":23,"start_date":"2016-10-22","description":"","custom_fields":[{"id":1,"name":"Subdivision","value":"NW"},{"id":4,"name":"Milepost","value":"0.075"},{"id":17,"name":"Train ID","value":"1800-22"},{"id":16,"name":"Locomotive ID","value":"4045"},{"id":130,"name":"Impact","value":""},{"id":150,"name":"Time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472</v>
      </c>
      <c r="B161" s="7">
        <v>4046</v>
      </c>
      <c r="C161" s="22" t="s">
        <v>99</v>
      </c>
      <c r="D161" s="22" t="s">
        <v>659</v>
      </c>
      <c r="E161" s="13">
        <v>42665.247141203705</v>
      </c>
      <c r="F161" s="13">
        <v>42665.264768518522</v>
      </c>
      <c r="G161" s="7">
        <v>0</v>
      </c>
      <c r="H161" s="13" t="s">
        <v>406</v>
      </c>
      <c r="I161" s="13">
        <v>42665.273495370369</v>
      </c>
      <c r="J161" s="7">
        <v>0</v>
      </c>
      <c r="K161" s="112" t="str">
        <f t="shared" si="36"/>
        <v>4045/4046</v>
      </c>
      <c r="L161" s="22" t="str">
        <f>VLOOKUP(A161,'Trips&amp;Operators'!$C$1:$E$10000,3,FALSE)</f>
        <v>YORK</v>
      </c>
      <c r="M161" s="6">
        <f t="shared" si="37"/>
        <v>8.7268518473138101E-3</v>
      </c>
      <c r="N161" s="7">
        <f t="shared" si="38"/>
        <v>12.566666660131887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NorthBound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04:55:53-0600',mode:absolute,to:'2016-10-22 07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1" s="52" t="str">
        <f t="shared" si="42"/>
        <v>N</v>
      </c>
      <c r="X161" s="171">
        <f t="shared" si="43"/>
        <v>1</v>
      </c>
      <c r="Y161" s="67">
        <f t="shared" si="44"/>
        <v>0.10390000000000001</v>
      </c>
      <c r="Z161" s="67">
        <f t="shared" si="45"/>
        <v>5.8921999999999999</v>
      </c>
      <c r="AA161" s="67">
        <f t="shared" si="46"/>
        <v>5.7882999999999996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47"/>
        <v>1801-22</v>
      </c>
      <c r="AE161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61" s="88" t="str">
        <f t="shared" si="49"/>
        <v>"C:\Program Files (x86)\AstroGrep\AstroGrep.exe" /spath="%USERPROFILE%\AppData\Local\Temp\OnboardLogs" /stypes="app*4046*20161022*" /stext=" 12:.+((SYSTEM_STATE.+slice.+state.+changed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1801-22 --locoid 4046 --swversion DE.1.0.7.0 --startMP 204:1039 --initTime 2016-10-22T05:55:53 --startdatetime 2016-10-22T06:21:16 --delay 0 --endMP 300:58922 --enddatetime 2016-10-22T06:33:50 --enforcementcount 0 &gt;&gt;C:\Users\stu\Documents\GitHub\eaglep3-reporting\EC\2016-10-22-refined-times.txt</v>
      </c>
      <c r="AI161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{"issue":{"subject":"","project_id":79,"tracker_id":40,"status_id":1,"priority_id":2,"assigned_to_id":23,"start_date":"2016-10-22","description":"","custom_fields":[{"id":1,"name":"Subdivision","value":"NW"},{"id":4,"name":"Milepost","value":"5.8922"},{"id":17,"name":"Train ID","value":"1801-22"},{"id":16,"name":"Locomotive ID","value":"4046"},{"id":130,"name":"Impact","value":""},{"id":150,"name":"Time of Event (Mountain Time)","value":"06:33:50"},{"id":151,"name":"Denver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475</v>
      </c>
      <c r="B162" s="7">
        <v>4045</v>
      </c>
      <c r="C162" s="22" t="s">
        <v>99</v>
      </c>
      <c r="D162" s="22" t="s">
        <v>404</v>
      </c>
      <c r="E162" s="13">
        <v>42665.274930555555</v>
      </c>
      <c r="F162" s="13">
        <v>42665.276412037034</v>
      </c>
      <c r="G162" s="7">
        <v>1</v>
      </c>
      <c r="H162" s="13" t="s">
        <v>348</v>
      </c>
      <c r="I162" s="13">
        <v>42665.287361111114</v>
      </c>
      <c r="J162" s="7">
        <v>0</v>
      </c>
      <c r="K162" s="112" t="str">
        <f t="shared" si="36"/>
        <v>4045/4046</v>
      </c>
      <c r="L162" s="22" t="str">
        <f>VLOOKUP(A162,'Trips&amp;Operators'!$C$1:$E$10000,3,FALSE)</f>
        <v>YORK</v>
      </c>
      <c r="M162" s="6">
        <f t="shared" si="37"/>
        <v>1.0949074079690035E-2</v>
      </c>
      <c r="N162" s="7">
        <f t="shared" si="38"/>
        <v>15.766666674753651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05:35:54-0600',mode:absolute,to:'2016-10-22 07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2" s="52" t="str">
        <f t="shared" si="42"/>
        <v>N</v>
      </c>
      <c r="X162" s="171">
        <f t="shared" si="43"/>
        <v>1</v>
      </c>
      <c r="Y162" s="67">
        <f t="shared" si="44"/>
        <v>5.8601999999999999</v>
      </c>
      <c r="Z162" s="67">
        <f t="shared" si="45"/>
        <v>7.4700000000000003E-2</v>
      </c>
      <c r="AA162" s="67">
        <f t="shared" si="46"/>
        <v>5.7854999999999999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47"/>
        <v>1802-22</v>
      </c>
      <c r="AE162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62" s="88" t="str">
        <f t="shared" si="49"/>
        <v>"C:\Program Files (x86)\AstroGrep\AstroGrep.exe" /spath="%USERPROFILE%\AppData\Local\Temp\OnboardLogs" /stypes="app*4045*20161022*" /stext=" 12:.+((SYSTEM_STATE.+slice.+state.+changed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1802-22 --locoid 4045 --swversion DE.1.0.7.0 --startMP 300:58602 --initTime 2016-10-22T06:35:54 --startdatetime 2016-10-22T06:38:02 --delay 1 --endMP 204:747 --enddatetime 2016-10-22T06:53:48 --enforcementcount 0 &gt;&gt;C:\Users\stu\Documents\GitHub\eaglep3-reporting\EC\2016-10-22-refined-times.txt</v>
      </c>
      <c r="AI162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{"issue":{"subject":"","project_id":79,"tracker_id":40,"status_id":1,"priority_id":2,"assigned_to_id":23,"start_date":"2016-10-22","description":"","custom_fields":[{"id":1,"name":"Subdivision","value":"NW"},{"id":4,"name":"Milepost","value":"0.0747"},{"id":17,"name":"Train ID","value":"1802-22"},{"id":16,"name":"Locomotive ID","value":"4045"},{"id":130,"name":"Impact","value":""},{"id":150,"name":"Time of Event (Mountain Time)","value":"06:53:48"},{"id":151,"name":"Denver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479</v>
      </c>
      <c r="B163" s="7">
        <v>4046</v>
      </c>
      <c r="C163" s="22" t="s">
        <v>99</v>
      </c>
      <c r="D163" s="22" t="s">
        <v>660</v>
      </c>
      <c r="E163" s="13">
        <v>42665.288530092592</v>
      </c>
      <c r="F163" s="13">
        <v>42665.306562500002</v>
      </c>
      <c r="G163" s="7">
        <v>1</v>
      </c>
      <c r="H163" s="13" t="s">
        <v>407</v>
      </c>
      <c r="I163" s="13">
        <v>42665.314942129633</v>
      </c>
      <c r="J163" s="7">
        <v>0</v>
      </c>
      <c r="K163" s="112" t="str">
        <f t="shared" si="36"/>
        <v>4045/4046</v>
      </c>
      <c r="L163" s="22" t="str">
        <f>VLOOKUP(A163,'Trips&amp;Operators'!$C$1:$E$10000,3,FALSE)</f>
        <v>YORK</v>
      </c>
      <c r="M163" s="6">
        <f t="shared" si="37"/>
        <v>8.3796296312357299E-3</v>
      </c>
      <c r="N163" s="7">
        <f t="shared" si="38"/>
        <v>12.066666668979451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NorthBound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05:55:29-0600',mode:absolute,to:'2016-10-22 08:33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3" s="52" t="str">
        <f t="shared" si="42"/>
        <v>N</v>
      </c>
      <c r="X163" s="171">
        <f t="shared" si="43"/>
        <v>1</v>
      </c>
      <c r="Y163" s="67">
        <f t="shared" si="44"/>
        <v>0.1028</v>
      </c>
      <c r="Z163" s="67">
        <f t="shared" si="45"/>
        <v>5.8916000000000004</v>
      </c>
      <c r="AA163" s="67">
        <f t="shared" si="46"/>
        <v>5.7888000000000002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47"/>
        <v>1803-22</v>
      </c>
      <c r="AE163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63" s="88" t="str">
        <f t="shared" si="49"/>
        <v>"C:\Program Files (x86)\AstroGrep\AstroGrep.exe" /spath="%USERPROFILE%\AppData\Local\Temp\OnboardLogs" /stypes="app*4046*20161022*" /stext=" 13:.+((SYSTEM_STATE.+slice.+state.+changed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1803-22 --locoid 4046 --swversion DE.1.0.7.0 --startMP 204:1028 --initTime 2016-10-22T06:55:29 --startdatetime 2016-10-22T07:21:27 --delay 1 --endMP 300:58916 --enddatetime 2016-10-22T07:33:31 --enforcementcount 0 &gt;&gt;C:\Users\stu\Documents\GitHub\eaglep3-reporting\EC\2016-10-22-refined-times.txt</v>
      </c>
      <c r="AI163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{"issue":{"subject":"","project_id":79,"tracker_id":40,"status_id":1,"priority_id":2,"assigned_to_id":23,"start_date":"2016-10-22","description":"","custom_fields":[{"id":1,"name":"Subdivision","value":"NW"},{"id":4,"name":"Milepost","value":"5.8916"},{"id":17,"name":"Train ID","value":"1803-22"},{"id":16,"name":"Locomotive ID","value":"4046"},{"id":130,"name":"Impact","value":""},{"id":150,"name":"Time of Event (Mountain Time)","value":"07:33:31"},{"id":151,"name":"Denver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484</v>
      </c>
      <c r="B164" s="7">
        <v>4045</v>
      </c>
      <c r="C164" s="22" t="s">
        <v>99</v>
      </c>
      <c r="D164" s="22" t="s">
        <v>347</v>
      </c>
      <c r="E164" s="13">
        <v>42665.317002314812</v>
      </c>
      <c r="F164" s="13">
        <v>42665.318425925929</v>
      </c>
      <c r="G164" s="7">
        <v>0</v>
      </c>
      <c r="H164" s="13" t="s">
        <v>376</v>
      </c>
      <c r="I164" s="13">
        <v>42665.329027777778</v>
      </c>
      <c r="J164" s="7">
        <v>0</v>
      </c>
      <c r="K164" s="112" t="str">
        <f t="shared" si="36"/>
        <v>4045/4046</v>
      </c>
      <c r="L164" s="22" t="str">
        <f>VLOOKUP(A164,'Trips&amp;Operators'!$C$1:$E$10000,3,FALSE)</f>
        <v>YORK</v>
      </c>
      <c r="M164" s="6">
        <f t="shared" si="37"/>
        <v>1.060185184906004E-2</v>
      </c>
      <c r="N164" s="7">
        <f t="shared" si="38"/>
        <v>15.266666662646458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Southbound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06:36:29-0600',mode:absolute,to:'2016-10-22 08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4" s="52" t="str">
        <f t="shared" si="42"/>
        <v>N</v>
      </c>
      <c r="X164" s="171">
        <f t="shared" si="43"/>
        <v>1</v>
      </c>
      <c r="Y164" s="67">
        <f t="shared" si="44"/>
        <v>5.8608000000000002</v>
      </c>
      <c r="Z164" s="67">
        <f t="shared" si="45"/>
        <v>7.4300000000000005E-2</v>
      </c>
      <c r="AA164" s="67">
        <f t="shared" si="46"/>
        <v>5.7865000000000002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47"/>
        <v>1804-22</v>
      </c>
      <c r="AE164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64" s="88" t="str">
        <f t="shared" si="49"/>
        <v>"C:\Program Files (x86)\AstroGrep\AstroGrep.exe" /spath="%USERPROFILE%\AppData\Local\Temp\OnboardLogs" /stypes="app*4045*20161022*"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1804-22 --locoid 4045 --swversion DE.1.0.7.0 --startMP 300:58608 --initTime 2016-10-22T07:36:29 --startdatetime 2016-10-22T07:38:32 --delay 0 --endMP 204:743 --enddatetime 2016-10-22T07:53:48 --enforcementcount 0 &gt;&gt;C:\Users\stu\Documents\GitHub\eaglep3-reporting\EC\2016-10-22-refined-times.txt</v>
      </c>
      <c r="AI164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{"issue":{"subject":"","project_id":79,"tracker_id":40,"status_id":1,"priority_id":2,"assigned_to_id":23,"start_date":"2016-10-22","description":"","custom_fields":[{"id":1,"name":"Subdivision","value":"NW"},{"id":4,"name":"Milepost","value":"0.0743"},{"id":17,"name":"Train ID","value":"1804-22"},{"id":16,"name":"Locomotive ID","value":"4045"},{"id":130,"name":"Impact","value":""},{"id":150,"name":"Time of Event (Mountain Time)","value":"07:53:48"},{"id":151,"name":"Denver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488</v>
      </c>
      <c r="B165" s="7">
        <v>4046</v>
      </c>
      <c r="C165" s="22" t="s">
        <v>99</v>
      </c>
      <c r="D165" s="22" t="s">
        <v>409</v>
      </c>
      <c r="E165" s="13">
        <v>42665.346608796295</v>
      </c>
      <c r="F165" s="13">
        <v>42665.349351851852</v>
      </c>
      <c r="G165" s="7">
        <v>0</v>
      </c>
      <c r="H165" s="13" t="s">
        <v>286</v>
      </c>
      <c r="I165" s="13">
        <v>42665.357754629629</v>
      </c>
      <c r="J165" s="7">
        <v>0</v>
      </c>
      <c r="K165" s="112" t="str">
        <f t="shared" si="36"/>
        <v>4045/4046</v>
      </c>
      <c r="L165" s="22" t="str">
        <f>VLOOKUP(A165,'Trips&amp;Operators'!$C$1:$E$10000,3,FALSE)</f>
        <v>YORK</v>
      </c>
      <c r="M165" s="6">
        <f t="shared" si="37"/>
        <v>8.4027777775190771E-3</v>
      </c>
      <c r="N165" s="7">
        <f t="shared" si="38"/>
        <v>12.099999999627471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NorthBound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07:19:07-0600',mode:absolute,to:'2016-10-22 09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5" s="52" t="str">
        <f t="shared" si="42"/>
        <v>N</v>
      </c>
      <c r="X165" s="171">
        <f t="shared" si="43"/>
        <v>1</v>
      </c>
      <c r="Y165" s="67">
        <f t="shared" si="44"/>
        <v>0.10440000000000001</v>
      </c>
      <c r="Z165" s="67">
        <f t="shared" si="45"/>
        <v>5.8928000000000003</v>
      </c>
      <c r="AA165" s="67">
        <f t="shared" si="46"/>
        <v>5.7884000000000002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47"/>
        <v>1805-22</v>
      </c>
      <c r="AE165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65" s="88" t="str">
        <f t="shared" si="49"/>
        <v>"C:\Program Files (x86)\AstroGrep\AstroGrep.exe" /spath="%USERPROFILE%\AppData\Local\Temp\OnboardLogs" /stypes="app*4046*20161022*" /stext=" 14:.+((SYSTEM_STATE.+slice.+state.+changed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1805-22 --locoid 4046 --swversion DE.1.0.7.0 --startMP 204:1044 --initTime 2016-10-22T08:19:07 --startdatetime 2016-10-22T08:23:04 --delay 0 --endMP 300:58928 --enddatetime 2016-10-22T08:35:10 --enforcementcount 0 &gt;&gt;C:\Users\stu\Documents\GitHub\eaglep3-reporting\EC\2016-10-22-refined-times.txt</v>
      </c>
      <c r="AI165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{"issue":{"subject":"","project_id":79,"tracker_id":40,"status_id":1,"priority_id":2,"assigned_to_id":23,"start_date":"2016-10-22","description":"","custom_fields":[{"id":1,"name":"Subdivision","value":"NW"},{"id":4,"name":"Milepost","value":"5.8928"},{"id":17,"name":"Train ID","value":"1805-22"},{"id":16,"name":"Locomotive ID","value":"4046"},{"id":130,"name":"Impact","value":""},{"id":150,"name":"Time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492</v>
      </c>
      <c r="B166" s="7">
        <v>4045</v>
      </c>
      <c r="C166" s="22" t="s">
        <v>99</v>
      </c>
      <c r="D166" s="22" t="s">
        <v>404</v>
      </c>
      <c r="E166" s="13">
        <v>42665.359131944446</v>
      </c>
      <c r="F166" s="13">
        <v>42665.360601851855</v>
      </c>
      <c r="G166" s="7">
        <v>1</v>
      </c>
      <c r="H166" s="13" t="s">
        <v>661</v>
      </c>
      <c r="I166" s="13">
        <v>42665.370636574073</v>
      </c>
      <c r="J166" s="7">
        <v>0</v>
      </c>
      <c r="K166" s="112" t="str">
        <f t="shared" si="36"/>
        <v>4045/4046</v>
      </c>
      <c r="L166" s="22" t="str">
        <f>VLOOKUP(A166,'Trips&amp;Operators'!$C$1:$E$10000,3,FALSE)</f>
        <v>YORK</v>
      </c>
      <c r="M166" s="6">
        <f t="shared" si="37"/>
        <v>1.003472221782431E-2</v>
      </c>
      <c r="N166" s="7">
        <f t="shared" si="38"/>
        <v>14.449999993667006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Southbound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07:37:09-0600',mode:absolute,to:'2016-10-22 09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6" s="52" t="str">
        <f t="shared" si="42"/>
        <v>N</v>
      </c>
      <c r="X166" s="171">
        <f t="shared" si="43"/>
        <v>1</v>
      </c>
      <c r="Y166" s="67">
        <f t="shared" si="44"/>
        <v>5.8601999999999999</v>
      </c>
      <c r="Z166" s="67">
        <f t="shared" si="45"/>
        <v>7.5200000000000003E-2</v>
      </c>
      <c r="AA166" s="67">
        <f t="shared" si="46"/>
        <v>5.7850000000000001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47"/>
        <v>1806-22</v>
      </c>
      <c r="AE166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66" s="88" t="str">
        <f t="shared" si="49"/>
        <v>"C:\Program Files (x86)\AstroGrep\AstroGrep.exe" /spath="%USERPROFILE%\AppData\Local\Temp\OnboardLogs" /stypes="app*4045*20161022*" /stext=" 14:.+((SYSTEM_STATE.+slice.+state.+changed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1806-22 --locoid 4045 --swversion DE.1.0.7.0 --startMP 300:58602 --initTime 2016-10-22T08:37:09 --startdatetime 2016-10-22T08:39:16 --delay 1 --endMP 204:752 --enddatetime 2016-10-22T08:53:43 --enforcementcount 0 &gt;&gt;C:\Users\stu\Documents\GitHub\eaglep3-reporting\EC\2016-10-22-refined-times.txt</v>
      </c>
      <c r="AI166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{"issue":{"subject":"","project_id":79,"tracker_id":40,"status_id":1,"priority_id":2,"assigned_to_id":23,"start_date":"2016-10-22","description":"","custom_fields":[{"id":1,"name":"Subdivision","value":"NW"},{"id":4,"name":"Milepost","value":"0.0752"},{"id":17,"name":"Train ID","value":"1806-22"},{"id":16,"name":"Locomotive ID","value":"4045"},{"id":130,"name":"Impact","value":""},{"id":150,"name":"Time of Event (Mountain Time)","value":"08:53:43"},{"id":151,"name":"Denver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x14ac:dyDescent="0.25">
      <c r="A167" s="37" t="s">
        <v>419</v>
      </c>
      <c r="B167" s="7">
        <v>4046</v>
      </c>
      <c r="C167" s="22" t="s">
        <v>99</v>
      </c>
      <c r="D167" s="22" t="s">
        <v>662</v>
      </c>
      <c r="E167" s="13">
        <v>42665.372129629628</v>
      </c>
      <c r="F167" s="13">
        <v>42665.389780092592</v>
      </c>
      <c r="G167" s="7">
        <v>0</v>
      </c>
      <c r="H167" s="13" t="s">
        <v>286</v>
      </c>
      <c r="I167" s="13">
        <v>42665.398449074077</v>
      </c>
      <c r="J167" s="7">
        <v>0</v>
      </c>
      <c r="K167" s="112" t="str">
        <f t="shared" si="36"/>
        <v>4045/4046</v>
      </c>
      <c r="L167" s="22" t="str">
        <f>VLOOKUP(A167,'Trips&amp;Operators'!$C$1:$E$10000,3,FALSE)</f>
        <v>YORK</v>
      </c>
      <c r="M167" s="6">
        <f t="shared" si="37"/>
        <v>8.668981485243421E-3</v>
      </c>
      <c r="N167" s="7">
        <f t="shared" si="38"/>
        <v>12.483333338750526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NorthBound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07:55:52-0600',mode:absolute,to:'2016-10-22 10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7" s="52" t="str">
        <f t="shared" si="42"/>
        <v>N</v>
      </c>
      <c r="X167" s="171">
        <f t="shared" si="43"/>
        <v>1</v>
      </c>
      <c r="Y167" s="67">
        <f t="shared" si="44"/>
        <v>0.10489999999999999</v>
      </c>
      <c r="Z167" s="67">
        <f t="shared" si="45"/>
        <v>5.8928000000000003</v>
      </c>
      <c r="AA167" s="67">
        <f t="shared" si="46"/>
        <v>5.7879000000000005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47"/>
        <v>1807-22</v>
      </c>
      <c r="AE167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67" s="88" t="str">
        <f t="shared" si="49"/>
        <v>"C:\Program Files (x86)\AstroGrep\AstroGrep.exe" /spath="%USERPROFILE%\AppData\Local\Temp\OnboardLogs" /stypes="app*4046*20161022*" /stext=" 15:.+((SYSTEM_STATE.+slice.+state.+changed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1807-22 --locoid 4046 --swversion DE.1.0.7.0 --startMP 204:1049 --initTime 2016-10-22T08:55:52 --startdatetime 2016-10-22T09:21:17 --delay 0 --endMP 300:58928 --enddatetime 2016-10-22T09:33:46 --enforcementcount 0 &gt;&gt;C:\Users\stu\Documents\GitHub\eaglep3-reporting\EC\2016-10-22-refined-times.txt</v>
      </c>
      <c r="AI167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{"issue":{"subject":"","project_id":79,"tracker_id":40,"status_id":1,"priority_id":2,"assigned_to_id":23,"start_date":"2016-10-22","description":"","custom_fields":[{"id":1,"name":"Subdivision","value":"NW"},{"id":4,"name":"Milepost","value":"5.8928"},{"id":17,"name":"Train ID","value":"1807-22"},{"id":16,"name":"Locomotive ID","value":"4046"},{"id":130,"name":"Impact","value":""},{"id":150,"name":"Time of Event (Mountain Time)","value":"09:33:46"},{"id":151,"name":"Denver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421</v>
      </c>
      <c r="B168" s="7">
        <v>4045</v>
      </c>
      <c r="C168" s="22" t="s">
        <v>99</v>
      </c>
      <c r="D168" s="22" t="s">
        <v>272</v>
      </c>
      <c r="E168" s="13">
        <v>42665.399907407409</v>
      </c>
      <c r="F168" s="13">
        <v>42665.401898148149</v>
      </c>
      <c r="G168" s="7">
        <v>1</v>
      </c>
      <c r="H168" s="13" t="s">
        <v>663</v>
      </c>
      <c r="I168" s="13">
        <v>42665.411921296298</v>
      </c>
      <c r="J168" s="7">
        <v>0</v>
      </c>
      <c r="K168" s="112" t="str">
        <f t="shared" si="36"/>
        <v>4045/4046</v>
      </c>
      <c r="L168" s="22" t="str">
        <f>VLOOKUP(A168,'Trips&amp;Operators'!$C$1:$E$10000,3,FALSE)</f>
        <v>YORK</v>
      </c>
      <c r="M168" s="6">
        <f t="shared" si="37"/>
        <v>1.0023148148320615E-2</v>
      </c>
      <c r="N168" s="7">
        <f t="shared" si="38"/>
        <v>14.433333333581686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Southbound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08:35:52-0600',mode:absolute,to:'2016-10-22 10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8" s="52" t="str">
        <f t="shared" si="42"/>
        <v>N</v>
      </c>
      <c r="X168" s="171">
        <f t="shared" si="43"/>
        <v>1</v>
      </c>
      <c r="Y168" s="67">
        <f t="shared" si="44"/>
        <v>5.8615000000000004</v>
      </c>
      <c r="Z168" s="67">
        <f t="shared" si="45"/>
        <v>0.1002</v>
      </c>
      <c r="AA168" s="67">
        <f t="shared" si="46"/>
        <v>5.7613000000000003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47"/>
        <v>1808-22</v>
      </c>
      <c r="AE168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68" s="88" t="str">
        <f t="shared" si="49"/>
        <v>"C:\Program Files (x86)\AstroGrep\AstroGrep.exe" /spath="%USERPROFILE%\AppData\Local\Temp\OnboardLogs" /stypes="app*4045*20161022*"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1808-22 --locoid 4045 --swversion DE.1.0.7.0 --startMP 300:58615 --initTime 2016-10-22T09:35:52 --startdatetime 2016-10-22T09:38:44 --delay 1 --endMP 204:1002 --enddatetime 2016-10-22T09:53:10 --enforcementcount 0 &gt;&gt;C:\Users\stu\Documents\GitHub\eaglep3-reporting\EC\2016-10-22-refined-times.txt</v>
      </c>
      <c r="AI168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{"issue":{"subject":"","project_id":79,"tracker_id":40,"status_id":1,"priority_id":2,"assigned_to_id":23,"start_date":"2016-10-22","description":"","custom_fields":[{"id":1,"name":"Subdivision","value":"NW"},{"id":4,"name":"Milepost","value":"0.1002"},{"id":17,"name":"Train ID","value":"1808-22"},{"id":16,"name":"Locomotive ID","value":"4045"},{"id":130,"name":"Impact","value":""},{"id":150,"name":"Time of Event (Mountain Time)","value":"09:53:10"},{"id":151,"name":"Denver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505</v>
      </c>
      <c r="B169" s="7">
        <v>4046</v>
      </c>
      <c r="C169" s="22" t="s">
        <v>99</v>
      </c>
      <c r="D169" s="22" t="s">
        <v>664</v>
      </c>
      <c r="E169" s="13">
        <v>42665.431122685186</v>
      </c>
      <c r="F169" s="13">
        <v>42665.432337962964</v>
      </c>
      <c r="G169" s="7">
        <v>1</v>
      </c>
      <c r="H169" s="13" t="s">
        <v>665</v>
      </c>
      <c r="I169" s="13">
        <v>42665.440972222219</v>
      </c>
      <c r="J169" s="7">
        <v>0</v>
      </c>
      <c r="K169" s="112" t="str">
        <f t="shared" si="36"/>
        <v>4045/4046</v>
      </c>
      <c r="L169" s="22" t="str">
        <f>VLOOKUP(A169,'Trips&amp;Operators'!$C$1:$E$10000,3,FALSE)</f>
        <v>YORK</v>
      </c>
      <c r="M169" s="6">
        <f t="shared" si="37"/>
        <v>8.6342592549044639E-3</v>
      </c>
      <c r="N169" s="7">
        <f t="shared" si="38"/>
        <v>12.433333327062428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NorthBound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09:20:49-0600',mode:absolute,to:'2016-10-22 11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9" s="52" t="str">
        <f t="shared" si="42"/>
        <v>N</v>
      </c>
      <c r="X169" s="171">
        <f t="shared" si="43"/>
        <v>1</v>
      </c>
      <c r="Y169" s="67">
        <f t="shared" si="44"/>
        <v>0.12959999999999999</v>
      </c>
      <c r="Z169" s="67">
        <f t="shared" si="45"/>
        <v>5.8917999999999999</v>
      </c>
      <c r="AA169" s="67">
        <f t="shared" si="46"/>
        <v>5.7622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47"/>
        <v>1809-22</v>
      </c>
      <c r="AE169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69" s="88" t="str">
        <f t="shared" si="49"/>
        <v>"C:\Program Files (x86)\AstroGrep\AstroGrep.exe" /spath="%USERPROFILE%\AppData\Local\Temp\OnboardLogs" /stypes="app*4046*20161022*" /stext=" 16:.+((SYSTEM_STATE.+slice.+state.+changed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1809-22 --locoid 4046 --swversion DE.1.0.7.0 --startMP 204:1296 --initTime 2016-10-22T10:20:49 --startdatetime 2016-10-22T10:22:34 --delay 1 --endMP 300:58918 --enddatetime 2016-10-22T10:35:00 --enforcementcount 0 &gt;&gt;C:\Users\stu\Documents\GitHub\eaglep3-reporting\EC\2016-10-22-refined-times.txt</v>
      </c>
      <c r="AI169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{"issue":{"subject":"","project_id":79,"tracker_id":40,"status_id":1,"priority_id":2,"assigned_to_id":23,"start_date":"2016-10-22","description":"","custom_fields":[{"id":1,"name":"Subdivision","value":"NW"},{"id":4,"name":"Milepost","value":"5.8918"},{"id":17,"name":"Train ID","value":"1809-22"},{"id":16,"name":"Locomotive ID","value":"4046"},{"id":130,"name":"Impact","value":""},{"id":150,"name":"Time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507</v>
      </c>
      <c r="B170" s="7">
        <v>4045</v>
      </c>
      <c r="C170" s="22" t="s">
        <v>99</v>
      </c>
      <c r="D170" s="22" t="s">
        <v>285</v>
      </c>
      <c r="E170" s="13">
        <v>42665.443425925929</v>
      </c>
      <c r="F170" s="13">
        <v>42665.4455787037</v>
      </c>
      <c r="G170" s="7">
        <v>2</v>
      </c>
      <c r="H170" s="13" t="s">
        <v>667</v>
      </c>
      <c r="I170" s="13">
        <v>42665.454351851855</v>
      </c>
      <c r="J170" s="7">
        <v>0</v>
      </c>
      <c r="K170" s="112" t="str">
        <f t="shared" si="36"/>
        <v>4045/4046</v>
      </c>
      <c r="L170" s="22" t="str">
        <f>VLOOKUP(A170,'Trips&amp;Operators'!$C$1:$E$10000,3,FALSE)</f>
        <v>YORK</v>
      </c>
      <c r="M170" s="6">
        <f t="shared" si="37"/>
        <v>8.7731481544324197E-3</v>
      </c>
      <c r="N170" s="7">
        <f t="shared" si="38"/>
        <v>12.633333342382684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Southbound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09:38:32-0600',mode:absolute,to:'2016-10-22 11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0" s="52" t="str">
        <f t="shared" si="42"/>
        <v>N</v>
      </c>
      <c r="X170" s="171">
        <f t="shared" si="43"/>
        <v>1</v>
      </c>
      <c r="Y170" s="67">
        <f t="shared" si="44"/>
        <v>5.8613</v>
      </c>
      <c r="Z170" s="67">
        <f t="shared" si="45"/>
        <v>7.6399999999999996E-2</v>
      </c>
      <c r="AA170" s="67">
        <f t="shared" si="46"/>
        <v>5.7849000000000004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47"/>
        <v>1810-22</v>
      </c>
      <c r="AE170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70" s="88" t="str">
        <f t="shared" si="49"/>
        <v>"C:\Program Files (x86)\AstroGrep\AstroGrep.exe" /spath="%USERPROFILE%\AppData\Local\Temp\OnboardLogs" /stypes="app*4045*20161022*" /stext=" 16:.+((SYSTEM_STATE.+slice.+state.+changed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1810-22 --locoid 4045 --swversion DE.1.0.7.0 --startMP 300:58613 --initTime 2016-10-22T10:38:32 --startdatetime 2016-10-22T10:41:38 --delay 2 --endMP 204:764 --enddatetime 2016-10-22T10:54:16 --enforcementcount 0 &gt;&gt;C:\Users\stu\Documents\GitHub\eaglep3-reporting\EC\2016-10-22-refined-times.txt</v>
      </c>
      <c r="AI170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{"issue":{"subject":"","project_id":79,"tracker_id":40,"status_id":1,"priority_id":2,"assigned_to_id":23,"start_date":"2016-10-22","description":"","custom_fields":[{"id":1,"name":"Subdivision","value":"NW"},{"id":4,"name":"Milepost","value":"0.0764"},{"id":17,"name":"Train ID","value":"1810-22"},{"id":16,"name":"Locomotive ID","value":"4045"},{"id":130,"name":"Impact","value":""},{"id":150,"name":"Time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425</v>
      </c>
      <c r="B171" s="7">
        <v>4046</v>
      </c>
      <c r="C171" s="22" t="s">
        <v>99</v>
      </c>
      <c r="D171" s="22" t="s">
        <v>662</v>
      </c>
      <c r="E171" s="13">
        <v>42665.471446759257</v>
      </c>
      <c r="F171" s="13">
        <v>42665.473124999997</v>
      </c>
      <c r="G171" s="7">
        <v>1</v>
      </c>
      <c r="H171" s="13" t="s">
        <v>346</v>
      </c>
      <c r="I171" s="13">
        <v>42665.481944444444</v>
      </c>
      <c r="J171" s="7">
        <v>0</v>
      </c>
      <c r="K171" s="112" t="str">
        <f t="shared" si="36"/>
        <v>4045/4046</v>
      </c>
      <c r="L171" s="22" t="str">
        <f>VLOOKUP(A171,'Trips&amp;Operators'!$C$1:$E$10000,3,FALSE)</f>
        <v>YORK</v>
      </c>
      <c r="M171" s="6">
        <f t="shared" si="37"/>
        <v>8.819444446999114E-3</v>
      </c>
      <c r="N171" s="7">
        <f t="shared" si="38"/>
        <v>12.700000003678724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NorthBound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10:18:53-0600',mode:absolute,to:'2016-10-22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1" s="52" t="str">
        <f t="shared" si="42"/>
        <v>N</v>
      </c>
      <c r="X171" s="171">
        <f t="shared" si="43"/>
        <v>1</v>
      </c>
      <c r="Y171" s="67">
        <f t="shared" si="44"/>
        <v>0.10489999999999999</v>
      </c>
      <c r="Z171" s="67">
        <f t="shared" si="45"/>
        <v>5.8924000000000003</v>
      </c>
      <c r="AA171" s="67">
        <f t="shared" si="46"/>
        <v>5.7875000000000005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47"/>
        <v>1811-22</v>
      </c>
      <c r="AE171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71" s="88" t="str">
        <f t="shared" si="49"/>
        <v>"C:\Program Files (x86)\AstroGrep\AstroGrep.exe" /spath="%USERPROFILE%\AppData\Local\Temp\OnboardLogs" /stypes="app*4046*20161022*" /stext=" 17:.+((SYSTEM_STATE.+slice.+state.+changed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1811-22 --locoid 4046 --swversion DE.1.0.7.0 --startMP 204:1049 --initTime 2016-10-22T11:18:53 --startdatetime 2016-10-22T11:21:18 --delay 1 --endMP 300:58924 --enddatetime 2016-10-22T11:34:00 --enforcementcount 0 &gt;&gt;C:\Users\stu\Documents\GitHub\eaglep3-reporting\EC\2016-10-22-refined-times.txt</v>
      </c>
      <c r="AI171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{"issue":{"subject":"","project_id":79,"tracker_id":40,"status_id":1,"priority_id":2,"assigned_to_id":23,"start_date":"2016-10-22","description":"","custom_fields":[{"id":1,"name":"Subdivision","value":"NW"},{"id":4,"name":"Milepost","value":"5.8924"},{"id":17,"name":"Train ID","value":"1811-22"},{"id":16,"name":"Locomotive ID","value":"4046"},{"id":130,"name":"Impact","value":""},{"id":150,"name":"Time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517</v>
      </c>
      <c r="B172" s="7">
        <v>4045</v>
      </c>
      <c r="C172" s="22" t="s">
        <v>99</v>
      </c>
      <c r="D172" s="22" t="s">
        <v>344</v>
      </c>
      <c r="E172" s="13">
        <v>42665.482824074075</v>
      </c>
      <c r="F172" s="13">
        <v>42665.484027777777</v>
      </c>
      <c r="G172" s="7">
        <v>1</v>
      </c>
      <c r="H172" s="13" t="s">
        <v>408</v>
      </c>
      <c r="I172" s="13">
        <v>42665.49658564815</v>
      </c>
      <c r="J172" s="7">
        <v>0</v>
      </c>
      <c r="K172" s="112" t="str">
        <f t="shared" si="36"/>
        <v>4045/4046</v>
      </c>
      <c r="L172" s="22" t="str">
        <f>VLOOKUP(A172,'Trips&amp;Operators'!$C$1:$E$10000,3,FALSE)</f>
        <v>YORK</v>
      </c>
      <c r="M172" s="6">
        <f t="shared" si="37"/>
        <v>1.2557870373711921E-2</v>
      </c>
      <c r="N172" s="7">
        <f t="shared" si="38"/>
        <v>18.083333338145167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Southbound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10:35:16-0600',mode:absolute,to:'2016-10-22 12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2" s="52" t="str">
        <f t="shared" si="42"/>
        <v>N</v>
      </c>
      <c r="X172" s="171">
        <f t="shared" si="43"/>
        <v>1</v>
      </c>
      <c r="Y172" s="67">
        <f t="shared" si="44"/>
        <v>5.8609</v>
      </c>
      <c r="Z172" s="67">
        <f t="shared" si="45"/>
        <v>7.4800000000000005E-2</v>
      </c>
      <c r="AA172" s="67">
        <f t="shared" si="46"/>
        <v>5.7861000000000002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47"/>
        <v>1812-22</v>
      </c>
      <c r="AE172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72" s="88" t="str">
        <f t="shared" si="49"/>
        <v>"C:\Program Files (x86)\AstroGrep\AstroGrep.exe" /spath="%USERPROFILE%\AppData\Local\Temp\OnboardLogs" /stypes="app*4045*20161022*" /stext=" 17:.+((SYSTEM_STATE.+slice.+state.+changed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1812-22 --locoid 4045 --swversion DE.1.0.7.0 --startMP 300:58609 --initTime 2016-10-22T11:35:16 --startdatetime 2016-10-22T11:37:00 --delay 1 --endMP 204:748 --enddatetime 2016-10-22T11:55:05 --enforcementcount 0 &gt;&gt;C:\Users\stu\Documents\GitHub\eaglep3-reporting\EC\2016-10-22-refined-times.txt</v>
      </c>
      <c r="AI172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{"issue":{"subject":"","project_id":79,"tracker_id":40,"status_id":1,"priority_id":2,"assigned_to_id":23,"start_date":"2016-10-22","description":"","custom_fields":[{"id":1,"name":"Subdivision","value":"NW"},{"id":4,"name":"Milepost","value":"0.0748"},{"id":17,"name":"Train ID","value":"1812-22"},{"id":16,"name":"Locomotive ID","value":"4045"},{"id":130,"name":"Impact","value":""},{"id":150,"name":"Time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523</v>
      </c>
      <c r="B173" s="7">
        <v>4046</v>
      </c>
      <c r="C173" s="22" t="s">
        <v>99</v>
      </c>
      <c r="D173" s="22" t="s">
        <v>668</v>
      </c>
      <c r="E173" s="13">
        <v>42665.497743055559</v>
      </c>
      <c r="F173" s="13">
        <v>42665.514976851853</v>
      </c>
      <c r="G173" s="7">
        <v>0</v>
      </c>
      <c r="H173" s="13" t="s">
        <v>346</v>
      </c>
      <c r="I173" s="13">
        <v>42665.523680555554</v>
      </c>
      <c r="J173" s="7">
        <v>0</v>
      </c>
      <c r="K173" s="112" t="str">
        <f t="shared" si="36"/>
        <v>4045/4046</v>
      </c>
      <c r="L173" s="22" t="str">
        <f>VLOOKUP(A173,'Trips&amp;Operators'!$C$1:$E$10000,3,FALSE)</f>
        <v>YORK</v>
      </c>
      <c r="M173" s="6">
        <f t="shared" si="37"/>
        <v>8.703703701030463E-3</v>
      </c>
      <c r="N173" s="7">
        <f t="shared" si="38"/>
        <v>12.533333329483867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NorthBound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10:56:45-0600',mode:absolute,to:'2016-10-22 13:34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3" s="52" t="str">
        <f t="shared" si="42"/>
        <v>N</v>
      </c>
      <c r="X173" s="171">
        <f t="shared" si="43"/>
        <v>1</v>
      </c>
      <c r="Y173" s="67">
        <f t="shared" si="44"/>
        <v>0.1048</v>
      </c>
      <c r="Z173" s="67">
        <f t="shared" si="45"/>
        <v>5.8924000000000003</v>
      </c>
      <c r="AA173" s="67">
        <f t="shared" si="46"/>
        <v>5.7876000000000003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47"/>
        <v>1813-22</v>
      </c>
      <c r="AE173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73" s="88" t="str">
        <f t="shared" si="49"/>
        <v>"C:\Program Files (x86)\AstroGrep\AstroGrep.exe" /spath="%USERPROFILE%\AppData\Local\Temp\OnboardLogs" /stypes="app*4046*20161022*" /stext=" 18:.+((SYSTEM_STATE.+slice.+state.+changed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1813-22 --locoid 4046 --swversion DE.1.0.7.0 --startMP 204:1048 --initTime 2016-10-22T11:56:45 --startdatetime 2016-10-22T12:21:34 --delay 0 --endMP 300:58924 --enddatetime 2016-10-22T12:34:06 --enforcementcount 0 &gt;&gt;C:\Users\stu\Documents\GitHub\eaglep3-reporting\EC\2016-10-22-refined-times.txt</v>
      </c>
      <c r="AI173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{"issue":{"subject":"","project_id":79,"tracker_id":40,"status_id":1,"priority_id":2,"assigned_to_id":23,"start_date":"2016-10-22","description":"","custom_fields":[{"id":1,"name":"Subdivision","value":"NW"},{"id":4,"name":"Milepost","value":"5.8924"},{"id":17,"name":"Train ID","value":"1813-22"},{"id":16,"name":"Locomotive ID","value":"4046"},{"id":130,"name":"Impact","value":""},{"id":150,"name":"Time of Event (Mountain Time)","value":"12:34:06"},{"id":151,"name":"Denver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426</v>
      </c>
      <c r="B174" s="7">
        <v>4045</v>
      </c>
      <c r="C174" s="22" t="s">
        <v>99</v>
      </c>
      <c r="D174" s="22" t="s">
        <v>669</v>
      </c>
      <c r="E174" s="13">
        <v>42665.528993055559</v>
      </c>
      <c r="F174" s="13">
        <v>42665.530046296299</v>
      </c>
      <c r="G174" s="7">
        <v>0</v>
      </c>
      <c r="H174" s="13" t="s">
        <v>670</v>
      </c>
      <c r="I174" s="13">
        <v>42665.539733796293</v>
      </c>
      <c r="J174" s="7">
        <v>0</v>
      </c>
      <c r="K174" s="112" t="str">
        <f t="shared" si="36"/>
        <v>4045/4046</v>
      </c>
      <c r="L174" s="22" t="str">
        <f>VLOOKUP(A174,'Trips&amp;Operators'!$C$1:$E$10000,3,FALSE)</f>
        <v>YORK</v>
      </c>
      <c r="M174" s="6">
        <f t="shared" si="37"/>
        <v>9.6874999944702722E-3</v>
      </c>
      <c r="N174" s="7">
        <f t="shared" si="38"/>
        <v>13.949999992037192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Southbound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11:41:45-0600',mode:absolute,to:'2016-10-22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4" s="52" t="str">
        <f t="shared" si="42"/>
        <v>N</v>
      </c>
      <c r="X174" s="171">
        <f t="shared" si="43"/>
        <v>1</v>
      </c>
      <c r="Y174" s="67">
        <f t="shared" si="44"/>
        <v>5.7362000000000002</v>
      </c>
      <c r="Z174" s="67">
        <f t="shared" si="45"/>
        <v>7.8200000000000006E-2</v>
      </c>
      <c r="AA174" s="67">
        <f t="shared" si="46"/>
        <v>5.6580000000000004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47"/>
        <v>1814-22</v>
      </c>
      <c r="AE174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74" s="88" t="str">
        <f t="shared" si="49"/>
        <v>"C:\Program Files (x86)\AstroGrep\AstroGrep.exe" /spath="%USERPROFILE%\AppData\Local\Temp\OnboardLogs" /stypes="app*4045*20161022*" /stext=" 18:.+((SYSTEM_STATE.+slice.+state.+changed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1814-22 --locoid 4045 --swversion DE.1.0.7.0 --startMP 300:57362 --initTime 2016-10-22T12:41:45 --startdatetime 2016-10-22T12:43:16 --delay 0 --endMP 204:782 --enddatetime 2016-10-22T12:57:13 --enforcementcount 0 &gt;&gt;C:\Users\stu\Documents\GitHub\eaglep3-reporting\EC\2016-10-22-refined-times.txt</v>
      </c>
      <c r="AI174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{"issue":{"subject":"","project_id":79,"tracker_id":40,"status_id":1,"priority_id":2,"assigned_to_id":23,"start_date":"2016-10-22","description":"","custom_fields":[{"id":1,"name":"Subdivision","value":"NW"},{"id":4,"name":"Milepost","value":"0.0782"},{"id":17,"name":"Train ID","value":"1814-22"},{"id":16,"name":"Locomotive ID","value":"4045"},{"id":130,"name":"Impact","value":""},{"id":150,"name":"Time of Event (Mountain Time)","value":"12:57:13"},{"id":151,"name":"Denver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530</v>
      </c>
      <c r="B175" s="7">
        <v>4046</v>
      </c>
      <c r="C175" s="22" t="s">
        <v>99</v>
      </c>
      <c r="D175" s="22" t="s">
        <v>671</v>
      </c>
      <c r="E175" s="13">
        <v>42665.540972222225</v>
      </c>
      <c r="F175" s="13">
        <v>42665.556689814817</v>
      </c>
      <c r="G175" s="7">
        <v>0</v>
      </c>
      <c r="H175" s="13" t="s">
        <v>349</v>
      </c>
      <c r="I175" s="13">
        <v>42665.56523148148</v>
      </c>
      <c r="J175" s="7">
        <v>0</v>
      </c>
      <c r="K175" s="112" t="str">
        <f t="shared" si="36"/>
        <v>4045/4046</v>
      </c>
      <c r="L175" s="22" t="str">
        <f>VLOOKUP(A175,'Trips&amp;Operators'!$C$1:$E$10000,3,FALSE)</f>
        <v>YORK</v>
      </c>
      <c r="M175" s="6">
        <f t="shared" si="37"/>
        <v>8.5416666624951176E-3</v>
      </c>
      <c r="N175" s="7">
        <f t="shared" si="38"/>
        <v>12.299999993992969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NorthBound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11:59:00-0600',mode:absolute,to:'2016-10-22 14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5" s="52" t="str">
        <f t="shared" si="42"/>
        <v>N</v>
      </c>
      <c r="X175" s="171">
        <f t="shared" si="43"/>
        <v>1</v>
      </c>
      <c r="Y175" s="67">
        <f t="shared" si="44"/>
        <v>0.107</v>
      </c>
      <c r="Z175" s="67">
        <f t="shared" si="45"/>
        <v>5.8925999999999998</v>
      </c>
      <c r="AA175" s="67">
        <f t="shared" si="46"/>
        <v>5.7855999999999996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47"/>
        <v>1815-22</v>
      </c>
      <c r="AE175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75" s="88" t="str">
        <f t="shared" si="49"/>
        <v>"C:\Program Files (x86)\AstroGrep\AstroGrep.exe" /spath="%USERPROFILE%\AppData\Local\Temp\OnboardLogs" /stypes="app*4046*20161022*" /stext=" 19:.+((SYSTEM_STATE.+slice.+state.+changed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1815-22 --locoid 4046 --swversion DE.1.0.7.0 --startMP 204:1070 --initTime 2016-10-22T12:59:00 --startdatetime 2016-10-22T13:21:38 --delay 0 --endMP 300:58926 --enddatetime 2016-10-22T13:33:56 --enforcementcount 0 &gt;&gt;C:\Users\stu\Documents\GitHub\eaglep3-reporting\EC\2016-10-22-refined-times.txt</v>
      </c>
      <c r="AI175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{"issue":{"subject":"","project_id":79,"tracker_id":40,"status_id":1,"priority_id":2,"assigned_to_id":23,"start_date":"2016-10-22","description":"","custom_fields":[{"id":1,"name":"Subdivision","value":"NW"},{"id":4,"name":"Milepost","value":"5.8926"},{"id":17,"name":"Train ID","value":"1815-22"},{"id":16,"name":"Locomotive ID","value":"4046"},{"id":130,"name":"Impact","value":""},{"id":150,"name":"Time of Event (Mountain Time)","value":"13:33:56"},{"id":151,"name":"Denver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535</v>
      </c>
      <c r="B176" s="7">
        <v>4045</v>
      </c>
      <c r="C176" s="22" t="s">
        <v>99</v>
      </c>
      <c r="D176" s="22" t="s">
        <v>347</v>
      </c>
      <c r="E176" s="13">
        <v>42665.567094907405</v>
      </c>
      <c r="F176" s="13">
        <v>42665.568449074075</v>
      </c>
      <c r="G176" s="7">
        <v>0</v>
      </c>
      <c r="H176" s="13" t="s">
        <v>672</v>
      </c>
      <c r="I176" s="13">
        <v>42665.579965277779</v>
      </c>
      <c r="J176" s="7">
        <v>0</v>
      </c>
      <c r="K176" s="112" t="str">
        <f t="shared" si="36"/>
        <v>4045/4046</v>
      </c>
      <c r="L176" s="22" t="str">
        <f>VLOOKUP(A176,'Trips&amp;Operators'!$C$1:$E$10000,3,FALSE)</f>
        <v>YORK</v>
      </c>
      <c r="M176" s="6">
        <f t="shared" si="37"/>
        <v>1.1516203703649808E-2</v>
      </c>
      <c r="N176" s="7">
        <f t="shared" si="38"/>
        <v>16.583333333255723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Southbound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12:36:37-0600',mode:absolute,to:'2016-10-22 14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6" s="52" t="str">
        <f t="shared" si="42"/>
        <v>N</v>
      </c>
      <c r="X176" s="171">
        <f t="shared" si="43"/>
        <v>1</v>
      </c>
      <c r="Y176" s="67">
        <f t="shared" si="44"/>
        <v>5.8608000000000002</v>
      </c>
      <c r="Z176" s="67">
        <f t="shared" si="45"/>
        <v>7.5499999999999998E-2</v>
      </c>
      <c r="AA176" s="67">
        <f t="shared" si="46"/>
        <v>5.7853000000000003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47"/>
        <v>1816-22</v>
      </c>
      <c r="AE176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76" s="88" t="str">
        <f t="shared" si="49"/>
        <v>"C:\Program Files (x86)\AstroGrep\AstroGrep.exe" /spath="%USERPROFILE%\AppData\Local\Temp\OnboardLogs" /stypes="app*4045*20161022*" /stext=" 19:.+((SYSTEM_STATE.+slice.+state.+changed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1816-22 --locoid 4045 --swversion DE.1.0.7.0 --startMP 300:58608 --initTime 2016-10-22T13:36:37 --startdatetime 2016-10-22T13:38:34 --delay 0 --endMP 204:755 --enddatetime 2016-10-22T13:55:09 --enforcementcount 0 &gt;&gt;C:\Users\stu\Documents\GitHub\eaglep3-reporting\EC\2016-10-22-refined-times.txt</v>
      </c>
      <c r="AI176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{"issue":{"subject":"","project_id":79,"tracker_id":40,"status_id":1,"priority_id":2,"assigned_to_id":23,"start_date":"2016-10-22","description":"","custom_fields":[{"id":1,"name":"Subdivision","value":"NW"},{"id":4,"name":"Milepost","value":"0.0755"},{"id":17,"name":"Train ID","value":"1816-22"},{"id":16,"name":"Locomotive ID","value":"4045"},{"id":130,"name":"Impact","value":""},{"id":150,"name":"Time of Event (Mountain Time)","value":"13:55:09"},{"id":151,"name":"Denver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430</v>
      </c>
      <c r="B177" s="7">
        <v>4046</v>
      </c>
      <c r="C177" s="22" t="s">
        <v>99</v>
      </c>
      <c r="D177" s="22" t="s">
        <v>673</v>
      </c>
      <c r="E177" s="13">
        <v>42665.591215277775</v>
      </c>
      <c r="F177" s="13">
        <v>42665.598263888889</v>
      </c>
      <c r="G177" s="7">
        <v>1</v>
      </c>
      <c r="H177" s="13" t="s">
        <v>674</v>
      </c>
      <c r="I177" s="13">
        <v>42665.608206018522</v>
      </c>
      <c r="J177" s="7">
        <v>0</v>
      </c>
      <c r="K177" s="112" t="str">
        <f t="shared" si="36"/>
        <v>4045/4046</v>
      </c>
      <c r="L177" s="22" t="str">
        <f>VLOOKUP(A177,'Trips&amp;Operators'!$C$1:$E$10000,3,FALSE)</f>
        <v>ADANE</v>
      </c>
      <c r="M177" s="6">
        <f t="shared" si="37"/>
        <v>9.9421296326909214E-3</v>
      </c>
      <c r="N177" s="7">
        <f t="shared" si="38"/>
        <v>14.316666671074927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13:11:21-0600',mode:absolute,to:'2016-10-22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7" s="52" t="str">
        <f t="shared" si="42"/>
        <v>N</v>
      </c>
      <c r="X177" s="171">
        <f t="shared" si="43"/>
        <v>1</v>
      </c>
      <c r="Y177" s="67">
        <f t="shared" si="44"/>
        <v>0.1041</v>
      </c>
      <c r="Z177" s="67">
        <f t="shared" si="45"/>
        <v>5.8975</v>
      </c>
      <c r="AA177" s="67">
        <f t="shared" si="46"/>
        <v>5.7934000000000001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47"/>
        <v>1817-22</v>
      </c>
      <c r="AE177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77" s="88" t="str">
        <f t="shared" si="49"/>
        <v>"C:\Program Files (x86)\AstroGrep\AstroGrep.exe" /spath="%USERPROFILE%\AppData\Local\Temp\OnboardLogs" /stypes="app*4046*20161022*" /stext=" 20:.+((SYSTEM_STATE.+slice.+state.+changed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1817-22 --locoid 4046 --swversion DE.1.0.7.0 --startMP 204:1041 --initTime 2016-10-22T14:11:21 --startdatetime 2016-10-22T14:21:30 --delay 1 --endMP 300:58975 --enddatetime 2016-10-22T14:35:49 --enforcementcount 0 &gt;&gt;C:\Users\stu\Documents\GitHub\eaglep3-reporting\EC\2016-10-22-refined-times.txt</v>
      </c>
      <c r="AI177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{"issue":{"subject":"","project_id":79,"tracker_id":40,"status_id":1,"priority_id":2,"assigned_to_id":23,"start_date":"2016-10-22","description":"","custom_fields":[{"id":1,"name":"Subdivision","value":"NW"},{"id":4,"name":"Milepost","value":"5.8975"},{"id":17,"name":"Train ID","value":"1817-22"},{"id":16,"name":"Locomotive ID","value":"4046"},{"id":130,"name":"Impact","value":""},{"id":150,"name":"Time of Event (Mountain Time)","value":"14:35:49"},{"id":151,"name":"Denver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544</v>
      </c>
      <c r="B178" s="7">
        <v>4045</v>
      </c>
      <c r="C178" s="22" t="s">
        <v>99</v>
      </c>
      <c r="D178" s="22" t="s">
        <v>675</v>
      </c>
      <c r="E178" s="13">
        <v>42665.609270833331</v>
      </c>
      <c r="F178" s="13">
        <v>42665.610925925925</v>
      </c>
      <c r="G178" s="7">
        <v>1</v>
      </c>
      <c r="H178" s="13" t="s">
        <v>676</v>
      </c>
      <c r="I178" s="13">
        <v>42665.621689814812</v>
      </c>
      <c r="J178" s="7">
        <v>0</v>
      </c>
      <c r="K178" s="112" t="str">
        <f t="shared" si="36"/>
        <v>4045/4046</v>
      </c>
      <c r="L178" s="22" t="str">
        <f>VLOOKUP(A178,'Trips&amp;Operators'!$C$1:$E$10000,3,FALSE)</f>
        <v>ADANE</v>
      </c>
      <c r="M178" s="6">
        <f t="shared" si="37"/>
        <v>1.0763888887595385E-2</v>
      </c>
      <c r="N178" s="7">
        <f t="shared" si="38"/>
        <v>15.499999998137355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13:37:21-0600',mode:absolute,to:'2016-10-22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8" s="52" t="str">
        <f t="shared" si="42"/>
        <v>N</v>
      </c>
      <c r="X178" s="171">
        <f t="shared" si="43"/>
        <v>1</v>
      </c>
      <c r="Y178" s="67">
        <f t="shared" si="44"/>
        <v>5.8659999999999997</v>
      </c>
      <c r="Z178" s="67">
        <f t="shared" si="45"/>
        <v>6.4199999999999993E-2</v>
      </c>
      <c r="AA178" s="67">
        <f t="shared" si="46"/>
        <v>5.8018000000000001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47"/>
        <v>1818-22</v>
      </c>
      <c r="AE178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78" s="88" t="str">
        <f t="shared" si="49"/>
        <v>"C:\Program Files (x86)\AstroGrep\AstroGrep.exe" /spath="%USERPROFILE%\AppData\Local\Temp\OnboardLogs" /stypes="app*4045*20161022*" /stext=" 20:.+((SYSTEM_STATE.+slice.+state.+changed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1818-22 --locoid 4045 --swversion DE.1.0.7.0 --startMP 300:58660 --initTime 2016-10-22T14:37:21 --startdatetime 2016-10-22T14:39:44 --delay 1 --endMP 204:642 --enddatetime 2016-10-22T14:55:14 --enforcementcount 0 &gt;&gt;C:\Users\stu\Documents\GitHub\eaglep3-reporting\EC\2016-10-22-refined-times.txt</v>
      </c>
      <c r="AI178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{"issue":{"subject":"","project_id":79,"tracker_id":40,"status_id":1,"priority_id":2,"assigned_to_id":23,"start_date":"2016-10-22","description":"","custom_fields":[{"id":1,"name":"Subdivision","value":"NW"},{"id":4,"name":"Milepost","value":"0.0642"},{"id":17,"name":"Train ID","value":"1818-22"},{"id":16,"name":"Locomotive ID","value":"4045"},{"id":130,"name":"Impact","value":""},{"id":150,"name":"Time of Event (Mountain Time)","value":"14:55:14"},{"id":151,"name":"Denver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550</v>
      </c>
      <c r="B179" s="7">
        <v>4046</v>
      </c>
      <c r="C179" s="22" t="s">
        <v>99</v>
      </c>
      <c r="D179" s="22" t="s">
        <v>677</v>
      </c>
      <c r="E179" s="13">
        <v>42665.63553240741</v>
      </c>
      <c r="F179" s="13">
        <v>42665.639953703707</v>
      </c>
      <c r="G179" s="7">
        <v>1</v>
      </c>
      <c r="H179" s="13" t="s">
        <v>678</v>
      </c>
      <c r="I179" s="13">
        <v>42665.649224537039</v>
      </c>
      <c r="J179" s="7">
        <v>0</v>
      </c>
      <c r="K179" s="112" t="str">
        <f t="shared" si="36"/>
        <v>4045/4046</v>
      </c>
      <c r="L179" s="22" t="str">
        <f>VLOOKUP(A179,'Trips&amp;Operators'!$C$1:$E$10000,3,FALSE)</f>
        <v>ADANE</v>
      </c>
      <c r="M179" s="6">
        <f t="shared" si="37"/>
        <v>9.2708333322661929E-3</v>
      </c>
      <c r="N179" s="7">
        <f t="shared" si="38"/>
        <v>13.349999998463318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14:15:10-0600',mode:absolute,to:'2016-10-22 16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9" s="52" t="str">
        <f t="shared" si="42"/>
        <v>N</v>
      </c>
      <c r="X179" s="171">
        <f t="shared" si="43"/>
        <v>1</v>
      </c>
      <c r="Y179" s="67">
        <f t="shared" si="44"/>
        <v>9.2200000000000004E-2</v>
      </c>
      <c r="Z179" s="67">
        <f t="shared" si="45"/>
        <v>5.8998999999999997</v>
      </c>
      <c r="AA179" s="67">
        <f t="shared" si="46"/>
        <v>5.8076999999999996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47"/>
        <v>1819-22</v>
      </c>
      <c r="AE179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79" s="88" t="str">
        <f t="shared" si="49"/>
        <v>"C:\Program Files (x86)\AstroGrep\AstroGrep.exe" /spath="%USERPROFILE%\AppData\Local\Temp\OnboardLogs" /stypes="app*4046*20161022*" /stext=" 21:.+((SYSTEM_STATE.+slice.+state.+changed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1819-22 --locoid 4046 --swversion DE.1.0.7.0 --startMP 204:922 --initTime 2016-10-22T15:15:10 --startdatetime 2016-10-22T15:21:32 --delay 1 --endMP 300:58999 --enddatetime 2016-10-22T15:34:53 --enforcementcount 0 &gt;&gt;C:\Users\stu\Documents\GitHub\eaglep3-reporting\EC\2016-10-22-refined-times.txt</v>
      </c>
      <c r="AI179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{"issue":{"subject":"","project_id":79,"tracker_id":40,"status_id":1,"priority_id":2,"assigned_to_id":23,"start_date":"2016-10-22","description":"","custom_fields":[{"id":1,"name":"Subdivision","value":"NW"},{"id":4,"name":"Milepost","value":"5.8999"},{"id":17,"name":"Train ID","value":"1819-22"},{"id":16,"name":"Locomotive ID","value":"4046"},{"id":130,"name":"Impact","value":""},{"id":150,"name":"Time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432</v>
      </c>
      <c r="B180" s="7">
        <v>4045</v>
      </c>
      <c r="C180" s="22" t="s">
        <v>99</v>
      </c>
      <c r="D180" s="22" t="s">
        <v>679</v>
      </c>
      <c r="E180" s="13">
        <v>42665.650543981479</v>
      </c>
      <c r="F180" s="13">
        <v>42665.651875000003</v>
      </c>
      <c r="G180" s="7">
        <v>1</v>
      </c>
      <c r="H180" s="13" t="s">
        <v>680</v>
      </c>
      <c r="I180" s="13">
        <v>42665.663124999999</v>
      </c>
      <c r="J180" s="7">
        <v>0</v>
      </c>
      <c r="K180" s="112" t="str">
        <f t="shared" si="36"/>
        <v>4045/4046</v>
      </c>
      <c r="L180" s="22" t="str">
        <f>VLOOKUP(A180,'Trips&amp;Operators'!$C$1:$E$10000,3,FALSE)</f>
        <v>ADANE</v>
      </c>
      <c r="M180" s="6">
        <f t="shared" si="37"/>
        <v>1.1249999995925464E-2</v>
      </c>
      <c r="N180" s="7">
        <f t="shared" si="38"/>
        <v>16.199999994132668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14:36:47-0600',mode:absolute,to:'2016-10-22 16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0" s="52" t="str">
        <f t="shared" si="42"/>
        <v>N</v>
      </c>
      <c r="X180" s="171">
        <f t="shared" si="43"/>
        <v>1</v>
      </c>
      <c r="Y180" s="67">
        <f t="shared" si="44"/>
        <v>5.8682999999999996</v>
      </c>
      <c r="Z180" s="67">
        <f t="shared" si="45"/>
        <v>6.8900000000000003E-2</v>
      </c>
      <c r="AA180" s="67">
        <f t="shared" si="46"/>
        <v>5.7993999999999994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47"/>
        <v>1820-22</v>
      </c>
      <c r="AE180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80" s="88" t="str">
        <f t="shared" si="49"/>
        <v>"C:\Program Files (x86)\AstroGrep\AstroGrep.exe" /spath="%USERPROFILE%\AppData\Local\Temp\OnboardLogs" /stypes="app*4045*20161022*" /stext=" 21:.+((SYSTEM_STATE.+slice.+state.+changed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1820-22 --locoid 4045 --swversion DE.1.0.7.0 --startMP 300:58683 --initTime 2016-10-22T15:36:47 --startdatetime 2016-10-22T15:38:42 --delay 1 --endMP 204:689 --enddatetime 2016-10-22T15:54:54 --enforcementcount 0 &gt;&gt;C:\Users\stu\Documents\GitHub\eaglep3-reporting\EC\2016-10-22-refined-times.txt</v>
      </c>
      <c r="AI180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{"issue":{"subject":"","project_id":79,"tracker_id":40,"status_id":1,"priority_id":2,"assigned_to_id":23,"start_date":"2016-10-22","description":"","custom_fields":[{"id":1,"name":"Subdivision","value":"NW"},{"id":4,"name":"Milepost","value":"0.0689"},{"id":17,"name":"Train ID","value":"1820-22"},{"id":16,"name":"Locomotive ID","value":"4045"},{"id":130,"name":"Impact","value":""},{"id":150,"name":"Time of Event (Mountain Time)","value":"15:54:54"},{"id":151,"name":"Denver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557</v>
      </c>
      <c r="B181" s="7">
        <v>4046</v>
      </c>
      <c r="C181" s="22" t="s">
        <v>99</v>
      </c>
      <c r="D181" s="22" t="s">
        <v>681</v>
      </c>
      <c r="E181" s="13">
        <v>42665.678946759261</v>
      </c>
      <c r="F181" s="13">
        <v>42665.681620370371</v>
      </c>
      <c r="G181" s="7">
        <v>1</v>
      </c>
      <c r="H181" s="13" t="s">
        <v>682</v>
      </c>
      <c r="I181" s="13">
        <v>42665.691134259258</v>
      </c>
      <c r="J181" s="7">
        <v>0</v>
      </c>
      <c r="K181" s="112" t="str">
        <f t="shared" si="36"/>
        <v>4045/4046</v>
      </c>
      <c r="L181" s="22" t="str">
        <f>VLOOKUP(A181,'Trips&amp;Operators'!$C$1:$E$10000,3,FALSE)</f>
        <v>ADANE</v>
      </c>
      <c r="M181" s="6">
        <f t="shared" si="37"/>
        <v>9.5138888864312321E-3</v>
      </c>
      <c r="N181" s="7">
        <f t="shared" si="38"/>
        <v>13.699999996460974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15:17:41-0600',mode:absolute,to:'2016-10-22 17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1" s="52" t="str">
        <f t="shared" si="42"/>
        <v>N</v>
      </c>
      <c r="X181" s="171">
        <f t="shared" si="43"/>
        <v>1</v>
      </c>
      <c r="Y181" s="67">
        <f t="shared" si="44"/>
        <v>9.8299999999999998E-2</v>
      </c>
      <c r="Z181" s="67">
        <f t="shared" si="45"/>
        <v>5.8982000000000001</v>
      </c>
      <c r="AA181" s="67">
        <f t="shared" si="46"/>
        <v>5.7999000000000001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47"/>
        <v>1821-22</v>
      </c>
      <c r="AE181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81" s="88" t="str">
        <f t="shared" si="49"/>
        <v>"C:\Program Files (x86)\AstroGrep\AstroGrep.exe" /spath="%USERPROFILE%\AppData\Local\Temp\OnboardLogs" /stypes="app*4046*20161022*" /stext=" 22:.+((SYSTEM_STATE.+slice.+state.+changed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1821-22 --locoid 4046 --swversion DE.1.0.7.0 --startMP 204:983 --initTime 2016-10-22T16:17:41 --startdatetime 2016-10-22T16:21:32 --delay 1 --endMP 300:58982 --enddatetime 2016-10-22T16:35:14 --enforcementcount 0 &gt;&gt;C:\Users\stu\Documents\GitHub\eaglep3-reporting\EC\2016-10-22-refined-times.txt</v>
      </c>
      <c r="AI181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{"issue":{"subject":"","project_id":79,"tracker_id":40,"status_id":1,"priority_id":2,"assigned_to_id":23,"start_date":"2016-10-22","description":"","custom_fields":[{"id":1,"name":"Subdivision","value":"NW"},{"id":4,"name":"Milepost","value":"5.8982"},{"id":17,"name":"Train ID","value":"1821-22"},{"id":16,"name":"Locomotive ID","value":"4046"},{"id":130,"name":"Impact","value":""},{"id":150,"name":"Time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560</v>
      </c>
      <c r="B182" s="7">
        <v>4045</v>
      </c>
      <c r="C182" s="22" t="s">
        <v>99</v>
      </c>
      <c r="D182" s="22" t="s">
        <v>683</v>
      </c>
      <c r="E182" s="13">
        <v>42665.692210648151</v>
      </c>
      <c r="F182" s="13">
        <v>42665.693738425929</v>
      </c>
      <c r="G182" s="7">
        <v>1</v>
      </c>
      <c r="H182" s="13" t="s">
        <v>684</v>
      </c>
      <c r="I182" s="13">
        <v>42665.704710648148</v>
      </c>
      <c r="J182" s="7">
        <v>0</v>
      </c>
      <c r="K182" s="112" t="str">
        <f t="shared" si="36"/>
        <v>4045/4046</v>
      </c>
      <c r="L182" s="22" t="str">
        <f>VLOOKUP(A182,'Trips&amp;Operators'!$C$1:$E$10000,3,FALSE)</f>
        <v>ADANE</v>
      </c>
      <c r="M182" s="6">
        <f t="shared" si="37"/>
        <v>1.0972222218697425E-2</v>
      </c>
      <c r="N182" s="7">
        <f t="shared" si="38"/>
        <v>15.799999994924292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15:36:47-0600',mode:absolute,to:'2016-10-22 17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2" s="52" t="str">
        <f t="shared" si="42"/>
        <v>N</v>
      </c>
      <c r="X182" s="171">
        <f t="shared" si="43"/>
        <v>1</v>
      </c>
      <c r="Y182" s="67">
        <f t="shared" si="44"/>
        <v>5.8666</v>
      </c>
      <c r="Z182" s="67">
        <f t="shared" si="45"/>
        <v>6.2399999999999997E-2</v>
      </c>
      <c r="AA182" s="67">
        <f t="shared" si="46"/>
        <v>5.8041999999999998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47"/>
        <v>1822-22</v>
      </c>
      <c r="AE182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82" s="88" t="str">
        <f t="shared" si="49"/>
        <v>"C:\Program Files (x86)\AstroGrep\AstroGrep.exe" /spath="%USERPROFILE%\AppData\Local\Temp\OnboardLogs" /stypes="app*4045*20161022*" /stext=" 22:.+((SYSTEM_STATE.+slice.+state.+changed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1822-22 --locoid 4045 --swversion DE.1.0.7.0 --startMP 300:58666 --initTime 2016-10-22T16:36:47 --startdatetime 2016-10-22T16:38:59 --delay 1 --endMP 204:624 --enddatetime 2016-10-22T16:54:47 --enforcementcount 0 &gt;&gt;C:\Users\stu\Documents\GitHub\eaglep3-reporting\EC\2016-10-22-refined-times.txt</v>
      </c>
      <c r="AI182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{"issue":{"subject":"","project_id":79,"tracker_id":40,"status_id":1,"priority_id":2,"assigned_to_id":23,"start_date":"2016-10-22","description":"","custom_fields":[{"id":1,"name":"Subdivision","value":"NW"},{"id":4,"name":"Milepost","value":"0.0624"},{"id":17,"name":"Train ID","value":"1822-22"},{"id":16,"name":"Locomotive ID","value":"4045"},{"id":130,"name":"Impact","value":""},{"id":150,"name":"Time of Event (Mountain Time)","value":"16:54:47"},{"id":151,"name":"Denver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567</v>
      </c>
      <c r="B183" s="7">
        <v>4046</v>
      </c>
      <c r="C183" s="22" t="s">
        <v>99</v>
      </c>
      <c r="D183" s="22" t="s">
        <v>685</v>
      </c>
      <c r="E183" s="13">
        <v>42665.720277777778</v>
      </c>
      <c r="F183" s="13">
        <v>42665.723761574074</v>
      </c>
      <c r="G183" s="7">
        <v>1</v>
      </c>
      <c r="H183" s="13" t="s">
        <v>686</v>
      </c>
      <c r="I183" s="13">
        <v>42665.73296296296</v>
      </c>
      <c r="J183" s="7">
        <v>0</v>
      </c>
      <c r="K183" s="112" t="str">
        <f t="shared" si="36"/>
        <v>4045/4046</v>
      </c>
      <c r="L183" s="22" t="str">
        <f>VLOOKUP(A183,'Trips&amp;Operators'!$C$1:$E$10000,3,FALSE)</f>
        <v>ADANE</v>
      </c>
      <c r="M183" s="6">
        <f t="shared" si="37"/>
        <v>9.2013888861401938E-3</v>
      </c>
      <c r="N183" s="7">
        <f t="shared" si="38"/>
        <v>13.249999996041879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16:17:12-0600',mode:absolute,to:'2016-10-22 18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3" s="52" t="str">
        <f t="shared" si="42"/>
        <v>N</v>
      </c>
      <c r="X183" s="171">
        <f t="shared" si="43"/>
        <v>1</v>
      </c>
      <c r="Y183" s="67">
        <f t="shared" si="44"/>
        <v>9.1499999999999998E-2</v>
      </c>
      <c r="Z183" s="67">
        <f t="shared" si="45"/>
        <v>5.8963000000000001</v>
      </c>
      <c r="AA183" s="67">
        <f t="shared" si="46"/>
        <v>5.8048000000000002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47"/>
        <v>1823-22</v>
      </c>
      <c r="AE183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83" s="88" t="str">
        <f t="shared" si="49"/>
        <v>"C:\Program Files (x86)\AstroGrep\AstroGrep.exe" /spath="%USERPROFILE%\AppData\Local\Temp\OnboardLogs" /stypes="app*4046*20161022*" /stext=" 23:.+((SYSTEM_STATE.+slice.+state.+changed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1823-22 --locoid 4046 --swversion DE.1.0.7.0 --startMP 204:915 --initTime 2016-10-22T17:17:12 --startdatetime 2016-10-22T17:22:13 --delay 1 --endMP 300:58963 --enddatetime 2016-10-22T17:35:28 --enforcementcount 0 &gt;&gt;C:\Users\stu\Documents\GitHub\eaglep3-reporting\EC\2016-10-22-refined-times.txt</v>
      </c>
      <c r="AI183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{"issue":{"subject":"","project_id":79,"tracker_id":40,"status_id":1,"priority_id":2,"assigned_to_id":23,"start_date":"2016-10-22","description":"","custom_fields":[{"id":1,"name":"Subdivision","value":"NW"},{"id":4,"name":"Milepost","value":"5.8963"},{"id":17,"name":"Train ID","value":"1823-22"},{"id":16,"name":"Locomotive ID","value":"4046"},{"id":130,"name":"Impact","value":""},{"id":150,"name":"Time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437</v>
      </c>
      <c r="B184" s="7">
        <v>4045</v>
      </c>
      <c r="C184" s="22" t="s">
        <v>99</v>
      </c>
      <c r="D184" s="22" t="s">
        <v>687</v>
      </c>
      <c r="E184" s="13">
        <v>42665.741770833331</v>
      </c>
      <c r="F184" s="13">
        <v>42665.743715277778</v>
      </c>
      <c r="G184" s="7">
        <v>2</v>
      </c>
      <c r="H184" s="13" t="s">
        <v>688</v>
      </c>
      <c r="I184" s="13">
        <v>42665.7499537037</v>
      </c>
      <c r="J184" s="7">
        <v>0</v>
      </c>
      <c r="K184" s="112" t="str">
        <f t="shared" si="36"/>
        <v>4045/4046</v>
      </c>
      <c r="L184" s="22" t="str">
        <f>VLOOKUP(A184,'Trips&amp;Operators'!$C$1:$E$10000,3,FALSE)</f>
        <v>ADANE</v>
      </c>
      <c r="M184" s="6">
        <f t="shared" si="37"/>
        <v>6.2384259217651561E-3</v>
      </c>
      <c r="N184" s="7"/>
      <c r="O184" s="7"/>
      <c r="P184" s="7">
        <f t="shared" si="38"/>
        <v>8.9833333273418248</v>
      </c>
      <c r="Q184" s="23"/>
      <c r="R184" s="23" t="s">
        <v>763</v>
      </c>
      <c r="S184" s="35">
        <f t="shared" si="39"/>
        <v>1</v>
      </c>
      <c r="T184" s="50" t="str">
        <f t="shared" si="40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16:48:09-0600',mode:absolute,to:'2016-10-22 18:59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4" s="52" t="str">
        <f t="shared" si="42"/>
        <v>Y</v>
      </c>
      <c r="X184" s="171">
        <f t="shared" si="43"/>
        <v>1</v>
      </c>
      <c r="Y184" s="67">
        <f t="shared" si="44"/>
        <v>2.6831999999999998</v>
      </c>
      <c r="Z184" s="67">
        <f t="shared" si="45"/>
        <v>6.8000000000000005E-2</v>
      </c>
      <c r="AA184" s="67">
        <f t="shared" si="46"/>
        <v>2.6151999999999997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47"/>
        <v>1824-22</v>
      </c>
      <c r="AE184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84" s="88" t="str">
        <f t="shared" si="49"/>
        <v>"C:\Program Files (x86)\AstroGrep\AstroGrep.exe" /spath="%USERPROFILE%\AppData\Local\Temp\OnboardLogs" /stypes="app*4045*20161022*" /stext=" 23:.+((SYSTEM_STATE.+slice.+state.+changed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1824-22 --locoid 4045 --swversion DE.1.0.7.0 --startMP 300:26832 --initTime 2016-10-22T17:48:09 --startdatetime 2016-10-22T17:50:57 --delay 2 --endMP 204:680 --enddatetime 2016-10-22T17:59:56 --enforcementcount 0 &gt;&gt;C:\Users\stu\Documents\GitHub\eaglep3-reporting\EC\2016-10-22-refined-times.txt</v>
      </c>
      <c r="AI184" s="122" t="str">
        <f t="shared" si="52"/>
        <v>echo {"issue":{"subject":"Onboard in-route failure","project_id":79,"tracker_id":40,"status_id":1,"priority_id":2,"assigned_to_id":23,"start_date":"2016-10-22","description":"braking algorithm failure at 17:43","custom_fields":[{"id":1,"name":"Subdivision","value":"NW"},{"id":4,"name":"Milepost","value":"0.068"},{"id":17,"name":"Train ID","value":"1824-22"},{"id":16,"name":"Locomotive ID","value":"4045"},{"id":130,"name":"Impact","value":"Enforcement"},{"id":150,"name":"Time of Event (Mountain Time)","value":"17:59:56"},{"id":151,"name":"Denver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4" s="53" t="s">
        <v>764</v>
      </c>
      <c r="AK184" s="53" t="s">
        <v>126</v>
      </c>
      <c r="AL184" s="53" t="s">
        <v>179</v>
      </c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439</v>
      </c>
      <c r="B185" s="7">
        <v>4046</v>
      </c>
      <c r="C185" s="22" t="s">
        <v>99</v>
      </c>
      <c r="D185" s="22" t="s">
        <v>689</v>
      </c>
      <c r="E185" s="13">
        <v>42665.762094907404</v>
      </c>
      <c r="F185" s="13">
        <v>42665.765115740738</v>
      </c>
      <c r="G185" s="7">
        <v>1</v>
      </c>
      <c r="H185" s="13" t="s">
        <v>345</v>
      </c>
      <c r="I185" s="13">
        <v>42665.774583333332</v>
      </c>
      <c r="J185" s="7">
        <v>0</v>
      </c>
      <c r="K185" s="112" t="str">
        <f t="shared" si="36"/>
        <v>4045/4046</v>
      </c>
      <c r="L185" s="22" t="str">
        <f>VLOOKUP(A185,'Trips&amp;Operators'!$C$1:$E$10000,3,FALSE)</f>
        <v>ADANE</v>
      </c>
      <c r="M185" s="6">
        <f t="shared" si="37"/>
        <v>9.4675925938645378E-3</v>
      </c>
      <c r="N185" s="7">
        <f t="shared" si="38"/>
        <v>13.633333335164934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17:17:25-0600',mode:absolute,to:'2016-10-22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5" s="52" t="str">
        <f t="shared" si="42"/>
        <v>N</v>
      </c>
      <c r="X185" s="171">
        <f t="shared" si="43"/>
        <v>1</v>
      </c>
      <c r="Y185" s="67">
        <f t="shared" si="44"/>
        <v>9.6699999999999994E-2</v>
      </c>
      <c r="Z185" s="67">
        <f t="shared" si="45"/>
        <v>5.8929</v>
      </c>
      <c r="AA185" s="67">
        <f t="shared" si="46"/>
        <v>5.7961999999999998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47"/>
        <v>1825-22</v>
      </c>
      <c r="AE185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85" s="88" t="str">
        <f t="shared" si="49"/>
        <v>"C:\Program Files (x86)\AstroGrep\AstroGrep.exe" /spath="%USERPROFILE%\AppData\Local\Temp\OnboardLogs" /stypes="app*4046*20161023*" /stext=" 00:.+((SYSTEM_STATE.+slice.+state.+changed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1825-22 --locoid 4046 --swversion DE.1.0.7.0 --startMP 204:967 --initTime 2016-10-22T18:17:25 --startdatetime 2016-10-22T18:21:46 --delay 1 --endMP 300:58929 --enddatetime 2016-10-22T18:35:24 --enforcementcount 0 &gt;&gt;C:\Users\stu\Documents\GitHub\eaglep3-reporting\EC\2016-10-22-refined-times.txt</v>
      </c>
      <c r="AI185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{"issue":{"subject":"","project_id":79,"tracker_id":40,"status_id":1,"priority_id":2,"assigned_to_id":23,"start_date":"2016-10-22","description":"","custom_fields":[{"id":1,"name":"Subdivision","value":"NW"},{"id":4,"name":"Milepost","value":"5.8929"},{"id":17,"name":"Train ID","value":"1825-22"},{"id":16,"name":"Locomotive ID","value":"4046"},{"id":130,"name":"Impact","value":""},{"id":150,"name":"Time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440</v>
      </c>
      <c r="B186" s="7">
        <v>4045</v>
      </c>
      <c r="C186" s="22" t="s">
        <v>99</v>
      </c>
      <c r="D186" s="22" t="s">
        <v>347</v>
      </c>
      <c r="E186" s="13">
        <v>42665.776701388888</v>
      </c>
      <c r="F186" s="13">
        <v>42665.778715277775</v>
      </c>
      <c r="G186" s="7">
        <v>2</v>
      </c>
      <c r="H186" s="13" t="s">
        <v>690</v>
      </c>
      <c r="I186" s="13">
        <v>42665.788113425922</v>
      </c>
      <c r="J186" s="7">
        <v>0</v>
      </c>
      <c r="K186" s="112" t="str">
        <f t="shared" si="36"/>
        <v>4045/4046</v>
      </c>
      <c r="L186" s="22" t="str">
        <f>VLOOKUP(A186,'Trips&amp;Operators'!$C$1:$E$10000,3,FALSE)</f>
        <v>ADANE</v>
      </c>
      <c r="M186" s="6">
        <f t="shared" si="37"/>
        <v>9.3981481477385387E-3</v>
      </c>
      <c r="N186" s="7">
        <f t="shared" si="38"/>
        <v>13.533333332743496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17:38:27-0600',mode:absolute,to:'2016-10-22 19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6" s="52" t="str">
        <f t="shared" si="42"/>
        <v>N</v>
      </c>
      <c r="X186" s="171">
        <f t="shared" si="43"/>
        <v>1</v>
      </c>
      <c r="Y186" s="67">
        <f t="shared" si="44"/>
        <v>5.8608000000000002</v>
      </c>
      <c r="Z186" s="67">
        <f t="shared" si="45"/>
        <v>7.3400000000000007E-2</v>
      </c>
      <c r="AA186" s="67">
        <f t="shared" si="46"/>
        <v>5.7873999999999999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47"/>
        <v>1826-22</v>
      </c>
      <c r="AE186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86" s="88" t="str">
        <f t="shared" si="49"/>
        <v>"C:\Program Files (x86)\AstroGrep\AstroGrep.exe" /spath="%USERPROFILE%\AppData\Local\Temp\OnboardLogs" /stypes="app*4045*20161023*" /stext=" 00:.+((SYSTEM_STATE.+slice.+state.+changed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1826-22 --locoid 4045 --swversion DE.1.0.7.0 --startMP 300:58608 --initTime 2016-10-22T18:38:27 --startdatetime 2016-10-22T18:41:21 --delay 2 --endMP 204:734 --enddatetime 2016-10-22T18:54:53 --enforcementcount 0 &gt;&gt;C:\Users\stu\Documents\GitHub\eaglep3-reporting\EC\2016-10-22-refined-times.txt</v>
      </c>
      <c r="AI186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{"issue":{"subject":"","project_id":79,"tracker_id":40,"status_id":1,"priority_id":2,"assigned_to_id":23,"start_date":"2016-10-22","description":"","custom_fields":[{"id":1,"name":"Subdivision","value":"NW"},{"id":4,"name":"Milepost","value":"0.0734"},{"id":17,"name":"Train ID","value":"1826-22"},{"id":16,"name":"Locomotive ID","value":"4045"},{"id":130,"name":"Impact","value":""},{"id":150,"name":"Time of Event (Mountain Time)","value":"18:54:53"},{"id":151,"name":"Denver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588</v>
      </c>
      <c r="B187" s="7">
        <v>4046</v>
      </c>
      <c r="C187" s="22" t="s">
        <v>99</v>
      </c>
      <c r="D187" s="22" t="s">
        <v>405</v>
      </c>
      <c r="E187" s="13">
        <v>42665.802349537036</v>
      </c>
      <c r="F187" s="13">
        <v>42665.806585648148</v>
      </c>
      <c r="G187" s="7">
        <v>1</v>
      </c>
      <c r="H187" s="13" t="s">
        <v>691</v>
      </c>
      <c r="I187" s="13">
        <v>42665.815925925926</v>
      </c>
      <c r="J187" s="7">
        <v>0</v>
      </c>
      <c r="K187" s="112" t="str">
        <f t="shared" si="36"/>
        <v>4045/4046</v>
      </c>
      <c r="L187" s="22" t="str">
        <f>VLOOKUP(A187,'Trips&amp;Operators'!$C$1:$E$10000,3,FALSE)</f>
        <v>ADANE</v>
      </c>
      <c r="M187" s="6">
        <f t="shared" si="37"/>
        <v>9.340277778392192E-3</v>
      </c>
      <c r="N187" s="7">
        <f t="shared" si="38"/>
        <v>13.450000000884756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18:15:23-0600',mode:absolute,to:'2016-10-22 20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7" s="52" t="str">
        <f t="shared" si="42"/>
        <v>N</v>
      </c>
      <c r="X187" s="171">
        <f t="shared" si="43"/>
        <v>1</v>
      </c>
      <c r="Y187" s="67">
        <f t="shared" si="44"/>
        <v>0.10299999999999999</v>
      </c>
      <c r="Z187" s="67">
        <f t="shared" si="45"/>
        <v>5.8971</v>
      </c>
      <c r="AA187" s="67">
        <f t="shared" si="46"/>
        <v>5.7941000000000003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47"/>
        <v>1827-22</v>
      </c>
      <c r="AE187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87" s="88" t="str">
        <f t="shared" si="49"/>
        <v>"C:\Program Files (x86)\AstroGrep\AstroGrep.exe" /spath="%USERPROFILE%\AppData\Local\Temp\OnboardLogs" /stypes="app*4046*20161023*" /stext=" 01:.+((SYSTEM_STATE.+slice.+state.+changed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1827-22 --locoid 4046 --swversion DE.1.0.7.0 --startMP 204:1030 --initTime 2016-10-22T19:15:23 --startdatetime 2016-10-22T19:21:29 --delay 1 --endMP 300:58971 --enddatetime 2016-10-22T19:34:56 --enforcementcount 0 &gt;&gt;C:\Users\stu\Documents\GitHub\eaglep3-reporting\EC\2016-10-22-refined-times.txt</v>
      </c>
      <c r="AI187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{"issue":{"subject":"","project_id":79,"tracker_id":40,"status_id":1,"priority_id":2,"assigned_to_id":23,"start_date":"2016-10-22","description":"","custom_fields":[{"id":1,"name":"Subdivision","value":"NW"},{"id":4,"name":"Milepost","value":"5.8971"},{"id":17,"name":"Train ID","value":"1827-22"},{"id":16,"name":"Locomotive ID","value":"4046"},{"id":130,"name":"Impact","value":""},{"id":150,"name":"Time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443</v>
      </c>
      <c r="B188" s="7">
        <v>4045</v>
      </c>
      <c r="C188" s="22" t="s">
        <v>99</v>
      </c>
      <c r="D188" s="22" t="s">
        <v>692</v>
      </c>
      <c r="E188" s="13">
        <v>42665.817175925928</v>
      </c>
      <c r="F188" s="13">
        <v>42665.818611111114</v>
      </c>
      <c r="G188" s="7">
        <v>1</v>
      </c>
      <c r="H188" s="13" t="s">
        <v>693</v>
      </c>
      <c r="I188" s="13">
        <v>42665.829618055555</v>
      </c>
      <c r="J188" s="7">
        <v>0</v>
      </c>
      <c r="K188" s="112" t="str">
        <f t="shared" si="36"/>
        <v>4045/4046</v>
      </c>
      <c r="L188" s="22" t="str">
        <f>VLOOKUP(A188,'Trips&amp;Operators'!$C$1:$E$10000,3,FALSE)</f>
        <v>ADANE</v>
      </c>
      <c r="M188" s="6">
        <f t="shared" si="37"/>
        <v>1.1006944441760425E-2</v>
      </c>
      <c r="N188" s="7">
        <f t="shared" si="38"/>
        <v>15.849999996135011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18:36:44-0600',mode:absolute,to:'2016-10-22 20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8" s="52" t="str">
        <f t="shared" si="42"/>
        <v>N</v>
      </c>
      <c r="X188" s="171">
        <f t="shared" si="43"/>
        <v>1</v>
      </c>
      <c r="Y188" s="67">
        <f t="shared" si="44"/>
        <v>5.8653000000000004</v>
      </c>
      <c r="Z188" s="67">
        <f t="shared" si="45"/>
        <v>6.3100000000000003E-2</v>
      </c>
      <c r="AA188" s="67">
        <f t="shared" si="46"/>
        <v>5.8022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47"/>
        <v>1828-22</v>
      </c>
      <c r="AE188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88" s="88" t="str">
        <f t="shared" si="49"/>
        <v>"C:\Program Files (x86)\AstroGrep\AstroGrep.exe" /spath="%USERPROFILE%\AppData\Local\Temp\OnboardLogs" /stypes="app*4045*20161023*" /stext=" 01:.+((SYSTEM_STATE.+slice.+state.+changed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1828-22 --locoid 4045 --swversion DE.1.0.7.0 --startMP 300:58653 --initTime 2016-10-22T19:36:44 --startdatetime 2016-10-22T19:38:48 --delay 1 --endMP 204:631 --enddatetime 2016-10-22T19:54:39 --enforcementcount 0 &gt;&gt;C:\Users\stu\Documents\GitHub\eaglep3-reporting\EC\2016-10-22-refined-times.txt</v>
      </c>
      <c r="AI188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{"issue":{"subject":"","project_id":79,"tracker_id":40,"status_id":1,"priority_id":2,"assigned_to_id":23,"start_date":"2016-10-22","description":"","custom_fields":[{"id":1,"name":"Subdivision","value":"NW"},{"id":4,"name":"Milepost","value":"0.0631"},{"id":17,"name":"Train ID","value":"1828-22"},{"id":16,"name":"Locomotive ID","value":"4045"},{"id":130,"name":"Impact","value":""},{"id":150,"name":"Time of Event (Mountain Time)","value":"19:54:39"},{"id":151,"name":"Denver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595</v>
      </c>
      <c r="B189" s="7">
        <v>4046</v>
      </c>
      <c r="C189" s="22" t="s">
        <v>99</v>
      </c>
      <c r="D189" s="22" t="s">
        <v>694</v>
      </c>
      <c r="E189" s="13">
        <v>42665.844236111108</v>
      </c>
      <c r="F189" s="13">
        <v>42665.848587962966</v>
      </c>
      <c r="G189" s="7">
        <v>2</v>
      </c>
      <c r="H189" s="13" t="s">
        <v>695</v>
      </c>
      <c r="I189" s="13">
        <v>42665.857777777775</v>
      </c>
      <c r="J189" s="7">
        <v>0</v>
      </c>
      <c r="K189" s="112" t="str">
        <f t="shared" si="36"/>
        <v>4045/4046</v>
      </c>
      <c r="L189" s="22" t="str">
        <f>VLOOKUP(A189,'Trips&amp;Operators'!$C$1:$E$10000,3,FALSE)</f>
        <v>ADANE</v>
      </c>
      <c r="M189" s="6">
        <f t="shared" si="37"/>
        <v>9.1898148093605414E-3</v>
      </c>
      <c r="N189" s="7">
        <f t="shared" si="38"/>
        <v>13.23333332547918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19:15:42-0600',mode:absolute,to:'2016-10-22 21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9" s="52" t="str">
        <f t="shared" si="42"/>
        <v>N</v>
      </c>
      <c r="X189" s="171">
        <f t="shared" si="43"/>
        <v>1</v>
      </c>
      <c r="Y189" s="67">
        <f t="shared" si="44"/>
        <v>9.3399999999999997E-2</v>
      </c>
      <c r="Z189" s="67">
        <f t="shared" si="45"/>
        <v>5.8978000000000002</v>
      </c>
      <c r="AA189" s="67">
        <f t="shared" si="46"/>
        <v>5.8044000000000002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47"/>
        <v>1829-22</v>
      </c>
      <c r="AE189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89" s="88" t="str">
        <f t="shared" si="49"/>
        <v>"C:\Program Files (x86)\AstroGrep\AstroGrep.exe" /spath="%USERPROFILE%\AppData\Local\Temp\OnboardLogs" /stypes="app*4046*20161023*" /stext=" 02:.+((SYSTEM_STATE.+slice.+state.+changed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1829-22 --locoid 4046 --swversion DE.1.0.7.0 --startMP 204:934 --initTime 2016-10-22T20:15:42 --startdatetime 2016-10-22T20:21:58 --delay 2 --endMP 300:58978 --enddatetime 2016-10-22T20:35:12 --enforcementcount 0 &gt;&gt;C:\Users\stu\Documents\GitHub\eaglep3-reporting\EC\2016-10-22-refined-times.txt</v>
      </c>
      <c r="AI189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{"issue":{"subject":"","project_id":79,"tracker_id":40,"status_id":1,"priority_id":2,"assigned_to_id":23,"start_date":"2016-10-22","description":"","custom_fields":[{"id":1,"name":"Subdivision","value":"NW"},{"id":4,"name":"Milepost","value":"5.8978"},{"id":17,"name":"Train ID","value":"1829-22"},{"id":16,"name":"Locomotive ID","value":"4046"},{"id":130,"name":"Impact","value":""},{"id":150,"name":"Time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444</v>
      </c>
      <c r="B190" s="7">
        <v>4045</v>
      </c>
      <c r="C190" s="22" t="s">
        <v>99</v>
      </c>
      <c r="D190" s="22" t="s">
        <v>696</v>
      </c>
      <c r="E190" s="13">
        <v>42665.8590625</v>
      </c>
      <c r="F190" s="13">
        <v>42665.860532407409</v>
      </c>
      <c r="G190" s="7">
        <v>1</v>
      </c>
      <c r="H190" s="13" t="s">
        <v>697</v>
      </c>
      <c r="I190" s="13">
        <v>42665.872453703705</v>
      </c>
      <c r="J190" s="7">
        <v>0</v>
      </c>
      <c r="K190" s="112" t="str">
        <f t="shared" si="36"/>
        <v>4045/4046</v>
      </c>
      <c r="L190" s="22" t="str">
        <f>VLOOKUP(A190,'Trips&amp;Operators'!$C$1:$E$10000,3,FALSE)</f>
        <v>ADANE</v>
      </c>
      <c r="M190" s="6">
        <f t="shared" si="37"/>
        <v>1.1921296296350192E-2</v>
      </c>
      <c r="N190" s="7">
        <f t="shared" si="38"/>
        <v>17.166666666744277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19:37:03-0600',mode:absolute,to:'2016-10-22 21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0" s="52" t="str">
        <f t="shared" si="42"/>
        <v>N</v>
      </c>
      <c r="X190" s="171">
        <f t="shared" si="43"/>
        <v>1</v>
      </c>
      <c r="Y190" s="67">
        <f t="shared" si="44"/>
        <v>5.8654999999999999</v>
      </c>
      <c r="Z190" s="67">
        <f t="shared" si="45"/>
        <v>8.3199999999999996E-2</v>
      </c>
      <c r="AA190" s="67">
        <f t="shared" si="46"/>
        <v>5.7823000000000002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47"/>
        <v>1830-22</v>
      </c>
      <c r="AE190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90" s="88" t="str">
        <f t="shared" si="49"/>
        <v>"C:\Program Files (x86)\AstroGrep\AstroGrep.exe" /spath="%USERPROFILE%\AppData\Local\Temp\OnboardLogs" /stypes="app*4045*20161023*" /stext=" 02:.+((SYSTEM_STATE.+slice.+state.+changed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1830-22 --locoid 4045 --swversion DE.1.0.7.0 --startMP 300:58655 --initTime 2016-10-22T20:37:03 --startdatetime 2016-10-22T20:39:10 --delay 1 --endMP 204:832 --enddatetime 2016-10-22T20:56:20 --enforcementcount 0 &gt;&gt;C:\Users\stu\Documents\GitHub\eaglep3-reporting\EC\2016-10-22-refined-times.txt</v>
      </c>
      <c r="AI190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{"issue":{"subject":"","project_id":79,"tracker_id":40,"status_id":1,"priority_id":2,"assigned_to_id":23,"start_date":"2016-10-22","description":"","custom_fields":[{"id":1,"name":"Subdivision","value":"NW"},{"id":4,"name":"Milepost","value":"0.0832"},{"id":17,"name":"Train ID","value":"1830-22"},{"id":16,"name":"Locomotive ID","value":"4045"},{"id":130,"name":"Impact","value":""},{"id":150,"name":"Time of Event (Mountain Time)","value":"20:56:20"},{"id":151,"name":"Denver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599</v>
      </c>
      <c r="B191" s="7">
        <v>4046</v>
      </c>
      <c r="C191" s="22" t="s">
        <v>99</v>
      </c>
      <c r="D191" s="22" t="s">
        <v>698</v>
      </c>
      <c r="E191" s="13">
        <v>42665.886736111112</v>
      </c>
      <c r="F191" s="13">
        <v>42665.890092592592</v>
      </c>
      <c r="G191" s="7">
        <v>1</v>
      </c>
      <c r="H191" s="13" t="s">
        <v>699</v>
      </c>
      <c r="I191" s="13">
        <v>42665.89912037037</v>
      </c>
      <c r="J191" s="7">
        <v>0</v>
      </c>
      <c r="K191" s="112" t="str">
        <f t="shared" si="36"/>
        <v>4045/4046</v>
      </c>
      <c r="L191" s="22" t="str">
        <f>VLOOKUP(A191,'Trips&amp;Operators'!$C$1:$E$10000,3,FALSE)</f>
        <v>ADANE</v>
      </c>
      <c r="M191" s="6">
        <f t="shared" si="37"/>
        <v>9.0277777781011537E-3</v>
      </c>
      <c r="N191" s="7">
        <f t="shared" si="38"/>
        <v>13.000000000465661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20:16:54-0600',mode:absolute,to:'2016-10-22 22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1" s="52" t="str">
        <f t="shared" si="42"/>
        <v>N</v>
      </c>
      <c r="X191" s="171">
        <f t="shared" si="43"/>
        <v>1</v>
      </c>
      <c r="Y191" s="67">
        <f t="shared" si="44"/>
        <v>0.11260000000000001</v>
      </c>
      <c r="Z191" s="67">
        <f t="shared" si="45"/>
        <v>5.8986000000000001</v>
      </c>
      <c r="AA191" s="67">
        <f t="shared" si="46"/>
        <v>5.7860000000000005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47"/>
        <v>1831-22</v>
      </c>
      <c r="AE191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91" s="88" t="str">
        <f t="shared" si="49"/>
        <v>"C:\Program Files (x86)\AstroGrep\AstroGrep.exe" /spath="%USERPROFILE%\AppData\Local\Temp\OnboardLogs" /stypes="app*4046*20161023*" /stext=" 03:.+((SYSTEM_STATE.+slice.+state.+changed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1831-22 --locoid 4046 --swversion DE.1.0.7.0 --startMP 204:1126 --initTime 2016-10-22T21:16:54 --startdatetime 2016-10-22T21:21:44 --delay 1 --endMP 300:58986 --enddatetime 2016-10-22T21:34:44 --enforcementcount 0 &gt;&gt;C:\Users\stu\Documents\GitHub\eaglep3-reporting\EC\2016-10-22-refined-times.txt</v>
      </c>
      <c r="AI191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{"issue":{"subject":"","project_id":79,"tracker_id":40,"status_id":1,"priority_id":2,"assigned_to_id":23,"start_date":"2016-10-22","description":"","custom_fields":[{"id":1,"name":"Subdivision","value":"NW"},{"id":4,"name":"Milepost","value":"5.8986"},{"id":17,"name":"Train ID","value":"1831-22"},{"id":16,"name":"Locomotive ID","value":"4046"},{"id":130,"name":"Impact","value":""},{"id":150,"name":"Time of Event (Mountain Time)","value":"21:34:44"},{"id":151,"name":"Denver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602</v>
      </c>
      <c r="B192" s="7">
        <v>4045</v>
      </c>
      <c r="C192" s="22" t="s">
        <v>99</v>
      </c>
      <c r="D192" s="22" t="s">
        <v>700</v>
      </c>
      <c r="E192" s="13">
        <v>42665.900277777779</v>
      </c>
      <c r="F192" s="13">
        <v>42665.902488425927</v>
      </c>
      <c r="G192" s="7">
        <v>1</v>
      </c>
      <c r="H192" s="13" t="s">
        <v>701</v>
      </c>
      <c r="I192" s="13">
        <v>42665.91306712963</v>
      </c>
      <c r="J192" s="7">
        <v>0</v>
      </c>
      <c r="K192" s="112" t="str">
        <f t="shared" si="36"/>
        <v>4045/4046</v>
      </c>
      <c r="L192" s="22" t="str">
        <f>VLOOKUP(A192,'Trips&amp;Operators'!$C$1:$E$10000,3,FALSE)</f>
        <v>ADANE</v>
      </c>
      <c r="M192" s="6">
        <f t="shared" si="37"/>
        <v>1.0578703702776693E-2</v>
      </c>
      <c r="N192" s="7">
        <f t="shared" si="38"/>
        <v>15.233333331998438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20:36:24-0600',mode:absolute,to:'2016-10-22 22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2" s="52" t="str">
        <f t="shared" si="42"/>
        <v>N</v>
      </c>
      <c r="X192" s="171">
        <f t="shared" si="43"/>
        <v>1</v>
      </c>
      <c r="Y192" s="67">
        <f t="shared" si="44"/>
        <v>5.8673000000000002</v>
      </c>
      <c r="Z192" s="67">
        <f t="shared" si="45"/>
        <v>6.0999999999999999E-2</v>
      </c>
      <c r="AA192" s="67">
        <f t="shared" si="46"/>
        <v>5.8063000000000002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47"/>
        <v>1832-22</v>
      </c>
      <c r="AE192" s="91" t="str">
        <f t="shared" si="48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192" s="88" t="str">
        <f t="shared" si="49"/>
        <v>"C:\Program Files (x86)\AstroGrep\AstroGrep.exe" /spath="%USERPROFILE%\AppData\Local\Temp\OnboardLogs" /stypes="app*4045*20161023*" /stext=" 03:.+((SYSTEM_STATE.+slice.+state.+changed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1832-22 --locoid 4045 --swversion DE.1.0.7.0 --startMP 300:58673 --initTime 2016-10-22T21:36:24 --startdatetime 2016-10-22T21:39:35 --delay 1 --endMP 204:610 --enddatetime 2016-10-22T21:54:49 --enforcementcount 0 &gt;&gt;C:\Users\stu\Documents\GitHub\eaglep3-reporting\EC\2016-10-22-refined-times.txt</v>
      </c>
      <c r="AI192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{"issue":{"subject":"","project_id":79,"tracker_id":40,"status_id":1,"priority_id":2,"assigned_to_id":23,"start_date":"2016-10-22","description":"","custom_fields":[{"id":1,"name":"Subdivision","value":"NW"},{"id":4,"name":"Milepost","value":"0.061"},{"id":17,"name":"Train ID","value":"1832-22"},{"id":16,"name":"Locomotive ID","value":"4045"},{"id":130,"name":"Impact","value":""},{"id":150,"name":"Time of Event (Mountain Time)","value":"21:54:49"},{"id":151,"name":"Denver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445</v>
      </c>
      <c r="B193" s="7">
        <v>4046</v>
      </c>
      <c r="C193" s="22" t="s">
        <v>99</v>
      </c>
      <c r="D193" s="22" t="s">
        <v>677</v>
      </c>
      <c r="E193" s="13">
        <v>42665.92491898148</v>
      </c>
      <c r="F193" s="13">
        <v>42665.931793981479</v>
      </c>
      <c r="G193" s="7">
        <v>2</v>
      </c>
      <c r="H193" s="13" t="s">
        <v>702</v>
      </c>
      <c r="I193" s="13">
        <v>42665.942245370374</v>
      </c>
      <c r="J193" s="7">
        <v>0</v>
      </c>
      <c r="K193" s="112" t="str">
        <f t="shared" si="36"/>
        <v>4045/4046</v>
      </c>
      <c r="L193" s="22" t="str">
        <f>VLOOKUP(A193,'Trips&amp;Operators'!$C$1:$E$10000,3,FALSE)</f>
        <v>ADANE</v>
      </c>
      <c r="M193" s="6">
        <f t="shared" si="37"/>
        <v>1.0451388894580305E-2</v>
      </c>
      <c r="N193" s="7">
        <f t="shared" si="38"/>
        <v>15.050000008195639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21:11:53-0600',mode:absolute,to:'2016-10-22 23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3" s="52" t="str">
        <f t="shared" si="42"/>
        <v>N</v>
      </c>
      <c r="X193" s="171">
        <f t="shared" si="43"/>
        <v>1</v>
      </c>
      <c r="Y193" s="67">
        <f t="shared" si="44"/>
        <v>9.2200000000000004E-2</v>
      </c>
      <c r="Z193" s="67">
        <f t="shared" si="45"/>
        <v>5.8983999999999996</v>
      </c>
      <c r="AA193" s="67">
        <f t="shared" si="46"/>
        <v>5.8061999999999996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47"/>
        <v>1833-22</v>
      </c>
      <c r="AE193" s="91" t="str">
        <f t="shared" si="48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193" s="88" t="str">
        <f t="shared" si="49"/>
        <v>"C:\Program Files (x86)\AstroGrep\AstroGrep.exe" /spath="%USERPROFILE%\AppData\Local\Temp\OnboardLogs" /stypes="app*4046*20161023*" /stext=" 04:.+((SYSTEM_STATE.+slice.+state.+changed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1833-22 --locoid 4046 --swversion DE.1.0.7.0 --startMP 204:922 --initTime 2016-10-22T22:11:53 --startdatetime 2016-10-22T22:21:47 --delay 2 --endMP 300:58984 --enddatetime 2016-10-22T22:36:50 --enforcementcount 0 &gt;&gt;C:\Users\stu\Documents\GitHub\eaglep3-reporting\EC\2016-10-22-refined-times.txt</v>
      </c>
      <c r="AI193" s="122" t="str">
        <f t="shared" si="52"/>
        <v>echo {"issue":{"subject":"","project_id":79,"tracker_id":40,"status_id":1,"priority_id":2,"assigned_to_id":23,"start_date":"2016-10-22","description":"","custom_fields":[{"id":1,"name":"Subdivision","value":"NW"},{"id":4,"name":"Milepost","value":"5.8984"},{"id":17,"name":"Train ID","value":"1833-22"},{"id":16,"name":"Locomotive ID","value":"4046"},{"id":130,"name":"Impact","value":""},{"id":150,"name":"Time of Event (Mountain Time)","value":"22:36:50"},{"id":151,"name":"Denver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447</v>
      </c>
      <c r="B194" s="7">
        <v>4030</v>
      </c>
      <c r="C194" s="22" t="s">
        <v>99</v>
      </c>
      <c r="D194" s="22" t="s">
        <v>729</v>
      </c>
      <c r="E194" s="13">
        <v>42665.118796296294</v>
      </c>
      <c r="F194" s="13">
        <v>42665.120185185187</v>
      </c>
      <c r="G194" s="7">
        <v>1</v>
      </c>
      <c r="H194" s="13" t="s">
        <v>626</v>
      </c>
      <c r="I194" s="13">
        <v>42665.126342592594</v>
      </c>
      <c r="J194" s="7">
        <v>0</v>
      </c>
      <c r="K194" s="112" t="str">
        <f t="shared" si="36"/>
        <v>4029/4030</v>
      </c>
      <c r="L194" s="22" t="str">
        <f>VLOOKUP(A194,'Trips&amp;Operators'!$C$1:$E$10000,3,FALSE)</f>
        <v>MAELZER</v>
      </c>
      <c r="M194" s="6">
        <f t="shared" si="37"/>
        <v>6.1574074061354622E-3</v>
      </c>
      <c r="N194" s="7">
        <f t="shared" si="38"/>
        <v>8.8666666648350656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01:51:04-0600',mode:absolute,to:'2016-10-22 04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42"/>
        <v>Y</v>
      </c>
      <c r="X194" s="171">
        <f t="shared" si="43"/>
        <v>-1531</v>
      </c>
      <c r="Y194" s="67">
        <f t="shared" si="44"/>
        <v>2.3264</v>
      </c>
      <c r="Z194" s="67">
        <f t="shared" si="45"/>
        <v>1.2999999999999999E-2</v>
      </c>
      <c r="AA194" s="67">
        <f t="shared" si="46"/>
        <v>2.3134000000000001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47"/>
        <v>0302-22</v>
      </c>
      <c r="AE194" s="91" t="str">
        <f t="shared" si="48"/>
        <v>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 &amp; aws s3 cp s3://rtdc.mdm.uploadarchive.raw/RTDC4030/ "%USERPROFILE%\AppData\Local\Temp\OnboardLogs"\RTDC4030\2016-10-23 --exclude "*" --recursive --include "*20161023*" &amp; "%USERPROFILE%\Documents\GitHub\mrs-test-scripts\Headless Mode &amp; Sideloading\WalkAndUnGZ.bat" "%USERPROFILE%\AppData\Local\Temp\OnboardLogs"\RTDC4030\2016-10-23</v>
      </c>
      <c r="AF194" s="88" t="str">
        <f t="shared" si="49"/>
        <v>"C:\Program Files (x86)\AstroGrep\AstroGrep.exe" /spath="%USERPROFILE%\AppData\Local\Temp\OnboardLogs" /stypes="app*4030*20161022*" /stext=" 09:.+((SYSTEM_STATE.+slice.+state.+changed )|(ment ac)|(system.+state.+changed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302-22 --locoid 4030 --swversion DE.1.0.7.0 --startMP 300:23264 --initTime 2016-10-22T02:51:04 --startdatetime 2016-10-22T02:53:04 --delay 1 --endMP 204:130 --enddatetime 2016-10-22T03:01:56 --enforcementcount 0 &gt;&gt;C:\Users\stu\Documents\GitHub\eaglep3-reporting\EC\2016-10-22-refined-times.txt</v>
      </c>
      <c r="AI194" s="122" t="str">
        <f t="shared" si="52"/>
        <v>echo {"issue":{"subject":"","project_id":79,"tracker_id":40,"status_id":1,"priority_id":2,"assigned_to_id":23,"start_date":"2016-10-22","description":"","custom_fields":[{"id":1,"name":"Subdivision","value":"Other"},{"id":4,"name":"Milepost","value":"0.013"},{"id":17,"name":"Train ID","value":"302-22"},{"id":16,"name":"Locomotive ID","value":"4030"},{"id":130,"name":"Impact","value":""},{"id":150,"name":"Time of Event (Mountain Time)","value":"03:01:56"},{"id":151,"name":"Denver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582</v>
      </c>
      <c r="B195" s="7">
        <v>4044</v>
      </c>
      <c r="C195" s="22" t="s">
        <v>99</v>
      </c>
      <c r="D195" s="22" t="s">
        <v>730</v>
      </c>
      <c r="E195" s="13">
        <v>42665.78707175926</v>
      </c>
      <c r="F195" s="13">
        <v>42665.789236111108</v>
      </c>
      <c r="G195" s="7">
        <v>1</v>
      </c>
      <c r="H195" s="13" t="s">
        <v>731</v>
      </c>
      <c r="I195" s="13">
        <v>42665.795312499999</v>
      </c>
      <c r="J195" s="7">
        <v>0</v>
      </c>
      <c r="K195" s="112" t="str">
        <f t="shared" si="36"/>
        <v>4043/4044</v>
      </c>
      <c r="L195" s="22" t="str">
        <f>VLOOKUP(A195,'Trips&amp;Operators'!$C$1:$E$10000,3,FALSE)</f>
        <v>SHOOK</v>
      </c>
      <c r="M195" s="6">
        <f t="shared" si="37"/>
        <v>6.0763888905057684E-3</v>
      </c>
      <c r="N195" s="7">
        <f t="shared" si="38"/>
        <v>8.7500000023283064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17:53:23-0600',mode:absolute,to:'2016-10-22 20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5" s="52" t="str">
        <f t="shared" si="42"/>
        <v>Y</v>
      </c>
      <c r="X195" s="171">
        <f t="shared" si="43"/>
        <v>1</v>
      </c>
      <c r="Y195" s="67">
        <f t="shared" si="44"/>
        <v>0.1232</v>
      </c>
      <c r="Z195" s="67">
        <f t="shared" si="45"/>
        <v>2.3311999999999999</v>
      </c>
      <c r="AA195" s="67">
        <f t="shared" si="46"/>
        <v>2.2079999999999997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47"/>
        <v>0303-22</v>
      </c>
      <c r="AE195" s="91" t="str">
        <f t="shared" si="48"/>
        <v>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 &amp; 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</v>
      </c>
      <c r="AF195" s="88" t="str">
        <f t="shared" si="49"/>
        <v>"C:\Program Files (x86)\AstroGrep\AstroGrep.exe" /spath="%USERPROFILE%\AppData\Local\Temp\OnboardLogs" /stypes="app*4044*20161023*" /stext=" 01:.+((SYSTEM_STATE.+slice.+state.+changed )|(ment ac)|(system.+state.+changed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303-22 --locoid 4044 --swversion DE.1.0.7.0 --startMP 204:1232 --initTime 2016-10-22T18:53:23 --startdatetime 2016-10-22T18:56:30 --delay 1 --endMP 300:23312 --enddatetime 2016-10-22T19:05:15 --enforcementcount 0 &gt;&gt;C:\Users\stu\Documents\GitHub\eaglep3-reporting\EC\2016-10-22-refined-times.txt</v>
      </c>
      <c r="AI195" s="122" t="str">
        <f t="shared" si="52"/>
        <v>echo {"issue":{"subject":"","project_id":79,"tracker_id":40,"status_id":1,"priority_id":2,"assigned_to_id":23,"start_date":"2016-10-22","description":"","custom_fields":[{"id":1,"name":"Subdivision","value":"Other"},{"id":4,"name":"Milepost","value":"2.3312"},{"id":17,"name":"Train ID","value":"303-22"},{"id":16,"name":"Locomotive ID","value":"4044"},{"id":130,"name":"Impact","value":""},{"id":150,"name":"Time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452</v>
      </c>
      <c r="B196" s="7">
        <v>4032</v>
      </c>
      <c r="C196" s="22" t="s">
        <v>99</v>
      </c>
      <c r="D196" s="22" t="s">
        <v>732</v>
      </c>
      <c r="E196" s="13">
        <v>42665.143379629626</v>
      </c>
      <c r="F196" s="13">
        <v>42665.144479166665</v>
      </c>
      <c r="G196" s="7">
        <v>1</v>
      </c>
      <c r="H196" s="13" t="s">
        <v>264</v>
      </c>
      <c r="I196" s="13">
        <v>42665.150717592594</v>
      </c>
      <c r="J196" s="7">
        <v>0</v>
      </c>
      <c r="K196" s="112" t="str">
        <f t="shared" si="36"/>
        <v>4031/4032</v>
      </c>
      <c r="L196" s="22" t="str">
        <f>VLOOKUP(A196,'Trips&amp;Operators'!$C$1:$E$10000,3,FALSE)</f>
        <v>MALAVE</v>
      </c>
      <c r="M196" s="6">
        <f t="shared" si="37"/>
        <v>6.2384259290411137E-3</v>
      </c>
      <c r="N196" s="7">
        <f t="shared" si="38"/>
        <v>8.9833333378192037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02:26:28-0600',mode:absolute,to:'2016-10-22 04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2" t="str">
        <f t="shared" si="42"/>
        <v>Y</v>
      </c>
      <c r="X196" s="171">
        <f t="shared" si="43"/>
        <v>1</v>
      </c>
      <c r="Y196" s="67">
        <f t="shared" si="44"/>
        <v>2.3494999999999999</v>
      </c>
      <c r="Z196" s="67">
        <f t="shared" si="45"/>
        <v>1.5599999999999999E-2</v>
      </c>
      <c r="AA196" s="67">
        <f t="shared" si="46"/>
        <v>2.3338999999999999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47"/>
        <v>0304-22</v>
      </c>
      <c r="AE196" s="91" t="str">
        <f t="shared" si="48"/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AF196" s="88" t="str">
        <f t="shared" si="49"/>
        <v>"C:\Program Files (x86)\AstroGrep\AstroGrep.exe" /spath="%USERPROFILE%\AppData\Local\Temp\OnboardLogs" /stypes="app*4032*20161022*" /stext=" 09:.+((SYSTEM_STATE.+slice.+state.+changed )|(ment ac)|(system.+state.+changed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304-22 --locoid 4032 --swversion DE.1.0.7.0 --startMP 300:23495 --initTime 2016-10-22T03:26:28 --startdatetime 2016-10-22T03:28:03 --delay 1 --endMP 204:156 --enddatetime 2016-10-22T03:37:02 --enforcementcount 0 &gt;&gt;C:\Users\stu\Documents\GitHub\eaglep3-reporting\EC\2016-10-22-refined-times.txt</v>
      </c>
      <c r="AI196" s="122" t="str">
        <f t="shared" si="52"/>
        <v>echo {"issue":{"subject":"","project_id":79,"tracker_id":40,"status_id":1,"priority_id":2,"assigned_to_id":23,"start_date":"2016-10-22","description":"","custom_fields":[{"id":1,"name":"Subdivision","value":"Other"},{"id":4,"name":"Milepost","value":"0.0156"},{"id":17,"name":"Train ID","value":"304-22"},{"id":16,"name":"Locomotive ID","value":"4032"},{"id":130,"name":"Impact","value":""},{"id":150,"name":"Time of Event (Mountain Time)","value":"03:37:02"},{"id":151,"name":"Denver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587</v>
      </c>
      <c r="B197" s="7">
        <v>4029</v>
      </c>
      <c r="C197" s="22" t="s">
        <v>99</v>
      </c>
      <c r="D197" s="22" t="s">
        <v>733</v>
      </c>
      <c r="E197" s="13">
        <v>42665.800370370373</v>
      </c>
      <c r="F197" s="13">
        <v>25568.708333333332</v>
      </c>
      <c r="G197" s="7">
        <v>1</v>
      </c>
      <c r="H197" s="13" t="s">
        <v>403</v>
      </c>
      <c r="I197" s="13">
        <v>25568.708333333332</v>
      </c>
      <c r="J197" s="7">
        <v>0</v>
      </c>
      <c r="K197" s="112" t="str">
        <f t="shared" si="36"/>
        <v>4029/4030</v>
      </c>
      <c r="L197" s="22" t="str">
        <f>VLOOKUP(A197,'Trips&amp;Operators'!$C$1:$E$10000,3,FALSE)</f>
        <v>CLARK</v>
      </c>
      <c r="M197" s="6">
        <f t="shared" si="37"/>
        <v>0</v>
      </c>
      <c r="N197" s="7">
        <f t="shared" si="38"/>
        <v>0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NorthBound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18:12:32-0600',mode:absolute,to:'1969-12-31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52" t="str">
        <f t="shared" si="42"/>
        <v>Y</v>
      </c>
      <c r="X197" s="171">
        <f t="shared" si="43"/>
        <v>1</v>
      </c>
      <c r="Y197" s="67">
        <f t="shared" si="44"/>
        <v>4.8399999999999999E-2</v>
      </c>
      <c r="Z197" s="67">
        <f t="shared" si="45"/>
        <v>2.3306</v>
      </c>
      <c r="AA197" s="67">
        <f t="shared" si="46"/>
        <v>2.2822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47"/>
        <v>0305-22</v>
      </c>
      <c r="AE197" s="91" t="str">
        <f t="shared" si="48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7" s="88" t="str">
        <f t="shared" si="49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305-22 --locoid 4029 --swversion DE.1.0.7.0 --startMP 204:484 --initTime 2016-10-22T19:12:32 --startdatetime 1969-12-31T17:00:00 --delay 1 --endMP 300:23306 --enddatetime 1969-12-31T17:00:00 --enforcementcount 0 &gt;&gt;C:\Users\stu\Documents\GitHub\eaglep3-reporting\EC\2016-10-22-refined-times.txt</v>
      </c>
      <c r="AI197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454</v>
      </c>
      <c r="B198" s="7">
        <v>4017</v>
      </c>
      <c r="C198" s="22" t="s">
        <v>99</v>
      </c>
      <c r="D198" s="22" t="s">
        <v>734</v>
      </c>
      <c r="E198" s="13">
        <v>42665.161400462966</v>
      </c>
      <c r="F198" s="13">
        <v>42665.162858796299</v>
      </c>
      <c r="G198" s="7">
        <v>1</v>
      </c>
      <c r="H198" s="13" t="s">
        <v>735</v>
      </c>
      <c r="I198" s="13">
        <v>42665.16951388889</v>
      </c>
      <c r="J198" s="7">
        <v>0</v>
      </c>
      <c r="K198" s="112" t="str">
        <f t="shared" si="36"/>
        <v>4017/4018</v>
      </c>
      <c r="L198" s="22" t="str">
        <f>VLOOKUP(A198,'Trips&amp;Operators'!$C$1:$E$10000,3,FALSE)</f>
        <v>ACKERMAN</v>
      </c>
      <c r="M198" s="6">
        <f t="shared" si="37"/>
        <v>6.655092591245193E-3</v>
      </c>
      <c r="N198" s="7">
        <f t="shared" si="38"/>
        <v>9.583333331393078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https://search-rtdc-monitor-bjffxe2xuh6vdkpspy63sjmuny.us-east-1.es.amazonaws.com/_plugin/kibana/#/discover/Steve-Slow-Train-Analysis-(2080s-and-2083s)?_g=(refreshInterval:(display:Off,section:0,value:0),time:(from:'2016-10-22 02:52:25-0600',mode:absolute,to:'2016-10-22 05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8" s="52" t="str">
        <f t="shared" si="42"/>
        <v>Y</v>
      </c>
      <c r="X198" s="171">
        <f t="shared" si="43"/>
        <v>1</v>
      </c>
      <c r="Y198" s="67">
        <f t="shared" si="44"/>
        <v>2.2328999999999999</v>
      </c>
      <c r="Z198" s="67">
        <f t="shared" si="45"/>
        <v>9.4000000000000004E-3</v>
      </c>
      <c r="AA198" s="67">
        <f t="shared" si="46"/>
        <v>2.2235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47"/>
        <v>0306-22</v>
      </c>
      <c r="AE198" s="91" t="str">
        <f t="shared" si="48"/>
        <v>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 &amp; 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</v>
      </c>
      <c r="AF198" s="88" t="str">
        <f t="shared" si="49"/>
        <v>"C:\Program Files (x86)\AstroGrep\AstroGrep.exe" /spath="%USERPROFILE%\AppData\Local\Temp\OnboardLogs" /stypes="app*4017*20161022*" /stext=" 10:.+((SYSTEM_STATE.+slice.+state.+changed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306-22 --locoid 4017 --swversion DE.1.0.7.0 --startMP 300:22329 --initTime 2016-10-22T03:52:25 --startdatetime 2016-10-22T03:54:31 --delay 1 --endMP 204:94 --enddatetime 2016-10-22T04:04:06 --enforcementcount 0 &gt;&gt;C:\Users\stu\Documents\GitHub\eaglep3-reporting\EC\2016-10-22-refined-times.txt</v>
      </c>
      <c r="AI198" s="122" t="str">
        <f t="shared" si="52"/>
        <v>echo {"issue":{"subject":"","project_id":79,"tracker_id":40,"status_id":1,"priority_id":2,"assigned_to_id":23,"start_date":"2016-10-22","description":"","custom_fields":[{"id":1,"name":"Subdivision","value":"Other"},{"id":4,"name":"Milepost","value":"0.0094"},{"id":17,"name":"Train ID","value":"306-22"},{"id":16,"name":"Locomotive ID","value":"4017"},{"id":130,"name":"Impact","value":""},{"id":150,"name":"Time of Event (Mountain Time)","value":"04:04:06"},{"id":151,"name":"Denver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591</v>
      </c>
      <c r="B199" s="7">
        <v>4031</v>
      </c>
      <c r="C199" s="22" t="s">
        <v>99</v>
      </c>
      <c r="D199" s="22" t="s">
        <v>736</v>
      </c>
      <c r="E199" s="13">
        <v>42665.82440972222</v>
      </c>
      <c r="F199" s="13">
        <v>25568.708333333332</v>
      </c>
      <c r="G199" s="7">
        <v>6</v>
      </c>
      <c r="H199" s="13" t="s">
        <v>731</v>
      </c>
      <c r="I199" s="13">
        <v>25568.708333333332</v>
      </c>
      <c r="J199" s="7">
        <v>0</v>
      </c>
      <c r="K199" s="112" t="str">
        <f t="shared" ref="K199:K214" si="53">IF(ISEVEN(B199),(B199-1)&amp;"/"&amp;B199,B199&amp;"/"&amp;(B199+1))</f>
        <v>4031/4032</v>
      </c>
      <c r="L199" s="22" t="str">
        <f>VLOOKUP(A199,'Trips&amp;Operators'!$C$1:$E$10000,3,FALSE)</f>
        <v>STORY</v>
      </c>
      <c r="M199" s="6">
        <f t="shared" ref="M199:M214" si="54">I199-F199</f>
        <v>0</v>
      </c>
      <c r="N199" s="7">
        <f t="shared" ref="N199:N214" si="55">24*60*SUM($M199:$M199)</f>
        <v>0</v>
      </c>
      <c r="O199" s="7"/>
      <c r="P199" s="7"/>
      <c r="Q199" s="23"/>
      <c r="R199" s="23"/>
      <c r="S199" s="35">
        <f t="shared" ref="S199:S214" si="56">SUM(U199:U199)/IF(AG199="EC",12,1)</f>
        <v>1</v>
      </c>
      <c r="T199" s="50" t="str">
        <f t="shared" ref="T199:T214" si="57">IF(ISEVEN(LEFT(AD199,4)),"Southbound","NorthBound")</f>
        <v>NorthBound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ref="V199:V214" si="58"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https://search-rtdc-monitor-bjffxe2xuh6vdkpspy63sjmuny.us-east-1.es.amazonaws.com/_plugin/kibana/#/discover/Steve-Slow-Train-Analysis-(2080s-and-2083s)?_g=(refreshInterval:(display:Off,section:0,value:0),time:(from:'2016-10-22 18:47:09-0600',mode:absolute,to:'1969-12-31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ref="W199:W214" si="59">IF(AA199&lt;IF(AG199="EC",23,5.65),"Y","N")</f>
        <v>Y</v>
      </c>
      <c r="X199" s="171">
        <f t="shared" ref="X199:X214" si="60">VALUE(LEFT(AD199,4))-VALUE(LEFT(AD198,4))</f>
        <v>1</v>
      </c>
      <c r="Y199" s="67">
        <f t="shared" ref="Y199:Y214" si="61">RIGHT(D199,LEN(D199)-4)/10000</f>
        <v>5.4899999999999997E-2</v>
      </c>
      <c r="Z199" s="67">
        <f t="shared" ref="Z199:Z214" si="62">RIGHT(H199,LEN(H199)-4)/10000</f>
        <v>2.3311999999999999</v>
      </c>
      <c r="AA199" s="67">
        <f t="shared" ref="AA199:AA214" si="63">ABS(Z199-Y199)</f>
        <v>2.2763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ref="AD199:AD214" si="64">IF(LEN(A199)=6,"0"&amp;A199,A199)</f>
        <v>0307-22</v>
      </c>
      <c r="AE199" s="91" t="str">
        <f t="shared" ref="AE199:AE214" si="65"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9" s="88" t="str">
        <f t="shared" ref="AF199:AF214" si="66"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199" s="1" t="str">
        <f t="shared" ref="AG199:AG214" si="67">IFERROR(IF(VALUE(LEFT(AD199,2))&lt;=2,"EC",IF(OR(VALUE(LEFT(AD199,2))=8,VALUE(LEFT(AD199,2))=18),"NW","Other")),"Other")</f>
        <v>Other</v>
      </c>
      <c r="AH199" s="92" t="str">
        <f t="shared" si="51"/>
        <v>"%USERPROFILE%\Documents\GitHub\eaglep3\Utilities\RefineRTDCRunTimes.py" --tripid 307-22 --locoid 4031 --swversion DE.1.0.7.0 --startMP 204:549 --initTime 2016-10-22T19:47:09 --startdatetime 1969-12-31T17:00:00 --delay 6 --endMP 300:23312 --enddatetime 1969-12-31T17:00:00 --enforcementcount 0 &gt;&gt;C:\Users\stu\Documents\GitHub\eaglep3-reporting\EC\2016-10-22-refined-times.txt</v>
      </c>
      <c r="AI199" s="122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ID","value":"307-22"},{"id":16,"name":"Locomotive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457</v>
      </c>
      <c r="B200" s="7">
        <v>4041</v>
      </c>
      <c r="C200" s="22" t="s">
        <v>99</v>
      </c>
      <c r="D200" s="22" t="s">
        <v>737</v>
      </c>
      <c r="E200" s="13">
        <v>42665.173252314817</v>
      </c>
      <c r="F200" s="13">
        <v>42665.17459490741</v>
      </c>
      <c r="G200" s="7">
        <v>1</v>
      </c>
      <c r="H200" s="13" t="s">
        <v>395</v>
      </c>
      <c r="I200" s="13">
        <v>42665.181504629632</v>
      </c>
      <c r="J200" s="7">
        <v>0</v>
      </c>
      <c r="K200" s="112" t="str">
        <f t="shared" si="53"/>
        <v>4041/4042</v>
      </c>
      <c r="L200" s="22" t="str">
        <f>VLOOKUP(A200,'Trips&amp;Operators'!$C$1:$E$10000,3,FALSE)</f>
        <v>DAVIS</v>
      </c>
      <c r="M200" s="6">
        <f t="shared" si="54"/>
        <v>6.9097222221898846E-3</v>
      </c>
      <c r="N200" s="7">
        <f t="shared" si="55"/>
        <v>9.9499999999534339</v>
      </c>
      <c r="O200" s="7"/>
      <c r="P200" s="7"/>
      <c r="Q200" s="23"/>
      <c r="R200" s="23"/>
      <c r="S200" s="35">
        <f t="shared" si="56"/>
        <v>1</v>
      </c>
      <c r="T200" s="50" t="str">
        <f t="shared" si="57"/>
        <v>Southbound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03:09:29-0600',mode:absolute,to:'2016-10-22 05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0" s="52" t="str">
        <f t="shared" si="59"/>
        <v>Y</v>
      </c>
      <c r="X200" s="171">
        <f t="shared" si="60"/>
        <v>1</v>
      </c>
      <c r="Y200" s="67">
        <f t="shared" si="61"/>
        <v>2.3319000000000001</v>
      </c>
      <c r="Z200" s="67">
        <f t="shared" si="62"/>
        <v>1.32E-2</v>
      </c>
      <c r="AA200" s="67">
        <f t="shared" si="63"/>
        <v>2.3187000000000002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4"/>
        <v>0308-22</v>
      </c>
      <c r="AE200" s="91" t="str">
        <f t="shared" si="65"/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AF200" s="88" t="str">
        <f t="shared" si="66"/>
        <v>"C:\Program Files (x86)\AstroGrep\AstroGrep.exe" /spath="%USERPROFILE%\AppData\Local\Temp\OnboardLogs" /stypes="app*4041*20161022*" /stext=" 10:.+((SYSTEM_STATE.+slice.+state.+changed )|(ment ac)|(system.+state.+changed )|(\[timeout)|(PRM\|1\|D)|(kpr)|(kdp)|(\|lc)|(penalty))" /e /r /s</v>
      </c>
      <c r="AG200" s="1" t="str">
        <f t="shared" si="67"/>
        <v>Other</v>
      </c>
      <c r="AH200" s="92" t="str">
        <f t="shared" ref="AH200:AH214" si="68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308-22 --locoid 4041 --swversion DE.1.0.7.0 --startMP 300:23319 --initTime 2016-10-22T04:09:29 --startdatetime 2016-10-22T04:11:25 --delay 1 --endMP 204:132 --enddatetime 2016-10-22T04:21:22 --enforcementcount 0 &gt;&gt;C:\Users\stu\Documents\GitHub\eaglep3-reporting\EC\2016-10-22-refined-times.txt</v>
      </c>
      <c r="AI200" s="122" t="str">
        <f t="shared" ref="AI200:AI214" si="69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{"issue":{"subject":"","project_id":79,"tracker_id":40,"status_id":1,"priority_id":2,"assigned_to_id":23,"start_date":"2016-10-22","description":"","custom_fields":[{"id":1,"name":"Subdivision","value":"Other"},{"id":4,"name":"Milepost","value":"0.0132"},{"id":17,"name":"Train ID","value":"308-22"},{"id":16,"name":"Locomotive ID","value":"4041"},{"id":130,"name":"Impact","value":""},{"id":150,"name":"Time of Event (Mountain Time)","value":"04:21:22"},{"id":151,"name":"Denver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617</v>
      </c>
      <c r="B201" s="7">
        <v>4053</v>
      </c>
      <c r="C201" s="22" t="s">
        <v>99</v>
      </c>
      <c r="D201" s="22" t="s">
        <v>231</v>
      </c>
      <c r="E201" s="13">
        <v>42666.046273148146</v>
      </c>
      <c r="F201" s="13">
        <v>25568.708333333332</v>
      </c>
      <c r="G201" s="7">
        <v>1</v>
      </c>
      <c r="H201" s="13" t="s">
        <v>731</v>
      </c>
      <c r="I201" s="13">
        <v>25568.708333333332</v>
      </c>
      <c r="J201" s="7">
        <v>0</v>
      </c>
      <c r="K201" s="112" t="str">
        <f t="shared" si="53"/>
        <v>4053/4054</v>
      </c>
      <c r="L201" s="22" t="str">
        <f>VLOOKUP(A201,'Trips&amp;Operators'!$C$1:$E$10000,3,FALSE)</f>
        <v>NEWELL</v>
      </c>
      <c r="M201" s="6">
        <f t="shared" si="54"/>
        <v>0</v>
      </c>
      <c r="N201" s="7">
        <f t="shared" si="55"/>
        <v>0</v>
      </c>
      <c r="O201" s="7"/>
      <c r="P201" s="7"/>
      <c r="Q201" s="23"/>
      <c r="R201" s="23"/>
      <c r="S201" s="35">
        <f t="shared" si="56"/>
        <v>1</v>
      </c>
      <c r="T201" s="50" t="str">
        <f t="shared" si="57"/>
        <v>NorthBound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https://search-rtdc-monitor-bjffxe2xuh6vdkpspy63sjmuny.us-east-1.es.amazonaws.com/_plugin/kibana/#/discover/Steve-Slow-Train-Analysis-(2080s-and-2083s)?_g=(refreshInterval:(display:Off,section:0,value:0),time:(from:'2016-10-23 00:06:38-0600',mode:absolute,to:'1969-12-31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1" s="52" t="str">
        <f t="shared" si="59"/>
        <v>Y</v>
      </c>
      <c r="X201" s="171">
        <f t="shared" si="60"/>
        <v>1</v>
      </c>
      <c r="Y201" s="67">
        <f t="shared" si="61"/>
        <v>4.5499999999999999E-2</v>
      </c>
      <c r="Z201" s="67">
        <f t="shared" si="62"/>
        <v>2.3311999999999999</v>
      </c>
      <c r="AA201" s="67">
        <f t="shared" si="63"/>
        <v>2.2856999999999998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4"/>
        <v>0309-22</v>
      </c>
      <c r="AE201" s="91" t="str">
        <f t="shared" si="65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1" s="88" t="str">
        <f t="shared" si="66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1" s="1" t="str">
        <f t="shared" si="67"/>
        <v>Other</v>
      </c>
      <c r="AH201" s="92" t="str">
        <f t="shared" si="68"/>
        <v>"%USERPROFILE%\Documents\GitHub\eaglep3\Utilities\RefineRTDCRunTimes.py" --tripid 309-22 --locoid 4053 --swversion DE.1.0.7.0 --startMP 204:455 --initTime 2016-10-23T01:06:38 --startdatetime 1969-12-31T17:00:00 --delay 1 --endMP 300:23312 --enddatetime 1969-12-31T17:00:00 --enforcementcount 0 &gt;&gt;C:\Users\stu\Documents\GitHub\eaglep3-reporting\EC\2016-10-22-refined-times.txt</v>
      </c>
      <c r="AI201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ID","value":"309-22"},{"id":16,"name":"Locomotive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410</v>
      </c>
      <c r="B202" s="7">
        <v>4043</v>
      </c>
      <c r="C202" s="22" t="s">
        <v>99</v>
      </c>
      <c r="D202" s="22" t="s">
        <v>738</v>
      </c>
      <c r="E202" s="13">
        <v>42665.17459490741</v>
      </c>
      <c r="F202" s="13">
        <v>42665.177824074075</v>
      </c>
      <c r="G202" s="7">
        <v>4</v>
      </c>
      <c r="H202" s="13" t="s">
        <v>279</v>
      </c>
      <c r="I202" s="13">
        <v>42665.185393518521</v>
      </c>
      <c r="J202" s="7">
        <v>0</v>
      </c>
      <c r="K202" s="112" t="str">
        <f t="shared" si="53"/>
        <v>4043/4044</v>
      </c>
      <c r="L202" s="22" t="str">
        <f>VLOOKUP(A202,'Trips&amp;Operators'!$C$1:$E$10000,3,FALSE)</f>
        <v>KILLION</v>
      </c>
      <c r="M202" s="6">
        <f t="shared" si="54"/>
        <v>7.5694444458349608E-3</v>
      </c>
      <c r="N202" s="7">
        <f t="shared" si="55"/>
        <v>10.900000002002344</v>
      </c>
      <c r="O202" s="7"/>
      <c r="P202" s="7"/>
      <c r="Q202" s="23"/>
      <c r="R202" s="23"/>
      <c r="S202" s="35">
        <f t="shared" si="56"/>
        <v>1</v>
      </c>
      <c r="T202" s="50" t="str">
        <f t="shared" si="57"/>
        <v>Southbound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03:11:25-0600',mode:absolute,to:'2016-10-22 05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2" t="str">
        <f t="shared" si="59"/>
        <v>Y</v>
      </c>
      <c r="X202" s="171">
        <f t="shared" si="60"/>
        <v>1</v>
      </c>
      <c r="Y202" s="67">
        <f t="shared" si="61"/>
        <v>2.3107000000000002</v>
      </c>
      <c r="Z202" s="67">
        <f t="shared" si="62"/>
        <v>1.5800000000000002E-2</v>
      </c>
      <c r="AA202" s="67">
        <f t="shared" si="63"/>
        <v>2.2949000000000002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0310-22</v>
      </c>
      <c r="AE202" s="91" t="str">
        <f t="shared" si="65"/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AF202" s="88" t="str">
        <f t="shared" si="66"/>
        <v>"C:\Program Files (x86)\AstroGrep\AstroGrep.exe" /spath="%USERPROFILE%\AppData\Local\Temp\OnboardLogs" /stypes="app*4043*20161022*" /stext=" 10:.+((SYSTEM_STATE.+slice.+state.+changed )|(ment ac)|(system.+state.+changed )|(\[timeout)|(PRM\|1\|D)|(kpr)|(kdp)|(\|lc)|(penalty))" /e /r /s</v>
      </c>
      <c r="AG202" s="1" t="str">
        <f t="shared" si="67"/>
        <v>Other</v>
      </c>
      <c r="AH202" s="92" t="str">
        <f t="shared" si="68"/>
        <v>"%USERPROFILE%\Documents\GitHub\eaglep3\Utilities\RefineRTDCRunTimes.py" --tripid 310-22 --locoid 4043 --swversion DE.1.0.7.0 --startMP 300:23107 --initTime 2016-10-22T04:11:25 --startdatetime 2016-10-22T04:16:04 --delay 4 --endMP 204:158 --enddatetime 2016-10-22T04:26:58 --enforcementcount 0 &gt;&gt;C:\Users\stu\Documents\GitHub\eaglep3-reporting\EC\2016-10-22-refined-times.txt</v>
      </c>
      <c r="AI202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{"issue":{"subject":"","project_id":79,"tracker_id":40,"status_id":1,"priority_id":2,"assigned_to_id":23,"start_date":"2016-10-22","description":"","custom_fields":[{"id":1,"name":"Subdivision","value":"Other"},{"id":4,"name":"Milepost","value":"0.0158"},{"id":17,"name":"Train ID","value":"310-22"},{"id":16,"name":"Locomotive ID","value":"4043"},{"id":130,"name":"Impact","value":""},{"id":150,"name":"Time of Event (Mountain Time)","value":"04:26:58"},{"id":151,"name":"Denver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619</v>
      </c>
      <c r="B203" s="7">
        <v>4038</v>
      </c>
      <c r="C203" s="22" t="s">
        <v>99</v>
      </c>
      <c r="D203" s="22" t="s">
        <v>335</v>
      </c>
      <c r="E203" s="13">
        <v>42666.071863425925</v>
      </c>
      <c r="F203" s="13">
        <v>42666.073391203703</v>
      </c>
      <c r="G203" s="7">
        <v>1</v>
      </c>
      <c r="H203" s="13" t="s">
        <v>739</v>
      </c>
      <c r="I203" s="13">
        <v>42666.07880787037</v>
      </c>
      <c r="J203" s="7">
        <v>0</v>
      </c>
      <c r="K203" s="112" t="str">
        <f t="shared" si="53"/>
        <v>4037/4038</v>
      </c>
      <c r="L203" s="22" t="str">
        <f>VLOOKUP(A203,'Trips&amp;Operators'!$C$1:$E$10000,3,FALSE)</f>
        <v>CHANDLER</v>
      </c>
      <c r="M203" s="6">
        <f t="shared" si="54"/>
        <v>5.4166666668606922E-3</v>
      </c>
      <c r="N203" s="7">
        <f t="shared" si="55"/>
        <v>7.8000000002793968</v>
      </c>
      <c r="O203" s="7"/>
      <c r="P203" s="7"/>
      <c r="Q203" s="23"/>
      <c r="R203" s="23"/>
      <c r="S203" s="35">
        <f t="shared" si="56"/>
        <v>1</v>
      </c>
      <c r="T203" s="50" t="str">
        <f t="shared" si="57"/>
        <v>NorthBound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https://search-rtdc-monitor-bjffxe2xuh6vdkpspy63sjmuny.us-east-1.es.amazonaws.com/_plugin/kibana/#/discover/Steve-Slow-Train-Analysis-(2080s-and-2083s)?_g=(refreshInterval:(display:Off,section:0,value:0),time:(from:'2016-10-23 00:43:29-0600',mode:absolute,to:'2016-10-23 02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3" s="52" t="str">
        <f t="shared" si="59"/>
        <v>Y</v>
      </c>
      <c r="X203" s="171">
        <f t="shared" si="60"/>
        <v>1</v>
      </c>
      <c r="Y203" s="67">
        <f t="shared" si="61"/>
        <v>4.6699999999999998E-2</v>
      </c>
      <c r="Z203" s="67">
        <f t="shared" si="62"/>
        <v>2.2269000000000001</v>
      </c>
      <c r="AA203" s="67">
        <f t="shared" si="63"/>
        <v>2.1802000000000001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0311-22</v>
      </c>
      <c r="AE203" s="91" t="str">
        <f t="shared" si="65"/>
        <v>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 &amp; aws s3 cp s3://rtdc.mdm.uploadarchive.raw/RTDC4038/ "%USERPROFILE%\AppData\Local\Temp\OnboardLogs"\RTDC4038\2016-10-24 --exclude "*" --recursive --include "*20161024*" &amp; "%USERPROFILE%\Documents\GitHub\mrs-test-scripts\Headless Mode &amp; Sideloading\WalkAndUnGZ.bat" "%USERPROFILE%\AppData\Local\Temp\OnboardLogs"\RTDC4038\2016-10-24</v>
      </c>
      <c r="AF203" s="88" t="str">
        <f t="shared" si="66"/>
        <v>"C:\Program Files (x86)\AstroGrep\AstroGrep.exe" /spath="%USERPROFILE%\AppData\Local\Temp\OnboardLogs" /stypes="app*4038*20161023*" /stext=" 07:.+((SYSTEM_STATE.+slice.+state.+changed )|(ment ac)|(system.+state.+changed )|(\[timeout)|(PRM\|1\|D)|(kpr)|(kdp)|(\|lc)|(penalty))" /e /r /s</v>
      </c>
      <c r="AG203" s="1" t="str">
        <f t="shared" si="67"/>
        <v>Other</v>
      </c>
      <c r="AH203" s="92" t="str">
        <f t="shared" si="68"/>
        <v>"%USERPROFILE%\Documents\GitHub\eaglep3\Utilities\RefineRTDCRunTimes.py" --tripid 311-22 --locoid 4038 --swversion DE.1.0.7.0 --startMP 204:467 --initTime 2016-10-23T01:43:29 --startdatetime 2016-10-23T01:45:41 --delay 1 --endMP 300:22269 --enddatetime 2016-10-23T01:53:29 --enforcementcount 0 &gt;&gt;C:\Users\stu\Documents\GitHub\eaglep3-reporting\EC\2016-10-22-refined-times.txt</v>
      </c>
      <c r="AI203" s="122" t="str">
        <f t="shared" si="69"/>
        <v>echo {"issue":{"subject":"","project_id":79,"tracker_id":40,"status_id":1,"priority_id":2,"assigned_to_id":23,"start_date":"2016-10-23","description":"","custom_fields":[{"id":1,"name":"Subdivision","value":"Other"},{"id":4,"name":"Milepost","value":"2.2269"},{"id":17,"name":"Train ID","value":"311-22"},{"id":16,"name":"Locomotive ID","value":"4038"},{"id":130,"name":"Impact","value":""},{"id":150,"name":"Time of Event (Mountain Time)","value":"01:53:29"},{"id":151,"name":"Denver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374</v>
      </c>
      <c r="B204" s="7">
        <v>4009</v>
      </c>
      <c r="C204" s="22" t="s">
        <v>99</v>
      </c>
      <c r="D204" s="22" t="s">
        <v>342</v>
      </c>
      <c r="E204" s="13">
        <v>42665.091261574074</v>
      </c>
      <c r="F204" s="13">
        <v>42665.093819444446</v>
      </c>
      <c r="G204" s="7">
        <v>1</v>
      </c>
      <c r="H204" s="13" t="s">
        <v>284</v>
      </c>
      <c r="I204" s="13">
        <v>42665.100451388891</v>
      </c>
      <c r="J204" s="7">
        <v>0</v>
      </c>
      <c r="K204" s="112" t="str">
        <f t="shared" si="53"/>
        <v>4009/4010</v>
      </c>
      <c r="L204" s="22" t="str">
        <f>VLOOKUP(A204,'Trips&amp;Operators'!$C$1:$E$10000,3,FALSE)</f>
        <v>STURGEON</v>
      </c>
      <c r="M204" s="6">
        <f t="shared" si="54"/>
        <v>6.6319444449618459E-3</v>
      </c>
      <c r="N204" s="7">
        <f t="shared" si="55"/>
        <v>9.5500000007450581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01:11:25-0600',mode:absolute,to:'2016-10-22 03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4" s="52" t="str">
        <f t="shared" si="59"/>
        <v>Y</v>
      </c>
      <c r="X204" s="171">
        <f t="shared" si="60"/>
        <v>2</v>
      </c>
      <c r="Y204" s="67">
        <f t="shared" si="61"/>
        <v>4.82E-2</v>
      </c>
      <c r="Z204" s="67">
        <f t="shared" si="62"/>
        <v>2.3304</v>
      </c>
      <c r="AA204" s="67">
        <f t="shared" si="63"/>
        <v>2.2822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0313-21</v>
      </c>
      <c r="AE204" s="91" t="str">
        <f t="shared" si="65"/>
        <v>aws s3 cp s3://rtdc.mdm.uploadarchive.raw/RTDC4009/ "%USERPROFILE%\AppData\Local\Temp\OnboardLogs"\RTDC4009\2016-10-22 --exclude "*" --recursive --include "*20161022*" &amp; "%USERPROFILE%\Documents\GitHub\mrs-test-scripts\Headless Mode &amp; Sideloading\WalkAndUnGZ.bat" "%USERPROFILE%\AppData\Local\Temp\OnboardLogs"\RTDC4009\2016-10-22 &amp; 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</v>
      </c>
      <c r="AF204" s="88" t="str">
        <f t="shared" si="66"/>
        <v>"C:\Program Files (x86)\AstroGrep\AstroGrep.exe" /spath="%USERPROFILE%\AppData\Local\Temp\OnboardLogs" /stypes="app*4009*20161022*" /stext=" 08:.+((SYSTEM_STATE.+slice.+state.+changed )|(ment ac)|(system.+state.+changed )|(\[timeout)|(PRM\|1\|D)|(kpr)|(kdp)|(\|lc)|(penalty))"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313-21 --locoid 4009 --swversion DE.1.0.7.0 --startMP 204:482 --initTime 2016-10-22T02:11:25 --startdatetime 2016-10-22T02:15:06 --delay 1 --endMP 300:23304 --enddatetime 2016-10-22T02:24:39 --enforcementcount 0 &gt;&gt;C:\Users\stu\Documents\GitHub\eaglep3-reporting\EC\2016-10-22-refined-times.txt</v>
      </c>
      <c r="AI204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{"issue":{"subject":"","project_id":79,"tracker_id":40,"status_id":1,"priority_id":2,"assigned_to_id":23,"start_date":"2016-10-22","description":"","custom_fields":[{"id":1,"name":"Subdivision","value":"Other"},{"id":4,"name":"Milepost","value":"2.3304"},{"id":17,"name":"Train ID","value":"313-21"},{"id":16,"name":"Locomotive ID","value":"4009"},{"id":130,"name":"Impact","value":""},{"id":150,"name":"Time of Event (Mountain Time)","value":"02:24:39"},{"id":151,"name":"Denver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621</v>
      </c>
      <c r="B205" s="7">
        <v>4042</v>
      </c>
      <c r="C205" s="22" t="s">
        <v>99</v>
      </c>
      <c r="D205" s="22" t="s">
        <v>310</v>
      </c>
      <c r="E205" s="13">
        <v>42666.09039351852</v>
      </c>
      <c r="F205" s="13">
        <v>25568.708333333332</v>
      </c>
      <c r="G205" s="7">
        <v>1</v>
      </c>
      <c r="H205" s="13" t="s">
        <v>740</v>
      </c>
      <c r="I205" s="13">
        <v>25568.708333333332</v>
      </c>
      <c r="J205" s="7">
        <v>0</v>
      </c>
      <c r="K205" s="112" t="str">
        <f t="shared" si="53"/>
        <v>4041/4042</v>
      </c>
      <c r="L205" s="22" t="str">
        <f>VLOOKUP(A205,'Trips&amp;Operators'!$C$1:$E$10000,3,FALSE)</f>
        <v>ARVIDSON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https://search-rtdc-monitor-bjffxe2xuh6vdkpspy63sjmuny.us-east-1.es.amazonaws.com/_plugin/kibana/#/discover/Steve-Slow-Train-Analysis-(2080s-and-2083s)?_g=(refreshInterval:(display:Off,section:0,value:0),time:(from:'2016-10-23 01:10:10-0600',mode:absolute,to:'1969-12-31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si="59"/>
        <v>Y</v>
      </c>
      <c r="X205" s="171">
        <f t="shared" si="60"/>
        <v>0</v>
      </c>
      <c r="Y205" s="67">
        <f t="shared" si="61"/>
        <v>4.6199999999999998E-2</v>
      </c>
      <c r="Z205" s="67">
        <f t="shared" si="62"/>
        <v>2.2966000000000002</v>
      </c>
      <c r="AA205" s="67">
        <f t="shared" si="63"/>
        <v>2.2504000000000004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64"/>
        <v>0313-22</v>
      </c>
      <c r="AE205" s="91" t="str">
        <f t="shared" si="6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5" s="88" t="str">
        <f t="shared" si="6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313-22 --locoid 4042 --swversion DE.1.0.7.0 --startMP 204:462 --initTime 2016-10-23T02:10:10 --startdatetime 1969-12-31T17:00:00 --delay 1 --endMP 300:22966 --enddatetime 1969-12-31T17:00:00 --enforcementcount 0 &gt;&gt;C:\Users\stu\Documents\GitHub\eaglep3-reporting\EC\2016-10-22-refined-times.txt</v>
      </c>
      <c r="AI205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{"issue":{"subject":"","project_id":79,"tracker_id":40,"status_id":1,"priority_id":2,"assigned_to_id":23,"start_date":"1969-12-31","description":"","custom_fields":[{"id":1,"name":"Subdivision","value":"Other"},{"id":4,"name":"Milepost","value":"2.2966"},{"id":17,"name":"Train ID","value":"313-22"},{"id":16,"name":"Locomotive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622</v>
      </c>
      <c r="B206" s="7">
        <v>4011</v>
      </c>
      <c r="C206" s="22" t="s">
        <v>99</v>
      </c>
      <c r="D206" s="22" t="s">
        <v>240</v>
      </c>
      <c r="E206" s="13">
        <v>42666.110347222224</v>
      </c>
      <c r="F206" s="13">
        <v>25568.708333333332</v>
      </c>
      <c r="G206" s="7">
        <v>1</v>
      </c>
      <c r="H206" s="13" t="s">
        <v>741</v>
      </c>
      <c r="I206" s="13">
        <v>25568.708333333332</v>
      </c>
      <c r="J206" s="7">
        <v>0</v>
      </c>
      <c r="K206" s="112" t="str">
        <f t="shared" si="53"/>
        <v>4011/4012</v>
      </c>
      <c r="L206" s="22" t="str">
        <f>VLOOKUP(A206,'Trips&amp;Operators'!$C$1:$E$10000,3,FALSE)</f>
        <v>BRANDNER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https://search-rtdc-monitor-bjffxe2xuh6vdkpspy63sjmuny.us-east-1.es.amazonaws.com/_plugin/kibana/#/discover/Steve-Slow-Train-Analysis-(2080s-and-2083s)?_g=(refreshInterval:(display:Off,section:0,value:0),time:(from:'2016-10-23 01:38:54-0600',mode:absolute,to:'1969-12-31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si="59"/>
        <v>Y</v>
      </c>
      <c r="X206" s="171">
        <f t="shared" si="60"/>
        <v>2</v>
      </c>
      <c r="Y206" s="67">
        <f t="shared" si="61"/>
        <v>4.5100000000000001E-2</v>
      </c>
      <c r="Z206" s="67">
        <f t="shared" si="62"/>
        <v>2.3298999999999999</v>
      </c>
      <c r="AA206" s="67">
        <f t="shared" si="63"/>
        <v>2.2847999999999997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64"/>
        <v>0315-22</v>
      </c>
      <c r="AE206" s="91" t="str">
        <f t="shared" si="6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88" t="str">
        <f t="shared" si="66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315-22 --locoid 4011 --swversion DE.1.0.7.0 --startMP 204:451 --initTime 2016-10-23T02:38:54 --startdatetime 1969-12-31T17:00:00 --delay 1 --endMP 300:23299 --enddatetime 1969-12-31T17:00:00 --enforcementcount 0 &gt;&gt;C:\Users\stu\Documents\GitHub\eaglep3-reporting\EC\2016-10-22-refined-times.txt</v>
      </c>
      <c r="AI206" s="122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466</v>
      </c>
      <c r="B207" s="7">
        <v>4046</v>
      </c>
      <c r="C207" s="22" t="s">
        <v>99</v>
      </c>
      <c r="D207" s="22" t="s">
        <v>709</v>
      </c>
      <c r="E207" s="13">
        <v>42665.22556712963</v>
      </c>
      <c r="F207" s="13">
        <v>42665.226620370369</v>
      </c>
      <c r="G207" s="7">
        <v>1</v>
      </c>
      <c r="H207" s="13" t="s">
        <v>349</v>
      </c>
      <c r="I207" s="13">
        <v>42665.231527777774</v>
      </c>
      <c r="J207" s="7">
        <v>0</v>
      </c>
      <c r="K207" s="112" t="str">
        <f t="shared" si="53"/>
        <v>4045/4046</v>
      </c>
      <c r="L207" s="22" t="str">
        <f>VLOOKUP(A207,'Trips&amp;Operators'!$C$1:$E$10000,3,FALSE)</f>
        <v>YORK</v>
      </c>
      <c r="M207" s="6">
        <f t="shared" si="54"/>
        <v>4.907407404971309E-3</v>
      </c>
      <c r="N207" s="7">
        <f t="shared" si="55"/>
        <v>7.066666663158685</v>
      </c>
      <c r="O207" s="7"/>
      <c r="P207" s="7"/>
      <c r="Q207" s="23"/>
      <c r="R207" s="23"/>
      <c r="S207" s="35">
        <f t="shared" si="56"/>
        <v>0</v>
      </c>
      <c r="T207" s="50" t="str">
        <f t="shared" si="57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04:24:49-0600',mode:absolute,to:'2016-10-22 06:33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7" s="52" t="str">
        <f t="shared" si="59"/>
        <v>Y</v>
      </c>
      <c r="X207" s="171">
        <f t="shared" si="60"/>
        <v>1586</v>
      </c>
      <c r="Y207" s="67">
        <f t="shared" si="61"/>
        <v>3.0093000000000001</v>
      </c>
      <c r="Z207" s="67">
        <f t="shared" si="62"/>
        <v>5.8925999999999998</v>
      </c>
      <c r="AA207" s="67">
        <f t="shared" si="63"/>
        <v>2.8832999999999998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64"/>
        <v>1901-22</v>
      </c>
      <c r="AE207" s="91" t="str">
        <f t="shared" si="65"/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AF207" s="88" t="str">
        <f t="shared" si="66"/>
        <v>"C:\Program Files (x86)\AstroGrep\AstroGrep.exe" /spath="%USERPROFILE%\AppData\Local\Temp\OnboardLogs" /stypes="app*4046*20161022*" /stext=" 11:.+((SYSTEM_STATE.+slice.+state.+changed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1901-22 --locoid 4046 --swversion DE.1.0.7.0 --startMP 300:30093 --initTime 2016-10-22T05:24:49 --startdatetime 2016-10-22T05:26:20 --delay 1 --endMP 300:58926 --enddatetime 2016-10-22T05:33:24 --enforcementcount 0 &gt;&gt;C:\Users\stu\Documents\GitHub\eaglep3-reporting\EC\2016-10-22-refined-times.txt</v>
      </c>
      <c r="AI207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{"issue":{"subject":"","project_id":79,"tracker_id":40,"status_id":1,"priority_id":2,"assigned_to_id":23,"start_date":"2016-10-22","description":"","custom_fields":[{"id":1,"name":"Subdivision","value":"Other"},{"id":4,"name":"Milepost","value":"5.8926"},{"id":17,"name":"Train ID","value":"1901-22"},{"id":16,"name":"Locomotive ID","value":"4046"},{"id":130,"name":"Impact","value":""},{"id":150,"name":"Time of Event (Mountain Time)","value":"05:33:24"},{"id":151,"name":"Denver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608</v>
      </c>
      <c r="B208" s="7">
        <v>4045</v>
      </c>
      <c r="C208" s="22" t="s">
        <v>99</v>
      </c>
      <c r="D208" s="22" t="s">
        <v>710</v>
      </c>
      <c r="E208" s="13">
        <v>42665.944664351853</v>
      </c>
      <c r="F208" s="13">
        <v>42665.947465277779</v>
      </c>
      <c r="G208" s="7">
        <v>3</v>
      </c>
      <c r="H208" s="13" t="s">
        <v>711</v>
      </c>
      <c r="I208" s="13">
        <v>42665.951828703706</v>
      </c>
      <c r="J208" s="7">
        <v>0</v>
      </c>
      <c r="K208" s="112" t="str">
        <f t="shared" si="53"/>
        <v>4045/4046</v>
      </c>
      <c r="L208" s="22" t="str">
        <f>VLOOKUP(A208,'Trips&amp;Operators'!$C$1:$E$10000,3,FALSE)</f>
        <v>ADANE</v>
      </c>
      <c r="M208" s="6">
        <f t="shared" si="54"/>
        <v>4.3634259272948839E-3</v>
      </c>
      <c r="N208" s="7">
        <f t="shared" si="55"/>
        <v>6.2833333353046328</v>
      </c>
      <c r="O208" s="7"/>
      <c r="P208" s="7"/>
      <c r="Q208" s="23"/>
      <c r="R208" s="23"/>
      <c r="S208" s="35">
        <f t="shared" si="56"/>
        <v>0</v>
      </c>
      <c r="T208" s="50" t="str">
        <f t="shared" si="57"/>
        <v>Southbound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21:40:19-0600',mode:absolute,to:'2016-10-22 23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8" s="52" t="str">
        <f t="shared" si="59"/>
        <v>Y</v>
      </c>
      <c r="X208" s="171">
        <f t="shared" si="60"/>
        <v>1</v>
      </c>
      <c r="Y208" s="67">
        <f t="shared" si="61"/>
        <v>5.867</v>
      </c>
      <c r="Z208" s="67">
        <f t="shared" si="62"/>
        <v>2.1352000000000002</v>
      </c>
      <c r="AA208" s="67">
        <f t="shared" si="63"/>
        <v>3.7317999999999998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64"/>
        <v>1902-22</v>
      </c>
      <c r="AE208" s="91" t="str">
        <f t="shared" si="65"/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AF208" s="88" t="str">
        <f t="shared" si="66"/>
        <v>"C:\Program Files (x86)\AstroGrep\AstroGrep.exe" /spath="%USERPROFILE%\AppData\Local\Temp\OnboardLogs" /stypes="app*4045*20161023*" /stext=" 04:.+((SYSTEM_STATE.+slice.+state.+changed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1902-22 --locoid 4045 --swversion DE.1.0.7.0 --startMP 300:58670 --initTime 2016-10-22T22:40:19 --startdatetime 2016-10-22T22:44:21 --delay 3 --endMP 300:21352 --enddatetime 2016-10-22T22:50:38 --enforcementcount 0 &gt;&gt;C:\Users\stu\Documents\GitHub\eaglep3-reporting\EC\2016-10-22-refined-times.txt</v>
      </c>
      <c r="AI208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{"issue":{"subject":"","project_id":79,"tracker_id":40,"status_id":1,"priority_id":2,"assigned_to_id":23,"start_date":"2016-10-22","description":"","custom_fields":[{"id":1,"name":"Subdivision","value":"Other"},{"id":4,"name":"Milepost","value":"2.1352"},{"id":17,"name":"Train ID","value":"1902-22"},{"id":16,"name":"Locomotive ID","value":"4045"},{"id":130,"name":"Impact","value":""},{"id":150,"name":"Time of Event (Mountain Time)","value":"22:50:38"},{"id":151,"name":"Denver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570</v>
      </c>
      <c r="B209" s="7">
        <v>4013</v>
      </c>
      <c r="C209" s="22" t="s">
        <v>99</v>
      </c>
      <c r="D209" s="22" t="s">
        <v>742</v>
      </c>
      <c r="E209" s="13">
        <v>42665.728726851848</v>
      </c>
      <c r="F209" s="13">
        <v>42665.73027777778</v>
      </c>
      <c r="G209" s="7">
        <v>1</v>
      </c>
      <c r="H209" s="13" t="s">
        <v>743</v>
      </c>
      <c r="I209" s="13">
        <v>42665.736157407409</v>
      </c>
      <c r="J209" s="7">
        <v>0</v>
      </c>
      <c r="K209" s="112" t="str">
        <f t="shared" si="53"/>
        <v>4013/4014</v>
      </c>
      <c r="L209" s="22" t="str">
        <f>VLOOKUP(A209,'Trips&amp;Operators'!$C$1:$E$10000,3,FALSE)</f>
        <v>YOUNG</v>
      </c>
      <c r="M209" s="6">
        <f t="shared" si="54"/>
        <v>5.8796296289074235E-3</v>
      </c>
      <c r="N209" s="7">
        <f t="shared" si="55"/>
        <v>8.4666666656266898</v>
      </c>
      <c r="O209" s="7"/>
      <c r="P209" s="7"/>
      <c r="Q209" s="23"/>
      <c r="R209" s="23"/>
      <c r="S209" s="35">
        <f t="shared" si="56"/>
        <v>0</v>
      </c>
      <c r="T209" s="50" t="e">
        <f t="shared" si="57"/>
        <v>#VALUE!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16:29:22-0600',mode:absolute,to:'2016-10-22 18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9" s="52" t="str">
        <f t="shared" si="59"/>
        <v>Y</v>
      </c>
      <c r="X209" s="171" t="e">
        <f t="shared" si="60"/>
        <v>#VALUE!</v>
      </c>
      <c r="Y209" s="67">
        <f t="shared" si="61"/>
        <v>2.1871</v>
      </c>
      <c r="Z209" s="67">
        <f t="shared" si="62"/>
        <v>9.06E-2</v>
      </c>
      <c r="AA209" s="67">
        <f t="shared" si="63"/>
        <v>2.0965000000000003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64"/>
        <v>56-22</v>
      </c>
      <c r="AE209" s="91" t="str">
        <f t="shared" si="65"/>
        <v>aws s3 cp s3://rtdc.mdm.uploadarchive.raw/RTDC4013/ "%USERPROFILE%\AppData\Local\Temp\OnboardLogs"\RTDC4013\2016-10-22 --exclude "*" --recursive --include "*20161022*" &amp; "%USERPROFILE%\Documents\GitHub\mrs-test-scripts\Headless Mode &amp; Sideloading\WalkAndUnGZ.bat" "%USERPROFILE%\AppData\Local\Temp\OnboardLogs"\RTDC4013\2016-10-22 &amp; 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</v>
      </c>
      <c r="AF209" s="88" t="str">
        <f t="shared" si="66"/>
        <v>"C:\Program Files (x86)\AstroGrep\AstroGrep.exe" /spath="%USERPROFILE%\AppData\Local\Temp\OnboardLogs" /stypes="app*4013*20161022*" /stext=" 23:.+((SYSTEM_STATE.+slice.+state.+changed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56-22 --locoid 4013 --swversion DE.1.0.7.0 --startMP 300:21871 --initTime 2016-10-22T17:29:22 --startdatetime 2016-10-22T17:31:36 --delay 1 --endMP 204:906 --enddatetime 2016-10-22T17:40:04 --enforcementcount 0 &gt;&gt;C:\Users\stu\Documents\GitHub\eaglep3-reporting\EC\2016-10-22-refined-times.txt</v>
      </c>
      <c r="AI209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{"issue":{"subject":"","project_id":79,"tracker_id":40,"status_id":1,"priority_id":2,"assigned_to_id":23,"start_date":"2016-10-22","description":"","custom_fields":[{"id":1,"name":"Subdivision","value":"Other"},{"id":4,"name":"Milepost","value":"0.0906"},{"id":17,"name":"Train ID","value":"56-22"},{"id":16,"name":"Locomotive ID","value":"4013"},{"id":130,"name":"Impact","value":""},{"id":150,"name":"Time of Event (Mountain Time)","value":"17:40:04"},{"id":151,"name":"Denver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577</v>
      </c>
      <c r="B210" s="7">
        <v>4005</v>
      </c>
      <c r="C210" s="22" t="s">
        <v>99</v>
      </c>
      <c r="D210" s="22" t="s">
        <v>744</v>
      </c>
      <c r="E210" s="13">
        <v>42665.773078703707</v>
      </c>
      <c r="F210" s="13">
        <v>42665.775173611109</v>
      </c>
      <c r="G210" s="7">
        <v>1</v>
      </c>
      <c r="H210" s="13" t="s">
        <v>745</v>
      </c>
      <c r="I210" s="13">
        <v>42665.781319444446</v>
      </c>
      <c r="J210" s="7">
        <v>0</v>
      </c>
      <c r="K210" s="112" t="str">
        <f t="shared" si="53"/>
        <v>4005/4006</v>
      </c>
      <c r="L210" s="22" t="str">
        <f>VLOOKUP(A210,'Trips&amp;Operators'!$C$1:$E$10000,3,FALSE)</f>
        <v>BRANDNER</v>
      </c>
      <c r="M210" s="6">
        <f t="shared" si="54"/>
        <v>6.1458333366317675E-3</v>
      </c>
      <c r="N210" s="7">
        <f t="shared" si="55"/>
        <v>8.8500000047497451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17:33:14-0600',mode:absolute,to:'2016-10-22 19:45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10" s="52" t="str">
        <f t="shared" si="59"/>
        <v>Y</v>
      </c>
      <c r="X210" s="171" t="e">
        <f t="shared" si="60"/>
        <v>#VALUE!</v>
      </c>
      <c r="Y210" s="67">
        <f t="shared" si="61"/>
        <v>2.2894000000000001</v>
      </c>
      <c r="Z210" s="67">
        <f t="shared" si="62"/>
        <v>1.4200000000000001E-2</v>
      </c>
      <c r="AA210" s="67">
        <f t="shared" si="63"/>
        <v>2.2751999999999999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64"/>
        <v>58-22</v>
      </c>
      <c r="AE210" s="91" t="str">
        <f t="shared" si="65"/>
        <v>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 &amp; aws s3 cp s3://rtdc.mdm.uploadarchive.raw/RTDC4005/ "%USERPROFILE%\AppData\Local\Temp\OnboardLogs"\RTDC4005\2016-10-23 --exclude "*" --recursive --include "*20161023*" &amp; "%USERPROFILE%\Documents\GitHub\mrs-test-scripts\Headless Mode &amp; Sideloading\WalkAndUnGZ.bat" "%USERPROFILE%\AppData\Local\Temp\OnboardLogs"\RTDC4005\2016-10-23</v>
      </c>
      <c r="AF210" s="88" t="str">
        <f t="shared" si="66"/>
        <v>"C:\Program Files (x86)\AstroGrep\AstroGrep.exe" /spath="%USERPROFILE%\AppData\Local\Temp\OnboardLogs" /stypes="app*4005*20161023*" /stext=" 00:.+((SYSTEM_STATE.+slice.+state.+changed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58-22 --locoid 4005 --swversion DE.1.0.7.0 --startMP 300:22894 --initTime 2016-10-22T18:33:14 --startdatetime 2016-10-22T18:36:15 --delay 1 --endMP 204:142 --enddatetime 2016-10-22T18:45:06 --enforcementcount 0 &gt;&gt;C:\Users\stu\Documents\GitHub\eaglep3-reporting\EC\2016-10-22-refined-times.txt</v>
      </c>
      <c r="AI210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{"issue":{"subject":"","project_id":79,"tracker_id":40,"status_id":1,"priority_id":2,"assigned_to_id":23,"start_date":"2016-10-22","description":"","custom_fields":[{"id":1,"name":"Subdivision","value":"Other"},{"id":4,"name":"Milepost","value":"0.0142"},{"id":17,"name":"Train ID","value":"58-22"},{"id":16,"name":"Locomotive ID","value":"4005"},{"id":130,"name":"Impact","value":""},{"id":150,"name":"Time of Event (Mountain Time)","value":"18:45:06"},{"id":151,"name":"Denver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585</v>
      </c>
      <c r="B211" s="7">
        <v>4006</v>
      </c>
      <c r="C211" s="22" t="s">
        <v>99</v>
      </c>
      <c r="D211" s="22" t="s">
        <v>262</v>
      </c>
      <c r="E211" s="13">
        <v>42665.790879629632</v>
      </c>
      <c r="F211" s="13">
        <v>42665.793263888889</v>
      </c>
      <c r="G211" s="7">
        <v>2</v>
      </c>
      <c r="H211" s="13" t="s">
        <v>403</v>
      </c>
      <c r="I211" s="13">
        <v>42665.798090277778</v>
      </c>
      <c r="J211" s="7">
        <v>0</v>
      </c>
      <c r="K211" s="112" t="str">
        <f t="shared" si="53"/>
        <v>4005/4006</v>
      </c>
      <c r="L211" s="22" t="str">
        <f>VLOOKUP(A211,'Trips&amp;Operators'!$C$1:$E$10000,3,FALSE)</f>
        <v>BRUDER</v>
      </c>
      <c r="M211" s="6">
        <f t="shared" si="54"/>
        <v>4.8263888893416151E-3</v>
      </c>
      <c r="N211" s="7">
        <f t="shared" si="55"/>
        <v>6.9500000006519258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17:58:52-0600',mode:absolute,to:'2016-10-22 20:09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11" s="52" t="str">
        <f t="shared" si="59"/>
        <v>Y</v>
      </c>
      <c r="X211" s="171" t="e">
        <f t="shared" si="60"/>
        <v>#VALUE!</v>
      </c>
      <c r="Y211" s="67">
        <f t="shared" si="61"/>
        <v>4.4400000000000002E-2</v>
      </c>
      <c r="Z211" s="67">
        <f t="shared" si="62"/>
        <v>2.3306</v>
      </c>
      <c r="AA211" s="67">
        <f t="shared" si="63"/>
        <v>2.2862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64"/>
        <v>64-22</v>
      </c>
      <c r="AE211" s="91" t="str">
        <f t="shared" si="65"/>
        <v>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 &amp; aws s3 cp s3://rtdc.mdm.uploadarchive.raw/RTDC4006/ "%USERPROFILE%\AppData\Local\Temp\OnboardLogs"\RTDC4006\2016-10-23 --exclude "*" --recursive --include "*20161023*" &amp; "%USERPROFILE%\Documents\GitHub\mrs-test-scripts\Headless Mode &amp; Sideloading\WalkAndUnGZ.bat" "%USERPROFILE%\AppData\Local\Temp\OnboardLogs"\RTDC4006\2016-10-23</v>
      </c>
      <c r="AF211" s="88" t="str">
        <f t="shared" si="66"/>
        <v>"C:\Program Files (x86)\AstroGrep\AstroGrep.exe" /spath="%USERPROFILE%\AppData\Local\Temp\OnboardLogs" /stypes="app*4006*20161023*" /stext=" 01:.+((SYSTEM_STATE.+slice.+state.+changed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64-22 --locoid 4006 --swversion DE.1.0.7.0 --startMP 204:444 --initTime 2016-10-22T18:58:52 --startdatetime 2016-10-22T19:02:18 --delay 2 --endMP 300:23306 --enddatetime 2016-10-22T19:09:15 --enforcementcount 0 &gt;&gt;C:\Users\stu\Documents\GitHub\eaglep3-reporting\EC\2016-10-22-refined-times.txt</v>
      </c>
      <c r="AI211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{"issue":{"subject":"","project_id":79,"tracker_id":40,"status_id":1,"priority_id":2,"assigned_to_id":23,"start_date":"2016-10-22","description":"","custom_fields":[{"id":1,"name":"Subdivision","value":"Other"},{"id":4,"name":"Milepost","value":"2.3306"},{"id":17,"name":"Train ID","value":"64-22"},{"id":16,"name":"Locomotive ID","value":"4006"},{"id":130,"name":"Impact","value":""},{"id":150,"name":"Time of Event (Mountain Time)","value":"19:09:15"},{"id":151,"name":"Denver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436</v>
      </c>
      <c r="B212" s="7">
        <v>4018</v>
      </c>
      <c r="C212" s="22" t="s">
        <v>99</v>
      </c>
      <c r="D212" s="22" t="s">
        <v>746</v>
      </c>
      <c r="E212" s="13">
        <v>42665.733993055554</v>
      </c>
      <c r="F212" s="13">
        <v>42665.739131944443</v>
      </c>
      <c r="G212" s="7">
        <v>2</v>
      </c>
      <c r="H212" s="13" t="s">
        <v>747</v>
      </c>
      <c r="I212" s="13">
        <v>42665.745972222219</v>
      </c>
      <c r="J212" s="7">
        <v>0</v>
      </c>
      <c r="K212" s="112" t="str">
        <f t="shared" si="53"/>
        <v>4017/4018</v>
      </c>
      <c r="L212" s="22" t="str">
        <f>VLOOKUP(A212,'Trips&amp;Operators'!$C$1:$E$10000,3,FALSE)</f>
        <v>HAITHCOX</v>
      </c>
      <c r="M212" s="6">
        <f t="shared" si="54"/>
        <v>6.8402777760638855E-3</v>
      </c>
      <c r="N212" s="7">
        <f t="shared" si="55"/>
        <v>9.8499999975319952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16:36:57-0600',mode:absolute,to:'2016-10-22 18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2" s="52" t="str">
        <f t="shared" si="59"/>
        <v>Y</v>
      </c>
      <c r="X212" s="171" t="e">
        <f t="shared" si="60"/>
        <v>#VALUE!</v>
      </c>
      <c r="Y212" s="67">
        <f t="shared" si="61"/>
        <v>0.15</v>
      </c>
      <c r="Z212" s="67">
        <f t="shared" si="62"/>
        <v>0.188</v>
      </c>
      <c r="AA212" s="67">
        <f t="shared" si="63"/>
        <v>3.8000000000000006E-2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64"/>
        <v>65-22</v>
      </c>
      <c r="AE212" s="91" t="str">
        <f t="shared" si="65"/>
        <v>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 &amp; 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</v>
      </c>
      <c r="AF212" s="88" t="str">
        <f t="shared" si="66"/>
        <v>"C:\Program Files (x86)\AstroGrep\AstroGrep.exe" /spath="%USERPROFILE%\AppData\Local\Temp\OnboardLogs" /stypes="app*4018*20161022*" /stext=" 23:.+((SYSTEM_STATE.+slice.+state.+changed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65-22 --locoid 4018 --swversion DE.1.0.7.0 --startMP 204:1500 --initTime 2016-10-22T17:36:57 --startdatetime 2016-10-22T17:44:21 --delay 2 --endMP 204:1880 --enddatetime 2016-10-22T17:54:12 --enforcementcount 0 &gt;&gt;C:\Users\stu\Documents\GitHub\eaglep3-reporting\EC\2016-10-22-refined-times.txt</v>
      </c>
      <c r="AI212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{"issue":{"subject":"","project_id":79,"tracker_id":40,"status_id":1,"priority_id":2,"assigned_to_id":23,"start_date":"2016-10-22","description":"","custom_fields":[{"id":1,"name":"Subdivision","value":"Other"},{"id":4,"name":"Milepost","value":"0.188"},{"id":17,"name":"Train ID","value":"65-22"},{"id":16,"name":"Locomotive ID","value":"4018"},{"id":130,"name":"Impact","value":""},{"id":150,"name":"Time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436</v>
      </c>
      <c r="B213" s="7">
        <v>4018</v>
      </c>
      <c r="C213" s="22" t="s">
        <v>99</v>
      </c>
      <c r="D213" s="22" t="s">
        <v>748</v>
      </c>
      <c r="E213" s="13">
        <v>42665.738182870373</v>
      </c>
      <c r="F213" s="13">
        <v>42665.739131944443</v>
      </c>
      <c r="G213" s="7">
        <v>0</v>
      </c>
      <c r="H213" s="13" t="s">
        <v>749</v>
      </c>
      <c r="I213" s="13">
        <v>42665.745972222219</v>
      </c>
      <c r="J213" s="7">
        <v>0</v>
      </c>
      <c r="K213" s="112" t="str">
        <f t="shared" si="53"/>
        <v>4017/4018</v>
      </c>
      <c r="L213" s="22" t="str">
        <f>VLOOKUP(A213,'Trips&amp;Operators'!$C$1:$E$10000,3,FALSE)</f>
        <v>HAITHCOX</v>
      </c>
      <c r="M213" s="6">
        <f t="shared" si="54"/>
        <v>6.8402777760638855E-3</v>
      </c>
      <c r="N213" s="7">
        <f t="shared" si="55"/>
        <v>9.8499999975319952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16:42:59-0600',mode:absolute,to:'2016-10-22 18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3" s="52" t="str">
        <f t="shared" si="59"/>
        <v>Y</v>
      </c>
      <c r="X213" s="171" t="e">
        <f t="shared" si="60"/>
        <v>#VALUE!</v>
      </c>
      <c r="Y213" s="67">
        <f t="shared" si="61"/>
        <v>0.35070000000000001</v>
      </c>
      <c r="Z213" s="67">
        <f t="shared" si="62"/>
        <v>2.3346</v>
      </c>
      <c r="AA213" s="67">
        <f t="shared" si="63"/>
        <v>1.9839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64"/>
        <v>65-22</v>
      </c>
      <c r="AE213" s="91" t="str">
        <f t="shared" si="65"/>
        <v>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 &amp; 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</v>
      </c>
      <c r="AF213" s="88" t="str">
        <f t="shared" si="66"/>
        <v>"C:\Program Files (x86)\AstroGrep\AstroGrep.exe" /spath="%USERPROFILE%\AppData\Local\Temp\OnboardLogs" /stypes="app*4018*20161022*" /stext=" 23:.+((SYSTEM_STATE.+slice.+state.+changed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65-22 --locoid 4018 --swversion DE.1.0.7.0 --startMP 204:3507 --initTime 2016-10-22T17:42:59 --startdatetime 2016-10-22T17:44:21 --delay 0 --endMP 300:23346 --enddatetime 2016-10-22T17:54:12 --enforcementcount 0 &gt;&gt;C:\Users\stu\Documents\GitHub\eaglep3-reporting\EC\2016-10-22-refined-times.txt</v>
      </c>
      <c r="AI213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{"issue":{"subject":"","project_id":79,"tracker_id":40,"status_id":1,"priority_id":2,"assigned_to_id":23,"start_date":"2016-10-22","description":"","custom_fields":[{"id":1,"name":"Subdivision","value":"Other"},{"id":4,"name":"Milepost","value":"2.3346"},{"id":17,"name":"Train ID","value":"65-22"},{"id":16,"name":"Locomotive ID","value":"4018"},{"id":130,"name":"Impact","value":""},{"id":150,"name":"Time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436</v>
      </c>
      <c r="B214" s="7">
        <v>4018</v>
      </c>
      <c r="C214" s="22" t="s">
        <v>99</v>
      </c>
      <c r="D214" s="22" t="s">
        <v>750</v>
      </c>
      <c r="E214" s="13">
        <v>42665.738182870373</v>
      </c>
      <c r="F214" s="13">
        <v>42665.739131944443</v>
      </c>
      <c r="G214" s="7">
        <v>6</v>
      </c>
      <c r="H214" s="13" t="s">
        <v>749</v>
      </c>
      <c r="I214" s="13">
        <v>42665.745972222219</v>
      </c>
      <c r="J214" s="7">
        <v>0</v>
      </c>
      <c r="K214" s="112" t="str">
        <f t="shared" si="53"/>
        <v>4017/4018</v>
      </c>
      <c r="L214" s="22" t="str">
        <f>VLOOKUP(A214,'Trips&amp;Operators'!$C$1:$E$10000,3,FALSE)</f>
        <v>HAITHCOX</v>
      </c>
      <c r="M214" s="6">
        <f t="shared" si="54"/>
        <v>6.8402777760638855E-3</v>
      </c>
      <c r="N214" s="7">
        <f t="shared" si="55"/>
        <v>9.8499999975319952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https://search-rtdc-monitor-bjffxe2xuh6vdkpspy63sjmuny.us-east-1.es.amazonaws.com/_plugin/kibana/#/discover/Steve-Slow-Train-Analysis-(2080s-and-2083s)?_g=(refreshInterval:(display:Off,section:0,value:0),time:(from:'2016-10-22 16:42:59-0600',mode:absolute,to:'2016-10-22 18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4" s="52" t="str">
        <f t="shared" si="59"/>
        <v>Y</v>
      </c>
      <c r="X214" s="171" t="e">
        <f t="shared" si="60"/>
        <v>#VALUE!</v>
      </c>
      <c r="Y214" s="67">
        <f t="shared" si="61"/>
        <v>0.93769999999999998</v>
      </c>
      <c r="Z214" s="67">
        <f t="shared" si="62"/>
        <v>2.3346</v>
      </c>
      <c r="AA214" s="67">
        <f t="shared" si="63"/>
        <v>1.3969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64"/>
        <v>65-22</v>
      </c>
      <c r="AE214" s="91" t="str">
        <f t="shared" si="65"/>
        <v>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 &amp; 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</v>
      </c>
      <c r="AF214" s="88" t="str">
        <f t="shared" si="66"/>
        <v>"C:\Program Files (x86)\AstroGrep\AstroGrep.exe" /spath="%USERPROFILE%\AppData\Local\Temp\OnboardLogs" /stypes="app*4018*20161022*" /stext=" 23:.+((SYSTEM_STATE.+slice.+state.+changed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65-22 --locoid 4018 --swversion DE.1.0.7.0 --startMP 300:9377 --initTime 2016-10-22T17:42:59 --startdatetime 2016-10-22T17:44:21 --delay 6 --endMP 300:23346 --enddatetime 2016-10-22T17:54:12 --enforcementcount 0 &gt;&gt;C:\Users\stu\Documents\GitHub\eaglep3-reporting\EC\2016-10-22-refined-times.txt</v>
      </c>
      <c r="AI214" s="122" t="str">
        <f t="shared" si="69"/>
        <v>echo {"issue":{"subject":"","project_id":79,"tracker_id":40,"status_id":1,"priority_id":2,"assigned_to_id":23,"start_date":"2016-10-22","description":"","custom_fields":[{"id":1,"name":"Subdivision","value":"Other"},{"id":4,"name":"Milepost","value":"2.3346"},{"id":17,"name":"Train ID","value":"65-22"},{"id":16,"name":"Locomotive ID","value":"4018"},{"id":130,"name":"Impact","value":""},{"id":150,"name":"Time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</sheetData>
  <autoFilter ref="A12:AG274">
    <sortState ref="A13:AG280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14">
    <cfRule type="cellIs" dxfId="14" priority="344" operator="equal">
      <formula>"Y"</formula>
    </cfRule>
  </conditionalFormatting>
  <conditionalFormatting sqref="X275:X1048576 X13:X214">
    <cfRule type="cellIs" dxfId="13" priority="327" operator="greaterThan">
      <formula>1</formula>
    </cfRule>
  </conditionalFormatting>
  <conditionalFormatting sqref="X275:X1048576 X12:X214">
    <cfRule type="cellIs" dxfId="12" priority="324" operator="equal">
      <formula>0</formula>
    </cfRule>
  </conditionalFormatting>
  <conditionalFormatting sqref="A13:S214">
    <cfRule type="expression" dxfId="11" priority="318" stopIfTrue="1">
      <formula>$P13&gt;0</formula>
    </cfRule>
    <cfRule type="expression" dxfId="10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Values'!$C$2:$C$14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47"/>
  <sheetViews>
    <sheetView tabSelected="1"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COUNTIF($O$7:$O$346,"=Y")</f>
        <v>4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COUNTA($O$7:$O$346)-O2</f>
        <v>37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- 2016-10-22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42665.602696759262</v>
      </c>
      <c r="B7" s="31" t="s">
        <v>326</v>
      </c>
      <c r="C7" s="31" t="s">
        <v>431</v>
      </c>
      <c r="D7" s="31" t="s">
        <v>325</v>
      </c>
      <c r="E7" s="31" t="s">
        <v>155</v>
      </c>
      <c r="F7" s="47">
        <v>0</v>
      </c>
      <c r="G7" s="47">
        <v>179</v>
      </c>
      <c r="H7" s="47">
        <v>27233</v>
      </c>
      <c r="I7" s="47">
        <v>27101</v>
      </c>
      <c r="J7" s="31" t="s">
        <v>154</v>
      </c>
      <c r="K7" s="47">
        <v>27350</v>
      </c>
      <c r="L7" s="157" t="s">
        <v>51</v>
      </c>
      <c r="M7" s="158">
        <f t="shared" ref="M7:M47" si="0">CONVERT((I7-K7)/10000,"mi","ft")*IF(L7="Increasing Mileposts (1)",-1,1)</f>
        <v>-131.47200000000001</v>
      </c>
      <c r="N7" s="159" t="str">
        <f>VLOOKUP(C7,'Trips&amp;Operators'!$C$1:$E$99999,3,FALSE)</f>
        <v>BARTLETT</v>
      </c>
      <c r="O7" s="184" t="s">
        <v>241</v>
      </c>
      <c r="P7" s="160" t="s">
        <v>766</v>
      </c>
      <c r="Q7" s="31"/>
      <c r="R7" s="100" t="str">
        <f>VLOOKUP(C7,'Train Runs'!$A$13:$AE$10018,31,0)</f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S7" s="103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https://search-rtdc-monitor-bjffxe2xuh6vdkpspy63sjmuny.us-east-1.es.amazonaws.com/_plugin/kibana/#/discover/Steve-Slow-Train-Analysis-(2080s-and-2083s)?_g=(refreshInterval:(display:Off,section:0,value:0),time:(from:'2016-10-22 12:40:13-0600',mode:absolute,to:'2016-10-22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/stypes="*4037*201610222*" /stext=" 20:.+((SYSTEM_STATE.+slice.+state.+changed )|(ment ac)|(system.+state.+changed )|(\[timeout)|(PRM\|1\|D)|(kpr)|(kdp)|(\|lc)|(penalty))" /e /r /s</v>
      </c>
      <c r="U7" s="9" t="str">
        <f t="shared" ref="U7:U47" si="2">MID(B7,13,4)</f>
        <v>4037</v>
      </c>
      <c r="V7" s="36">
        <f t="shared" ref="V7:V47" si="3">A7+6/24</f>
        <v>42665.852696759262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arrival","project_id":79,"tracker_id":40,"status_id":1,"priority_id":2,"assigned_to_id":23,"start_date":"2016-10-22","description":"","custom_fields":[{"id":1,"name":"Subdivision","value":"EC"},{"id":4,"name":"Milepost","value":"2.735"},{"id":17,"name":"Train ID","value":"176-22"},{"id":16,"name":"Locomotive ID","value":"4037"},{"id":130,"name":"Impact","value":""},{"id":150,"name":"Time of Event (Mountain Time)","value":"14:27:53"},{"id":151,"name":"Denver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"%USERPROFILE%\AppData\Local\Temp\OnboardLogs"\RTDC4037\*4037*201610222* | grep -SE "((Enforcement Ac)|(PRM))" -</v>
      </c>
    </row>
    <row r="8" spans="1:29" s="1" customFormat="1" x14ac:dyDescent="0.25">
      <c r="A8" s="36">
        <v>42665.756921296299</v>
      </c>
      <c r="B8" s="31" t="s">
        <v>428</v>
      </c>
      <c r="C8" s="31" t="s">
        <v>438</v>
      </c>
      <c r="D8" s="31" t="s">
        <v>98</v>
      </c>
      <c r="E8" s="31" t="s">
        <v>155</v>
      </c>
      <c r="F8" s="47">
        <v>0</v>
      </c>
      <c r="G8" s="47">
        <v>250</v>
      </c>
      <c r="H8" s="47">
        <v>33141</v>
      </c>
      <c r="I8" s="47">
        <v>33277</v>
      </c>
      <c r="J8" s="31" t="s">
        <v>154</v>
      </c>
      <c r="K8" s="47">
        <v>33137</v>
      </c>
      <c r="L8" s="157" t="s">
        <v>50</v>
      </c>
      <c r="M8" s="158">
        <f t="shared" si="0"/>
        <v>-73.92</v>
      </c>
      <c r="N8" s="159" t="str">
        <f>VLOOKUP(C8,'Trips&amp;Operators'!$C$1:$E$99999,3,FALSE)</f>
        <v>STORY</v>
      </c>
      <c r="O8" s="184" t="s">
        <v>241</v>
      </c>
      <c r="P8" s="160" t="s">
        <v>766</v>
      </c>
      <c r="Q8" s="31"/>
      <c r="R8" s="100" t="str">
        <f>VLOOKUP(C8,'Train Runs'!$A$13:$AE$10018,31,0)</f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S8" s="103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https://search-rtdc-monitor-bjffxe2xuh6vdkpspy63sjmuny.us-east-1.es.amazonaws.com/_plugin/kibana/#/discover/Steve-Slow-Train-Analysis-(2080s-and-2083s)?_g=(refreshInterval:(display:Off,section:0,value:0),time:(from:'2016-10-22 16:59:18-0600',mode:absolute,to:'2016-10-22 19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8" s="105" t="str">
        <f t="shared" si="1"/>
        <v>"C:\Program Files (x86)\AstroGrep\AstroGrep.exe" /spath="%USERPROFILE%\AppData\Local\Temp\OnboardLogs" /stypes="*4031*201610230*" /stext=" 00:.+((SYSTEM_STATE.+slice.+state.+changed )|(ment ac)|(system.+state.+changed )|(\[timeout)|(PRM\|1\|D)|(kpr)|(kdp)|(\|lc)|(penalty))" /e /r /s</v>
      </c>
      <c r="U8" s="9" t="str">
        <f t="shared" si="2"/>
        <v>4031</v>
      </c>
      <c r="V8" s="36">
        <f t="shared" si="3"/>
        <v>42666.006921296299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arrival","project_id":79,"tracker_id":40,"status_id":1,"priority_id":2,"assigned_to_id":23,"start_date":"2016-10-22","description":"","custom_fields":[{"id":1,"name":"Subdivision","value":"EC"},{"id":4,"name":"Milepost","value":"3.3137"},{"id":17,"name":"Train ID","value":"215-22"},{"id":16,"name":"Locomotive ID","value":"4031"},{"id":130,"name":"Impact","value":""},{"id":150,"name":"Time of Event (Mountain Time)","value":"18:09:58"},{"id":151,"name":"Denver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"%USERPROFILE%\AppData\Local\Temp\OnboardLogs"\RTDC4031\*4031*201610230* | grep -SE "((Enforcement Ac)|(PRM))" -</v>
      </c>
    </row>
    <row r="9" spans="1:29" s="1" customFormat="1" x14ac:dyDescent="0.25">
      <c r="A9" s="36">
        <v>42665.537164351852</v>
      </c>
      <c r="B9" s="31" t="s">
        <v>428</v>
      </c>
      <c r="C9" s="31" t="s">
        <v>429</v>
      </c>
      <c r="D9" s="31" t="s">
        <v>49</v>
      </c>
      <c r="E9" s="31" t="s">
        <v>155</v>
      </c>
      <c r="F9" s="47">
        <v>230</v>
      </c>
      <c r="G9" s="47">
        <v>300</v>
      </c>
      <c r="H9" s="47">
        <v>32954</v>
      </c>
      <c r="I9" s="47">
        <v>33259</v>
      </c>
      <c r="J9" s="31" t="s">
        <v>154</v>
      </c>
      <c r="K9" s="47">
        <v>33137</v>
      </c>
      <c r="L9" s="157" t="s">
        <v>50</v>
      </c>
      <c r="M9" s="158">
        <f t="shared" si="0"/>
        <v>-64.415999999999997</v>
      </c>
      <c r="N9" s="159" t="str">
        <f>VLOOKUP(C9,'Trips&amp;Operators'!$C$1:$E$99999,3,FALSE)</f>
        <v>STEWART</v>
      </c>
      <c r="O9" s="184" t="s">
        <v>241</v>
      </c>
      <c r="P9" s="160" t="s">
        <v>766</v>
      </c>
      <c r="Q9" s="31"/>
      <c r="R9" s="100" t="str">
        <f>VLOOKUP(C9,'Train Runs'!$A$13:$AE$10018,31,0)</f>
        <v>aws s3 cp s3://rtdc.mdm.uploadarchive.raw/RTDC4031/ "%USERPROFILE%\AppData\Local\Temp\OnboardLogs"\RTDC4031\2016-10-22 --exclude "*" --recursive --include "*20161022*" &amp; "%USERPROFILE%\Documents\GitHub\mrs-test-scripts\Headless Mode &amp; Sideloading\WalkAndUnGZ.bat" "%USERPROFILE%\AppData\Local\Temp\OnboardLogs"\RTDC4031\2016-10-22 &amp; aws s3 cp s3://rtdc.mdm.uploadarchive.raw/RTDC4031/ "%USERPROFILE%\AppData\Local\Temp\OnboardLogs"\RTDC4031\2016-10-23 --exclude "*" --recursive --include "*20161023*" &amp; "%USERPROFILE%\Documents\GitHub\mrs-test-scripts\Headless Mode &amp; Sideloading\WalkAndUnGZ.bat" "%USERPROFILE%\AppData\Local\Temp\OnboardLogs"\RTDC4031\2016-10-23</v>
      </c>
      <c r="S9" s="103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https://search-rtdc-monitor-bjffxe2xuh6vdkpspy63sjmuny.us-east-1.es.amazonaws.com/_plugin/kibana/#/discover/Steve-Slow-Train-Analysis-(2080s-and-2083s)?_g=(refreshInterval:(display:Off,section:0,value:0),time:(from:'2016-10-22 11:39:27-0600',mode:absolute,to:'2016-10-22 14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9" s="105" t="str">
        <f t="shared" si="1"/>
        <v>"C:\Program Files (x86)\AstroGrep\AstroGrep.exe" /spath="%USERPROFILE%\AppData\Local\Temp\OnboardLogs" /stypes="*4031*201610221*" /stext=" 18:.+((SYSTEM_STATE.+slice.+state.+changed )|(ment ac)|(system.+state.+changed )|(\[timeout)|(PRM\|1\|D)|(kpr)|(kdp)|(\|lc)|(penalty))" /e /r /s</v>
      </c>
      <c r="U9" s="9" t="str">
        <f t="shared" si="2"/>
        <v>4031</v>
      </c>
      <c r="V9" s="36">
        <f t="shared" si="3"/>
        <v>42665.787164351852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arrival","project_id":79,"tracker_id":40,"status_id":1,"priority_id":2,"assigned_to_id":23,"start_date":"2016-10-22","description":"","custom_fields":[{"id":1,"name":"Subdivision","value":"EC"},{"id":4,"name":"Milepost","value":"3.3137"},{"id":17,"name":"Train ID","value":"173-22"},{"id":16,"name":"Locomotive ID","value":"4031"},{"id":130,"name":"Impact","value":""},{"id":150,"name":"Time of Event (Mountain Time)","value":"12:53:31"},{"id":151,"name":"Denver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"%USERPROFILE%\AppData\Local\Temp\OnboardLogs"\RTDC4031\*4031*201610221* | grep -SE "((Enforcement Ac)|(PRM))" -</v>
      </c>
    </row>
    <row r="10" spans="1:29" s="1" customFormat="1" x14ac:dyDescent="0.25">
      <c r="A10" s="36">
        <v>42665.812256944446</v>
      </c>
      <c r="B10" s="31" t="s">
        <v>441</v>
      </c>
      <c r="C10" s="31" t="s">
        <v>442</v>
      </c>
      <c r="D10" s="31" t="s">
        <v>325</v>
      </c>
      <c r="E10" s="31" t="s">
        <v>155</v>
      </c>
      <c r="F10" s="47">
        <v>0</v>
      </c>
      <c r="G10" s="47">
        <v>154</v>
      </c>
      <c r="H10" s="47">
        <v>63243</v>
      </c>
      <c r="I10" s="47">
        <v>63173</v>
      </c>
      <c r="J10" s="31" t="s">
        <v>154</v>
      </c>
      <c r="K10" s="47">
        <v>63309</v>
      </c>
      <c r="L10" s="157" t="s">
        <v>51</v>
      </c>
      <c r="M10" s="158">
        <f t="shared" si="0"/>
        <v>-71.808000000000007</v>
      </c>
      <c r="N10" s="159" t="str">
        <f>VLOOKUP(C10,'Trips&amp;Operators'!$C$1:$E$99999,3,FALSE)</f>
        <v>STORY</v>
      </c>
      <c r="O10" s="184" t="s">
        <v>241</v>
      </c>
      <c r="P10" s="160" t="s">
        <v>766</v>
      </c>
      <c r="Q10" s="31"/>
      <c r="R10" s="100" t="str">
        <f>VLOOKUP(C10,'Train Runs'!$A$13:$AE$10018,31,0)</f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S10" s="103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https://search-rtdc-monitor-bjffxe2xuh6vdkpspy63sjmuny.us-east-1.es.amazonaws.com/_plugin/kibana/#/discover/Steve-Slow-Train-Analysis-(2080s-and-2083s)?_g=(refreshInterval:(display:Off,section:0,value:0),time:(from:'2016-10-22 17:53:52-0600',mode:absolute,to:'2016-10-22 20:44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5" t="str">
        <f t="shared" si="1"/>
        <v>"C:\Program Files (x86)\AstroGrep\AstroGrep.exe" /spath="%USERPROFILE%\AppData\Local\Temp\OnboardLogs" /stypes="*4032*201610230*" /stext=" 01:.+((SYSTEM_STATE.+slice.+state.+changed )|(ment ac)|(system.+state.+changed )|(\[timeout)|(PRM\|1\|D)|(kpr)|(kdp)|(\|lc)|(penalty))" /e /r /s</v>
      </c>
      <c r="U10" s="9" t="str">
        <f t="shared" si="2"/>
        <v>4032</v>
      </c>
      <c r="V10" s="36">
        <f t="shared" si="3"/>
        <v>42666.062256944446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arrival","project_id":79,"tracker_id":40,"status_id":1,"priority_id":2,"assigned_to_id":23,"start_date":"2016-10-22","description":"","custom_fields":[{"id":1,"name":"Subdivision","value":"EC"},{"id":4,"name":"Milepost","value":"6.3309"},{"id":17,"name":"Train ID","value":"216-22"},{"id":16,"name":"Locomotive ID","value":"4032"},{"id":130,"name":"Impact","value":""},{"id":150,"name":"Time of Event (Mountain Time)","value":"19:29:39"},{"id":151,"name":"Denver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"%USERPROFILE%\AppData\Local\Temp\OnboardLogs"\RTDC4032\*4032*201610230* | grep -SE "((Enforcement Ac)|(PRM))" -</v>
      </c>
    </row>
    <row r="11" spans="1:29" s="1" customFormat="1" x14ac:dyDescent="0.25">
      <c r="A11" s="36">
        <v>42665.430995370371</v>
      </c>
      <c r="B11" s="31" t="s">
        <v>273</v>
      </c>
      <c r="C11" s="31" t="s">
        <v>422</v>
      </c>
      <c r="D11" s="31" t="s">
        <v>49</v>
      </c>
      <c r="E11" s="31" t="s">
        <v>155</v>
      </c>
      <c r="F11" s="47">
        <v>130</v>
      </c>
      <c r="G11" s="47">
        <v>409</v>
      </c>
      <c r="H11" s="47">
        <v>65733</v>
      </c>
      <c r="I11" s="47">
        <v>64454</v>
      </c>
      <c r="J11" s="31" t="s">
        <v>154</v>
      </c>
      <c r="K11" s="47">
        <v>63309</v>
      </c>
      <c r="L11" s="157" t="s">
        <v>51</v>
      </c>
      <c r="M11" s="158">
        <f t="shared" si="0"/>
        <v>604.55999999999995</v>
      </c>
      <c r="N11" s="159" t="str">
        <f>VLOOKUP(C11,'Trips&amp;Operators'!$C$1:$E$99999,3,FALSE)</f>
        <v>STRICKLAND</v>
      </c>
      <c r="O11" s="184" t="s">
        <v>241</v>
      </c>
      <c r="P11" s="160" t="s">
        <v>766</v>
      </c>
      <c r="Q11" s="31"/>
      <c r="R11" s="100" t="str">
        <f>VLOOKUP(C11,'Train Runs'!$A$13:$AE$10018,31,0)</f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S11" s="103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https://search-rtdc-monitor-bjffxe2xuh6vdkpspy63sjmuny.us-east-1.es.amazonaws.com/_plugin/kibana/#/discover/Steve-Slow-Train-Analysis-(2080s-and-2083s)?_g=(refreshInterval:(display:Off,section:0,value:0),time:(from:'2016-10-22 08:50:35-0600',mode:absolute,to:'2016-10-22 11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1" s="105" t="str">
        <f t="shared" si="1"/>
        <v>"C:\Program Files (x86)\AstroGrep\AstroGrep.exe" /spath="%USERPROFILE%\AppData\Local\Temp\OnboardLogs" /stypes="*4054*201610221*" /stext=" 16:.+((SYSTEM_STATE.+slice.+state.+changed )|(ment ac)|(system.+state.+changed )|(\[timeout)|(PRM\|1\|D)|(kpr)|(kdp)|(\|lc)|(penalty))" /e /r /s</v>
      </c>
      <c r="U11" s="9" t="str">
        <f t="shared" si="2"/>
        <v>4054</v>
      </c>
      <c r="V11" s="36">
        <f t="shared" si="3"/>
        <v>42665.680995370371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arrival","project_id":79,"tracker_id":40,"status_id":1,"priority_id":2,"assigned_to_id":23,"start_date":"2016-10-22","description":"","custom_fields":[{"id":1,"name":"Subdivision","value":"EC"},{"id":4,"name":"Milepost","value":"6.3309"},{"id":17,"name":"Train ID","value":"144-22"},{"id":16,"name":"Locomotive ID","value":"4054"},{"id":130,"name":"Impact","value":""},{"id":150,"name":"Time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"%USERPROFILE%\AppData\Local\Temp\OnboardLogs"\RTDC4054\*4054*201610221* | grep -SE "((Enforcement Ac)|(PRM))" -</v>
      </c>
    </row>
    <row r="12" spans="1:29" s="1" customFormat="1" x14ac:dyDescent="0.25">
      <c r="A12" s="36">
        <v>42665.357175925928</v>
      </c>
      <c r="B12" s="31" t="s">
        <v>273</v>
      </c>
      <c r="C12" s="31" t="s">
        <v>416</v>
      </c>
      <c r="D12" s="31" t="s">
        <v>325</v>
      </c>
      <c r="E12" s="31" t="s">
        <v>155</v>
      </c>
      <c r="F12" s="47">
        <v>0</v>
      </c>
      <c r="G12" s="47">
        <v>225</v>
      </c>
      <c r="H12" s="47">
        <v>78418</v>
      </c>
      <c r="I12" s="47">
        <v>78204</v>
      </c>
      <c r="J12" s="31" t="s">
        <v>154</v>
      </c>
      <c r="K12" s="47">
        <v>78469</v>
      </c>
      <c r="L12" s="157" t="s">
        <v>51</v>
      </c>
      <c r="M12" s="158">
        <f t="shared" si="0"/>
        <v>-139.91999999999999</v>
      </c>
      <c r="N12" s="159" t="str">
        <f>VLOOKUP(C12,'Trips&amp;Operators'!$C$1:$E$99999,3,FALSE)</f>
        <v>STRICKLAND</v>
      </c>
      <c r="O12" s="184" t="s">
        <v>241</v>
      </c>
      <c r="P12" s="160" t="s">
        <v>766</v>
      </c>
      <c r="Q12" s="31"/>
      <c r="R12" s="100" t="str">
        <f>VLOOKUP(C12,'Train Runs'!$A$13:$AE$10018,31,0)</f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S12" s="103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https://search-rtdc-monitor-bjffxe2xuh6vdkpspy63sjmuny.us-east-1.es.amazonaws.com/_plugin/kibana/#/discover/Steve-Slow-Train-Analysis-(2080s-and-2083s)?_g=(refreshInterval:(display:Off,section:0,value:0),time:(from:'2016-10-22 07:05:20-0600',mode:absolute,to:'2016-10-22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2" s="105" t="str">
        <f t="shared" si="1"/>
        <v>"C:\Program Files (x86)\AstroGrep\AstroGrep.exe" /spath="%USERPROFILE%\AppData\Local\Temp\OnboardLogs" /stypes="*4054*201610221*" /stext=" 14:.+((SYSTEM_STATE.+slice.+state.+changed )|(ment ac)|(system.+state.+changed )|(\[timeout)|(PRM\|1\|D)|(kpr)|(kdp)|(\|lc)|(penalty))" /e /r /s</v>
      </c>
      <c r="U12" s="9" t="str">
        <f t="shared" si="2"/>
        <v>4054</v>
      </c>
      <c r="V12" s="36">
        <f t="shared" si="3"/>
        <v>42665.607175925928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arrival","project_id":79,"tracker_id":40,"status_id":1,"priority_id":2,"assigned_to_id":23,"start_date":"2016-10-22","description":"","custom_fields":[{"id":1,"name":"Subdivision","value":"EC"},{"id":4,"name":"Milepost","value":"7.8469"},{"id":17,"name":"Train ID","value":"130-22"},{"id":16,"name":"Locomotive ID","value":"4054"},{"id":130,"name":"Impact","value":""},{"id":150,"name":"Time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"%USERPROFILE%\AppData\Local\Temp\OnboardLogs"\RTDC4054\*4054*201610221* | grep -SE "((Enforcement Ac)|(PRM))" -</v>
      </c>
    </row>
    <row r="13" spans="1:29" s="1" customFormat="1" x14ac:dyDescent="0.25">
      <c r="A13" s="36">
        <v>42665.306342592594</v>
      </c>
      <c r="B13" s="31" t="s">
        <v>274</v>
      </c>
      <c r="C13" s="31" t="s">
        <v>415</v>
      </c>
      <c r="D13" s="31" t="s">
        <v>98</v>
      </c>
      <c r="E13" s="31" t="s">
        <v>242</v>
      </c>
      <c r="F13" s="47">
        <v>300</v>
      </c>
      <c r="G13" s="47">
        <v>350</v>
      </c>
      <c r="H13" s="47">
        <v>21133</v>
      </c>
      <c r="I13" s="47">
        <v>22037</v>
      </c>
      <c r="J13" s="31" t="s">
        <v>243</v>
      </c>
      <c r="K13" s="47">
        <v>20338</v>
      </c>
      <c r="L13" s="157" t="s">
        <v>50</v>
      </c>
      <c r="M13" s="158">
        <f t="shared" si="0"/>
        <v>-897.072</v>
      </c>
      <c r="N13" s="159" t="str">
        <f>VLOOKUP(C13,'Trips&amp;Operators'!$C$1:$E$99999,3,FALSE)</f>
        <v>STRICKLAND</v>
      </c>
      <c r="O13" s="184" t="s">
        <v>241</v>
      </c>
      <c r="P13" s="160"/>
      <c r="Q13" s="31"/>
      <c r="R13" s="100" t="str">
        <f>VLOOKUP(C13,'Train Runs'!$A$13:$AE$10018,31,0)</f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S13" s="103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https://search-rtdc-monitor-bjffxe2xuh6vdkpspy63sjmuny.us-east-1.es.amazonaws.com/_plugin/kibana/#/discover/Steve-Slow-Train-Analysis-(2080s-and-2083s)?_g=(refreshInterval:(display:Off,section:0,value:0),time:(from:'2016-10-22 06:09:57-0600',mode:absolute,to:'2016-10-22 08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3" s="105" t="str">
        <f t="shared" si="1"/>
        <v>"C:\Program Files (x86)\AstroGrep\AstroGrep.exe" /spath="%USERPROFILE%\AppData\Local\Temp\OnboardLogs" /stypes="*4053*201610221*" /stext=" 13:.+((SYSTEM_STATE.+slice.+state.+changed )|(ment ac)|(system.+state.+changed )|(\[timeout)|(PRM\|1\|D)|(kpr)|(kdp)|(\|lc)|(penalty))" /e /r /s</v>
      </c>
      <c r="U13" s="9" t="str">
        <f t="shared" si="2"/>
        <v>4053</v>
      </c>
      <c r="V13" s="36">
        <f t="shared" si="3"/>
        <v>42665.556342592594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{"issue":{"subject":"","project_id":79,"tracker_id":40,"status_id":1,"priority_id":2,"assigned_to_id":23,"start_date":"2016-10-22","description":"","custom_fields":[{"id":1,"name":"Subdivision","value":"EC"},{"id":4,"name":"Milepost","value":"2.0338"},{"id":17,"name":"Train ID","value":"129-22"},{"id":16,"name":"Locomotive ID","value":"4053"},{"id":130,"name":"Impact","value":""},{"id":150,"name":"Time of Event (Mountain Time)","value":"07:21:08"},{"id":151,"name":"Denver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"%USERPROFILE%\AppData\Local\Temp\OnboardLogs"\RTDC4053\*4053*201610221* | grep -SE "((Enforcement Ac)|(PRM))" -</v>
      </c>
    </row>
    <row r="14" spans="1:29" s="1" customFormat="1" x14ac:dyDescent="0.25">
      <c r="A14" s="36">
        <v>42665.291909722226</v>
      </c>
      <c r="B14" s="31" t="s">
        <v>273</v>
      </c>
      <c r="C14" s="31" t="s">
        <v>414</v>
      </c>
      <c r="D14" s="31" t="s">
        <v>49</v>
      </c>
      <c r="E14" s="31" t="s">
        <v>242</v>
      </c>
      <c r="F14" s="47">
        <v>300</v>
      </c>
      <c r="G14" s="47">
        <v>371</v>
      </c>
      <c r="H14" s="47">
        <v>22633</v>
      </c>
      <c r="I14" s="47">
        <v>21523</v>
      </c>
      <c r="J14" s="31" t="s">
        <v>243</v>
      </c>
      <c r="K14" s="47">
        <v>21848</v>
      </c>
      <c r="L14" s="157" t="s">
        <v>51</v>
      </c>
      <c r="M14" s="158">
        <f t="shared" si="0"/>
        <v>-171.6</v>
      </c>
      <c r="N14" s="159" t="str">
        <f>VLOOKUP(C14,'Trips&amp;Operators'!$C$1:$E$99999,3,FALSE)</f>
        <v>STRICKLAND</v>
      </c>
      <c r="O14" s="184" t="s">
        <v>241</v>
      </c>
      <c r="P14" s="160"/>
      <c r="Q14" s="31"/>
      <c r="R14" s="100" t="str">
        <f>VLOOKUP(C14,'Train Runs'!$A$13:$AE$10018,31,0)</f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S14" s="103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https://search-rtdc-monitor-bjffxe2xuh6vdkpspy63sjmuny.us-east-1.es.amazonaws.com/_plugin/kibana/#/discover/Steve-Slow-Train-Analysis-(2080s-and-2083s)?_g=(refreshInterval:(display:Off,section:0,value:0),time:(from:'2016-10-22 05:21:41-0600',mode:absolute,to:'2016-10-22 08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4" s="105" t="str">
        <f t="shared" si="1"/>
        <v>"C:\Program Files (x86)\AstroGrep\AstroGrep.exe" /spath="%USERPROFILE%\AppData\Local\Temp\OnboardLogs" /stypes="*4054*201610221*" /stext=" 13:.+((SYSTEM_STATE.+slice.+state.+changed )|(ment ac)|(system.+state.+changed )|(\[timeout)|(PRM\|1\|D)|(kpr)|(kdp)|(\|lc)|(penalty))" /e /r /s</v>
      </c>
      <c r="U14" s="9" t="str">
        <f t="shared" si="2"/>
        <v>4054</v>
      </c>
      <c r="V14" s="36">
        <f t="shared" si="3"/>
        <v>42665.541909722226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{"issue":{"subject":"","project_id":79,"tracker_id":40,"status_id":1,"priority_id":2,"assigned_to_id":23,"start_date":"2016-10-22","description":"","custom_fields":[{"id":1,"name":"Subdivision","value":"EC"},{"id":4,"name":"Milepost","value":"2.1848"},{"id":17,"name":"Train ID","value":"116-22"},{"id":16,"name":"Locomotive ID","value":"4054"},{"id":130,"name":"Impact","value":""},{"id":150,"name":"Time of Event (Mountain Time)","value":"07:00:21"},{"id":151,"name":"Denver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"%USERPROFILE%\AppData\Local\Temp\OnboardLogs"\RTDC4054\*4054*201610221* | grep -SE "((Enforcement Ac)|(PRM))" -</v>
      </c>
    </row>
    <row r="15" spans="1:29" s="1" customFormat="1" x14ac:dyDescent="0.25">
      <c r="A15" s="36">
        <v>42665.425150462965</v>
      </c>
      <c r="B15" s="31" t="s">
        <v>273</v>
      </c>
      <c r="C15" s="31" t="s">
        <v>422</v>
      </c>
      <c r="D15" s="31" t="s">
        <v>49</v>
      </c>
      <c r="E15" s="31" t="s">
        <v>242</v>
      </c>
      <c r="F15" s="47">
        <v>400</v>
      </c>
      <c r="G15" s="47">
        <v>572</v>
      </c>
      <c r="H15" s="47">
        <v>122445</v>
      </c>
      <c r="I15" s="47">
        <v>120562</v>
      </c>
      <c r="J15" s="31" t="s">
        <v>243</v>
      </c>
      <c r="K15" s="47">
        <v>119716</v>
      </c>
      <c r="L15" s="157" t="s">
        <v>51</v>
      </c>
      <c r="M15" s="158">
        <f t="shared" si="0"/>
        <v>446.68799999999999</v>
      </c>
      <c r="N15" s="159" t="str">
        <f>VLOOKUP(C15,'Trips&amp;Operators'!$C$1:$E$99999,3,FALSE)</f>
        <v>STRICKLAND</v>
      </c>
      <c r="O15" s="184" t="s">
        <v>241</v>
      </c>
      <c r="P15" s="160"/>
      <c r="Q15" s="31"/>
      <c r="R15" s="100" t="str">
        <f>VLOOKUP(C15,'Train Runs'!$A$13:$AE$10018,31,0)</f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S15" s="103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https://search-rtdc-monitor-bjffxe2xuh6vdkpspy63sjmuny.us-east-1.es.amazonaws.com/_plugin/kibana/#/discover/Steve-Slow-Train-Analysis-(2080s-and-2083s)?_g=(refreshInterval:(display:Off,section:0,value:0),time:(from:'2016-10-22 08:50:35-0600',mode:absolute,to:'2016-10-22 11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15" s="105" t="str">
        <f t="shared" si="1"/>
        <v>"C:\Program Files (x86)\AstroGrep\AstroGrep.exe" /spath="%USERPROFILE%\AppData\Local\Temp\OnboardLogs" /stypes="*4054*201610221*" /stext=" 16:.+((SYSTEM_STATE.+slice.+state.+changed )|(ment ac)|(system.+state.+changed )|(\[timeout)|(PRM\|1\|D)|(kpr)|(kdp)|(\|lc)|(penalty))" /e /r /s</v>
      </c>
      <c r="U15" s="9" t="str">
        <f t="shared" si="2"/>
        <v>4054</v>
      </c>
      <c r="V15" s="36">
        <f t="shared" si="3"/>
        <v>42665.675150462965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{"issue":{"subject":"","project_id":79,"tracker_id":40,"status_id":1,"priority_id":2,"assigned_to_id":23,"start_date":"2016-10-22","description":"","custom_fields":[{"id":1,"name":"Subdivision","value":"EC"},{"id":4,"name":"Milepost","value":"11.9716"},{"id":17,"name":"Train ID","value":"144-22"},{"id":16,"name":"Locomotive ID","value":"4054"},{"id":130,"name":"Impact","value":""},{"id":150,"name":"Time of Event (Mountain Time)","value":"10:12:13"},{"id":151,"name":"Denver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"%USERPROFILE%\AppData\Local\Temp\OnboardLogs"\RTDC4054\*4054*201610221* | grep -SE "((Enforcement Ac)|(PRM))" -</v>
      </c>
    </row>
    <row r="16" spans="1:29" s="1" customFormat="1" x14ac:dyDescent="0.25">
      <c r="A16" s="36">
        <v>42665.683807870373</v>
      </c>
      <c r="B16" s="31" t="s">
        <v>274</v>
      </c>
      <c r="C16" s="31" t="s">
        <v>433</v>
      </c>
      <c r="D16" s="31" t="s">
        <v>98</v>
      </c>
      <c r="E16" s="31" t="s">
        <v>242</v>
      </c>
      <c r="F16" s="47">
        <v>600</v>
      </c>
      <c r="G16" s="47">
        <v>652</v>
      </c>
      <c r="H16" s="47">
        <v>124121</v>
      </c>
      <c r="I16" s="47">
        <v>126928</v>
      </c>
      <c r="J16" s="31" t="s">
        <v>243</v>
      </c>
      <c r="K16" s="47">
        <v>119716</v>
      </c>
      <c r="L16" s="157" t="s">
        <v>50</v>
      </c>
      <c r="M16" s="158">
        <f t="shared" si="0"/>
        <v>-3807.9360000000001</v>
      </c>
      <c r="N16" s="159" t="str">
        <f>VLOOKUP(C16,'Trips&amp;Operators'!$C$1:$E$99999,3,FALSE)</f>
        <v>STORY</v>
      </c>
      <c r="O16" s="184" t="s">
        <v>241</v>
      </c>
      <c r="P16" s="160"/>
      <c r="Q16" s="31"/>
      <c r="R16" s="100" t="str">
        <f>VLOOKUP(C16,'Train Runs'!$A$13:$AE$10018,31,0)</f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S16" s="103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https://search-rtdc-monitor-bjffxe2xuh6vdkpspy63sjmuny.us-east-1.es.amazonaws.com/_plugin/kibana/#/discover/Steve-Slow-Train-Analysis-(2080s-and-2083s)?_g=(refreshInterval:(display:Off,section:0,value:0),time:(from:'2016-10-22 14:56:51-0600',mode:absolute,to:'2016-10-22 17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6" s="105" t="str">
        <f t="shared" si="1"/>
        <v>"C:\Program Files (x86)\AstroGrep\AstroGrep.exe" /spath="%USERPROFILE%\AppData\Local\Temp\OnboardLogs" /stypes="*4053*201610222*" /stext=" 22:.+((SYSTEM_STATE.+slice.+state.+changed )|(ment ac)|(system.+state.+changed )|(\[timeout)|(PRM\|1\|D)|(kpr)|(kdp)|(\|lc)|(penalty))" /e /r /s</v>
      </c>
      <c r="U16" s="9" t="str">
        <f t="shared" si="2"/>
        <v>4053</v>
      </c>
      <c r="V16" s="36">
        <f t="shared" si="3"/>
        <v>42665.933807870373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{"issue":{"subject":"","project_id":79,"tracker_id":40,"status_id":1,"priority_id":2,"assigned_to_id":23,"start_date":"2016-10-22","description":"","custom_fields":[{"id":1,"name":"Subdivision","value":"EC"},{"id":4,"name":"Milepost","value":"11.9716"},{"id":17,"name":"Train ID","value":"199-22"},{"id":16,"name":"Locomotive ID","value":"4053"},{"id":130,"name":"Impact","value":""},{"id":150,"name":"Time of Event (Mountain Time)","value":"16:24:41"},{"id":151,"name":"Denver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"%USERPROFILE%\AppData\Local\Temp\OnboardLogs"\RTDC4053\*4053*201610222* | grep -SE "((Enforcement Ac)|(PRM))" -</v>
      </c>
    </row>
    <row r="17" spans="1:30" s="1" customFormat="1" x14ac:dyDescent="0.25">
      <c r="A17" s="36">
        <v>42665.397060185183</v>
      </c>
      <c r="B17" s="31" t="s">
        <v>274</v>
      </c>
      <c r="C17" s="31" t="s">
        <v>420</v>
      </c>
      <c r="D17" s="31" t="s">
        <v>98</v>
      </c>
      <c r="E17" s="31" t="s">
        <v>242</v>
      </c>
      <c r="F17" s="47">
        <v>700</v>
      </c>
      <c r="G17" s="47">
        <v>755</v>
      </c>
      <c r="H17" s="47">
        <v>174189</v>
      </c>
      <c r="I17" s="47">
        <v>177403</v>
      </c>
      <c r="J17" s="31" t="s">
        <v>243</v>
      </c>
      <c r="K17" s="47">
        <v>161962</v>
      </c>
      <c r="L17" s="157" t="s">
        <v>50</v>
      </c>
      <c r="M17" s="158">
        <f t="shared" si="0"/>
        <v>-8152.848</v>
      </c>
      <c r="N17" s="159" t="str">
        <f>VLOOKUP(C17,'Trips&amp;Operators'!$C$1:$E$99999,3,FALSE)</f>
        <v>STRICKLAND</v>
      </c>
      <c r="O17" s="184" t="s">
        <v>241</v>
      </c>
      <c r="P17" s="160"/>
      <c r="Q17" s="31"/>
      <c r="R17" s="100" t="str">
        <f>VLOOKUP(C17,'Train Runs'!$A$13:$AE$10018,31,0)</f>
        <v>aws s3 cp s3://rtdc.mdm.uploadarchive.raw/RTDC4053/ "%USERPROFILE%\AppData\Local\Temp\OnboardLogs"\RTDC4053\2016-10-22 --exclude "*" --recursive --include "*20161022*" &amp; "%USERPROFILE%\Documents\GitHub\mrs-test-scripts\Headless Mode &amp; Sideloading\WalkAndUnGZ.bat" "%USERPROFILE%\AppData\Local\Temp\OnboardLogs"\RTDC4053\2016-10-22 &amp; aws s3 cp s3://rtdc.mdm.uploadarchive.raw/RTDC4053/ "%USERPROFILE%\AppData\Local\Temp\OnboardLogs"\RTDC4053\2016-10-23 --exclude "*" --recursive --include "*20161023*" &amp; "%USERPROFILE%\Documents\GitHub\mrs-test-scripts\Headless Mode &amp; Sideloading\WalkAndUnGZ.bat" "%USERPROFILE%\AppData\Local\Temp\OnboardLogs"\RTDC4053\2016-10-23</v>
      </c>
      <c r="S17" s="103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https://search-rtdc-monitor-bjffxe2xuh6vdkpspy63sjmuny.us-east-1.es.amazonaws.com/_plugin/kibana/#/discover/Steve-Slow-Train-Analysis-(2080s-and-2083s)?_g=(refreshInterval:(display:Off,section:0,value:0),time:(from:'2016-10-22 07:55:11-0600',mode:absolute,to:'2016-10-22 10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7" s="105" t="str">
        <f t="shared" si="1"/>
        <v>"C:\Program Files (x86)\AstroGrep\AstroGrep.exe" /spath="%USERPROFILE%\AppData\Local\Temp\OnboardLogs" /stypes="*4053*201610221*" /stext=" 15:.+((SYSTEM_STATE.+slice.+state.+changed )|(ment ac)|(system.+state.+changed )|(\[timeout)|(PRM\|1\|D)|(kpr)|(kdp)|(\|lc)|(penalty))" /e /r /s</v>
      </c>
      <c r="U17" s="9" t="str">
        <f t="shared" si="2"/>
        <v>4053</v>
      </c>
      <c r="V17" s="36">
        <f t="shared" si="3"/>
        <v>42665.647060185183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{"issue":{"subject":"","project_id":79,"tracker_id":40,"status_id":1,"priority_id":2,"assigned_to_id":23,"start_date":"2016-10-22","description":"","custom_fields":[{"id":1,"name":"Subdivision","value":"EC"},{"id":4,"name":"Milepost","value":"16.1962"},{"id":17,"name":"Train ID","value":"143-22"},{"id":16,"name":"Locomotive ID","value":"4053"},{"id":130,"name":"Impact","value":""},{"id":150,"name":"Time of Event (Mountain Time)","value":"09:31:46"},{"id":151,"name":"Denver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"%USERPROFILE%\AppData\Local\Temp\OnboardLogs"\RTDC4053\*4053*201610221* | grep -SE "((Enforcement Ac)|(PRM))" -</v>
      </c>
    </row>
    <row r="18" spans="1:30" s="1" customFormat="1" x14ac:dyDescent="0.25">
      <c r="A18" s="36">
        <v>42665.472453703704</v>
      </c>
      <c r="B18" s="31" t="s">
        <v>329</v>
      </c>
      <c r="C18" s="31" t="s">
        <v>424</v>
      </c>
      <c r="D18" s="31" t="s">
        <v>49</v>
      </c>
      <c r="E18" s="31" t="s">
        <v>245</v>
      </c>
      <c r="F18" s="47">
        <v>0</v>
      </c>
      <c r="G18" s="47">
        <v>170</v>
      </c>
      <c r="H18" s="47">
        <v>19366</v>
      </c>
      <c r="I18" s="47">
        <v>19856</v>
      </c>
      <c r="J18" s="31" t="s">
        <v>246</v>
      </c>
      <c r="K18" s="47">
        <v>20617</v>
      </c>
      <c r="L18" s="157" t="s">
        <v>50</v>
      </c>
      <c r="M18" s="158">
        <f t="shared" si="0"/>
        <v>401.80799999999999</v>
      </c>
      <c r="N18" s="159" t="str">
        <f>VLOOKUP(C18,'Trips&amp;Operators'!$C$1:$E$99999,3,FALSE)</f>
        <v>BARTLETT</v>
      </c>
      <c r="O18" s="184" t="s">
        <v>311</v>
      </c>
      <c r="P18" s="160" t="s">
        <v>767</v>
      </c>
      <c r="Q18" s="31"/>
      <c r="R18" s="100" t="str">
        <f>VLOOKUP(C18,'Train Runs'!$A$13:$AE$10018,31,0)</f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S18" s="103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https://search-rtdc-monitor-bjffxe2xuh6vdkpspy63sjmuny.us-east-1.es.amazonaws.com/_plugin/kibana/#/discover/Steve-Slow-Train-Analysis-(2080s-and-2083s)?_g=(refreshInterval:(display:Off,section:0,value:0),time:(from:'2016-10-22 10:06:48-0600',mode:absolute,to:'2016-10-22 12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8" s="105" t="str">
        <f t="shared" si="1"/>
        <v>"C:\Program Files (x86)\AstroGrep\AstroGrep.exe" /spath="%USERPROFILE%\AppData\Local\Temp\OnboardLogs" /stypes="*4038*201610221*" /stext=" 17:.+((SYSTEM_STATE.+slice.+state.+changed )|(ment ac)|(system.+state.+changed )|(\[timeout)|(PRM\|1\|D)|(kpr)|(kdp)|(\|lc)|(penalty))" /e /r /s</v>
      </c>
      <c r="U18" s="9" t="str">
        <f t="shared" si="2"/>
        <v>4038</v>
      </c>
      <c r="V18" s="36">
        <f t="shared" si="3"/>
        <v>42665.722453703704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{"issue":{"subject":"Wi-MAX outage","project_id":79,"tracker_id":40,"status_id":1,"priority_id":2,"assigned_to_id":23,"start_date":"2016-10-22","description":"http://stevetu21.github.io/eaglep3/load_kml.html?kml=http://rtdc.gmaps-snips.s3.amazonaws.com/994bcf2b-a8c5-4f75-8742-f426f7f12f9e.kml","custom_fields":[{"id":1,"name":"Subdivision","value":"EC"},{"id":4,"name":"Milepost","value":"2.0617"},{"id":17,"name":"Train ID","value":"161-22"},{"id":16,"name":"Locomotive ID","value":"4038"},{"id":130,"name":"Impact","value":"Enforcement"},{"id":150,"name":"Time of Event (Mountain Time)","value":"11:20:20"},{"id":151,"name":"Denver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5" t="s">
        <v>768</v>
      </c>
      <c r="AA18" s="53" t="s">
        <v>126</v>
      </c>
      <c r="AB18" s="53" t="s">
        <v>139</v>
      </c>
      <c r="AC18" s="141" t="str">
        <f t="shared" si="7"/>
        <v>grep -hSE -A100 "Enforcement Action" "%USERPROFILE%\AppData\Local\Temp\OnboardLogs"\RTDC4038\*4038*201610221* | grep -SE "((Enforcement Ac)|(PRM))" -</v>
      </c>
    </row>
    <row r="19" spans="1:30" s="1" customFormat="1" x14ac:dyDescent="0.25">
      <c r="A19" s="36">
        <v>42665.260150462964</v>
      </c>
      <c r="B19" s="31" t="s">
        <v>329</v>
      </c>
      <c r="C19" s="31" t="s">
        <v>412</v>
      </c>
      <c r="D19" s="31" t="s">
        <v>49</v>
      </c>
      <c r="E19" s="31" t="s">
        <v>245</v>
      </c>
      <c r="F19" s="47">
        <v>0</v>
      </c>
      <c r="G19" s="47">
        <v>220</v>
      </c>
      <c r="H19" s="47">
        <v>63971</v>
      </c>
      <c r="I19" s="47">
        <v>64491</v>
      </c>
      <c r="J19" s="31" t="s">
        <v>246</v>
      </c>
      <c r="K19" s="47">
        <v>63995</v>
      </c>
      <c r="L19" s="157" t="s">
        <v>50</v>
      </c>
      <c r="M19" s="158">
        <f t="shared" si="0"/>
        <v>-261.88799999999998</v>
      </c>
      <c r="N19" s="159" t="str">
        <f>VLOOKUP(C19,'Trips&amp;Operators'!$C$1:$E$99999,3,FALSE)</f>
        <v>ACKERMAN</v>
      </c>
      <c r="O19" s="184" t="s">
        <v>311</v>
      </c>
      <c r="P19" s="160" t="s">
        <v>759</v>
      </c>
      <c r="Q19" s="31"/>
      <c r="R19" s="100" t="str">
        <f>VLOOKUP(C19,'Train Runs'!$A$13:$AE$10018,31,0)</f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S19" s="103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https://search-rtdc-monitor-bjffxe2xuh6vdkpspy63sjmuny.us-east-1.es.amazonaws.com/_plugin/kibana/#/discover/Steve-Slow-Train-Analysis-(2080s-and-2083s)?_g=(refreshInterval:(display:Off,section:0,value:0),time:(from:'2016-10-22 05:18:53-0600',mode:absolute,to:'2016-10-22 07:14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/stypes="*4038*201610221*" /stext=" 12:.+((SYSTEM_STATE.+slice.+state.+changed )|(ment ac)|(system.+state.+changed )|(\[timeout)|(PRM\|1\|D)|(kpr)|(kdp)|(\|lc)|(penalty))" /e /r /s</v>
      </c>
      <c r="U19" s="9" t="str">
        <f t="shared" si="2"/>
        <v>4038</v>
      </c>
      <c r="V19" s="36">
        <f t="shared" si="3"/>
        <v>42665.510150462964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{"issue":{"subject":"Premature downgrade at EC0629XH 57-1T 1N","project_id":79,"tracker_id":40,"status_id":1,"priority_id":2,"assigned_to_id":23,"start_date":"2016-10-22","description":"","custom_fields":[{"id":1,"name":"Subdivision","value":"EC"},{"id":4,"name":"Milepost","value":"6.3995"},{"id":17,"name":"Train ID","value":"119-22"},{"id":16,"name":"Locomotive ID","value":"4038"},{"id":130,"name":"Impact","value":""},{"id":150,"name":"Time of Event (Mountain Time)","value":"06:14:37"},{"id":151,"name":"Denver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"%USERPROFILE%\AppData\Local\Temp\OnboardLogs"\RTDC4038\*4038*201610221* | grep -SE "((Enforcement Ac)|(PRM))" -</v>
      </c>
    </row>
    <row r="20" spans="1:30" x14ac:dyDescent="0.25">
      <c r="A20" s="36">
        <v>42665.344340277778</v>
      </c>
      <c r="B20" s="31" t="s">
        <v>273</v>
      </c>
      <c r="C20" s="31" t="s">
        <v>416</v>
      </c>
      <c r="D20" s="31" t="s">
        <v>49</v>
      </c>
      <c r="E20" s="31" t="s">
        <v>245</v>
      </c>
      <c r="F20" s="47">
        <v>0</v>
      </c>
      <c r="G20" s="47">
        <v>664</v>
      </c>
      <c r="H20" s="47">
        <v>196829</v>
      </c>
      <c r="I20" s="47">
        <v>194179</v>
      </c>
      <c r="J20" s="31" t="s">
        <v>246</v>
      </c>
      <c r="K20" s="47">
        <v>191723</v>
      </c>
      <c r="L20" s="157" t="s">
        <v>51</v>
      </c>
      <c r="M20" s="158">
        <f t="shared" si="0"/>
        <v>1296.768</v>
      </c>
      <c r="N20" s="159" t="str">
        <f>VLOOKUP(C20,'Trips&amp;Operators'!$C$1:$E$99999,3,FALSE)</f>
        <v>STRICKLAND</v>
      </c>
      <c r="O20" s="184" t="s">
        <v>241</v>
      </c>
      <c r="P20" s="160" t="s">
        <v>765</v>
      </c>
      <c r="Q20" s="31"/>
      <c r="R20" s="100" t="str">
        <f>VLOOKUP(C20,'Train Runs'!$A$13:$AE$10018,31,0)</f>
        <v>aws s3 cp s3://rtdc.mdm.uploadarchive.raw/RTDC4054/ "%USERPROFILE%\AppData\Local\Temp\OnboardLogs"\RTDC4054\2016-10-22 --exclude "*" --recursive --include "*20161022*" &amp; "%USERPROFILE%\Documents\GitHub\mrs-test-scripts\Headless Mode &amp; Sideloading\WalkAndUnGZ.bat" "%USERPROFILE%\AppData\Local\Temp\OnboardLogs"\RTDC4054\2016-10-22 &amp; aws s3 cp s3://rtdc.mdm.uploadarchive.raw/RTDC4054/ "%USERPROFILE%\AppData\Local\Temp\OnboardLogs"\RTDC4054\2016-10-23 --exclude "*" --recursive --include "*20161023*" &amp; "%USERPROFILE%\Documents\GitHub\mrs-test-scripts\Headless Mode &amp; Sideloading\WalkAndUnGZ.bat" "%USERPROFILE%\AppData\Local\Temp\OnboardLogs"\RTDC4054\2016-10-23</v>
      </c>
      <c r="S20" s="103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https://search-rtdc-monitor-bjffxe2xuh6vdkpspy63sjmuny.us-east-1.es.amazonaws.com/_plugin/kibana/#/discover/Steve-Slow-Train-Analysis-(2080s-and-2083s)?_g=(refreshInterval:(display:Off,section:0,value:0),time:(from:'2016-10-22 07:05:20-0600',mode:absolute,to:'2016-10-22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0" s="105" t="str">
        <f t="shared" si="1"/>
        <v>"C:\Program Files (x86)\AstroGrep\AstroGrep.exe" /spath="%USERPROFILE%\AppData\Local\Temp\OnboardLogs" /stypes="*4054*201610221*" /stext=" 14:.+((SYSTEM_STATE.+slice.+state.+changed )|(ment ac)|(system.+state.+changed )|(\[timeout)|(PRM\|1\|D)|(kpr)|(kdp)|(\|lc)|(penalty))" /e /r /s</v>
      </c>
      <c r="U20" s="9" t="str">
        <f t="shared" si="2"/>
        <v>4054</v>
      </c>
      <c r="V20" s="36">
        <f t="shared" si="3"/>
        <v>42665.594340277778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{"issue":{"subject":"Pena 4S STOP, cleared afterward","project_id":79,"tracker_id":40,"status_id":1,"priority_id":2,"assigned_to_id":23,"start_date":"2016-10-22","description":"","custom_fields":[{"id":1,"name":"Subdivision","value":"EC"},{"id":4,"name":"Milepost","value":"19.1723"},{"id":17,"name":"Train ID","value":"130-22"},{"id":16,"name":"Locomotive ID","value":"4054"},{"id":130,"name":"Impact","value":""},{"id":150,"name":"Time of Event (Mountain Time)","value":"08:15:51"},{"id":151,"name":"Denver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"%USERPROFILE%\AppData\Local\Temp\OnboardLogs"\RTDC4054\*4054*201610221* | grep -SE "((Enforcement Ac)|(PRM))" -</v>
      </c>
      <c r="AD20" s="1"/>
    </row>
    <row r="21" spans="1:30" s="1" customFormat="1" x14ac:dyDescent="0.25">
      <c r="A21" s="36">
        <v>42665.448634259257</v>
      </c>
      <c r="B21" s="31" t="s">
        <v>254</v>
      </c>
      <c r="C21" s="31" t="s">
        <v>423</v>
      </c>
      <c r="D21" s="31" t="s">
        <v>49</v>
      </c>
      <c r="E21" s="31" t="s">
        <v>245</v>
      </c>
      <c r="F21" s="47">
        <v>0</v>
      </c>
      <c r="G21" s="47">
        <v>615</v>
      </c>
      <c r="H21" s="47">
        <v>196051</v>
      </c>
      <c r="I21" s="47">
        <v>193774</v>
      </c>
      <c r="J21" s="31" t="s">
        <v>246</v>
      </c>
      <c r="K21" s="47">
        <v>191723</v>
      </c>
      <c r="L21" s="157" t="s">
        <v>51</v>
      </c>
      <c r="M21" s="158">
        <f t="shared" si="0"/>
        <v>1082.9280000000001</v>
      </c>
      <c r="N21" s="159" t="str">
        <f>VLOOKUP(C21,'Trips&amp;Operators'!$C$1:$E$99999,3,FALSE)</f>
        <v>DAVIS</v>
      </c>
      <c r="O21" s="184" t="s">
        <v>241</v>
      </c>
      <c r="P21" s="160" t="s">
        <v>765</v>
      </c>
      <c r="Q21" s="31"/>
      <c r="R21" s="100" t="str">
        <f>VLOOKUP(C21,'Train Runs'!$A$13:$AE$10018,31,0)</f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S21" s="103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https://search-rtdc-monitor-bjffxe2xuh6vdkpspy63sjmuny.us-east-1.es.amazonaws.com/_plugin/kibana/#/discover/Steve-Slow-Train-Analysis-(2080s-and-2083s)?_g=(refreshInterval:(display:Off,section:0,value:0),time:(from:'2016-10-22 09:34:56-0600',mode:absolute,to:'2016-10-22 12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/stypes="*4041*201610221*" /stext=" 16:.+((SYSTEM_STATE.+slice.+state.+changed )|(ment ac)|(system.+state.+changed )|(\[timeout)|(PRM\|1\|D)|(kpr)|(kdp)|(\|lc)|(penalty))" /e /r /s</v>
      </c>
      <c r="U21" s="9" t="str">
        <f t="shared" si="2"/>
        <v>4041</v>
      </c>
      <c r="V21" s="36">
        <f t="shared" si="3"/>
        <v>42665.698634259257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{"issue":{"subject":"Pena 4S STOP, cleared afterward","project_id":79,"tracker_id":40,"status_id":1,"priority_id":2,"assigned_to_id":23,"start_date":"2016-10-22","description":"","custom_fields":[{"id":1,"name":"Subdivision","value":"EC"},{"id":4,"name":"Milepost","value":"19.1723"},{"id":17,"name":"Train ID","value":"150-22"},{"id":16,"name":"Locomotive ID","value":"4041"},{"id":130,"name":"Impact","value":""},{"id":150,"name":"Time of Event (Mountain Time)","value":"10:46:02"},{"id":151,"name":"Denver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"%USERPROFILE%\AppData\Local\Temp\OnboardLogs"\RTDC4041\*4041*201610221* | grep -SE "((Enforcement Ac)|(PRM))" -</v>
      </c>
    </row>
    <row r="22" spans="1:30" x14ac:dyDescent="0.25">
      <c r="A22" s="36">
        <v>42665.959687499999</v>
      </c>
      <c r="B22" s="31" t="s">
        <v>326</v>
      </c>
      <c r="C22" s="31" t="s">
        <v>446</v>
      </c>
      <c r="D22" s="31" t="s">
        <v>49</v>
      </c>
      <c r="E22" s="31" t="s">
        <v>245</v>
      </c>
      <c r="F22" s="47">
        <v>0</v>
      </c>
      <c r="G22" s="47">
        <v>571</v>
      </c>
      <c r="H22" s="47">
        <v>195113</v>
      </c>
      <c r="I22" s="47">
        <v>193138</v>
      </c>
      <c r="J22" s="31" t="s">
        <v>246</v>
      </c>
      <c r="K22" s="47">
        <v>191723</v>
      </c>
      <c r="L22" s="157" t="s">
        <v>51</v>
      </c>
      <c r="M22" s="158">
        <f t="shared" si="0"/>
        <v>747.12</v>
      </c>
      <c r="N22" s="159" t="str">
        <f>VLOOKUP(C22,'Trips&amp;Operators'!$C$1:$E$99999,3,FALSE)</f>
        <v>CHANDLER</v>
      </c>
      <c r="O22" s="184" t="s">
        <v>241</v>
      </c>
      <c r="P22" s="160" t="s">
        <v>765</v>
      </c>
      <c r="Q22" s="31"/>
      <c r="R22" s="100" t="str">
        <f>VLOOKUP(C22,'Train Runs'!$A$13:$AE$10018,31,0)</f>
        <v>aws s3 cp s3://rtdc.mdm.uploadarchive.raw/RTDC4037/ "%USERPROFILE%\AppData\Local\Temp\OnboardLogs"\RTDC4037\2016-10-22 --exclude "*" --recursive --include "*20161022*" &amp; "%USERPROFILE%\Documents\GitHub\mrs-test-scripts\Headless Mode &amp; Sideloading\WalkAndUnGZ.bat" "%USERPROFILE%\AppData\Local\Temp\OnboardLogs"\RTDC4037\2016-10-22 &amp; aws s3 cp s3://rtdc.mdm.uploadarchive.raw/RTDC4037/ "%USERPROFILE%\AppData\Local\Temp\OnboardLogs"\RTDC4037\2016-10-23 --exclude "*" --recursive --include "*20161023*" &amp; "%USERPROFILE%\Documents\GitHub\mrs-test-scripts\Headless Mode &amp; Sideloading\WalkAndUnGZ.bat" "%USERPROFILE%\AppData\Local\Temp\OnboardLogs"\RTDC4037\2016-10-23</v>
      </c>
      <c r="S22" s="103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https://search-rtdc-monitor-bjffxe2xuh6vdkpspy63sjmuny.us-east-1.es.amazonaws.com/_plugin/kibana/#/discover/Steve-Slow-Train-Analysis-(2080s-and-2083s)?_g=(refreshInterval:(display:Off,section:0,value:0),time:(from:'2016-10-22 21:54:39-0600',mode:absolute,to:'2016-10-23 00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2" s="105" t="str">
        <f t="shared" si="1"/>
        <v>"C:\Program Files (x86)\AstroGrep\AstroGrep.exe" /spath="%USERPROFILE%\AppData\Local\Temp\OnboardLogs" /stypes="*4037*201610230*" /stext=" 05:.+((SYSTEM_STATE.+slice.+state.+changed )|(ment ac)|(system.+state.+changed )|(\[timeout)|(PRM\|1\|D)|(kpr)|(kdp)|(\|lc)|(penalty))" /e /r /s</v>
      </c>
      <c r="U22" s="9" t="str">
        <f t="shared" si="2"/>
        <v>4037</v>
      </c>
      <c r="V22" s="36">
        <f t="shared" si="3"/>
        <v>42666.209687499999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{"issue":{"subject":"Pena 4S STOP, cleared afterward","project_id":79,"tracker_id":40,"status_id":1,"priority_id":2,"assigned_to_id":23,"start_date":"2016-10-22","description":"","custom_fields":[{"id":1,"name":"Subdivision","value":"EC"},{"id":4,"name":"Milepost","value":"19.1723"},{"id":17,"name":"Train ID","value":"234-22"},{"id":16,"name":"Locomotive ID","value":"4037"},{"id":130,"name":"Impact","value":""},{"id":150,"name":"Time of Event (Mountain Time)","value":"23:01:57"},{"id":151,"name":"Denver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"%USERPROFILE%\AppData\Local\Temp\OnboardLogs"\RTDC4037\*4037*201610230* | grep -SE "((Enforcement Ac)|(PRM))" -</v>
      </c>
      <c r="AD22" s="1"/>
    </row>
    <row r="23" spans="1:30" x14ac:dyDescent="0.25">
      <c r="A23" s="36">
        <v>42665.243587962963</v>
      </c>
      <c r="B23" s="31" t="s">
        <v>244</v>
      </c>
      <c r="C23" s="31" t="s">
        <v>411</v>
      </c>
      <c r="D23" s="31" t="s">
        <v>49</v>
      </c>
      <c r="E23" s="31" t="s">
        <v>247</v>
      </c>
      <c r="F23" s="47">
        <v>0</v>
      </c>
      <c r="G23" s="47">
        <v>39</v>
      </c>
      <c r="H23" s="47">
        <v>129</v>
      </c>
      <c r="I23" s="47">
        <v>110</v>
      </c>
      <c r="J23" s="31" t="s">
        <v>248</v>
      </c>
      <c r="K23" s="47">
        <v>1</v>
      </c>
      <c r="L23" s="157" t="s">
        <v>51</v>
      </c>
      <c r="M23" s="158">
        <f t="shared" si="0"/>
        <v>57.552</v>
      </c>
      <c r="N23" s="159" t="str">
        <f>VLOOKUP(C23,'Trips&amp;Operators'!$C$1:$E$99999,3,FALSE)</f>
        <v>ACKERMAN</v>
      </c>
      <c r="O23" s="184" t="s">
        <v>241</v>
      </c>
      <c r="P23" s="160"/>
      <c r="Q23" s="31"/>
      <c r="R23" s="100" t="str">
        <f>VLOOKUP(C23,'Train Runs'!$A$13:$AE$10018,31,0)</f>
        <v>aws s3 cp s3://rtdc.mdm.uploadarchive.raw/RTDC4017/ "%USERPROFILE%\AppData\Local\Temp\OnboardLogs"\RTDC4017\2016-10-22 --exclude "*" --recursive --include "*20161022*" &amp; "%USERPROFILE%\Documents\GitHub\mrs-test-scripts\Headless Mode &amp; Sideloading\WalkAndUnGZ.bat" "%USERPROFILE%\AppData\Local\Temp\OnboardLogs"\RTDC4017\2016-10-22 &amp; 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</v>
      </c>
      <c r="S23" s="103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https://search-rtdc-monitor-bjffxe2xuh6vdkpspy63sjmuny.us-east-1.es.amazonaws.com/_plugin/kibana/#/discover/Steve-Slow-Train-Analysis-(2080s-and-2083s)?_g=(refreshInterval:(display:Off,section:0,value:0),time:(from:'2016-10-22 04:01:34-0600',mode:absolute,to:'2016-10-22 06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5" t="str">
        <f t="shared" si="1"/>
        <v>"C:\Program Files (x86)\AstroGrep\AstroGrep.exe" /spath="%USERPROFILE%\AppData\Local\Temp\OnboardLogs" /stypes="*4017*201610221*" /stext=" 11:.+((SYSTEM_STATE.+slice.+state.+changed )|(ment ac)|(system.+state.+changed )|(\[timeout)|(PRM\|1\|D)|(kpr)|(kdp)|(\|lc)|(penalty))" /e /r /s</v>
      </c>
      <c r="U23" s="9" t="str">
        <f t="shared" si="2"/>
        <v>4017</v>
      </c>
      <c r="V23" s="36">
        <f t="shared" si="3"/>
        <v>42665.493587962963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{"issue":{"subject":"","project_id":79,"tracker_id":40,"status_id":1,"priority_id":2,"assigned_to_id":23,"start_date":"2016-10-22","description":"","custom_fields":[{"id":1,"name":"Subdivision","value":"EC"},{"id":4,"name":"Milepost","value":"0.0001"},{"id":17,"name":"Train ID","value":"106-22"},{"id":16,"name":"Locomotive ID","value":"4017"},{"id":130,"name":"Impact","value":""},{"id":150,"name":"Time of Event (Mountain Time)","value":"05:50:46"},{"id":151,"name":"Denver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"%USERPROFILE%\AppData\Local\Temp\OnboardLogs"\RTDC4017\*4017*201610221* | grep -SE "((Enforcement Ac)|(PRM))" -</v>
      </c>
      <c r="AD23" s="1"/>
    </row>
    <row r="24" spans="1:30" x14ac:dyDescent="0.25">
      <c r="A24" s="36">
        <v>42665.347881944443</v>
      </c>
      <c r="B24" s="31" t="s">
        <v>261</v>
      </c>
      <c r="C24" s="31" t="s">
        <v>417</v>
      </c>
      <c r="D24" s="31" t="s">
        <v>49</v>
      </c>
      <c r="E24" s="31" t="s">
        <v>247</v>
      </c>
      <c r="F24" s="47">
        <v>0</v>
      </c>
      <c r="G24" s="47">
        <v>38</v>
      </c>
      <c r="H24" s="47">
        <v>134</v>
      </c>
      <c r="I24" s="47">
        <v>112</v>
      </c>
      <c r="J24" s="31" t="s">
        <v>248</v>
      </c>
      <c r="K24" s="47">
        <v>1</v>
      </c>
      <c r="L24" s="157" t="s">
        <v>51</v>
      </c>
      <c r="M24" s="158">
        <f t="shared" si="0"/>
        <v>58.607999999999997</v>
      </c>
      <c r="N24" s="159" t="str">
        <f>VLOOKUP(C24,'Trips&amp;Operators'!$C$1:$E$99999,3,FALSE)</f>
        <v>GEBRETEKLE</v>
      </c>
      <c r="O24" s="184" t="s">
        <v>241</v>
      </c>
      <c r="P24" s="160"/>
      <c r="Q24" s="31"/>
      <c r="R24" s="100" t="str">
        <f>VLOOKUP(C24,'Train Runs'!$A$13:$AE$10018,31,0)</f>
        <v>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 &amp; aws s3 cp s3://rtdc.mdm.uploadarchive.raw/RTDC4012/ "%USERPROFILE%\AppData\Local\Temp\OnboardLogs"\RTDC4012\2016-10-23 --exclude "*" --recursive --include "*20161023*" &amp; "%USERPROFILE%\Documents\GitHub\mrs-test-scripts\Headless Mode &amp; Sideloading\WalkAndUnGZ.bat" "%USERPROFILE%\AppData\Local\Temp\OnboardLogs"\RTDC4012\2016-10-23</v>
      </c>
      <c r="S24" s="103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https://search-rtdc-monitor-bjffxe2xuh6vdkpspy63sjmuny.us-east-1.es.amazonaws.com/_plugin/kibana/#/discover/Steve-Slow-Train-Analysis-(2080s-and-2083s)?_g=(refreshInterval:(display:Off,section:0,value:0),time:(from:'2016-10-22 06:33:21-0600',mode:absolute,to:'2016-10-22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/stypes="*4012*201610221*" /stext=" 14:.+((SYSTEM_STATE.+slice.+state.+changed )|(ment ac)|(system.+state.+changed )|(\[timeout)|(PRM\|1\|D)|(kpr)|(kdp)|(\|lc)|(penalty))" /e /r /s</v>
      </c>
      <c r="U24" s="9" t="str">
        <f t="shared" si="2"/>
        <v>4012</v>
      </c>
      <c r="V24" s="36">
        <f t="shared" si="3"/>
        <v>42665.597881944443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{"issue":{"subject":"","project_id":79,"tracker_id":40,"status_id":1,"priority_id":2,"assigned_to_id":23,"start_date":"2016-10-22","description":"","custom_fields":[{"id":1,"name":"Subdivision","value":"EC"},{"id":4,"name":"Milepost","value":"0.0001"},{"id":17,"name":"Train ID","value":"126-22"},{"id":16,"name":"Locomotive ID","value":"4012"},{"id":130,"name":"Impact","value":""},{"id":150,"name":"Time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"%USERPROFILE%\AppData\Local\Temp\OnboardLogs"\RTDC4012\*4012*201610221* | grep -SE "((Enforcement Ac)|(PRM))" -</v>
      </c>
      <c r="AD24" s="1"/>
    </row>
    <row r="25" spans="1:30" ht="15" customHeight="1" x14ac:dyDescent="0.25">
      <c r="A25" s="36">
        <v>42665.696145833332</v>
      </c>
      <c r="B25" s="31" t="s">
        <v>254</v>
      </c>
      <c r="C25" s="31" t="s">
        <v>434</v>
      </c>
      <c r="D25" s="31" t="s">
        <v>49</v>
      </c>
      <c r="E25" s="31" t="s">
        <v>247</v>
      </c>
      <c r="F25" s="47">
        <v>0</v>
      </c>
      <c r="G25" s="47">
        <v>69</v>
      </c>
      <c r="H25" s="47">
        <v>243</v>
      </c>
      <c r="I25" s="47">
        <v>170</v>
      </c>
      <c r="J25" s="31" t="s">
        <v>248</v>
      </c>
      <c r="K25" s="47">
        <v>1</v>
      </c>
      <c r="L25" s="157" t="s">
        <v>51</v>
      </c>
      <c r="M25" s="158">
        <f t="shared" si="0"/>
        <v>89.231999999999985</v>
      </c>
      <c r="N25" s="159" t="str">
        <f>VLOOKUP(C25,'Trips&amp;Operators'!$C$1:$E$99999,3,FALSE)</f>
        <v>MOSES</v>
      </c>
      <c r="O25" s="184" t="s">
        <v>241</v>
      </c>
      <c r="P25" s="160"/>
      <c r="Q25" s="31"/>
      <c r="R25" s="100" t="str">
        <f>VLOOKUP(C25,'Train Runs'!$A$13:$AE$10018,31,0)</f>
        <v>aws s3 cp s3://rtdc.mdm.uploadarchive.raw/RTDC4041/ "%USERPROFILE%\AppData\Local\Temp\OnboardLogs"\RTDC4041\2016-10-22 --exclude "*" --recursive --include "*20161022*" &amp; "%USERPROFILE%\Documents\GitHub\mrs-test-scripts\Headless Mode &amp; Sideloading\WalkAndUnGZ.bat" "%USERPROFILE%\AppData\Local\Temp\OnboardLogs"\RTDC4041\2016-10-22 &amp; 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</v>
      </c>
      <c r="S25" s="103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https://search-rtdc-monitor-bjffxe2xuh6vdkpspy63sjmuny.us-east-1.es.amazonaws.com/_plugin/kibana/#/discover/Steve-Slow-Train-Analysis-(2080s-and-2083s)?_g=(refreshInterval:(display:Off,section:0,value:0),time:(from:'2016-10-22 14:50:32-0600',mode:absolute,to:'2016-10-22 17:42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/stypes="*4041*201610222*" /stext=" 22:.+((SYSTEM_STATE.+slice.+state.+changed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42665.946145833332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{"issue":{"subject":"","project_id":79,"tracker_id":40,"status_id":1,"priority_id":2,"assigned_to_id":23,"start_date":"2016-10-22","description":"","custom_fields":[{"id":1,"name":"Subdivision","value":"EC"},{"id":4,"name":"Milepost","value":"0.0001"},{"id":17,"name":"Train ID","value":"192-22"},{"id":16,"name":"Locomotive ID","value":"4041"},{"id":130,"name":"Impact","value":""},{"id":150,"name":"Time of Event (Mountain Time)","value":"16:42:27"},{"id":151,"name":"Denver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"%USERPROFILE%\AppData\Local\Temp\OnboardLogs"\RTDC4041\*4041*201610222* | grep -SE "((Enforcement Ac)|(PRM))" -</v>
      </c>
      <c r="AD25" s="1"/>
    </row>
    <row r="26" spans="1:30" x14ac:dyDescent="0.25">
      <c r="A26" s="36">
        <v>42665.822372685187</v>
      </c>
      <c r="B26" s="31" t="s">
        <v>441</v>
      </c>
      <c r="C26" s="31" t="s">
        <v>442</v>
      </c>
      <c r="D26" s="31" t="s">
        <v>49</v>
      </c>
      <c r="E26" s="31" t="s">
        <v>247</v>
      </c>
      <c r="F26" s="47">
        <v>0</v>
      </c>
      <c r="G26" s="47">
        <v>83</v>
      </c>
      <c r="H26" s="47">
        <v>287</v>
      </c>
      <c r="I26" s="47">
        <v>200</v>
      </c>
      <c r="J26" s="31" t="s">
        <v>248</v>
      </c>
      <c r="K26" s="47">
        <v>1</v>
      </c>
      <c r="L26" s="157" t="s">
        <v>51</v>
      </c>
      <c r="M26" s="158">
        <f t="shared" si="0"/>
        <v>105.072</v>
      </c>
      <c r="N26" s="159" t="str">
        <f>VLOOKUP(C26,'Trips&amp;Operators'!$C$1:$E$99999,3,FALSE)</f>
        <v>STORY</v>
      </c>
      <c r="O26" s="184" t="s">
        <v>241</v>
      </c>
      <c r="P26" s="160"/>
      <c r="Q26" s="31"/>
      <c r="R26" s="100" t="str">
        <f>VLOOKUP(C26,'Train Runs'!$A$13:$AE$10018,31,0)</f>
        <v>aws s3 cp s3://rtdc.mdm.uploadarchive.raw/RTDC4032/ "%USERPROFILE%\AppData\Local\Temp\OnboardLogs"\RTDC4032\2016-10-22 --exclude "*" --recursive --include "*20161022*" &amp; "%USERPROFILE%\Documents\GitHub\mrs-test-scripts\Headless Mode &amp; Sideloading\WalkAndUnGZ.bat" "%USERPROFILE%\AppData\Local\Temp\OnboardLogs"\RTDC4032\2016-10-22 &amp; aws s3 cp s3://rtdc.mdm.uploadarchive.raw/RTDC4032/ "%USERPROFILE%\AppData\Local\Temp\OnboardLogs"\RTDC4032\2016-10-23 --exclude "*" --recursive --include "*20161023*" &amp; "%USERPROFILE%\Documents\GitHub\mrs-test-scripts\Headless Mode &amp; Sideloading\WalkAndUnGZ.bat" "%USERPROFILE%\AppData\Local\Temp\OnboardLogs"\RTDC4032\2016-10-23</v>
      </c>
      <c r="S26" s="103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https://search-rtdc-monitor-bjffxe2xuh6vdkpspy63sjmuny.us-east-1.es.amazonaws.com/_plugin/kibana/#/discover/Steve-Slow-Train-Analysis-(2080s-and-2083s)?_g=(refreshInterval:(display:Off,section:0,value:0),time:(from:'2016-10-22 17:53:52-0600',mode:absolute,to:'2016-10-22 20:44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6" s="105" t="str">
        <f t="shared" si="1"/>
        <v>"C:\Program Files (x86)\AstroGrep\AstroGrep.exe" /spath="%USERPROFILE%\AppData\Local\Temp\OnboardLogs" /stypes="*4032*201610230*" /stext=" 01:.+((SYSTEM_STATE.+slice.+state.+changed )|(ment ac)|(system.+state.+changed )|(\[timeout)|(PRM\|1\|D)|(kpr)|(kdp)|(\|lc)|(penalty))" /e /r /s</v>
      </c>
      <c r="U26" s="9" t="str">
        <f t="shared" si="2"/>
        <v>4032</v>
      </c>
      <c r="V26" s="36">
        <f t="shared" si="3"/>
        <v>42666.072372685187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{"issue":{"subject":"","project_id":79,"tracker_id":40,"status_id":1,"priority_id":2,"assigned_to_id":23,"start_date":"2016-10-22","description":"","custom_fields":[{"id":1,"name":"Subdivision","value":"EC"},{"id":4,"name":"Milepost","value":"0.0001"},{"id":17,"name":"Train ID","value":"216-22"},{"id":16,"name":"Locomotive ID","value":"4032"},{"id":130,"name":"Impact","value":""},{"id":150,"name":"Time of Event (Mountain Time)","value":"19:44:13"},{"id":151,"name":"Denver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"%USERPROFILE%\AppData\Local\Temp\OnboardLogs"\RTDC4032\*4032*201610230* | grep -SE "((Enforcement Ac)|(PRM))" -</v>
      </c>
      <c r="AD26" s="1"/>
    </row>
    <row r="27" spans="1:30" x14ac:dyDescent="0.25">
      <c r="A27" s="36">
        <v>42665.287719907406</v>
      </c>
      <c r="B27" s="31" t="s">
        <v>253</v>
      </c>
      <c r="C27" s="31" t="s">
        <v>413</v>
      </c>
      <c r="D27" s="31" t="s">
        <v>49</v>
      </c>
      <c r="E27" s="31" t="s">
        <v>247</v>
      </c>
      <c r="F27" s="47">
        <v>0</v>
      </c>
      <c r="G27" s="47">
        <v>42</v>
      </c>
      <c r="H27" s="47">
        <v>233230</v>
      </c>
      <c r="I27" s="47">
        <v>233276</v>
      </c>
      <c r="J27" s="31" t="s">
        <v>248</v>
      </c>
      <c r="K27" s="47">
        <v>233491</v>
      </c>
      <c r="L27" s="157" t="s">
        <v>50</v>
      </c>
      <c r="M27" s="158">
        <f t="shared" si="0"/>
        <v>113.52</v>
      </c>
      <c r="N27" s="159" t="str">
        <f>VLOOKUP(C27,'Trips&amp;Operators'!$C$1:$E$99999,3,FALSE)</f>
        <v>DAVIS</v>
      </c>
      <c r="O27" s="184" t="s">
        <v>241</v>
      </c>
      <c r="P27" s="160"/>
      <c r="Q27" s="31"/>
      <c r="R27" s="100" t="str">
        <f>VLOOKUP(C27,'Train Runs'!$A$13:$AE$10018,31,0)</f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S27" s="103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https://search-rtdc-monitor-bjffxe2xuh6vdkpspy63sjmuny.us-east-1.es.amazonaws.com/_plugin/kibana/#/discover/Steve-Slow-Train-Analysis-(2080s-and-2083s)?_g=(refreshInterval:(display:Off,section:0,value:0),time:(from:'2016-10-22 05:10:23-0600',mode:absolute,to:'2016-10-22 07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7" s="105" t="str">
        <f t="shared" si="1"/>
        <v>"C:\Program Files (x86)\AstroGrep\AstroGrep.exe" /spath="%USERPROFILE%\AppData\Local\Temp\OnboardLogs" /stypes="*4042*201610221*" /stext=" 12:.+((SYSTEM_STATE.+slice.+state.+changed )|(ment ac)|(system.+state.+changed )|(\[timeout)|(PRM\|1\|D)|(kpr)|(kdp)|(\|lc)|(penalty))" /e /r /s</v>
      </c>
      <c r="U27" s="9" t="str">
        <f t="shared" si="2"/>
        <v>4042</v>
      </c>
      <c r="V27" s="36">
        <f t="shared" si="3"/>
        <v>42665.537719907406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{"issue":{"subject":"","project_id":79,"tracker_id":40,"status_id":1,"priority_id":2,"assigned_to_id":23,"start_date":"2016-10-22","description":"","custom_fields":[{"id":1,"name":"Subdivision","value":"EC"},{"id":4,"name":"Milepost","value":"23.3491"},{"id":17,"name":"Train ID","value":"121-22"},{"id":16,"name":"Locomotive ID","value":"4042"},{"id":130,"name":"Impact","value":""},{"id":150,"name":"Time of Event (Mountain Time)","value":"06:54:19"},{"id":151,"name":"Denver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"%USERPROFILE%\AppData\Local\Temp\OnboardLogs"\RTDC4042\*4042*201610221* | grep -SE "((Enforcement Ac)|(PRM))" -</v>
      </c>
      <c r="AD27" s="1"/>
    </row>
    <row r="28" spans="1:30" x14ac:dyDescent="0.25">
      <c r="A28" s="36">
        <v>42665.360046296293</v>
      </c>
      <c r="B28" s="31" t="s">
        <v>253</v>
      </c>
      <c r="C28" s="31" t="s">
        <v>418</v>
      </c>
      <c r="D28" s="31" t="s">
        <v>49</v>
      </c>
      <c r="E28" s="31" t="s">
        <v>247</v>
      </c>
      <c r="F28" s="47">
        <v>0</v>
      </c>
      <c r="G28" s="47">
        <v>43</v>
      </c>
      <c r="H28" s="47">
        <v>233280</v>
      </c>
      <c r="I28" s="47">
        <v>233316</v>
      </c>
      <c r="J28" s="31" t="s">
        <v>248</v>
      </c>
      <c r="K28" s="47">
        <v>233491</v>
      </c>
      <c r="L28" s="157" t="s">
        <v>50</v>
      </c>
      <c r="M28" s="158">
        <f t="shared" si="0"/>
        <v>92.4</v>
      </c>
      <c r="N28" s="159" t="str">
        <f>VLOOKUP(C28,'Trips&amp;Operators'!$C$1:$E$99999,3,FALSE)</f>
        <v>DAVIS</v>
      </c>
      <c r="O28" s="184" t="s">
        <v>241</v>
      </c>
      <c r="P28" s="160"/>
      <c r="Q28" s="31"/>
      <c r="R28" s="100" t="str">
        <f>VLOOKUP(C28,'Train Runs'!$A$13:$AE$10018,31,0)</f>
        <v>aws s3 cp s3://rtdc.mdm.uploadarchive.raw/RTDC4042/ "%USERPROFILE%\AppData\Local\Temp\OnboardLogs"\RTDC4042\2016-10-22 --exclude "*" --recursive --include "*20161022*" &amp; "%USERPROFILE%\Documents\GitHub\mrs-test-scripts\Headless Mode &amp; Sideloading\WalkAndUnGZ.bat" "%USERPROFILE%\AppData\Local\Temp\OnboardLogs"\RTDC4042\2016-10-22 &amp; 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</v>
      </c>
      <c r="S28" s="103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https://search-rtdc-monitor-bjffxe2xuh6vdkpspy63sjmuny.us-east-1.es.amazonaws.com/_plugin/kibana/#/discover/Steve-Slow-Train-Analysis-(2080s-and-2083s)?_g=(refreshInterval:(display:Off,section:0,value:0),time:(from:'2016-10-22 06:53:54-0600',mode:absolute,to:'2016-10-22 09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8" s="105" t="str">
        <f t="shared" si="1"/>
        <v>"C:\Program Files (x86)\AstroGrep\AstroGrep.exe" /spath="%USERPROFILE%\AppData\Local\Temp\OnboardLogs" /stypes="*4042*201610221*" /stext=" 14:.+((SYSTEM_STATE.+slice.+state.+changed )|(ment ac)|(system.+state.+changed )|(\[timeout)|(PRM\|1\|D)|(kpr)|(kdp)|(\|lc)|(penalty))" /e /r /s</v>
      </c>
      <c r="U28" s="9" t="str">
        <f t="shared" si="2"/>
        <v>4042</v>
      </c>
      <c r="V28" s="36">
        <f t="shared" si="3"/>
        <v>42665.610046296293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{"issue":{"subject":"","project_id":79,"tracker_id":40,"status_id":1,"priority_id":2,"assigned_to_id":23,"start_date":"2016-10-22","description":"","custom_fields":[{"id":1,"name":"Subdivision","value":"EC"},{"id":4,"name":"Milepost","value":"23.3491"},{"id":17,"name":"Train ID","value":"135-22"},{"id":16,"name":"Locomotive ID","value":"4042"},{"id":130,"name":"Impact","value":""},{"id":150,"name":"Time of Event (Mountain Time)","value":"08:38:28"},{"id":151,"name":"Denver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"%USERPROFILE%\AppData\Local\Temp\OnboardLogs"\RTDC4042\*4042*201610221* | grep -SE "((Enforcement Ac)|(PRM))" -</v>
      </c>
      <c r="AD28" s="1"/>
    </row>
    <row r="29" spans="1:30" x14ac:dyDescent="0.25">
      <c r="A29" s="36">
        <v>42665.713773148149</v>
      </c>
      <c r="B29" s="31" t="s">
        <v>329</v>
      </c>
      <c r="C29" s="31" t="s">
        <v>435</v>
      </c>
      <c r="D29" s="31" t="s">
        <v>49</v>
      </c>
      <c r="E29" s="31" t="s">
        <v>247</v>
      </c>
      <c r="F29" s="47">
        <v>0</v>
      </c>
      <c r="G29" s="47">
        <v>38</v>
      </c>
      <c r="H29" s="47">
        <v>233372</v>
      </c>
      <c r="I29" s="47">
        <v>233412</v>
      </c>
      <c r="J29" s="31" t="s">
        <v>248</v>
      </c>
      <c r="K29" s="47">
        <v>233491</v>
      </c>
      <c r="L29" s="157" t="s">
        <v>50</v>
      </c>
      <c r="M29" s="158">
        <f t="shared" si="0"/>
        <v>41.712000000000003</v>
      </c>
      <c r="N29" s="159" t="str">
        <f>VLOOKUP(C29,'Trips&amp;Operators'!$C$1:$E$99999,3,FALSE)</f>
        <v>BARTLETT</v>
      </c>
      <c r="O29" s="184" t="s">
        <v>241</v>
      </c>
      <c r="P29" s="160"/>
      <c r="Q29" s="31"/>
      <c r="R29" s="100" t="str">
        <f>VLOOKUP(C29,'Train Runs'!$A$13:$AE$10018,31,0)</f>
        <v>aws s3 cp s3://rtdc.mdm.uploadarchive.raw/RTDC4038/ "%USERPROFILE%\AppData\Local\Temp\OnboardLogs"\RTDC4038\2016-10-22 --exclude "*" --recursive --include "*20161022*" &amp; "%USERPROFILE%\Documents\GitHub\mrs-test-scripts\Headless Mode &amp; Sideloading\WalkAndUnGZ.bat" "%USERPROFILE%\AppData\Local\Temp\OnboardLogs"\RTDC4038\2016-10-22 &amp; aws s3 cp s3://rtdc.mdm.uploadarchive.raw/RTDC4038/ "%USERPROFILE%\AppData\Local\Temp\OnboardLogs"\RTDC4038\2016-10-23 --exclude "*" --recursive --include "*20161023*" &amp; "%USERPROFILE%\Documents\GitHub\mrs-test-scripts\Headless Mode &amp; Sideloading\WalkAndUnGZ.bat" "%USERPROFILE%\AppData\Local\Temp\OnboardLogs"\RTDC4038\2016-10-23</v>
      </c>
      <c r="S29" s="103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https://search-rtdc-monitor-bjffxe2xuh6vdkpspy63sjmuny.us-east-1.es.amazonaws.com/_plugin/kibana/#/discover/Steve-Slow-Train-Analysis-(2080s-and-2083s)?_g=(refreshInterval:(display:Off,section:0,value:0),time:(from:'2016-10-22 15:25:57-0600',mode:absolute,to:'2016-10-22 18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9" s="105" t="str">
        <f t="shared" si="1"/>
        <v>"C:\Program Files (x86)\AstroGrep\AstroGrep.exe" /spath="%USERPROFILE%\AppData\Local\Temp\OnboardLogs" /stypes="*4038*201610222*" /stext=" 23:.+((SYSTEM_STATE.+slice.+state.+changed )|(ment ac)|(system.+state.+changed )|(\[timeout)|(PRM\|1\|D)|(kpr)|(kdp)|(\|lc)|(penalty))" /e /r /s</v>
      </c>
      <c r="U29" s="9" t="str">
        <f t="shared" si="2"/>
        <v>4038</v>
      </c>
      <c r="V29" s="36">
        <f t="shared" si="3"/>
        <v>42665.963773148149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{"issue":{"subject":"","project_id":79,"tracker_id":40,"status_id":1,"priority_id":2,"assigned_to_id":23,"start_date":"2016-10-22","description":"","custom_fields":[{"id":1,"name":"Subdivision","value":"EC"},{"id":4,"name":"Milepost","value":"23.3491"},{"id":17,"name":"Train ID","value":"203-22"},{"id":16,"name":"Locomotive ID","value":"4038"},{"id":130,"name":"Impact","value":""},{"id":150,"name":"Time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"%USERPROFILE%\AppData\Local\Temp\OnboardLogs"\RTDC4038\*4038*201610222* | grep -SE "((Enforcement Ac)|(PRM))" -</v>
      </c>
      <c r="AD29" s="1"/>
    </row>
    <row r="30" spans="1:30" x14ac:dyDescent="0.25">
      <c r="A30" s="36">
        <v>42665.932638888888</v>
      </c>
      <c r="B30" s="31" t="s">
        <v>198</v>
      </c>
      <c r="C30" s="31" t="s">
        <v>445</v>
      </c>
      <c r="D30" s="31" t="s">
        <v>98</v>
      </c>
      <c r="E30" s="31" t="s">
        <v>242</v>
      </c>
      <c r="F30" s="47">
        <v>150</v>
      </c>
      <c r="G30" s="47">
        <v>200</v>
      </c>
      <c r="H30" s="47">
        <v>3530</v>
      </c>
      <c r="I30" s="47">
        <v>3959</v>
      </c>
      <c r="J30" s="31" t="s">
        <v>243</v>
      </c>
      <c r="K30" s="47">
        <v>574</v>
      </c>
      <c r="L30" s="157" t="s">
        <v>50</v>
      </c>
      <c r="M30" s="158">
        <f t="shared" si="0"/>
        <v>-1787.28</v>
      </c>
      <c r="N30" s="159" t="str">
        <f>VLOOKUP(C30,'Trips&amp;Operators'!$C$1:$E$99999,3,FALSE)</f>
        <v>ADANE</v>
      </c>
      <c r="O30" s="184" t="s">
        <v>241</v>
      </c>
      <c r="P30" s="160"/>
      <c r="Q30" s="31"/>
      <c r="R30" s="100" t="str">
        <f>VLOOKUP(C30,'Train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30" s="103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https://search-rtdc-monitor-bjffxe2xuh6vdkpspy63sjmuny.us-east-1.es.amazonaws.com/_plugin/kibana/#/discover/Steve-Slow-Train-Analysis-(2080s-and-2083s)?_g=(refreshInterval:(display:Off,section:0,value:0),time:(from:'2016-10-22 21:11:53-0600',mode:absolute,to:'2016-10-22 23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0" s="105" t="str">
        <f t="shared" si="1"/>
        <v>"C:\Program Files (x86)\AstroGrep\AstroGrep.exe" /spath="%USERPROFILE%\AppData\Local\Temp\OnboardLogs" /stypes="*4046*201610230*" /stext=" 04:.+((SYSTEM_STATE.+slice.+state.+changed )|(ment ac)|(system.+state.+changed )|(\[timeout)|(PRM\|1\|D)|(kpr)|(kdp)|(\|lc)|(penalty))" /e /r /s</v>
      </c>
      <c r="U30" s="9" t="str">
        <f t="shared" si="2"/>
        <v>4046</v>
      </c>
      <c r="V30" s="36">
        <f t="shared" si="3"/>
        <v>42666.182638888888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{"issue":{"subject":"","project_id":79,"tracker_id":40,"status_id":1,"priority_id":2,"assigned_to_id":23,"start_date":"2016-10-22","description":"","custom_fields":[{"id":1,"name":"Subdivision","value":"NW"},{"id":4,"name":"Milepost","value":"0.0574"},{"id":17,"name":"Train ID","value":"1833-22"},{"id":16,"name":"Locomotive ID","value":"4046"},{"id":130,"name":"Impact","value":""},{"id":150,"name":"Time of Event (Mountain Time)","value":"22:23:00"},{"id":151,"name":"Denver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"%USERPROFILE%\AppData\Local\Temp\OnboardLogs"\RTDC4046\*4046*201610230* | grep -SE "((Enforcement Ac)|(PRM))" -</v>
      </c>
      <c r="AD30" s="1"/>
    </row>
    <row r="31" spans="1:30" ht="15" customHeight="1" x14ac:dyDescent="0.25">
      <c r="A31" s="36">
        <v>42665.599826388891</v>
      </c>
      <c r="B31" s="31" t="s">
        <v>198</v>
      </c>
      <c r="C31" s="31" t="s">
        <v>430</v>
      </c>
      <c r="D31" s="31" t="s">
        <v>98</v>
      </c>
      <c r="E31" s="31" t="s">
        <v>242</v>
      </c>
      <c r="F31" s="47">
        <v>200</v>
      </c>
      <c r="G31" s="47">
        <v>255</v>
      </c>
      <c r="H31" s="47">
        <v>6379</v>
      </c>
      <c r="I31" s="47">
        <v>7011</v>
      </c>
      <c r="J31" s="31" t="s">
        <v>243</v>
      </c>
      <c r="K31" s="47">
        <v>5315</v>
      </c>
      <c r="L31" s="157" t="s">
        <v>50</v>
      </c>
      <c r="M31" s="158">
        <f t="shared" si="0"/>
        <v>-895.48800000000006</v>
      </c>
      <c r="N31" s="159" t="str">
        <f>VLOOKUP(C31,'Trips&amp;Operators'!$C$1:$E$99999,3,FALSE)</f>
        <v>ADANE</v>
      </c>
      <c r="O31" s="184" t="s">
        <v>241</v>
      </c>
      <c r="P31" s="160"/>
      <c r="Q31" s="31"/>
      <c r="R31" s="100" t="str">
        <f>VLOOKUP(C31,'Train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31" s="103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https://search-rtdc-monitor-bjffxe2xuh6vdkpspy63sjmuny.us-east-1.es.amazonaws.com/_plugin/kibana/#/discover/Steve-Slow-Train-Analysis-(2080s-and-2083s)?_g=(refreshInterval:(display:Off,section:0,value:0),time:(from:'2016-10-22 13:11:21-0600',mode:absolute,to:'2016-10-22 15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5" t="str">
        <f t="shared" si="1"/>
        <v>"C:\Program Files (x86)\AstroGrep\AstroGrep.exe" /spath="%USERPROFILE%\AppData\Local\Temp\OnboardLogs" /stypes="*4046*201610222*" /stext=" 20:.+((SYSTEM_STATE.+slice.+state.+changed )|(ment ac)|(system.+state.+changed )|(\[timeout)|(PRM\|1\|D)|(kpr)|(kdp)|(\|lc)|(penalty))" /e /r /s</v>
      </c>
      <c r="U31" s="9" t="str">
        <f t="shared" si="2"/>
        <v>4046</v>
      </c>
      <c r="V31" s="36">
        <f t="shared" si="3"/>
        <v>42665.849826388891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{"issue":{"subject":"","project_id":79,"tracker_id":40,"status_id":1,"priority_id":2,"assigned_to_id":23,"start_date":"2016-10-22","description":"","custom_fields":[{"id":1,"name":"Subdivision","value":"NW"},{"id":4,"name":"Milepost","value":"0.5315"},{"id":17,"name":"Train ID","value":"1817-22"},{"id":16,"name":"Locomotive ID","value":"4046"},{"id":130,"name":"Impact","value":""},{"id":150,"name":"Time of Event (Mountain Time)","value":"14:23:45"},{"id":151,"name":"Denver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"%USERPROFILE%\AppData\Local\Temp\OnboardLogs"\RTDC4046\*4046*201610222* | grep -SE "((Enforcement Ac)|(PRM))" -</v>
      </c>
      <c r="AD31" s="1"/>
    </row>
    <row r="32" spans="1:30" x14ac:dyDescent="0.25">
      <c r="A32" s="36">
        <v>42665.39675925926</v>
      </c>
      <c r="B32" s="31" t="s">
        <v>198</v>
      </c>
      <c r="C32" s="31" t="s">
        <v>419</v>
      </c>
      <c r="D32" s="31" t="s">
        <v>49</v>
      </c>
      <c r="E32" s="31" t="s">
        <v>242</v>
      </c>
      <c r="F32" s="47">
        <v>150</v>
      </c>
      <c r="G32" s="47">
        <v>307</v>
      </c>
      <c r="H32" s="47">
        <v>56331</v>
      </c>
      <c r="I32" s="47">
        <v>56910</v>
      </c>
      <c r="J32" s="31" t="s">
        <v>243</v>
      </c>
      <c r="K32" s="47">
        <v>57008</v>
      </c>
      <c r="L32" s="157" t="s">
        <v>50</v>
      </c>
      <c r="M32" s="158">
        <f t="shared" si="0"/>
        <v>51.744</v>
      </c>
      <c r="N32" s="159" t="str">
        <f>VLOOKUP(C32,'Trips&amp;Operators'!$C$1:$E$99999,3,FALSE)</f>
        <v>YORK</v>
      </c>
      <c r="O32" s="184" t="s">
        <v>241</v>
      </c>
      <c r="P32" s="160"/>
      <c r="Q32" s="31"/>
      <c r="R32" s="100" t="str">
        <f>VLOOKUP(C32,'Train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32" s="103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https://search-rtdc-monitor-bjffxe2xuh6vdkpspy63sjmuny.us-east-1.es.amazonaws.com/_plugin/kibana/#/discover/Steve-Slow-Train-Analysis-(2080s-and-2083s)?_g=(refreshInterval:(display:Off,section:0,value:0),time:(from:'2016-10-22 07:55:52-0600',mode:absolute,to:'2016-10-22 10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2" s="105" t="str">
        <f t="shared" si="1"/>
        <v>"C:\Program Files (x86)\AstroGrep\AstroGrep.exe" /spath="%USERPROFILE%\AppData\Local\Temp\OnboardLogs" /stypes="*4046*201610221*" /stext=" 15:.+((SYSTEM_STATE.+slice.+state.+changed )|(ment ac)|(system.+state.+changed )|(\[timeout)|(PRM\|1\|D)|(kpr)|(kdp)|(\|lc)|(penalty))" /e /r /s</v>
      </c>
      <c r="U32" s="9" t="str">
        <f t="shared" si="2"/>
        <v>4046</v>
      </c>
      <c r="V32" s="36">
        <f t="shared" si="3"/>
        <v>42665.64675925926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{"issue":{"subject":"","project_id":79,"tracker_id":40,"status_id":1,"priority_id":2,"assigned_to_id":23,"start_date":"2016-10-22","description":"","custom_fields":[{"id":1,"name":"Subdivision","value":"NW"},{"id":4,"name":"Milepost","value":"5.7008"},{"id":17,"name":"Train ID","value":"1807-22"},{"id":16,"name":"Locomotive ID","value":"4046"},{"id":130,"name":"Impact","value":""},{"id":150,"name":"Time of Event (Mountain Time)","value":"09:31:20"},{"id":151,"name":"Denver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"%USERPROFILE%\AppData\Local\Temp\OnboardLogs"\RTDC4046\*4046*201610221* | grep -SE "((Enforcement Ac)|(PRM))" -</v>
      </c>
      <c r="AD32" s="1"/>
    </row>
    <row r="33" spans="1:30" ht="15" customHeight="1" x14ac:dyDescent="0.25">
      <c r="A33" s="36">
        <v>42665.480243055557</v>
      </c>
      <c r="B33" s="31" t="s">
        <v>198</v>
      </c>
      <c r="C33" s="31" t="s">
        <v>425</v>
      </c>
      <c r="D33" s="31" t="s">
        <v>49</v>
      </c>
      <c r="E33" s="31" t="s">
        <v>242</v>
      </c>
      <c r="F33" s="47">
        <v>150</v>
      </c>
      <c r="G33" s="47">
        <v>382</v>
      </c>
      <c r="H33" s="47">
        <v>55866</v>
      </c>
      <c r="I33" s="47">
        <v>57060</v>
      </c>
      <c r="J33" s="31" t="s">
        <v>243</v>
      </c>
      <c r="K33" s="47">
        <v>57008</v>
      </c>
      <c r="L33" s="157" t="s">
        <v>50</v>
      </c>
      <c r="M33" s="158">
        <f t="shared" si="0"/>
        <v>-27.456</v>
      </c>
      <c r="N33" s="159" t="str">
        <f>VLOOKUP(C33,'Trips&amp;Operators'!$C$1:$E$99999,3,FALSE)</f>
        <v>YORK</v>
      </c>
      <c r="O33" s="184" t="s">
        <v>241</v>
      </c>
      <c r="P33" s="160"/>
      <c r="Q33" s="31"/>
      <c r="R33" s="100" t="str">
        <f>VLOOKUP(C33,'Train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33" s="103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https://search-rtdc-monitor-bjffxe2xuh6vdkpspy63sjmuny.us-east-1.es.amazonaws.com/_plugin/kibana/#/discover/Steve-Slow-Train-Analysis-(2080s-and-2083s)?_g=(refreshInterval:(display:Off,section:0,value:0),time:(from:'2016-10-22 10:18:53-0600',mode:absolute,to:'2016-10-22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/stypes="*4046*201610221*" /stext=" 17:.+((SYSTEM_STATE.+slice.+state.+changed )|(ment ac)|(system.+state.+changed )|(\[timeout)|(PRM\|1\|D)|(kpr)|(kdp)|(\|lc)|(penalty))" /e /r /s</v>
      </c>
      <c r="U33" s="9" t="str">
        <f t="shared" si="2"/>
        <v>4046</v>
      </c>
      <c r="V33" s="36">
        <f t="shared" si="3"/>
        <v>42665.730243055557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{"issue":{"subject":"","project_id":79,"tracker_id":40,"status_id":1,"priority_id":2,"assigned_to_id":23,"start_date":"2016-10-22","description":"","custom_fields":[{"id":1,"name":"Subdivision","value":"NW"},{"id":4,"name":"Milepost","value":"5.7008"},{"id":17,"name":"Train ID","value":"1811-22"},{"id":16,"name":"Locomotive ID","value":"4046"},{"id":130,"name":"Impact","value":""},{"id":150,"name":"Time of Event (Mountain Time)","value":"11:31:33"},{"id":151,"name":"Denver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"%USERPROFILE%\AppData\Local\Temp\OnboardLogs"\RTDC4046\*4046*201610221* | grep -SE "((Enforcement Ac)|(PRM))" -</v>
      </c>
      <c r="AD33" s="1"/>
    </row>
    <row r="34" spans="1:30" x14ac:dyDescent="0.25">
      <c r="A34" s="36">
        <v>42665.86377314815</v>
      </c>
      <c r="B34" s="31" t="s">
        <v>350</v>
      </c>
      <c r="C34" s="31" t="s">
        <v>444</v>
      </c>
      <c r="D34" s="31" t="s">
        <v>98</v>
      </c>
      <c r="E34" s="31" t="s">
        <v>242</v>
      </c>
      <c r="F34" s="47">
        <v>150</v>
      </c>
      <c r="G34" s="47">
        <v>204</v>
      </c>
      <c r="H34" s="47">
        <v>56991</v>
      </c>
      <c r="I34" s="47">
        <v>56502</v>
      </c>
      <c r="J34" s="31" t="s">
        <v>243</v>
      </c>
      <c r="K34" s="47">
        <v>59050</v>
      </c>
      <c r="L34" s="157" t="s">
        <v>51</v>
      </c>
      <c r="M34" s="158">
        <f t="shared" si="0"/>
        <v>-1345.3440000000001</v>
      </c>
      <c r="N34" s="159" t="str">
        <f>VLOOKUP(C34,'Trips&amp;Operators'!$C$1:$E$99999,3,FALSE)</f>
        <v>ADANE</v>
      </c>
      <c r="O34" s="184" t="s">
        <v>241</v>
      </c>
      <c r="P34" s="160"/>
      <c r="Q34" s="31"/>
      <c r="R34" s="100" t="str">
        <f>VLOOKUP(C34,'Train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4" s="103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https://search-rtdc-monitor-bjffxe2xuh6vdkpspy63sjmuny.us-east-1.es.amazonaws.com/_plugin/kibana/#/discover/Steve-Slow-Train-Analysis-(2080s-and-2083s)?_g=(refreshInterval:(display:Off,section:0,value:0),time:(from:'2016-10-22 19:37:03-0600',mode:absolute,to:'2016-10-22 21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4" s="105" t="str">
        <f t="shared" si="1"/>
        <v>"C:\Program Files (x86)\AstroGrep\AstroGrep.exe" /spath="%USERPROFILE%\AppData\Local\Temp\OnboardLogs" /stypes="*4045*201610230*" /stext=" 02:.+((SYSTEM_STATE.+slice.+state.+changed )|(ment ac)|(system.+state.+changed )|(\[timeout)|(PRM\|1\|D)|(kpr)|(kdp)|(\|lc)|(penalty))" /e /r /s</v>
      </c>
      <c r="U34" s="9" t="str">
        <f t="shared" si="2"/>
        <v>4045</v>
      </c>
      <c r="V34" s="36">
        <f t="shared" si="3"/>
        <v>42666.11377314815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{"issue":{"subject":"","project_id":79,"tracker_id":40,"status_id":1,"priority_id":2,"assigned_to_id":23,"start_date":"2016-10-22","description":"","custom_fields":[{"id":1,"name":"Subdivision","value":"NW"},{"id":4,"name":"Milepost","value":"5.905"},{"id":17,"name":"Train ID","value":"1830-22"},{"id":16,"name":"Locomotive ID","value":"4045"},{"id":130,"name":"Impact","value":""},{"id":150,"name":"Time of Event (Mountain Time)","value":"20:43:50"},{"id":151,"name":"Denver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"%USERPROFILE%\AppData\Local\Temp\OnboardLogs"\RTDC4045\*4045*201610230* | grep -SE "((Enforcement Ac)|(PRM))" -</v>
      </c>
      <c r="AD34" s="1"/>
    </row>
    <row r="35" spans="1:30" x14ac:dyDescent="0.25">
      <c r="A35" s="36">
        <v>42665.869988425926</v>
      </c>
      <c r="B35" s="31" t="s">
        <v>350</v>
      </c>
      <c r="C35" s="31" t="s">
        <v>444</v>
      </c>
      <c r="D35" s="31" t="s">
        <v>49</v>
      </c>
      <c r="E35" s="31" t="s">
        <v>245</v>
      </c>
      <c r="F35" s="47">
        <v>0</v>
      </c>
      <c r="G35" s="47">
        <v>305</v>
      </c>
      <c r="H35" s="47">
        <v>7935</v>
      </c>
      <c r="I35" s="47">
        <v>7258</v>
      </c>
      <c r="J35" s="31" t="s">
        <v>246</v>
      </c>
      <c r="K35" s="47">
        <v>6799</v>
      </c>
      <c r="L35" s="157" t="s">
        <v>51</v>
      </c>
      <c r="M35" s="158">
        <f t="shared" si="0"/>
        <v>242.352</v>
      </c>
      <c r="N35" s="159" t="str">
        <f>VLOOKUP(C35,'Trips&amp;Operators'!$C$1:$E$99999,3,FALSE)</f>
        <v>ADANE</v>
      </c>
      <c r="O35" s="184" t="s">
        <v>311</v>
      </c>
      <c r="P35" s="160" t="s">
        <v>767</v>
      </c>
      <c r="Q35" s="31"/>
      <c r="R35" s="100" t="str">
        <f>VLOOKUP(C35,'Train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5" s="103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https://search-rtdc-monitor-bjffxe2xuh6vdkpspy63sjmuny.us-east-1.es.amazonaws.com/_plugin/kibana/#/discover/Steve-Slow-Train-Analysis-(2080s-and-2083s)?_g=(refreshInterval:(display:Off,section:0,value:0),time:(from:'2016-10-22 19:37:03-0600',mode:absolute,to:'2016-10-22 21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5" s="105" t="str">
        <f t="shared" si="1"/>
        <v>"C:\Program Files (x86)\AstroGrep\AstroGrep.exe" /spath="%USERPROFILE%\AppData\Local\Temp\OnboardLogs" /stypes="*4045*201610230*" /stext=" 02:.+((SYSTEM_STATE.+slice.+state.+changed )|(ment ac)|(system.+state.+changed )|(\[timeout)|(PRM\|1\|D)|(kpr)|(kdp)|(\|lc)|(penalty))" /e /r /s</v>
      </c>
      <c r="U35" s="9" t="str">
        <f t="shared" si="2"/>
        <v>4045</v>
      </c>
      <c r="V35" s="36">
        <f t="shared" si="3"/>
        <v>42666.119988425926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{"issue":{"subject":"Wi-MAX outage","project_id":79,"tracker_id":40,"status_id":1,"priority_id":2,"assigned_to_id":23,"start_date":"2016-10-22","description":"http://stevetu21.github.io/eaglep3/load_kml.html?kml=http://rtdc.gmaps-snips.s3.amazonaws.com/88c68e79-6b22-4891-8458-8722e8b0d71a.kml","custom_fields":[{"id":1,"name":"Subdivision","value":"NW"},{"id":4,"name":"Milepost","value":"0.6799"},{"id":17,"name":"Train ID","value":"1830-22"},{"id":16,"name":"Locomotive ID","value":"4045"},{"id":130,"name":"Impact","value":"Enforcement"},{"id":150,"name":"Time of Event (Mountain Time)","value":"20:52:47"},{"id":151,"name":"Denver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5" s="185" t="s">
        <v>769</v>
      </c>
      <c r="AA35" s="53" t="s">
        <v>126</v>
      </c>
      <c r="AB35" s="53" t="s">
        <v>139</v>
      </c>
      <c r="AC35" s="141" t="str">
        <f t="shared" si="7"/>
        <v>grep -hSE -A100 "Enforcement Action" "%USERPROFILE%\AppData\Local\Temp\OnboardLogs"\RTDC4045\*4045*201610230* | grep -SE "((Enforcement Ac)|(PRM))" -</v>
      </c>
      <c r="AD35" s="1"/>
    </row>
    <row r="36" spans="1:30" x14ac:dyDescent="0.25">
      <c r="A36" s="36">
        <v>42665.528090277781</v>
      </c>
      <c r="B36" s="31" t="s">
        <v>350</v>
      </c>
      <c r="C36" s="31" t="s">
        <v>426</v>
      </c>
      <c r="D36" s="31" t="s">
        <v>98</v>
      </c>
      <c r="E36" s="31" t="s">
        <v>245</v>
      </c>
      <c r="F36" s="47">
        <v>0</v>
      </c>
      <c r="G36" s="47">
        <v>62</v>
      </c>
      <c r="H36" s="47">
        <v>58355</v>
      </c>
      <c r="I36" s="47">
        <v>58273</v>
      </c>
      <c r="J36" s="31" t="s">
        <v>246</v>
      </c>
      <c r="K36" s="47">
        <v>58472</v>
      </c>
      <c r="L36" s="157" t="s">
        <v>51</v>
      </c>
      <c r="M36" s="158">
        <f t="shared" si="0"/>
        <v>-105.072</v>
      </c>
      <c r="N36" s="159" t="str">
        <f>VLOOKUP(C36,'Trips&amp;Operators'!$C$1:$E$99999,3,FALSE)</f>
        <v>YORK</v>
      </c>
      <c r="O36" s="184" t="s">
        <v>311</v>
      </c>
      <c r="P36" s="160" t="s">
        <v>767</v>
      </c>
      <c r="Q36" s="31"/>
      <c r="R36" s="100" t="str">
        <f>VLOOKUP(C36,'Train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6" s="103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https://search-rtdc-monitor-bjffxe2xuh6vdkpspy63sjmuny.us-east-1.es.amazonaws.com/_plugin/kibana/#/discover/Steve-Slow-Train-Analysis-(2080s-and-2083s)?_g=(refreshInterval:(display:Off,section:0,value:0),time:(from:'2016-10-22 11:41:45-0600',mode:absolute,to:'2016-10-22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6" s="105" t="str">
        <f t="shared" si="1"/>
        <v>"C:\Program Files (x86)\AstroGrep\AstroGrep.exe" /spath="%USERPROFILE%\AppData\Local\Temp\OnboardLogs" /stypes="*4045*201610221*" /stext=" 18:.+((SYSTEM_STATE.+slice.+state.+changed )|(ment ac)|(system.+state.+changed )|(\[timeout)|(PRM\|1\|D)|(kpr)|(kdp)|(\|lc)|(penalty))" /e /r /s</v>
      </c>
      <c r="U36" s="9" t="str">
        <f t="shared" si="2"/>
        <v>4045</v>
      </c>
      <c r="V36" s="36">
        <f t="shared" si="3"/>
        <v>42665.778090277781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{"issue":{"subject":"Wi-MAX outage","project_id":79,"tracker_id":40,"status_id":1,"priority_id":2,"assigned_to_id":23,"start_date":"2016-10-22","description":"http://stevetu21.github.io/eaglep3/load_kml.html?kml=http://rtdc.gmaps-snips.s3.amazonaws.com/73fdcd7f-13fb-4979-b3c7-acdc25880ef2.kml","custom_fields":[{"id":1,"name":"Subdivision","value":"NW"},{"id":4,"name":"Milepost","value":"5.8472"},{"id":17,"name":"Train ID","value":"1814-22"},{"id":16,"name":"Locomotive ID","value":"4045"},{"id":130,"name":"Impact","value":"Enforcement"},{"id":150,"name":"Time of Event (Mountain Time)","value":"12:40:27"},{"id":151,"name":"Denver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6" s="185" t="s">
        <v>770</v>
      </c>
      <c r="AA36" s="53" t="s">
        <v>126</v>
      </c>
      <c r="AB36" s="53" t="s">
        <v>139</v>
      </c>
      <c r="AC36" s="141" t="str">
        <f t="shared" si="7"/>
        <v>grep -hSE -A100 "Enforcement Action" "%USERPROFILE%\AppData\Local\Temp\OnboardLogs"\RTDC4045\*4045*201610221* | grep -SE "((Enforcement Ac)|(PRM))" -</v>
      </c>
      <c r="AD36" s="1"/>
    </row>
    <row r="37" spans="1:30" ht="15" customHeight="1" x14ac:dyDescent="0.25">
      <c r="A37" s="36">
        <v>42665.536111111112</v>
      </c>
      <c r="B37" s="31" t="s">
        <v>350</v>
      </c>
      <c r="C37" s="31" t="s">
        <v>426</v>
      </c>
      <c r="D37" s="31" t="s">
        <v>49</v>
      </c>
      <c r="E37" s="31" t="s">
        <v>427</v>
      </c>
      <c r="F37" s="47">
        <v>100</v>
      </c>
      <c r="G37" s="47">
        <v>395</v>
      </c>
      <c r="H37" s="47">
        <v>13187</v>
      </c>
      <c r="I37" s="47">
        <v>12084</v>
      </c>
      <c r="J37" s="31" t="s">
        <v>154</v>
      </c>
      <c r="K37" s="47">
        <v>11000</v>
      </c>
      <c r="L37" s="157" t="s">
        <v>51</v>
      </c>
      <c r="M37" s="158">
        <f t="shared" si="0"/>
        <v>572.35199999999998</v>
      </c>
      <c r="N37" s="159" t="str">
        <f>VLOOKUP(C37,'Trips&amp;Operators'!$C$1:$E$99999,3,FALSE)</f>
        <v>YORK</v>
      </c>
      <c r="O37" s="184" t="s">
        <v>241</v>
      </c>
      <c r="P37" s="160"/>
      <c r="Q37" s="31"/>
      <c r="R37" s="100" t="str">
        <f>VLOOKUP(C37,'Train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7" s="103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https://search-rtdc-monitor-bjffxe2xuh6vdkpspy63sjmuny.us-east-1.es.amazonaws.com/_plugin/kibana/#/discover/Steve-Slow-Train-Analysis-(2080s-and-2083s)?_g=(refreshInterval:(display:Off,section:0,value:0),time:(from:'2016-10-22 11:41:45-0600',mode:absolute,to:'2016-10-22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 t="shared" si="1"/>
        <v>"C:\Program Files (x86)\AstroGrep\AstroGrep.exe" /spath="%USERPROFILE%\AppData\Local\Temp\OnboardLogs" /stypes="*4045*201610221*" /stext=" 18:.+((SYSTEM_STATE.+slice.+state.+changed )|(ment ac)|(system.+state.+changed )|(\[timeout)|(PRM\|1\|D)|(kpr)|(kdp)|(\|lc)|(penalty))" /e /r /s</v>
      </c>
      <c r="U37" s="9" t="str">
        <f t="shared" si="2"/>
        <v>4045</v>
      </c>
      <c r="V37" s="36">
        <f t="shared" si="3"/>
        <v>42665.786111111112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{"issue":{"subject":"","project_id":79,"tracker_id":40,"status_id":1,"priority_id":2,"assigned_to_id":23,"start_date":"2016-10-22","description":"","custom_fields":[{"id":1,"name":"Subdivision","value":"NW"},{"id":4,"name":"Milepost","value":"1.1"},{"id":17,"name":"Train ID","value":"1814-22"},{"id":16,"name":"Locomotive ID","value":"4045"},{"id":130,"name":"Impact","value":""},{"id":150,"name":"Time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"%USERPROFILE%\AppData\Local\Temp\OnboardLogs"\RTDC4045\*4045*201610221* | grep -SE "((Enforcement Ac)|(PRM))" -</v>
      </c>
      <c r="AD37" s="1"/>
    </row>
    <row r="38" spans="1:30" x14ac:dyDescent="0.25">
      <c r="A38" s="36">
        <v>42665.412418981483</v>
      </c>
      <c r="B38" s="31" t="s">
        <v>350</v>
      </c>
      <c r="C38" s="31" t="s">
        <v>421</v>
      </c>
      <c r="D38" s="31" t="s">
        <v>49</v>
      </c>
      <c r="E38" s="31" t="s">
        <v>247</v>
      </c>
      <c r="F38" s="47">
        <v>0</v>
      </c>
      <c r="G38" s="47">
        <v>120</v>
      </c>
      <c r="H38" s="47">
        <v>1111</v>
      </c>
      <c r="I38" s="47">
        <v>971</v>
      </c>
      <c r="J38" s="31" t="s">
        <v>248</v>
      </c>
      <c r="K38" s="47">
        <v>575</v>
      </c>
      <c r="L38" s="157" t="s">
        <v>51</v>
      </c>
      <c r="M38" s="158">
        <f t="shared" si="0"/>
        <v>209.08799999999999</v>
      </c>
      <c r="N38" s="159" t="str">
        <f>VLOOKUP(C38,'Trips&amp;Operators'!$C$1:$E$99999,3,FALSE)</f>
        <v>YORK</v>
      </c>
      <c r="O38" s="184" t="s">
        <v>241</v>
      </c>
      <c r="P38" s="160"/>
      <c r="Q38" s="31"/>
      <c r="R38" s="100" t="str">
        <f>VLOOKUP(C38,'Train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8" s="103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https://search-rtdc-monitor-bjffxe2xuh6vdkpspy63sjmuny.us-east-1.es.amazonaws.com/_plugin/kibana/#/discover/Steve-Slow-Train-Analysis-(2080s-and-2083s)?_g=(refreshInterval:(display:Off,section:0,value:0),time:(from:'2016-10-22 08:35:52-0600',mode:absolute,to:'2016-10-22 10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8" s="105" t="str">
        <f t="shared" si="1"/>
        <v>"C:\Program Files (x86)\AstroGrep\AstroGrep.exe" /spath="%USERPROFILE%\AppData\Local\Temp\OnboardLogs" /stypes="*4045*201610221*" /stext=" 15:.+((SYSTEM_STATE.+slice.+state.+changed )|(ment ac)|(system.+state.+changed )|(\[timeout)|(PRM\|1\|D)|(kpr)|(kdp)|(\|lc)|(penalty))" /e /r /s</v>
      </c>
      <c r="U38" s="9" t="str">
        <f t="shared" si="2"/>
        <v>4045</v>
      </c>
      <c r="V38" s="36">
        <f t="shared" si="3"/>
        <v>42665.662418981483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ID","value":"1808-22"},{"id":16,"name":"Locomotive ID","value":"4045"},{"id":130,"name":"Impact","value":""},{"id":150,"name":"Time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"%USERPROFILE%\AppData\Local\Temp\OnboardLogs"\RTDC4045\*4045*201610221* | grep -SE "((Enforcement Ac)|(PRM))" -</v>
      </c>
      <c r="AD38" s="1"/>
    </row>
    <row r="39" spans="1:30" x14ac:dyDescent="0.25">
      <c r="A39" s="36">
        <v>42665.663136574076</v>
      </c>
      <c r="B39" s="31" t="s">
        <v>350</v>
      </c>
      <c r="C39" s="31" t="s">
        <v>432</v>
      </c>
      <c r="D39" s="31" t="s">
        <v>49</v>
      </c>
      <c r="E39" s="31" t="s">
        <v>247</v>
      </c>
      <c r="F39" s="47">
        <v>0</v>
      </c>
      <c r="G39" s="47">
        <v>35</v>
      </c>
      <c r="H39" s="47">
        <v>698</v>
      </c>
      <c r="I39" s="47">
        <v>663</v>
      </c>
      <c r="J39" s="31" t="s">
        <v>248</v>
      </c>
      <c r="K39" s="47">
        <v>575</v>
      </c>
      <c r="L39" s="157" t="s">
        <v>51</v>
      </c>
      <c r="M39" s="158">
        <f t="shared" si="0"/>
        <v>46.463999999999999</v>
      </c>
      <c r="N39" s="159" t="str">
        <f>VLOOKUP(C39,'Trips&amp;Operators'!$C$1:$E$99999,3,FALSE)</f>
        <v>ADANE</v>
      </c>
      <c r="O39" s="184" t="s">
        <v>241</v>
      </c>
      <c r="P39" s="160"/>
      <c r="Q39" s="31"/>
      <c r="R39" s="100" t="str">
        <f>VLOOKUP(C39,'Train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39" s="103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https://search-rtdc-monitor-bjffxe2xuh6vdkpspy63sjmuny.us-east-1.es.amazonaws.com/_plugin/kibana/#/discover/Steve-Slow-Train-Analysis-(2080s-and-2083s)?_g=(refreshInterval:(display:Off,section:0,value:0),time:(from:'2016-10-22 14:36:47-0600',mode:absolute,to:'2016-10-22 16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9" s="105" t="str">
        <f t="shared" si="1"/>
        <v>"C:\Program Files (x86)\AstroGrep\AstroGrep.exe" /spath="%USERPROFILE%\AppData\Local\Temp\OnboardLogs" /stypes="*4045*201610222*" /stext=" 21:.+((SYSTEM_STATE.+slice.+state.+changed )|(ment ac)|(system.+state.+changed )|(\[timeout)|(PRM\|1\|D)|(kpr)|(kdp)|(\|lc)|(penalty))" /e /r /s</v>
      </c>
      <c r="U39" s="9" t="str">
        <f t="shared" si="2"/>
        <v>4045</v>
      </c>
      <c r="V39" s="36">
        <f t="shared" si="3"/>
        <v>42665.913136574076</v>
      </c>
      <c r="W39" s="50" t="str">
        <f t="shared" si="4"/>
        <v>NW</v>
      </c>
      <c r="X39" s="50" t="str">
        <f t="shared" ref="X39:X47" si="8">IF(AND(E39="TRACK WARRANT AUTHORITY",G39&lt;10),"OMIT","KEEP")</f>
        <v>KEEP</v>
      </c>
      <c r="Y39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ID","value":"1820-22"},{"id":16,"name":"Locomotive ID","value":"4045"},{"id":130,"name":"Impact","value":""},{"id":150,"name":"Time of Event (Mountain Time)","value":"15:54:55"},{"id":151,"name":"Denver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"%USERPROFILE%\AppData\Local\Temp\OnboardLogs"\RTDC4045\*4045*201610222* | grep -SE "((Enforcement Ac)|(PRM))" -</v>
      </c>
      <c r="AD39" s="1"/>
    </row>
    <row r="40" spans="1:30" x14ac:dyDescent="0.25">
      <c r="A40" s="36">
        <v>42665.749965277777</v>
      </c>
      <c r="B40" s="31" t="s">
        <v>350</v>
      </c>
      <c r="C40" s="31" t="s">
        <v>437</v>
      </c>
      <c r="D40" s="31" t="s">
        <v>49</v>
      </c>
      <c r="E40" s="31" t="s">
        <v>247</v>
      </c>
      <c r="F40" s="47">
        <v>0</v>
      </c>
      <c r="G40" s="47">
        <v>35</v>
      </c>
      <c r="H40" s="47">
        <v>680</v>
      </c>
      <c r="I40" s="47">
        <v>650</v>
      </c>
      <c r="J40" s="31" t="s">
        <v>248</v>
      </c>
      <c r="K40" s="47">
        <v>575</v>
      </c>
      <c r="L40" s="157" t="s">
        <v>51</v>
      </c>
      <c r="M40" s="158">
        <f t="shared" si="0"/>
        <v>39.6</v>
      </c>
      <c r="N40" s="159" t="str">
        <f>VLOOKUP(C40,'Trips&amp;Operators'!$C$1:$E$99999,3,FALSE)</f>
        <v>ADANE</v>
      </c>
      <c r="O40" s="184" t="s">
        <v>241</v>
      </c>
      <c r="P40" s="160"/>
      <c r="Q40" s="31"/>
      <c r="R40" s="100" t="str">
        <f>VLOOKUP(C40,'Train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40" s="103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https://search-rtdc-monitor-bjffxe2xuh6vdkpspy63sjmuny.us-east-1.es.amazonaws.com/_plugin/kibana/#/discover/Steve-Slow-Train-Analysis-(2080s-and-2083s)?_g=(refreshInterval:(display:Off,section:0,value:0),time:(from:'2016-10-22 16:48:09-0600',mode:absolute,to:'2016-10-22 18:59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0" s="105" t="str">
        <f t="shared" si="1"/>
        <v>"C:\Program Files (x86)\AstroGrep\AstroGrep.exe" /spath="%USERPROFILE%\AppData\Local\Temp\OnboardLogs" /stypes="*4045*201610222*" /stext=" 23:.+((SYSTEM_STATE.+slice.+state.+changed )|(ment ac)|(system.+state.+changed )|(\[timeout)|(PRM\|1\|D)|(kpr)|(kdp)|(\|lc)|(penalty))" /e /r /s</v>
      </c>
      <c r="U40" s="9" t="str">
        <f t="shared" si="2"/>
        <v>4045</v>
      </c>
      <c r="V40" s="36">
        <f t="shared" si="3"/>
        <v>42665.999965277777</v>
      </c>
      <c r="W40" s="50" t="str">
        <f t="shared" si="4"/>
        <v>NW</v>
      </c>
      <c r="X40" s="50" t="str">
        <f t="shared" si="8"/>
        <v>KEEP</v>
      </c>
      <c r="Y40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ID","value":"1824-22"},{"id":16,"name":"Locomotive ID","value":"4045"},{"id":130,"name":"Impact","value":""},{"id":150,"name":"Time of Event (Mountain Time)","value":"17:59:57"},{"id":151,"name":"Denver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"%USERPROFILE%\AppData\Local\Temp\OnboardLogs"\RTDC4045\*4045*201610222* | grep -SE "((Enforcement Ac)|(PRM))" -</v>
      </c>
      <c r="AD40" s="1"/>
    </row>
    <row r="41" spans="1:30" x14ac:dyDescent="0.25">
      <c r="A41" s="36">
        <v>42665.788113425922</v>
      </c>
      <c r="B41" s="31" t="s">
        <v>350</v>
      </c>
      <c r="C41" s="31" t="s">
        <v>440</v>
      </c>
      <c r="D41" s="31" t="s">
        <v>49</v>
      </c>
      <c r="E41" s="31" t="s">
        <v>247</v>
      </c>
      <c r="F41" s="47">
        <v>0</v>
      </c>
      <c r="G41" s="47">
        <v>53</v>
      </c>
      <c r="H41" s="47">
        <v>762</v>
      </c>
      <c r="I41" s="47">
        <v>708</v>
      </c>
      <c r="J41" s="31" t="s">
        <v>248</v>
      </c>
      <c r="K41" s="47">
        <v>575</v>
      </c>
      <c r="L41" s="157" t="s">
        <v>51</v>
      </c>
      <c r="M41" s="158">
        <f t="shared" si="0"/>
        <v>70.224000000000004</v>
      </c>
      <c r="N41" s="159" t="str">
        <f>VLOOKUP(C41,'Trips&amp;Operators'!$C$1:$E$99999,3,FALSE)</f>
        <v>ADANE</v>
      </c>
      <c r="O41" s="184" t="s">
        <v>241</v>
      </c>
      <c r="P41" s="160"/>
      <c r="Q41" s="31"/>
      <c r="R41" s="100" t="str">
        <f>VLOOKUP(C41,'Train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41" s="103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https://search-rtdc-monitor-bjffxe2xuh6vdkpspy63sjmuny.us-east-1.es.amazonaws.com/_plugin/kibana/#/discover/Steve-Slow-Train-Analysis-(2080s-and-2083s)?_g=(refreshInterval:(display:Off,section:0,value:0),time:(from:'2016-10-22 17:38:27-0600',mode:absolute,to:'2016-10-22 19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 t="shared" si="1"/>
        <v>"C:\Program Files (x86)\AstroGrep\AstroGrep.exe" /spath="%USERPROFILE%\AppData\Local\Temp\OnboardLogs" /stypes="*4045*201610230*" /stext=" 00:.+((SYSTEM_STATE.+slice.+state.+changed )|(ment ac)|(system.+state.+changed )|(\[timeout)|(PRM\|1\|D)|(kpr)|(kdp)|(\|lc)|(penalty))" /e /r /s</v>
      </c>
      <c r="U41" s="9" t="str">
        <f t="shared" si="2"/>
        <v>4045</v>
      </c>
      <c r="V41" s="36">
        <f t="shared" si="3"/>
        <v>42666.038113425922</v>
      </c>
      <c r="W41" s="50" t="str">
        <f t="shared" si="4"/>
        <v>NW</v>
      </c>
      <c r="X41" s="50" t="str">
        <f t="shared" si="8"/>
        <v>KEEP</v>
      </c>
      <c r="Y41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ID","value":"1826-22"},{"id":16,"name":"Locomotive ID","value":"4045"},{"id":130,"name":"Impact","value":""},{"id":150,"name":"Time of Event (Mountain Time)","value":"18:54:53"},{"id":151,"name":"Denver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"%USERPROFILE%\AppData\Local\Temp\OnboardLogs"\RTDC4045\*4045*201610230* | grep -SE "((Enforcement Ac)|(PRM))" -</v>
      </c>
      <c r="AD41" s="1"/>
    </row>
    <row r="42" spans="1:30" x14ac:dyDescent="0.25">
      <c r="A42" s="36">
        <v>42665.829629629632</v>
      </c>
      <c r="B42" s="31" t="s">
        <v>350</v>
      </c>
      <c r="C42" s="31" t="s">
        <v>443</v>
      </c>
      <c r="D42" s="31" t="s">
        <v>49</v>
      </c>
      <c r="E42" s="31" t="s">
        <v>247</v>
      </c>
      <c r="F42" s="47">
        <v>0</v>
      </c>
      <c r="G42" s="47">
        <v>25</v>
      </c>
      <c r="H42" s="47">
        <v>636</v>
      </c>
      <c r="I42" s="47">
        <v>615</v>
      </c>
      <c r="J42" s="31" t="s">
        <v>248</v>
      </c>
      <c r="K42" s="47">
        <v>575</v>
      </c>
      <c r="L42" s="157" t="s">
        <v>51</v>
      </c>
      <c r="M42" s="158">
        <f t="shared" si="0"/>
        <v>21.12</v>
      </c>
      <c r="N42" s="159" t="str">
        <f>VLOOKUP(C42,'Trips&amp;Operators'!$C$1:$E$99999,3,FALSE)</f>
        <v>ADANE</v>
      </c>
      <c r="O42" s="184" t="s">
        <v>241</v>
      </c>
      <c r="P42" s="160"/>
      <c r="Q42" s="31"/>
      <c r="R42" s="100" t="str">
        <f>VLOOKUP(C42,'Train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42" s="103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https://search-rtdc-monitor-bjffxe2xuh6vdkpspy63sjmuny.us-east-1.es.amazonaws.com/_plugin/kibana/#/discover/Steve-Slow-Train-Analysis-(2080s-and-2083s)?_g=(refreshInterval:(display:Off,section:0,value:0),time:(from:'2016-10-22 18:36:44-0600',mode:absolute,to:'2016-10-22 20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1"/>
        <v>"C:\Program Files (x86)\AstroGrep\AstroGrep.exe" /spath="%USERPROFILE%\AppData\Local\Temp\OnboardLogs" /stypes="*4045*201610230*" /stext=" 01:.+((SYSTEM_STATE.+slice.+state.+changed )|(ment ac)|(system.+state.+changed )|(\[timeout)|(PRM\|1\|D)|(kpr)|(kdp)|(\|lc)|(penalty))" /e /r /s</v>
      </c>
      <c r="U42" s="9" t="str">
        <f t="shared" si="2"/>
        <v>4045</v>
      </c>
      <c r="V42" s="36">
        <f t="shared" si="3"/>
        <v>42666.079629629632</v>
      </c>
      <c r="W42" s="50" t="str">
        <f t="shared" si="4"/>
        <v>NW</v>
      </c>
      <c r="X42" s="50" t="str">
        <f t="shared" si="8"/>
        <v>KEEP</v>
      </c>
      <c r="Y42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ID","value":"1828-22"},{"id":16,"name":"Locomotive ID","value":"4045"},{"id":130,"name":"Impact","value":""},{"id":150,"name":"Time of Event (Mountain Time)","value":"19:54:40"},{"id":151,"name":"Denver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"%USERPROFILE%\AppData\Local\Temp\OnboardLogs"\RTDC4045\*4045*201610230* | grep -SE "((Enforcement Ac)|(PRM))" -</v>
      </c>
      <c r="AD42" s="1"/>
    </row>
    <row r="43" spans="1:30" x14ac:dyDescent="0.25">
      <c r="A43" s="36">
        <v>42665.872465277775</v>
      </c>
      <c r="B43" s="31" t="s">
        <v>350</v>
      </c>
      <c r="C43" s="31" t="s">
        <v>444</v>
      </c>
      <c r="D43" s="31" t="s">
        <v>49</v>
      </c>
      <c r="E43" s="31" t="s">
        <v>247</v>
      </c>
      <c r="F43" s="47">
        <v>0</v>
      </c>
      <c r="G43" s="47">
        <v>83</v>
      </c>
      <c r="H43" s="47">
        <v>881</v>
      </c>
      <c r="I43" s="47">
        <v>792</v>
      </c>
      <c r="J43" s="31" t="s">
        <v>248</v>
      </c>
      <c r="K43" s="47">
        <v>575</v>
      </c>
      <c r="L43" s="157" t="s">
        <v>51</v>
      </c>
      <c r="M43" s="158">
        <f t="shared" si="0"/>
        <v>114.57599999999999</v>
      </c>
      <c r="N43" s="159" t="str">
        <f>VLOOKUP(C43,'Trips&amp;Operators'!$C$1:$E$99999,3,FALSE)</f>
        <v>ADANE</v>
      </c>
      <c r="O43" s="184" t="s">
        <v>241</v>
      </c>
      <c r="P43" s="160"/>
      <c r="Q43" s="31"/>
      <c r="R43" s="100" t="str">
        <f>VLOOKUP(C43,'Train Runs'!$A$13:$AE$10018,31,0)</f>
        <v>aws s3 cp s3://rtdc.mdm.uploadarchive.raw/RTDC4045/ "%USERPROFILE%\AppData\Local\Temp\OnboardLogs"\RTDC4045\2016-10-22 --exclude "*" --recursive --include "*20161022*" &amp; "%USERPROFILE%\Documents\GitHub\mrs-test-scripts\Headless Mode &amp; Sideloading\WalkAndUnGZ.bat" "%USERPROFILE%\AppData\Local\Temp\OnboardLogs"\RTDC4045\2016-10-22 &amp; 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</v>
      </c>
      <c r="S43" s="103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https://search-rtdc-monitor-bjffxe2xuh6vdkpspy63sjmuny.us-east-1.es.amazonaws.com/_plugin/kibana/#/discover/Steve-Slow-Train-Analysis-(2080s-and-2083s)?_g=(refreshInterval:(display:Off,section:0,value:0),time:(from:'2016-10-22 19:37:03-0600',mode:absolute,to:'2016-10-22 21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3" s="105" t="str">
        <f t="shared" si="1"/>
        <v>"C:\Program Files (x86)\AstroGrep\AstroGrep.exe" /spath="%USERPROFILE%\AppData\Local\Temp\OnboardLogs" /stypes="*4045*201610230*" /stext=" 02:.+((SYSTEM_STATE.+slice.+state.+changed )|(ment ac)|(system.+state.+changed )|(\[timeout)|(PRM\|1\|D)|(kpr)|(kdp)|(\|lc)|(penalty))" /e /r /s</v>
      </c>
      <c r="U43" s="9" t="str">
        <f t="shared" si="2"/>
        <v>4045</v>
      </c>
      <c r="V43" s="36">
        <f t="shared" si="3"/>
        <v>42666.122465277775</v>
      </c>
      <c r="W43" s="50" t="str">
        <f t="shared" si="4"/>
        <v>NW</v>
      </c>
      <c r="X43" s="50" t="str">
        <f t="shared" si="8"/>
        <v>KEEP</v>
      </c>
      <c r="Y43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{"issue":{"subject":"","project_id":79,"tracker_id":40,"status_id":1,"priority_id":2,"assigned_to_id":23,"start_date":"2016-10-22","description":"","custom_fields":[{"id":1,"name":"Subdivision","value":"NW"},{"id":4,"name":"Milepost","value":"0.0575"},{"id":17,"name":"Train ID","value":"1830-22"},{"id":16,"name":"Locomotive ID","value":"4045"},{"id":130,"name":"Impact","value":""},{"id":150,"name":"Time of Event (Mountain Time)","value":"20:56:21"},{"id":151,"name":"Denver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"%USERPROFILE%\AppData\Local\Temp\OnboardLogs"\RTDC4045\*4045*201610230* | grep -SE "((Enforcement Ac)|(PRM))" -</v>
      </c>
      <c r="AD43" s="1"/>
    </row>
    <row r="44" spans="1:30" x14ac:dyDescent="0.25">
      <c r="A44" s="36">
        <v>42665.774583333332</v>
      </c>
      <c r="B44" s="31" t="s">
        <v>198</v>
      </c>
      <c r="C44" s="31" t="s">
        <v>439</v>
      </c>
      <c r="D44" s="31" t="s">
        <v>49</v>
      </c>
      <c r="E44" s="31" t="s">
        <v>247</v>
      </c>
      <c r="F44" s="47">
        <v>0</v>
      </c>
      <c r="G44" s="47">
        <v>76</v>
      </c>
      <c r="H44" s="47">
        <v>58813</v>
      </c>
      <c r="I44" s="47">
        <v>58882</v>
      </c>
      <c r="J44" s="31" t="s">
        <v>248</v>
      </c>
      <c r="K44" s="47">
        <v>59048</v>
      </c>
      <c r="L44" s="157" t="s">
        <v>50</v>
      </c>
      <c r="M44" s="158">
        <f t="shared" si="0"/>
        <v>87.647999999999996</v>
      </c>
      <c r="N44" s="159" t="str">
        <f>VLOOKUP(C44,'Trips&amp;Operators'!$C$1:$E$99999,3,FALSE)</f>
        <v>ADANE</v>
      </c>
      <c r="O44" s="184" t="s">
        <v>241</v>
      </c>
      <c r="P44" s="160"/>
      <c r="Q44" s="31"/>
      <c r="R44" s="100" t="str">
        <f>VLOOKUP(C44,'Train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44" s="103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https://search-rtdc-monitor-bjffxe2xuh6vdkpspy63sjmuny.us-east-1.es.amazonaws.com/_plugin/kibana/#/discover/Steve-Slow-Train-Analysis-(2080s-and-2083s)?_g=(refreshInterval:(display:Off,section:0,value:0),time:(from:'2016-10-22 17:17:25-0600',mode:absolute,to:'2016-10-22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4" s="105" t="str">
        <f t="shared" si="1"/>
        <v>"C:\Program Files (x86)\AstroGrep\AstroGrep.exe" /spath="%USERPROFILE%\AppData\Local\Temp\OnboardLogs" /stypes="*4046*201610230*" /stext=" 00:.+((SYSTEM_STATE.+slice.+state.+changed )|(ment ac)|(system.+state.+changed )|(\[timeout)|(PRM\|1\|D)|(kpr)|(kdp)|(\|lc)|(penalty))" /e /r /s</v>
      </c>
      <c r="U44" s="9" t="str">
        <f t="shared" si="2"/>
        <v>4046</v>
      </c>
      <c r="V44" s="36">
        <f t="shared" si="3"/>
        <v>42666.024583333332</v>
      </c>
      <c r="W44" s="50" t="str">
        <f t="shared" si="4"/>
        <v>NW</v>
      </c>
      <c r="X44" s="50" t="str">
        <f t="shared" si="8"/>
        <v>KEEP</v>
      </c>
      <c r="Y44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{"issue":{"subject":"","project_id":79,"tracker_id":40,"status_id":1,"priority_id":2,"assigned_to_id":23,"start_date":"2016-10-22","description":"","custom_fields":[{"id":1,"name":"Subdivision","value":"NW"},{"id":4,"name":"Milepost","value":"5.9048"},{"id":17,"name":"Train ID","value":"1825-22"},{"id":16,"name":"Locomotive ID","value":"4046"},{"id":130,"name":"Impact","value":""},{"id":150,"name":"Time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"%USERPROFILE%\AppData\Local\Temp\OnboardLogs"\RTDC4046\*4046*201610230* | grep -SE "((Enforcement Ac)|(PRM))" -</v>
      </c>
      <c r="AD44" s="1"/>
    </row>
    <row r="45" spans="1:30" x14ac:dyDescent="0.25">
      <c r="A45" s="36">
        <v>42665.774953703702</v>
      </c>
      <c r="B45" s="31" t="s">
        <v>198</v>
      </c>
      <c r="C45" s="31" t="s">
        <v>439</v>
      </c>
      <c r="D45" s="31" t="s">
        <v>49</v>
      </c>
      <c r="E45" s="31" t="s">
        <v>247</v>
      </c>
      <c r="F45" s="47">
        <v>0</v>
      </c>
      <c r="G45" s="47">
        <v>42</v>
      </c>
      <c r="H45" s="47">
        <v>58914</v>
      </c>
      <c r="I45" s="47">
        <v>58965</v>
      </c>
      <c r="J45" s="31" t="s">
        <v>248</v>
      </c>
      <c r="K45" s="47">
        <v>59048</v>
      </c>
      <c r="L45" s="157" t="s">
        <v>50</v>
      </c>
      <c r="M45" s="158">
        <f t="shared" si="0"/>
        <v>43.823999999999998</v>
      </c>
      <c r="N45" s="159" t="str">
        <f>VLOOKUP(C45,'Trips&amp;Operators'!$C$1:$E$99999,3,FALSE)</f>
        <v>ADANE</v>
      </c>
      <c r="O45" s="184" t="s">
        <v>241</v>
      </c>
      <c r="P45" s="160"/>
      <c r="Q45" s="31"/>
      <c r="R45" s="100" t="str">
        <f>VLOOKUP(C45,'Train Runs'!$A$13:$AE$10018,31,0)</f>
        <v>aws s3 cp s3://rtdc.mdm.uploadarchive.raw/RTDC4046/ "%USERPROFILE%\AppData\Local\Temp\OnboardLogs"\RTDC4046\2016-10-22 --exclude "*" --recursive --include "*20161022*" &amp; "%USERPROFILE%\Documents\GitHub\mrs-test-scripts\Headless Mode &amp; Sideloading\WalkAndUnGZ.bat" "%USERPROFILE%\AppData\Local\Temp\OnboardLogs"\RTDC4046\2016-10-22 &amp; 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</v>
      </c>
      <c r="S45" s="103" t="str">
        <f>VLOOKUP(C45,'Train Runs'!$A$13:$AE$10018,22,0)</f>
        <v>https://search-rtdc-monitor-bjffxe2xuh6vdkpspy63sjmuny.us-east-1.es.amazonaws.com/_plugin/kibana/#/discover/Steve-Slow-Train-Analysis-(2080s-and-2083s)?_g=(refreshInterval:(display:Off,section:0,value:0),time:(from:'2016-10-22 17:17:25-0600',mode:absolute,to:'2016-10-22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5" s="105" t="str">
        <f t="shared" si="1"/>
        <v>"C:\Program Files (x86)\AstroGrep\AstroGrep.exe" /spath="%USERPROFILE%\AppData\Local\Temp\OnboardLogs" /stypes="*4046*201610230*" /stext=" 00:.+((SYSTEM_STATE.+slice.+state.+changed )|(ment ac)|(system.+state.+changed )|(\[timeout)|(PRM\|1\|D)|(kpr)|(kdp)|(\|lc)|(penalty))" /e /r /s</v>
      </c>
      <c r="U45" s="9" t="str">
        <f t="shared" si="2"/>
        <v>4046</v>
      </c>
      <c r="V45" s="36">
        <f t="shared" si="3"/>
        <v>42666.024953703702</v>
      </c>
      <c r="W45" s="50" t="str">
        <f t="shared" si="4"/>
        <v>NW</v>
      </c>
      <c r="X45" s="50" t="str">
        <f t="shared" si="8"/>
        <v>KEEP</v>
      </c>
      <c r="Y45" s="122" t="str">
        <f t="shared" si="6"/>
        <v>echo {"issue":{"subject":"","project_id":79,"tracker_id":40,"status_id":1,"priority_id":2,"assigned_to_id":23,"start_date":"2016-10-22","description":"","custom_fields":[{"id":1,"name":"Subdivision","value":"NW"},{"id":4,"name":"Milepost","value":"5.9048"},{"id":17,"name":"Train ID","value":"1825-22"},{"id":16,"name":"Locomotive ID","value":"4046"},{"id":130,"name":"Impact","value":""},{"id":150,"name":"Time of Event (Mountain Time)","value":"18:35:56"},{"id":151,"name":"Denver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"%USERPROFILE%\AppData\Local\Temp\OnboardLogs"\RTDC4046\*4046*201610230* | grep -SE "((Enforcement Ac)|(PRM))" -</v>
      </c>
      <c r="AD45" s="1"/>
    </row>
    <row r="46" spans="1:30" x14ac:dyDescent="0.25">
      <c r="A46" s="36">
        <v>42665.736284722225</v>
      </c>
      <c r="B46" s="31" t="s">
        <v>188</v>
      </c>
      <c r="C46" s="31" t="s">
        <v>436</v>
      </c>
      <c r="D46" s="31" t="s">
        <v>98</v>
      </c>
      <c r="E46" s="31" t="s">
        <v>245</v>
      </c>
      <c r="F46" s="47">
        <v>0</v>
      </c>
      <c r="G46" s="47">
        <v>56</v>
      </c>
      <c r="H46" s="47">
        <v>1838</v>
      </c>
      <c r="I46" s="47">
        <v>1910</v>
      </c>
      <c r="J46" s="31" t="s">
        <v>246</v>
      </c>
      <c r="K46" s="47">
        <v>1692</v>
      </c>
      <c r="L46" s="157" t="s">
        <v>50</v>
      </c>
      <c r="M46" s="158">
        <f t="shared" si="0"/>
        <v>-115.104</v>
      </c>
      <c r="N46" s="159" t="str">
        <f>VLOOKUP(C46,'Trips&amp;Operators'!$C$1:$E$99999,3,FALSE)</f>
        <v>HAITHCOX</v>
      </c>
      <c r="O46" s="184" t="s">
        <v>241</v>
      </c>
      <c r="P46" s="160"/>
      <c r="Q46" s="31"/>
      <c r="R46" s="100" t="str">
        <f>VLOOKUP(C46,'Train Runs'!$A$13:$AE$10018,31,0)</f>
        <v>aws s3 cp s3://rtdc.mdm.uploadarchive.raw/RTDC4018/ "%USERPROFILE%\AppData\Local\Temp\OnboardLogs"\RTDC4018\2016-10-22 --exclude "*" --recursive --include "*20161022*" &amp; "%USERPROFILE%\Documents\GitHub\mrs-test-scripts\Headless Mode &amp; Sideloading\WalkAndUnGZ.bat" "%USERPROFILE%\AppData\Local\Temp\OnboardLogs"\RTDC4018\2016-10-22 &amp; 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</v>
      </c>
      <c r="S46" s="103" t="str">
        <f>VLOOKUP(C46,'Train Runs'!$A$13:$AE$10018,22,0)</f>
        <v>https://search-rtdc-monitor-bjffxe2xuh6vdkpspy63sjmuny.us-east-1.es.amazonaws.com/_plugin/kibana/#/discover/Steve-Slow-Train-Analysis-(2080s-and-2083s)?_g=(refreshInterval:(display:Off,section:0,value:0),time:(from:'2016-10-22 16:36:57-0600',mode:absolute,to:'2016-10-22 18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46" s="105" t="str">
        <f t="shared" si="1"/>
        <v>"C:\Program Files (x86)\AstroGrep\AstroGrep.exe" /spath="%USERPROFILE%\AppData\Local\Temp\OnboardLogs" /stypes="*4018*201610222*" /stext=" 23:.+((SYSTEM_STATE.+slice.+state.+changed )|(ment ac)|(system.+state.+changed )|(\[timeout)|(PRM\|1\|D)|(kpr)|(kdp)|(\|lc)|(penalty))" /e /r /s</v>
      </c>
      <c r="U46" s="9" t="str">
        <f t="shared" si="2"/>
        <v>4018</v>
      </c>
      <c r="V46" s="36">
        <f t="shared" si="3"/>
        <v>42665.986284722225</v>
      </c>
      <c r="W46" s="50" t="str">
        <f t="shared" si="4"/>
        <v>Other</v>
      </c>
      <c r="X46" s="50" t="str">
        <f t="shared" si="8"/>
        <v>KEEP</v>
      </c>
      <c r="Y46" s="122" t="str">
        <f t="shared" si="6"/>
        <v>echo {"issue":{"subject":"","project_id":79,"tracker_id":40,"status_id":1,"priority_id":2,"assigned_to_id":23,"start_date":"2016-10-22","description":"","custom_fields":[{"id":1,"name":"Subdivision","value":"Other"},{"id":4,"name":"Milepost","value":"0.1692"},{"id":17,"name":"Train ID","value":"65-22"},{"id":16,"name":"Locomotive ID","value":"4018"},{"id":130,"name":"Impact","value":""},{"id":150,"name":"Time of Event (Mountain Time)","value":"17:40:15"},{"id":151,"name":"Denver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"%USERPROFILE%\AppData\Local\Temp\OnboardLogs"\RTDC4018\*4018*201610222* | grep -SE "((Enforcement Ac)|(PRM))" -</v>
      </c>
      <c r="AD46" s="1"/>
    </row>
    <row r="47" spans="1:30" x14ac:dyDescent="0.25">
      <c r="A47" s="36">
        <v>42665.180868055555</v>
      </c>
      <c r="B47" s="31" t="s">
        <v>211</v>
      </c>
      <c r="C47" s="31" t="s">
        <v>410</v>
      </c>
      <c r="D47" s="31" t="s">
        <v>49</v>
      </c>
      <c r="E47" s="31" t="s">
        <v>245</v>
      </c>
      <c r="F47" s="47">
        <v>0</v>
      </c>
      <c r="G47" s="47">
        <v>90</v>
      </c>
      <c r="H47" s="47">
        <v>11038</v>
      </c>
      <c r="I47" s="47">
        <v>10894</v>
      </c>
      <c r="J47" s="31" t="s">
        <v>246</v>
      </c>
      <c r="K47" s="47">
        <v>11016</v>
      </c>
      <c r="L47" s="157" t="s">
        <v>51</v>
      </c>
      <c r="M47" s="158">
        <f t="shared" si="0"/>
        <v>-64.415999999999997</v>
      </c>
      <c r="N47" s="159" t="str">
        <f>VLOOKUP(C47,'Trips&amp;Operators'!$C$1:$E$99999,3,FALSE)</f>
        <v>KILLION</v>
      </c>
      <c r="O47" s="184" t="s">
        <v>241</v>
      </c>
      <c r="P47" s="160"/>
      <c r="Q47" s="31"/>
      <c r="R47" s="100" t="str">
        <f>VLOOKUP(C47,'Train Runs'!$A$13:$AE$10018,31,0)</f>
        <v>aws s3 cp s3://rtdc.mdm.uploadarchive.raw/RTDC4043/ "%USERPROFILE%\AppData\Local\Temp\OnboardLogs"\RTDC4043\2016-10-22 --exclude "*" --recursive --include "*20161022*" &amp; "%USERPROFILE%\Documents\GitHub\mrs-test-scripts\Headless Mode &amp; Sideloading\WalkAndUnGZ.bat" "%USERPROFILE%\AppData\Local\Temp\OnboardLogs"\RTDC4043\2016-10-22 &amp; 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</v>
      </c>
      <c r="S47" s="103" t="str">
        <f>VLOOKUP(C47,'Train Runs'!$A$13:$AE$10018,22,0)</f>
        <v>https://search-rtdc-monitor-bjffxe2xuh6vdkpspy63sjmuny.us-east-1.es.amazonaws.com/_plugin/kibana/#/discover/Steve-Slow-Train-Analysis-(2080s-and-2083s)?_g=(refreshInterval:(display:Off,section:0,value:0),time:(from:'2016-10-22 03:11:25-0600',mode:absolute,to:'2016-10-22 05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7" s="105" t="str">
        <f t="shared" si="1"/>
        <v>"C:\Program Files (x86)\AstroGrep\AstroGrep.exe" /spath="%USERPROFILE%\AppData\Local\Temp\OnboardLogs" /stypes="*4043*201610221*" /stext=" 10:.+((SYSTEM_STATE.+slice.+state.+changed )|(ment ac)|(system.+state.+changed )|(\[timeout)|(PRM\|1\|D)|(kpr)|(kdp)|(\|lc)|(penalty))" /e /r /s</v>
      </c>
      <c r="U47" s="9" t="str">
        <f t="shared" si="2"/>
        <v>4043</v>
      </c>
      <c r="V47" s="36">
        <f t="shared" si="3"/>
        <v>42665.430868055555</v>
      </c>
      <c r="W47" s="50" t="str">
        <f t="shared" si="4"/>
        <v>Other</v>
      </c>
      <c r="X47" s="50" t="str">
        <f t="shared" si="8"/>
        <v>KEEP</v>
      </c>
      <c r="Y47" s="122" t="str">
        <f t="shared" si="6"/>
        <v>echo {"issue":{"subject":"","project_id":79,"tracker_id":40,"status_id":1,"priority_id":2,"assigned_to_id":23,"start_date":"2016-10-22","description":"","custom_fields":[{"id":1,"name":"Subdivision","value":"Other"},{"id":4,"name":"Milepost","value":"1.1016"},{"id":17,"name":"Train ID","value":"310-22"},{"id":16,"name":"Locomotive ID","value":"4043"},{"id":130,"name":"Impact","value":""},{"id":150,"name":"Time of Event (Mountain Time)","value":"04:20:27"},{"id":151,"name":"Denver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"%USERPROFILE%\AppData\Local\Temp\OnboardLogs"\RTDC4043\*4043*201610221* | grep -SE "((Enforcement Ac)|(PRM))" -</v>
      </c>
      <c r="AD47" s="1"/>
    </row>
  </sheetData>
  <autoFilter ref="A6:AC47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48:O1048576">
    <cfRule type="cellIs" dxfId="7" priority="17" operator="equal">
      <formula>"Y"</formula>
    </cfRule>
  </conditionalFormatting>
  <conditionalFormatting sqref="O2:O3">
    <cfRule type="cellIs" dxfId="6" priority="8" operator="equal">
      <formula>"Y"</formula>
    </cfRule>
  </conditionalFormatting>
  <conditionalFormatting sqref="O7:O47">
    <cfRule type="cellIs" dxfId="5" priority="2" operator="equal">
      <formula>"Y"</formula>
    </cfRule>
  </conditionalFormatting>
  <conditionalFormatting sqref="A7:P47">
    <cfRule type="expression" dxfId="4" priority="1">
      <formula>$O7="Y"</formula>
    </cfRule>
  </conditionalFormatting>
  <hyperlinks>
    <hyperlink ref="Z18" r:id="rId1"/>
    <hyperlink ref="Z35" r:id="rId2"/>
    <hyperlink ref="Z36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AB7:AB47</xm:sqref>
        </x14:dataValidation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2016-10-22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-22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3" s="31" t="e">
        <f>VLOOKUP(B3,'Train Runs'!$A$13:$A$100015,1,FALSE)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-22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4" s="31" t="e">
        <f>VLOOKUP(B4,'Train Runs'!$A$13:$A$100015,1,FALSE)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-22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5" s="31" t="e">
        <f>VLOOKUP(B5,'Train Runs'!$A$13:$A$100015,1,FALSE)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-22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6" s="31" t="e">
        <f>VLOOKUP(B6,'Train Runs'!$A$13:$A$100015,1,FALSE)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-22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7" s="31" t="e">
        <f>VLOOKUP(B7,'Train Runs'!$A$13:$A$100015,1,FALSE)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-22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8" s="31" t="e">
        <f>VLOOKUP(B8,'Train Runs'!$A$13:$A$100015,1,FALSE)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-22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9" s="31" t="e">
        <f>VLOOKUP(B9,'Train Runs'!$A$13:$A$100015,1,FALSE)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-22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0" s="31" t="e">
        <f>VLOOKUP(B10,'Train Runs'!$A$13:$A$100015,1,FALSE)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-22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1" s="31" t="e">
        <f>VLOOKUP(B11,'Train Runs'!$A$13:$A$100015,1,FALSE)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-22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2" s="31" t="e">
        <f>VLOOKUP(B12,'Train Runs'!$A$13:$A$100015,1,FALSE)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-22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3" s="31" t="e">
        <f>VLOOKUP(B13,'Train Runs'!$A$13:$A$100015,1,FALSE)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-22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4" s="31" t="e">
        <f>VLOOKUP(B14,'Train Runs'!$A$13:$A$100015,1,FALSE)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-22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5" s="31" t="e">
        <f>VLOOKUP(B15,'Train Runs'!$A$13:$A$100015,1,FALSE)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-22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6" s="31" t="e">
        <f>VLOOKUP(B16,'Train Runs'!$A$13:$A$100015,1,FALSE)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42665.034699074073</v>
      </c>
      <c r="B2" s="21" t="s">
        <v>352</v>
      </c>
      <c r="C2" s="21" t="s">
        <v>369</v>
      </c>
      <c r="D2" s="21">
        <v>150000</v>
      </c>
      <c r="E2" s="21" t="s">
        <v>276</v>
      </c>
      <c r="F2" s="21" t="str">
        <f t="shared" ref="F2:F65" si="0">B2</f>
        <v>rtdc.l.rtdc.4014:itc</v>
      </c>
      <c r="G2" s="8">
        <f t="shared" ref="G2:G65" si="1">A2</f>
        <v>42665.034699074073</v>
      </c>
    </row>
    <row r="3" spans="1:7" x14ac:dyDescent="0.25">
      <c r="A3" s="8">
        <v>42665.037175925929</v>
      </c>
      <c r="B3" s="21" t="s">
        <v>249</v>
      </c>
      <c r="C3" s="21" t="s">
        <v>368</v>
      </c>
      <c r="D3" s="21">
        <v>1800000</v>
      </c>
      <c r="E3" s="21" t="s">
        <v>209</v>
      </c>
      <c r="F3" s="21" t="str">
        <f t="shared" si="0"/>
        <v>rtdc.l.rtdc.4028:itc</v>
      </c>
      <c r="G3" s="8">
        <f t="shared" si="1"/>
        <v>42665.037175925929</v>
      </c>
    </row>
    <row r="4" spans="1:7" x14ac:dyDescent="0.25">
      <c r="A4" s="8">
        <v>42665.046388888892</v>
      </c>
      <c r="B4" s="21" t="s">
        <v>287</v>
      </c>
      <c r="C4" s="21" t="s">
        <v>370</v>
      </c>
      <c r="D4" s="21">
        <v>1230000</v>
      </c>
      <c r="E4" s="21" t="s">
        <v>214</v>
      </c>
      <c r="F4" s="21" t="str">
        <f t="shared" si="0"/>
        <v>rtdc.l.rtdc.4016:itc</v>
      </c>
      <c r="G4" s="8">
        <f t="shared" si="1"/>
        <v>42665.046388888892</v>
      </c>
    </row>
    <row r="5" spans="1:7" x14ac:dyDescent="0.25">
      <c r="A5" s="8">
        <v>42665.053460648145</v>
      </c>
      <c r="B5" s="21" t="s">
        <v>193</v>
      </c>
      <c r="C5" s="21" t="s">
        <v>371</v>
      </c>
      <c r="D5" s="21">
        <v>1480000</v>
      </c>
      <c r="E5" s="21" t="s">
        <v>191</v>
      </c>
      <c r="F5" s="21" t="str">
        <f t="shared" si="0"/>
        <v>rtdc.l.rtdc.4010:itc</v>
      </c>
      <c r="G5" s="8">
        <f t="shared" si="1"/>
        <v>42665.053460648145</v>
      </c>
    </row>
    <row r="6" spans="1:7" x14ac:dyDescent="0.25">
      <c r="A6" s="8">
        <v>42665.069097222222</v>
      </c>
      <c r="B6" s="21" t="s">
        <v>354</v>
      </c>
      <c r="C6" s="21" t="s">
        <v>372</v>
      </c>
      <c r="D6" s="21">
        <v>1800000</v>
      </c>
      <c r="E6" s="21" t="s">
        <v>209</v>
      </c>
      <c r="F6" s="21" t="str">
        <f t="shared" si="0"/>
        <v>rtdc.l.rtdc.4027:itc</v>
      </c>
      <c r="G6" s="8">
        <f t="shared" si="1"/>
        <v>42665.069097222222</v>
      </c>
    </row>
    <row r="7" spans="1:7" x14ac:dyDescent="0.25">
      <c r="A7" s="8">
        <v>42665.073101851849</v>
      </c>
      <c r="B7" s="21" t="s">
        <v>351</v>
      </c>
      <c r="C7" s="21" t="s">
        <v>373</v>
      </c>
      <c r="D7" s="21">
        <v>150000</v>
      </c>
      <c r="E7" s="21" t="s">
        <v>276</v>
      </c>
      <c r="F7" s="21" t="str">
        <f t="shared" si="0"/>
        <v>rtdc.l.rtdc.4013:itc</v>
      </c>
      <c r="G7" s="8">
        <f t="shared" si="1"/>
        <v>42665.073101851849</v>
      </c>
    </row>
    <row r="8" spans="1:7" x14ac:dyDescent="0.25">
      <c r="A8" s="8">
        <v>42665.091620370367</v>
      </c>
      <c r="B8" s="21" t="s">
        <v>194</v>
      </c>
      <c r="C8" s="21" t="s">
        <v>374</v>
      </c>
      <c r="D8" s="21">
        <v>1480000</v>
      </c>
      <c r="E8" s="21" t="s">
        <v>191</v>
      </c>
      <c r="F8" s="21" t="str">
        <f t="shared" si="0"/>
        <v>rtdc.l.rtdc.4009:itc</v>
      </c>
      <c r="G8" s="8">
        <f t="shared" si="1"/>
        <v>42665.091620370367</v>
      </c>
    </row>
    <row r="9" spans="1:7" ht="15.75" thickBot="1" x14ac:dyDescent="0.3">
      <c r="A9" s="25">
        <v>42665.11923611111</v>
      </c>
      <c r="B9" s="21" t="s">
        <v>267</v>
      </c>
      <c r="C9" s="21" t="s">
        <v>447</v>
      </c>
      <c r="D9" s="21">
        <v>2010000</v>
      </c>
      <c r="E9" s="21" t="s">
        <v>312</v>
      </c>
      <c r="F9" s="21" t="str">
        <f t="shared" si="0"/>
        <v>rtdc.l.rtdc.4030:itc</v>
      </c>
      <c r="G9" s="8">
        <f t="shared" si="1"/>
        <v>42665.11923611111</v>
      </c>
    </row>
    <row r="10" spans="1:7" x14ac:dyDescent="0.25">
      <c r="A10" s="8">
        <v>42665.125474537039</v>
      </c>
      <c r="B10" s="21" t="s">
        <v>352</v>
      </c>
      <c r="C10" s="21" t="s">
        <v>448</v>
      </c>
      <c r="D10" s="21">
        <v>1780000</v>
      </c>
      <c r="E10" s="21" t="s">
        <v>449</v>
      </c>
      <c r="F10" s="21" t="str">
        <f t="shared" si="0"/>
        <v>rtdc.l.rtdc.4014:itc</v>
      </c>
      <c r="G10" s="8">
        <f t="shared" si="1"/>
        <v>42665.125474537039</v>
      </c>
    </row>
    <row r="11" spans="1:7" x14ac:dyDescent="0.25">
      <c r="A11" s="8">
        <v>42665.13113425926</v>
      </c>
      <c r="B11" s="21" t="s">
        <v>450</v>
      </c>
      <c r="C11" s="21" t="s">
        <v>451</v>
      </c>
      <c r="D11" s="21">
        <v>2010000</v>
      </c>
      <c r="E11" s="21" t="s">
        <v>312</v>
      </c>
      <c r="F11" s="21" t="str">
        <f t="shared" si="0"/>
        <v>rtdc.l.rtdc.4011:itc</v>
      </c>
      <c r="G11" s="8">
        <f t="shared" si="1"/>
        <v>42665.13113425926</v>
      </c>
    </row>
    <row r="12" spans="1:7" x14ac:dyDescent="0.25">
      <c r="A12" s="8">
        <v>42665.143888888888</v>
      </c>
      <c r="B12" s="21" t="s">
        <v>441</v>
      </c>
      <c r="C12" s="21" t="s">
        <v>452</v>
      </c>
      <c r="D12" s="21">
        <v>1310000</v>
      </c>
      <c r="E12" s="21" t="s">
        <v>357</v>
      </c>
      <c r="F12" s="21" t="str">
        <f t="shared" si="0"/>
        <v>rtdc.l.rtdc.4032:itc</v>
      </c>
      <c r="G12" s="8">
        <f t="shared" si="1"/>
        <v>42665.143888888888</v>
      </c>
    </row>
    <row r="13" spans="1:7" x14ac:dyDescent="0.25">
      <c r="A13" s="8">
        <v>42665.155393518522</v>
      </c>
      <c r="B13" s="21" t="s">
        <v>274</v>
      </c>
      <c r="C13" s="21" t="s">
        <v>453</v>
      </c>
      <c r="D13" s="21">
        <v>1310000</v>
      </c>
      <c r="E13" s="21" t="s">
        <v>357</v>
      </c>
      <c r="F13" s="21" t="str">
        <f t="shared" si="0"/>
        <v>rtdc.l.rtdc.4053:itc</v>
      </c>
      <c r="G13" s="8">
        <f t="shared" si="1"/>
        <v>42665.155393518522</v>
      </c>
    </row>
    <row r="14" spans="1:7" x14ac:dyDescent="0.25">
      <c r="A14" s="8">
        <v>42665.156087962961</v>
      </c>
      <c r="B14" s="21" t="s">
        <v>274</v>
      </c>
      <c r="C14" s="21" t="s">
        <v>453</v>
      </c>
      <c r="D14" s="21">
        <v>1310000</v>
      </c>
      <c r="E14" s="21" t="s">
        <v>357</v>
      </c>
      <c r="F14" s="21" t="str">
        <f t="shared" si="0"/>
        <v>rtdc.l.rtdc.4053:itc</v>
      </c>
      <c r="G14" s="8">
        <f t="shared" si="1"/>
        <v>42665.156087962961</v>
      </c>
    </row>
    <row r="15" spans="1:7" x14ac:dyDescent="0.25">
      <c r="A15" s="8">
        <v>42665.161944444444</v>
      </c>
      <c r="B15" s="21" t="s">
        <v>244</v>
      </c>
      <c r="C15" s="21" t="s">
        <v>454</v>
      </c>
      <c r="D15" s="21">
        <v>1260000</v>
      </c>
      <c r="E15" s="21" t="s">
        <v>455</v>
      </c>
      <c r="F15" s="21" t="str">
        <f t="shared" si="0"/>
        <v>rtdc.l.rtdc.4017:itc</v>
      </c>
      <c r="G15" s="8">
        <f t="shared" si="1"/>
        <v>42665.161944444444</v>
      </c>
    </row>
    <row r="16" spans="1:7" x14ac:dyDescent="0.25">
      <c r="A16" s="8">
        <v>42665.167060185187</v>
      </c>
      <c r="B16" s="21" t="s">
        <v>267</v>
      </c>
      <c r="C16" s="21" t="s">
        <v>456</v>
      </c>
      <c r="D16" s="21">
        <v>2010000</v>
      </c>
      <c r="E16" s="21" t="s">
        <v>312</v>
      </c>
      <c r="F16" s="21" t="str">
        <f t="shared" si="0"/>
        <v>rtdc.l.rtdc.4030:itc</v>
      </c>
      <c r="G16" s="8">
        <f t="shared" si="1"/>
        <v>42665.167060185187</v>
      </c>
    </row>
    <row r="17" spans="1:7" x14ac:dyDescent="0.25">
      <c r="A17" s="8">
        <v>42665.173807870371</v>
      </c>
      <c r="B17" s="21" t="s">
        <v>254</v>
      </c>
      <c r="C17" s="21" t="s">
        <v>457</v>
      </c>
      <c r="D17" s="21">
        <v>1990000</v>
      </c>
      <c r="E17" s="21" t="s">
        <v>356</v>
      </c>
      <c r="F17" s="21" t="str">
        <f t="shared" si="0"/>
        <v>rtdc.l.rtdc.4041:itc</v>
      </c>
      <c r="G17" s="8">
        <f t="shared" si="1"/>
        <v>42665.173807870371</v>
      </c>
    </row>
    <row r="18" spans="1:7" x14ac:dyDescent="0.25">
      <c r="A18" s="8">
        <v>42665.173900462964</v>
      </c>
      <c r="B18" s="21" t="s">
        <v>329</v>
      </c>
      <c r="C18" s="21" t="s">
        <v>458</v>
      </c>
      <c r="D18" s="21">
        <v>1260000</v>
      </c>
      <c r="E18" s="21" t="s">
        <v>455</v>
      </c>
      <c r="F18" s="21" t="str">
        <f t="shared" si="0"/>
        <v>rtdc.l.rtdc.4038:itc</v>
      </c>
      <c r="G18" s="8">
        <f t="shared" si="1"/>
        <v>42665.173900462964</v>
      </c>
    </row>
    <row r="19" spans="1:7" x14ac:dyDescent="0.25">
      <c r="A19" s="8">
        <v>42665.177222222221</v>
      </c>
      <c r="B19" s="21" t="s">
        <v>211</v>
      </c>
      <c r="C19" s="21" t="s">
        <v>410</v>
      </c>
      <c r="D19" s="21">
        <v>2030000</v>
      </c>
      <c r="E19" s="21" t="s">
        <v>459</v>
      </c>
      <c r="F19" s="21" t="str">
        <f t="shared" si="0"/>
        <v>rtdc.l.rtdc.4043:itc</v>
      </c>
      <c r="G19" s="8">
        <f t="shared" si="1"/>
        <v>42665.177222222221</v>
      </c>
    </row>
    <row r="20" spans="1:7" x14ac:dyDescent="0.25">
      <c r="A20" s="8">
        <v>42665.183668981481</v>
      </c>
      <c r="B20" s="21" t="s">
        <v>253</v>
      </c>
      <c r="C20" s="21" t="s">
        <v>460</v>
      </c>
      <c r="D20" s="21">
        <v>1990000</v>
      </c>
      <c r="E20" s="21" t="s">
        <v>356</v>
      </c>
      <c r="F20" s="21" t="str">
        <f t="shared" si="0"/>
        <v>rtdc.l.rtdc.4042:itc</v>
      </c>
      <c r="G20" s="8">
        <f t="shared" si="1"/>
        <v>42665.183668981481</v>
      </c>
    </row>
    <row r="21" spans="1:7" x14ac:dyDescent="0.25">
      <c r="A21" s="8">
        <v>42665.187754629631</v>
      </c>
      <c r="B21" s="21" t="s">
        <v>196</v>
      </c>
      <c r="C21" s="21" t="s">
        <v>461</v>
      </c>
      <c r="D21" s="21">
        <v>2030000</v>
      </c>
      <c r="E21" s="21" t="s">
        <v>459</v>
      </c>
      <c r="F21" s="21" t="str">
        <f t="shared" si="0"/>
        <v>rtdc.l.rtdc.4044:itc</v>
      </c>
      <c r="G21" s="8">
        <f t="shared" si="1"/>
        <v>42665.187754629631</v>
      </c>
    </row>
    <row r="22" spans="1:7" x14ac:dyDescent="0.25">
      <c r="A22" s="27">
        <v>42665.192847222221</v>
      </c>
      <c r="B22" s="21" t="s">
        <v>441</v>
      </c>
      <c r="C22" s="21" t="s">
        <v>462</v>
      </c>
      <c r="D22" s="21">
        <v>1310000</v>
      </c>
      <c r="E22" s="21" t="s">
        <v>357</v>
      </c>
      <c r="F22" s="21" t="str">
        <f t="shared" si="0"/>
        <v>rtdc.l.rtdc.4032:itc</v>
      </c>
      <c r="G22" s="8">
        <f t="shared" si="1"/>
        <v>42665.192847222221</v>
      </c>
    </row>
    <row r="23" spans="1:7" x14ac:dyDescent="0.25">
      <c r="A23" s="8">
        <v>42665.206562500003</v>
      </c>
      <c r="B23" s="21" t="s">
        <v>450</v>
      </c>
      <c r="C23" s="21" t="s">
        <v>463</v>
      </c>
      <c r="D23" s="21">
        <v>1100000</v>
      </c>
      <c r="E23" s="21" t="s">
        <v>358</v>
      </c>
      <c r="F23" s="21" t="str">
        <f t="shared" si="0"/>
        <v>rtdc.l.rtdc.4011:itc</v>
      </c>
      <c r="G23" s="8">
        <f t="shared" si="1"/>
        <v>42665.206562500003</v>
      </c>
    </row>
    <row r="24" spans="1:7" x14ac:dyDescent="0.25">
      <c r="A24" s="8">
        <v>42665.209201388891</v>
      </c>
      <c r="B24" s="21" t="s">
        <v>266</v>
      </c>
      <c r="C24" s="21" t="s">
        <v>464</v>
      </c>
      <c r="D24" s="21">
        <v>2010000</v>
      </c>
      <c r="E24" s="21" t="s">
        <v>312</v>
      </c>
      <c r="F24" s="21" t="str">
        <f t="shared" si="0"/>
        <v>rtdc.l.rtdc.4029:itc</v>
      </c>
      <c r="G24" s="8">
        <f t="shared" si="1"/>
        <v>42665.209201388891</v>
      </c>
    </row>
    <row r="25" spans="1:7" x14ac:dyDescent="0.25">
      <c r="A25" s="8">
        <v>42665.210219907407</v>
      </c>
      <c r="B25" s="21" t="s">
        <v>244</v>
      </c>
      <c r="C25" s="21" t="s">
        <v>411</v>
      </c>
      <c r="D25" s="21">
        <v>1260000</v>
      </c>
      <c r="E25" s="21" t="s">
        <v>455</v>
      </c>
      <c r="F25" s="21" t="str">
        <f t="shared" si="0"/>
        <v>rtdc.l.rtdc.4017:itc</v>
      </c>
      <c r="G25" s="8">
        <f t="shared" si="1"/>
        <v>42665.210219907407</v>
      </c>
    </row>
    <row r="26" spans="1:7" x14ac:dyDescent="0.25">
      <c r="A26" s="8">
        <v>42665.222824074073</v>
      </c>
      <c r="B26" s="21" t="s">
        <v>254</v>
      </c>
      <c r="C26" s="21" t="s">
        <v>465</v>
      </c>
      <c r="D26" s="21">
        <v>1990000</v>
      </c>
      <c r="E26" s="21" t="s">
        <v>356</v>
      </c>
      <c r="F26" s="21" t="str">
        <f t="shared" si="0"/>
        <v>rtdc.l.rtdc.4041:itc</v>
      </c>
      <c r="G26" s="8">
        <f t="shared" si="1"/>
        <v>42665.222824074073</v>
      </c>
    </row>
    <row r="27" spans="1:7" x14ac:dyDescent="0.25">
      <c r="A27" s="8">
        <v>42665.225983796299</v>
      </c>
      <c r="B27" s="21" t="s">
        <v>198</v>
      </c>
      <c r="C27" s="21" t="s">
        <v>466</v>
      </c>
      <c r="D27" s="21">
        <v>1830000</v>
      </c>
      <c r="E27" s="21" t="s">
        <v>328</v>
      </c>
      <c r="F27" s="21" t="str">
        <f t="shared" si="0"/>
        <v>rtdc.l.rtdc.4046:itc</v>
      </c>
      <c r="G27" s="8">
        <f t="shared" si="1"/>
        <v>42665.225983796299</v>
      </c>
    </row>
    <row r="28" spans="1:7" x14ac:dyDescent="0.25">
      <c r="A28" s="8">
        <v>42665.228784722225</v>
      </c>
      <c r="B28" s="21" t="s">
        <v>211</v>
      </c>
      <c r="C28" s="21" t="s">
        <v>467</v>
      </c>
      <c r="D28" s="21">
        <v>2030000</v>
      </c>
      <c r="E28" s="21" t="s">
        <v>459</v>
      </c>
      <c r="F28" s="21" t="str">
        <f t="shared" si="0"/>
        <v>rtdc.l.rtdc.4043:itc</v>
      </c>
      <c r="G28" s="8">
        <f t="shared" si="1"/>
        <v>42665.228784722225</v>
      </c>
    </row>
    <row r="29" spans="1:7" x14ac:dyDescent="0.25">
      <c r="A29" s="8">
        <v>42665.230208333334</v>
      </c>
      <c r="B29" s="21" t="s">
        <v>274</v>
      </c>
      <c r="C29" s="21" t="s">
        <v>468</v>
      </c>
      <c r="D29" s="21">
        <v>1760000</v>
      </c>
      <c r="E29" s="21" t="s">
        <v>313</v>
      </c>
      <c r="F29" s="21" t="str">
        <f t="shared" si="0"/>
        <v>rtdc.l.rtdc.4053:itc</v>
      </c>
      <c r="G29" s="8">
        <f t="shared" si="1"/>
        <v>42665.230208333334</v>
      </c>
    </row>
    <row r="30" spans="1:7" x14ac:dyDescent="0.25">
      <c r="A30" s="8">
        <v>42665.23369212963</v>
      </c>
      <c r="B30" s="21" t="s">
        <v>350</v>
      </c>
      <c r="C30" s="21" t="s">
        <v>469</v>
      </c>
      <c r="D30" s="21">
        <v>1830000</v>
      </c>
      <c r="E30" s="21" t="s">
        <v>328</v>
      </c>
      <c r="F30" s="21" t="str">
        <f t="shared" si="0"/>
        <v>rtdc.l.rtdc.4045:itc</v>
      </c>
      <c r="G30" s="8">
        <f t="shared" si="1"/>
        <v>42665.23369212963</v>
      </c>
    </row>
    <row r="31" spans="1:7" x14ac:dyDescent="0.25">
      <c r="A31" s="8">
        <v>42665.236956018518</v>
      </c>
      <c r="B31" s="21" t="s">
        <v>428</v>
      </c>
      <c r="C31" s="21" t="s">
        <v>470</v>
      </c>
      <c r="D31" s="21">
        <v>1310000</v>
      </c>
      <c r="E31" s="21" t="s">
        <v>357</v>
      </c>
      <c r="F31" s="21" t="str">
        <f t="shared" si="0"/>
        <v>rtdc.l.rtdc.4031:itc</v>
      </c>
      <c r="G31" s="8">
        <f t="shared" si="1"/>
        <v>42665.236956018518</v>
      </c>
    </row>
    <row r="32" spans="1:7" x14ac:dyDescent="0.25">
      <c r="A32" s="8">
        <v>42665.242615740739</v>
      </c>
      <c r="B32" s="21" t="s">
        <v>261</v>
      </c>
      <c r="C32" s="21" t="s">
        <v>471</v>
      </c>
      <c r="D32" s="21">
        <v>1100000</v>
      </c>
      <c r="E32" s="21" t="s">
        <v>358</v>
      </c>
      <c r="F32" s="21" t="str">
        <f t="shared" si="0"/>
        <v>rtdc.l.rtdc.4012:itc</v>
      </c>
      <c r="G32" s="8">
        <f t="shared" si="1"/>
        <v>42665.242615740739</v>
      </c>
    </row>
    <row r="33" spans="1:7" x14ac:dyDescent="0.25">
      <c r="A33" s="8">
        <v>42665.247430555559</v>
      </c>
      <c r="B33" s="21" t="s">
        <v>198</v>
      </c>
      <c r="C33" s="21" t="s">
        <v>472</v>
      </c>
      <c r="D33" s="21">
        <v>1830000</v>
      </c>
      <c r="E33" s="21" t="s">
        <v>328</v>
      </c>
      <c r="F33" s="21" t="str">
        <f t="shared" si="0"/>
        <v>rtdc.l.rtdc.4046:itc</v>
      </c>
      <c r="G33" s="8">
        <f t="shared" si="1"/>
        <v>42665.247430555559</v>
      </c>
    </row>
    <row r="34" spans="1:7" x14ac:dyDescent="0.25">
      <c r="A34" s="8">
        <v>42665.247696759259</v>
      </c>
      <c r="B34" s="21" t="s">
        <v>329</v>
      </c>
      <c r="C34" s="21" t="s">
        <v>412</v>
      </c>
      <c r="D34" s="21">
        <v>1260000</v>
      </c>
      <c r="E34" s="21" t="s">
        <v>455</v>
      </c>
      <c r="F34" s="21" t="str">
        <f t="shared" si="0"/>
        <v>rtdc.l.rtdc.4038:itc</v>
      </c>
      <c r="G34" s="8">
        <f t="shared" si="1"/>
        <v>42665.247696759259</v>
      </c>
    </row>
    <row r="35" spans="1:7" x14ac:dyDescent="0.25">
      <c r="A35" s="8">
        <v>42665.254236111112</v>
      </c>
      <c r="B35" s="21" t="s">
        <v>267</v>
      </c>
      <c r="C35" s="21" t="s">
        <v>473</v>
      </c>
      <c r="D35" s="21">
        <v>2010000</v>
      </c>
      <c r="E35" s="21" t="s">
        <v>312</v>
      </c>
      <c r="F35" s="21" t="str">
        <f t="shared" si="0"/>
        <v>rtdc.l.rtdc.4030:itc</v>
      </c>
      <c r="G35" s="8">
        <f t="shared" si="1"/>
        <v>42665.254236111112</v>
      </c>
    </row>
    <row r="36" spans="1:7" x14ac:dyDescent="0.25">
      <c r="A36" s="8">
        <v>42665.257511574076</v>
      </c>
      <c r="B36" s="21" t="s">
        <v>253</v>
      </c>
      <c r="C36" s="21" t="s">
        <v>413</v>
      </c>
      <c r="D36" s="21">
        <v>1990000</v>
      </c>
      <c r="E36" s="21" t="s">
        <v>356</v>
      </c>
      <c r="F36" s="21" t="str">
        <f t="shared" si="0"/>
        <v>rtdc.l.rtdc.4042:itc</v>
      </c>
      <c r="G36" s="8">
        <f t="shared" si="1"/>
        <v>42665.257511574076</v>
      </c>
    </row>
    <row r="37" spans="1:7" x14ac:dyDescent="0.25">
      <c r="A37" s="8">
        <v>42665.263449074075</v>
      </c>
      <c r="B37" s="21" t="s">
        <v>329</v>
      </c>
      <c r="C37" s="21" t="s">
        <v>412</v>
      </c>
      <c r="D37" s="21">
        <v>1260000</v>
      </c>
      <c r="E37" s="21" t="s">
        <v>455</v>
      </c>
      <c r="F37" s="21" t="str">
        <f t="shared" si="0"/>
        <v>rtdc.l.rtdc.4038:itc</v>
      </c>
      <c r="G37" s="8">
        <f t="shared" si="1"/>
        <v>42665.263449074075</v>
      </c>
    </row>
    <row r="38" spans="1:7" x14ac:dyDescent="0.25">
      <c r="A38" s="8">
        <v>42665.265902777777</v>
      </c>
      <c r="B38" s="21" t="s">
        <v>273</v>
      </c>
      <c r="C38" s="21" t="s">
        <v>414</v>
      </c>
      <c r="D38" s="21">
        <v>1760000</v>
      </c>
      <c r="E38" s="21" t="s">
        <v>313</v>
      </c>
      <c r="F38" s="21" t="str">
        <f t="shared" si="0"/>
        <v>rtdc.l.rtdc.4054:itc</v>
      </c>
      <c r="G38" s="8">
        <f t="shared" si="1"/>
        <v>42665.265902777777</v>
      </c>
    </row>
    <row r="39" spans="1:7" x14ac:dyDescent="0.25">
      <c r="A39" s="8">
        <v>42665.266238425924</v>
      </c>
      <c r="B39" s="21" t="s">
        <v>196</v>
      </c>
      <c r="C39" s="21" t="s">
        <v>474</v>
      </c>
      <c r="D39" s="21">
        <v>2030000</v>
      </c>
      <c r="E39" s="21" t="s">
        <v>459</v>
      </c>
      <c r="F39" s="21" t="str">
        <f t="shared" si="0"/>
        <v>rtdc.l.rtdc.4044:itc</v>
      </c>
      <c r="G39" s="8">
        <f t="shared" si="1"/>
        <v>42665.266238425924</v>
      </c>
    </row>
    <row r="40" spans="1:7" x14ac:dyDescent="0.25">
      <c r="A40" s="8">
        <v>42665.275254629632</v>
      </c>
      <c r="B40" s="26" t="s">
        <v>350</v>
      </c>
      <c r="C40" s="21" t="s">
        <v>475</v>
      </c>
      <c r="D40" s="21">
        <v>1830000</v>
      </c>
      <c r="E40" s="21" t="s">
        <v>328</v>
      </c>
      <c r="F40" s="21" t="str">
        <f t="shared" si="0"/>
        <v>rtdc.l.rtdc.4045:itc</v>
      </c>
      <c r="G40" s="8">
        <f t="shared" si="1"/>
        <v>42665.275254629632</v>
      </c>
    </row>
    <row r="41" spans="1:7" x14ac:dyDescent="0.25">
      <c r="A41" s="8">
        <v>42665.276006944441</v>
      </c>
      <c r="B41" s="21" t="s">
        <v>441</v>
      </c>
      <c r="C41" s="21" t="s">
        <v>476</v>
      </c>
      <c r="D41" s="21">
        <v>1310000</v>
      </c>
      <c r="E41" s="21" t="s">
        <v>357</v>
      </c>
      <c r="F41" s="21" t="str">
        <f t="shared" si="0"/>
        <v>rtdc.l.rtdc.4032:itc</v>
      </c>
      <c r="G41" s="8">
        <f t="shared" si="1"/>
        <v>42665.276006944441</v>
      </c>
    </row>
    <row r="42" spans="1:7" x14ac:dyDescent="0.25">
      <c r="A42" s="8">
        <v>42665.277557870373</v>
      </c>
      <c r="B42" s="21" t="s">
        <v>450</v>
      </c>
      <c r="C42" s="21" t="s">
        <v>477</v>
      </c>
      <c r="D42" s="21">
        <v>1100000</v>
      </c>
      <c r="E42" s="21" t="s">
        <v>358</v>
      </c>
      <c r="F42" s="21" t="str">
        <f t="shared" si="0"/>
        <v>rtdc.l.rtdc.4011:itc</v>
      </c>
      <c r="G42" s="8">
        <f t="shared" si="1"/>
        <v>42665.277557870373</v>
      </c>
    </row>
    <row r="43" spans="1:7" x14ac:dyDescent="0.25">
      <c r="A43" s="8">
        <v>42665.286099537036</v>
      </c>
      <c r="B43" s="21" t="s">
        <v>326</v>
      </c>
      <c r="C43" s="21" t="s">
        <v>478</v>
      </c>
      <c r="D43" s="21">
        <v>1260000</v>
      </c>
      <c r="E43" s="21" t="s">
        <v>455</v>
      </c>
      <c r="F43" s="21" t="str">
        <f t="shared" si="0"/>
        <v>rtdc.l.rtdc.4037:itc</v>
      </c>
      <c r="G43" s="8">
        <f t="shared" si="1"/>
        <v>42665.286099537036</v>
      </c>
    </row>
    <row r="44" spans="1:7" x14ac:dyDescent="0.25">
      <c r="A44" s="8">
        <v>42665.288923611108</v>
      </c>
      <c r="B44" s="21" t="s">
        <v>198</v>
      </c>
      <c r="C44" s="21" t="s">
        <v>479</v>
      </c>
      <c r="D44" s="21">
        <v>1830000</v>
      </c>
      <c r="E44" s="21" t="s">
        <v>328</v>
      </c>
      <c r="F44" s="21" t="str">
        <f t="shared" si="0"/>
        <v>rtdc.l.rtdc.4046:itc</v>
      </c>
      <c r="G44" s="8">
        <f t="shared" si="1"/>
        <v>42665.288923611108</v>
      </c>
    </row>
    <row r="45" spans="1:7" x14ac:dyDescent="0.25">
      <c r="A45" s="8">
        <v>42665.289224537039</v>
      </c>
      <c r="B45" s="21" t="s">
        <v>266</v>
      </c>
      <c r="C45" s="21" t="s">
        <v>480</v>
      </c>
      <c r="D45" s="21">
        <v>2010000</v>
      </c>
      <c r="E45" s="21" t="s">
        <v>312</v>
      </c>
      <c r="F45" s="21" t="str">
        <f t="shared" si="0"/>
        <v>rtdc.l.rtdc.4029:itc</v>
      </c>
      <c r="G45" s="8">
        <f t="shared" si="1"/>
        <v>42665.289224537039</v>
      </c>
    </row>
    <row r="46" spans="1:7" x14ac:dyDescent="0.25">
      <c r="A46" s="8">
        <v>42665.299166666664</v>
      </c>
      <c r="B46" s="21" t="s">
        <v>274</v>
      </c>
      <c r="C46" s="21" t="s">
        <v>415</v>
      </c>
      <c r="D46" s="21">
        <v>1760000</v>
      </c>
      <c r="E46" s="21" t="s">
        <v>313</v>
      </c>
      <c r="F46" s="21" t="str">
        <f t="shared" si="0"/>
        <v>rtdc.l.rtdc.4053:itc</v>
      </c>
      <c r="G46" s="8">
        <f t="shared" si="1"/>
        <v>42665.299166666664</v>
      </c>
    </row>
    <row r="47" spans="1:7" x14ac:dyDescent="0.25">
      <c r="A47" s="8">
        <v>42665.299861111111</v>
      </c>
      <c r="B47" s="21" t="s">
        <v>254</v>
      </c>
      <c r="C47" s="21" t="s">
        <v>481</v>
      </c>
      <c r="D47" s="21">
        <v>1990000</v>
      </c>
      <c r="E47" s="21" t="s">
        <v>356</v>
      </c>
      <c r="F47" s="21" t="str">
        <f t="shared" si="0"/>
        <v>rtdc.l.rtdc.4041:itc</v>
      </c>
      <c r="G47" s="8">
        <f t="shared" si="1"/>
        <v>42665.299861111111</v>
      </c>
    </row>
    <row r="48" spans="1:7" x14ac:dyDescent="0.25">
      <c r="A48" s="8">
        <v>42665.308206018519</v>
      </c>
      <c r="B48" s="21" t="s">
        <v>211</v>
      </c>
      <c r="C48" s="21" t="s">
        <v>482</v>
      </c>
      <c r="D48" s="21">
        <v>2030000</v>
      </c>
      <c r="E48" s="21" t="s">
        <v>459</v>
      </c>
      <c r="F48" s="21" t="str">
        <f t="shared" si="0"/>
        <v>rtdc.l.rtdc.4043:itc</v>
      </c>
      <c r="G48" s="8">
        <f t="shared" si="1"/>
        <v>42665.308206018519</v>
      </c>
    </row>
    <row r="49" spans="1:7" x14ac:dyDescent="0.25">
      <c r="A49" s="8">
        <v>42665.311203703706</v>
      </c>
      <c r="B49" s="21" t="s">
        <v>428</v>
      </c>
      <c r="C49" s="21" t="s">
        <v>483</v>
      </c>
      <c r="D49" s="21">
        <v>1310000</v>
      </c>
      <c r="E49" s="21" t="s">
        <v>357</v>
      </c>
      <c r="F49" s="21" t="str">
        <f t="shared" si="0"/>
        <v>rtdc.l.rtdc.4031:itc</v>
      </c>
      <c r="G49" s="8">
        <f t="shared" si="1"/>
        <v>42665.311203703706</v>
      </c>
    </row>
    <row r="50" spans="1:7" x14ac:dyDescent="0.25">
      <c r="A50" s="8">
        <v>42665.315254629626</v>
      </c>
      <c r="B50" s="21" t="s">
        <v>261</v>
      </c>
      <c r="C50" s="21" t="s">
        <v>417</v>
      </c>
      <c r="D50" s="21">
        <v>1100000</v>
      </c>
      <c r="E50" s="21" t="s">
        <v>358</v>
      </c>
      <c r="F50" s="21" t="str">
        <f t="shared" si="0"/>
        <v>rtdc.l.rtdc.4012:itc</v>
      </c>
      <c r="G50" s="8">
        <f t="shared" si="1"/>
        <v>42665.315254629626</v>
      </c>
    </row>
    <row r="51" spans="1:7" x14ac:dyDescent="0.25">
      <c r="A51" s="8">
        <v>42665.317303240743</v>
      </c>
      <c r="B51" s="21" t="s">
        <v>350</v>
      </c>
      <c r="C51" s="21" t="s">
        <v>484</v>
      </c>
      <c r="D51" s="21">
        <v>1830000</v>
      </c>
      <c r="E51" s="21" t="s">
        <v>328</v>
      </c>
      <c r="F51" s="21" t="str">
        <f t="shared" si="0"/>
        <v>rtdc.l.rtdc.4045:itc</v>
      </c>
      <c r="G51" s="8">
        <f t="shared" si="1"/>
        <v>42665.317303240743</v>
      </c>
    </row>
    <row r="52" spans="1:7" x14ac:dyDescent="0.25">
      <c r="A52" s="8">
        <v>42665.318391203706</v>
      </c>
      <c r="B52" s="21" t="s">
        <v>329</v>
      </c>
      <c r="C52" s="21" t="s">
        <v>478</v>
      </c>
      <c r="D52" s="21">
        <v>1260000</v>
      </c>
      <c r="E52" s="21" t="s">
        <v>455</v>
      </c>
      <c r="F52" s="21" t="str">
        <f t="shared" si="0"/>
        <v>rtdc.l.rtdc.4038:itc</v>
      </c>
      <c r="G52" s="8">
        <f t="shared" si="1"/>
        <v>42665.318391203706</v>
      </c>
    </row>
    <row r="53" spans="1:7" x14ac:dyDescent="0.25">
      <c r="A53" s="8">
        <v>42665.319398148145</v>
      </c>
      <c r="B53" s="21" t="s">
        <v>329</v>
      </c>
      <c r="C53" s="21" t="s">
        <v>485</v>
      </c>
      <c r="D53" s="21">
        <v>1260000</v>
      </c>
      <c r="E53" s="21" t="s">
        <v>455</v>
      </c>
      <c r="F53" s="21" t="str">
        <f t="shared" si="0"/>
        <v>rtdc.l.rtdc.4038:itc</v>
      </c>
      <c r="G53" s="8">
        <f t="shared" si="1"/>
        <v>42665.319398148145</v>
      </c>
    </row>
    <row r="54" spans="1:7" x14ac:dyDescent="0.25">
      <c r="A54" s="8">
        <v>42665.326979166668</v>
      </c>
      <c r="B54" s="21" t="s">
        <v>267</v>
      </c>
      <c r="C54" s="21" t="s">
        <v>486</v>
      </c>
      <c r="D54" s="21">
        <v>2010000</v>
      </c>
      <c r="E54" s="21" t="s">
        <v>312</v>
      </c>
      <c r="F54" s="21" t="str">
        <f t="shared" si="0"/>
        <v>rtdc.l.rtdc.4030:itc</v>
      </c>
      <c r="G54" s="8">
        <f t="shared" si="1"/>
        <v>42665.326979166668</v>
      </c>
    </row>
    <row r="55" spans="1:7" x14ac:dyDescent="0.25">
      <c r="A55" s="8">
        <v>42665.329479166663</v>
      </c>
      <c r="B55" s="21" t="s">
        <v>253</v>
      </c>
      <c r="C55" s="21" t="s">
        <v>418</v>
      </c>
      <c r="D55" s="21">
        <v>1990000</v>
      </c>
      <c r="E55" s="21" t="s">
        <v>356</v>
      </c>
      <c r="F55" s="21" t="str">
        <f t="shared" si="0"/>
        <v>rtdc.l.rtdc.4042:itc</v>
      </c>
      <c r="G55" s="8">
        <f t="shared" si="1"/>
        <v>42665.329479166663</v>
      </c>
    </row>
    <row r="56" spans="1:7" x14ac:dyDescent="0.25">
      <c r="A56" s="8">
        <v>42665.337500000001</v>
      </c>
      <c r="B56" s="21" t="s">
        <v>273</v>
      </c>
      <c r="C56" s="21" t="s">
        <v>416</v>
      </c>
      <c r="D56" s="21">
        <v>1760000</v>
      </c>
      <c r="E56" s="21" t="s">
        <v>313</v>
      </c>
      <c r="F56" s="21" t="str">
        <f t="shared" si="0"/>
        <v>rtdc.l.rtdc.4054:itc</v>
      </c>
      <c r="G56" s="8">
        <f t="shared" si="1"/>
        <v>42665.337500000001</v>
      </c>
    </row>
    <row r="57" spans="1:7" x14ac:dyDescent="0.25">
      <c r="A57" s="8">
        <v>42665.338854166665</v>
      </c>
      <c r="B57" s="21" t="s">
        <v>196</v>
      </c>
      <c r="C57" s="21" t="s">
        <v>487</v>
      </c>
      <c r="D57" s="21">
        <v>2030000</v>
      </c>
      <c r="E57" s="21" t="s">
        <v>459</v>
      </c>
      <c r="F57" s="21" t="str">
        <f t="shared" si="0"/>
        <v>rtdc.l.rtdc.4044:itc</v>
      </c>
      <c r="G57" s="8">
        <f t="shared" si="1"/>
        <v>42665.338854166665</v>
      </c>
    </row>
    <row r="58" spans="1:7" x14ac:dyDescent="0.25">
      <c r="A58" s="8">
        <v>42665.346863425926</v>
      </c>
      <c r="B58" s="21" t="s">
        <v>198</v>
      </c>
      <c r="C58" s="21" t="s">
        <v>488</v>
      </c>
      <c r="D58" s="21">
        <v>1830000</v>
      </c>
      <c r="E58" s="21" t="s">
        <v>328</v>
      </c>
      <c r="F58" s="21" t="str">
        <f t="shared" si="0"/>
        <v>rtdc.l.rtdc.4046:itc</v>
      </c>
      <c r="G58" s="8">
        <f t="shared" si="1"/>
        <v>42665.346863425926</v>
      </c>
    </row>
    <row r="59" spans="1:7" x14ac:dyDescent="0.25">
      <c r="A59" s="8">
        <v>42665.350138888891</v>
      </c>
      <c r="B59" s="21" t="s">
        <v>441</v>
      </c>
      <c r="C59" s="21" t="s">
        <v>489</v>
      </c>
      <c r="D59" s="21">
        <v>1310000</v>
      </c>
      <c r="E59" s="21" t="s">
        <v>357</v>
      </c>
      <c r="F59" s="21" t="str">
        <f t="shared" si="0"/>
        <v>rtdc.l.rtdc.4032:itc</v>
      </c>
      <c r="G59" s="8">
        <f t="shared" si="1"/>
        <v>42665.350138888891</v>
      </c>
    </row>
    <row r="60" spans="1:7" x14ac:dyDescent="0.25">
      <c r="A60" s="8">
        <v>42665.350659722222</v>
      </c>
      <c r="B60" s="21" t="s">
        <v>450</v>
      </c>
      <c r="C60" s="21" t="s">
        <v>490</v>
      </c>
      <c r="D60" s="21">
        <v>1100000</v>
      </c>
      <c r="E60" s="21" t="s">
        <v>358</v>
      </c>
      <c r="F60" s="21" t="str">
        <f t="shared" si="0"/>
        <v>rtdc.l.rtdc.4011:itc</v>
      </c>
      <c r="G60" s="8">
        <f t="shared" si="1"/>
        <v>42665.350659722222</v>
      </c>
    </row>
    <row r="61" spans="1:7" x14ac:dyDescent="0.25">
      <c r="A61" s="8">
        <v>42665.351134259261</v>
      </c>
      <c r="B61" s="21" t="s">
        <v>441</v>
      </c>
      <c r="C61" s="21" t="s">
        <v>489</v>
      </c>
      <c r="D61" s="21">
        <v>1310000</v>
      </c>
      <c r="E61" s="21" t="s">
        <v>357</v>
      </c>
      <c r="F61" s="21" t="str">
        <f t="shared" si="0"/>
        <v>rtdc.l.rtdc.4032:itc</v>
      </c>
      <c r="G61" s="8">
        <f t="shared" si="1"/>
        <v>42665.351134259261</v>
      </c>
    </row>
    <row r="62" spans="1:7" x14ac:dyDescent="0.25">
      <c r="A62" s="8">
        <v>42665.355891203704</v>
      </c>
      <c r="B62" s="21" t="s">
        <v>326</v>
      </c>
      <c r="C62" s="21" t="s">
        <v>491</v>
      </c>
      <c r="D62" s="21">
        <v>1260000</v>
      </c>
      <c r="E62" s="21" t="s">
        <v>455</v>
      </c>
      <c r="F62" s="21" t="str">
        <f t="shared" si="0"/>
        <v>rtdc.l.rtdc.4037:itc</v>
      </c>
      <c r="G62" s="8">
        <f t="shared" si="1"/>
        <v>42665.355891203704</v>
      </c>
    </row>
    <row r="63" spans="1:7" x14ac:dyDescent="0.25">
      <c r="A63" s="8">
        <v>42665.359444444446</v>
      </c>
      <c r="B63" s="21" t="s">
        <v>350</v>
      </c>
      <c r="C63" s="21" t="s">
        <v>492</v>
      </c>
      <c r="D63" s="21">
        <v>1830000</v>
      </c>
      <c r="E63" s="21" t="s">
        <v>328</v>
      </c>
      <c r="F63" s="21" t="str">
        <f t="shared" si="0"/>
        <v>rtdc.l.rtdc.4045:itc</v>
      </c>
      <c r="G63" s="8">
        <f t="shared" si="1"/>
        <v>42665.359444444446</v>
      </c>
    </row>
    <row r="64" spans="1:7" x14ac:dyDescent="0.25">
      <c r="A64" s="27">
        <v>42665.359606481485</v>
      </c>
      <c r="B64" s="21" t="s">
        <v>266</v>
      </c>
      <c r="C64" s="21" t="s">
        <v>493</v>
      </c>
      <c r="D64" s="21">
        <v>2010000</v>
      </c>
      <c r="E64" s="21" t="s">
        <v>312</v>
      </c>
      <c r="F64" s="21" t="str">
        <f t="shared" si="0"/>
        <v>rtdc.l.rtdc.4029:itc</v>
      </c>
      <c r="G64" s="8">
        <f t="shared" si="1"/>
        <v>42665.359606481485</v>
      </c>
    </row>
    <row r="65" spans="1:7" x14ac:dyDescent="0.25">
      <c r="A65" s="8">
        <v>42665.366793981484</v>
      </c>
      <c r="B65" s="21" t="s">
        <v>254</v>
      </c>
      <c r="C65" s="21" t="s">
        <v>494</v>
      </c>
      <c r="D65" s="21">
        <v>1990000</v>
      </c>
      <c r="E65" s="21" t="s">
        <v>356</v>
      </c>
      <c r="F65" s="21" t="str">
        <f t="shared" si="0"/>
        <v>rtdc.l.rtdc.4041:itc</v>
      </c>
      <c r="G65" s="8">
        <f t="shared" si="1"/>
        <v>42665.366793981484</v>
      </c>
    </row>
    <row r="66" spans="1:7" x14ac:dyDescent="0.25">
      <c r="A66" s="8">
        <v>42665.37226851852</v>
      </c>
      <c r="B66" s="21" t="s">
        <v>274</v>
      </c>
      <c r="C66" s="21" t="s">
        <v>420</v>
      </c>
      <c r="D66" s="21">
        <v>1760000</v>
      </c>
      <c r="E66" s="21" t="s">
        <v>313</v>
      </c>
      <c r="F66" s="21" t="str">
        <f t="shared" ref="F66:F129" si="2">B66</f>
        <v>rtdc.l.rtdc.4053:itc</v>
      </c>
      <c r="G66" s="8">
        <f t="shared" ref="G66:G129" si="3">A66</f>
        <v>42665.37226851852</v>
      </c>
    </row>
    <row r="67" spans="1:7" x14ac:dyDescent="0.25">
      <c r="A67" s="8">
        <v>42665.372384259259</v>
      </c>
      <c r="B67" s="21" t="s">
        <v>198</v>
      </c>
      <c r="C67" s="21" t="s">
        <v>419</v>
      </c>
      <c r="D67" s="21">
        <v>1830000</v>
      </c>
      <c r="E67" s="21" t="s">
        <v>328</v>
      </c>
      <c r="F67" s="21" t="str">
        <f t="shared" si="2"/>
        <v>rtdc.l.rtdc.4046:itc</v>
      </c>
      <c r="G67" s="8">
        <f t="shared" si="3"/>
        <v>42665.372384259259</v>
      </c>
    </row>
    <row r="68" spans="1:7" x14ac:dyDescent="0.25">
      <c r="A68" s="8">
        <v>42665.37572916667</v>
      </c>
      <c r="B68" s="21" t="s">
        <v>211</v>
      </c>
      <c r="C68" s="21" t="s">
        <v>495</v>
      </c>
      <c r="D68" s="21">
        <v>2030000</v>
      </c>
      <c r="E68" s="21" t="s">
        <v>459</v>
      </c>
      <c r="F68" s="21" t="str">
        <f t="shared" si="2"/>
        <v>rtdc.l.rtdc.4043:itc</v>
      </c>
      <c r="G68" s="8">
        <f t="shared" si="3"/>
        <v>42665.37572916667</v>
      </c>
    </row>
    <row r="69" spans="1:7" x14ac:dyDescent="0.25">
      <c r="A69" s="8">
        <v>42665.383599537039</v>
      </c>
      <c r="B69" s="21" t="s">
        <v>428</v>
      </c>
      <c r="C69" s="21" t="s">
        <v>496</v>
      </c>
      <c r="D69" s="21">
        <v>1310000</v>
      </c>
      <c r="E69" s="21" t="s">
        <v>357</v>
      </c>
      <c r="F69" s="21" t="str">
        <f t="shared" si="2"/>
        <v>rtdc.l.rtdc.4031:itc</v>
      </c>
      <c r="G69" s="8">
        <f t="shared" si="3"/>
        <v>42665.383599537039</v>
      </c>
    </row>
    <row r="70" spans="1:7" x14ac:dyDescent="0.25">
      <c r="A70" s="8">
        <v>42665.387465277781</v>
      </c>
      <c r="B70" s="21" t="s">
        <v>261</v>
      </c>
      <c r="C70" s="21" t="s">
        <v>497</v>
      </c>
      <c r="D70" s="21">
        <v>1100000</v>
      </c>
      <c r="E70" s="21" t="s">
        <v>358</v>
      </c>
      <c r="F70" s="21" t="str">
        <f t="shared" si="2"/>
        <v>rtdc.l.rtdc.4012:itc</v>
      </c>
      <c r="G70" s="8">
        <f t="shared" si="3"/>
        <v>42665.387465277781</v>
      </c>
    </row>
    <row r="71" spans="1:7" x14ac:dyDescent="0.25">
      <c r="A71" s="8">
        <v>42665.390798611108</v>
      </c>
      <c r="B71" s="21" t="s">
        <v>329</v>
      </c>
      <c r="C71" s="21" t="s">
        <v>498</v>
      </c>
      <c r="D71" s="21">
        <v>1260000</v>
      </c>
      <c r="E71" s="21" t="s">
        <v>455</v>
      </c>
      <c r="F71" s="21" t="str">
        <f t="shared" si="2"/>
        <v>rtdc.l.rtdc.4038:itc</v>
      </c>
      <c r="G71" s="8">
        <f t="shared" si="3"/>
        <v>42665.390798611108</v>
      </c>
    </row>
    <row r="72" spans="1:7" x14ac:dyDescent="0.25">
      <c r="A72" s="8">
        <v>42665.395474537036</v>
      </c>
      <c r="B72" s="21" t="s">
        <v>267</v>
      </c>
      <c r="C72" s="21" t="s">
        <v>499</v>
      </c>
      <c r="D72" s="21">
        <v>2010000</v>
      </c>
      <c r="E72" s="21" t="s">
        <v>312</v>
      </c>
      <c r="F72" s="21" t="str">
        <f t="shared" si="2"/>
        <v>rtdc.l.rtdc.4030:itc</v>
      </c>
      <c r="G72" s="8">
        <f t="shared" si="3"/>
        <v>42665.395474537036</v>
      </c>
    </row>
    <row r="73" spans="1:7" x14ac:dyDescent="0.25">
      <c r="A73" s="8">
        <v>42665.400208333333</v>
      </c>
      <c r="B73" s="21" t="s">
        <v>350</v>
      </c>
      <c r="C73" s="21" t="s">
        <v>421</v>
      </c>
      <c r="D73" s="21">
        <v>1830000</v>
      </c>
      <c r="E73" s="21" t="s">
        <v>328</v>
      </c>
      <c r="F73" s="21" t="str">
        <f t="shared" si="2"/>
        <v>rtdc.l.rtdc.4045:itc</v>
      </c>
      <c r="G73" s="8">
        <f t="shared" si="3"/>
        <v>42665.400208333333</v>
      </c>
    </row>
    <row r="74" spans="1:7" x14ac:dyDescent="0.25">
      <c r="A74" s="8">
        <v>42665.402581018519</v>
      </c>
      <c r="B74" s="21" t="s">
        <v>253</v>
      </c>
      <c r="C74" s="21" t="s">
        <v>500</v>
      </c>
      <c r="D74" s="21">
        <v>1990000</v>
      </c>
      <c r="E74" s="21" t="s">
        <v>356</v>
      </c>
      <c r="F74" s="21" t="str">
        <f t="shared" si="2"/>
        <v>rtdc.l.rtdc.4042:itc</v>
      </c>
      <c r="G74" s="8">
        <f t="shared" si="3"/>
        <v>42665.402581018519</v>
      </c>
    </row>
    <row r="75" spans="1:7" x14ac:dyDescent="0.25">
      <c r="A75" s="8">
        <v>42665.410775462966</v>
      </c>
      <c r="B75" s="21" t="s">
        <v>273</v>
      </c>
      <c r="C75" s="21" t="s">
        <v>422</v>
      </c>
      <c r="D75" s="21">
        <v>1760000</v>
      </c>
      <c r="E75" s="21" t="s">
        <v>313</v>
      </c>
      <c r="F75" s="21" t="str">
        <f t="shared" si="2"/>
        <v>rtdc.l.rtdc.4054:itc</v>
      </c>
      <c r="G75" s="8">
        <f t="shared" si="3"/>
        <v>42665.410775462966</v>
      </c>
    </row>
    <row r="76" spans="1:7" x14ac:dyDescent="0.25">
      <c r="A76" s="8">
        <v>42665.411597222221</v>
      </c>
      <c r="B76" s="21" t="s">
        <v>196</v>
      </c>
      <c r="C76" s="21" t="s">
        <v>501</v>
      </c>
      <c r="D76" s="21">
        <v>2030000</v>
      </c>
      <c r="E76" s="21" t="s">
        <v>459</v>
      </c>
      <c r="F76" s="21" t="str">
        <f t="shared" si="2"/>
        <v>rtdc.l.rtdc.4044:itc</v>
      </c>
      <c r="G76" s="8">
        <f t="shared" si="3"/>
        <v>42665.411597222221</v>
      </c>
    </row>
    <row r="77" spans="1:7" x14ac:dyDescent="0.25">
      <c r="A77" s="8">
        <v>42665.422407407408</v>
      </c>
      <c r="B77" s="21" t="s">
        <v>441</v>
      </c>
      <c r="C77" s="21" t="s">
        <v>502</v>
      </c>
      <c r="D77" s="21">
        <v>1310000</v>
      </c>
      <c r="E77" s="21" t="s">
        <v>357</v>
      </c>
      <c r="F77" s="21" t="str">
        <f t="shared" si="2"/>
        <v>rtdc.l.rtdc.4032:itc</v>
      </c>
      <c r="G77" s="8">
        <f t="shared" si="3"/>
        <v>42665.422407407408</v>
      </c>
    </row>
    <row r="78" spans="1:7" x14ac:dyDescent="0.25">
      <c r="A78" s="8">
        <v>42665.423773148148</v>
      </c>
      <c r="B78" s="21" t="s">
        <v>450</v>
      </c>
      <c r="C78" s="21" t="s">
        <v>503</v>
      </c>
      <c r="D78" s="21">
        <v>1100000</v>
      </c>
      <c r="E78" s="21" t="s">
        <v>358</v>
      </c>
      <c r="F78" s="21" t="str">
        <f t="shared" si="2"/>
        <v>rtdc.l.rtdc.4011:itc</v>
      </c>
      <c r="G78" s="8">
        <f t="shared" si="3"/>
        <v>42665.423773148148</v>
      </c>
    </row>
    <row r="79" spans="1:7" x14ac:dyDescent="0.25">
      <c r="A79" s="8">
        <v>42665.428472222222</v>
      </c>
      <c r="B79" s="21" t="s">
        <v>326</v>
      </c>
      <c r="C79" s="21" t="s">
        <v>504</v>
      </c>
      <c r="D79" s="21">
        <v>1260000</v>
      </c>
      <c r="E79" s="21" t="s">
        <v>455</v>
      </c>
      <c r="F79" s="21" t="str">
        <f t="shared" si="2"/>
        <v>rtdc.l.rtdc.4037:itc</v>
      </c>
      <c r="G79" s="8">
        <f t="shared" si="3"/>
        <v>42665.428472222222</v>
      </c>
    </row>
    <row r="80" spans="1:7" x14ac:dyDescent="0.25">
      <c r="A80" s="8">
        <v>42665.431458333333</v>
      </c>
      <c r="B80" s="21" t="s">
        <v>198</v>
      </c>
      <c r="C80" s="21" t="s">
        <v>505</v>
      </c>
      <c r="D80" s="21">
        <v>1830000</v>
      </c>
      <c r="E80" s="21" t="s">
        <v>328</v>
      </c>
      <c r="F80" s="21" t="str">
        <f t="shared" si="2"/>
        <v>rtdc.l.rtdc.4046:itc</v>
      </c>
      <c r="G80" s="8">
        <f t="shared" si="3"/>
        <v>42665.431458333333</v>
      </c>
    </row>
    <row r="81" spans="1:7" x14ac:dyDescent="0.25">
      <c r="A81" s="8">
        <v>42665.432870370372</v>
      </c>
      <c r="B81" s="21" t="s">
        <v>266</v>
      </c>
      <c r="C81" s="21" t="s">
        <v>506</v>
      </c>
      <c r="D81" s="21">
        <v>930000</v>
      </c>
      <c r="E81" s="21" t="s">
        <v>360</v>
      </c>
      <c r="F81" s="21" t="str">
        <f t="shared" si="2"/>
        <v>rtdc.l.rtdc.4029:itc</v>
      </c>
      <c r="G81" s="8">
        <f t="shared" si="3"/>
        <v>42665.432870370372</v>
      </c>
    </row>
    <row r="82" spans="1:7" x14ac:dyDescent="0.25">
      <c r="A82" s="8">
        <v>42665.441319444442</v>
      </c>
      <c r="B82" s="21" t="s">
        <v>254</v>
      </c>
      <c r="C82" s="21" t="s">
        <v>423</v>
      </c>
      <c r="D82" s="21">
        <v>1990000</v>
      </c>
      <c r="E82" s="21" t="s">
        <v>356</v>
      </c>
      <c r="F82" s="21" t="str">
        <f t="shared" si="2"/>
        <v>rtdc.l.rtdc.4041:itc</v>
      </c>
      <c r="G82" s="8">
        <f t="shared" si="3"/>
        <v>42665.441319444442</v>
      </c>
    </row>
    <row r="83" spans="1:7" x14ac:dyDescent="0.25">
      <c r="A83" s="8">
        <v>42665.444618055553</v>
      </c>
      <c r="B83" s="21" t="s">
        <v>350</v>
      </c>
      <c r="C83" s="21" t="s">
        <v>507</v>
      </c>
      <c r="D83" s="21">
        <v>1830000</v>
      </c>
      <c r="E83" s="21" t="s">
        <v>328</v>
      </c>
      <c r="F83" s="21" t="str">
        <f t="shared" si="2"/>
        <v>rtdc.l.rtdc.4045:itc</v>
      </c>
      <c r="G83" s="8">
        <f t="shared" si="3"/>
        <v>42665.444618055553</v>
      </c>
    </row>
    <row r="84" spans="1:7" x14ac:dyDescent="0.25">
      <c r="A84" s="8">
        <v>42665.446967592594</v>
      </c>
      <c r="B84" s="21" t="s">
        <v>274</v>
      </c>
      <c r="C84" s="21" t="s">
        <v>508</v>
      </c>
      <c r="D84" s="21">
        <v>2280000</v>
      </c>
      <c r="E84" s="21" t="s">
        <v>509</v>
      </c>
      <c r="F84" s="21" t="str">
        <f t="shared" si="2"/>
        <v>rtdc.l.rtdc.4053:itc</v>
      </c>
      <c r="G84" s="8">
        <f t="shared" si="3"/>
        <v>42665.446967592594</v>
      </c>
    </row>
    <row r="85" spans="1:7" x14ac:dyDescent="0.25">
      <c r="A85" s="8">
        <v>42665.448611111111</v>
      </c>
      <c r="B85" s="21" t="s">
        <v>211</v>
      </c>
      <c r="C85" s="21" t="s">
        <v>510</v>
      </c>
      <c r="D85" s="21">
        <v>2030000</v>
      </c>
      <c r="E85" s="21" t="s">
        <v>459</v>
      </c>
      <c r="F85" s="21" t="str">
        <f t="shared" si="2"/>
        <v>rtdc.l.rtdc.4043:itc</v>
      </c>
      <c r="G85" s="8">
        <f t="shared" si="3"/>
        <v>42665.448611111111</v>
      </c>
    </row>
    <row r="86" spans="1:7" x14ac:dyDescent="0.25">
      <c r="A86" s="8">
        <v>42665.454201388886</v>
      </c>
      <c r="B86" s="21" t="s">
        <v>428</v>
      </c>
      <c r="C86" s="21" t="s">
        <v>511</v>
      </c>
      <c r="D86" s="21">
        <v>880000</v>
      </c>
      <c r="E86" s="21" t="s">
        <v>359</v>
      </c>
      <c r="F86" s="21" t="str">
        <f t="shared" si="2"/>
        <v>rtdc.l.rtdc.4031:itc</v>
      </c>
      <c r="G86" s="8">
        <f t="shared" si="3"/>
        <v>42665.454201388886</v>
      </c>
    </row>
    <row r="87" spans="1:7" x14ac:dyDescent="0.25">
      <c r="A87" s="8">
        <v>42665.462384259263</v>
      </c>
      <c r="B87" s="21" t="s">
        <v>261</v>
      </c>
      <c r="C87" s="21" t="s">
        <v>512</v>
      </c>
      <c r="D87" s="21">
        <v>1100000</v>
      </c>
      <c r="E87" s="21" t="s">
        <v>358</v>
      </c>
      <c r="F87" s="21" t="str">
        <f t="shared" si="2"/>
        <v>rtdc.l.rtdc.4012:itc</v>
      </c>
      <c r="G87" s="8">
        <f t="shared" si="3"/>
        <v>42665.462384259263</v>
      </c>
    </row>
    <row r="88" spans="1:7" x14ac:dyDescent="0.25">
      <c r="A88" s="8">
        <v>42665.463819444441</v>
      </c>
      <c r="B88" s="21" t="s">
        <v>329</v>
      </c>
      <c r="C88" s="21" t="s">
        <v>424</v>
      </c>
      <c r="D88" s="21">
        <v>1280000</v>
      </c>
      <c r="E88" s="21" t="s">
        <v>513</v>
      </c>
      <c r="F88" s="21" t="str">
        <f t="shared" si="2"/>
        <v>rtdc.l.rtdc.4038:itc</v>
      </c>
      <c r="G88" s="8">
        <f t="shared" si="3"/>
        <v>42665.463819444441</v>
      </c>
    </row>
    <row r="89" spans="1:7" x14ac:dyDescent="0.25">
      <c r="A89" s="8">
        <v>42665.471724537034</v>
      </c>
      <c r="B89" s="21" t="s">
        <v>198</v>
      </c>
      <c r="C89" s="21" t="s">
        <v>425</v>
      </c>
      <c r="D89" s="21">
        <v>1830000</v>
      </c>
      <c r="E89" s="21" t="s">
        <v>328</v>
      </c>
      <c r="F89" s="21" t="str">
        <f t="shared" si="2"/>
        <v>rtdc.l.rtdc.4046:itc</v>
      </c>
      <c r="G89" s="8">
        <f t="shared" si="3"/>
        <v>42665.471724537034</v>
      </c>
    </row>
    <row r="90" spans="1:7" x14ac:dyDescent="0.25">
      <c r="A90" s="8">
        <v>42665.472627314812</v>
      </c>
      <c r="B90" s="21" t="s">
        <v>267</v>
      </c>
      <c r="C90" s="21" t="s">
        <v>514</v>
      </c>
      <c r="D90" s="21">
        <v>930000</v>
      </c>
      <c r="E90" s="21" t="s">
        <v>360</v>
      </c>
      <c r="F90" s="21" t="str">
        <f t="shared" si="2"/>
        <v>rtdc.l.rtdc.4030:itc</v>
      </c>
      <c r="G90" s="8">
        <f t="shared" si="3"/>
        <v>42665.472627314812</v>
      </c>
    </row>
    <row r="91" spans="1:7" x14ac:dyDescent="0.25">
      <c r="A91" s="8">
        <v>42665.477025462962</v>
      </c>
      <c r="B91" s="21" t="s">
        <v>273</v>
      </c>
      <c r="C91" s="21" t="s">
        <v>515</v>
      </c>
      <c r="D91" s="21">
        <v>2280000</v>
      </c>
      <c r="E91" s="21" t="s">
        <v>509</v>
      </c>
      <c r="F91" s="21" t="str">
        <f t="shared" si="2"/>
        <v>rtdc.l.rtdc.4054:itc</v>
      </c>
      <c r="G91" s="8">
        <f t="shared" si="3"/>
        <v>42665.477025462962</v>
      </c>
    </row>
    <row r="92" spans="1:7" x14ac:dyDescent="0.25">
      <c r="A92" s="8">
        <v>42665.47896990741</v>
      </c>
      <c r="B92" s="21" t="s">
        <v>253</v>
      </c>
      <c r="C92" s="21" t="s">
        <v>516</v>
      </c>
      <c r="D92" s="21">
        <v>2040000</v>
      </c>
      <c r="E92" s="21" t="s">
        <v>315</v>
      </c>
      <c r="F92" s="21" t="str">
        <f t="shared" si="2"/>
        <v>rtdc.l.rtdc.4042:itc</v>
      </c>
      <c r="G92" s="8">
        <f t="shared" si="3"/>
        <v>42665.47896990741</v>
      </c>
    </row>
    <row r="93" spans="1:7" x14ac:dyDescent="0.25">
      <c r="A93" s="8">
        <v>42665.483090277776</v>
      </c>
      <c r="B93" s="21" t="s">
        <v>350</v>
      </c>
      <c r="C93" s="21" t="s">
        <v>517</v>
      </c>
      <c r="D93" s="21">
        <v>1830000</v>
      </c>
      <c r="E93" s="21" t="s">
        <v>328</v>
      </c>
      <c r="F93" s="21" t="str">
        <f t="shared" si="2"/>
        <v>rtdc.l.rtdc.4045:itc</v>
      </c>
      <c r="G93" s="8">
        <f t="shared" si="3"/>
        <v>42665.483090277776</v>
      </c>
    </row>
    <row r="94" spans="1:7" x14ac:dyDescent="0.25">
      <c r="A94" s="8">
        <v>42665.486921296295</v>
      </c>
      <c r="B94" s="21" t="s">
        <v>196</v>
      </c>
      <c r="C94" s="21" t="s">
        <v>518</v>
      </c>
      <c r="D94" s="21">
        <v>2020000</v>
      </c>
      <c r="E94" s="21" t="s">
        <v>330</v>
      </c>
      <c r="F94" s="21" t="str">
        <f t="shared" si="2"/>
        <v>rtdc.l.rtdc.4044:itc</v>
      </c>
      <c r="G94" s="8">
        <f t="shared" si="3"/>
        <v>42665.486921296295</v>
      </c>
    </row>
    <row r="95" spans="1:7" x14ac:dyDescent="0.25">
      <c r="A95" s="8">
        <v>42665.495706018519</v>
      </c>
      <c r="B95" s="21" t="s">
        <v>441</v>
      </c>
      <c r="C95" s="21" t="s">
        <v>519</v>
      </c>
      <c r="D95" s="21">
        <v>880000</v>
      </c>
      <c r="E95" s="21" t="s">
        <v>359</v>
      </c>
      <c r="F95" s="21" t="str">
        <f t="shared" si="2"/>
        <v>rtdc.l.rtdc.4032:itc</v>
      </c>
      <c r="G95" s="8">
        <f t="shared" si="3"/>
        <v>42665.495706018519</v>
      </c>
    </row>
    <row r="96" spans="1:7" x14ac:dyDescent="0.25">
      <c r="A96" s="8">
        <v>42665.496898148151</v>
      </c>
      <c r="B96" s="21" t="s">
        <v>450</v>
      </c>
      <c r="C96" s="21" t="s">
        <v>520</v>
      </c>
      <c r="D96" s="21">
        <v>1770000</v>
      </c>
      <c r="E96" s="21" t="s">
        <v>521</v>
      </c>
      <c r="F96" s="21" t="str">
        <f t="shared" si="2"/>
        <v>rtdc.l.rtdc.4011:itc</v>
      </c>
      <c r="G96" s="8">
        <f t="shared" si="3"/>
        <v>42665.496898148151</v>
      </c>
    </row>
    <row r="97" spans="1:7" x14ac:dyDescent="0.25">
      <c r="A97" s="8">
        <v>42665.497164351851</v>
      </c>
      <c r="B97" s="21" t="s">
        <v>326</v>
      </c>
      <c r="C97" s="21" t="s">
        <v>522</v>
      </c>
      <c r="D97" s="21">
        <v>1280000</v>
      </c>
      <c r="E97" s="21" t="s">
        <v>513</v>
      </c>
      <c r="F97" s="21" t="str">
        <f t="shared" si="2"/>
        <v>rtdc.l.rtdc.4037:itc</v>
      </c>
      <c r="G97" s="8">
        <f t="shared" si="3"/>
        <v>42665.497164351851</v>
      </c>
    </row>
    <row r="98" spans="1:7" x14ac:dyDescent="0.25">
      <c r="A98" s="8">
        <v>42665.498043981483</v>
      </c>
      <c r="B98" s="21" t="s">
        <v>198</v>
      </c>
      <c r="C98" s="21" t="s">
        <v>523</v>
      </c>
      <c r="D98" s="21">
        <v>1830000</v>
      </c>
      <c r="E98" s="21" t="s">
        <v>328</v>
      </c>
      <c r="F98" s="21" t="str">
        <f t="shared" si="2"/>
        <v>rtdc.l.rtdc.4046:itc</v>
      </c>
      <c r="G98" s="8">
        <f t="shared" si="3"/>
        <v>42665.498043981483</v>
      </c>
    </row>
    <row r="99" spans="1:7" x14ac:dyDescent="0.25">
      <c r="A99" s="8">
        <v>42665.506527777776</v>
      </c>
      <c r="B99" s="21" t="s">
        <v>266</v>
      </c>
      <c r="C99" s="21" t="s">
        <v>524</v>
      </c>
      <c r="D99" s="21">
        <v>930000</v>
      </c>
      <c r="E99" s="21" t="s">
        <v>360</v>
      </c>
      <c r="F99" s="21" t="str">
        <f t="shared" si="2"/>
        <v>rtdc.l.rtdc.4029:itc</v>
      </c>
      <c r="G99" s="8">
        <f t="shared" si="3"/>
        <v>42665.506527777776</v>
      </c>
    </row>
    <row r="100" spans="1:7" x14ac:dyDescent="0.25">
      <c r="A100" s="8">
        <v>42665.515208333331</v>
      </c>
      <c r="B100" s="21" t="s">
        <v>254</v>
      </c>
      <c r="C100" s="21" t="s">
        <v>525</v>
      </c>
      <c r="D100" s="21">
        <v>2040000</v>
      </c>
      <c r="E100" s="21" t="s">
        <v>315</v>
      </c>
      <c r="F100" s="21" t="str">
        <f t="shared" si="2"/>
        <v>rtdc.l.rtdc.4041:itc</v>
      </c>
      <c r="G100" s="8">
        <f t="shared" si="3"/>
        <v>42665.515208333331</v>
      </c>
    </row>
    <row r="101" spans="1:7" x14ac:dyDescent="0.25">
      <c r="A101" s="8">
        <v>42665.519363425927</v>
      </c>
      <c r="B101" s="21" t="s">
        <v>274</v>
      </c>
      <c r="C101" s="21" t="s">
        <v>526</v>
      </c>
      <c r="D101" s="21">
        <v>1740000</v>
      </c>
      <c r="E101" s="21" t="s">
        <v>290</v>
      </c>
      <c r="F101" s="21" t="str">
        <f t="shared" si="2"/>
        <v>rtdc.l.rtdc.4053:itc</v>
      </c>
      <c r="G101" s="8">
        <f t="shared" si="3"/>
        <v>42665.519363425927</v>
      </c>
    </row>
    <row r="102" spans="1:7" x14ac:dyDescent="0.25">
      <c r="A102" s="8">
        <v>42665.524791666663</v>
      </c>
      <c r="B102" s="21" t="s">
        <v>211</v>
      </c>
      <c r="C102" s="21" t="s">
        <v>527</v>
      </c>
      <c r="D102" s="21">
        <v>2020000</v>
      </c>
      <c r="E102" s="21" t="s">
        <v>330</v>
      </c>
      <c r="F102" s="21" t="str">
        <f t="shared" si="2"/>
        <v>rtdc.l.rtdc.4043:itc</v>
      </c>
      <c r="G102" s="8">
        <f t="shared" si="3"/>
        <v>42665.524791666663</v>
      </c>
    </row>
    <row r="103" spans="1:7" x14ac:dyDescent="0.25">
      <c r="A103" s="8">
        <v>42665.525451388887</v>
      </c>
      <c r="B103" s="21" t="s">
        <v>350</v>
      </c>
      <c r="C103" s="21" t="s">
        <v>426</v>
      </c>
      <c r="D103" s="21">
        <v>1830000</v>
      </c>
      <c r="E103" s="21" t="s">
        <v>328</v>
      </c>
      <c r="F103" s="21" t="str">
        <f t="shared" si="2"/>
        <v>rtdc.l.rtdc.4045:itc</v>
      </c>
      <c r="G103" s="8">
        <f t="shared" si="3"/>
        <v>42665.525451388887</v>
      </c>
    </row>
    <row r="104" spans="1:7" x14ac:dyDescent="0.25">
      <c r="A104" s="8">
        <v>42665.52820601852</v>
      </c>
      <c r="B104" s="21" t="s">
        <v>428</v>
      </c>
      <c r="C104" s="21" t="s">
        <v>429</v>
      </c>
      <c r="D104" s="21">
        <v>880000</v>
      </c>
      <c r="E104" s="21" t="s">
        <v>359</v>
      </c>
      <c r="F104" s="21" t="str">
        <f t="shared" si="2"/>
        <v>rtdc.l.rtdc.4031:itc</v>
      </c>
      <c r="G104" s="8">
        <f t="shared" si="3"/>
        <v>42665.52820601852</v>
      </c>
    </row>
    <row r="105" spans="1:7" x14ac:dyDescent="0.25">
      <c r="A105" s="8">
        <v>42665.529166666667</v>
      </c>
      <c r="B105" s="21" t="s">
        <v>350</v>
      </c>
      <c r="C105" s="21" t="s">
        <v>426</v>
      </c>
      <c r="D105" s="21">
        <v>1830000</v>
      </c>
      <c r="E105" s="21" t="s">
        <v>328</v>
      </c>
      <c r="F105" s="21" t="str">
        <f t="shared" si="2"/>
        <v>rtdc.l.rtdc.4045:itc</v>
      </c>
      <c r="G105" s="8">
        <f t="shared" si="3"/>
        <v>42665.529166666667</v>
      </c>
    </row>
    <row r="106" spans="1:7" x14ac:dyDescent="0.25">
      <c r="A106" s="8">
        <v>42665.535185185188</v>
      </c>
      <c r="B106" s="21" t="s">
        <v>261</v>
      </c>
      <c r="C106" s="21" t="s">
        <v>528</v>
      </c>
      <c r="D106" s="21">
        <v>1770000</v>
      </c>
      <c r="E106" s="21" t="s">
        <v>521</v>
      </c>
      <c r="F106" s="21" t="str">
        <f t="shared" si="2"/>
        <v>rtdc.l.rtdc.4012:itc</v>
      </c>
      <c r="G106" s="8">
        <f t="shared" si="3"/>
        <v>42665.535185185188</v>
      </c>
    </row>
    <row r="107" spans="1:7" x14ac:dyDescent="0.25">
      <c r="A107" s="8">
        <v>42665.537199074075</v>
      </c>
      <c r="B107" s="21" t="s">
        <v>329</v>
      </c>
      <c r="C107" s="21" t="s">
        <v>529</v>
      </c>
      <c r="D107" s="21">
        <v>1280000</v>
      </c>
      <c r="E107" s="21" t="s">
        <v>513</v>
      </c>
      <c r="F107" s="21" t="str">
        <f t="shared" si="2"/>
        <v>rtdc.l.rtdc.4038:itc</v>
      </c>
      <c r="G107" s="8">
        <f t="shared" si="3"/>
        <v>42665.537199074075</v>
      </c>
    </row>
    <row r="108" spans="1:7" x14ac:dyDescent="0.25">
      <c r="A108" s="8">
        <v>42665.541238425925</v>
      </c>
      <c r="B108" s="21" t="s">
        <v>198</v>
      </c>
      <c r="C108" s="21" t="s">
        <v>530</v>
      </c>
      <c r="D108" s="21">
        <v>1830000</v>
      </c>
      <c r="E108" s="21" t="s">
        <v>328</v>
      </c>
      <c r="F108" s="21" t="str">
        <f t="shared" si="2"/>
        <v>rtdc.l.rtdc.4046:itc</v>
      </c>
      <c r="G108" s="8">
        <f t="shared" si="3"/>
        <v>42665.541238425925</v>
      </c>
    </row>
    <row r="109" spans="1:7" x14ac:dyDescent="0.25">
      <c r="A109" s="8">
        <v>42665.546180555553</v>
      </c>
      <c r="B109" s="21" t="s">
        <v>267</v>
      </c>
      <c r="C109" s="21" t="s">
        <v>531</v>
      </c>
      <c r="D109" s="21">
        <v>930000</v>
      </c>
      <c r="E109" s="21" t="s">
        <v>360</v>
      </c>
      <c r="F109" s="21" t="str">
        <f t="shared" si="2"/>
        <v>rtdc.l.rtdc.4030:itc</v>
      </c>
      <c r="G109" s="8">
        <f t="shared" si="3"/>
        <v>42665.546180555553</v>
      </c>
    </row>
    <row r="110" spans="1:7" x14ac:dyDescent="0.25">
      <c r="A110" s="8">
        <v>42665.550150462965</v>
      </c>
      <c r="B110" s="21" t="s">
        <v>253</v>
      </c>
      <c r="C110" s="21" t="s">
        <v>532</v>
      </c>
      <c r="D110" s="21">
        <v>2040000</v>
      </c>
      <c r="E110" s="21" t="s">
        <v>315</v>
      </c>
      <c r="F110" s="21" t="str">
        <f t="shared" si="2"/>
        <v>rtdc.l.rtdc.4042:itc</v>
      </c>
      <c r="G110" s="8">
        <f t="shared" si="3"/>
        <v>42665.550150462965</v>
      </c>
    </row>
    <row r="111" spans="1:7" x14ac:dyDescent="0.25">
      <c r="A111" s="8">
        <v>42665.555810185186</v>
      </c>
      <c r="B111" s="21" t="s">
        <v>273</v>
      </c>
      <c r="C111" s="21" t="s">
        <v>533</v>
      </c>
      <c r="D111" s="21">
        <v>1740000</v>
      </c>
      <c r="E111" s="21" t="s">
        <v>290</v>
      </c>
      <c r="F111" s="21" t="str">
        <f t="shared" si="2"/>
        <v>rtdc.l.rtdc.4054:itc</v>
      </c>
      <c r="G111" s="8">
        <f t="shared" si="3"/>
        <v>42665.555810185186</v>
      </c>
    </row>
    <row r="112" spans="1:7" x14ac:dyDescent="0.25">
      <c r="A112" s="8">
        <v>42665.557592592595</v>
      </c>
      <c r="B112" s="21" t="s">
        <v>196</v>
      </c>
      <c r="C112" s="21" t="s">
        <v>534</v>
      </c>
      <c r="D112" s="21">
        <v>2020000</v>
      </c>
      <c r="E112" s="21" t="s">
        <v>330</v>
      </c>
      <c r="F112" s="21" t="str">
        <f t="shared" si="2"/>
        <v>rtdc.l.rtdc.4044:itc</v>
      </c>
      <c r="G112" s="8">
        <f t="shared" si="3"/>
        <v>42665.557592592595</v>
      </c>
    </row>
    <row r="113" spans="1:7" x14ac:dyDescent="0.25">
      <c r="A113" s="8">
        <v>42665.567372685182</v>
      </c>
      <c r="B113" s="21" t="s">
        <v>350</v>
      </c>
      <c r="C113" s="21" t="s">
        <v>535</v>
      </c>
      <c r="D113" s="21">
        <v>1830000</v>
      </c>
      <c r="E113" s="21" t="s">
        <v>328</v>
      </c>
      <c r="F113" s="21" t="str">
        <f t="shared" si="2"/>
        <v>rtdc.l.rtdc.4045:itc</v>
      </c>
      <c r="G113" s="8">
        <f t="shared" si="3"/>
        <v>42665.567372685182</v>
      </c>
    </row>
    <row r="114" spans="1:7" x14ac:dyDescent="0.25">
      <c r="A114" s="8">
        <v>42665.567766203705</v>
      </c>
      <c r="B114" s="21" t="s">
        <v>450</v>
      </c>
      <c r="C114" s="21" t="s">
        <v>536</v>
      </c>
      <c r="D114" s="21">
        <v>1770000</v>
      </c>
      <c r="E114" s="21" t="s">
        <v>521</v>
      </c>
      <c r="F114" s="21" t="str">
        <f t="shared" si="2"/>
        <v>rtdc.l.rtdc.4011:itc</v>
      </c>
      <c r="G114" s="8">
        <f t="shared" si="3"/>
        <v>42665.567766203705</v>
      </c>
    </row>
    <row r="115" spans="1:7" x14ac:dyDescent="0.25">
      <c r="A115" s="8">
        <v>42665.568715277775</v>
      </c>
      <c r="B115" s="21" t="s">
        <v>441</v>
      </c>
      <c r="C115" s="21" t="s">
        <v>537</v>
      </c>
      <c r="D115" s="21">
        <v>880000</v>
      </c>
      <c r="E115" s="21" t="s">
        <v>359</v>
      </c>
      <c r="F115" s="21" t="str">
        <f t="shared" si="2"/>
        <v>rtdc.l.rtdc.4032:itc</v>
      </c>
      <c r="G115" s="8">
        <f t="shared" si="3"/>
        <v>42665.568715277775</v>
      </c>
    </row>
    <row r="116" spans="1:7" x14ac:dyDescent="0.25">
      <c r="A116" s="8">
        <v>42665.570370370369</v>
      </c>
      <c r="B116" s="21" t="s">
        <v>326</v>
      </c>
      <c r="C116" s="21" t="s">
        <v>431</v>
      </c>
      <c r="D116" s="21">
        <v>1280000</v>
      </c>
      <c r="E116" s="21" t="s">
        <v>513</v>
      </c>
      <c r="F116" s="21" t="str">
        <f t="shared" si="2"/>
        <v>rtdc.l.rtdc.4037:itc</v>
      </c>
      <c r="G116" s="8">
        <f t="shared" si="3"/>
        <v>42665.570370370369</v>
      </c>
    </row>
    <row r="117" spans="1:7" x14ac:dyDescent="0.25">
      <c r="A117" s="8">
        <v>42665.581493055557</v>
      </c>
      <c r="B117" s="21" t="s">
        <v>266</v>
      </c>
      <c r="C117" s="21" t="s">
        <v>538</v>
      </c>
      <c r="D117" s="21">
        <v>930000</v>
      </c>
      <c r="E117" s="21" t="s">
        <v>360</v>
      </c>
      <c r="F117" s="21" t="str">
        <f t="shared" si="2"/>
        <v>rtdc.l.rtdc.4029:itc</v>
      </c>
      <c r="G117" s="8">
        <f t="shared" si="3"/>
        <v>42665.581493055557</v>
      </c>
    </row>
    <row r="118" spans="1:7" x14ac:dyDescent="0.25">
      <c r="A118" s="8">
        <v>42665.587083333332</v>
      </c>
      <c r="B118" s="21" t="s">
        <v>254</v>
      </c>
      <c r="C118" s="21" t="s">
        <v>539</v>
      </c>
      <c r="D118" s="21">
        <v>2040000</v>
      </c>
      <c r="E118" s="21" t="s">
        <v>315</v>
      </c>
      <c r="F118" s="21" t="str">
        <f t="shared" si="2"/>
        <v>rtdc.l.rtdc.4041:itc</v>
      </c>
      <c r="G118" s="8">
        <f t="shared" si="3"/>
        <v>42665.587083333332</v>
      </c>
    </row>
    <row r="119" spans="1:7" x14ac:dyDescent="0.25">
      <c r="A119" s="8">
        <v>42665.58871527778</v>
      </c>
      <c r="B119" s="21" t="s">
        <v>274</v>
      </c>
      <c r="C119" s="21" t="s">
        <v>540</v>
      </c>
      <c r="D119" s="21">
        <v>1740000</v>
      </c>
      <c r="E119" s="21" t="s">
        <v>290</v>
      </c>
      <c r="F119" s="21" t="str">
        <f t="shared" si="2"/>
        <v>rtdc.l.rtdc.4053:itc</v>
      </c>
      <c r="G119" s="8">
        <f t="shared" si="3"/>
        <v>42665.58871527778</v>
      </c>
    </row>
    <row r="120" spans="1:7" x14ac:dyDescent="0.25">
      <c r="A120" s="8">
        <v>42665.591898148145</v>
      </c>
      <c r="B120" s="21" t="s">
        <v>198</v>
      </c>
      <c r="C120" s="21" t="s">
        <v>430</v>
      </c>
      <c r="D120" s="21">
        <v>1820000</v>
      </c>
      <c r="E120" s="21" t="s">
        <v>314</v>
      </c>
      <c r="F120" s="21" t="str">
        <f t="shared" si="2"/>
        <v>rtdc.l.rtdc.4046:itc</v>
      </c>
      <c r="G120" s="8">
        <f t="shared" si="3"/>
        <v>42665.591898148145</v>
      </c>
    </row>
    <row r="121" spans="1:7" x14ac:dyDescent="0.25">
      <c r="A121" s="8">
        <v>42665.59547453704</v>
      </c>
      <c r="B121" s="21" t="s">
        <v>211</v>
      </c>
      <c r="C121" s="21" t="s">
        <v>541</v>
      </c>
      <c r="D121" s="21">
        <v>2020000</v>
      </c>
      <c r="E121" s="21" t="s">
        <v>330</v>
      </c>
      <c r="F121" s="21" t="str">
        <f t="shared" si="2"/>
        <v>rtdc.l.rtdc.4043:itc</v>
      </c>
      <c r="G121" s="8">
        <f t="shared" si="3"/>
        <v>42665.59547453704</v>
      </c>
    </row>
    <row r="122" spans="1:7" x14ac:dyDescent="0.25">
      <c r="A122" s="8">
        <v>42665.600543981483</v>
      </c>
      <c r="B122" s="26" t="s">
        <v>428</v>
      </c>
      <c r="C122" s="21" t="s">
        <v>542</v>
      </c>
      <c r="D122" s="21">
        <v>880000</v>
      </c>
      <c r="E122" s="21" t="s">
        <v>359</v>
      </c>
      <c r="F122" s="21" t="str">
        <f t="shared" si="2"/>
        <v>rtdc.l.rtdc.4031:itc</v>
      </c>
      <c r="G122" s="8">
        <f t="shared" si="3"/>
        <v>42665.600543981483</v>
      </c>
    </row>
    <row r="123" spans="1:7" x14ac:dyDescent="0.25">
      <c r="A123" s="8">
        <v>42665.604837962965</v>
      </c>
      <c r="B123" s="21" t="s">
        <v>261</v>
      </c>
      <c r="C123" s="21" t="s">
        <v>543</v>
      </c>
      <c r="D123" s="21">
        <v>1770000</v>
      </c>
      <c r="E123" s="21" t="s">
        <v>521</v>
      </c>
      <c r="F123" s="21" t="str">
        <f t="shared" si="2"/>
        <v>rtdc.l.rtdc.4012:itc</v>
      </c>
      <c r="G123" s="8">
        <f t="shared" si="3"/>
        <v>42665.604837962965</v>
      </c>
    </row>
    <row r="124" spans="1:7" x14ac:dyDescent="0.25">
      <c r="A124" s="8">
        <v>42665.609791666669</v>
      </c>
      <c r="B124" s="21" t="s">
        <v>350</v>
      </c>
      <c r="C124" s="21" t="s">
        <v>544</v>
      </c>
      <c r="D124" s="21">
        <v>1820000</v>
      </c>
      <c r="E124" s="21" t="s">
        <v>314</v>
      </c>
      <c r="F124" s="21" t="str">
        <f t="shared" si="2"/>
        <v>rtdc.l.rtdc.4045:itc</v>
      </c>
      <c r="G124" s="8">
        <f t="shared" si="3"/>
        <v>42665.609791666669</v>
      </c>
    </row>
    <row r="125" spans="1:7" x14ac:dyDescent="0.25">
      <c r="A125" s="8">
        <v>42665.610162037039</v>
      </c>
      <c r="B125" s="21" t="s">
        <v>329</v>
      </c>
      <c r="C125" s="21" t="s">
        <v>545</v>
      </c>
      <c r="D125" s="21">
        <v>1280000</v>
      </c>
      <c r="E125" s="21" t="s">
        <v>513</v>
      </c>
      <c r="F125" s="21" t="str">
        <f t="shared" si="2"/>
        <v>rtdc.l.rtdc.4038:itc</v>
      </c>
      <c r="G125" s="8">
        <f t="shared" si="3"/>
        <v>42665.610162037039</v>
      </c>
    </row>
    <row r="126" spans="1:7" x14ac:dyDescent="0.25">
      <c r="A126" s="8">
        <v>42665.618483796294</v>
      </c>
      <c r="B126" s="21" t="s">
        <v>267</v>
      </c>
      <c r="C126" s="21" t="s">
        <v>546</v>
      </c>
      <c r="D126" s="21">
        <v>930000</v>
      </c>
      <c r="E126" s="21" t="s">
        <v>360</v>
      </c>
      <c r="F126" s="21" t="str">
        <f t="shared" si="2"/>
        <v>rtdc.l.rtdc.4030:itc</v>
      </c>
      <c r="G126" s="8">
        <f t="shared" si="3"/>
        <v>42665.618483796294</v>
      </c>
    </row>
    <row r="127" spans="1:7" x14ac:dyDescent="0.25">
      <c r="A127" s="8">
        <v>42665.623067129629</v>
      </c>
      <c r="B127" s="21" t="s">
        <v>253</v>
      </c>
      <c r="C127" s="21" t="s">
        <v>547</v>
      </c>
      <c r="D127" s="21">
        <v>2040000</v>
      </c>
      <c r="E127" s="21" t="s">
        <v>315</v>
      </c>
      <c r="F127" s="21" t="str">
        <f t="shared" si="2"/>
        <v>rtdc.l.rtdc.4042:itc</v>
      </c>
      <c r="G127" s="8">
        <f t="shared" si="3"/>
        <v>42665.623067129629</v>
      </c>
    </row>
    <row r="128" spans="1:7" x14ac:dyDescent="0.25">
      <c r="A128" s="8">
        <v>42665.630185185182</v>
      </c>
      <c r="B128" s="21" t="s">
        <v>273</v>
      </c>
      <c r="C128" s="21" t="s">
        <v>548</v>
      </c>
      <c r="D128" s="21">
        <v>1740000</v>
      </c>
      <c r="E128" s="21" t="s">
        <v>290</v>
      </c>
      <c r="F128" s="21" t="str">
        <f t="shared" si="2"/>
        <v>rtdc.l.rtdc.4054:itc</v>
      </c>
      <c r="G128" s="8">
        <f t="shared" si="3"/>
        <v>42665.630185185182</v>
      </c>
    </row>
    <row r="129" spans="1:7" x14ac:dyDescent="0.25">
      <c r="A129" s="8">
        <v>42665.631284722222</v>
      </c>
      <c r="B129" s="21" t="s">
        <v>196</v>
      </c>
      <c r="C129" s="21" t="s">
        <v>549</v>
      </c>
      <c r="D129" s="21">
        <v>2020000</v>
      </c>
      <c r="E129" s="21" t="s">
        <v>330</v>
      </c>
      <c r="F129" s="21" t="str">
        <f t="shared" si="2"/>
        <v>rtdc.l.rtdc.4044:itc</v>
      </c>
      <c r="G129" s="8">
        <f t="shared" si="3"/>
        <v>42665.631284722222</v>
      </c>
    </row>
    <row r="130" spans="1:7" x14ac:dyDescent="0.25">
      <c r="A130" s="8">
        <v>42665.636192129627</v>
      </c>
      <c r="B130" s="21" t="s">
        <v>198</v>
      </c>
      <c r="C130" s="21" t="s">
        <v>550</v>
      </c>
      <c r="D130" s="21">
        <v>1820000</v>
      </c>
      <c r="E130" s="21" t="s">
        <v>314</v>
      </c>
      <c r="F130" s="21" t="str">
        <f t="shared" ref="F130:F193" si="4">B130</f>
        <v>rtdc.l.rtdc.4046:itc</v>
      </c>
      <c r="G130" s="8">
        <f t="shared" ref="G130:G193" si="5">A130</f>
        <v>42665.636192129627</v>
      </c>
    </row>
    <row r="131" spans="1:7" x14ac:dyDescent="0.25">
      <c r="A131" s="8">
        <v>42665.639699074076</v>
      </c>
      <c r="B131" s="21" t="s">
        <v>441</v>
      </c>
      <c r="C131" s="21" t="s">
        <v>551</v>
      </c>
      <c r="D131" s="21">
        <v>880000</v>
      </c>
      <c r="E131" s="21" t="s">
        <v>359</v>
      </c>
      <c r="F131" s="21" t="str">
        <f t="shared" si="4"/>
        <v>rtdc.l.rtdc.4032:itc</v>
      </c>
      <c r="G131" s="8">
        <f t="shared" si="5"/>
        <v>42665.639699074076</v>
      </c>
    </row>
    <row r="132" spans="1:7" x14ac:dyDescent="0.25">
      <c r="A132" s="8">
        <v>42665.64162037037</v>
      </c>
      <c r="B132" s="21" t="s">
        <v>450</v>
      </c>
      <c r="C132" s="21" t="s">
        <v>552</v>
      </c>
      <c r="D132" s="21">
        <v>1770000</v>
      </c>
      <c r="E132" s="21" t="s">
        <v>521</v>
      </c>
      <c r="F132" s="21" t="str">
        <f t="shared" si="4"/>
        <v>rtdc.l.rtdc.4011:itc</v>
      </c>
      <c r="G132" s="8">
        <f t="shared" si="5"/>
        <v>42665.64162037037</v>
      </c>
    </row>
    <row r="133" spans="1:7" x14ac:dyDescent="0.25">
      <c r="A133" s="8">
        <v>42665.642407407409</v>
      </c>
      <c r="B133" s="21" t="s">
        <v>326</v>
      </c>
      <c r="C133" s="21" t="s">
        <v>553</v>
      </c>
      <c r="D133" s="21">
        <v>1280000</v>
      </c>
      <c r="E133" s="21" t="s">
        <v>513</v>
      </c>
      <c r="F133" s="21" t="str">
        <f t="shared" si="4"/>
        <v>rtdc.l.rtdc.4037:itc</v>
      </c>
      <c r="G133" s="8">
        <f t="shared" si="5"/>
        <v>42665.642407407409</v>
      </c>
    </row>
    <row r="134" spans="1:7" x14ac:dyDescent="0.25">
      <c r="A134" s="8">
        <v>42665.650902777779</v>
      </c>
      <c r="B134" s="21" t="s">
        <v>350</v>
      </c>
      <c r="C134" s="21" t="s">
        <v>432</v>
      </c>
      <c r="D134" s="21">
        <v>1820000</v>
      </c>
      <c r="E134" s="21" t="s">
        <v>314</v>
      </c>
      <c r="F134" s="21" t="str">
        <f t="shared" si="4"/>
        <v>rtdc.l.rtdc.4045:itc</v>
      </c>
      <c r="G134" s="8">
        <f t="shared" si="5"/>
        <v>42665.650902777779</v>
      </c>
    </row>
    <row r="135" spans="1:7" x14ac:dyDescent="0.25">
      <c r="A135" s="8">
        <v>42665.655474537038</v>
      </c>
      <c r="B135" s="21" t="s">
        <v>266</v>
      </c>
      <c r="C135" s="21" t="s">
        <v>554</v>
      </c>
      <c r="D135" s="21">
        <v>2090000</v>
      </c>
      <c r="E135" s="21" t="s">
        <v>361</v>
      </c>
      <c r="F135" s="21" t="str">
        <f t="shared" si="4"/>
        <v>rtdc.l.rtdc.4029:itc</v>
      </c>
      <c r="G135" s="8">
        <f t="shared" si="5"/>
        <v>42665.655474537038</v>
      </c>
    </row>
    <row r="136" spans="1:7" x14ac:dyDescent="0.25">
      <c r="A136" s="8">
        <v>42665.655497685184</v>
      </c>
      <c r="B136" s="21" t="s">
        <v>326</v>
      </c>
      <c r="C136" s="21" t="s">
        <v>553</v>
      </c>
      <c r="D136" s="21">
        <v>1280000</v>
      </c>
      <c r="E136" s="21" t="s">
        <v>513</v>
      </c>
      <c r="F136" s="21" t="str">
        <f t="shared" si="4"/>
        <v>rtdc.l.rtdc.4037:itc</v>
      </c>
      <c r="G136" s="8">
        <f t="shared" si="5"/>
        <v>42665.655497685184</v>
      </c>
    </row>
    <row r="137" spans="1:7" x14ac:dyDescent="0.25">
      <c r="A137" s="8">
        <v>42665.660775462966</v>
      </c>
      <c r="B137" s="21" t="s">
        <v>254</v>
      </c>
      <c r="C137" s="21" t="s">
        <v>434</v>
      </c>
      <c r="D137" s="21">
        <v>2040000</v>
      </c>
      <c r="E137" s="21" t="s">
        <v>315</v>
      </c>
      <c r="F137" s="21" t="str">
        <f t="shared" si="4"/>
        <v>rtdc.l.rtdc.4041:itc</v>
      </c>
      <c r="G137" s="8">
        <f t="shared" si="5"/>
        <v>42665.660775462966</v>
      </c>
    </row>
    <row r="138" spans="1:7" x14ac:dyDescent="0.25">
      <c r="A138" s="8">
        <v>42665.664803240739</v>
      </c>
      <c r="B138" s="21" t="s">
        <v>274</v>
      </c>
      <c r="C138" s="21" t="s">
        <v>433</v>
      </c>
      <c r="D138" s="21">
        <v>1740000</v>
      </c>
      <c r="E138" s="21" t="s">
        <v>290</v>
      </c>
      <c r="F138" s="21" t="str">
        <f t="shared" si="4"/>
        <v>rtdc.l.rtdc.4053:itc</v>
      </c>
      <c r="G138" s="8">
        <f t="shared" si="5"/>
        <v>42665.664803240739</v>
      </c>
    </row>
    <row r="139" spans="1:7" x14ac:dyDescent="0.25">
      <c r="A139" s="8">
        <v>42665.670069444444</v>
      </c>
      <c r="B139" s="21" t="s">
        <v>211</v>
      </c>
      <c r="C139" s="21" t="s">
        <v>555</v>
      </c>
      <c r="D139" s="21">
        <v>2020000</v>
      </c>
      <c r="E139" s="21" t="s">
        <v>330</v>
      </c>
      <c r="F139" s="21" t="str">
        <f t="shared" si="4"/>
        <v>rtdc.l.rtdc.4043:itc</v>
      </c>
      <c r="G139" s="8">
        <f t="shared" si="5"/>
        <v>42665.670069444444</v>
      </c>
    </row>
    <row r="140" spans="1:7" x14ac:dyDescent="0.25">
      <c r="A140" s="8">
        <v>42665.675254629627</v>
      </c>
      <c r="B140" s="21" t="s">
        <v>428</v>
      </c>
      <c r="C140" s="21" t="s">
        <v>556</v>
      </c>
      <c r="D140" s="21">
        <v>880000</v>
      </c>
      <c r="E140" s="21" t="s">
        <v>359</v>
      </c>
      <c r="F140" s="21" t="str">
        <f t="shared" si="4"/>
        <v>rtdc.l.rtdc.4031:itc</v>
      </c>
      <c r="G140" s="8">
        <f t="shared" si="5"/>
        <v>42665.675254629627</v>
      </c>
    </row>
    <row r="141" spans="1:7" x14ac:dyDescent="0.25">
      <c r="A141" s="8">
        <v>42665.679270833331</v>
      </c>
      <c r="B141" s="21" t="s">
        <v>198</v>
      </c>
      <c r="C141" s="21" t="s">
        <v>557</v>
      </c>
      <c r="D141" s="21">
        <v>1820000</v>
      </c>
      <c r="E141" s="21" t="s">
        <v>314</v>
      </c>
      <c r="F141" s="21" t="str">
        <f t="shared" si="4"/>
        <v>rtdc.l.rtdc.4046:itc</v>
      </c>
      <c r="G141" s="8">
        <f t="shared" si="5"/>
        <v>42665.679270833331</v>
      </c>
    </row>
    <row r="142" spans="1:7" x14ac:dyDescent="0.25">
      <c r="A142" s="8">
        <v>42665.681145833332</v>
      </c>
      <c r="B142" s="21" t="s">
        <v>261</v>
      </c>
      <c r="C142" s="21" t="s">
        <v>558</v>
      </c>
      <c r="D142" s="21">
        <v>1770000</v>
      </c>
      <c r="E142" s="21" t="s">
        <v>521</v>
      </c>
      <c r="F142" s="21" t="str">
        <f t="shared" si="4"/>
        <v>rtdc.l.rtdc.4012:itc</v>
      </c>
      <c r="G142" s="8">
        <f t="shared" si="5"/>
        <v>42665.681145833332</v>
      </c>
    </row>
    <row r="143" spans="1:7" x14ac:dyDescent="0.25">
      <c r="A143" s="8">
        <v>42665.685162037036</v>
      </c>
      <c r="B143" s="21" t="s">
        <v>329</v>
      </c>
      <c r="C143" s="21" t="s">
        <v>435</v>
      </c>
      <c r="D143" s="21">
        <v>1280000</v>
      </c>
      <c r="E143" s="21" t="s">
        <v>513</v>
      </c>
      <c r="F143" s="21" t="str">
        <f t="shared" si="4"/>
        <v>rtdc.l.rtdc.4038:itc</v>
      </c>
      <c r="G143" s="8">
        <f t="shared" si="5"/>
        <v>42665.685162037036</v>
      </c>
    </row>
    <row r="144" spans="1:7" x14ac:dyDescent="0.25">
      <c r="A144" s="8">
        <v>42665.692083333335</v>
      </c>
      <c r="B144" s="21" t="s">
        <v>267</v>
      </c>
      <c r="C144" s="21" t="s">
        <v>559</v>
      </c>
      <c r="D144" s="21">
        <v>2090000</v>
      </c>
      <c r="E144" s="21" t="s">
        <v>361</v>
      </c>
      <c r="F144" s="21" t="str">
        <f t="shared" si="4"/>
        <v>rtdc.l.rtdc.4030:itc</v>
      </c>
      <c r="G144" s="8">
        <f t="shared" si="5"/>
        <v>42665.692083333335</v>
      </c>
    </row>
    <row r="145" spans="1:7" x14ac:dyDescent="0.25">
      <c r="A145" s="8">
        <v>42665.692662037036</v>
      </c>
      <c r="B145" s="21" t="s">
        <v>350</v>
      </c>
      <c r="C145" s="21" t="s">
        <v>560</v>
      </c>
      <c r="D145" s="21">
        <v>1820000</v>
      </c>
      <c r="E145" s="21" t="s">
        <v>314</v>
      </c>
      <c r="F145" s="21" t="str">
        <f t="shared" si="4"/>
        <v>rtdc.l.rtdc.4045:itc</v>
      </c>
      <c r="G145" s="8">
        <f t="shared" si="5"/>
        <v>42665.692662037036</v>
      </c>
    </row>
    <row r="146" spans="1:7" x14ac:dyDescent="0.25">
      <c r="A146" s="8">
        <v>42665.698703703703</v>
      </c>
      <c r="B146" s="21" t="s">
        <v>253</v>
      </c>
      <c r="C146" s="21" t="s">
        <v>561</v>
      </c>
      <c r="D146" s="21">
        <v>2040000</v>
      </c>
      <c r="E146" s="21" t="s">
        <v>315</v>
      </c>
      <c r="F146" s="21" t="str">
        <f t="shared" si="4"/>
        <v>rtdc.l.rtdc.4042:itc</v>
      </c>
      <c r="G146" s="8">
        <f t="shared" si="5"/>
        <v>42665.698703703703</v>
      </c>
    </row>
    <row r="147" spans="1:7" x14ac:dyDescent="0.25">
      <c r="A147" s="8">
        <v>42665.704236111109</v>
      </c>
      <c r="B147" s="21" t="s">
        <v>273</v>
      </c>
      <c r="C147" s="21" t="s">
        <v>562</v>
      </c>
      <c r="D147" s="21">
        <v>1740000</v>
      </c>
      <c r="E147" s="21" t="s">
        <v>290</v>
      </c>
      <c r="F147" s="21" t="str">
        <f t="shared" si="4"/>
        <v>rtdc.l.rtdc.4054:itc</v>
      </c>
      <c r="G147" s="8">
        <f t="shared" si="5"/>
        <v>42665.704236111109</v>
      </c>
    </row>
    <row r="148" spans="1:7" x14ac:dyDescent="0.25">
      <c r="A148" s="8">
        <v>42665.706504629627</v>
      </c>
      <c r="B148" s="21" t="s">
        <v>196</v>
      </c>
      <c r="C148" s="21" t="s">
        <v>563</v>
      </c>
      <c r="D148" s="21">
        <v>2020000</v>
      </c>
      <c r="E148" s="21" t="s">
        <v>330</v>
      </c>
      <c r="F148" s="21" t="str">
        <f t="shared" si="4"/>
        <v>rtdc.l.rtdc.4044:itc</v>
      </c>
      <c r="G148" s="8">
        <f t="shared" si="5"/>
        <v>42665.706504629627</v>
      </c>
    </row>
    <row r="149" spans="1:7" x14ac:dyDescent="0.25">
      <c r="A149" s="8">
        <v>42665.712939814817</v>
      </c>
      <c r="B149" s="21" t="s">
        <v>441</v>
      </c>
      <c r="C149" s="21" t="s">
        <v>564</v>
      </c>
      <c r="D149" s="21">
        <v>880000</v>
      </c>
      <c r="E149" s="21" t="s">
        <v>359</v>
      </c>
      <c r="F149" s="21" t="str">
        <f t="shared" si="4"/>
        <v>rtdc.l.rtdc.4032:itc</v>
      </c>
      <c r="G149" s="8">
        <f t="shared" si="5"/>
        <v>42665.712939814817</v>
      </c>
    </row>
    <row r="150" spans="1:7" x14ac:dyDescent="0.25">
      <c r="A150" s="8">
        <v>42665.715648148151</v>
      </c>
      <c r="B150" s="21" t="s">
        <v>450</v>
      </c>
      <c r="C150" s="21" t="s">
        <v>565</v>
      </c>
      <c r="D150" s="21">
        <v>1770000</v>
      </c>
      <c r="E150" s="21" t="s">
        <v>521</v>
      </c>
      <c r="F150" s="21" t="str">
        <f t="shared" si="4"/>
        <v>rtdc.l.rtdc.4011:itc</v>
      </c>
      <c r="G150" s="8">
        <f t="shared" si="5"/>
        <v>42665.715648148151</v>
      </c>
    </row>
    <row r="151" spans="1:7" x14ac:dyDescent="0.25">
      <c r="A151" s="8">
        <v>42665.716354166667</v>
      </c>
      <c r="B151" s="21" t="s">
        <v>326</v>
      </c>
      <c r="C151" s="21" t="s">
        <v>566</v>
      </c>
      <c r="D151" s="21">
        <v>1280000</v>
      </c>
      <c r="E151" s="21" t="s">
        <v>513</v>
      </c>
      <c r="F151" s="21" t="str">
        <f t="shared" si="4"/>
        <v>rtdc.l.rtdc.4037:itc</v>
      </c>
      <c r="G151" s="8">
        <f t="shared" si="5"/>
        <v>42665.716354166667</v>
      </c>
    </row>
    <row r="152" spans="1:7" x14ac:dyDescent="0.25">
      <c r="A152" s="8">
        <v>42665.721006944441</v>
      </c>
      <c r="B152" s="21" t="s">
        <v>198</v>
      </c>
      <c r="C152" s="21" t="s">
        <v>567</v>
      </c>
      <c r="D152" s="21">
        <v>1820000</v>
      </c>
      <c r="E152" s="21" t="s">
        <v>314</v>
      </c>
      <c r="F152" s="21" t="str">
        <f t="shared" si="4"/>
        <v>rtdc.l.rtdc.4046:itc</v>
      </c>
      <c r="G152" s="8">
        <f t="shared" si="5"/>
        <v>42665.721006944441</v>
      </c>
    </row>
    <row r="153" spans="1:7" x14ac:dyDescent="0.25">
      <c r="A153" s="8">
        <v>42665.727233796293</v>
      </c>
      <c r="B153" s="21" t="s">
        <v>266</v>
      </c>
      <c r="C153" s="21" t="s">
        <v>568</v>
      </c>
      <c r="D153" s="21">
        <v>2110000</v>
      </c>
      <c r="E153" s="21" t="s">
        <v>569</v>
      </c>
      <c r="F153" s="21" t="str">
        <f t="shared" si="4"/>
        <v>rtdc.l.rtdc.4029:itc</v>
      </c>
      <c r="G153" s="8">
        <f t="shared" si="5"/>
        <v>42665.727233796293</v>
      </c>
    </row>
    <row r="154" spans="1:7" x14ac:dyDescent="0.25">
      <c r="A154" s="8">
        <v>42665.729386574072</v>
      </c>
      <c r="B154" s="21" t="s">
        <v>351</v>
      </c>
      <c r="C154" s="21" t="s">
        <v>570</v>
      </c>
      <c r="D154" s="21">
        <v>140000</v>
      </c>
      <c r="E154" s="21" t="s">
        <v>316</v>
      </c>
      <c r="F154" s="21" t="str">
        <f t="shared" si="4"/>
        <v>rtdc.l.rtdc.4013:itc</v>
      </c>
      <c r="G154" s="8">
        <f t="shared" si="5"/>
        <v>42665.729386574072</v>
      </c>
    </row>
    <row r="155" spans="1:7" x14ac:dyDescent="0.25">
      <c r="A155" s="8">
        <v>42665.733599537038</v>
      </c>
      <c r="B155" s="21" t="s">
        <v>254</v>
      </c>
      <c r="C155" s="21" t="s">
        <v>571</v>
      </c>
      <c r="D155" s="21">
        <v>2040000</v>
      </c>
      <c r="E155" s="21" t="s">
        <v>315</v>
      </c>
      <c r="F155" s="21" t="str">
        <f t="shared" si="4"/>
        <v>rtdc.l.rtdc.4041:itc</v>
      </c>
      <c r="G155" s="8">
        <f t="shared" si="5"/>
        <v>42665.733599537038</v>
      </c>
    </row>
    <row r="156" spans="1:7" x14ac:dyDescent="0.25">
      <c r="A156" s="8">
        <v>42665.734710648147</v>
      </c>
      <c r="B156" s="21" t="s">
        <v>350</v>
      </c>
      <c r="C156" s="21" t="s">
        <v>437</v>
      </c>
      <c r="D156" s="21">
        <v>1820000</v>
      </c>
      <c r="E156" s="21" t="s">
        <v>314</v>
      </c>
      <c r="F156" s="21" t="str">
        <f t="shared" si="4"/>
        <v>rtdc.l.rtdc.4045:itc</v>
      </c>
      <c r="G156" s="8">
        <f t="shared" si="5"/>
        <v>42665.734710648147</v>
      </c>
    </row>
    <row r="157" spans="1:7" x14ac:dyDescent="0.25">
      <c r="A157" s="8">
        <v>42665.735023148147</v>
      </c>
      <c r="B157" s="21" t="s">
        <v>188</v>
      </c>
      <c r="C157" s="21" t="s">
        <v>436</v>
      </c>
      <c r="D157" s="21">
        <v>2090000</v>
      </c>
      <c r="E157" s="21" t="s">
        <v>361</v>
      </c>
      <c r="F157" s="21" t="str">
        <f t="shared" si="4"/>
        <v>rtdc.l.rtdc.4018:itc</v>
      </c>
      <c r="G157" s="8">
        <f t="shared" si="5"/>
        <v>42665.735023148147</v>
      </c>
    </row>
    <row r="158" spans="1:7" x14ac:dyDescent="0.25">
      <c r="A158" s="8">
        <v>42665.738356481481</v>
      </c>
      <c r="B158" s="21" t="s">
        <v>188</v>
      </c>
      <c r="C158" s="21" t="s">
        <v>436</v>
      </c>
      <c r="D158" s="21">
        <v>2090000</v>
      </c>
      <c r="E158" s="21" t="s">
        <v>361</v>
      </c>
      <c r="F158" s="21" t="str">
        <f t="shared" si="4"/>
        <v>rtdc.l.rtdc.4018:itc</v>
      </c>
      <c r="G158" s="8">
        <f t="shared" si="5"/>
        <v>42665.738356481481</v>
      </c>
    </row>
    <row r="159" spans="1:7" x14ac:dyDescent="0.25">
      <c r="A159" s="8">
        <v>42665.738645833335</v>
      </c>
      <c r="B159" s="21" t="s">
        <v>274</v>
      </c>
      <c r="C159" s="21" t="s">
        <v>572</v>
      </c>
      <c r="D159" s="21">
        <v>1810000</v>
      </c>
      <c r="E159" s="21" t="s">
        <v>331</v>
      </c>
      <c r="F159" s="21" t="str">
        <f t="shared" si="4"/>
        <v>rtdc.l.rtdc.4053:itc</v>
      </c>
      <c r="G159" s="8">
        <f t="shared" si="5"/>
        <v>42665.738645833335</v>
      </c>
    </row>
    <row r="160" spans="1:7" x14ac:dyDescent="0.25">
      <c r="A160" s="8">
        <v>42665.741944444446</v>
      </c>
      <c r="B160" s="21" t="s">
        <v>350</v>
      </c>
      <c r="C160" s="21" t="s">
        <v>437</v>
      </c>
      <c r="D160" s="21">
        <v>1820000</v>
      </c>
      <c r="E160" s="21" t="s">
        <v>314</v>
      </c>
      <c r="F160" s="21" t="str">
        <f t="shared" si="4"/>
        <v>rtdc.l.rtdc.4045:itc</v>
      </c>
      <c r="G160" s="8">
        <f t="shared" si="5"/>
        <v>42665.741944444446</v>
      </c>
    </row>
    <row r="161" spans="1:7" x14ac:dyDescent="0.25">
      <c r="A161" s="8">
        <v>42665.742418981485</v>
      </c>
      <c r="B161" s="21" t="s">
        <v>211</v>
      </c>
      <c r="C161" s="21" t="s">
        <v>573</v>
      </c>
      <c r="D161" s="21">
        <v>2020000</v>
      </c>
      <c r="E161" s="21" t="s">
        <v>330</v>
      </c>
      <c r="F161" s="21" t="str">
        <f t="shared" si="4"/>
        <v>rtdc.l.rtdc.4043:itc</v>
      </c>
      <c r="G161" s="8">
        <f t="shared" si="5"/>
        <v>42665.742418981485</v>
      </c>
    </row>
    <row r="162" spans="1:7" x14ac:dyDescent="0.25">
      <c r="A162" s="8">
        <v>42665.750219907408</v>
      </c>
      <c r="B162" s="21" t="s">
        <v>428</v>
      </c>
      <c r="C162" s="21" t="s">
        <v>438</v>
      </c>
      <c r="D162" s="21">
        <v>1740000</v>
      </c>
      <c r="E162" s="21" t="s">
        <v>290</v>
      </c>
      <c r="F162" s="21" t="str">
        <f t="shared" si="4"/>
        <v>rtdc.l.rtdc.4031:itc</v>
      </c>
      <c r="G162" s="8">
        <f t="shared" si="5"/>
        <v>42665.750219907408</v>
      </c>
    </row>
    <row r="163" spans="1:7" x14ac:dyDescent="0.25">
      <c r="A163" s="8">
        <v>42665.752129629633</v>
      </c>
      <c r="B163" s="21" t="s">
        <v>261</v>
      </c>
      <c r="C163" s="21" t="s">
        <v>574</v>
      </c>
      <c r="D163" s="21">
        <v>1770000</v>
      </c>
      <c r="E163" s="21" t="s">
        <v>521</v>
      </c>
      <c r="F163" s="21" t="str">
        <f t="shared" si="4"/>
        <v>rtdc.l.rtdc.4012:itc</v>
      </c>
      <c r="G163" s="8">
        <f t="shared" si="5"/>
        <v>42665.752129629633</v>
      </c>
    </row>
    <row r="164" spans="1:7" x14ac:dyDescent="0.25">
      <c r="A164" s="8">
        <v>42665.760127314818</v>
      </c>
      <c r="B164" s="21" t="s">
        <v>329</v>
      </c>
      <c r="C164" s="21" t="s">
        <v>575</v>
      </c>
      <c r="D164" s="21">
        <v>1800000</v>
      </c>
      <c r="E164" s="21" t="s">
        <v>209</v>
      </c>
      <c r="F164" s="21" t="str">
        <f t="shared" si="4"/>
        <v>rtdc.l.rtdc.4038:itc</v>
      </c>
      <c r="G164" s="8">
        <f t="shared" si="5"/>
        <v>42665.760127314818</v>
      </c>
    </row>
    <row r="165" spans="1:7" x14ac:dyDescent="0.25">
      <c r="A165" s="8">
        <v>42665.762569444443</v>
      </c>
      <c r="B165" s="21" t="s">
        <v>198</v>
      </c>
      <c r="C165" s="21" t="s">
        <v>439</v>
      </c>
      <c r="D165" s="21">
        <v>1820000</v>
      </c>
      <c r="E165" s="21" t="s">
        <v>314</v>
      </c>
      <c r="F165" s="21" t="str">
        <f t="shared" si="4"/>
        <v>rtdc.l.rtdc.4046:itc</v>
      </c>
      <c r="G165" s="8">
        <f t="shared" si="5"/>
        <v>42665.762569444443</v>
      </c>
    </row>
    <row r="166" spans="1:7" x14ac:dyDescent="0.25">
      <c r="A166" s="8">
        <v>42665.764224537037</v>
      </c>
      <c r="B166" s="21" t="s">
        <v>267</v>
      </c>
      <c r="C166" s="21" t="s">
        <v>576</v>
      </c>
      <c r="D166" s="21">
        <v>930000</v>
      </c>
      <c r="E166" s="21" t="s">
        <v>360</v>
      </c>
      <c r="F166" s="21" t="str">
        <f t="shared" si="4"/>
        <v>rtdc.l.rtdc.4030:itc</v>
      </c>
      <c r="G166" s="8">
        <f t="shared" si="5"/>
        <v>42665.764224537037</v>
      </c>
    </row>
    <row r="167" spans="1:7" x14ac:dyDescent="0.25">
      <c r="A167" s="8">
        <v>42665.770092592589</v>
      </c>
      <c r="B167" s="21" t="s">
        <v>327</v>
      </c>
      <c r="C167" s="21" t="s">
        <v>577</v>
      </c>
      <c r="D167" s="21">
        <v>2360000</v>
      </c>
      <c r="E167" s="21" t="s">
        <v>578</v>
      </c>
      <c r="F167" s="21" t="str">
        <f t="shared" si="4"/>
        <v>rtdc.l.rtdc.4005:itc</v>
      </c>
      <c r="G167" s="8">
        <f t="shared" si="5"/>
        <v>42665.770092592589</v>
      </c>
    </row>
    <row r="168" spans="1:7" x14ac:dyDescent="0.25">
      <c r="A168" s="8">
        <v>42665.770648148151</v>
      </c>
      <c r="B168" s="21" t="s">
        <v>273</v>
      </c>
      <c r="C168" s="21" t="s">
        <v>579</v>
      </c>
      <c r="D168" s="21">
        <v>1810000</v>
      </c>
      <c r="E168" s="21" t="s">
        <v>331</v>
      </c>
      <c r="F168" s="21" t="str">
        <f t="shared" si="4"/>
        <v>rtdc.l.rtdc.4054:itc</v>
      </c>
      <c r="G168" s="8">
        <f t="shared" si="5"/>
        <v>42665.770648148151</v>
      </c>
    </row>
    <row r="169" spans="1:7" x14ac:dyDescent="0.25">
      <c r="A169" s="8">
        <v>42665.770856481482</v>
      </c>
      <c r="B169" s="21" t="s">
        <v>253</v>
      </c>
      <c r="C169" s="21" t="s">
        <v>580</v>
      </c>
      <c r="D169" s="21">
        <v>2260000</v>
      </c>
      <c r="E169" s="21" t="s">
        <v>581</v>
      </c>
      <c r="F169" s="21" t="str">
        <f t="shared" si="4"/>
        <v>rtdc.l.rtdc.4042:itc</v>
      </c>
      <c r="G169" s="8">
        <f t="shared" si="5"/>
        <v>42665.770856481482</v>
      </c>
    </row>
    <row r="170" spans="1:7" x14ac:dyDescent="0.25">
      <c r="A170" s="8">
        <v>42665.771574074075</v>
      </c>
      <c r="B170" s="21" t="s">
        <v>327</v>
      </c>
      <c r="C170" s="21" t="s">
        <v>577</v>
      </c>
      <c r="D170" s="21">
        <v>2360000</v>
      </c>
      <c r="E170" s="21" t="s">
        <v>578</v>
      </c>
      <c r="F170" s="21" t="str">
        <f t="shared" si="4"/>
        <v>rtdc.l.rtdc.4005:itc</v>
      </c>
      <c r="G170" s="8">
        <f t="shared" si="5"/>
        <v>42665.771574074075</v>
      </c>
    </row>
    <row r="171" spans="1:7" x14ac:dyDescent="0.25">
      <c r="A171" s="8">
        <v>42665.773449074077</v>
      </c>
      <c r="B171" s="21" t="s">
        <v>327</v>
      </c>
      <c r="C171" s="21" t="s">
        <v>577</v>
      </c>
      <c r="D171" s="21">
        <v>2360000</v>
      </c>
      <c r="E171" s="21" t="s">
        <v>578</v>
      </c>
      <c r="F171" s="21" t="str">
        <f t="shared" si="4"/>
        <v>rtdc.l.rtdc.4005:itc</v>
      </c>
      <c r="G171" s="8">
        <f t="shared" si="5"/>
        <v>42665.773449074077</v>
      </c>
    </row>
    <row r="172" spans="1:7" x14ac:dyDescent="0.25">
      <c r="A172" s="8">
        <v>42665.777361111112</v>
      </c>
      <c r="B172" s="21" t="s">
        <v>350</v>
      </c>
      <c r="C172" s="21" t="s">
        <v>440</v>
      </c>
      <c r="D172" s="21">
        <v>1820000</v>
      </c>
      <c r="E172" s="21" t="s">
        <v>314</v>
      </c>
      <c r="F172" s="21" t="str">
        <f t="shared" si="4"/>
        <v>rtdc.l.rtdc.4045:itc</v>
      </c>
      <c r="G172" s="8">
        <f t="shared" si="5"/>
        <v>42665.777361111112</v>
      </c>
    </row>
    <row r="173" spans="1:7" x14ac:dyDescent="0.25">
      <c r="A173" s="8">
        <v>42665.78738425926</v>
      </c>
      <c r="B173" s="21" t="s">
        <v>196</v>
      </c>
      <c r="C173" s="21" t="s">
        <v>582</v>
      </c>
      <c r="D173" s="21">
        <v>2020000</v>
      </c>
      <c r="E173" s="21" t="s">
        <v>330</v>
      </c>
      <c r="F173" s="21" t="str">
        <f t="shared" si="4"/>
        <v>rtdc.l.rtdc.4044:itc</v>
      </c>
      <c r="G173" s="8">
        <f t="shared" si="5"/>
        <v>42665.78738425926</v>
      </c>
    </row>
    <row r="174" spans="1:7" x14ac:dyDescent="0.25">
      <c r="A174" s="8">
        <v>42665.787962962961</v>
      </c>
      <c r="B174" s="21" t="s">
        <v>441</v>
      </c>
      <c r="C174" s="21" t="s">
        <v>442</v>
      </c>
      <c r="D174" s="21">
        <v>1740000</v>
      </c>
      <c r="E174" s="21" t="s">
        <v>290</v>
      </c>
      <c r="F174" s="21" t="str">
        <f t="shared" si="4"/>
        <v>rtdc.l.rtdc.4032:itc</v>
      </c>
      <c r="G174" s="8">
        <f t="shared" si="5"/>
        <v>42665.787962962961</v>
      </c>
    </row>
    <row r="175" spans="1:7" x14ac:dyDescent="0.25">
      <c r="A175" s="8">
        <v>42665.789444444446</v>
      </c>
      <c r="B175" s="21" t="s">
        <v>450</v>
      </c>
      <c r="C175" s="21" t="s">
        <v>583</v>
      </c>
      <c r="D175" s="21">
        <v>2360000</v>
      </c>
      <c r="E175" s="21" t="s">
        <v>578</v>
      </c>
      <c r="F175" s="21" t="str">
        <f t="shared" si="4"/>
        <v>rtdc.l.rtdc.4011:itc</v>
      </c>
      <c r="G175" s="8">
        <f t="shared" si="5"/>
        <v>42665.789444444446</v>
      </c>
    </row>
    <row r="176" spans="1:7" x14ac:dyDescent="0.25">
      <c r="A176" s="8">
        <v>42665.791678240741</v>
      </c>
      <c r="B176" s="21" t="s">
        <v>584</v>
      </c>
      <c r="C176" s="21" t="s">
        <v>585</v>
      </c>
      <c r="D176" s="21">
        <v>1770000</v>
      </c>
      <c r="E176" s="21" t="s">
        <v>521</v>
      </c>
      <c r="F176" s="21" t="str">
        <f t="shared" si="4"/>
        <v>rtdc.l.rtdc.4006:itc</v>
      </c>
      <c r="G176" s="8">
        <f t="shared" si="5"/>
        <v>42665.791678240741</v>
      </c>
    </row>
    <row r="177" spans="1:7" x14ac:dyDescent="0.25">
      <c r="A177" s="8">
        <v>42665.794849537036</v>
      </c>
      <c r="B177" s="21" t="s">
        <v>441</v>
      </c>
      <c r="C177" s="21" t="s">
        <v>442</v>
      </c>
      <c r="D177" s="21">
        <v>1740000</v>
      </c>
      <c r="E177" s="21" t="s">
        <v>290</v>
      </c>
      <c r="F177" s="21" t="str">
        <f t="shared" si="4"/>
        <v>rtdc.l.rtdc.4032:itc</v>
      </c>
      <c r="G177" s="8">
        <f t="shared" si="5"/>
        <v>42665.794849537036</v>
      </c>
    </row>
    <row r="178" spans="1:7" x14ac:dyDescent="0.25">
      <c r="A178" s="8">
        <v>42665.797129629631</v>
      </c>
      <c r="B178" s="21" t="s">
        <v>326</v>
      </c>
      <c r="C178" s="21" t="s">
        <v>586</v>
      </c>
      <c r="D178" s="21">
        <v>1800000</v>
      </c>
      <c r="E178" s="21" t="s">
        <v>209</v>
      </c>
      <c r="F178" s="21" t="str">
        <f t="shared" si="4"/>
        <v>rtdc.l.rtdc.4037:itc</v>
      </c>
      <c r="G178" s="8">
        <f t="shared" si="5"/>
        <v>42665.797129629631</v>
      </c>
    </row>
    <row r="179" spans="1:7" x14ac:dyDescent="0.25">
      <c r="A179" s="8">
        <v>42665.800983796296</v>
      </c>
      <c r="B179" s="21" t="s">
        <v>266</v>
      </c>
      <c r="C179" s="21" t="s">
        <v>587</v>
      </c>
      <c r="D179" s="21">
        <v>930000</v>
      </c>
      <c r="E179" s="21" t="s">
        <v>360</v>
      </c>
      <c r="F179" s="21" t="str">
        <f t="shared" si="4"/>
        <v>rtdc.l.rtdc.4029:itc</v>
      </c>
      <c r="G179" s="8">
        <f t="shared" si="5"/>
        <v>42665.800983796296</v>
      </c>
    </row>
    <row r="180" spans="1:7" x14ac:dyDescent="0.25">
      <c r="A180" s="8">
        <v>42665.802928240744</v>
      </c>
      <c r="B180" s="21" t="s">
        <v>198</v>
      </c>
      <c r="C180" s="21" t="s">
        <v>588</v>
      </c>
      <c r="D180" s="21">
        <v>1820000</v>
      </c>
      <c r="E180" s="21" t="s">
        <v>314</v>
      </c>
      <c r="F180" s="21" t="str">
        <f t="shared" si="4"/>
        <v>rtdc.l.rtdc.4046:itc</v>
      </c>
      <c r="G180" s="8">
        <f t="shared" si="5"/>
        <v>42665.802928240744</v>
      </c>
    </row>
    <row r="181" spans="1:7" x14ac:dyDescent="0.25">
      <c r="A181" s="8">
        <v>42665.806087962963</v>
      </c>
      <c r="B181" s="21" t="s">
        <v>254</v>
      </c>
      <c r="C181" s="21" t="s">
        <v>589</v>
      </c>
      <c r="D181" s="21">
        <v>2260000</v>
      </c>
      <c r="E181" s="21" t="s">
        <v>581</v>
      </c>
      <c r="F181" s="21" t="str">
        <f t="shared" si="4"/>
        <v>rtdc.l.rtdc.4041:itc</v>
      </c>
      <c r="G181" s="8">
        <f t="shared" si="5"/>
        <v>42665.806087962963</v>
      </c>
    </row>
    <row r="182" spans="1:7" x14ac:dyDescent="0.25">
      <c r="A182" s="8">
        <v>42665.808321759258</v>
      </c>
      <c r="B182" s="21" t="s">
        <v>274</v>
      </c>
      <c r="C182" s="21" t="s">
        <v>590</v>
      </c>
      <c r="D182" s="21">
        <v>1810000</v>
      </c>
      <c r="E182" s="21" t="s">
        <v>331</v>
      </c>
      <c r="F182" s="21" t="str">
        <f t="shared" si="4"/>
        <v>rtdc.l.rtdc.4053:itc</v>
      </c>
      <c r="G182" s="8">
        <f t="shared" si="5"/>
        <v>42665.808321759258</v>
      </c>
    </row>
    <row r="183" spans="1:7" x14ac:dyDescent="0.25">
      <c r="A183" s="8">
        <v>42665.817546296297</v>
      </c>
      <c r="B183" s="21" t="s">
        <v>350</v>
      </c>
      <c r="C183" s="21" t="s">
        <v>443</v>
      </c>
      <c r="D183" s="21">
        <v>1820000</v>
      </c>
      <c r="E183" s="21" t="s">
        <v>314</v>
      </c>
      <c r="F183" s="21" t="str">
        <f t="shared" si="4"/>
        <v>rtdc.l.rtdc.4045:itc</v>
      </c>
      <c r="G183" s="8">
        <f t="shared" si="5"/>
        <v>42665.817546296297</v>
      </c>
    </row>
    <row r="184" spans="1:7" x14ac:dyDescent="0.25">
      <c r="A184" s="8">
        <v>42665.825046296297</v>
      </c>
      <c r="B184" s="21" t="s">
        <v>428</v>
      </c>
      <c r="C184" s="21" t="s">
        <v>591</v>
      </c>
      <c r="D184" s="21">
        <v>1740000</v>
      </c>
      <c r="E184" s="21" t="s">
        <v>290</v>
      </c>
      <c r="F184" s="21" t="str">
        <f t="shared" si="4"/>
        <v>rtdc.l.rtdc.4031:itc</v>
      </c>
      <c r="G184" s="8">
        <f t="shared" si="5"/>
        <v>42665.825046296297</v>
      </c>
    </row>
    <row r="185" spans="1:7" x14ac:dyDescent="0.25">
      <c r="A185" s="8">
        <v>42665.828055555554</v>
      </c>
      <c r="B185" s="21" t="s">
        <v>261</v>
      </c>
      <c r="C185" s="21" t="s">
        <v>592</v>
      </c>
      <c r="D185" s="21">
        <v>2360000</v>
      </c>
      <c r="E185" s="21" t="s">
        <v>578</v>
      </c>
      <c r="F185" s="21" t="str">
        <f t="shared" si="4"/>
        <v>rtdc.l.rtdc.4012:itc</v>
      </c>
      <c r="G185" s="8">
        <f t="shared" si="5"/>
        <v>42665.828055555554</v>
      </c>
    </row>
    <row r="186" spans="1:7" x14ac:dyDescent="0.25">
      <c r="A186" s="8">
        <v>42665.831979166665</v>
      </c>
      <c r="B186" s="21" t="s">
        <v>329</v>
      </c>
      <c r="C186" s="21" t="s">
        <v>593</v>
      </c>
      <c r="D186" s="21">
        <v>1800000</v>
      </c>
      <c r="E186" s="21" t="s">
        <v>209</v>
      </c>
      <c r="F186" s="21" t="str">
        <f t="shared" si="4"/>
        <v>rtdc.l.rtdc.4038:itc</v>
      </c>
      <c r="G186" s="8">
        <f t="shared" si="5"/>
        <v>42665.831979166665</v>
      </c>
    </row>
    <row r="187" spans="1:7" x14ac:dyDescent="0.25">
      <c r="A187" s="8">
        <v>42665.839560185188</v>
      </c>
      <c r="B187" s="21" t="s">
        <v>273</v>
      </c>
      <c r="C187" s="21" t="s">
        <v>594</v>
      </c>
      <c r="D187" s="21">
        <v>1810000</v>
      </c>
      <c r="E187" s="21" t="s">
        <v>331</v>
      </c>
      <c r="F187" s="21" t="str">
        <f t="shared" si="4"/>
        <v>rtdc.l.rtdc.4054:itc</v>
      </c>
      <c r="G187" s="8">
        <f t="shared" si="5"/>
        <v>42665.839560185188</v>
      </c>
    </row>
    <row r="188" spans="1:7" x14ac:dyDescent="0.25">
      <c r="A188" s="8">
        <v>42665.845567129632</v>
      </c>
      <c r="B188" s="21" t="s">
        <v>198</v>
      </c>
      <c r="C188" s="21" t="s">
        <v>595</v>
      </c>
      <c r="D188" s="21">
        <v>1820000</v>
      </c>
      <c r="E188" s="21" t="s">
        <v>314</v>
      </c>
      <c r="F188" s="21" t="str">
        <f t="shared" si="4"/>
        <v>rtdc.l.rtdc.4046:itc</v>
      </c>
      <c r="G188" s="8">
        <f t="shared" si="5"/>
        <v>42665.845567129632</v>
      </c>
    </row>
    <row r="189" spans="1:7" x14ac:dyDescent="0.25">
      <c r="A189" s="8">
        <v>42665.850659722222</v>
      </c>
      <c r="B189" s="21" t="s">
        <v>253</v>
      </c>
      <c r="C189" s="21" t="s">
        <v>596</v>
      </c>
      <c r="D189" s="21">
        <v>2260000</v>
      </c>
      <c r="E189" s="21" t="s">
        <v>581</v>
      </c>
      <c r="F189" s="21" t="str">
        <f t="shared" si="4"/>
        <v>rtdc.l.rtdc.4042:itc</v>
      </c>
      <c r="G189" s="8">
        <f t="shared" si="5"/>
        <v>42665.850659722222</v>
      </c>
    </row>
    <row r="190" spans="1:7" x14ac:dyDescent="0.25">
      <c r="A190" s="8">
        <v>42665.859467592592</v>
      </c>
      <c r="B190" s="21" t="s">
        <v>350</v>
      </c>
      <c r="C190" s="21" t="s">
        <v>444</v>
      </c>
      <c r="D190" s="21">
        <v>1820000</v>
      </c>
      <c r="E190" s="21" t="s">
        <v>314</v>
      </c>
      <c r="F190" s="21" t="str">
        <f t="shared" si="4"/>
        <v>rtdc.l.rtdc.4045:itc</v>
      </c>
      <c r="G190" s="8">
        <f t="shared" si="5"/>
        <v>42665.859467592592</v>
      </c>
    </row>
    <row r="191" spans="1:7" x14ac:dyDescent="0.25">
      <c r="A191" s="8">
        <v>42665.863854166666</v>
      </c>
      <c r="B191" s="21" t="s">
        <v>450</v>
      </c>
      <c r="C191" s="21" t="s">
        <v>597</v>
      </c>
      <c r="D191" s="21">
        <v>120000</v>
      </c>
      <c r="E191" s="21" t="s">
        <v>362</v>
      </c>
      <c r="F191" s="21" t="str">
        <f t="shared" si="4"/>
        <v>rtdc.l.rtdc.4011:itc</v>
      </c>
      <c r="G191" s="8">
        <f t="shared" si="5"/>
        <v>42665.863854166666</v>
      </c>
    </row>
    <row r="192" spans="1:7" x14ac:dyDescent="0.25">
      <c r="A192" s="8">
        <v>42665.871944444443</v>
      </c>
      <c r="B192" s="21" t="s">
        <v>326</v>
      </c>
      <c r="C192" s="21" t="s">
        <v>598</v>
      </c>
      <c r="D192" s="21">
        <v>1800000</v>
      </c>
      <c r="E192" s="21" t="s">
        <v>209</v>
      </c>
      <c r="F192" s="21" t="str">
        <f t="shared" si="4"/>
        <v>rtdc.l.rtdc.4037:itc</v>
      </c>
      <c r="G192" s="8">
        <f t="shared" si="5"/>
        <v>42665.871944444443</v>
      </c>
    </row>
    <row r="193" spans="1:7" x14ac:dyDescent="0.25">
      <c r="A193" s="8">
        <v>42665.887118055558</v>
      </c>
      <c r="B193" s="21" t="s">
        <v>198</v>
      </c>
      <c r="C193" s="21" t="s">
        <v>599</v>
      </c>
      <c r="D193" s="21">
        <v>1820000</v>
      </c>
      <c r="E193" s="21" t="s">
        <v>314</v>
      </c>
      <c r="F193" s="21" t="str">
        <f t="shared" si="4"/>
        <v>rtdc.l.rtdc.4046:itc</v>
      </c>
      <c r="G193" s="8">
        <f t="shared" si="5"/>
        <v>42665.887118055558</v>
      </c>
    </row>
    <row r="194" spans="1:7" x14ac:dyDescent="0.25">
      <c r="A194" s="8">
        <v>42665.888888888891</v>
      </c>
      <c r="B194" s="21" t="s">
        <v>274</v>
      </c>
      <c r="C194" s="21" t="s">
        <v>600</v>
      </c>
      <c r="D194" s="21">
        <v>1810000</v>
      </c>
      <c r="E194" s="21" t="s">
        <v>331</v>
      </c>
      <c r="F194" s="21" t="str">
        <f t="shared" ref="F194:F235" si="6">B194</f>
        <v>rtdc.l.rtdc.4053:itc</v>
      </c>
      <c r="G194" s="8">
        <f t="shared" ref="G194:G235" si="7">A194</f>
        <v>42665.888888888891</v>
      </c>
    </row>
    <row r="195" spans="1:7" x14ac:dyDescent="0.25">
      <c r="A195" s="8">
        <v>42665.889745370368</v>
      </c>
      <c r="B195" s="21" t="s">
        <v>254</v>
      </c>
      <c r="C195" s="21" t="s">
        <v>601</v>
      </c>
      <c r="D195" s="21">
        <v>2260000</v>
      </c>
      <c r="E195" s="21" t="s">
        <v>581</v>
      </c>
      <c r="F195" s="21" t="str">
        <f t="shared" si="6"/>
        <v>rtdc.l.rtdc.4041:itc</v>
      </c>
      <c r="G195" s="8">
        <f t="shared" si="7"/>
        <v>42665.889745370368</v>
      </c>
    </row>
    <row r="196" spans="1:7" x14ac:dyDescent="0.25">
      <c r="A196" s="8">
        <v>42665.900891203702</v>
      </c>
      <c r="B196" s="21" t="s">
        <v>350</v>
      </c>
      <c r="C196" s="21" t="s">
        <v>602</v>
      </c>
      <c r="D196" s="21">
        <v>1820000</v>
      </c>
      <c r="E196" s="21" t="s">
        <v>314</v>
      </c>
      <c r="F196" s="21" t="str">
        <f t="shared" si="6"/>
        <v>rtdc.l.rtdc.4045:itc</v>
      </c>
      <c r="G196" s="8">
        <f t="shared" si="7"/>
        <v>42665.900891203702</v>
      </c>
    </row>
    <row r="197" spans="1:7" x14ac:dyDescent="0.25">
      <c r="A197" s="8">
        <v>42665.906747685185</v>
      </c>
      <c r="B197" s="21" t="s">
        <v>261</v>
      </c>
      <c r="C197" s="21" t="s">
        <v>603</v>
      </c>
      <c r="D197" s="21">
        <v>120000</v>
      </c>
      <c r="E197" s="21" t="s">
        <v>362</v>
      </c>
      <c r="F197" s="21" t="str">
        <f t="shared" si="6"/>
        <v>rtdc.l.rtdc.4012:itc</v>
      </c>
      <c r="G197" s="8">
        <f t="shared" si="7"/>
        <v>42665.906747685185</v>
      </c>
    </row>
    <row r="198" spans="1:7" x14ac:dyDescent="0.25">
      <c r="A198" s="8">
        <v>42665.914895833332</v>
      </c>
      <c r="B198" s="21" t="s">
        <v>329</v>
      </c>
      <c r="C198" s="21" t="s">
        <v>604</v>
      </c>
      <c r="D198" s="21">
        <v>1800000</v>
      </c>
      <c r="E198" s="21" t="s">
        <v>209</v>
      </c>
      <c r="F198" s="21" t="str">
        <f t="shared" si="6"/>
        <v>rtdc.l.rtdc.4038:itc</v>
      </c>
      <c r="G198" s="8">
        <f t="shared" si="7"/>
        <v>42665.914895833332</v>
      </c>
    </row>
    <row r="199" spans="1:7" x14ac:dyDescent="0.25">
      <c r="A199" s="8">
        <v>42665.926238425927</v>
      </c>
      <c r="B199" s="21" t="s">
        <v>198</v>
      </c>
      <c r="C199" s="21" t="s">
        <v>445</v>
      </c>
      <c r="D199" s="21">
        <v>1820000</v>
      </c>
      <c r="E199" s="21" t="s">
        <v>314</v>
      </c>
      <c r="F199" s="21" t="str">
        <f t="shared" si="6"/>
        <v>rtdc.l.rtdc.4046:itc</v>
      </c>
      <c r="G199" s="8">
        <f t="shared" si="7"/>
        <v>42665.926238425927</v>
      </c>
    </row>
    <row r="200" spans="1:7" x14ac:dyDescent="0.25">
      <c r="A200" s="8">
        <v>42665.930081018516</v>
      </c>
      <c r="B200" s="21" t="s">
        <v>273</v>
      </c>
      <c r="C200" s="21" t="s">
        <v>605</v>
      </c>
      <c r="D200" s="21">
        <v>1810000</v>
      </c>
      <c r="E200" s="21" t="s">
        <v>331</v>
      </c>
      <c r="F200" s="21" t="str">
        <f t="shared" si="6"/>
        <v>rtdc.l.rtdc.4054:itc</v>
      </c>
      <c r="G200" s="8">
        <f t="shared" si="7"/>
        <v>42665.930081018516</v>
      </c>
    </row>
    <row r="201" spans="1:7" x14ac:dyDescent="0.25">
      <c r="A201" s="8">
        <v>42665.933194444442</v>
      </c>
      <c r="B201" s="21" t="s">
        <v>253</v>
      </c>
      <c r="C201" s="21" t="s">
        <v>606</v>
      </c>
      <c r="D201" s="21">
        <v>2260000</v>
      </c>
      <c r="E201" s="21" t="s">
        <v>581</v>
      </c>
      <c r="F201" s="21" t="str">
        <f t="shared" si="6"/>
        <v>rtdc.l.rtdc.4042:itc</v>
      </c>
      <c r="G201" s="8">
        <f t="shared" si="7"/>
        <v>42665.933194444442</v>
      </c>
    </row>
    <row r="202" spans="1:7" x14ac:dyDescent="0.25">
      <c r="A202" s="27">
        <v>42665.945694444446</v>
      </c>
      <c r="B202" s="21" t="s">
        <v>450</v>
      </c>
      <c r="C202" s="21" t="s">
        <v>607</v>
      </c>
      <c r="D202" s="21">
        <v>2360000</v>
      </c>
      <c r="E202" s="21" t="s">
        <v>578</v>
      </c>
      <c r="F202" s="21" t="str">
        <f t="shared" si="6"/>
        <v>rtdc.l.rtdc.4011:itc</v>
      </c>
      <c r="G202" s="8">
        <f t="shared" si="7"/>
        <v>42665.945694444446</v>
      </c>
    </row>
    <row r="203" spans="1:7" x14ac:dyDescent="0.25">
      <c r="A203" s="8">
        <v>42665.94667824074</v>
      </c>
      <c r="B203" s="21" t="s">
        <v>350</v>
      </c>
      <c r="C203" s="21" t="s">
        <v>608</v>
      </c>
      <c r="D203" s="21">
        <v>1820000</v>
      </c>
      <c r="E203" s="21" t="s">
        <v>314</v>
      </c>
      <c r="F203" s="21" t="str">
        <f t="shared" si="6"/>
        <v>rtdc.l.rtdc.4045:itc</v>
      </c>
      <c r="G203" s="8">
        <f t="shared" si="7"/>
        <v>42665.94667824074</v>
      </c>
    </row>
    <row r="204" spans="1:7" x14ac:dyDescent="0.25">
      <c r="A204" s="8">
        <v>42665.954965277779</v>
      </c>
      <c r="B204" s="21" t="s">
        <v>326</v>
      </c>
      <c r="C204" s="21" t="s">
        <v>446</v>
      </c>
      <c r="D204" s="21">
        <v>1800000</v>
      </c>
      <c r="E204" s="21" t="s">
        <v>209</v>
      </c>
      <c r="F204" s="21" t="str">
        <f t="shared" si="6"/>
        <v>rtdc.l.rtdc.4037:itc</v>
      </c>
      <c r="G204" s="8">
        <f t="shared" si="7"/>
        <v>42665.954965277779</v>
      </c>
    </row>
    <row r="205" spans="1:7" x14ac:dyDescent="0.25">
      <c r="A205" s="8">
        <v>42665.963113425925</v>
      </c>
      <c r="B205" s="21" t="s">
        <v>274</v>
      </c>
      <c r="C205" s="21" t="s">
        <v>609</v>
      </c>
      <c r="D205" s="21">
        <v>1810000</v>
      </c>
      <c r="E205" s="21" t="s">
        <v>331</v>
      </c>
      <c r="F205" s="21" t="str">
        <f t="shared" si="6"/>
        <v>rtdc.l.rtdc.4053:itc</v>
      </c>
      <c r="G205" s="8">
        <f t="shared" si="7"/>
        <v>42665.963113425925</v>
      </c>
    </row>
    <row r="206" spans="1:7" x14ac:dyDescent="0.25">
      <c r="A206" s="8">
        <v>42665.974097222221</v>
      </c>
      <c r="B206" s="21" t="s">
        <v>254</v>
      </c>
      <c r="C206" s="21" t="s">
        <v>610</v>
      </c>
      <c r="D206" s="21">
        <v>2260000</v>
      </c>
      <c r="E206" s="21" t="s">
        <v>581</v>
      </c>
      <c r="F206" s="21" t="str">
        <f t="shared" si="6"/>
        <v>rtdc.l.rtdc.4041:itc</v>
      </c>
      <c r="G206" s="8">
        <f t="shared" si="7"/>
        <v>42665.974097222221</v>
      </c>
    </row>
    <row r="207" spans="1:7" x14ac:dyDescent="0.25">
      <c r="A207" s="8">
        <v>42665.993842592594</v>
      </c>
      <c r="B207" s="21" t="s">
        <v>261</v>
      </c>
      <c r="C207" s="21" t="s">
        <v>611</v>
      </c>
      <c r="D207" s="21">
        <v>2360000</v>
      </c>
      <c r="E207" s="21" t="s">
        <v>578</v>
      </c>
      <c r="F207" s="21" t="str">
        <f t="shared" si="6"/>
        <v>rtdc.l.rtdc.4012:itc</v>
      </c>
      <c r="G207" s="8">
        <f t="shared" si="7"/>
        <v>42665.993842592594</v>
      </c>
    </row>
    <row r="208" spans="1:7" x14ac:dyDescent="0.25">
      <c r="A208" s="8">
        <v>42665.997858796298</v>
      </c>
      <c r="B208" s="21" t="s">
        <v>329</v>
      </c>
      <c r="C208" s="21" t="s">
        <v>612</v>
      </c>
      <c r="D208" s="21">
        <v>1800000</v>
      </c>
      <c r="E208" s="21" t="s">
        <v>209</v>
      </c>
      <c r="F208" s="21" t="str">
        <f t="shared" si="6"/>
        <v>rtdc.l.rtdc.4038:itc</v>
      </c>
      <c r="G208" s="8">
        <f t="shared" si="7"/>
        <v>42665.997858796298</v>
      </c>
    </row>
    <row r="209" spans="1:7" x14ac:dyDescent="0.25">
      <c r="A209" s="8">
        <v>42666.006180555552</v>
      </c>
      <c r="B209" s="21" t="s">
        <v>273</v>
      </c>
      <c r="C209" s="21" t="s">
        <v>613</v>
      </c>
      <c r="D209" s="21">
        <v>1810000</v>
      </c>
      <c r="E209" s="21" t="s">
        <v>331</v>
      </c>
      <c r="F209" s="21" t="str">
        <f t="shared" si="6"/>
        <v>rtdc.l.rtdc.4054:itc</v>
      </c>
      <c r="G209" s="8">
        <f t="shared" si="7"/>
        <v>42666.006180555552</v>
      </c>
    </row>
    <row r="210" spans="1:7" x14ac:dyDescent="0.25">
      <c r="A210" s="8">
        <v>42666.017268518517</v>
      </c>
      <c r="B210" s="21" t="s">
        <v>253</v>
      </c>
      <c r="C210" s="21" t="s">
        <v>614</v>
      </c>
      <c r="D210" s="21">
        <v>2260000</v>
      </c>
      <c r="E210" s="21" t="s">
        <v>581</v>
      </c>
      <c r="F210" s="21" t="str">
        <f t="shared" si="6"/>
        <v>rtdc.l.rtdc.4042:itc</v>
      </c>
      <c r="G210" s="8">
        <f t="shared" si="7"/>
        <v>42666.017268518517</v>
      </c>
    </row>
    <row r="211" spans="1:7" x14ac:dyDescent="0.25">
      <c r="A211" s="8">
        <v>42666.034155092595</v>
      </c>
      <c r="B211" s="21" t="s">
        <v>450</v>
      </c>
      <c r="C211" s="21" t="s">
        <v>615</v>
      </c>
      <c r="D211" s="21">
        <v>2360000</v>
      </c>
      <c r="E211" s="21" t="s">
        <v>578</v>
      </c>
      <c r="F211" s="21" t="str">
        <f t="shared" si="6"/>
        <v>rtdc.l.rtdc.4011:itc</v>
      </c>
      <c r="G211" s="8">
        <f t="shared" si="7"/>
        <v>42666.034155092595</v>
      </c>
    </row>
    <row r="212" spans="1:7" x14ac:dyDescent="0.25">
      <c r="A212" s="8">
        <v>42666.038136574076</v>
      </c>
      <c r="B212" s="21" t="s">
        <v>326</v>
      </c>
      <c r="C212" s="21" t="s">
        <v>616</v>
      </c>
      <c r="D212" s="21">
        <v>1800000</v>
      </c>
      <c r="E212" s="21" t="s">
        <v>209</v>
      </c>
      <c r="F212" s="21" t="str">
        <f t="shared" si="6"/>
        <v>rtdc.l.rtdc.4037:itc</v>
      </c>
      <c r="G212" s="8">
        <f t="shared" si="7"/>
        <v>42666.038136574076</v>
      </c>
    </row>
    <row r="213" spans="1:7" x14ac:dyDescent="0.25">
      <c r="A213" s="8">
        <v>42666.046712962961</v>
      </c>
      <c r="B213" s="21" t="s">
        <v>274</v>
      </c>
      <c r="C213" s="21" t="s">
        <v>617</v>
      </c>
      <c r="D213" s="21">
        <v>1810000</v>
      </c>
      <c r="E213" s="21" t="s">
        <v>331</v>
      </c>
      <c r="F213" s="21" t="str">
        <f t="shared" si="6"/>
        <v>rtdc.l.rtdc.4053:itc</v>
      </c>
      <c r="G213" s="8">
        <f t="shared" si="7"/>
        <v>42666.046712962961</v>
      </c>
    </row>
    <row r="214" spans="1:7" x14ac:dyDescent="0.25">
      <c r="A214" s="8">
        <v>42666.054224537038</v>
      </c>
      <c r="B214" s="21" t="s">
        <v>254</v>
      </c>
      <c r="C214" s="21" t="s">
        <v>618</v>
      </c>
      <c r="D214" s="21">
        <v>2260000</v>
      </c>
      <c r="E214" s="21" t="s">
        <v>581</v>
      </c>
      <c r="F214" s="21" t="str">
        <f t="shared" si="6"/>
        <v>rtdc.l.rtdc.4041:itc</v>
      </c>
      <c r="G214" s="8">
        <f t="shared" si="7"/>
        <v>42666.054224537038</v>
      </c>
    </row>
    <row r="215" spans="1:7" x14ac:dyDescent="0.25">
      <c r="A215" s="8">
        <v>42666.056134259263</v>
      </c>
      <c r="B215" s="21" t="s">
        <v>254</v>
      </c>
      <c r="C215" s="21" t="s">
        <v>618</v>
      </c>
      <c r="D215" s="21">
        <v>2260000</v>
      </c>
      <c r="E215" s="21" t="s">
        <v>581</v>
      </c>
      <c r="F215" s="21" t="str">
        <f t="shared" si="6"/>
        <v>rtdc.l.rtdc.4041:itc</v>
      </c>
      <c r="G215" s="8">
        <f t="shared" si="7"/>
        <v>42666.056134259263</v>
      </c>
    </row>
    <row r="216" spans="1:7" x14ac:dyDescent="0.25">
      <c r="A216" s="8">
        <v>42666.072164351855</v>
      </c>
      <c r="B216" s="21" t="s">
        <v>329</v>
      </c>
      <c r="C216" s="21" t="s">
        <v>619</v>
      </c>
      <c r="D216" s="21">
        <v>1800000</v>
      </c>
      <c r="E216" s="21" t="s">
        <v>209</v>
      </c>
      <c r="F216" s="21" t="str">
        <f t="shared" si="6"/>
        <v>rtdc.l.rtdc.4038:itc</v>
      </c>
      <c r="G216" s="8">
        <f t="shared" si="7"/>
        <v>42666.072164351855</v>
      </c>
    </row>
    <row r="217" spans="1:7" x14ac:dyDescent="0.25">
      <c r="A217" s="8">
        <v>42666.077187499999</v>
      </c>
      <c r="B217" s="21" t="s">
        <v>261</v>
      </c>
      <c r="C217" s="21" t="s">
        <v>620</v>
      </c>
      <c r="D217" s="21">
        <v>2360000</v>
      </c>
      <c r="E217" s="21" t="s">
        <v>578</v>
      </c>
      <c r="F217" s="21" t="str">
        <f t="shared" si="6"/>
        <v>rtdc.l.rtdc.4012:itc</v>
      </c>
      <c r="G217" s="8">
        <f t="shared" si="7"/>
        <v>42666.077187499999</v>
      </c>
    </row>
    <row r="218" spans="1:7" x14ac:dyDescent="0.25">
      <c r="A218" s="8">
        <v>42666.090810185182</v>
      </c>
      <c r="B218" s="21" t="s">
        <v>253</v>
      </c>
      <c r="C218" s="21" t="s">
        <v>621</v>
      </c>
      <c r="D218" s="21">
        <v>2260000</v>
      </c>
      <c r="E218" s="21" t="s">
        <v>581</v>
      </c>
      <c r="F218" s="21" t="str">
        <f t="shared" si="6"/>
        <v>rtdc.l.rtdc.4042:itc</v>
      </c>
      <c r="G218" s="8">
        <f t="shared" si="7"/>
        <v>42666.090810185182</v>
      </c>
    </row>
    <row r="219" spans="1:7" x14ac:dyDescent="0.25">
      <c r="A219" s="8">
        <v>42666.110706018517</v>
      </c>
      <c r="B219" s="21" t="s">
        <v>450</v>
      </c>
      <c r="C219" s="21" t="s">
        <v>622</v>
      </c>
      <c r="D219" s="21">
        <v>2360000</v>
      </c>
      <c r="E219" s="21" t="s">
        <v>578</v>
      </c>
      <c r="F219" s="21" t="str">
        <f t="shared" si="6"/>
        <v>rtdc.l.rtdc.4011:itc</v>
      </c>
      <c r="G219" s="8">
        <f t="shared" si="7"/>
        <v>42666.110706018517</v>
      </c>
    </row>
    <row r="220" spans="1:7" x14ac:dyDescent="0.25">
      <c r="A220" s="8">
        <v>42664.954212962963</v>
      </c>
      <c r="B220" s="21" t="s">
        <v>249</v>
      </c>
      <c r="C220" s="21" t="s">
        <v>353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287</v>
      </c>
      <c r="C221" s="21" t="s">
        <v>363</v>
      </c>
      <c r="D221" s="21">
        <v>1230000</v>
      </c>
      <c r="E221" s="21" t="s">
        <v>214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364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249</v>
      </c>
      <c r="C223" s="21" t="s">
        <v>355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351</v>
      </c>
      <c r="C224" t="s">
        <v>365</v>
      </c>
      <c r="D224">
        <v>150000</v>
      </c>
      <c r="E224" t="s">
        <v>276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354</v>
      </c>
      <c r="C225" t="s">
        <v>355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249</v>
      </c>
      <c r="C226" t="s">
        <v>355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354</v>
      </c>
      <c r="C227" t="s">
        <v>355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288</v>
      </c>
      <c r="C228" t="s">
        <v>366</v>
      </c>
      <c r="D228">
        <v>1230000</v>
      </c>
      <c r="E228" t="s">
        <v>214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367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249</v>
      </c>
      <c r="C230" t="s">
        <v>368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352</v>
      </c>
      <c r="C231" t="s">
        <v>369</v>
      </c>
      <c r="D231">
        <v>150000</v>
      </c>
      <c r="E231" t="s">
        <v>276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249</v>
      </c>
      <c r="C232" t="s">
        <v>368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287</v>
      </c>
      <c r="C233" t="s">
        <v>370</v>
      </c>
      <c r="D233">
        <v>1230000</v>
      </c>
      <c r="E233" t="s">
        <v>214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371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354</v>
      </c>
      <c r="C235" t="s">
        <v>372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351</v>
      </c>
      <c r="C236" t="s">
        <v>373</v>
      </c>
      <c r="D236">
        <v>150000</v>
      </c>
      <c r="E236" t="s">
        <v>276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374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288</v>
      </c>
      <c r="C238" t="s">
        <v>292</v>
      </c>
      <c r="D238">
        <v>2370000</v>
      </c>
      <c r="E238" t="s">
        <v>275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273</v>
      </c>
      <c r="C239" t="s">
        <v>293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266</v>
      </c>
      <c r="C240" t="s">
        <v>294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266</v>
      </c>
      <c r="C241" t="s">
        <v>295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244</v>
      </c>
      <c r="C242" t="s">
        <v>296</v>
      </c>
      <c r="D242">
        <v>1230000</v>
      </c>
      <c r="E242" t="s">
        <v>214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249</v>
      </c>
      <c r="C243" t="s">
        <v>297</v>
      </c>
      <c r="D243">
        <v>110000</v>
      </c>
      <c r="E243" t="s">
        <v>291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213</v>
      </c>
      <c r="C244" t="s">
        <v>289</v>
      </c>
      <c r="D244">
        <v>150000</v>
      </c>
      <c r="E244" t="s">
        <v>276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298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267</v>
      </c>
      <c r="C246" t="s">
        <v>299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287</v>
      </c>
      <c r="C247" t="s">
        <v>300</v>
      </c>
      <c r="D247">
        <v>2350000</v>
      </c>
      <c r="E247" t="s">
        <v>268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301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302</v>
      </c>
      <c r="D249">
        <v>1230000</v>
      </c>
      <c r="E249" t="s">
        <v>214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302</v>
      </c>
      <c r="D250">
        <v>1230000</v>
      </c>
      <c r="E250" t="s">
        <v>214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266</v>
      </c>
      <c r="C251" t="s">
        <v>303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288</v>
      </c>
      <c r="C252" t="s">
        <v>304</v>
      </c>
      <c r="D252">
        <v>2350000</v>
      </c>
      <c r="E252" t="s">
        <v>268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305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287</v>
      </c>
      <c r="C254" t="s">
        <v>306</v>
      </c>
      <c r="D254">
        <v>2350000</v>
      </c>
      <c r="E254" t="s">
        <v>268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48.11</v>
      </c>
      <c r="B2" s="165">
        <v>0.08</v>
      </c>
      <c r="C2" s="165">
        <v>20.87</v>
      </c>
      <c r="D2" s="8">
        <v>42665</v>
      </c>
      <c r="E2" s="165">
        <v>0.34</v>
      </c>
      <c r="F2" s="165" t="s">
        <v>250</v>
      </c>
      <c r="G2" s="165">
        <v>258.10000000000002</v>
      </c>
      <c r="H2" s="165">
        <v>0</v>
      </c>
      <c r="I2" s="165">
        <v>0</v>
      </c>
      <c r="J2" s="165">
        <v>1015.67</v>
      </c>
      <c r="K2" s="165" t="s">
        <v>251</v>
      </c>
      <c r="L2" s="165">
        <v>48.11</v>
      </c>
      <c r="M2" s="165">
        <v>1477116000</v>
      </c>
      <c r="N2" s="165">
        <v>7.28</v>
      </c>
      <c r="O2" s="165">
        <v>206</v>
      </c>
      <c r="P2" s="165">
        <v>2.23</v>
      </c>
      <c r="Q2"/>
    </row>
    <row r="3" spans="1:17" x14ac:dyDescent="0.25">
      <c r="A3" s="165">
        <v>45.32</v>
      </c>
      <c r="B3" s="165">
        <v>0.05</v>
      </c>
      <c r="C3" s="165">
        <v>20.58</v>
      </c>
      <c r="D3" s="8">
        <v>42665.041666666664</v>
      </c>
      <c r="E3" s="165">
        <v>0.37</v>
      </c>
      <c r="F3" s="165" t="s">
        <v>250</v>
      </c>
      <c r="G3" s="165">
        <v>258.20999999999998</v>
      </c>
      <c r="H3" s="165">
        <v>0</v>
      </c>
      <c r="I3" s="165">
        <v>0</v>
      </c>
      <c r="J3" s="165">
        <v>1016.12</v>
      </c>
      <c r="K3" s="165" t="s">
        <v>251</v>
      </c>
      <c r="L3" s="165">
        <v>45.32</v>
      </c>
      <c r="M3" s="165">
        <v>1477119600</v>
      </c>
      <c r="N3" s="165">
        <v>7.66</v>
      </c>
      <c r="O3" s="165">
        <v>226</v>
      </c>
      <c r="P3" s="165">
        <v>2.4</v>
      </c>
      <c r="Q3"/>
    </row>
    <row r="4" spans="1:17" x14ac:dyDescent="0.25">
      <c r="A4" s="165">
        <v>43.97</v>
      </c>
      <c r="B4" s="165">
        <v>0.03</v>
      </c>
      <c r="C4" s="165">
        <v>21.06</v>
      </c>
      <c r="D4" s="8">
        <v>42665.083333333336</v>
      </c>
      <c r="E4" s="165">
        <v>0.4</v>
      </c>
      <c r="F4" s="165" t="s">
        <v>250</v>
      </c>
      <c r="G4" s="165">
        <v>258.33</v>
      </c>
      <c r="H4" s="165">
        <v>0</v>
      </c>
      <c r="I4" s="165">
        <v>0</v>
      </c>
      <c r="J4" s="165">
        <v>1016.46</v>
      </c>
      <c r="K4" s="165" t="s">
        <v>251</v>
      </c>
      <c r="L4" s="165">
        <v>43.97</v>
      </c>
      <c r="M4" s="165">
        <v>1477123200</v>
      </c>
      <c r="N4" s="165">
        <v>7.09</v>
      </c>
      <c r="O4" s="165">
        <v>234</v>
      </c>
      <c r="P4" s="165">
        <v>2.0499999999999998</v>
      </c>
      <c r="Q4"/>
    </row>
    <row r="5" spans="1:17" x14ac:dyDescent="0.25">
      <c r="A5" s="165">
        <v>42.85</v>
      </c>
      <c r="B5" s="165">
        <v>7.0000000000000007E-2</v>
      </c>
      <c r="C5" s="165">
        <v>21.41</v>
      </c>
      <c r="D5" s="8">
        <v>42665.125</v>
      </c>
      <c r="E5" s="165">
        <v>0.42</v>
      </c>
      <c r="F5" s="165" t="s">
        <v>250</v>
      </c>
      <c r="G5" s="165">
        <v>258.45</v>
      </c>
      <c r="H5" s="165">
        <v>0</v>
      </c>
      <c r="I5" s="165">
        <v>0</v>
      </c>
      <c r="J5" s="165">
        <v>1016.74</v>
      </c>
      <c r="K5" s="165" t="s">
        <v>251</v>
      </c>
      <c r="L5" s="165">
        <v>42.85</v>
      </c>
      <c r="M5" s="165">
        <v>1477126800</v>
      </c>
      <c r="N5" s="165">
        <v>6.42</v>
      </c>
      <c r="O5" s="165">
        <v>223</v>
      </c>
      <c r="P5" s="165">
        <v>2.35</v>
      </c>
      <c r="Q5"/>
    </row>
    <row r="6" spans="1:17" x14ac:dyDescent="0.25">
      <c r="A6" s="165">
        <v>41.41</v>
      </c>
      <c r="B6" s="165">
        <v>0.05</v>
      </c>
      <c r="C6" s="165">
        <v>20.22</v>
      </c>
      <c r="D6" s="8">
        <v>42665.166666666664</v>
      </c>
      <c r="E6" s="165">
        <v>0.42</v>
      </c>
      <c r="F6" s="165" t="s">
        <v>250</v>
      </c>
      <c r="G6" s="165">
        <v>258.57</v>
      </c>
      <c r="H6" s="165">
        <v>0</v>
      </c>
      <c r="I6" s="165">
        <v>0</v>
      </c>
      <c r="J6" s="165">
        <v>1016.44</v>
      </c>
      <c r="K6" s="165" t="s">
        <v>251</v>
      </c>
      <c r="L6" s="165">
        <v>41.41</v>
      </c>
      <c r="M6" s="165">
        <v>1477130400</v>
      </c>
      <c r="N6" s="165">
        <v>6.05</v>
      </c>
      <c r="O6" s="165">
        <v>217</v>
      </c>
      <c r="P6" s="165">
        <v>2.98</v>
      </c>
      <c r="Q6"/>
    </row>
    <row r="7" spans="1:17" x14ac:dyDescent="0.25">
      <c r="A7" s="165">
        <v>41.21</v>
      </c>
      <c r="B7" s="165">
        <v>0.06</v>
      </c>
      <c r="C7" s="165">
        <v>21.11</v>
      </c>
      <c r="D7" s="8">
        <v>42665.208333333336</v>
      </c>
      <c r="E7" s="165">
        <v>0.44</v>
      </c>
      <c r="F7" s="165" t="s">
        <v>250</v>
      </c>
      <c r="G7" s="165">
        <v>258.69</v>
      </c>
      <c r="H7" s="165">
        <v>0</v>
      </c>
      <c r="I7" s="165">
        <v>0</v>
      </c>
      <c r="J7" s="165">
        <v>1015.87</v>
      </c>
      <c r="K7" s="165" t="s">
        <v>251</v>
      </c>
      <c r="L7" s="165">
        <v>41.21</v>
      </c>
      <c r="M7" s="165">
        <v>1477134000</v>
      </c>
      <c r="N7" s="165">
        <v>6.79</v>
      </c>
      <c r="O7" s="165">
        <v>218</v>
      </c>
      <c r="P7" s="165">
        <v>2.84</v>
      </c>
      <c r="Q7"/>
    </row>
    <row r="8" spans="1:17" x14ac:dyDescent="0.25">
      <c r="A8" s="165">
        <v>41.06</v>
      </c>
      <c r="B8" s="165">
        <v>0.04</v>
      </c>
      <c r="C8" s="165">
        <v>20.059999999999999</v>
      </c>
      <c r="D8" s="8">
        <v>42665.25</v>
      </c>
      <c r="E8" s="165">
        <v>0.43</v>
      </c>
      <c r="F8" s="165" t="s">
        <v>250</v>
      </c>
      <c r="G8" s="165">
        <v>258.7</v>
      </c>
      <c r="H8" s="165">
        <v>0</v>
      </c>
      <c r="I8" s="165">
        <v>0</v>
      </c>
      <c r="J8" s="165">
        <v>1015.39</v>
      </c>
      <c r="K8" s="165" t="s">
        <v>251</v>
      </c>
      <c r="L8" s="165">
        <v>41.06</v>
      </c>
      <c r="M8" s="165">
        <v>1477137600</v>
      </c>
      <c r="N8" s="165">
        <v>6.18</v>
      </c>
      <c r="O8" s="165">
        <v>207</v>
      </c>
      <c r="P8" s="165">
        <v>2.67</v>
      </c>
      <c r="Q8"/>
    </row>
    <row r="9" spans="1:17" x14ac:dyDescent="0.25">
      <c r="A9" s="165">
        <v>42.33</v>
      </c>
      <c r="B9" s="165">
        <v>0.06</v>
      </c>
      <c r="C9" s="165">
        <v>20.69</v>
      </c>
      <c r="D9" s="8">
        <v>42665.291666666664</v>
      </c>
      <c r="E9" s="165">
        <v>0.42</v>
      </c>
      <c r="F9" s="165" t="s">
        <v>250</v>
      </c>
      <c r="G9" s="165">
        <v>258.57</v>
      </c>
      <c r="H9" s="165">
        <v>0</v>
      </c>
      <c r="I9" s="165">
        <v>0</v>
      </c>
      <c r="J9" s="165">
        <v>1015.44</v>
      </c>
      <c r="K9" s="165" t="s">
        <v>251</v>
      </c>
      <c r="L9" s="165">
        <v>42.33</v>
      </c>
      <c r="M9" s="165">
        <v>1477141200</v>
      </c>
      <c r="N9" s="165">
        <v>5.0999999999999996</v>
      </c>
      <c r="O9" s="165">
        <v>225</v>
      </c>
      <c r="P9" s="165">
        <v>2.48</v>
      </c>
      <c r="Q9"/>
    </row>
    <row r="10" spans="1:17" x14ac:dyDescent="0.25">
      <c r="A10" s="165">
        <v>45.1</v>
      </c>
      <c r="B10" s="165">
        <v>0.06</v>
      </c>
      <c r="C10" s="165">
        <v>21.83</v>
      </c>
      <c r="D10" s="8">
        <v>42665.333333333336</v>
      </c>
      <c r="E10" s="165">
        <v>0.39</v>
      </c>
      <c r="F10" s="165" t="s">
        <v>263</v>
      </c>
      <c r="G10" s="165">
        <v>258.35000000000002</v>
      </c>
      <c r="H10" s="165">
        <v>0</v>
      </c>
      <c r="I10" s="165">
        <v>0</v>
      </c>
      <c r="J10" s="165">
        <v>1015.57</v>
      </c>
      <c r="K10" s="165" t="s">
        <v>251</v>
      </c>
      <c r="L10" s="165">
        <v>45.1</v>
      </c>
      <c r="M10" s="165">
        <v>1477144800</v>
      </c>
      <c r="N10" s="165">
        <v>4.5599999999999996</v>
      </c>
      <c r="O10" s="165">
        <v>216</v>
      </c>
      <c r="P10" s="165">
        <v>2.33</v>
      </c>
      <c r="Q10"/>
    </row>
    <row r="11" spans="1:17" x14ac:dyDescent="0.25">
      <c r="A11" s="165">
        <v>53.07</v>
      </c>
      <c r="B11" s="165">
        <v>0.1</v>
      </c>
      <c r="C11" s="165">
        <v>22.59</v>
      </c>
      <c r="D11" s="8">
        <v>42665.375</v>
      </c>
      <c r="E11" s="165">
        <v>0.3</v>
      </c>
      <c r="F11" s="165" t="s">
        <v>263</v>
      </c>
      <c r="G11" s="165">
        <v>258</v>
      </c>
      <c r="H11" s="165">
        <v>0</v>
      </c>
      <c r="I11" s="165">
        <v>0</v>
      </c>
      <c r="J11" s="165">
        <v>1015.14</v>
      </c>
      <c r="K11" s="165" t="s">
        <v>251</v>
      </c>
      <c r="L11" s="165">
        <v>53.07</v>
      </c>
      <c r="M11" s="165">
        <v>1477148400</v>
      </c>
      <c r="N11" s="165">
        <v>4.34</v>
      </c>
      <c r="O11" s="165">
        <v>242</v>
      </c>
      <c r="P11" s="165">
        <v>2.88</v>
      </c>
      <c r="Q11"/>
    </row>
    <row r="12" spans="1:17" x14ac:dyDescent="0.25">
      <c r="A12" s="165">
        <v>60.82</v>
      </c>
      <c r="B12" s="165">
        <v>0.12</v>
      </c>
      <c r="C12" s="165">
        <v>22.55</v>
      </c>
      <c r="D12" s="8">
        <v>42665.416666666664</v>
      </c>
      <c r="E12" s="165">
        <v>0.23</v>
      </c>
      <c r="F12" s="165" t="s">
        <v>263</v>
      </c>
      <c r="G12" s="165">
        <v>257.48</v>
      </c>
      <c r="H12" s="165">
        <v>0</v>
      </c>
      <c r="I12" s="165">
        <v>0</v>
      </c>
      <c r="J12" s="165">
        <v>1013.73</v>
      </c>
      <c r="K12" s="165" t="s">
        <v>251</v>
      </c>
      <c r="L12" s="165">
        <v>60.82</v>
      </c>
      <c r="M12" s="165">
        <v>1477152000</v>
      </c>
      <c r="N12" s="165">
        <v>4.29</v>
      </c>
      <c r="O12" s="165">
        <v>224</v>
      </c>
      <c r="P12" s="165">
        <v>3.82</v>
      </c>
      <c r="Q12"/>
    </row>
    <row r="13" spans="1:17" x14ac:dyDescent="0.25">
      <c r="A13" s="165">
        <v>67.14</v>
      </c>
      <c r="B13" s="165">
        <v>0.14000000000000001</v>
      </c>
      <c r="C13" s="165">
        <v>23.1</v>
      </c>
      <c r="D13" s="8">
        <v>42665.458333333336</v>
      </c>
      <c r="E13" s="165">
        <v>0.19</v>
      </c>
      <c r="F13" s="165" t="s">
        <v>263</v>
      </c>
      <c r="G13" s="165">
        <v>256.83</v>
      </c>
      <c r="H13" s="165">
        <v>0</v>
      </c>
      <c r="I13" s="165">
        <v>0</v>
      </c>
      <c r="J13" s="165">
        <v>1011.9</v>
      </c>
      <c r="K13" s="165" t="s">
        <v>251</v>
      </c>
      <c r="L13" s="165">
        <v>67.14</v>
      </c>
      <c r="M13" s="165">
        <v>1477155600</v>
      </c>
      <c r="N13" s="165">
        <v>4.3</v>
      </c>
      <c r="O13" s="165">
        <v>200</v>
      </c>
      <c r="P13" s="165">
        <v>2.2400000000000002</v>
      </c>
      <c r="Q13"/>
    </row>
    <row r="14" spans="1:17" x14ac:dyDescent="0.25">
      <c r="A14" s="165">
        <v>72.98</v>
      </c>
      <c r="B14" s="165">
        <v>0.17</v>
      </c>
      <c r="C14" s="165">
        <v>23.82</v>
      </c>
      <c r="D14" s="8">
        <v>42665.5</v>
      </c>
      <c r="E14" s="165">
        <v>0.16</v>
      </c>
      <c r="F14" s="165" t="s">
        <v>263</v>
      </c>
      <c r="G14" s="165">
        <v>256.19</v>
      </c>
      <c r="H14" s="165">
        <v>0</v>
      </c>
      <c r="I14" s="165">
        <v>0</v>
      </c>
      <c r="J14" s="165">
        <v>1010.72</v>
      </c>
      <c r="K14" s="165" t="s">
        <v>251</v>
      </c>
      <c r="L14" s="165">
        <v>72.98</v>
      </c>
      <c r="M14" s="165">
        <v>1477159200</v>
      </c>
      <c r="N14" s="165">
        <v>4.37</v>
      </c>
      <c r="O14" s="165">
        <v>185</v>
      </c>
      <c r="P14" s="165">
        <v>1.67</v>
      </c>
      <c r="Q14"/>
    </row>
    <row r="15" spans="1:17" x14ac:dyDescent="0.25">
      <c r="A15" s="165">
        <v>76.05</v>
      </c>
      <c r="B15" s="165">
        <v>0.17</v>
      </c>
      <c r="C15" s="165">
        <v>23.9</v>
      </c>
      <c r="D15" s="8">
        <v>42665.541666666664</v>
      </c>
      <c r="E15" s="165">
        <v>0.14000000000000001</v>
      </c>
      <c r="F15" s="165" t="s">
        <v>263</v>
      </c>
      <c r="G15" s="165">
        <v>255.5</v>
      </c>
      <c r="H15" s="165">
        <v>0</v>
      </c>
      <c r="I15" s="165">
        <v>0</v>
      </c>
      <c r="J15" s="165">
        <v>1010.05</v>
      </c>
      <c r="K15" s="165" t="s">
        <v>251</v>
      </c>
      <c r="L15" s="165">
        <v>76.05</v>
      </c>
      <c r="M15" s="165">
        <v>1477162800</v>
      </c>
      <c r="N15" s="165">
        <v>4.41</v>
      </c>
      <c r="O15" s="165">
        <v>276</v>
      </c>
      <c r="P15" s="165">
        <v>1.79</v>
      </c>
      <c r="Q15"/>
    </row>
    <row r="16" spans="1:17" x14ac:dyDescent="0.25">
      <c r="A16" s="165">
        <v>77.41</v>
      </c>
      <c r="B16" s="165">
        <v>0.19</v>
      </c>
      <c r="C16" s="165">
        <v>24.12</v>
      </c>
      <c r="D16" s="8">
        <v>42665.583333333336</v>
      </c>
      <c r="E16" s="165">
        <v>0.14000000000000001</v>
      </c>
      <c r="F16" s="165" t="s">
        <v>263</v>
      </c>
      <c r="G16" s="165">
        <v>254.8</v>
      </c>
      <c r="H16" s="165">
        <v>0</v>
      </c>
      <c r="I16" s="165">
        <v>0</v>
      </c>
      <c r="J16" s="165">
        <v>1009.61</v>
      </c>
      <c r="K16" s="165" t="s">
        <v>251</v>
      </c>
      <c r="L16" s="165">
        <v>77.41</v>
      </c>
      <c r="M16" s="165">
        <v>1477166400</v>
      </c>
      <c r="N16" s="165">
        <v>4.46</v>
      </c>
      <c r="O16" s="165">
        <v>313</v>
      </c>
      <c r="P16" s="165">
        <v>1.41</v>
      </c>
      <c r="Q16"/>
    </row>
    <row r="17" spans="1:17" x14ac:dyDescent="0.25">
      <c r="A17" s="165">
        <v>77.77</v>
      </c>
      <c r="B17" s="165">
        <v>0.21</v>
      </c>
      <c r="C17" s="165">
        <v>24.92</v>
      </c>
      <c r="D17" s="8">
        <v>42665.625</v>
      </c>
      <c r="E17" s="165">
        <v>0.14000000000000001</v>
      </c>
      <c r="F17" s="165" t="s">
        <v>263</v>
      </c>
      <c r="G17" s="165">
        <v>254.35</v>
      </c>
      <c r="H17" s="165">
        <v>0</v>
      </c>
      <c r="I17" s="165">
        <v>0</v>
      </c>
      <c r="J17" s="165">
        <v>1009.36</v>
      </c>
      <c r="K17" s="165" t="s">
        <v>251</v>
      </c>
      <c r="L17" s="165">
        <v>77.77</v>
      </c>
      <c r="M17" s="165">
        <v>1477170000</v>
      </c>
      <c r="N17" s="165">
        <v>4.49</v>
      </c>
      <c r="O17" s="165">
        <v>352</v>
      </c>
      <c r="P17" s="165">
        <v>1.49</v>
      </c>
      <c r="Q17"/>
    </row>
    <row r="18" spans="1:17" x14ac:dyDescent="0.25">
      <c r="A18" s="165">
        <v>76.44</v>
      </c>
      <c r="B18" s="165">
        <v>0.26</v>
      </c>
      <c r="C18" s="165">
        <v>25.78</v>
      </c>
      <c r="D18" s="8">
        <v>42665.666666666664</v>
      </c>
      <c r="E18" s="165">
        <v>0.15</v>
      </c>
      <c r="F18" s="165" t="s">
        <v>375</v>
      </c>
      <c r="G18" s="165">
        <v>254.27</v>
      </c>
      <c r="H18" s="165">
        <v>0</v>
      </c>
      <c r="I18" s="165">
        <v>0</v>
      </c>
      <c r="J18" s="165">
        <v>1009.29</v>
      </c>
      <c r="K18" s="165" t="s">
        <v>212</v>
      </c>
      <c r="L18" s="165">
        <v>76.44</v>
      </c>
      <c r="M18" s="165">
        <v>1477173600</v>
      </c>
      <c r="N18" s="165">
        <v>4.55</v>
      </c>
      <c r="O18" s="165">
        <v>335</v>
      </c>
      <c r="P18" s="165">
        <v>2.66</v>
      </c>
      <c r="Q18"/>
    </row>
    <row r="19" spans="1:17" x14ac:dyDescent="0.25">
      <c r="A19" s="165">
        <v>74.31</v>
      </c>
      <c r="B19" s="165">
        <v>0.23</v>
      </c>
      <c r="C19" s="165">
        <v>25.04</v>
      </c>
      <c r="D19" s="8">
        <v>42665.708333333336</v>
      </c>
      <c r="E19" s="165">
        <v>0.16</v>
      </c>
      <c r="F19" s="165" t="s">
        <v>263</v>
      </c>
      <c r="G19" s="165">
        <v>254.42</v>
      </c>
      <c r="H19" s="165">
        <v>0</v>
      </c>
      <c r="I19" s="165">
        <v>0</v>
      </c>
      <c r="J19" s="165">
        <v>1009.43</v>
      </c>
      <c r="K19" s="165" t="s">
        <v>251</v>
      </c>
      <c r="L19" s="165">
        <v>74.31</v>
      </c>
      <c r="M19" s="165">
        <v>1477177200</v>
      </c>
      <c r="N19" s="165">
        <v>7.15</v>
      </c>
      <c r="O19" s="165">
        <v>333</v>
      </c>
      <c r="P19" s="165">
        <v>2.13</v>
      </c>
      <c r="Q19"/>
    </row>
    <row r="20" spans="1:17" x14ac:dyDescent="0.25">
      <c r="A20" s="165">
        <v>69.739999999999995</v>
      </c>
      <c r="B20" s="165">
        <v>0.17</v>
      </c>
      <c r="C20" s="165">
        <v>24.39</v>
      </c>
      <c r="D20" s="8">
        <v>42665.75</v>
      </c>
      <c r="E20" s="165">
        <v>0.18</v>
      </c>
      <c r="F20" s="165" t="s">
        <v>263</v>
      </c>
      <c r="G20" s="165">
        <v>254.65</v>
      </c>
      <c r="H20" s="165">
        <v>0</v>
      </c>
      <c r="I20" s="165">
        <v>0</v>
      </c>
      <c r="J20" s="165">
        <v>1009.89</v>
      </c>
      <c r="K20" s="165" t="s">
        <v>251</v>
      </c>
      <c r="L20" s="165">
        <v>69.739999999999995</v>
      </c>
      <c r="M20" s="165">
        <v>1477180800</v>
      </c>
      <c r="N20" s="165">
        <v>7.4</v>
      </c>
      <c r="O20" s="165">
        <v>30</v>
      </c>
      <c r="P20" s="165">
        <v>1.79</v>
      </c>
      <c r="Q20"/>
    </row>
    <row r="21" spans="1:17" x14ac:dyDescent="0.25">
      <c r="A21" s="165">
        <v>65.569999999999993</v>
      </c>
      <c r="B21" s="165">
        <v>0.16</v>
      </c>
      <c r="C21" s="165">
        <v>25</v>
      </c>
      <c r="D21" s="8">
        <v>42665.791666666664</v>
      </c>
      <c r="E21" s="165">
        <v>0.21</v>
      </c>
      <c r="F21" s="165" t="s">
        <v>250</v>
      </c>
      <c r="G21" s="165">
        <v>254.94</v>
      </c>
      <c r="H21" s="165">
        <v>0</v>
      </c>
      <c r="I21" s="165">
        <v>0</v>
      </c>
      <c r="J21" s="165">
        <v>1010.61</v>
      </c>
      <c r="K21" s="165" t="s">
        <v>251</v>
      </c>
      <c r="L21" s="165">
        <v>65.569999999999993</v>
      </c>
      <c r="M21" s="165">
        <v>1477184400</v>
      </c>
      <c r="N21" s="165">
        <v>7.82</v>
      </c>
      <c r="O21" s="165">
        <v>309</v>
      </c>
      <c r="P21" s="165">
        <v>1.31</v>
      </c>
      <c r="Q21"/>
    </row>
    <row r="22" spans="1:17" x14ac:dyDescent="0.25">
      <c r="A22" s="165">
        <v>61.97</v>
      </c>
      <c r="B22" s="165">
        <v>0.12</v>
      </c>
      <c r="C22" s="165">
        <v>24.92</v>
      </c>
      <c r="D22" s="8">
        <v>42665.833333333336</v>
      </c>
      <c r="E22" s="165">
        <v>0.24</v>
      </c>
      <c r="F22" s="165" t="s">
        <v>250</v>
      </c>
      <c r="G22" s="165">
        <v>255.29</v>
      </c>
      <c r="H22" s="165">
        <v>0</v>
      </c>
      <c r="I22" s="165">
        <v>0</v>
      </c>
      <c r="J22" s="165">
        <v>1012.22</v>
      </c>
      <c r="K22" s="165" t="s">
        <v>251</v>
      </c>
      <c r="L22" s="165">
        <v>61.97</v>
      </c>
      <c r="M22" s="165">
        <v>1477188000</v>
      </c>
      <c r="N22" s="165">
        <v>8.41</v>
      </c>
      <c r="O22" s="165">
        <v>230</v>
      </c>
      <c r="P22" s="165">
        <v>1.46</v>
      </c>
      <c r="Q22"/>
    </row>
    <row r="23" spans="1:17" x14ac:dyDescent="0.25">
      <c r="A23" s="165">
        <v>58.8</v>
      </c>
      <c r="B23" s="165">
        <v>0.09</v>
      </c>
      <c r="C23" s="165">
        <v>24.95</v>
      </c>
      <c r="D23" s="8">
        <v>42665.875</v>
      </c>
      <c r="E23" s="165">
        <v>0.27</v>
      </c>
      <c r="F23" s="165" t="s">
        <v>250</v>
      </c>
      <c r="G23" s="165">
        <v>255.55</v>
      </c>
      <c r="H23" s="165">
        <v>0</v>
      </c>
      <c r="I23" s="165">
        <v>0</v>
      </c>
      <c r="J23" s="165">
        <v>1013.88</v>
      </c>
      <c r="K23" s="165" t="s">
        <v>251</v>
      </c>
      <c r="L23" s="165">
        <v>58.8</v>
      </c>
      <c r="M23" s="165">
        <v>1477191600</v>
      </c>
      <c r="N23" s="165">
        <v>8.99</v>
      </c>
      <c r="O23" s="165">
        <v>232</v>
      </c>
      <c r="P23" s="165">
        <v>2.92</v>
      </c>
      <c r="Q23"/>
    </row>
    <row r="24" spans="1:17" x14ac:dyDescent="0.25">
      <c r="A24" s="165">
        <v>56.79</v>
      </c>
      <c r="B24" s="165">
        <v>0.11</v>
      </c>
      <c r="C24" s="165">
        <v>23.82</v>
      </c>
      <c r="D24" s="8">
        <v>42665.916666666664</v>
      </c>
      <c r="E24" s="165">
        <v>0.28000000000000003</v>
      </c>
      <c r="F24" s="165" t="s">
        <v>250</v>
      </c>
      <c r="G24" s="165">
        <v>255.71</v>
      </c>
      <c r="H24" s="165">
        <v>0</v>
      </c>
      <c r="I24" s="165">
        <v>0</v>
      </c>
      <c r="J24" s="165">
        <v>1014.83</v>
      </c>
      <c r="K24" s="165" t="s">
        <v>251</v>
      </c>
      <c r="L24" s="165">
        <v>56.79</v>
      </c>
      <c r="M24" s="165">
        <v>1477195200</v>
      </c>
      <c r="N24" s="165">
        <v>8.58</v>
      </c>
      <c r="O24" s="165">
        <v>233</v>
      </c>
      <c r="P24" s="165">
        <v>3.07</v>
      </c>
      <c r="Q24"/>
    </row>
    <row r="25" spans="1:17" x14ac:dyDescent="0.25">
      <c r="A25" s="165">
        <v>54.21</v>
      </c>
      <c r="B25" s="165">
        <v>0.12</v>
      </c>
      <c r="C25" s="165">
        <v>23.48</v>
      </c>
      <c r="D25" s="8">
        <v>42665.958333333336</v>
      </c>
      <c r="E25" s="165">
        <v>0.3</v>
      </c>
      <c r="F25" s="165" t="s">
        <v>250</v>
      </c>
      <c r="G25" s="165">
        <v>255.79</v>
      </c>
      <c r="H25" s="165">
        <v>0</v>
      </c>
      <c r="I25" s="165">
        <v>0</v>
      </c>
      <c r="J25" s="165">
        <v>1015.46</v>
      </c>
      <c r="K25" s="165" t="s">
        <v>251</v>
      </c>
      <c r="L25" s="165">
        <v>54.21</v>
      </c>
      <c r="M25" s="165">
        <v>1477198800</v>
      </c>
      <c r="N25" s="165">
        <v>8.58</v>
      </c>
      <c r="O25" s="165">
        <v>221</v>
      </c>
      <c r="P25" s="165">
        <v>2.84</v>
      </c>
      <c r="Q25"/>
    </row>
    <row r="26" spans="1:17" x14ac:dyDescent="0.25">
      <c r="A26" s="165">
        <v>51.3</v>
      </c>
      <c r="B26" s="165">
        <v>0.12</v>
      </c>
      <c r="C26" s="165">
        <v>23.72</v>
      </c>
      <c r="D26" s="8">
        <v>42666</v>
      </c>
      <c r="E26" s="165">
        <v>0.34</v>
      </c>
      <c r="F26" s="165" t="s">
        <v>250</v>
      </c>
      <c r="G26" s="165">
        <v>255.65</v>
      </c>
      <c r="H26" s="165">
        <v>0</v>
      </c>
      <c r="I26" s="165">
        <v>0</v>
      </c>
      <c r="J26" s="165">
        <v>1016.31</v>
      </c>
      <c r="K26" s="165" t="s">
        <v>251</v>
      </c>
      <c r="L26" s="165">
        <v>51.3</v>
      </c>
      <c r="M26" s="165">
        <v>1477202400</v>
      </c>
      <c r="N26" s="165">
        <v>8.84</v>
      </c>
      <c r="O26" s="165">
        <v>214</v>
      </c>
      <c r="P26" s="165">
        <v>2.37</v>
      </c>
      <c r="Q26"/>
    </row>
    <row r="27" spans="1:17" x14ac:dyDescent="0.25">
      <c r="A27" s="165">
        <v>48.32</v>
      </c>
      <c r="B27" s="165">
        <v>7.0000000000000007E-2</v>
      </c>
      <c r="C27" s="165">
        <v>22.57</v>
      </c>
      <c r="D27" s="8">
        <v>42666.041666666664</v>
      </c>
      <c r="E27" s="165">
        <v>0.36</v>
      </c>
      <c r="F27" s="165" t="s">
        <v>250</v>
      </c>
      <c r="G27" s="165">
        <v>255.03</v>
      </c>
      <c r="H27" s="165">
        <v>0</v>
      </c>
      <c r="I27" s="165">
        <v>0</v>
      </c>
      <c r="J27" s="165">
        <v>1017.7</v>
      </c>
      <c r="K27" s="165" t="s">
        <v>251</v>
      </c>
      <c r="L27" s="165">
        <v>48.32</v>
      </c>
      <c r="M27" s="165">
        <v>1477206000</v>
      </c>
      <c r="N27" s="165">
        <v>8.98</v>
      </c>
      <c r="O27" s="165">
        <v>228</v>
      </c>
      <c r="P27" s="165">
        <v>2.74</v>
      </c>
      <c r="Q27"/>
    </row>
    <row r="28" spans="1:17" x14ac:dyDescent="0.25">
      <c r="A28" s="165">
        <v>47.86</v>
      </c>
      <c r="B28" s="165">
        <v>0.21</v>
      </c>
      <c r="C28" s="165">
        <v>23.65</v>
      </c>
      <c r="D28" s="8">
        <v>42666.083333333336</v>
      </c>
      <c r="E28" s="165">
        <v>0.38</v>
      </c>
      <c r="F28" s="165" t="s">
        <v>250</v>
      </c>
      <c r="G28" s="165">
        <v>254.41</v>
      </c>
      <c r="H28" s="165">
        <v>0</v>
      </c>
      <c r="I28" s="165">
        <v>0</v>
      </c>
      <c r="J28" s="165">
        <v>1018.98</v>
      </c>
      <c r="K28" s="165" t="s">
        <v>251</v>
      </c>
      <c r="L28" s="165">
        <v>47.86</v>
      </c>
      <c r="M28" s="165">
        <v>1477209600</v>
      </c>
      <c r="N28" s="165">
        <v>8.84</v>
      </c>
      <c r="O28" s="165">
        <v>232</v>
      </c>
      <c r="P28" s="165">
        <v>2.86</v>
      </c>
      <c r="Q28"/>
    </row>
    <row r="29" spans="1:17" x14ac:dyDescent="0.25">
      <c r="A29" s="165">
        <v>46.85</v>
      </c>
      <c r="B29" s="165">
        <v>0.23</v>
      </c>
      <c r="C29" s="165">
        <v>24.25</v>
      </c>
      <c r="D29" s="8">
        <v>42666.125</v>
      </c>
      <c r="E29" s="165">
        <v>0.41</v>
      </c>
      <c r="F29" s="165" t="s">
        <v>250</v>
      </c>
      <c r="G29" s="165">
        <v>253.79</v>
      </c>
      <c r="H29" s="165">
        <v>0</v>
      </c>
      <c r="I29" s="165">
        <v>0</v>
      </c>
      <c r="J29" s="165">
        <v>1020.17</v>
      </c>
      <c r="K29" s="165" t="s">
        <v>251</v>
      </c>
      <c r="L29" s="165">
        <v>46.85</v>
      </c>
      <c r="M29" s="165">
        <v>1477213200</v>
      </c>
      <c r="N29" s="165">
        <v>7.81</v>
      </c>
      <c r="O29" s="165">
        <v>229</v>
      </c>
      <c r="P29" s="165">
        <v>2.96</v>
      </c>
      <c r="Q29"/>
    </row>
    <row r="31" spans="1:17" x14ac:dyDescent="0.25">
      <c r="A31" s="136" t="s">
        <v>252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6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42665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260</v>
      </c>
      <c r="J17" s="33"/>
      <c r="K17" s="34"/>
      <c r="L17" s="34"/>
    </row>
    <row r="18" spans="3:13" x14ac:dyDescent="0.25">
      <c r="C18" t="s">
        <v>751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752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753</v>
      </c>
      <c r="J20" t="s">
        <v>87</v>
      </c>
      <c r="M20" s="68" t="s">
        <v>190</v>
      </c>
    </row>
    <row r="21" spans="3:13" x14ac:dyDescent="0.25">
      <c r="C21" t="s">
        <v>754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755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756</v>
      </c>
      <c r="J23" s="29" t="s">
        <v>95</v>
      </c>
      <c r="K23" s="21"/>
      <c r="M23" s="69">
        <v>-6</v>
      </c>
    </row>
    <row r="24" spans="3:13" x14ac:dyDescent="0.25">
      <c r="C24" t="s">
        <v>757</v>
      </c>
      <c r="J24" s="21" t="s">
        <v>109</v>
      </c>
      <c r="K24" s="21"/>
      <c r="M24" s="68" t="s">
        <v>111</v>
      </c>
    </row>
    <row r="25" spans="3:13" x14ac:dyDescent="0.25">
      <c r="C25" t="s">
        <v>758</v>
      </c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C:\Users\stu\Documents\GitHub\eaglep3-reporting\EC\2016-10-22-refined-times.txt</v>
      </c>
    </row>
    <row r="27" spans="3:13" x14ac:dyDescent="0.25">
      <c r="J27" t="s">
        <v>215</v>
      </c>
      <c r="M27" s="68" t="str">
        <f>"C:\Users\stu\Documents\GitHub\eaglep3-reporting\EC\"&amp;TEXT(A2,"YYYY-MM-DD")&amp;"-Enforcements.txt"</f>
        <v>C:\Users\stu\Documents\GitHub\eaglep3-reporting\EC\2016-10-22-Enforcements.txt</v>
      </c>
    </row>
    <row r="28" spans="3:13" x14ac:dyDescent="0.25">
      <c r="J28" t="s">
        <v>216</v>
      </c>
      <c r="M28" s="106" t="str">
        <f>"C:\Users\stu\Documents\GitHub\eaglep3-reporting\EC\"&amp;TEXT(A2,"YYYY-MM-DD")&amp;"-Runs-Refined.txt"</f>
        <v>C:\Users\stu\Documents\GitHub\eaglep3-reporting\EC\2016-10-22-Runs-Refined.txt</v>
      </c>
    </row>
    <row r="29" spans="3:13" x14ac:dyDescent="0.25">
      <c r="J29" t="s">
        <v>217</v>
      </c>
      <c r="M29" s="106" t="str">
        <f>"C:\Users\stu\Documents\GitHub\eaglep3-reporting\EC\"&amp;TEXT(A2,"YYYY-MM-DD")&amp;"-Trips.txt"</f>
        <v>C:\Users\stu\Documents\GitHub\eaglep3-reporting\EC\2016-10-22-Trips.txt</v>
      </c>
    </row>
    <row r="30" spans="3:13" x14ac:dyDescent="0.25">
      <c r="J30" t="s">
        <v>218</v>
      </c>
      <c r="M30" s="106" t="str">
        <f>"C:\Users\stu\Documents\GitHub\eaglep3-reporting\EC\"&amp;TEXT(A2,"YYYY-MM-DD")&amp;"-Weather.txt"</f>
        <v>C:\Users\stu\Documents\GitHub\eaglep3-reporting\EC\2016-10-22-Weather.txt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2016-10-24T16:03:52Z</dcterms:modified>
</cp:coreProperties>
</file>