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2" i="1" l="1"/>
  <c r="X23" i="1"/>
  <c r="X24" i="1"/>
  <c r="X25" i="1"/>
  <c r="K22" i="1"/>
  <c r="L22" i="1"/>
  <c r="M22" i="1"/>
  <c r="V22" i="1"/>
  <c r="Y22" i="1"/>
  <c r="Z22" i="1"/>
  <c r="AA22" i="1" s="1"/>
  <c r="AB22" i="1"/>
  <c r="AC22" i="1"/>
  <c r="AD22" i="1"/>
  <c r="T22" i="1" s="1"/>
  <c r="AE22" i="1"/>
  <c r="AF22" i="1"/>
  <c r="AH22" i="1"/>
  <c r="P169" i="1"/>
  <c r="AG22" i="1" l="1"/>
  <c r="P165" i="1"/>
  <c r="X161" i="1"/>
  <c r="X162" i="1"/>
  <c r="X163" i="1"/>
  <c r="X16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8" i="3" s="1"/>
  <c r="Y16" i="1"/>
  <c r="Z16" i="1"/>
  <c r="AB16" i="1"/>
  <c r="AC16" i="1"/>
  <c r="AD16" i="1"/>
  <c r="AE16" i="1"/>
  <c r="R18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AH21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S15" i="3" s="1"/>
  <c r="Y29" i="1"/>
  <c r="Z29" i="1"/>
  <c r="AB29" i="1"/>
  <c r="AC29" i="1"/>
  <c r="AD29" i="1"/>
  <c r="T29" i="1" s="1"/>
  <c r="AE29" i="1"/>
  <c r="R15" i="3" s="1"/>
  <c r="AF29" i="1"/>
  <c r="AH29" i="1"/>
  <c r="K30" i="1"/>
  <c r="L30" i="1"/>
  <c r="M30" i="1"/>
  <c r="V30" i="1"/>
  <c r="Y30" i="1"/>
  <c r="Z30" i="1"/>
  <c r="AB30" i="1"/>
  <c r="AC30" i="1"/>
  <c r="AD30" i="1"/>
  <c r="X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S24" i="3" s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6" i="3" s="1"/>
  <c r="Y38" i="1"/>
  <c r="Z38" i="1"/>
  <c r="AB38" i="1"/>
  <c r="AC38" i="1"/>
  <c r="AD38" i="1"/>
  <c r="AG38" i="1" s="1"/>
  <c r="AE38" i="1"/>
  <c r="R16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S11" i="3" s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S21" i="3" s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K51" i="1"/>
  <c r="L51" i="1"/>
  <c r="M51" i="1"/>
  <c r="N51" i="1" s="1"/>
  <c r="V51" i="1"/>
  <c r="S23" i="3" s="1"/>
  <c r="Y51" i="1"/>
  <c r="Z51" i="1"/>
  <c r="AB51" i="1"/>
  <c r="AC51" i="1"/>
  <c r="AD51" i="1"/>
  <c r="AE51" i="1"/>
  <c r="R23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K58" i="1"/>
  <c r="L58" i="1"/>
  <c r="M58" i="1"/>
  <c r="N58" i="1" s="1"/>
  <c r="V58" i="1"/>
  <c r="S20" i="3" s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S36" i="3" s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S30" i="3" s="1"/>
  <c r="Y64" i="1"/>
  <c r="Z64" i="1"/>
  <c r="AB64" i="1"/>
  <c r="AC64" i="1"/>
  <c r="AD64" i="1"/>
  <c r="X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S27" i="3" s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7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S32" i="3" s="1"/>
  <c r="Y82" i="1"/>
  <c r="Z82" i="1"/>
  <c r="AB82" i="1"/>
  <c r="AC82" i="1"/>
  <c r="AD82" i="1"/>
  <c r="AG82" i="1" s="1"/>
  <c r="AE82" i="1"/>
  <c r="R32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S8" i="3" s="1"/>
  <c r="Y84" i="1"/>
  <c r="Z84" i="1"/>
  <c r="AB84" i="1"/>
  <c r="AC84" i="1"/>
  <c r="AD84" i="1"/>
  <c r="T84" i="1" s="1"/>
  <c r="AE84" i="1"/>
  <c r="R8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R33" i="3" s="1"/>
  <c r="AF86" i="1"/>
  <c r="AH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6" i="1"/>
  <c r="L96" i="1"/>
  <c r="M96" i="1"/>
  <c r="N96" i="1" s="1"/>
  <c r="V96" i="1"/>
  <c r="Y96" i="1"/>
  <c r="AA96" i="1" s="1"/>
  <c r="Z96" i="1"/>
  <c r="AB96" i="1"/>
  <c r="AC96" i="1"/>
  <c r="AD96" i="1"/>
  <c r="X96" i="1" s="1"/>
  <c r="AE96" i="1"/>
  <c r="AF96" i="1"/>
  <c r="AH96" i="1"/>
  <c r="K97" i="1"/>
  <c r="L97" i="1"/>
  <c r="M97" i="1"/>
  <c r="N97" i="1" s="1"/>
  <c r="V97" i="1"/>
  <c r="S25" i="3" s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AA98" i="1" s="1"/>
  <c r="Z98" i="1"/>
  <c r="AB98" i="1"/>
  <c r="AC98" i="1"/>
  <c r="AD98" i="1"/>
  <c r="AG98" i="1" s="1"/>
  <c r="AE98" i="1"/>
  <c r="AF98" i="1"/>
  <c r="AH98" i="1"/>
  <c r="AI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S28" i="3" s="1"/>
  <c r="Y104" i="1"/>
  <c r="Z104" i="1"/>
  <c r="AA104" i="1" s="1"/>
  <c r="AB104" i="1"/>
  <c r="AC104" i="1"/>
  <c r="AD104" i="1"/>
  <c r="AG104" i="1" s="1"/>
  <c r="AE104" i="1"/>
  <c r="R28" i="3" s="1"/>
  <c r="AF104" i="1"/>
  <c r="AH104" i="1"/>
  <c r="K105" i="1"/>
  <c r="L105" i="1"/>
  <c r="M105" i="1"/>
  <c r="N105" i="1" s="1"/>
  <c r="V105" i="1"/>
  <c r="S37" i="3" s="1"/>
  <c r="Y105" i="1"/>
  <c r="Z105" i="1"/>
  <c r="AI105" i="1" s="1"/>
  <c r="AB105" i="1"/>
  <c r="AC105" i="1"/>
  <c r="AD105" i="1"/>
  <c r="AG105" i="1" s="1"/>
  <c r="AE105" i="1"/>
  <c r="R37" i="3" s="1"/>
  <c r="AF105" i="1"/>
  <c r="AH105" i="1"/>
  <c r="K106" i="1"/>
  <c r="L106" i="1"/>
  <c r="M106" i="1"/>
  <c r="N106" i="1" s="1"/>
  <c r="V106" i="1"/>
  <c r="S13" i="3" s="1"/>
  <c r="Y106" i="1"/>
  <c r="Z106" i="1"/>
  <c r="AB106" i="1"/>
  <c r="AC106" i="1"/>
  <c r="AD106" i="1"/>
  <c r="AG106" i="1" s="1"/>
  <c r="AE106" i="1"/>
  <c r="R13" i="3" s="1"/>
  <c r="AF106" i="1"/>
  <c r="AH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S9" i="3" s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I114" i="1" s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R12" i="3" s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R34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I138" i="1" s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S14" i="3" s="1"/>
  <c r="Y140" i="1"/>
  <c r="Z140" i="1"/>
  <c r="AB140" i="1"/>
  <c r="AC140" i="1"/>
  <c r="AD140" i="1"/>
  <c r="X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S22" i="3" s="1"/>
  <c r="Y148" i="1"/>
  <c r="Z148" i="1"/>
  <c r="AB148" i="1"/>
  <c r="AC148" i="1"/>
  <c r="AD148" i="1"/>
  <c r="T148" i="1" s="1"/>
  <c r="AE148" i="1"/>
  <c r="R22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S26" i="3" s="1"/>
  <c r="Y153" i="1"/>
  <c r="Z153" i="1"/>
  <c r="AB153" i="1"/>
  <c r="AC153" i="1"/>
  <c r="AD153" i="1"/>
  <c r="AE153" i="1"/>
  <c r="R26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A206" i="1" s="1"/>
  <c r="W206" i="1" s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5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R53" i="3" s="1"/>
  <c r="AF221" i="1"/>
  <c r="AH166" i="1"/>
  <c r="K222" i="1"/>
  <c r="L222" i="1"/>
  <c r="M222" i="1"/>
  <c r="N222" i="1" s="1"/>
  <c r="V222" i="1"/>
  <c r="Y222" i="1"/>
  <c r="Z222" i="1"/>
  <c r="AB222" i="1"/>
  <c r="AC222" i="1"/>
  <c r="AD222" i="1"/>
  <c r="AE222" i="1"/>
  <c r="R60" i="3" s="1"/>
  <c r="AF222" i="1"/>
  <c r="AH167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8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69" i="1"/>
  <c r="K225" i="1"/>
  <c r="L225" i="1"/>
  <c r="M225" i="1"/>
  <c r="N225" i="1" s="1"/>
  <c r="V225" i="1"/>
  <c r="Y225" i="1"/>
  <c r="Z225" i="1"/>
  <c r="AB225" i="1"/>
  <c r="AC225" i="1"/>
  <c r="AD225" i="1"/>
  <c r="AE225" i="1"/>
  <c r="R58" i="3" s="1"/>
  <c r="AF225" i="1"/>
  <c r="AH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R56" i="3" s="1"/>
  <c r="AF228" i="1"/>
  <c r="AH173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6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7" i="1"/>
  <c r="AH178" i="1"/>
  <c r="K161" i="1"/>
  <c r="L161" i="1"/>
  <c r="M161" i="1"/>
  <c r="N161" i="1" s="1"/>
  <c r="V161" i="1"/>
  <c r="S47" i="3" s="1"/>
  <c r="Y161" i="1"/>
  <c r="Z161" i="1"/>
  <c r="AB161" i="1"/>
  <c r="AC161" i="1"/>
  <c r="AD161" i="1"/>
  <c r="AE161" i="1"/>
  <c r="R47" i="3" s="1"/>
  <c r="AF161" i="1"/>
  <c r="AH179" i="1"/>
  <c r="AH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K165" i="1"/>
  <c r="L165" i="1"/>
  <c r="M165" i="1"/>
  <c r="V165" i="1"/>
  <c r="Y165" i="1"/>
  <c r="Z165" i="1"/>
  <c r="AB165" i="1"/>
  <c r="AC165" i="1"/>
  <c r="AD165" i="1"/>
  <c r="T165" i="1" s="1"/>
  <c r="AE165" i="1"/>
  <c r="R46" i="3" s="1"/>
  <c r="AF165" i="1"/>
  <c r="AH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7" i="1"/>
  <c r="K169" i="1"/>
  <c r="L169" i="1"/>
  <c r="M169" i="1"/>
  <c r="V169" i="1"/>
  <c r="Y169" i="1"/>
  <c r="Z169" i="1"/>
  <c r="AB169" i="1"/>
  <c r="AC169" i="1"/>
  <c r="AD169" i="1"/>
  <c r="T169" i="1" s="1"/>
  <c r="AE169" i="1"/>
  <c r="AF169" i="1"/>
  <c r="AH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K171" i="1"/>
  <c r="L171" i="1"/>
  <c r="M171" i="1"/>
  <c r="N171" i="1" s="1"/>
  <c r="V171" i="1"/>
  <c r="S48" i="3" s="1"/>
  <c r="Y171" i="1"/>
  <c r="Z171" i="1"/>
  <c r="AB171" i="1"/>
  <c r="AC171" i="1"/>
  <c r="AD171" i="1"/>
  <c r="AG171" i="1" s="1"/>
  <c r="AE171" i="1"/>
  <c r="R48" i="3" s="1"/>
  <c r="AF171" i="1"/>
  <c r="AH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K173" i="1"/>
  <c r="L173" i="1"/>
  <c r="M173" i="1"/>
  <c r="N173" i="1" s="1"/>
  <c r="V173" i="1"/>
  <c r="S41" i="3" s="1"/>
  <c r="Y173" i="1"/>
  <c r="Z173" i="1"/>
  <c r="AB173" i="1"/>
  <c r="AC173" i="1"/>
  <c r="AD173" i="1"/>
  <c r="AG173" i="1" s="1"/>
  <c r="AE173" i="1"/>
  <c r="R41" i="3" s="1"/>
  <c r="AF173" i="1"/>
  <c r="AH19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4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5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L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1" i="1"/>
  <c r="K183" i="1"/>
  <c r="L183" i="1"/>
  <c r="M183" i="1"/>
  <c r="N183" i="1"/>
  <c r="V183" i="1"/>
  <c r="S42" i="3" s="1"/>
  <c r="Y183" i="1"/>
  <c r="Z183" i="1"/>
  <c r="AB183" i="1"/>
  <c r="AC183" i="1"/>
  <c r="AD183" i="1"/>
  <c r="AE183" i="1"/>
  <c r="R42" i="3" s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3" i="1"/>
  <c r="K185" i="1"/>
  <c r="L185" i="1"/>
  <c r="M185" i="1"/>
  <c r="N185" i="1" s="1"/>
  <c r="V185" i="1"/>
  <c r="S43" i="3" s="1"/>
  <c r="Y185" i="1"/>
  <c r="Z185" i="1"/>
  <c r="AB185" i="1"/>
  <c r="AC185" i="1"/>
  <c r="AD185" i="1"/>
  <c r="AG185" i="1" s="1"/>
  <c r="AE185" i="1"/>
  <c r="R43" i="3" s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0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8" i="1"/>
  <c r="K190" i="1"/>
  <c r="L190" i="1"/>
  <c r="M190" i="1"/>
  <c r="N190" i="1" s="1"/>
  <c r="V190" i="1"/>
  <c r="Y190" i="1"/>
  <c r="Z190" i="1"/>
  <c r="AA190" i="1" s="1"/>
  <c r="W190" i="1" s="1"/>
  <c r="AB190" i="1"/>
  <c r="AC190" i="1"/>
  <c r="AD190" i="1"/>
  <c r="AG190" i="1" s="1"/>
  <c r="AE190" i="1"/>
  <c r="AF190" i="1"/>
  <c r="AH209" i="1"/>
  <c r="K191" i="1"/>
  <c r="L191" i="1"/>
  <c r="M191" i="1"/>
  <c r="N191" i="1" s="1"/>
  <c r="V191" i="1"/>
  <c r="S39" i="3" s="1"/>
  <c r="Y191" i="1"/>
  <c r="Z191" i="1"/>
  <c r="AB191" i="1"/>
  <c r="AC191" i="1"/>
  <c r="AD191" i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11" i="1"/>
  <c r="K193" i="1"/>
  <c r="L193" i="1"/>
  <c r="M193" i="1"/>
  <c r="N193" i="1" s="1"/>
  <c r="V193" i="1"/>
  <c r="S50" i="3" s="1"/>
  <c r="Y193" i="1"/>
  <c r="Z193" i="1"/>
  <c r="AB193" i="1"/>
  <c r="AC193" i="1"/>
  <c r="AD193" i="1"/>
  <c r="AE193" i="1"/>
  <c r="R50" i="3" s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S40" i="3" s="1"/>
  <c r="Y197" i="1"/>
  <c r="Z197" i="1"/>
  <c r="AB197" i="1"/>
  <c r="AC197" i="1"/>
  <c r="AD197" i="1"/>
  <c r="T197" i="1" s="1"/>
  <c r="AE197" i="1"/>
  <c r="R40" i="3" s="1"/>
  <c r="AF197" i="1"/>
  <c r="AH216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R52" i="3" s="1"/>
  <c r="AF203" i="1"/>
  <c r="AH222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3" i="1"/>
  <c r="K216" i="1"/>
  <c r="L216" i="1"/>
  <c r="M216" i="1"/>
  <c r="N216" i="1" s="1"/>
  <c r="V216" i="1"/>
  <c r="S59" i="3" s="1"/>
  <c r="Y216" i="1"/>
  <c r="Z216" i="1"/>
  <c r="AB216" i="1"/>
  <c r="AC216" i="1"/>
  <c r="AD216" i="1"/>
  <c r="T216" i="1" s="1"/>
  <c r="AE216" i="1"/>
  <c r="R59" i="3" s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5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26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R54" i="3" s="1"/>
  <c r="AF220" i="1"/>
  <c r="AH228" i="1"/>
  <c r="M18" i="3"/>
  <c r="N18" i="3"/>
  <c r="U18" i="3"/>
  <c r="T18" i="3" s="1"/>
  <c r="V18" i="3"/>
  <c r="W18" i="3"/>
  <c r="X18" i="3"/>
  <c r="AC18" i="3"/>
  <c r="M15" i="3"/>
  <c r="N15" i="3"/>
  <c r="U15" i="3"/>
  <c r="T15" i="3" s="1"/>
  <c r="V15" i="3"/>
  <c r="W15" i="3"/>
  <c r="X15" i="3"/>
  <c r="AC15" i="3"/>
  <c r="M59" i="3"/>
  <c r="N59" i="3"/>
  <c r="U59" i="3"/>
  <c r="AC59" i="3" s="1"/>
  <c r="V59" i="3"/>
  <c r="W59" i="3"/>
  <c r="X59" i="3"/>
  <c r="M47" i="3"/>
  <c r="N47" i="3"/>
  <c r="U47" i="3"/>
  <c r="T47" i="3" s="1"/>
  <c r="V47" i="3"/>
  <c r="W47" i="3"/>
  <c r="X47" i="3"/>
  <c r="M24" i="3"/>
  <c r="N24" i="3"/>
  <c r="R24" i="3"/>
  <c r="U24" i="3"/>
  <c r="T24" i="3" s="1"/>
  <c r="V24" i="3"/>
  <c r="W24" i="3"/>
  <c r="X24" i="3"/>
  <c r="AC24" i="3"/>
  <c r="M46" i="3"/>
  <c r="N46" i="3"/>
  <c r="S46" i="3"/>
  <c r="U46" i="3"/>
  <c r="T46" i="3" s="1"/>
  <c r="V46" i="3"/>
  <c r="W46" i="3"/>
  <c r="X46" i="3"/>
  <c r="AC46" i="3"/>
  <c r="M45" i="3"/>
  <c r="N45" i="3"/>
  <c r="S45" i="3"/>
  <c r="U45" i="3"/>
  <c r="AC45" i="3" s="1"/>
  <c r="V45" i="3"/>
  <c r="W45" i="3"/>
  <c r="X45" i="3"/>
  <c r="M44" i="3"/>
  <c r="N44" i="3"/>
  <c r="S44" i="3"/>
  <c r="U44" i="3"/>
  <c r="T44" i="3" s="1"/>
  <c r="V44" i="3"/>
  <c r="W44" i="3"/>
  <c r="X44" i="3"/>
  <c r="AC44" i="3"/>
  <c r="M16" i="3"/>
  <c r="N16" i="3"/>
  <c r="U16" i="3"/>
  <c r="T16" i="3" s="1"/>
  <c r="V16" i="3"/>
  <c r="W16" i="3"/>
  <c r="X16" i="3"/>
  <c r="AC16" i="3"/>
  <c r="M29" i="3"/>
  <c r="N29" i="3"/>
  <c r="S29" i="3"/>
  <c r="U29" i="3"/>
  <c r="T29" i="3" s="1"/>
  <c r="V29" i="3"/>
  <c r="W29" i="3"/>
  <c r="X29" i="3"/>
  <c r="M11" i="3"/>
  <c r="N11" i="3"/>
  <c r="R11" i="3"/>
  <c r="U11" i="3"/>
  <c r="AC11" i="3" s="1"/>
  <c r="V11" i="3"/>
  <c r="W11" i="3"/>
  <c r="X11" i="3"/>
  <c r="M19" i="3"/>
  <c r="N19" i="3"/>
  <c r="R19" i="3"/>
  <c r="S19" i="3"/>
  <c r="U19" i="3"/>
  <c r="T19" i="3" s="1"/>
  <c r="V19" i="3"/>
  <c r="W19" i="3"/>
  <c r="X19" i="3"/>
  <c r="AC19" i="3"/>
  <c r="M21" i="3"/>
  <c r="N21" i="3"/>
  <c r="R21" i="3"/>
  <c r="U21" i="3"/>
  <c r="T21" i="3" s="1"/>
  <c r="V21" i="3"/>
  <c r="W21" i="3"/>
  <c r="X21" i="3"/>
  <c r="AC21" i="3"/>
  <c r="M23" i="3"/>
  <c r="N23" i="3"/>
  <c r="U23" i="3"/>
  <c r="T23" i="3" s="1"/>
  <c r="V23" i="3"/>
  <c r="W23" i="3"/>
  <c r="X23" i="3"/>
  <c r="AC23" i="3"/>
  <c r="M48" i="3"/>
  <c r="N48" i="3"/>
  <c r="U48" i="3"/>
  <c r="AC48" i="3" s="1"/>
  <c r="V48" i="3"/>
  <c r="W48" i="3"/>
  <c r="X48" i="3"/>
  <c r="M20" i="3"/>
  <c r="N20" i="3"/>
  <c r="R20" i="3"/>
  <c r="U20" i="3"/>
  <c r="T20" i="3" s="1"/>
  <c r="V20" i="3"/>
  <c r="W20" i="3"/>
  <c r="X20" i="3"/>
  <c r="M36" i="3"/>
  <c r="N36" i="3"/>
  <c r="R36" i="3"/>
  <c r="U36" i="3"/>
  <c r="T36" i="3" s="1"/>
  <c r="V36" i="3"/>
  <c r="W36" i="3"/>
  <c r="X36" i="3"/>
  <c r="AC36" i="3"/>
  <c r="M53" i="3"/>
  <c r="N53" i="3"/>
  <c r="S53" i="3"/>
  <c r="U53" i="3"/>
  <c r="T53" i="3" s="1"/>
  <c r="V53" i="3"/>
  <c r="W53" i="3"/>
  <c r="X53" i="3"/>
  <c r="AC53" i="3"/>
  <c r="M57" i="3"/>
  <c r="N57" i="3"/>
  <c r="S57" i="3"/>
  <c r="U57" i="3"/>
  <c r="AC57" i="3" s="1"/>
  <c r="V57" i="3"/>
  <c r="W57" i="3"/>
  <c r="X57" i="3"/>
  <c r="M41" i="3"/>
  <c r="N41" i="3"/>
  <c r="U41" i="3"/>
  <c r="T41" i="3" s="1"/>
  <c r="V41" i="3"/>
  <c r="W41" i="3"/>
  <c r="Y41" i="3" s="1"/>
  <c r="X41" i="3"/>
  <c r="M60" i="3"/>
  <c r="N60" i="3"/>
  <c r="S60" i="3"/>
  <c r="U60" i="3"/>
  <c r="T60" i="3" s="1"/>
  <c r="V60" i="3"/>
  <c r="W60" i="3"/>
  <c r="X60" i="3"/>
  <c r="AC60" i="3"/>
  <c r="M30" i="3"/>
  <c r="N30" i="3"/>
  <c r="R30" i="3"/>
  <c r="U30" i="3"/>
  <c r="T30" i="3" s="1"/>
  <c r="V30" i="3"/>
  <c r="W30" i="3"/>
  <c r="X30" i="3"/>
  <c r="AC30" i="3"/>
  <c r="M27" i="3"/>
  <c r="N27" i="3"/>
  <c r="R27" i="3"/>
  <c r="U27" i="3"/>
  <c r="AC27" i="3" s="1"/>
  <c r="V27" i="3"/>
  <c r="W27" i="3"/>
  <c r="X27" i="3"/>
  <c r="M10" i="3"/>
  <c r="N10" i="3"/>
  <c r="R10" i="3"/>
  <c r="U10" i="3"/>
  <c r="T10" i="3" s="1"/>
  <c r="V10" i="3"/>
  <c r="W10" i="3"/>
  <c r="X10" i="3"/>
  <c r="AC10" i="3"/>
  <c r="M31" i="3"/>
  <c r="N31" i="3"/>
  <c r="R31" i="3"/>
  <c r="U31" i="3"/>
  <c r="T31" i="3" s="1"/>
  <c r="V31" i="3"/>
  <c r="W31" i="3"/>
  <c r="X31" i="3"/>
  <c r="AC31" i="3"/>
  <c r="M17" i="3"/>
  <c r="N17" i="3"/>
  <c r="S17" i="3"/>
  <c r="U17" i="3"/>
  <c r="T17" i="3" s="1"/>
  <c r="V17" i="3"/>
  <c r="W17" i="3"/>
  <c r="X17" i="3"/>
  <c r="AC17" i="3"/>
  <c r="M32" i="3"/>
  <c r="N32" i="3"/>
  <c r="U32" i="3"/>
  <c r="AC32" i="3" s="1"/>
  <c r="V32" i="3"/>
  <c r="W32" i="3"/>
  <c r="X32" i="3"/>
  <c r="M8" i="3"/>
  <c r="N8" i="3"/>
  <c r="U8" i="3"/>
  <c r="T8" i="3" s="1"/>
  <c r="V8" i="3"/>
  <c r="W8" i="3"/>
  <c r="X8" i="3"/>
  <c r="AC8" i="3"/>
  <c r="M33" i="3"/>
  <c r="N33" i="3"/>
  <c r="S33" i="3"/>
  <c r="U33" i="3"/>
  <c r="T33" i="3" s="1"/>
  <c r="V33" i="3"/>
  <c r="W33" i="3"/>
  <c r="X33" i="3"/>
  <c r="AC33" i="3"/>
  <c r="M7" i="3"/>
  <c r="N7" i="3"/>
  <c r="R7" i="3"/>
  <c r="S7" i="3"/>
  <c r="U7" i="3"/>
  <c r="T7" i="3" s="1"/>
  <c r="V7" i="3"/>
  <c r="W7" i="3"/>
  <c r="X7" i="3"/>
  <c r="AC7" i="3"/>
  <c r="M25" i="3"/>
  <c r="N25" i="3"/>
  <c r="R25" i="3"/>
  <c r="U25" i="3"/>
  <c r="AC25" i="3" s="1"/>
  <c r="V25" i="3"/>
  <c r="W25" i="3"/>
  <c r="X25" i="3"/>
  <c r="M37" i="3"/>
  <c r="N37" i="3"/>
  <c r="U37" i="3"/>
  <c r="T37" i="3" s="1"/>
  <c r="V37" i="3"/>
  <c r="W37" i="3"/>
  <c r="X37" i="3"/>
  <c r="M42" i="3"/>
  <c r="N42" i="3"/>
  <c r="U42" i="3"/>
  <c r="T42" i="3" s="1"/>
  <c r="V42" i="3"/>
  <c r="W42" i="3"/>
  <c r="X42" i="3"/>
  <c r="AC42" i="3"/>
  <c r="M28" i="3"/>
  <c r="N28" i="3"/>
  <c r="U28" i="3"/>
  <c r="T28" i="3" s="1"/>
  <c r="V28" i="3"/>
  <c r="W28" i="3"/>
  <c r="X28" i="3"/>
  <c r="AC28" i="3"/>
  <c r="M43" i="3"/>
  <c r="N43" i="3"/>
  <c r="U43" i="3"/>
  <c r="AC43" i="3" s="1"/>
  <c r="V43" i="3"/>
  <c r="W43" i="3"/>
  <c r="X43" i="3"/>
  <c r="M49" i="3"/>
  <c r="N49" i="3"/>
  <c r="U49" i="3"/>
  <c r="T49" i="3" s="1"/>
  <c r="V49" i="3"/>
  <c r="W49" i="3"/>
  <c r="X49" i="3"/>
  <c r="M13" i="3"/>
  <c r="N13" i="3"/>
  <c r="U13" i="3"/>
  <c r="T13" i="3" s="1"/>
  <c r="V13" i="3"/>
  <c r="W13" i="3"/>
  <c r="X13" i="3"/>
  <c r="M58" i="3"/>
  <c r="N58" i="3"/>
  <c r="S58" i="3"/>
  <c r="U58" i="3"/>
  <c r="T58" i="3" s="1"/>
  <c r="V58" i="3"/>
  <c r="W58" i="3"/>
  <c r="X58" i="3"/>
  <c r="AC58" i="3"/>
  <c r="M9" i="3"/>
  <c r="N9" i="3"/>
  <c r="R9" i="3"/>
  <c r="U9" i="3"/>
  <c r="AC9" i="3" s="1"/>
  <c r="V9" i="3"/>
  <c r="W9" i="3"/>
  <c r="X9" i="3"/>
  <c r="M12" i="3"/>
  <c r="N12" i="3"/>
  <c r="U12" i="3"/>
  <c r="T12" i="3" s="1"/>
  <c r="V12" i="3"/>
  <c r="W12" i="3"/>
  <c r="X12" i="3"/>
  <c r="M39" i="3"/>
  <c r="N39" i="3"/>
  <c r="R39" i="3"/>
  <c r="U39" i="3"/>
  <c r="T39" i="3" s="1"/>
  <c r="V39" i="3"/>
  <c r="W39" i="3"/>
  <c r="X39" i="3"/>
  <c r="M38" i="3"/>
  <c r="N38" i="3"/>
  <c r="R38" i="3"/>
  <c r="U38" i="3"/>
  <c r="T38" i="3" s="1"/>
  <c r="V38" i="3"/>
  <c r="W38" i="3"/>
  <c r="X38" i="3"/>
  <c r="AC38" i="3"/>
  <c r="M56" i="3"/>
  <c r="N56" i="3"/>
  <c r="S56" i="3"/>
  <c r="U56" i="3"/>
  <c r="AC56" i="3" s="1"/>
  <c r="V56" i="3"/>
  <c r="W56" i="3"/>
  <c r="X56" i="3"/>
  <c r="M50" i="3"/>
  <c r="N50" i="3"/>
  <c r="U50" i="3"/>
  <c r="T50" i="3" s="1"/>
  <c r="V50" i="3"/>
  <c r="W50" i="3"/>
  <c r="X50" i="3"/>
  <c r="M34" i="3"/>
  <c r="N34" i="3"/>
  <c r="S34" i="3"/>
  <c r="U34" i="3"/>
  <c r="T34" i="3" s="1"/>
  <c r="V34" i="3"/>
  <c r="W34" i="3"/>
  <c r="X34" i="3"/>
  <c r="M40" i="3"/>
  <c r="N40" i="3"/>
  <c r="U40" i="3"/>
  <c r="T40" i="3" s="1"/>
  <c r="V40" i="3"/>
  <c r="W40" i="3"/>
  <c r="X40" i="3"/>
  <c r="AC40" i="3"/>
  <c r="M35" i="3"/>
  <c r="N35" i="3"/>
  <c r="R35" i="3"/>
  <c r="S35" i="3"/>
  <c r="U35" i="3"/>
  <c r="AC35" i="3" s="1"/>
  <c r="V35" i="3"/>
  <c r="W35" i="3"/>
  <c r="Y35" i="3" s="1"/>
  <c r="X35" i="3"/>
  <c r="M14" i="3"/>
  <c r="N14" i="3"/>
  <c r="R14" i="3"/>
  <c r="U14" i="3"/>
  <c r="T14" i="3" s="1"/>
  <c r="V14" i="3"/>
  <c r="W14" i="3"/>
  <c r="X14" i="3"/>
  <c r="M51" i="3"/>
  <c r="N51" i="3"/>
  <c r="S51" i="3"/>
  <c r="U51" i="3"/>
  <c r="T51" i="3" s="1"/>
  <c r="V51" i="3"/>
  <c r="W51" i="3"/>
  <c r="X51" i="3"/>
  <c r="AC51" i="3"/>
  <c r="M52" i="3"/>
  <c r="N52" i="3"/>
  <c r="S52" i="3"/>
  <c r="U52" i="3"/>
  <c r="T52" i="3" s="1"/>
  <c r="V52" i="3"/>
  <c r="W52" i="3"/>
  <c r="X52" i="3"/>
  <c r="AC52" i="3"/>
  <c r="M54" i="3"/>
  <c r="N54" i="3"/>
  <c r="S54" i="3"/>
  <c r="U54" i="3"/>
  <c r="AC54" i="3" s="1"/>
  <c r="V54" i="3"/>
  <c r="W54" i="3"/>
  <c r="X54" i="3"/>
  <c r="M22" i="3"/>
  <c r="N22" i="3"/>
  <c r="U22" i="3"/>
  <c r="T22" i="3" s="1"/>
  <c r="V22" i="3"/>
  <c r="W22" i="3"/>
  <c r="Y22" i="3" s="1"/>
  <c r="X22" i="3"/>
  <c r="M26" i="3"/>
  <c r="N26" i="3"/>
  <c r="U26" i="3"/>
  <c r="T26" i="3" s="1"/>
  <c r="V26" i="3"/>
  <c r="W26" i="3"/>
  <c r="X26" i="3"/>
  <c r="AC26" i="3"/>
  <c r="AI22" i="1" l="1"/>
  <c r="U22" i="1"/>
  <c r="S22" i="1" s="1"/>
  <c r="W22" i="1"/>
  <c r="AC29" i="3"/>
  <c r="Y14" i="3"/>
  <c r="Y47" i="3"/>
  <c r="AC20" i="3"/>
  <c r="Y12" i="3"/>
  <c r="R29" i="3"/>
  <c r="AG19" i="1"/>
  <c r="Y26" i="3"/>
  <c r="S49" i="3"/>
  <c r="AI121" i="1"/>
  <c r="AG41" i="1"/>
  <c r="X17" i="1"/>
  <c r="AG58" i="1"/>
  <c r="AA38" i="1"/>
  <c r="Y43" i="3"/>
  <c r="AG227" i="1"/>
  <c r="W227" i="1" s="1"/>
  <c r="Y9" i="3"/>
  <c r="S31" i="3"/>
  <c r="Y59" i="3"/>
  <c r="AA115" i="1"/>
  <c r="AG71" i="1"/>
  <c r="X71" i="1"/>
  <c r="AI47" i="1"/>
  <c r="AA159" i="1"/>
  <c r="AA156" i="1"/>
  <c r="AA80" i="1"/>
  <c r="AG64" i="1"/>
  <c r="AA47" i="1"/>
  <c r="W47" i="1" s="1"/>
  <c r="AG20" i="1"/>
  <c r="X20" i="1"/>
  <c r="AG16" i="1"/>
  <c r="Y10" i="3"/>
  <c r="Y27" i="3"/>
  <c r="AA202" i="1"/>
  <c r="W202" i="1" s="1"/>
  <c r="AA189" i="1"/>
  <c r="AA183" i="1"/>
  <c r="AA179" i="1"/>
  <c r="W179" i="1" s="1"/>
  <c r="AA178" i="1"/>
  <c r="W178" i="1" s="1"/>
  <c r="AA173" i="1"/>
  <c r="X227" i="1"/>
  <c r="AA155" i="1"/>
  <c r="AA154" i="1"/>
  <c r="AI142" i="1"/>
  <c r="AI93" i="1"/>
  <c r="AA91" i="1"/>
  <c r="AI89" i="1"/>
  <c r="AA70" i="1"/>
  <c r="AA69" i="1"/>
  <c r="AA68" i="1"/>
  <c r="AG60" i="1"/>
  <c r="U60" i="1" s="1"/>
  <c r="S60" i="1" s="1"/>
  <c r="X60" i="1"/>
  <c r="AA30" i="1"/>
  <c r="AA29" i="1"/>
  <c r="AG24" i="1"/>
  <c r="AI24" i="1" s="1"/>
  <c r="T16" i="1"/>
  <c r="X59" i="1"/>
  <c r="S10" i="3"/>
  <c r="Y50" i="3"/>
  <c r="Y8" i="3"/>
  <c r="Y32" i="3"/>
  <c r="Y57" i="3"/>
  <c r="Y18" i="3"/>
  <c r="AA219" i="1"/>
  <c r="AA192" i="1"/>
  <c r="AA191" i="1"/>
  <c r="T133" i="1"/>
  <c r="AA86" i="1"/>
  <c r="AA85" i="1"/>
  <c r="AI82" i="1"/>
  <c r="AI81" i="1"/>
  <c r="AA64" i="1"/>
  <c r="AA51" i="1"/>
  <c r="AA50" i="1"/>
  <c r="T46" i="1"/>
  <c r="AI26" i="1"/>
  <c r="AI21" i="1"/>
  <c r="X21" i="1"/>
  <c r="AA16" i="1"/>
  <c r="W16" i="1" s="1"/>
  <c r="X58" i="1"/>
  <c r="T53" i="1"/>
  <c r="X53" i="1"/>
  <c r="AG53" i="1"/>
  <c r="AG33" i="1"/>
  <c r="T33" i="1"/>
  <c r="R57" i="3"/>
  <c r="AC13" i="3"/>
  <c r="W98" i="1"/>
  <c r="X180" i="1"/>
  <c r="T223" i="1"/>
  <c r="AG223" i="1"/>
  <c r="U223" i="1" s="1"/>
  <c r="S223" i="1" s="1"/>
  <c r="S12" i="3"/>
  <c r="S38" i="3"/>
  <c r="Y56" i="3"/>
  <c r="Y38" i="3"/>
  <c r="Y60" i="3"/>
  <c r="Y53" i="3"/>
  <c r="X193" i="1"/>
  <c r="T193" i="1"/>
  <c r="AA158" i="1"/>
  <c r="AG226" i="1"/>
  <c r="AA118" i="1"/>
  <c r="W118" i="1" s="1"/>
  <c r="AI118" i="1"/>
  <c r="X189" i="1"/>
  <c r="AG180" i="1"/>
  <c r="U180" i="1" s="1"/>
  <c r="S180" i="1" s="1"/>
  <c r="AA169" i="1"/>
  <c r="R45" i="3"/>
  <c r="R44" i="3"/>
  <c r="AA177" i="1"/>
  <c r="AA117" i="1"/>
  <c r="AA93" i="1"/>
  <c r="W93" i="1" s="1"/>
  <c r="W64" i="1"/>
  <c r="T47" i="1"/>
  <c r="U47" i="1" s="1"/>
  <c r="S47" i="1" s="1"/>
  <c r="AA26" i="1"/>
  <c r="W26" i="1" s="1"/>
  <c r="Y16" i="3"/>
  <c r="Y24" i="3"/>
  <c r="AA186" i="1"/>
  <c r="W186" i="1" s="1"/>
  <c r="AA214" i="1"/>
  <c r="AA148" i="1"/>
  <c r="T146" i="1"/>
  <c r="U146" i="1" s="1"/>
  <c r="S146" i="1" s="1"/>
  <c r="Y13" i="3"/>
  <c r="Y49" i="3"/>
  <c r="Y19" i="3"/>
  <c r="Y11" i="3"/>
  <c r="Y44" i="3"/>
  <c r="Y45" i="3"/>
  <c r="Y15" i="3"/>
  <c r="AA217" i="1"/>
  <c r="W217" i="1" s="1"/>
  <c r="AI201" i="1"/>
  <c r="AI198" i="1"/>
  <c r="AA185" i="1"/>
  <c r="W185" i="1" s="1"/>
  <c r="AG181" i="1"/>
  <c r="U181" i="1" s="1"/>
  <c r="S181" i="1" s="1"/>
  <c r="X181" i="1"/>
  <c r="AA180" i="1"/>
  <c r="AA163" i="1"/>
  <c r="W163" i="1" s="1"/>
  <c r="AA162" i="1"/>
  <c r="W162" i="1" s="1"/>
  <c r="AA213" i="1"/>
  <c r="AA205" i="1"/>
  <c r="AG150" i="1"/>
  <c r="AI150" i="1" s="1"/>
  <c r="AA147" i="1"/>
  <c r="AA126" i="1"/>
  <c r="W126" i="1" s="1"/>
  <c r="AA121" i="1"/>
  <c r="AA102" i="1"/>
  <c r="AA101" i="1"/>
  <c r="AA89" i="1"/>
  <c r="W89" i="1" s="1"/>
  <c r="AA82" i="1"/>
  <c r="W82" i="1" s="1"/>
  <c r="AA79" i="1"/>
  <c r="AA78" i="1"/>
  <c r="AA77" i="1"/>
  <c r="W77" i="1" s="1"/>
  <c r="AA76" i="1"/>
  <c r="AG72" i="1"/>
  <c r="W72" i="1" s="1"/>
  <c r="X72" i="1"/>
  <c r="AG70" i="1"/>
  <c r="W70" i="1" s="1"/>
  <c r="AA60" i="1"/>
  <c r="AG59" i="1"/>
  <c r="U59" i="1" s="1"/>
  <c r="S59" i="1" s="1"/>
  <c r="AA57" i="1"/>
  <c r="AI48" i="1"/>
  <c r="X42" i="1"/>
  <c r="AA39" i="1"/>
  <c r="W39" i="1" s="1"/>
  <c r="AA21" i="1"/>
  <c r="AA18" i="1"/>
  <c r="AA17" i="1"/>
  <c r="X16" i="1"/>
  <c r="AI143" i="1"/>
  <c r="AA134" i="1"/>
  <c r="W134" i="1" s="1"/>
  <c r="AA119" i="1"/>
  <c r="AI97" i="1"/>
  <c r="AA53" i="1"/>
  <c r="AA35" i="1"/>
  <c r="AA34" i="1"/>
  <c r="AA220" i="1"/>
  <c r="W220" i="1" s="1"/>
  <c r="AA203" i="1"/>
  <c r="T201" i="1"/>
  <c r="AA195" i="1"/>
  <c r="W195" i="1" s="1"/>
  <c r="AA194" i="1"/>
  <c r="W194" i="1" s="1"/>
  <c r="T188" i="1"/>
  <c r="AG188" i="1"/>
  <c r="AI188" i="1" s="1"/>
  <c r="T185" i="1"/>
  <c r="W121" i="1"/>
  <c r="AA199" i="1"/>
  <c r="AA198" i="1"/>
  <c r="W198" i="1" s="1"/>
  <c r="U185" i="1"/>
  <c r="S185" i="1" s="1"/>
  <c r="AI217" i="1"/>
  <c r="AA215" i="1"/>
  <c r="X197" i="1"/>
  <c r="X188" i="1"/>
  <c r="AA181" i="1"/>
  <c r="AA170" i="1"/>
  <c r="W170" i="1" s="1"/>
  <c r="AG169" i="1"/>
  <c r="W169" i="1" s="1"/>
  <c r="AA167" i="1"/>
  <c r="AG164" i="1"/>
  <c r="AA160" i="1"/>
  <c r="W160" i="1" s="1"/>
  <c r="X159" i="1"/>
  <c r="X224" i="1"/>
  <c r="AG209" i="1"/>
  <c r="AI209" i="1" s="1"/>
  <c r="AA207" i="1"/>
  <c r="AA146" i="1"/>
  <c r="AA145" i="1"/>
  <c r="AA138" i="1"/>
  <c r="W138" i="1" s="1"/>
  <c r="AG137" i="1"/>
  <c r="AA135" i="1"/>
  <c r="AA133" i="1"/>
  <c r="W133" i="1" s="1"/>
  <c r="AG128" i="1"/>
  <c r="U128" i="1" s="1"/>
  <c r="S128" i="1" s="1"/>
  <c r="X128" i="1"/>
  <c r="AA127" i="1"/>
  <c r="W127" i="1" s="1"/>
  <c r="AG125" i="1"/>
  <c r="AI125" i="1" s="1"/>
  <c r="X125" i="1"/>
  <c r="AA122" i="1"/>
  <c r="W122" i="1" s="1"/>
  <c r="T121" i="1"/>
  <c r="AA113" i="1"/>
  <c r="AA111" i="1"/>
  <c r="AA110" i="1"/>
  <c r="AA105" i="1"/>
  <c r="W105" i="1" s="1"/>
  <c r="AG100" i="1"/>
  <c r="U100" i="1" s="1"/>
  <c r="S100" i="1" s="1"/>
  <c r="X100" i="1"/>
  <c r="AA97" i="1"/>
  <c r="W97" i="1" s="1"/>
  <c r="AA95" i="1"/>
  <c r="AA94" i="1"/>
  <c r="X92" i="1"/>
  <c r="AG84" i="1"/>
  <c r="X84" i="1"/>
  <c r="AA81" i="1"/>
  <c r="W81" i="1" s="1"/>
  <c r="AG80" i="1"/>
  <c r="U80" i="1" s="1"/>
  <c r="S80" i="1" s="1"/>
  <c r="X80" i="1"/>
  <c r="AA74" i="1"/>
  <c r="AG66" i="1"/>
  <c r="U66" i="1" s="1"/>
  <c r="S66" i="1" s="1"/>
  <c r="X63" i="1"/>
  <c r="AG55" i="1"/>
  <c r="AA228" i="1"/>
  <c r="W228" i="1" s="1"/>
  <c r="AA226" i="1"/>
  <c r="W214" i="1"/>
  <c r="AA212" i="1"/>
  <c r="AA211" i="1"/>
  <c r="AA210" i="1"/>
  <c r="W210" i="1" s="1"/>
  <c r="U133" i="1"/>
  <c r="S133" i="1" s="1"/>
  <c r="X81" i="1"/>
  <c r="W60" i="1"/>
  <c r="AA48" i="1"/>
  <c r="W48" i="1" s="1"/>
  <c r="AA43" i="1"/>
  <c r="W43" i="1" s="1"/>
  <c r="X41" i="1"/>
  <c r="W21" i="1"/>
  <c r="AA165" i="1"/>
  <c r="AA164" i="1"/>
  <c r="AA224" i="1"/>
  <c r="W224" i="1" s="1"/>
  <c r="AA153" i="1"/>
  <c r="AA152" i="1"/>
  <c r="AA151" i="1"/>
  <c r="W151" i="1" s="1"/>
  <c r="AA143" i="1"/>
  <c r="W143" i="1" s="1"/>
  <c r="AA142" i="1"/>
  <c r="W142" i="1" s="1"/>
  <c r="X138" i="1"/>
  <c r="AA137" i="1"/>
  <c r="AI134" i="1"/>
  <c r="AA129" i="1"/>
  <c r="AA128" i="1"/>
  <c r="AI126" i="1"/>
  <c r="U125" i="1"/>
  <c r="S125" i="1" s="1"/>
  <c r="X122" i="1"/>
  <c r="AA114" i="1"/>
  <c r="AA109" i="1"/>
  <c r="W109" i="1" s="1"/>
  <c r="AA92" i="1"/>
  <c r="W92" i="1" s="1"/>
  <c r="AA88" i="1"/>
  <c r="AI77" i="1"/>
  <c r="AG76" i="1"/>
  <c r="AI76" i="1" s="1"/>
  <c r="X67" i="1"/>
  <c r="AG62" i="1"/>
  <c r="U62" i="1" s="1"/>
  <c r="S62" i="1" s="1"/>
  <c r="X34" i="1"/>
  <c r="AA33" i="1"/>
  <c r="W33" i="1" s="1"/>
  <c r="X29" i="1"/>
  <c r="AA27" i="1"/>
  <c r="X26" i="1"/>
  <c r="AG17" i="1"/>
  <c r="AI17" i="1" s="1"/>
  <c r="AA42" i="1"/>
  <c r="AI39" i="1"/>
  <c r="AA31" i="1"/>
  <c r="AI173" i="1"/>
  <c r="AI189" i="1"/>
  <c r="U227" i="1"/>
  <c r="S227" i="1" s="1"/>
  <c r="W173" i="1"/>
  <c r="AI205" i="1"/>
  <c r="T220" i="1"/>
  <c r="U220" i="1" s="1"/>
  <c r="S220" i="1" s="1"/>
  <c r="X217" i="1"/>
  <c r="AG216" i="1"/>
  <c r="U216" i="1" s="1"/>
  <c r="S216" i="1" s="1"/>
  <c r="AA201" i="1"/>
  <c r="W201" i="1" s="1"/>
  <c r="AG197" i="1"/>
  <c r="AI197" i="1" s="1"/>
  <c r="X194" i="1"/>
  <c r="AG193" i="1"/>
  <c r="AI193" i="1" s="1"/>
  <c r="T189" i="1"/>
  <c r="U189" i="1" s="1"/>
  <c r="S189" i="1" s="1"/>
  <c r="AG187" i="1"/>
  <c r="X173" i="1"/>
  <c r="U164" i="1"/>
  <c r="W159" i="1"/>
  <c r="AA157" i="1"/>
  <c r="W157" i="1" s="1"/>
  <c r="T228" i="1"/>
  <c r="X214" i="1"/>
  <c r="AG213" i="1"/>
  <c r="AI213" i="1" s="1"/>
  <c r="AA209" i="1"/>
  <c r="AA208" i="1"/>
  <c r="T206" i="1"/>
  <c r="U206" i="1" s="1"/>
  <c r="S206" i="1" s="1"/>
  <c r="T205" i="1"/>
  <c r="U205" i="1" s="1"/>
  <c r="S205" i="1" s="1"/>
  <c r="X155" i="1"/>
  <c r="AG154" i="1"/>
  <c r="AA150" i="1"/>
  <c r="AA149" i="1"/>
  <c r="W149" i="1" s="1"/>
  <c r="T147" i="1"/>
  <c r="AG144" i="1"/>
  <c r="X144" i="1"/>
  <c r="T142" i="1"/>
  <c r="U142" i="1" s="1"/>
  <c r="S142" i="1" s="1"/>
  <c r="U137" i="1"/>
  <c r="S137" i="1" s="1"/>
  <c r="W135" i="1"/>
  <c r="AI104" i="1"/>
  <c r="AI38" i="1"/>
  <c r="X202" i="1"/>
  <c r="AA196" i="1"/>
  <c r="X190" i="1"/>
  <c r="AA182" i="1"/>
  <c r="W182" i="1" s="1"/>
  <c r="T178" i="1"/>
  <c r="T177" i="1"/>
  <c r="AA174" i="1"/>
  <c r="W174" i="1" s="1"/>
  <c r="AA172" i="1"/>
  <c r="AA171" i="1"/>
  <c r="W171" i="1" s="1"/>
  <c r="T170" i="1"/>
  <c r="AA166" i="1"/>
  <c r="W166" i="1" s="1"/>
  <c r="AG165" i="1"/>
  <c r="U165" i="1" s="1"/>
  <c r="S165" i="1" s="1"/>
  <c r="X165" i="1"/>
  <c r="T162" i="1"/>
  <c r="T159" i="1"/>
  <c r="U159" i="1" s="1"/>
  <c r="S159" i="1" s="1"/>
  <c r="AI169" i="1"/>
  <c r="T224" i="1"/>
  <c r="U224" i="1" s="1"/>
  <c r="S224" i="1" s="1"/>
  <c r="X210" i="1"/>
  <c r="W205" i="1"/>
  <c r="X151" i="1"/>
  <c r="AA141" i="1"/>
  <c r="T141" i="1"/>
  <c r="X137" i="1"/>
  <c r="AA136" i="1"/>
  <c r="AA131" i="1"/>
  <c r="AA130" i="1"/>
  <c r="AG129" i="1"/>
  <c r="U129" i="1" s="1"/>
  <c r="X129" i="1"/>
  <c r="AI127" i="1"/>
  <c r="T126" i="1"/>
  <c r="AI122" i="1"/>
  <c r="X114" i="1"/>
  <c r="W108" i="1"/>
  <c r="T194" i="1"/>
  <c r="U194" i="1" s="1"/>
  <c r="S194" i="1" s="1"/>
  <c r="T173" i="1"/>
  <c r="U173" i="1" s="1"/>
  <c r="S173" i="1" s="1"/>
  <c r="X160" i="1"/>
  <c r="AG158" i="1"/>
  <c r="U158" i="1" s="1"/>
  <c r="X158" i="1"/>
  <c r="AA227" i="1"/>
  <c r="AA225" i="1"/>
  <c r="AA223" i="1"/>
  <c r="AA222" i="1"/>
  <c r="T214" i="1"/>
  <c r="X206" i="1"/>
  <c r="AA204" i="1"/>
  <c r="T155" i="1"/>
  <c r="U155" i="1" s="1"/>
  <c r="S155" i="1" s="1"/>
  <c r="X147" i="1"/>
  <c r="AA144" i="1"/>
  <c r="W144" i="1" s="1"/>
  <c r="X142" i="1"/>
  <c r="AG141" i="1"/>
  <c r="AI141" i="1" s="1"/>
  <c r="AI137" i="1"/>
  <c r="AI133" i="1"/>
  <c r="U121" i="1"/>
  <c r="S121" i="1" s="1"/>
  <c r="AI108" i="1"/>
  <c r="T217" i="1"/>
  <c r="U217" i="1" s="1"/>
  <c r="S217" i="1" s="1"/>
  <c r="AA216" i="1"/>
  <c r="T202" i="1"/>
  <c r="U202" i="1" s="1"/>
  <c r="S202" i="1" s="1"/>
  <c r="AA197" i="1"/>
  <c r="AG196" i="1"/>
  <c r="X196" i="1"/>
  <c r="AA193" i="1"/>
  <c r="W189" i="1"/>
  <c r="AA187" i="1"/>
  <c r="X178" i="1"/>
  <c r="AG177" i="1"/>
  <c r="AI177" i="1" s="1"/>
  <c r="AA176" i="1"/>
  <c r="AA175" i="1"/>
  <c r="X174" i="1"/>
  <c r="AG172" i="1"/>
  <c r="AI172" i="1" s="1"/>
  <c r="X172" i="1"/>
  <c r="T210" i="1"/>
  <c r="U210" i="1" s="1"/>
  <c r="S210" i="1" s="1"/>
  <c r="T151" i="1"/>
  <c r="AA140" i="1"/>
  <c r="AA139" i="1"/>
  <c r="X126" i="1"/>
  <c r="AG120" i="1"/>
  <c r="X121" i="1"/>
  <c r="T117" i="1"/>
  <c r="AG117" i="1"/>
  <c r="U117" i="1" s="1"/>
  <c r="S117" i="1" s="1"/>
  <c r="X118" i="1"/>
  <c r="W114" i="1"/>
  <c r="T114" i="1"/>
  <c r="U114" i="1" s="1"/>
  <c r="S114" i="1" s="1"/>
  <c r="T113" i="1"/>
  <c r="AG113" i="1"/>
  <c r="W104" i="1"/>
  <c r="AI92" i="1"/>
  <c r="W38" i="1"/>
  <c r="X108" i="1"/>
  <c r="T92" i="1"/>
  <c r="U92" i="1" s="1"/>
  <c r="S92" i="1" s="1"/>
  <c r="U84" i="1"/>
  <c r="X76" i="1"/>
  <c r="AA75" i="1"/>
  <c r="AA67" i="1"/>
  <c r="T67" i="1"/>
  <c r="AA65" i="1"/>
  <c r="T64" i="1"/>
  <c r="U64" i="1" s="1"/>
  <c r="S64" i="1" s="1"/>
  <c r="AA63" i="1"/>
  <c r="T63" i="1"/>
  <c r="AA56" i="1"/>
  <c r="T56" i="1"/>
  <c r="U55" i="1"/>
  <c r="AA49" i="1"/>
  <c r="AA44" i="1"/>
  <c r="T42" i="1"/>
  <c r="U41" i="1"/>
  <c r="T39" i="1"/>
  <c r="U39" i="1" s="1"/>
  <c r="S39" i="1" s="1"/>
  <c r="AA32" i="1"/>
  <c r="AA15" i="1"/>
  <c r="AA125" i="1"/>
  <c r="AA116" i="1"/>
  <c r="AA112" i="1"/>
  <c r="T104" i="1"/>
  <c r="U104" i="1" s="1"/>
  <c r="S104" i="1" s="1"/>
  <c r="AA100" i="1"/>
  <c r="AG99" i="1"/>
  <c r="U99" i="1" s="1"/>
  <c r="S99" i="1" s="1"/>
  <c r="X99" i="1"/>
  <c r="T97" i="1"/>
  <c r="X93" i="1"/>
  <c r="AA90" i="1"/>
  <c r="W90" i="1" s="1"/>
  <c r="AG88" i="1"/>
  <c r="AA83" i="1"/>
  <c r="W83" i="1" s="1"/>
  <c r="T68" i="1"/>
  <c r="T50" i="1"/>
  <c r="T34" i="1"/>
  <c r="T30" i="1"/>
  <c r="T26" i="1"/>
  <c r="U26" i="1" s="1"/>
  <c r="S26" i="1" s="1"/>
  <c r="AA25" i="1"/>
  <c r="T25" i="1"/>
  <c r="U21" i="1"/>
  <c r="S21" i="1" s="1"/>
  <c r="AA14" i="1"/>
  <c r="T108" i="1"/>
  <c r="U108" i="1" s="1"/>
  <c r="S108" i="1" s="1"/>
  <c r="T96" i="1"/>
  <c r="AA71" i="1"/>
  <c r="W71" i="1" s="1"/>
  <c r="AG68" i="1"/>
  <c r="W68" i="1" s="1"/>
  <c r="AG67" i="1"/>
  <c r="U67" i="1" s="1"/>
  <c r="S67" i="1" s="1"/>
  <c r="AG63" i="1"/>
  <c r="AI63" i="1" s="1"/>
  <c r="AA59" i="1"/>
  <c r="W59" i="1" s="1"/>
  <c r="AG56" i="1"/>
  <c r="AG50" i="1"/>
  <c r="W50" i="1" s="1"/>
  <c r="AG49" i="1"/>
  <c r="AI49" i="1" s="1"/>
  <c r="X49" i="1"/>
  <c r="AG45" i="1"/>
  <c r="U45" i="1" s="1"/>
  <c r="AI43" i="1"/>
  <c r="AG42" i="1"/>
  <c r="AI42" i="1" s="1"/>
  <c r="X39" i="1"/>
  <c r="T38" i="1"/>
  <c r="U38" i="1" s="1"/>
  <c r="S38" i="1" s="1"/>
  <c r="AG34" i="1"/>
  <c r="W34" i="1" s="1"/>
  <c r="AG32" i="1"/>
  <c r="U32" i="1" s="1"/>
  <c r="S32" i="1" s="1"/>
  <c r="AG30" i="1"/>
  <c r="AG28" i="1"/>
  <c r="U28" i="1" s="1"/>
  <c r="AG15" i="1"/>
  <c r="U15" i="1" s="1"/>
  <c r="AA124" i="1"/>
  <c r="AA123" i="1"/>
  <c r="AA120" i="1"/>
  <c r="T118" i="1"/>
  <c r="U118" i="1" s="1"/>
  <c r="S118" i="1" s="1"/>
  <c r="X109" i="1"/>
  <c r="AA106" i="1"/>
  <c r="W106" i="1" s="1"/>
  <c r="AA99" i="1"/>
  <c r="X97" i="1"/>
  <c r="AG96" i="1"/>
  <c r="U96" i="1" s="1"/>
  <c r="S96" i="1" s="1"/>
  <c r="AA84" i="1"/>
  <c r="W84" i="1" s="1"/>
  <c r="AG83" i="1"/>
  <c r="AI83" i="1" s="1"/>
  <c r="X83" i="1"/>
  <c r="T81" i="1"/>
  <c r="U81" i="1" s="1"/>
  <c r="S81" i="1" s="1"/>
  <c r="X77" i="1"/>
  <c r="AA73" i="1"/>
  <c r="AA66" i="1"/>
  <c r="AI64" i="1"/>
  <c r="AA62" i="1"/>
  <c r="AA61" i="1"/>
  <c r="AA55" i="1"/>
  <c r="W55" i="1" s="1"/>
  <c r="AA54" i="1"/>
  <c r="W54" i="1" s="1"/>
  <c r="AA52" i="1"/>
  <c r="W52" i="1" s="1"/>
  <c r="AA46" i="1"/>
  <c r="X43" i="1"/>
  <c r="AA41" i="1"/>
  <c r="W41" i="1" s="1"/>
  <c r="AA40" i="1"/>
  <c r="W40" i="1" s="1"/>
  <c r="AI36" i="1"/>
  <c r="X33" i="1"/>
  <c r="AG29" i="1"/>
  <c r="U29" i="1" s="1"/>
  <c r="S29" i="1" s="1"/>
  <c r="AG25" i="1"/>
  <c r="AA20" i="1"/>
  <c r="U19" i="1"/>
  <c r="S19" i="1" s="1"/>
  <c r="U17" i="1"/>
  <c r="S17" i="1" s="1"/>
  <c r="U16" i="1"/>
  <c r="S16" i="1" s="1"/>
  <c r="W219" i="1"/>
  <c r="AI214" i="1"/>
  <c r="T191" i="1"/>
  <c r="X191" i="1"/>
  <c r="T184" i="1"/>
  <c r="AI154" i="1"/>
  <c r="X216" i="1"/>
  <c r="AG215" i="1"/>
  <c r="AI215" i="1" s="1"/>
  <c r="R51" i="3"/>
  <c r="AI228" i="1"/>
  <c r="AI224" i="1"/>
  <c r="AI220" i="1"/>
  <c r="T199" i="1"/>
  <c r="X199" i="1"/>
  <c r="X198" i="1"/>
  <c r="T192" i="1"/>
  <c r="AI206" i="1"/>
  <c r="T186" i="1"/>
  <c r="U186" i="1" s="1"/>
  <c r="S186" i="1" s="1"/>
  <c r="T183" i="1"/>
  <c r="X183" i="1"/>
  <c r="X182" i="1"/>
  <c r="T176" i="1"/>
  <c r="AI190" i="1"/>
  <c r="T167" i="1"/>
  <c r="X167" i="1"/>
  <c r="X166" i="1"/>
  <c r="W164" i="1"/>
  <c r="AI180" i="1"/>
  <c r="T161" i="1"/>
  <c r="AI174" i="1"/>
  <c r="AI171" i="1"/>
  <c r="AG212" i="1"/>
  <c r="AI212" i="1" s="1"/>
  <c r="X213" i="1"/>
  <c r="T212" i="1"/>
  <c r="X212" i="1"/>
  <c r="AI155" i="1"/>
  <c r="AG149" i="1"/>
  <c r="X150" i="1"/>
  <c r="T149" i="1"/>
  <c r="X149" i="1"/>
  <c r="AI146" i="1"/>
  <c r="AG130" i="1"/>
  <c r="W130" i="1" s="1"/>
  <c r="T130" i="1"/>
  <c r="X130" i="1"/>
  <c r="AI112" i="1"/>
  <c r="X87" i="1"/>
  <c r="AG87" i="1"/>
  <c r="X88" i="1"/>
  <c r="T87" i="1"/>
  <c r="AI40" i="1"/>
  <c r="U201" i="1"/>
  <c r="S201" i="1" s="1"/>
  <c r="T175" i="1"/>
  <c r="X175" i="1"/>
  <c r="T123" i="1"/>
  <c r="X123" i="1"/>
  <c r="AG123" i="1"/>
  <c r="X79" i="1"/>
  <c r="X201" i="1"/>
  <c r="AG200" i="1"/>
  <c r="AI200" i="1" s="1"/>
  <c r="X200" i="1"/>
  <c r="T198" i="1"/>
  <c r="U198" i="1" s="1"/>
  <c r="S198" i="1" s="1"/>
  <c r="X219" i="1"/>
  <c r="T219" i="1"/>
  <c r="U219" i="1" s="1"/>
  <c r="S219" i="1" s="1"/>
  <c r="AG218" i="1"/>
  <c r="W218" i="1" s="1"/>
  <c r="X215" i="1"/>
  <c r="AG203" i="1"/>
  <c r="R49" i="3"/>
  <c r="X218" i="1"/>
  <c r="X203" i="1"/>
  <c r="AA200" i="1"/>
  <c r="AG199" i="1"/>
  <c r="AI199" i="1" s="1"/>
  <c r="AG192" i="1"/>
  <c r="AI192" i="1" s="1"/>
  <c r="T190" i="1"/>
  <c r="U190" i="1" s="1"/>
  <c r="S190" i="1" s="1"/>
  <c r="T187" i="1"/>
  <c r="X187" i="1"/>
  <c r="X186" i="1"/>
  <c r="X185" i="1"/>
  <c r="AA184" i="1"/>
  <c r="AG183" i="1"/>
  <c r="U178" i="1"/>
  <c r="S178" i="1" s="1"/>
  <c r="AG176" i="1"/>
  <c r="AI176" i="1" s="1"/>
  <c r="T174" i="1"/>
  <c r="U174" i="1" s="1"/>
  <c r="S174" i="1" s="1"/>
  <c r="T171" i="1"/>
  <c r="U171" i="1" s="1"/>
  <c r="S171" i="1" s="1"/>
  <c r="X171" i="1"/>
  <c r="X170" i="1"/>
  <c r="X169" i="1"/>
  <c r="AA168" i="1"/>
  <c r="AG167" i="1"/>
  <c r="W167" i="1" s="1"/>
  <c r="U162" i="1"/>
  <c r="S162" i="1" s="1"/>
  <c r="AG161" i="1"/>
  <c r="AI161" i="1" s="1"/>
  <c r="T160" i="1"/>
  <c r="U160" i="1" s="1"/>
  <c r="S160" i="1" s="1"/>
  <c r="T157" i="1"/>
  <c r="U157" i="1" s="1"/>
  <c r="S157" i="1" s="1"/>
  <c r="X157" i="1"/>
  <c r="X228" i="1"/>
  <c r="W223" i="1"/>
  <c r="U214" i="1"/>
  <c r="S214" i="1" s="1"/>
  <c r="AG208" i="1"/>
  <c r="X209" i="1"/>
  <c r="T208" i="1"/>
  <c r="X208" i="1"/>
  <c r="AI158" i="1"/>
  <c r="AI151" i="1"/>
  <c r="U151" i="1"/>
  <c r="S151" i="1" s="1"/>
  <c r="W147" i="1"/>
  <c r="AG145" i="1"/>
  <c r="X146" i="1"/>
  <c r="T145" i="1"/>
  <c r="X145" i="1"/>
  <c r="AI120" i="1"/>
  <c r="T168" i="1"/>
  <c r="AI185" i="1"/>
  <c r="S164" i="1"/>
  <c r="AI183" i="1"/>
  <c r="T225" i="1"/>
  <c r="X225" i="1"/>
  <c r="AG225" i="1"/>
  <c r="AG204" i="1"/>
  <c r="AI204" i="1" s="1"/>
  <c r="X205" i="1"/>
  <c r="T204" i="1"/>
  <c r="X204" i="1"/>
  <c r="AI147" i="1"/>
  <c r="U147" i="1"/>
  <c r="S147" i="1" s="1"/>
  <c r="X132" i="1"/>
  <c r="AG132" i="1"/>
  <c r="X133" i="1"/>
  <c r="X111" i="1"/>
  <c r="T111" i="1"/>
  <c r="AG111" i="1"/>
  <c r="T78" i="1"/>
  <c r="X78" i="1"/>
  <c r="AG78" i="1"/>
  <c r="U24" i="1"/>
  <c r="S24" i="1" s="1"/>
  <c r="X220" i="1"/>
  <c r="T195" i="1"/>
  <c r="U195" i="1" s="1"/>
  <c r="S195" i="1" s="1"/>
  <c r="X195" i="1"/>
  <c r="W192" i="1"/>
  <c r="AG191" i="1"/>
  <c r="AI191" i="1" s="1"/>
  <c r="AG184" i="1"/>
  <c r="AI184" i="1" s="1"/>
  <c r="T182" i="1"/>
  <c r="U182" i="1" s="1"/>
  <c r="S182" i="1" s="1"/>
  <c r="T179" i="1"/>
  <c r="U179" i="1" s="1"/>
  <c r="S179" i="1" s="1"/>
  <c r="X179" i="1"/>
  <c r="AG175" i="1"/>
  <c r="U170" i="1"/>
  <c r="S170" i="1" s="1"/>
  <c r="AG168" i="1"/>
  <c r="AI168" i="1" s="1"/>
  <c r="T166" i="1"/>
  <c r="U166" i="1" s="1"/>
  <c r="S166" i="1" s="1"/>
  <c r="T163" i="1"/>
  <c r="U163" i="1" s="1"/>
  <c r="S163" i="1" s="1"/>
  <c r="AA161" i="1"/>
  <c r="W161" i="1" s="1"/>
  <c r="U228" i="1"/>
  <c r="S228" i="1" s="1"/>
  <c r="T226" i="1"/>
  <c r="X226" i="1"/>
  <c r="AG222" i="1"/>
  <c r="X223" i="1"/>
  <c r="T222" i="1"/>
  <c r="X222" i="1"/>
  <c r="AI164" i="1"/>
  <c r="AI159" i="1"/>
  <c r="W155" i="1"/>
  <c r="U154" i="1"/>
  <c r="S154" i="1" s="1"/>
  <c r="AG153" i="1"/>
  <c r="X154" i="1"/>
  <c r="T153" i="1"/>
  <c r="X153" i="1"/>
  <c r="W146" i="1"/>
  <c r="AI144" i="1"/>
  <c r="U144" i="1"/>
  <c r="S144" i="1" s="1"/>
  <c r="T139" i="1"/>
  <c r="X139" i="1"/>
  <c r="AG139" i="1"/>
  <c r="AI135" i="1"/>
  <c r="W112" i="1"/>
  <c r="AI74" i="1"/>
  <c r="AG221" i="1"/>
  <c r="W221" i="1" s="1"/>
  <c r="AG211" i="1"/>
  <c r="AG207" i="1"/>
  <c r="W207" i="1" s="1"/>
  <c r="AG156" i="1"/>
  <c r="AG152" i="1"/>
  <c r="W152" i="1" s="1"/>
  <c r="AG148" i="1"/>
  <c r="T140" i="1"/>
  <c r="AG136" i="1"/>
  <c r="X136" i="1"/>
  <c r="T134" i="1"/>
  <c r="U134" i="1" s="1"/>
  <c r="S134" i="1" s="1"/>
  <c r="T131" i="1"/>
  <c r="X131" i="1"/>
  <c r="T124" i="1"/>
  <c r="W120" i="1"/>
  <c r="T119" i="1"/>
  <c r="X119" i="1"/>
  <c r="AG119" i="1"/>
  <c r="T116" i="1"/>
  <c r="X116" i="1"/>
  <c r="AI113" i="1"/>
  <c r="X113" i="1"/>
  <c r="T110" i="1"/>
  <c r="X110" i="1"/>
  <c r="AG110" i="1"/>
  <c r="AI106" i="1"/>
  <c r="AG85" i="1"/>
  <c r="T85" i="1"/>
  <c r="X85" i="1"/>
  <c r="AI80" i="1"/>
  <c r="U76" i="1"/>
  <c r="S76" i="1" s="1"/>
  <c r="T61" i="1"/>
  <c r="X61" i="1"/>
  <c r="AG61" i="1"/>
  <c r="W61" i="1" s="1"/>
  <c r="X38" i="1"/>
  <c r="X37" i="1"/>
  <c r="AG37" i="1"/>
  <c r="T37" i="1"/>
  <c r="X221" i="1"/>
  <c r="X211" i="1"/>
  <c r="X207" i="1"/>
  <c r="X156" i="1"/>
  <c r="X152" i="1"/>
  <c r="X148" i="1"/>
  <c r="AG140" i="1"/>
  <c r="T138" i="1"/>
  <c r="U138" i="1" s="1"/>
  <c r="S138" i="1" s="1"/>
  <c r="T135" i="1"/>
  <c r="U135" i="1" s="1"/>
  <c r="S135" i="1" s="1"/>
  <c r="X135" i="1"/>
  <c r="X134" i="1"/>
  <c r="AA132" i="1"/>
  <c r="W132" i="1" s="1"/>
  <c r="AG131" i="1"/>
  <c r="S129" i="1"/>
  <c r="U126" i="1"/>
  <c r="S126" i="1" s="1"/>
  <c r="AG124" i="1"/>
  <c r="T122" i="1"/>
  <c r="U122" i="1" s="1"/>
  <c r="S122" i="1" s="1"/>
  <c r="T120" i="1"/>
  <c r="U120" i="1" s="1"/>
  <c r="S120" i="1" s="1"/>
  <c r="X120" i="1"/>
  <c r="AI117" i="1"/>
  <c r="X117" i="1"/>
  <c r="AG116" i="1"/>
  <c r="AG101" i="1"/>
  <c r="T101" i="1"/>
  <c r="X101" i="1"/>
  <c r="W74" i="1"/>
  <c r="AI46" i="1"/>
  <c r="U46" i="1"/>
  <c r="S46" i="1" s="1"/>
  <c r="T143" i="1"/>
  <c r="U143" i="1" s="1"/>
  <c r="S143" i="1" s="1"/>
  <c r="X143" i="1"/>
  <c r="T127" i="1"/>
  <c r="U127" i="1" s="1"/>
  <c r="S127" i="1" s="1"/>
  <c r="X127" i="1"/>
  <c r="T115" i="1"/>
  <c r="X115" i="1"/>
  <c r="AG115" i="1"/>
  <c r="T112" i="1"/>
  <c r="U112" i="1" s="1"/>
  <c r="S112" i="1" s="1"/>
  <c r="X112" i="1"/>
  <c r="X103" i="1"/>
  <c r="AG103" i="1"/>
  <c r="X104" i="1"/>
  <c r="T94" i="1"/>
  <c r="X94" i="1"/>
  <c r="AG94" i="1"/>
  <c r="AI90" i="1"/>
  <c r="U58" i="1"/>
  <c r="S58" i="1" s="1"/>
  <c r="AG107" i="1"/>
  <c r="X107" i="1"/>
  <c r="T105" i="1"/>
  <c r="U105" i="1" s="1"/>
  <c r="S105" i="1" s="1"/>
  <c r="T102" i="1"/>
  <c r="X102" i="1"/>
  <c r="T95" i="1"/>
  <c r="AG91" i="1"/>
  <c r="X91" i="1"/>
  <c r="T89" i="1"/>
  <c r="U89" i="1" s="1"/>
  <c r="S89" i="1" s="1"/>
  <c r="T86" i="1"/>
  <c r="X86" i="1"/>
  <c r="T79" i="1"/>
  <c r="AG75" i="1"/>
  <c r="X75" i="1"/>
  <c r="T69" i="1"/>
  <c r="X69" i="1"/>
  <c r="AG69" i="1"/>
  <c r="W69" i="1" s="1"/>
  <c r="W62" i="1"/>
  <c r="S55" i="1"/>
  <c r="AI55" i="1"/>
  <c r="T54" i="1"/>
  <c r="X54" i="1"/>
  <c r="AG54" i="1"/>
  <c r="AG51" i="1"/>
  <c r="X51" i="1"/>
  <c r="T51" i="1"/>
  <c r="T44" i="1"/>
  <c r="X44" i="1"/>
  <c r="X45" i="1"/>
  <c r="AG44" i="1"/>
  <c r="T109" i="1"/>
  <c r="U109" i="1" s="1"/>
  <c r="S109" i="1" s="1"/>
  <c r="T106" i="1"/>
  <c r="U106" i="1" s="1"/>
  <c r="S106" i="1" s="1"/>
  <c r="X106" i="1"/>
  <c r="X105" i="1"/>
  <c r="AA103" i="1"/>
  <c r="AG102" i="1"/>
  <c r="U97" i="1"/>
  <c r="S97" i="1" s="1"/>
  <c r="AG95" i="1"/>
  <c r="W95" i="1" s="1"/>
  <c r="T93" i="1"/>
  <c r="U93" i="1" s="1"/>
  <c r="S93" i="1" s="1"/>
  <c r="T90" i="1"/>
  <c r="U90" i="1" s="1"/>
  <c r="S90" i="1" s="1"/>
  <c r="X90" i="1"/>
  <c r="X89" i="1"/>
  <c r="AA87" i="1"/>
  <c r="AG86" i="1"/>
  <c r="AI84" i="1"/>
  <c r="S84" i="1"/>
  <c r="AG79" i="1"/>
  <c r="T77" i="1"/>
  <c r="U77" i="1" s="1"/>
  <c r="S77" i="1" s="1"/>
  <c r="T74" i="1"/>
  <c r="U74" i="1" s="1"/>
  <c r="S74" i="1" s="1"/>
  <c r="X74" i="1"/>
  <c r="U71" i="1"/>
  <c r="T65" i="1"/>
  <c r="X65" i="1"/>
  <c r="AG65" i="1"/>
  <c r="AA58" i="1"/>
  <c r="W58" i="1" s="1"/>
  <c r="W46" i="1"/>
  <c r="T23" i="1"/>
  <c r="AG23" i="1"/>
  <c r="W23" i="1" s="1"/>
  <c r="T98" i="1"/>
  <c r="U98" i="1" s="1"/>
  <c r="S98" i="1" s="1"/>
  <c r="X98" i="1"/>
  <c r="T82" i="1"/>
  <c r="U82" i="1" s="1"/>
  <c r="S82" i="1" s="1"/>
  <c r="X82" i="1"/>
  <c r="T73" i="1"/>
  <c r="X73" i="1"/>
  <c r="AG73" i="1"/>
  <c r="AI58" i="1"/>
  <c r="T57" i="1"/>
  <c r="AG57" i="1"/>
  <c r="W57" i="1" s="1"/>
  <c r="AI71" i="1"/>
  <c r="S71" i="1"/>
  <c r="X70" i="1"/>
  <c r="X66" i="1"/>
  <c r="X62" i="1"/>
  <c r="AI59" i="1"/>
  <c r="AI56" i="1"/>
  <c r="X55" i="1"/>
  <c r="AI52" i="1"/>
  <c r="T48" i="1"/>
  <c r="U48" i="1" s="1"/>
  <c r="S48" i="1" s="1"/>
  <c r="X48" i="1"/>
  <c r="X47" i="1"/>
  <c r="X46" i="1"/>
  <c r="AA45" i="1"/>
  <c r="W45" i="1" s="1"/>
  <c r="AA36" i="1"/>
  <c r="W36" i="1" s="1"/>
  <c r="T35" i="1"/>
  <c r="X35" i="1"/>
  <c r="AG35" i="1"/>
  <c r="W35" i="1" s="1"/>
  <c r="AA28" i="1"/>
  <c r="W28" i="1" s="1"/>
  <c r="U25" i="1"/>
  <c r="S25" i="1" s="1"/>
  <c r="AI19" i="1"/>
  <c r="T18" i="1"/>
  <c r="X18" i="1"/>
  <c r="AG18" i="1"/>
  <c r="T52" i="1"/>
  <c r="U52" i="1" s="1"/>
  <c r="S52" i="1" s="1"/>
  <c r="X52" i="1"/>
  <c r="S41" i="1"/>
  <c r="AI41" i="1"/>
  <c r="T36" i="1"/>
  <c r="U36" i="1" s="1"/>
  <c r="S36" i="1" s="1"/>
  <c r="X36" i="1"/>
  <c r="T31" i="1"/>
  <c r="X31" i="1"/>
  <c r="AG31" i="1"/>
  <c r="AA24" i="1"/>
  <c r="U20" i="1"/>
  <c r="S20" i="1" s="1"/>
  <c r="S15" i="1"/>
  <c r="T14" i="1"/>
  <c r="AG14" i="1"/>
  <c r="W14" i="1" s="1"/>
  <c r="S45" i="1"/>
  <c r="AI45" i="1"/>
  <c r="T43" i="1"/>
  <c r="U43" i="1" s="1"/>
  <c r="S43" i="1" s="1"/>
  <c r="T40" i="1"/>
  <c r="U40" i="1" s="1"/>
  <c r="S40" i="1" s="1"/>
  <c r="X40" i="1"/>
  <c r="AA37" i="1"/>
  <c r="S28" i="1"/>
  <c r="AI28" i="1"/>
  <c r="T27" i="1"/>
  <c r="X27" i="1"/>
  <c r="AG27" i="1"/>
  <c r="AA19" i="1"/>
  <c r="W19" i="1" s="1"/>
  <c r="AI33" i="1"/>
  <c r="X32" i="1"/>
  <c r="X28" i="1"/>
  <c r="AI25" i="1"/>
  <c r="AI20" i="1"/>
  <c r="X19" i="1"/>
  <c r="AI16" i="1"/>
  <c r="X15" i="1"/>
  <c r="AC34" i="3"/>
  <c r="Y28" i="3"/>
  <c r="Y33" i="3"/>
  <c r="Y17" i="3"/>
  <c r="Y21" i="3"/>
  <c r="Y29" i="3"/>
  <c r="Y54" i="3"/>
  <c r="Y52" i="3"/>
  <c r="Y34" i="3"/>
  <c r="Y37" i="3"/>
  <c r="AC41" i="3"/>
  <c r="Y20" i="3"/>
  <c r="Y48" i="3"/>
  <c r="AC47" i="3"/>
  <c r="AC39" i="3"/>
  <c r="AC14" i="3"/>
  <c r="AC12" i="3"/>
  <c r="AC37" i="3"/>
  <c r="Y7" i="3"/>
  <c r="Y31" i="3"/>
  <c r="Y30" i="3"/>
  <c r="Y36" i="3"/>
  <c r="Y23" i="3"/>
  <c r="Y46" i="3"/>
  <c r="Y40" i="3"/>
  <c r="Y42" i="3"/>
  <c r="Y51" i="3"/>
  <c r="Y39" i="3"/>
  <c r="Y58" i="3"/>
  <c r="AC22" i="3"/>
  <c r="AC50" i="3"/>
  <c r="AC49" i="3"/>
  <c r="Y25" i="3"/>
  <c r="T35" i="3"/>
  <c r="T9" i="3"/>
  <c r="T43" i="3"/>
  <c r="T25" i="3"/>
  <c r="T32" i="3"/>
  <c r="T27" i="3"/>
  <c r="T57" i="3"/>
  <c r="T48" i="3"/>
  <c r="T11" i="3"/>
  <c r="T45" i="3"/>
  <c r="T59" i="3"/>
  <c r="T54" i="3"/>
  <c r="T56" i="3"/>
  <c r="Z13" i="1"/>
  <c r="Y13" i="1"/>
  <c r="W49" i="1" l="1"/>
  <c r="AI70" i="1"/>
  <c r="W85" i="1"/>
  <c r="W222" i="1"/>
  <c r="W180" i="1"/>
  <c r="U70" i="1"/>
  <c r="S70" i="1" s="1"/>
  <c r="W187" i="1"/>
  <c r="W196" i="1"/>
  <c r="W188" i="1"/>
  <c r="W51" i="1"/>
  <c r="U226" i="1"/>
  <c r="S226" i="1" s="1"/>
  <c r="U187" i="1"/>
  <c r="S187" i="1" s="1"/>
  <c r="AI227" i="1"/>
  <c r="U188" i="1"/>
  <c r="S188" i="1" s="1"/>
  <c r="W226" i="1"/>
  <c r="U33" i="1"/>
  <c r="S33" i="1" s="1"/>
  <c r="W128" i="1"/>
  <c r="W87" i="1"/>
  <c r="W209" i="1"/>
  <c r="W80" i="1"/>
  <c r="W79" i="1"/>
  <c r="U53" i="1"/>
  <c r="S53" i="1" s="1"/>
  <c r="W154" i="1"/>
  <c r="W44" i="1"/>
  <c r="U49" i="1"/>
  <c r="S49" i="1" s="1"/>
  <c r="AI96" i="1"/>
  <c r="AI128" i="1"/>
  <c r="U209" i="1"/>
  <c r="S209" i="1" s="1"/>
  <c r="AI15" i="1"/>
  <c r="W31" i="1"/>
  <c r="W99" i="1"/>
  <c r="AI99" i="1"/>
  <c r="AI62" i="1"/>
  <c r="AI165" i="1"/>
  <c r="AI216" i="1"/>
  <c r="U193" i="1"/>
  <c r="S193" i="1" s="1"/>
  <c r="U150" i="1"/>
  <c r="S150" i="1" s="1"/>
  <c r="W123" i="1"/>
  <c r="U56" i="1"/>
  <c r="S56" i="1" s="1"/>
  <c r="AI72" i="1"/>
  <c r="U169" i="1"/>
  <c r="S169" i="1" s="1"/>
  <c r="W78" i="1"/>
  <c r="W111" i="1"/>
  <c r="AI60" i="1"/>
  <c r="U72" i="1"/>
  <c r="S72" i="1" s="1"/>
  <c r="W150" i="1"/>
  <c r="W53" i="1"/>
  <c r="W37" i="1"/>
  <c r="W24" i="1"/>
  <c r="AI32" i="1"/>
  <c r="W116" i="1"/>
  <c r="AI129" i="1"/>
  <c r="W20" i="1"/>
  <c r="AI53" i="1"/>
  <c r="W140" i="1"/>
  <c r="W137" i="1"/>
  <c r="AI29" i="1"/>
  <c r="W225" i="1"/>
  <c r="AI196" i="1"/>
  <c r="U42" i="1"/>
  <c r="S42" i="1" s="1"/>
  <c r="W113" i="1"/>
  <c r="W197" i="1"/>
  <c r="AI181" i="1"/>
  <c r="AI100" i="1"/>
  <c r="W175" i="1"/>
  <c r="U196" i="1"/>
  <c r="S196" i="1" s="1"/>
  <c r="W66" i="1"/>
  <c r="W181" i="1"/>
  <c r="AI67" i="1"/>
  <c r="AI66" i="1"/>
  <c r="W75" i="1"/>
  <c r="U197" i="1"/>
  <c r="S197" i="1" s="1"/>
  <c r="W100" i="1"/>
  <c r="W125" i="1"/>
  <c r="U172" i="1"/>
  <c r="S172" i="1" s="1"/>
  <c r="W103" i="1"/>
  <c r="U83" i="1"/>
  <c r="S83" i="1" s="1"/>
  <c r="AI221" i="1"/>
  <c r="W176" i="1"/>
  <c r="W17" i="1"/>
  <c r="U141" i="1"/>
  <c r="S141" i="1" s="1"/>
  <c r="W165" i="1"/>
  <c r="W76" i="1"/>
  <c r="W204" i="1"/>
  <c r="U177" i="1"/>
  <c r="S177" i="1" s="1"/>
  <c r="W212" i="1"/>
  <c r="W200" i="1"/>
  <c r="S158" i="1"/>
  <c r="W96" i="1"/>
  <c r="W15" i="1"/>
  <c r="W56" i="1"/>
  <c r="U113" i="1"/>
  <c r="S113" i="1" s="1"/>
  <c r="W117" i="1"/>
  <c r="W216" i="1"/>
  <c r="W177" i="1"/>
  <c r="W141" i="1"/>
  <c r="W172" i="1"/>
  <c r="U30" i="1"/>
  <c r="S30" i="1" s="1"/>
  <c r="AI30" i="1"/>
  <c r="U63" i="1"/>
  <c r="S63" i="1" s="1"/>
  <c r="W25" i="1"/>
  <c r="U88" i="1"/>
  <c r="S88" i="1" s="1"/>
  <c r="AI88" i="1"/>
  <c r="W30" i="1"/>
  <c r="W42" i="1"/>
  <c r="W32" i="1"/>
  <c r="W158" i="1"/>
  <c r="W208" i="1"/>
  <c r="AI208" i="1"/>
  <c r="U213" i="1"/>
  <c r="S213" i="1" s="1"/>
  <c r="AI175" i="1"/>
  <c r="AI207" i="1"/>
  <c r="AI225" i="1"/>
  <c r="U34" i="1"/>
  <c r="S34" i="1" s="1"/>
  <c r="AI34" i="1"/>
  <c r="U50" i="1"/>
  <c r="S50" i="1" s="1"/>
  <c r="AI50" i="1"/>
  <c r="U68" i="1"/>
  <c r="S68" i="1" s="1"/>
  <c r="AI68" i="1"/>
  <c r="W29" i="1"/>
  <c r="W63" i="1"/>
  <c r="W67" i="1"/>
  <c r="W213" i="1"/>
  <c r="W193" i="1"/>
  <c r="W88" i="1"/>
  <c r="W129" i="1"/>
  <c r="AI79" i="1"/>
  <c r="U79" i="1"/>
  <c r="S79" i="1" s="1"/>
  <c r="AI86" i="1"/>
  <c r="U86" i="1"/>
  <c r="S86" i="1" s="1"/>
  <c r="W86" i="1"/>
  <c r="AI54" i="1"/>
  <c r="U54" i="1"/>
  <c r="S54" i="1" s="1"/>
  <c r="AI69" i="1"/>
  <c r="U69" i="1"/>
  <c r="S69" i="1" s="1"/>
  <c r="AI94" i="1"/>
  <c r="U94" i="1"/>
  <c r="S94" i="1" s="1"/>
  <c r="AI116" i="1"/>
  <c r="U116" i="1"/>
  <c r="S116" i="1" s="1"/>
  <c r="AI37" i="1"/>
  <c r="U37" i="1"/>
  <c r="S37" i="1" s="1"/>
  <c r="AI136" i="1"/>
  <c r="U136" i="1"/>
  <c r="S136" i="1" s="1"/>
  <c r="U148" i="1"/>
  <c r="S148" i="1" s="1"/>
  <c r="AI148" i="1"/>
  <c r="W148" i="1"/>
  <c r="U211" i="1"/>
  <c r="S211" i="1" s="1"/>
  <c r="AI162" i="1"/>
  <c r="W211" i="1"/>
  <c r="AI187" i="1"/>
  <c r="U168" i="1"/>
  <c r="S168" i="1" s="1"/>
  <c r="AI132" i="1"/>
  <c r="U132" i="1"/>
  <c r="S132" i="1" s="1"/>
  <c r="W168" i="1"/>
  <c r="W199" i="1"/>
  <c r="AI218" i="1"/>
  <c r="U199" i="1"/>
  <c r="S199" i="1" s="1"/>
  <c r="U149" i="1"/>
  <c r="S149" i="1" s="1"/>
  <c r="AI149" i="1"/>
  <c r="AI223" i="1"/>
  <c r="U215" i="1"/>
  <c r="S215" i="1" s="1"/>
  <c r="AI27" i="1"/>
  <c r="U27" i="1"/>
  <c r="S27" i="1" s="1"/>
  <c r="AI18" i="1"/>
  <c r="U18" i="1"/>
  <c r="S18" i="1" s="1"/>
  <c r="U35" i="1"/>
  <c r="S35" i="1" s="1"/>
  <c r="AI35" i="1"/>
  <c r="AI57" i="1"/>
  <c r="U57" i="1"/>
  <c r="S57" i="1" s="1"/>
  <c r="AI44" i="1"/>
  <c r="U44" i="1"/>
  <c r="S44" i="1" s="1"/>
  <c r="AI124" i="1"/>
  <c r="U124" i="1"/>
  <c r="S124" i="1" s="1"/>
  <c r="AI131" i="1"/>
  <c r="U131" i="1"/>
  <c r="S131" i="1" s="1"/>
  <c r="W131" i="1"/>
  <c r="U85" i="1"/>
  <c r="S85" i="1" s="1"/>
  <c r="AI85" i="1"/>
  <c r="AI110" i="1"/>
  <c r="U110" i="1"/>
  <c r="S110" i="1" s="1"/>
  <c r="U119" i="1"/>
  <c r="S119" i="1" s="1"/>
  <c r="AI119" i="1"/>
  <c r="W119" i="1"/>
  <c r="U152" i="1"/>
  <c r="S152" i="1" s="1"/>
  <c r="AI152" i="1"/>
  <c r="U221" i="1"/>
  <c r="S221" i="1" s="1"/>
  <c r="AI166" i="1"/>
  <c r="AI139" i="1"/>
  <c r="U139" i="1"/>
  <c r="S139" i="1" s="1"/>
  <c r="AI210" i="1"/>
  <c r="U191" i="1"/>
  <c r="S191" i="1" s="1"/>
  <c r="AI78" i="1"/>
  <c r="U78" i="1"/>
  <c r="S78" i="1" s="1"/>
  <c r="U111" i="1"/>
  <c r="S111" i="1" s="1"/>
  <c r="AI111" i="1"/>
  <c r="U145" i="1"/>
  <c r="S145" i="1" s="1"/>
  <c r="AI145" i="1"/>
  <c r="AI211" i="1"/>
  <c r="U192" i="1"/>
  <c r="S192" i="1" s="1"/>
  <c r="U218" i="1"/>
  <c r="S218" i="1" s="1"/>
  <c r="AI226" i="1"/>
  <c r="W139" i="1"/>
  <c r="U130" i="1"/>
  <c r="S130" i="1" s="1"/>
  <c r="AI130" i="1"/>
  <c r="W27" i="1"/>
  <c r="AI14" i="1"/>
  <c r="U14" i="1"/>
  <c r="S14" i="1" s="1"/>
  <c r="AI31" i="1"/>
  <c r="U31" i="1"/>
  <c r="S31" i="1" s="1"/>
  <c r="AI23" i="1"/>
  <c r="U23" i="1"/>
  <c r="S23" i="1" s="1"/>
  <c r="AI95" i="1"/>
  <c r="U95" i="1"/>
  <c r="S95" i="1" s="1"/>
  <c r="AI102" i="1"/>
  <c r="U102" i="1"/>
  <c r="S102" i="1" s="1"/>
  <c r="W102" i="1"/>
  <c r="AI75" i="1"/>
  <c r="U75" i="1"/>
  <c r="S75" i="1" s="1"/>
  <c r="AI91" i="1"/>
  <c r="U91" i="1"/>
  <c r="S91" i="1" s="1"/>
  <c r="AI107" i="1"/>
  <c r="U107" i="1"/>
  <c r="S107" i="1" s="1"/>
  <c r="W107" i="1"/>
  <c r="U115" i="1"/>
  <c r="S115" i="1" s="1"/>
  <c r="AI115" i="1"/>
  <c r="W124" i="1"/>
  <c r="U101" i="1"/>
  <c r="S101" i="1" s="1"/>
  <c r="AI101" i="1"/>
  <c r="W101" i="1"/>
  <c r="U156" i="1"/>
  <c r="S156" i="1" s="1"/>
  <c r="W156" i="1"/>
  <c r="AI156" i="1"/>
  <c r="U153" i="1"/>
  <c r="S153" i="1" s="1"/>
  <c r="AI153" i="1"/>
  <c r="AI194" i="1"/>
  <c r="U175" i="1"/>
  <c r="S175" i="1" s="1"/>
  <c r="W136" i="1"/>
  <c r="W153" i="1"/>
  <c r="U204" i="1"/>
  <c r="S204" i="1" s="1"/>
  <c r="AI157" i="1"/>
  <c r="U208" i="1"/>
  <c r="S208" i="1" s="1"/>
  <c r="AI195" i="1"/>
  <c r="U176" i="1"/>
  <c r="S176" i="1" s="1"/>
  <c r="AI202" i="1"/>
  <c r="U183" i="1"/>
  <c r="S183" i="1" s="1"/>
  <c r="W183" i="1"/>
  <c r="U203" i="1"/>
  <c r="S203" i="1" s="1"/>
  <c r="AI222" i="1"/>
  <c r="AI123" i="1"/>
  <c r="U123" i="1"/>
  <c r="S123" i="1" s="1"/>
  <c r="W91" i="1"/>
  <c r="W115" i="1"/>
  <c r="W145" i="1"/>
  <c r="W18" i="1"/>
  <c r="W191" i="1"/>
  <c r="U73" i="1"/>
  <c r="S73" i="1" s="1"/>
  <c r="AI73" i="1"/>
  <c r="AI65" i="1"/>
  <c r="U65" i="1"/>
  <c r="S65" i="1" s="1"/>
  <c r="U51" i="1"/>
  <c r="S51" i="1" s="1"/>
  <c r="AI51" i="1"/>
  <c r="W65" i="1"/>
  <c r="AI103" i="1"/>
  <c r="U103" i="1"/>
  <c r="S103" i="1" s="1"/>
  <c r="W110" i="1"/>
  <c r="AI140" i="1"/>
  <c r="U140" i="1"/>
  <c r="S140" i="1" s="1"/>
  <c r="AI61" i="1"/>
  <c r="U61" i="1"/>
  <c r="S61" i="1" s="1"/>
  <c r="U207" i="1"/>
  <c r="S207" i="1" s="1"/>
  <c r="AI160" i="1"/>
  <c r="U222" i="1"/>
  <c r="S222" i="1" s="1"/>
  <c r="AI167" i="1"/>
  <c r="AI178" i="1"/>
  <c r="AI203" i="1"/>
  <c r="U184" i="1"/>
  <c r="S184" i="1" s="1"/>
  <c r="U225" i="1"/>
  <c r="S225" i="1" s="1"/>
  <c r="AI170" i="1"/>
  <c r="W94" i="1"/>
  <c r="AI179" i="1"/>
  <c r="U161" i="1"/>
  <c r="S161" i="1" s="1"/>
  <c r="AI186" i="1"/>
  <c r="U167" i="1"/>
  <c r="S167" i="1" s="1"/>
  <c r="W184" i="1"/>
  <c r="U200" i="1"/>
  <c r="S200" i="1" s="1"/>
  <c r="AI219" i="1"/>
  <c r="AI87" i="1"/>
  <c r="U87" i="1"/>
  <c r="S87" i="1" s="1"/>
  <c r="U212" i="1"/>
  <c r="S212" i="1" s="1"/>
  <c r="AI163" i="1"/>
  <c r="W73" i="1"/>
  <c r="W203" i="1"/>
  <c r="W215" i="1"/>
  <c r="S55" i="3"/>
  <c r="R55" i="3"/>
  <c r="M55" i="3"/>
  <c r="N55" i="3"/>
  <c r="U55" i="3"/>
  <c r="AC55" i="3" s="1"/>
  <c r="V55" i="3"/>
  <c r="W55" i="3"/>
  <c r="X55" i="3"/>
  <c r="Y55" i="3" l="1"/>
  <c r="T55" i="3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<sst xmlns="http://schemas.openxmlformats.org/spreadsheetml/2006/main" count="2364" uniqueCount="796">
  <si>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</si>
  <si>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</si>
  <si>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</si>
  <si>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</si>
  <si>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</si>
  <si>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</si>
  <si>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</si>
  <si>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</si>
  <si>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</si>
  <si>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</si>
  <si>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</si>
  <si>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</si>
  <si>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</si>
  <si>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</si>
  <si>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</si>
  <si>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</si>
  <si>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</si>
  <si>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</si>
  <si>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</si>
  <si>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</si>
  <si>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</si>
  <si>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</si>
  <si>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</si>
  <si>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</si>
  <si>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</si>
  <si>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</si>
  <si>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</si>
  <si>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</si>
  <si>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</si>
  <si>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</si>
  <si>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</si>
  <si>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</si>
  <si>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</si>
  <si>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</si>
  <si>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</si>
  <si>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</si>
  <si>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</si>
  <si>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</si>
  <si>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</si>
  <si>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</si>
  <si>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</si>
  <si>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</si>
  <si>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</si>
  <si>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</si>
  <si>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</si>
  <si>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</si>
  <si>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</si>
  <si>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</si>
  <si>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</si>
  <si>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</si>
  <si>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</si>
  <si>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</si>
  <si>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</si>
  <si>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</si>
  <si>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</si>
  <si>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</si>
  <si>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</si>
  <si>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</si>
  <si>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</si>
  <si>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</si>
  <si>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</si>
  <si>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</si>
  <si>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</si>
  <si>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</si>
  <si>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</si>
  <si>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</si>
  <si>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</si>
  <si>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</si>
  <si>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</si>
  <si>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</si>
  <si>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</si>
  <si>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</si>
  <si>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</si>
  <si>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</si>
  <si>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</si>
  <si>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</si>
  <si>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</si>
  <si>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</si>
  <si>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</si>
  <si>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</si>
  <si>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</si>
  <si>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</si>
  <si>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</si>
  <si>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</si>
  <si>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</si>
  <si>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</si>
  <si>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</si>
  <si>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</si>
  <si>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</si>
  <si>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</si>
  <si>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</si>
  <si>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</si>
  <si>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</si>
  <si>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</si>
  <si>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</si>
  <si>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</si>
  <si>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</si>
  <si>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</si>
  <si>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</si>
  <si>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</si>
  <si>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</si>
  <si>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</si>
  <si>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</si>
  <si>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</si>
  <si>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</si>
  <si>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</si>
  <si>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</si>
  <si>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</si>
  <si>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</si>
  <si>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</si>
  <si>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</si>
  <si>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</si>
  <si>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</si>
  <si>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</si>
  <si>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</si>
  <si>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</si>
  <si>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</si>
  <si>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</si>
  <si>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</si>
  <si>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</si>
  <si>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</si>
  <si>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</si>
  <si>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</si>
  <si>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</si>
  <si>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</si>
  <si>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</si>
  <si>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</si>
  <si>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</si>
  <si>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</si>
  <si>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</si>
  <si>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</si>
  <si>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</si>
  <si>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</si>
  <si>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</si>
  <si>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</si>
  <si>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</si>
  <si>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</si>
  <si>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</si>
  <si>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</si>
  <si>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</si>
  <si>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</si>
  <si>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</si>
  <si>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</si>
  <si>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</si>
  <si>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</si>
  <si>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</si>
  <si>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</si>
  <si>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</si>
  <si>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</si>
  <si>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</si>
  <si>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</si>
  <si>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</si>
  <si>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</si>
  <si>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</si>
  <si>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</si>
  <si>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</si>
  <si>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</si>
  <si>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</si>
  <si>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</si>
  <si>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</si>
  <si>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</si>
  <si>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</si>
  <si>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</si>
  <si>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</si>
  <si>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</si>
  <si>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</si>
  <si>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</si>
  <si>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</si>
  <si>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</si>
  <si>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</si>
  <si>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</si>
  <si>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</si>
  <si>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</si>
  <si>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</si>
  <si>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</si>
  <si>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</si>
  <si>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</si>
  <si>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</si>
  <si>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</si>
  <si>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</si>
  <si>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</si>
  <si>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</si>
  <si>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</si>
  <si>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</si>
  <si>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</si>
  <si>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</si>
  <si>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</si>
  <si>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</si>
  <si>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</si>
  <si>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</si>
  <si>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</si>
  <si>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</si>
  <si>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</si>
  <si>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</si>
  <si>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</si>
  <si>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</si>
  <si>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</si>
  <si>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</si>
  <si>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</si>
  <si>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</si>
  <si>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</si>
  <si>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</si>
  <si>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</si>
  <si>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</si>
  <si>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</si>
  <si>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</si>
  <si>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</si>
  <si>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</si>
  <si>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</si>
  <si>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</si>
  <si>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</si>
  <si>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</si>
  <si>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</si>
  <si>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</si>
  <si>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</si>
  <si>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</si>
  <si>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</si>
  <si>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</si>
  <si>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</si>
  <si>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</si>
  <si>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</si>
  <si>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</si>
  <si>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</si>
  <si>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</si>
  <si>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</si>
  <si>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</si>
  <si>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</si>
  <si>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</si>
  <si>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</si>
  <si>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</si>
  <si>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</si>
  <si>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rtdc.l.rtdc.4037:itc</t>
  </si>
  <si>
    <t>204:233291</t>
  </si>
  <si>
    <t>204:232985</t>
  </si>
  <si>
    <t>rtdc.l.rtdc.4011:itc</t>
  </si>
  <si>
    <t>204:457</t>
  </si>
  <si>
    <t>rtdc.l.rtdc.4021:itc</t>
  </si>
  <si>
    <t>rtdc.l.rtdc.4002:itc</t>
  </si>
  <si>
    <t>rtdc.l.rtdc.4001:itc</t>
  </si>
  <si>
    <t>204:161</t>
  </si>
  <si>
    <t>204:464</t>
  </si>
  <si>
    <t>204:233301</t>
  </si>
  <si>
    <t>204:232969</t>
  </si>
  <si>
    <t>204:232981</t>
  </si>
  <si>
    <t>204:232978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</si>
  <si>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</si>
  <si>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</si>
  <si>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</si>
  <si>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</si>
  <si>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</si>
  <si>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</si>
  <si>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</si>
  <si>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</si>
  <si>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</si>
  <si>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</si>
  <si>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</si>
  <si>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</si>
  <si>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204:136</t>
  </si>
  <si>
    <t>204:438</t>
  </si>
  <si>
    <t>204:233289</t>
  </si>
  <si>
    <t>204:473</t>
  </si>
  <si>
    <t>204:232975</t>
  </si>
  <si>
    <t>204:444</t>
  </si>
  <si>
    <t>300:58613</t>
  </si>
  <si>
    <t>300:58926</t>
  </si>
  <si>
    <t>CHANDLER</t>
  </si>
  <si>
    <t>204:232973</t>
  </si>
  <si>
    <t>204:233303</t>
  </si>
  <si>
    <t>204:232984</t>
  </si>
  <si>
    <t>204:158</t>
  </si>
  <si>
    <t>204:475</t>
  </si>
  <si>
    <t>STARKS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</si>
  <si>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</si>
  <si>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</si>
  <si>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</si>
  <si>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</si>
  <si>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</si>
  <si>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</si>
  <si>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</si>
  <si>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</si>
  <si>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</si>
  <si>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</si>
  <si>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MACDONALD</t>
  </si>
  <si>
    <t>LALONDE</t>
  </si>
  <si>
    <t>rtdc.l.rtdc.4004:itc</t>
  </si>
  <si>
    <t>HOLCOMB</t>
  </si>
  <si>
    <t>HELVIE</t>
  </si>
  <si>
    <t>JOHNSON</t>
  </si>
  <si>
    <t>ROMERO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</si>
  <si>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</si>
  <si>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</si>
  <si>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</si>
  <si>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</si>
  <si>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</si>
  <si>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</si>
  <si>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</si>
  <si>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204:1016</t>
  </si>
  <si>
    <t>Human Factors</t>
  </si>
  <si>
    <t>rtdc.l.rtdc.4041:itc</t>
  </si>
  <si>
    <t>rtdc.l.rtdc.4008:itc</t>
  </si>
  <si>
    <t>SWITCH UNKNOWN</t>
  </si>
  <si>
    <t>Track device (7)</t>
  </si>
  <si>
    <t>311-01</t>
  </si>
  <si>
    <t>rtdc.l.rtdc.4042:itc</t>
  </si>
  <si>
    <t>RICHARDSON</t>
  </si>
  <si>
    <t>LOPES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</si>
  <si>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</si>
  <si>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</si>
  <si>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</si>
  <si>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</si>
  <si>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</si>
  <si>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</si>
  <si>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</si>
  <si>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</si>
  <si>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</si>
  <si>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</si>
  <si>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</si>
  <si>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</si>
  <si>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</si>
  <si>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</si>
  <si>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</si>
  <si>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</si>
  <si>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</si>
  <si>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</si>
  <si>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</si>
  <si>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</si>
  <si>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204:165</t>
  </si>
  <si>
    <t>204:232998</t>
  </si>
  <si>
    <t>204:233308</t>
  </si>
  <si>
    <t>204:127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</si>
  <si>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</si>
  <si>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</si>
  <si>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</si>
  <si>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</si>
  <si>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</si>
  <si>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</si>
  <si>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</si>
  <si>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204:731</t>
  </si>
  <si>
    <t>300:58931</t>
  </si>
  <si>
    <t>300:58615</t>
  </si>
  <si>
    <t>204:967</t>
  </si>
  <si>
    <t>300:58611</t>
  </si>
  <si>
    <t>Pena 4S STOP, cleared afterward</t>
  </si>
  <si>
    <t>Overspeed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</si>
  <si>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</si>
  <si>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</si>
  <si>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</si>
  <si>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</si>
  <si>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</si>
  <si>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</si>
  <si>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</si>
  <si>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SANTIZO</t>
  </si>
  <si>
    <t>rtdc.l.rtdc.4053:itc</t>
  </si>
  <si>
    <t>PERKINS</t>
  </si>
  <si>
    <t>rtdc.l.rtdc.4026:itc</t>
  </si>
  <si>
    <t>DAVIDSON</t>
  </si>
  <si>
    <t>GRASTON</t>
  </si>
  <si>
    <t>SAFIEF</t>
  </si>
  <si>
    <t>BEAM</t>
  </si>
  <si>
    <t>LOZA</t>
  </si>
  <si>
    <t>ADANE</t>
  </si>
  <si>
    <t>HILLS</t>
  </si>
  <si>
    <t>MAGEE</t>
  </si>
  <si>
    <t>309-02</t>
  </si>
  <si>
    <t>242-02</t>
  </si>
  <si>
    <t>311-02</t>
  </si>
  <si>
    <t>313-02</t>
  </si>
  <si>
    <t>315-02</t>
  </si>
  <si>
    <t>clear-day</t>
  </si>
  <si>
    <t>204:757</t>
  </si>
  <si>
    <t>204:233324</t>
  </si>
  <si>
    <t>204:232989</t>
  </si>
  <si>
    <t>204:232994</t>
  </si>
  <si>
    <t>204:232986</t>
  </si>
  <si>
    <t>204:132</t>
  </si>
  <si>
    <t>204:471</t>
  </si>
  <si>
    <t>204:233305</t>
  </si>
  <si>
    <t>204:1484</t>
  </si>
  <si>
    <t>204:233334</t>
  </si>
  <si>
    <t>204:404</t>
  </si>
  <si>
    <t>204:431</t>
  </si>
  <si>
    <t>204:233315</t>
  </si>
  <si>
    <t>204:233323</t>
  </si>
  <si>
    <t>300:23301</t>
  </si>
  <si>
    <t>300:23302</t>
  </si>
  <si>
    <t>300:23128</t>
  </si>
  <si>
    <t>204:768</t>
  </si>
  <si>
    <t>300:58672</t>
  </si>
  <si>
    <t>300:58984</t>
  </si>
  <si>
    <t>300:58992</t>
  </si>
  <si>
    <t>204:992</t>
  </si>
  <si>
    <t>204:1023</t>
  </si>
  <si>
    <t>300:58937</t>
  </si>
  <si>
    <t>204:699</t>
  </si>
  <si>
    <t>204:761</t>
  </si>
  <si>
    <t>204:1030</t>
  </si>
  <si>
    <t>300:58986</t>
  </si>
  <si>
    <t>300:58670</t>
  </si>
  <si>
    <t>204:1032</t>
  </si>
  <si>
    <t>204:1027</t>
  </si>
  <si>
    <t>Onboard in-route failure</t>
  </si>
  <si>
    <t>304-03</t>
  </si>
  <si>
    <t>104-03</t>
  </si>
  <si>
    <t>117-03</t>
  </si>
  <si>
    <t>902-03</t>
  </si>
  <si>
    <t>804-03</t>
  </si>
  <si>
    <t>124-03</t>
  </si>
  <si>
    <t>808-03</t>
  </si>
  <si>
    <t>126-03</t>
  </si>
  <si>
    <t>128-03</t>
  </si>
  <si>
    <t>130-03</t>
  </si>
  <si>
    <t>135-03</t>
  </si>
  <si>
    <t>139-03</t>
  </si>
  <si>
    <t>814-03</t>
  </si>
  <si>
    <t>146-03</t>
  </si>
  <si>
    <t>151-03</t>
  </si>
  <si>
    <t>50-03</t>
  </si>
  <si>
    <t>816-03</t>
  </si>
  <si>
    <t>52-03</t>
  </si>
  <si>
    <t>152-03</t>
  </si>
  <si>
    <t>158-03</t>
  </si>
  <si>
    <t>168-03</t>
  </si>
  <si>
    <t>170-03</t>
  </si>
  <si>
    <t>172-03</t>
  </si>
  <si>
    <t>174-03</t>
  </si>
  <si>
    <t>183-03</t>
  </si>
  <si>
    <t>EQUIPMENT RESTRICTION</t>
  </si>
  <si>
    <t>185-03</t>
  </si>
  <si>
    <t>193-03</t>
  </si>
  <si>
    <t>826-03</t>
  </si>
  <si>
    <t>192-03</t>
  </si>
  <si>
    <t>rtdc.l.rtdc.4012:itc</t>
  </si>
  <si>
    <t>828-03</t>
  </si>
  <si>
    <t>194-03</t>
  </si>
  <si>
    <t>56-03</t>
  </si>
  <si>
    <t>200-03</t>
  </si>
  <si>
    <t>211-03</t>
  </si>
  <si>
    <t>834-03</t>
  </si>
  <si>
    <t>71-03</t>
  </si>
  <si>
    <t>TEMPORARY SPEED RESTRICTION</t>
  </si>
  <si>
    <t>836-03</t>
  </si>
  <si>
    <t>rtdc.l.rtdc.4015:itc</t>
  </si>
  <si>
    <t>218-03</t>
  </si>
  <si>
    <t>840-03</t>
  </si>
  <si>
    <t>224-03</t>
  </si>
  <si>
    <t>228-03</t>
  </si>
  <si>
    <t>847-03</t>
  </si>
  <si>
    <t>908-03</t>
  </si>
  <si>
    <t>236-03</t>
  </si>
  <si>
    <t>rtdc.l.rtdc.4016:itc</t>
  </si>
  <si>
    <t>241-03</t>
  </si>
  <si>
    <t>302-03</t>
  </si>
  <si>
    <t>101-03</t>
  </si>
  <si>
    <t>103-03</t>
  </si>
  <si>
    <t>306-03</t>
  </si>
  <si>
    <t>102-03</t>
  </si>
  <si>
    <t>308-03</t>
  </si>
  <si>
    <t>ISHMAEL</t>
  </si>
  <si>
    <t>105-03</t>
  </si>
  <si>
    <t>107-03</t>
  </si>
  <si>
    <t>310-03</t>
  </si>
  <si>
    <t>NELSON</t>
  </si>
  <si>
    <t>109-03</t>
  </si>
  <si>
    <t>111-03</t>
  </si>
  <si>
    <t>106-03</t>
  </si>
  <si>
    <t>901-03</t>
  </si>
  <si>
    <t>113-03</t>
  </si>
  <si>
    <t>800-03</t>
  </si>
  <si>
    <t>108-03</t>
  </si>
  <si>
    <t>115-03</t>
  </si>
  <si>
    <t>801-03</t>
  </si>
  <si>
    <t>119-03</t>
  </si>
  <si>
    <t>112-03</t>
  </si>
  <si>
    <t>114-03</t>
  </si>
  <si>
    <t>121-03</t>
  </si>
  <si>
    <t>802-03</t>
  </si>
  <si>
    <t>803-03</t>
  </si>
  <si>
    <t>116-03</t>
  </si>
  <si>
    <t>123-03</t>
  </si>
  <si>
    <t>118-03</t>
  </si>
  <si>
    <t>120-03</t>
  </si>
  <si>
    <t>125-03</t>
  </si>
  <si>
    <t>805-03</t>
  </si>
  <si>
    <t>127-03</t>
  </si>
  <si>
    <t>122-03</t>
  </si>
  <si>
    <t>129-03</t>
  </si>
  <si>
    <t>806-03</t>
  </si>
  <si>
    <t>807-03</t>
  </si>
  <si>
    <t>131-03</t>
  </si>
  <si>
    <t>809-03</t>
  </si>
  <si>
    <t>133-03</t>
  </si>
  <si>
    <t>811-03</t>
  </si>
  <si>
    <t>810-03</t>
  </si>
  <si>
    <t>132-03</t>
  </si>
  <si>
    <t>137-03</t>
  </si>
  <si>
    <t>134-03</t>
  </si>
  <si>
    <t>903-03</t>
  </si>
  <si>
    <t>812-03</t>
  </si>
  <si>
    <t>141-03</t>
  </si>
  <si>
    <t>143-03</t>
  </si>
  <si>
    <t>136-03</t>
  </si>
  <si>
    <t>813-03</t>
  </si>
  <si>
    <t>138-03</t>
  </si>
  <si>
    <t>145-03</t>
  </si>
  <si>
    <t>140-03</t>
  </si>
  <si>
    <t>147-03</t>
  </si>
  <si>
    <t>142-03</t>
  </si>
  <si>
    <t>149-03</t>
  </si>
  <si>
    <t>144-03</t>
  </si>
  <si>
    <t>153-03</t>
  </si>
  <si>
    <t>MATTHEWS</t>
  </si>
  <si>
    <t>148-03</t>
  </si>
  <si>
    <t>815-03</t>
  </si>
  <si>
    <t>155-03</t>
  </si>
  <si>
    <t>150-03</t>
  </si>
  <si>
    <t>PUGH</t>
  </si>
  <si>
    <t>157-03</t>
  </si>
  <si>
    <t>159-03</t>
  </si>
  <si>
    <t>154-03</t>
  </si>
  <si>
    <t>161-03</t>
  </si>
  <si>
    <t>SHOOK</t>
  </si>
  <si>
    <t>53-03</t>
  </si>
  <si>
    <t>817-03</t>
  </si>
  <si>
    <t>156-03</t>
  </si>
  <si>
    <t>163-03</t>
  </si>
  <si>
    <t>818-03</t>
  </si>
  <si>
    <t>165-03</t>
  </si>
  <si>
    <t>160-03</t>
  </si>
  <si>
    <t>55-03</t>
  </si>
  <si>
    <t>167-03</t>
  </si>
  <si>
    <t>162-03</t>
  </si>
  <si>
    <t>819-03</t>
  </si>
  <si>
    <t>169-03</t>
  </si>
  <si>
    <t>164-03</t>
  </si>
  <si>
    <t>166-03</t>
  </si>
  <si>
    <t>171-03</t>
  </si>
  <si>
    <t>173-03</t>
  </si>
  <si>
    <t>820-03</t>
  </si>
  <si>
    <t>175-03</t>
  </si>
  <si>
    <t>177-03</t>
  </si>
  <si>
    <t>821-03</t>
  </si>
  <si>
    <t>179-03</t>
  </si>
  <si>
    <t>822-03</t>
  </si>
  <si>
    <t>181-03</t>
  </si>
  <si>
    <t>176-03</t>
  </si>
  <si>
    <t>178-03</t>
  </si>
  <si>
    <t>823-03</t>
  </si>
  <si>
    <t>180-03</t>
  </si>
  <si>
    <t>187-03</t>
  </si>
  <si>
    <t>182-03</t>
  </si>
  <si>
    <t>189-03</t>
  </si>
  <si>
    <t>824-03</t>
  </si>
  <si>
    <t>184-03</t>
  </si>
  <si>
    <t>191-03</t>
  </si>
  <si>
    <t>186-03</t>
  </si>
  <si>
    <t>188-03</t>
  </si>
  <si>
    <t>825-03</t>
  </si>
  <si>
    <t>904-03</t>
  </si>
  <si>
    <t>195-03</t>
  </si>
  <si>
    <t>190-03</t>
  </si>
  <si>
    <t>197-03</t>
  </si>
  <si>
    <t>827-03</t>
  </si>
  <si>
    <t>199-03</t>
  </si>
  <si>
    <t>201-03</t>
  </si>
  <si>
    <t>196-03</t>
  </si>
  <si>
    <t>829-03</t>
  </si>
  <si>
    <t>203-03</t>
  </si>
  <si>
    <t>198-03</t>
  </si>
  <si>
    <t>830-03</t>
  </si>
  <si>
    <t>205-03</t>
  </si>
  <si>
    <t>831-03</t>
  </si>
  <si>
    <t>207-03</t>
  </si>
  <si>
    <t>202-03</t>
  </si>
  <si>
    <t>832-03</t>
  </si>
  <si>
    <t>209-03</t>
  </si>
  <si>
    <t>833-03</t>
  </si>
  <si>
    <t>204-03</t>
  </si>
  <si>
    <t>835-03</t>
  </si>
  <si>
    <t>206-03</t>
  </si>
  <si>
    <t>208-03</t>
  </si>
  <si>
    <t>213-03</t>
  </si>
  <si>
    <t>58-03</t>
  </si>
  <si>
    <t>216-03</t>
  </si>
  <si>
    <t>215-03</t>
  </si>
  <si>
    <t>60-03</t>
  </si>
  <si>
    <t>BERLING</t>
  </si>
  <si>
    <t>210-03</t>
  </si>
  <si>
    <t>217-03</t>
  </si>
  <si>
    <t>57-03</t>
  </si>
  <si>
    <t>837-03</t>
  </si>
  <si>
    <t>212-03</t>
  </si>
  <si>
    <t>219-03</t>
  </si>
  <si>
    <t>214-03</t>
  </si>
  <si>
    <t>303-03</t>
  </si>
  <si>
    <t>838-03</t>
  </si>
  <si>
    <t>839-03</t>
  </si>
  <si>
    <t>221-03</t>
  </si>
  <si>
    <t>906-03</t>
  </si>
  <si>
    <t>220-03</t>
  </si>
  <si>
    <t>305-03</t>
  </si>
  <si>
    <t>841-03</t>
  </si>
  <si>
    <t>223-03</t>
  </si>
  <si>
    <t>307-03</t>
  </si>
  <si>
    <t>222-03</t>
  </si>
  <si>
    <t>225-03</t>
  </si>
  <si>
    <t>227-03</t>
  </si>
  <si>
    <t>843-03</t>
  </si>
  <si>
    <t>842-03</t>
  </si>
  <si>
    <t>229-03</t>
  </si>
  <si>
    <t>226-03</t>
  </si>
  <si>
    <t>845-03</t>
  </si>
  <si>
    <t>231-03</t>
  </si>
  <si>
    <t>844-03</t>
  </si>
  <si>
    <t>230-03</t>
  </si>
  <si>
    <t>63-03</t>
  </si>
  <si>
    <t>PINCURA</t>
  </si>
  <si>
    <t>233-03</t>
  </si>
  <si>
    <t>232-03</t>
  </si>
  <si>
    <t>235-03</t>
  </si>
  <si>
    <t>237-03</t>
  </si>
  <si>
    <t>234-03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</si>
  <si>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</si>
  <si>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</si>
  <si>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</si>
  <si>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</si>
  <si>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</si>
  <si>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</si>
  <si>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</si>
  <si>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</si>
  <si>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</si>
  <si>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</si>
  <si>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204:744</t>
  </si>
  <si>
    <t>204:232673</t>
  </si>
  <si>
    <t>204:232681</t>
  </si>
  <si>
    <t>204:726</t>
  </si>
  <si>
    <t>204:233314</t>
  </si>
  <si>
    <t>204:232662</t>
  </si>
  <si>
    <t>204:232965</t>
  </si>
  <si>
    <t>204:160</t>
  </si>
  <si>
    <t>204:746</t>
  </si>
  <si>
    <t>204:150</t>
  </si>
  <si>
    <t>204:766</t>
  </si>
  <si>
    <t>204:233240</t>
  </si>
  <si>
    <t>204:232932</t>
  </si>
  <si>
    <t>204:27046</t>
  </si>
  <si>
    <t>204:805</t>
  </si>
  <si>
    <t>204:233311</t>
  </si>
  <si>
    <t>204:232992</t>
  </si>
  <si>
    <t>204:189</t>
  </si>
  <si>
    <t>204:232967</t>
  </si>
  <si>
    <t>204:233304</t>
  </si>
  <si>
    <t>204:233282</t>
  </si>
  <si>
    <t>204:233319</t>
  </si>
  <si>
    <t>204:233268</t>
  </si>
  <si>
    <t>204:233281</t>
  </si>
  <si>
    <t>204:232964</t>
  </si>
  <si>
    <t>204:497</t>
  </si>
  <si>
    <t>204:233284</t>
  </si>
  <si>
    <t>204:233286</t>
  </si>
  <si>
    <t>204:233124</t>
  </si>
  <si>
    <t>204:139</t>
  </si>
  <si>
    <t>204:233247</t>
  </si>
  <si>
    <t>204:233347</t>
  </si>
  <si>
    <t>204:233055</t>
  </si>
  <si>
    <t>204:486</t>
  </si>
  <si>
    <t>204:233337</t>
  </si>
  <si>
    <t>204:233028</t>
  </si>
  <si>
    <t>204:81</t>
  </si>
  <si>
    <t>204:198</t>
  </si>
  <si>
    <t>204:233283</t>
  </si>
  <si>
    <t>204:233414</t>
  </si>
  <si>
    <t>204:233044</t>
  </si>
  <si>
    <t>204:233015</t>
  </si>
  <si>
    <t>204:398</t>
  </si>
  <si>
    <t>204:233344</t>
  </si>
  <si>
    <t>204:233057</t>
  </si>
  <si>
    <t>204:118</t>
  </si>
  <si>
    <t>204:548</t>
  </si>
  <si>
    <t>204:129</t>
  </si>
  <si>
    <t>204:233011</t>
  </si>
  <si>
    <t>204:233320</t>
  </si>
  <si>
    <t>204:233400</t>
  </si>
  <si>
    <t>204:233051</t>
  </si>
  <si>
    <t>204:233318</t>
  </si>
  <si>
    <t>204:233003</t>
  </si>
  <si>
    <t>204:98</t>
  </si>
  <si>
    <t>204:435</t>
  </si>
  <si>
    <t>204:437</t>
  </si>
  <si>
    <t>204:233270</t>
  </si>
  <si>
    <t>204:232957</t>
  </si>
  <si>
    <t>204:233030</t>
  </si>
  <si>
    <t>204:233008</t>
  </si>
  <si>
    <t>204:416</t>
  </si>
  <si>
    <t>204:233307</t>
  </si>
  <si>
    <t>204:233010</t>
  </si>
  <si>
    <t>204:232959</t>
  </si>
  <si>
    <t>204:427</t>
  </si>
  <si>
    <t>204:233274</t>
  </si>
  <si>
    <t>204:232960</t>
  </si>
  <si>
    <t>204:123</t>
  </si>
  <si>
    <t>204:233325</t>
  </si>
  <si>
    <t>300:23175</t>
  </si>
  <si>
    <t>300:23297</t>
  </si>
  <si>
    <t>300:23131</t>
  </si>
  <si>
    <t>300:23312</t>
  </si>
  <si>
    <t>300:23310</t>
  </si>
  <si>
    <t>300:21812</t>
  </si>
  <si>
    <t>300:23442</t>
  </si>
  <si>
    <t>300:22850</t>
  </si>
  <si>
    <t>300:23271</t>
  </si>
  <si>
    <t>204:97</t>
  </si>
  <si>
    <t>300:21930</t>
  </si>
  <si>
    <t>204:893</t>
  </si>
  <si>
    <t>204:421</t>
  </si>
  <si>
    <t>204:1557</t>
  </si>
  <si>
    <t>204:1209</t>
  </si>
  <si>
    <t>300:24212</t>
  </si>
  <si>
    <t>300:23582</t>
  </si>
  <si>
    <t>204:184</t>
  </si>
  <si>
    <t>204:1144</t>
  </si>
  <si>
    <t>300:23314</t>
  </si>
  <si>
    <t>300:23308</t>
  </si>
  <si>
    <t>300:58592</t>
  </si>
  <si>
    <t>204:747</t>
  </si>
  <si>
    <t>300:58617</t>
  </si>
  <si>
    <t>204:1034</t>
  </si>
  <si>
    <t>300:59001</t>
  </si>
  <si>
    <t>300:57345</t>
  </si>
  <si>
    <t>204:748</t>
  </si>
  <si>
    <t>300:58619</t>
  </si>
  <si>
    <t>204:713</t>
  </si>
  <si>
    <t>300:58683</t>
  </si>
  <si>
    <t>300:26133</t>
  </si>
  <si>
    <t>300:58935</t>
  </si>
  <si>
    <t>204:140</t>
  </si>
  <si>
    <t>300:57339</t>
  </si>
  <si>
    <t>204:979</t>
  </si>
  <si>
    <t>204:794</t>
  </si>
  <si>
    <t>204:1077</t>
  </si>
  <si>
    <t>300:58939</t>
  </si>
  <si>
    <t>300:58621</t>
  </si>
  <si>
    <t>204:661</t>
  </si>
  <si>
    <t>204:950</t>
  </si>
  <si>
    <t>204:664</t>
  </si>
  <si>
    <t>204:953</t>
  </si>
  <si>
    <t>300:58668</t>
  </si>
  <si>
    <t>204:708</t>
  </si>
  <si>
    <t>204:750</t>
  </si>
  <si>
    <t>300:58941</t>
  </si>
  <si>
    <t>204:727</t>
  </si>
  <si>
    <t>300:58929</t>
  </si>
  <si>
    <t>204:927</t>
  </si>
  <si>
    <t>300:58946</t>
  </si>
  <si>
    <t>300:58624</t>
  </si>
  <si>
    <t>204:712</t>
  </si>
  <si>
    <t>204:1046</t>
  </si>
  <si>
    <t>300:58920</t>
  </si>
  <si>
    <t>204:741</t>
  </si>
  <si>
    <t>204:995</t>
  </si>
  <si>
    <t>204:719</t>
  </si>
  <si>
    <t>204:1048</t>
  </si>
  <si>
    <t>204:1006</t>
  </si>
  <si>
    <t>204:1039</t>
  </si>
  <si>
    <t>204:1055</t>
  </si>
  <si>
    <t>300:58623</t>
  </si>
  <si>
    <t>204:657</t>
  </si>
  <si>
    <t>204:943</t>
  </si>
  <si>
    <t>300:58916</t>
  </si>
  <si>
    <t>300:30116</t>
  </si>
  <si>
    <t>300:58909</t>
  </si>
  <si>
    <t>300:22180</t>
  </si>
  <si>
    <t>204:450</t>
  </si>
  <si>
    <t>300:24237</t>
  </si>
  <si>
    <t>300:23476</t>
  </si>
  <si>
    <t>204:649</t>
  </si>
  <si>
    <t>300:28784</t>
  </si>
  <si>
    <t>300:58602</t>
  </si>
  <si>
    <t>300:21524</t>
  </si>
  <si>
    <t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t>
  </si>
  <si>
    <t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t>
  </si>
  <si>
    <t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t>
  </si>
  <si>
    <t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t>
  </si>
  <si>
    <t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t>
  </si>
  <si>
    <t>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 &amp; 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</t>
  </si>
  <si>
    <t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t>
  </si>
  <si>
    <t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t>
  </si>
  <si>
    <t>Multiple CPU faults at 2016-11-03 06:33:18 local time</t>
  </si>
  <si>
    <t>Seems like NW0333, NW0264, and W56th Wi-MAX had interruptions in messaging activity in the 07:42 timeframe. Network issues maybe?</t>
  </si>
  <si>
    <t>Primary slice change at 08:44:10, prevented map selection</t>
  </si>
  <si>
    <t>110-03</t>
  </si>
  <si>
    <t>Did not init</t>
  </si>
  <si>
    <t>NW0333RH switch failure</t>
  </si>
  <si>
    <t>61st 2N STOP, cleared afterward</t>
  </si>
  <si>
    <t>Early arrival</t>
  </si>
  <si>
    <t>DUS 28S STOP, cleared afterward</t>
  </si>
  <si>
    <t>Early arrival - 41st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</si>
</sst>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3"/>
  <sheetViews>
    <sheetView tabSelected="1" zoomScaleNormal="100" workbookViewId="0">
      <selection activeCell="V21" sqref="V2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42677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COUNTIFS($N$13:$N$9396,"&gt;0",$AG$13:$AG$9396,I1)</f>
        <v>142</v>
      </c>
      <c r="K5" s="44"/>
      <c r="L5" s="44"/>
      <c r="M5" s="45">
        <f>AVERAGEIFS($N$13:$N$9396,$AG$13:$AG$9396,I1)</f>
        <v>37.236502347259886</v>
      </c>
      <c r="N5" s="43">
        <f t="array" ref="N5">MIN(IF($AG$13:$AG$9396=I1,IF(ISNUMBER($N$13:$N$9396),IF($N$13:$N$9396&gt;0,$N$13:$N$9396))))</f>
        <v>34.099999997997656</v>
      </c>
      <c r="O5" s="3">
        <f t="array" ref="O5">MAX(IF($AG$13:$AG$9396=I1,IF(ISNUMBER($N$13:$N$9396),IF($N$13:$N$9396&gt;0,$N$13:$N$9396))))</f>
        <v>43.099999995902181</v>
      </c>
      <c r="P5" s="2"/>
      <c r="R5" s="80" t="s">
        <v>17</v>
      </c>
      <c r="S5" s="55">
        <f>COUNTIFS($N$13:$N$9396,"&gt;0",$AG$13:$AG$9396,R1)</f>
        <v>45</v>
      </c>
      <c r="T5" s="44"/>
      <c r="U5" s="168"/>
      <c r="V5" s="45">
        <f>AVERAGEIFS($N$13:$N$9396,$AG$13:$AG$9396,R1)</f>
        <v>14.898148147389293</v>
      </c>
      <c r="W5" s="43">
        <f t="array" ref="W5">MIN(IF($AG$13:$AG$9396=R1,IF(ISNUMBER($N$13:$N$9396),IF($N$13:$N$9396&gt;0,$N$13:$N$9396))))</f>
        <v>12.433333337539807</v>
      </c>
      <c r="X5" s="173">
        <f t="array" ref="X5">MAX(IF($AG$13:$AG$9396=R1,IF(ISNUMBER($N$13:$N$9396),IF($N$13:$N$9396&gt;0,$N$13:$N$9396))))</f>
        <v>20.883333332603797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COUNT($O$13:$O$168)</f>
        <v>0</v>
      </c>
      <c r="K6" s="44"/>
      <c r="L6" s="44"/>
      <c r="M6" s="45">
        <f>IFERROR(AVERAGE($O$13:$O$168),0)</f>
        <v>0</v>
      </c>
      <c r="N6" s="43">
        <f>MIN($O$13:$O$168)</f>
        <v>0</v>
      </c>
      <c r="O6" s="3">
        <f>MAX($O$13:$O$168)</f>
        <v>0</v>
      </c>
      <c r="P6" s="2"/>
      <c r="R6" s="81" t="s">
        <v>43</v>
      </c>
      <c r="S6" s="55">
        <f>COUNT($O$13:$O$168)</f>
        <v>0</v>
      </c>
      <c r="T6" s="44"/>
      <c r="U6" s="168"/>
      <c r="V6" s="45">
        <f>IFERROR(AVERAGE($O$13:$O$168),0)</f>
        <v>0</v>
      </c>
      <c r="W6" s="43">
        <f>MIN($O$13:$O$168)</f>
        <v>0</v>
      </c>
      <c r="X6" s="173">
        <f>MAX($O$13:$O$168)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COUNTIFS($P$13:$P$9396,"&gt;0",$AG$13:$AG$9396,I1)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COUNTIFS($P$13:$P$9396,"&gt;0",$AG$13:$AG$9396,R1)</f>
        <v>2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37.236502347259886</v>
      </c>
      <c r="N8" s="43">
        <f>N5</f>
        <v>34.099999997997656</v>
      </c>
      <c r="O8" s="3">
        <f>O5</f>
        <v>43.099999995902181</v>
      </c>
      <c r="P8" s="2"/>
      <c r="R8" s="80" t="s">
        <v>16</v>
      </c>
      <c r="S8" s="55">
        <f>S5</f>
        <v>45</v>
      </c>
      <c r="T8" s="44"/>
      <c r="U8" s="168"/>
      <c r="V8" s="45">
        <f>V5</f>
        <v>14.898148147389293</v>
      </c>
      <c r="W8" s="43">
        <f>W5</f>
        <v>12.433333337539807</v>
      </c>
      <c r="X8" s="173">
        <f>X5</f>
        <v>20.883333332603797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AVERAGE(S13:S110)</f>
        <v>0.98979591836734693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452</v>
      </c>
      <c r="B13" s="7">
        <v>4031</v>
      </c>
      <c r="C13" s="22" t="s">
        <v>245</v>
      </c>
      <c r="D13" s="22" t="s">
        <v>631</v>
      </c>
      <c r="E13" s="13">
        <v>42677.133113425924</v>
      </c>
      <c r="F13" s="13">
        <v>42677.136064814818</v>
      </c>
      <c r="G13" s="7">
        <v>1</v>
      </c>
      <c r="H13" s="22" t="s">
        <v>294</v>
      </c>
      <c r="I13" s="13">
        <v>42677.160601851851</v>
      </c>
      <c r="J13" s="7">
        <v>0</v>
      </c>
      <c r="K13" s="112" t="str">
        <f t="shared" ref="K13:K76" si="0">IF(ISEVEN(B13),(B13-1)&amp;"/"&amp;B13,B13&amp;"/"&amp;(B13+1))</f>
        <v>4031/4032</v>
      </c>
      <c r="L13" s="22" t="str">
        <f>VLOOKUP(A13,'Trips&amp;Operators'!$C$1:$E$10000,3,FALSE)</f>
        <v>MAELZER</v>
      </c>
      <c r="M13" s="6">
        <f t="shared" ref="M13:M76" si="1">I13-F13</f>
        <v>2.4537037032132503E-2</v>
      </c>
      <c r="N13" s="7">
        <f t="shared" ref="N13:N21" si="2">24*60*SUM($M13:$M13)</f>
        <v>35.333333326270804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https://search-rtdc-monitor-bjffxe2xuh6vdkpspy63sjmuny.us-east-1.es.amazonaws.com/_plugin/kibana/#/discover/Steve-Slow-Train-Analysis-(2080s-and-2083s)?_g=(refreshInterval:(display:Off,section:0,value:0),time:(from:'2016-11-03 02:11:41-0600',mode:absolute,to:'2016-11-03 04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" s="52" t="str">
        <f t="shared" ref="W13:W76" si="6">IF(AA13&lt;IF(AG13="EC",23,5.65),"Y","N")</f>
        <v>N</v>
      </c>
      <c r="X13" s="177" t="e">
        <f t="shared" ref="X13:X21" si="7">VALUE(LEFT(AD13,4))-VALUE(LEFT(AD12,4))</f>
        <v>#VALUE!</v>
      </c>
      <c r="Y13" s="67">
        <f t="shared" ref="Y13:Y76" si="8">RIGHT(D13,LEN(D13)-4)/10000</f>
        <v>7.4399999999999994E-2</v>
      </c>
      <c r="Z13" s="67">
        <f t="shared" ref="Z13:Z76" si="9">RIGHT(H13,LEN(H13)-4)/10000</f>
        <v>23.331</v>
      </c>
      <c r="AA13" s="67">
        <f t="shared" ref="AA13:AA76" si="10">ABS(Z13-Y13)</f>
        <v>23.256599999999999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0101-03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/stypes="app*4031*20161103*"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4031 --swversion DE.1.0.8.0 --startMP 204:744 --initTime 2016-11-03T03:11:41 --startdatetime 2016-11-03T03:15:56 --delay 1 --endMP 204:233310 --enddatetime 2016-11-03T03:51:16 --enforcementcount 0 &gt;&gt;C:\Users\stu\Documents\GitHub\eaglep3-reporting\EC\2016-11-03-refined-times.txt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{"issue":{"subject":"","project_id":79,"tracker_id":40,"status_id":1,"priority_id":2,"assigned_to_id":23,"start_date":"2016-11-03","description":"","custom_fields":[{"id":1,"name":"Subdivision","value":"EC"},{"id":4,"name":"Milepost","value":"23.331"},{"id":17,"name":"Train ID","value":"101-03"},{"id":16,"name":"Locomotive ID","value":"4031"},{"id":130,"name":"Impact","value":""},{"id":150,"name":"Time of Event (Mountain Time)","value":"03:51:16"},{"id":151,"name":"Denver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455</v>
      </c>
      <c r="B14" s="7">
        <v>4039</v>
      </c>
      <c r="C14" s="22" t="s">
        <v>245</v>
      </c>
      <c r="D14" s="22" t="s">
        <v>632</v>
      </c>
      <c r="E14" s="13">
        <v>42677.166724537034</v>
      </c>
      <c r="F14" s="13">
        <v>42677.17465277778</v>
      </c>
      <c r="G14" s="7">
        <v>1</v>
      </c>
      <c r="H14" s="22" t="s">
        <v>207</v>
      </c>
      <c r="I14" s="13">
        <v>42677.200833333336</v>
      </c>
      <c r="J14" s="7">
        <v>0</v>
      </c>
      <c r="K14" s="112" t="str">
        <f t="shared" si="0"/>
        <v>4039/4040</v>
      </c>
      <c r="L14" s="22" t="str">
        <f>VLOOKUP(A14,'Trips&amp;Operators'!$C$1:$E$10000,3,FALSE)</f>
        <v>MAELZER</v>
      </c>
      <c r="M14" s="6">
        <f t="shared" si="1"/>
        <v>2.6180555556493346E-2</v>
      </c>
      <c r="N14" s="7">
        <f t="shared" si="2"/>
        <v>37.700000001350418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03:00:05-0600',mode:absolute,to:'2016-11-03 05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23.267299999999999</v>
      </c>
      <c r="Z14" s="67">
        <f t="shared" si="9"/>
        <v>1.43E-2</v>
      </c>
      <c r="AA14" s="67">
        <f t="shared" si="10"/>
        <v>23.253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0102-03</v>
      </c>
      <c r="AE14" s="91" t="str">
        <f t="shared" si="12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14" s="88" t="str">
        <f t="shared" si="13"/>
        <v>"C:\Program Files (x86)\AstroGrep\AstroGrep.exe" /spath="%USERPROFILE%\AppData\Local\Temp\OnboardLogs" /stypes="app*4039*20161103*"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4039 --swversion DE.1.0.8.0 --startMP 204:232673 --initTime 2016-11-03T04:00:05 --startdatetime 2016-11-03T04:11:30 --delay 1 --endMP 204:143 --enddatetime 2016-11-03T04:49:12 --enforcementcount 0 &gt;&gt;C:\Users\stu\Documents\GitHub\eaglep3-reporting\EC\2016-11-03-refined-times.txt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ID","value":"102-03"},{"id":16,"name":"Locomotive ID","value":"4039"},{"id":130,"name":"Impact","value":""},{"id":150,"name":"Time of Event (Mountain Time)","value":"04:49:12"},{"id":151,"name":"Denver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453</v>
      </c>
      <c r="B15" s="7">
        <v>4014</v>
      </c>
      <c r="C15" s="22" t="s">
        <v>245</v>
      </c>
      <c r="D15" s="22" t="s">
        <v>631</v>
      </c>
      <c r="E15" s="13">
        <v>42677.158819444441</v>
      </c>
      <c r="F15" s="13">
        <v>42677.160902777781</v>
      </c>
      <c r="G15" s="7">
        <v>2</v>
      </c>
      <c r="H15" s="22" t="s">
        <v>295</v>
      </c>
      <c r="I15" s="13">
        <v>42677.18787037037</v>
      </c>
      <c r="J15" s="7">
        <v>0</v>
      </c>
      <c r="K15" s="112" t="str">
        <f t="shared" si="0"/>
        <v>4013/4014</v>
      </c>
      <c r="L15" s="22" t="str">
        <f>VLOOKUP(A15,'Trips&amp;Operators'!$C$1:$E$10000,3,FALSE)</f>
        <v>RICHARDSON</v>
      </c>
      <c r="M15" s="6">
        <f t="shared" si="1"/>
        <v>2.696759258833481E-2</v>
      </c>
      <c r="N15" s="7">
        <f t="shared" si="2"/>
        <v>38.833333327202126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02:48:42-0600',mode:absolute,to:'2016-11-03 05:30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7.4399999999999994E-2</v>
      </c>
      <c r="Z15" s="67">
        <f t="shared" si="9"/>
        <v>23.331199999999999</v>
      </c>
      <c r="AA15" s="67">
        <f t="shared" si="10"/>
        <v>23.256799999999998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0103-03</v>
      </c>
      <c r="AE15" s="91" t="str">
        <f t="shared" si="12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5" s="88" t="str">
        <f t="shared" si="13"/>
        <v>"C:\Program Files (x86)\AstroGrep\AstroGrep.exe" /spath="%USERPROFILE%\AppData\Local\Temp\OnboardLogs" /stypes="app*4014*20161103*"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103-03 --locoid 4014 --swversion DE.1.0.8.0 --startMP 204:744 --initTime 2016-11-03T03:48:42 --startdatetime 2016-11-03T03:51:42 --delay 2 --endMP 204:233312 --enddatetime 2016-11-03T04:30:32 --enforcementcount 0 &gt;&gt;C:\Users\stu\Documents\GitHub\eaglep3-reporting\EC\2016-11-03-refined-times.txt</v>
      </c>
      <c r="AI1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{"issue":{"subject":"","project_id":79,"tracker_id":40,"status_id":1,"priority_id":2,"assigned_to_id":23,"start_date":"2016-11-03","description":"","custom_fields":[{"id":1,"name":"Subdivision","value":"EC"},{"id":4,"name":"Milepost","value":"23.3312"},{"id":17,"name":"Train ID","value":"103-03"},{"id":16,"name":"Locomotive ID","value":"4014"},{"id":130,"name":"Impact","value":""},{"id":150,"name":"Time of Event (Mountain Time)","value":"04:30:32"},{"id":151,"name":"Denver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402</v>
      </c>
      <c r="B16" s="7">
        <v>4004</v>
      </c>
      <c r="C16" s="22" t="s">
        <v>245</v>
      </c>
      <c r="D16" s="22" t="s">
        <v>633</v>
      </c>
      <c r="E16" s="13">
        <v>42677.190925925926</v>
      </c>
      <c r="F16" s="13">
        <v>42677.195370370369</v>
      </c>
      <c r="G16" s="7">
        <v>6</v>
      </c>
      <c r="H16" s="22" t="s">
        <v>205</v>
      </c>
      <c r="I16" s="13">
        <v>42677.222488425927</v>
      </c>
      <c r="J16" s="7">
        <v>0</v>
      </c>
      <c r="K16" s="112" t="str">
        <f t="shared" si="0"/>
        <v>4003/4004</v>
      </c>
      <c r="L16" s="22" t="str">
        <f>VLOOKUP(A16,'Trips&amp;Operators'!$C$1:$E$10000,3,FALSE)</f>
        <v>RICHARDSON</v>
      </c>
      <c r="M16" s="6">
        <f t="shared" si="1"/>
        <v>2.7118055557366461E-2</v>
      </c>
      <c r="N16" s="7">
        <f t="shared" si="2"/>
        <v>39.050000002607703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03:34:56-0600',mode:absolute,to:'2016-11-03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23.2681</v>
      </c>
      <c r="Z16" s="67">
        <f t="shared" si="9"/>
        <v>1.49E-2</v>
      </c>
      <c r="AA16" s="67">
        <f t="shared" si="10"/>
        <v>23.2532</v>
      </c>
      <c r="AB16" s="64" t="str">
        <f>VLOOKUP(A16,Enforcements!$C$7:$K$21,8,0)</f>
        <v>Speed (6)</v>
      </c>
      <c r="AC16" s="60" t="str">
        <f>VLOOKUP(A16,Enforcements!$C$7:$E$21,3,0)</f>
        <v>PERMANENT SPEED RESTRICTION</v>
      </c>
      <c r="AD16" s="61" t="str">
        <f t="shared" si="11"/>
        <v>0104-03</v>
      </c>
      <c r="AE16" s="91" t="str">
        <f t="shared" si="12"/>
        <v>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 &amp; 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</v>
      </c>
      <c r="AF16" s="88" t="str">
        <f t="shared" si="13"/>
        <v>"C:\Program Files (x86)\AstroGrep\AstroGrep.exe" /spath="%USERPROFILE%\AppData\Local\Temp\OnboardLogs" /stypes="app*4004*20161103*"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104-03 --locoid 4004 --swversion DE.1.0.8.0 --startMP 204:232681 --initTime 2016-11-03T04:34:56 --startdatetime 2016-11-03T04:41:20 --delay 6 --endMP 204:149 --enddatetime 2016-11-03T05:20:23 --enforcementcount 0 &gt;&gt;C:\Users\stu\Documents\GitHub\eaglep3-reporting\EC\2016-11-03-refined-times.txt</v>
      </c>
      <c r="AI1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{"issue":{"subject":"","project_id":79,"tracker_id":40,"status_id":1,"priority_id":2,"assigned_to_id":23,"start_date":"2016-11-03","description":"","custom_fields":[{"id":1,"name":"Subdivision","value":"EC"},{"id":4,"name":"Milepost","value":"0.0149"},{"id":17,"name":"Train ID","value":"104-03"},{"id":16,"name":"Locomotive ID","value":"4004"},{"id":130,"name":"Impact","value":""},{"id":150,"name":"Time of Event (Mountain Time)","value":"05:20:23"},{"id":151,"name":"Denver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458</v>
      </c>
      <c r="B17" s="7">
        <v>4016</v>
      </c>
      <c r="C17" s="22" t="s">
        <v>245</v>
      </c>
      <c r="D17" s="22" t="s">
        <v>634</v>
      </c>
      <c r="E17" s="13">
        <v>42677.173182870371</v>
      </c>
      <c r="F17" s="13">
        <v>42677.177314814813</v>
      </c>
      <c r="G17" s="7">
        <v>1</v>
      </c>
      <c r="H17" s="22" t="s">
        <v>635</v>
      </c>
      <c r="I17" s="13">
        <v>42677.20212962963</v>
      </c>
      <c r="J17" s="7">
        <v>0</v>
      </c>
      <c r="K17" s="112" t="str">
        <f t="shared" si="0"/>
        <v>4015/4016</v>
      </c>
      <c r="L17" s="22" t="str">
        <f>VLOOKUP(A17,'Trips&amp;Operators'!$C$1:$E$10000,3,FALSE)</f>
        <v>SANTIZO</v>
      </c>
      <c r="M17" s="6">
        <f t="shared" si="1"/>
        <v>2.4814814816636499E-2</v>
      </c>
      <c r="N17" s="7">
        <f t="shared" si="2"/>
        <v>35.733333335956559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03:09:23-0600',mode:absolute,to:'2016-11-03 05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7.2599999999999998E-2</v>
      </c>
      <c r="Z17" s="67">
        <f t="shared" si="9"/>
        <v>23.331399999999999</v>
      </c>
      <c r="AA17" s="67">
        <f t="shared" si="10"/>
        <v>23.258799999999997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0105-03</v>
      </c>
      <c r="AE17" s="91" t="str">
        <f t="shared" si="12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7" s="88" t="str">
        <f t="shared" si="13"/>
        <v>"C:\Program Files (x86)\AstroGrep\AstroGrep.exe" /spath="%USERPROFILE%\AppData\Local\Temp\OnboardLogs" /stypes="app*4016*20161103*"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105-03 --locoid 4016 --swversion DE.1.0.8.0 --startMP 204:726 --initTime 2016-11-03T04:09:23 --startdatetime 2016-11-03T04:15:20 --delay 1 --endMP 204:233314 --enddatetime 2016-11-03T04:51:04 --enforcementcount 0 &gt;&gt;C:\Users\stu\Documents\GitHub\eaglep3-reporting\EC\2016-11-03-refined-times.txt</v>
      </c>
      <c r="AI1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{"issue":{"subject":"","project_id":79,"tracker_id":40,"status_id":1,"priority_id":2,"assigned_to_id":23,"start_date":"2016-11-03","description":"","custom_fields":[{"id":1,"name":"Subdivision","value":"EC"},{"id":4,"name":"Milepost","value":"23.3314"},{"id":17,"name":"Train ID","value":"105-03"},{"id":16,"name":"Locomotive ID","value":"4016"},{"id":130,"name":"Impact","value":""},{"id":150,"name":"Time of Event (Mountain Time)","value":"04:51:04"},{"id":151,"name":"Denver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464</v>
      </c>
      <c r="B18" s="7">
        <v>4041</v>
      </c>
      <c r="C18" s="22" t="s">
        <v>245</v>
      </c>
      <c r="D18" s="22" t="s">
        <v>636</v>
      </c>
      <c r="E18" s="13">
        <v>42677.204201388886</v>
      </c>
      <c r="F18" s="13">
        <v>42677.216192129628</v>
      </c>
      <c r="G18" s="7">
        <v>1</v>
      </c>
      <c r="H18" s="22" t="s">
        <v>205</v>
      </c>
      <c r="I18" s="13">
        <v>42677.241898148146</v>
      </c>
      <c r="J18" s="7">
        <v>0</v>
      </c>
      <c r="K18" s="112" t="str">
        <f t="shared" si="0"/>
        <v>4041/4042</v>
      </c>
      <c r="L18" s="22" t="str">
        <f>VLOOKUP(A18,'Trips&amp;Operators'!$C$1:$E$10000,3,FALSE)</f>
        <v>SANTIZO</v>
      </c>
      <c r="M18" s="6">
        <f t="shared" si="1"/>
        <v>2.5706018517666962E-2</v>
      </c>
      <c r="N18" s="7">
        <f t="shared" si="2"/>
        <v>37.016666665440425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03:54:03-0600',mode:absolute,to:'2016-11-03 06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23.266200000000001</v>
      </c>
      <c r="Z18" s="67">
        <f t="shared" si="9"/>
        <v>1.49E-2</v>
      </c>
      <c r="AA18" s="67">
        <f t="shared" si="10"/>
        <v>23.251300000000001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0106-03</v>
      </c>
      <c r="AE18" s="91" t="str">
        <f t="shared" si="12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18" s="88" t="str">
        <f t="shared" si="13"/>
        <v>"C:\Program Files (x86)\AstroGrep\AstroGrep.exe" /spath="%USERPROFILE%\AppData\Local\Temp\OnboardLogs" /stypes="app*4041*20161103*"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106-03 --locoid 4041 --swversion DE.1.0.8.0 --startMP 204:232662 --initTime 2016-11-03T04:54:03 --startdatetime 2016-11-03T05:11:19 --delay 1 --endMP 204:149 --enddatetime 2016-11-03T05:48:20 --enforcementcount 0 &gt;&gt;C:\Users\stu\Documents\GitHub\eaglep3-reporting\EC\2016-11-03-refined-times.txt</v>
      </c>
      <c r="AI1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{"issue":{"subject":"","project_id":79,"tracker_id":40,"status_id":1,"priority_id":2,"assigned_to_id":23,"start_date":"2016-11-03","description":"","custom_fields":[{"id":1,"name":"Subdivision","value":"EC"},{"id":4,"name":"Milepost","value":"0.0149"},{"id":17,"name":"Train ID","value":"106-03"},{"id":16,"name":"Locomotive ID","value":"4041"},{"id":130,"name":"Impact","value":""},{"id":150,"name":"Time of Event (Mountain Time)","value":"05:48:20"},{"id":151,"name":"Denver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459</v>
      </c>
      <c r="B19" s="7">
        <v>4025</v>
      </c>
      <c r="C19" s="22" t="s">
        <v>245</v>
      </c>
      <c r="D19" s="22" t="s">
        <v>213</v>
      </c>
      <c r="E19" s="13">
        <v>42677.177476851852</v>
      </c>
      <c r="F19" s="13">
        <v>42677.187685185185</v>
      </c>
      <c r="G19" s="7">
        <v>1</v>
      </c>
      <c r="H19" s="22" t="s">
        <v>241</v>
      </c>
      <c r="I19" s="13">
        <v>42677.212893518517</v>
      </c>
      <c r="J19" s="7">
        <v>0</v>
      </c>
      <c r="K19" s="112" t="str">
        <f t="shared" si="0"/>
        <v>4025/4026</v>
      </c>
      <c r="L19" s="22" t="str">
        <f>VLOOKUP(A19,'Trips&amp;Operators'!$C$1:$E$10000,3,FALSE)</f>
        <v>ISHMAEL</v>
      </c>
      <c r="M19" s="6">
        <f t="shared" si="1"/>
        <v>2.5208333332557231E-2</v>
      </c>
      <c r="N19" s="7">
        <f t="shared" si="2"/>
        <v>36.299999998882413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03:15:34-0600',mode:absolute,to:'2016-11-03 06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4.5999999999999999E-2</v>
      </c>
      <c r="Z19" s="67">
        <f t="shared" si="9"/>
        <v>23.330100000000002</v>
      </c>
      <c r="AA19" s="67">
        <f t="shared" si="10"/>
        <v>23.284100000000002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0107-03</v>
      </c>
      <c r="AE19" s="91" t="str">
        <f t="shared" si="12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9" s="88" t="str">
        <f t="shared" si="13"/>
        <v>"C:\Program Files (x86)\AstroGrep\AstroGrep.exe" /spath="%USERPROFILE%\AppData\Local\Temp\OnboardLogs" /stypes="app*4025*20161103*"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107-03 --locoid 4025 --swversion DE.1.0.8.0 --startMP 204:460 --initTime 2016-11-03T04:15:34 --startdatetime 2016-11-03T04:30:16 --delay 1 --endMP 204:233301 --enddatetime 2016-11-03T05:06:34 --enforcementcount 0 &gt;&gt;C:\Users\stu\Documents\GitHub\eaglep3-reporting\EC\2016-11-03-refined-times.txt</v>
      </c>
      <c r="AI1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{"issue":{"subject":"","project_id":79,"tracker_id":40,"status_id":1,"priority_id":2,"assigned_to_id":23,"start_date":"2016-11-03","description":"","custom_fields":[{"id":1,"name":"Subdivision","value":"EC"},{"id":4,"name":"Milepost","value":"23.3301"},{"id":17,"name":"Train ID","value":"107-03"},{"id":16,"name":"Locomotive ID","value":"4025"},{"id":130,"name":"Impact","value":""},{"id":150,"name":"Time of Event (Mountain Time)","value":"05:06:34"},{"id":151,"name":"Denver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468</v>
      </c>
      <c r="B20" s="7">
        <v>4026</v>
      </c>
      <c r="C20" s="22" t="s">
        <v>245</v>
      </c>
      <c r="D20" s="22" t="s">
        <v>637</v>
      </c>
      <c r="E20" s="13">
        <v>42677.22042824074</v>
      </c>
      <c r="F20" s="13">
        <v>42677.2265625</v>
      </c>
      <c r="G20" s="7">
        <v>0</v>
      </c>
      <c r="H20" s="22" t="s">
        <v>638</v>
      </c>
      <c r="I20" s="13">
        <v>42677.252812500003</v>
      </c>
      <c r="J20" s="7">
        <v>0</v>
      </c>
      <c r="K20" s="112" t="str">
        <f t="shared" si="0"/>
        <v>4025/4026</v>
      </c>
      <c r="L20" s="22" t="str">
        <f>VLOOKUP(A20,'Trips&amp;Operators'!$C$1:$E$10000,3,FALSE)</f>
        <v>ISHMAEL</v>
      </c>
      <c r="M20" s="6">
        <f t="shared" si="1"/>
        <v>2.6250000002619345E-2</v>
      </c>
      <c r="N20" s="7">
        <f t="shared" si="2"/>
        <v>37.800000003771856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04:17:25-0600',mode:absolute,to:'2016-11-03 07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23.296500000000002</v>
      </c>
      <c r="Z20" s="67">
        <f t="shared" si="9"/>
        <v>1.6E-2</v>
      </c>
      <c r="AA20" s="67">
        <f t="shared" si="10"/>
        <v>23.280500000000004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0108-03</v>
      </c>
      <c r="AE20" s="91" t="str">
        <f t="shared" si="12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20" s="88" t="str">
        <f t="shared" si="13"/>
        <v>"C:\Program Files (x86)\AstroGrep\AstroGrep.exe" /spath="%USERPROFILE%\AppData\Local\Temp\OnboardLogs" /stypes="app*4026*20161103*"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108-03 --locoid 4026 --swversion DE.1.0.8.0 --startMP 204:232965 --initTime 2016-11-03T05:17:25 --startdatetime 2016-11-03T05:26:15 --delay 0 --endMP 204:160 --enddatetime 2016-11-03T06:04:03 --enforcementcount 0 &gt;&gt;C:\Users\stu\Documents\GitHub\eaglep3-reporting\EC\2016-11-03-refined-times.txt</v>
      </c>
      <c r="AI20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ID","value":"108-03"},{"id":16,"name":"Locomotive ID","value":"4026"},{"id":130,"name":"Impact","value":""},{"id":150,"name":"Time of Event (Mountain Time)","value":"06:04:03"},{"id":151,"name":"Denver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4029</v>
      </c>
      <c r="C21" s="22" t="s">
        <v>245</v>
      </c>
      <c r="D21" s="22" t="s">
        <v>375</v>
      </c>
      <c r="E21" s="13">
        <v>42677.196516203701</v>
      </c>
      <c r="F21" s="13">
        <v>42677.198275462964</v>
      </c>
      <c r="G21" s="7">
        <v>1</v>
      </c>
      <c r="H21" s="22" t="s">
        <v>191</v>
      </c>
      <c r="I21" s="13">
        <v>42677.22246527778</v>
      </c>
      <c r="J21" s="7">
        <v>0</v>
      </c>
      <c r="K21" s="112" t="str">
        <f t="shared" si="0"/>
        <v>4029/4030</v>
      </c>
      <c r="L21" s="22" t="str">
        <f>VLOOKUP(A21,'Trips&amp;Operators'!$C$1:$E$10000,3,FALSE)</f>
        <v>NELSON</v>
      </c>
      <c r="M21" s="6">
        <f t="shared" si="1"/>
        <v>2.4189814816054422E-2</v>
      </c>
      <c r="N21" s="7">
        <f t="shared" si="2"/>
        <v>34.833333335118368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03:42:59-0600',mode:absolute,to:'2016-11-03 06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4.7100000000000003E-2</v>
      </c>
      <c r="Z21" s="67">
        <f t="shared" si="9"/>
        <v>23.329699999999999</v>
      </c>
      <c r="AA21" s="67">
        <f t="shared" si="10"/>
        <v>23.282599999999999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0109-03</v>
      </c>
      <c r="AE21" s="91" t="str">
        <f t="shared" si="12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21" s="88" t="str">
        <f t="shared" si="13"/>
        <v>"C:\Program Files (x86)\AstroGrep\AstroGrep.exe" /spath="%USERPROFILE%\AppData\Local\Temp\OnboardLogs" /stypes="app*4029*20161103*"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109-03 --locoid 4029 --swversion DE.1.0.8.0 --startMP 204:471 --initTime 2016-11-03T04:42:59 --startdatetime 2016-11-03T04:45:31 --delay 1 --endMP 204:233297 --enddatetime 2016-11-03T05:20:21 --enforcementcount 0 &gt;&gt;C:\Users\stu\Documents\GitHub\eaglep3-reporting\EC\2016-11-03-refined-times.txt</v>
      </c>
      <c r="AI2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{"issue":{"subject":"","project_id":79,"tracker_id":40,"status_id":1,"priority_id":2,"assigned_to_id":23,"start_date":"2016-11-03","description":"","custom_fields":[{"id":1,"name":"Subdivision","value":"EC"},{"id":4,"name":"Milepost","value":"23.3297"},{"id":17,"name":"Train ID","value":"109-03"},{"id":16,"name":"Locomotive ID","value":"4029"},{"id":130,"name":"Impact","value":""},{"id":150,"name":"Time of Event (Mountain Time)","value":"05:20:21"},{"id":151,"name":"Denver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789</v>
      </c>
      <c r="B22" s="7"/>
      <c r="C22" s="22" t="s">
        <v>245</v>
      </c>
      <c r="D22" s="22" t="s">
        <v>375</v>
      </c>
      <c r="E22" s="13">
        <v>42677.196516203701</v>
      </c>
      <c r="F22" s="13"/>
      <c r="G22" s="7">
        <v>1</v>
      </c>
      <c r="H22" s="22" t="s">
        <v>191</v>
      </c>
      <c r="I22" s="13"/>
      <c r="J22" s="7">
        <v>0</v>
      </c>
      <c r="K22" s="112" t="str">
        <f t="shared" si="0"/>
        <v>-1/</v>
      </c>
      <c r="L22" s="22" t="e">
        <f>VLOOKUP(A22,'Trips&amp;Operators'!$C$1:$E$10000,3,FALSE)</f>
        <v>#N/A</v>
      </c>
      <c r="M22" s="6">
        <f t="shared" si="1"/>
        <v>0</v>
      </c>
      <c r="N22" s="7"/>
      <c r="O22" s="7"/>
      <c r="P22" s="7">
        <v>1</v>
      </c>
      <c r="Q22" s="23"/>
      <c r="R22" s="23" t="s">
        <v>790</v>
      </c>
      <c r="S22" s="35">
        <f t="shared" si="3"/>
        <v>0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03:42:59-0600',mode:absolute,to:'1900-01-00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2" s="52" t="str">
        <f t="shared" si="6"/>
        <v>N</v>
      </c>
      <c r="X22" s="177">
        <f t="shared" ref="X22:X25" si="19">VALUE(LEFT(AD22,4))-VALUE(LEFT(AD21,4))</f>
        <v>1</v>
      </c>
      <c r="Y22" s="67">
        <f t="shared" si="8"/>
        <v>4.7100000000000003E-2</v>
      </c>
      <c r="Z22" s="67">
        <f t="shared" si="9"/>
        <v>23.329699999999999</v>
      </c>
      <c r="AA22" s="67">
        <f t="shared" si="10"/>
        <v>23.282599999999999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0110-03</v>
      </c>
      <c r="AE22" s="91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2" s="88" t="str">
        <f t="shared" si="1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ref="AH22" si="20"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110-03 --locoid  --swversion DE.1.0.8.0 --startMP 204:471 --initTime 2016-11-03T04:42:59 --startdatetime 1900-01-00T00:00:00 --delay 1 --endMP 204:233297 --enddatetime 1900-01-00T00:00:00 --enforcementcount 0 &gt;&gt;C:\Users\stu\Documents\GitHub\eaglep3-reporting\EC\2016-11-03-refined-times.txt</v>
      </c>
      <c r="AI22" s="122" t="str">
        <f t="shared" ref="AI22" si="21"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init","project_id":79,"tracker_id":40,"status_id":1,"priority_id":2,"assigned_to_id":23,"start_date":"1900-01-00","description":"","custom_fields":[{"id":1,"name":"Subdivision","value":"EC"},{"id":4,"name":"Milepost","value":"23.3297"},{"id":17,"name":"Train ID","value":"110-03"},{"id":16,"name":"Locomotive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</row>
    <row r="23" spans="1:91" s="1" customFormat="1" x14ac:dyDescent="0.25">
      <c r="A23" s="37" t="s">
        <v>463</v>
      </c>
      <c r="B23" s="7">
        <v>4031</v>
      </c>
      <c r="C23" s="22" t="s">
        <v>245</v>
      </c>
      <c r="D23" s="22" t="s">
        <v>639</v>
      </c>
      <c r="E23" s="13">
        <v>42677.203333333331</v>
      </c>
      <c r="F23" s="13">
        <v>42677.208564814813</v>
      </c>
      <c r="G23" s="7">
        <v>2</v>
      </c>
      <c r="H23" s="22" t="s">
        <v>267</v>
      </c>
      <c r="I23" s="13">
        <v>42677.233958333331</v>
      </c>
      <c r="J23" s="7">
        <v>0</v>
      </c>
      <c r="K23" s="112" t="str">
        <f t="shared" si="0"/>
        <v>4031/4032</v>
      </c>
      <c r="L23" s="22" t="str">
        <f>VLOOKUP(A23,'Trips&amp;Operators'!$C$1:$E$10000,3,FALSE)</f>
        <v>STARKS</v>
      </c>
      <c r="M23" s="6">
        <f t="shared" si="1"/>
        <v>2.5393518517375924E-2</v>
      </c>
      <c r="N23" s="7">
        <f t="shared" ref="N23:N29" si="22">24*60*SUM($M23:$M23)</f>
        <v>36.56666666502133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03:52:48-0600',mode:absolute,to:'2016-11-03 06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" s="52" t="str">
        <f t="shared" si="6"/>
        <v>N</v>
      </c>
      <c r="X23" s="177">
        <f t="shared" si="19"/>
        <v>1</v>
      </c>
      <c r="Y23" s="67">
        <f t="shared" si="8"/>
        <v>7.46E-2</v>
      </c>
      <c r="Z23" s="67">
        <f t="shared" si="9"/>
        <v>23.330300000000001</v>
      </c>
      <c r="AA23" s="67">
        <f t="shared" si="10"/>
        <v>23.255700000000001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0111-03</v>
      </c>
      <c r="AE23" s="91" t="str">
        <f t="shared" si="12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23" s="88" t="str">
        <f t="shared" si="13"/>
        <v>"C:\Program Files (x86)\AstroGrep\AstroGrep.exe" /spath="%USERPROFILE%\AppData\Local\Temp\OnboardLogs" /stypes="app*4031*20161103*"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111-03 --locoid 4031 --swversion DE.1.0.8.0 --startMP 204:746 --initTime 2016-11-03T04:52:48 --startdatetime 2016-11-03T05:00:20 --delay 2 --endMP 204:233303 --enddatetime 2016-11-03T05:36:54 --enforcementcount 0 &gt;&gt;C:\Users\stu\Documents\GitHub\eaglep3-reporting\EC\2016-11-03-refined-times.txt</v>
      </c>
      <c r="AI2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{"issue":{"subject":"","project_id":79,"tracker_id":40,"status_id":1,"priority_id":2,"assigned_to_id":23,"start_date":"2016-11-03","description":"","custom_fields":[{"id":1,"name":"Subdivision","value":"EC"},{"id":4,"name":"Milepost","value":"23.3303"},{"id":17,"name":"Train ID","value":"111-03"},{"id":16,"name":"Locomotive ID","value":"4031"},{"id":130,"name":"Impact","value":""},{"id":150,"name":"Time of Event (Mountain Time)","value":"05:36:54"},{"id":151,"name":"Denver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472</v>
      </c>
      <c r="B24" s="7">
        <v>4032</v>
      </c>
      <c r="C24" s="22" t="s">
        <v>245</v>
      </c>
      <c r="D24" s="22" t="s">
        <v>261</v>
      </c>
      <c r="E24" s="13">
        <v>42677.245578703703</v>
      </c>
      <c r="F24" s="13">
        <v>42677.247395833336</v>
      </c>
      <c r="G24" s="7">
        <v>1</v>
      </c>
      <c r="H24" s="22" t="s">
        <v>205</v>
      </c>
      <c r="I24" s="13">
        <v>42677.273796296293</v>
      </c>
      <c r="J24" s="7">
        <v>0</v>
      </c>
      <c r="K24" s="112" t="str">
        <f t="shared" si="0"/>
        <v>4031/4032</v>
      </c>
      <c r="L24" s="22" t="str">
        <f>VLOOKUP(A24,'Trips&amp;Operators'!$C$1:$E$10000,3,FALSE)</f>
        <v>STARKS</v>
      </c>
      <c r="M24" s="6">
        <f t="shared" si="1"/>
        <v>2.640046295709908E-2</v>
      </c>
      <c r="N24" s="7">
        <f t="shared" si="22"/>
        <v>38.016666658222675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04:53:38-0600',mode:absolute,to:'2016-11-03 07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4" s="52" t="str">
        <f t="shared" si="6"/>
        <v>N</v>
      </c>
      <c r="X24" s="177">
        <f t="shared" si="19"/>
        <v>1</v>
      </c>
      <c r="Y24" s="67">
        <f t="shared" si="8"/>
        <v>23.297499999999999</v>
      </c>
      <c r="Z24" s="67">
        <f t="shared" si="9"/>
        <v>1.49E-2</v>
      </c>
      <c r="AA24" s="67">
        <f t="shared" si="10"/>
        <v>23.282599999999999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0112-03</v>
      </c>
      <c r="AE24" s="91" t="str">
        <f t="shared" si="12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24" s="88" t="str">
        <f t="shared" si="13"/>
        <v>"C:\Program Files (x86)\AstroGrep\AstroGrep.exe" /spath="%USERPROFILE%\AppData\Local\Temp\OnboardLogs" /stypes="app*4032*20161103*"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112-03 --locoid 4032 --swversion DE.1.0.8.0 --startMP 204:232975 --initTime 2016-11-03T05:53:38 --startdatetime 2016-11-03T05:56:15 --delay 1 --endMP 204:149 --enddatetime 2016-11-03T06:34:16 --enforcementcount 0 &gt;&gt;C:\Users\stu\Documents\GitHub\eaglep3-reporting\EC\2016-11-03-refined-times.txt</v>
      </c>
      <c r="AI2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{"issue":{"subject":"","project_id":79,"tracker_id":40,"status_id":1,"priority_id":2,"assigned_to_id":23,"start_date":"2016-11-03","description":"","custom_fields":[{"id":1,"name":"Subdivision","value":"EC"},{"id":4,"name":"Milepost","value":"0.0149"},{"id":17,"name":"Train ID","value":"112-03"},{"id":16,"name":"Locomotive ID","value":"4032"},{"id":130,"name":"Impact","value":""},{"id":150,"name":"Time of Event (Mountain Time)","value":"06:34:16"},{"id":151,"name":"Denver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4040</v>
      </c>
      <c r="C25" s="22" t="s">
        <v>245</v>
      </c>
      <c r="D25" s="22" t="s">
        <v>278</v>
      </c>
      <c r="E25" s="13">
        <v>42677.208912037036</v>
      </c>
      <c r="F25" s="13">
        <v>42677.219039351854</v>
      </c>
      <c r="G25" s="7">
        <v>1</v>
      </c>
      <c r="H25" s="22" t="s">
        <v>294</v>
      </c>
      <c r="I25" s="13">
        <v>42677.244085648148</v>
      </c>
      <c r="J25" s="7">
        <v>0</v>
      </c>
      <c r="K25" s="112" t="str">
        <f t="shared" si="0"/>
        <v>4039/4040</v>
      </c>
      <c r="L25" s="22" t="str">
        <f>VLOOKUP(A25,'Trips&amp;Operators'!$C$1:$E$10000,3,FALSE)</f>
        <v>MAELZER</v>
      </c>
      <c r="M25" s="6">
        <f t="shared" si="1"/>
        <v>2.5046296294021886E-2</v>
      </c>
      <c r="N25" s="7">
        <f t="shared" si="22"/>
        <v>36.066666663391516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04:00:50-0600',mode:absolute,to:'2016-11-03 06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5" s="52" t="str">
        <f t="shared" si="6"/>
        <v>N</v>
      </c>
      <c r="X25" s="177">
        <f t="shared" si="19"/>
        <v>1</v>
      </c>
      <c r="Y25" s="67">
        <f t="shared" si="8"/>
        <v>4.4200000000000003E-2</v>
      </c>
      <c r="Z25" s="67">
        <f t="shared" si="9"/>
        <v>23.331</v>
      </c>
      <c r="AA25" s="67">
        <f t="shared" si="10"/>
        <v>23.286799999999999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0113-03</v>
      </c>
      <c r="AE25" s="91" t="str">
        <f t="shared" si="12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25" s="88" t="str">
        <f t="shared" si="13"/>
        <v>"C:\Program Files (x86)\AstroGrep\AstroGrep.exe" /spath="%USERPROFILE%\AppData\Local\Temp\OnboardLogs" /stypes="app*4040*20161103*"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113-03 --locoid 4040 --swversion DE.1.0.8.0 --startMP 204:442 --initTime 2016-11-03T05:00:50 --startdatetime 2016-11-03T05:15:25 --delay 1 --endMP 204:233310 --enddatetime 2016-11-03T05:51:29 --enforcementcount 0 &gt;&gt;C:\Users\stu\Documents\GitHub\eaglep3-reporting\EC\2016-11-03-refined-times.txt</v>
      </c>
      <c r="AI2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{"issue":{"subject":"","project_id":79,"tracker_id":40,"status_id":1,"priority_id":2,"assigned_to_id":23,"start_date":"2016-11-03","description":"","custom_fields":[{"id":1,"name":"Subdivision","value":"EC"},{"id":4,"name":"Milepost","value":"23.331"},{"id":17,"name":"Train ID","value":"113-03"},{"id":16,"name":"Locomotive ID","value":"4040"},{"id":130,"name":"Impact","value":""},{"id":150,"name":"Time of Event (Mountain Time)","value":"05:51:29"},{"id":151,"name":"Denver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473</v>
      </c>
      <c r="B26" s="7">
        <v>4039</v>
      </c>
      <c r="C26" s="22" t="s">
        <v>245</v>
      </c>
      <c r="D26" s="22" t="s">
        <v>248</v>
      </c>
      <c r="E26" s="13">
        <v>42677.252523148149</v>
      </c>
      <c r="F26" s="13">
        <v>42677.257974537039</v>
      </c>
      <c r="G26" s="7">
        <v>1</v>
      </c>
      <c r="H26" s="22" t="s">
        <v>640</v>
      </c>
      <c r="I26" s="13">
        <v>42677.28465277778</v>
      </c>
      <c r="J26" s="7">
        <v>0</v>
      </c>
      <c r="K26" s="112" t="str">
        <f t="shared" si="0"/>
        <v>4039/4040</v>
      </c>
      <c r="L26" s="22" t="str">
        <f>VLOOKUP(A26,'Trips&amp;Operators'!$C$1:$E$10000,3,FALSE)</f>
        <v>MAELZER</v>
      </c>
      <c r="M26" s="6">
        <f t="shared" si="1"/>
        <v>2.6678240741603076E-2</v>
      </c>
      <c r="N26" s="7">
        <f t="shared" si="22"/>
        <v>38.41666666790843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05:03:38-0600',mode:absolute,to:'2016-11-03 07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6" s="52" t="str">
        <f t="shared" si="6"/>
        <v>N</v>
      </c>
      <c r="X26" s="177">
        <f t="shared" ref="X26:X55" si="23">VALUE(LEFT(AD26,4))-VALUE(LEFT(AD25,4))</f>
        <v>1</v>
      </c>
      <c r="Y26" s="67">
        <f t="shared" si="8"/>
        <v>23.298300000000001</v>
      </c>
      <c r="Z26" s="67">
        <f t="shared" si="9"/>
        <v>1.4999999999999999E-2</v>
      </c>
      <c r="AA26" s="67">
        <f t="shared" si="10"/>
        <v>23.283300000000001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0114-03</v>
      </c>
      <c r="AE26" s="91" t="str">
        <f t="shared" si="12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26" s="88" t="str">
        <f t="shared" si="13"/>
        <v>"C:\Program Files (x86)\AstroGrep\AstroGrep.exe" /spath="%USERPROFILE%\AppData\Local\Temp\OnboardLogs" /stypes="app*4039*20161103*"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114-03 --locoid 4039 --swversion DE.1.0.8.0 --startMP 204:232983 --initTime 2016-11-03T06:03:38 --startdatetime 2016-11-03T06:11:29 --delay 1 --endMP 204:150 --enddatetime 2016-11-03T06:49:54 --enforcementcount 0 &gt;&gt;C:\Users\stu\Documents\GitHub\eaglep3-reporting\EC\2016-11-03-refined-times.txt</v>
      </c>
      <c r="AI2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ID","value":"114-03"},{"id":16,"name":"Locomotive ID","value":"4039"},{"id":130,"name":"Impact","value":""},{"id":150,"name":"Time of Event (Mountain Time)","value":"06:49:54"},{"id":151,"name":"Denver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469</v>
      </c>
      <c r="B27" s="7">
        <v>4014</v>
      </c>
      <c r="C27" s="22" t="s">
        <v>245</v>
      </c>
      <c r="D27" s="22" t="s">
        <v>641</v>
      </c>
      <c r="E27" s="13">
        <v>42677.224456018521</v>
      </c>
      <c r="F27" s="13">
        <v>42677.229375000003</v>
      </c>
      <c r="G27" s="7">
        <v>1</v>
      </c>
      <c r="H27" s="22" t="s">
        <v>241</v>
      </c>
      <c r="I27" s="13">
        <v>42677.254282407404</v>
      </c>
      <c r="J27" s="7">
        <v>0</v>
      </c>
      <c r="K27" s="112" t="str">
        <f t="shared" si="0"/>
        <v>4013/4014</v>
      </c>
      <c r="L27" s="22" t="str">
        <f>VLOOKUP(A27,'Trips&amp;Operators'!$C$1:$E$10000,3,FALSE)</f>
        <v>PERKINS</v>
      </c>
      <c r="M27" s="6">
        <f t="shared" si="1"/>
        <v>2.4907407401769888E-2</v>
      </c>
      <c r="N27" s="7">
        <f t="shared" si="22"/>
        <v>35.866666658548638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04:23:13-0600',mode:absolute,to:'2016-11-03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7" s="52" t="str">
        <f t="shared" si="6"/>
        <v>N</v>
      </c>
      <c r="X27" s="177">
        <f t="shared" si="23"/>
        <v>1</v>
      </c>
      <c r="Y27" s="67">
        <f t="shared" si="8"/>
        <v>7.6600000000000001E-2</v>
      </c>
      <c r="Z27" s="67">
        <f t="shared" si="9"/>
        <v>23.330100000000002</v>
      </c>
      <c r="AA27" s="67">
        <f t="shared" si="10"/>
        <v>23.253500000000003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0115-03</v>
      </c>
      <c r="AE27" s="91" t="str">
        <f t="shared" si="12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27" s="88" t="str">
        <f t="shared" si="13"/>
        <v>"C:\Program Files (x86)\AstroGrep\AstroGrep.exe" /spath="%USERPROFILE%\AppData\Local\Temp\OnboardLogs" /stypes="app*4014*20161103*"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115-03 --locoid 4014 --swversion DE.1.0.8.0 --startMP 204:766 --initTime 2016-11-03T05:23:13 --startdatetime 2016-11-03T05:30:18 --delay 1 --endMP 204:233301 --enddatetime 2016-11-03T06:06:10 --enforcementcount 0 &gt;&gt;C:\Users\stu\Documents\GitHub\eaglep3-reporting\EC\2016-11-03-refined-times.txt</v>
      </c>
      <c r="AI2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{"issue":{"subject":"","project_id":79,"tracker_id":40,"status_id":1,"priority_id":2,"assigned_to_id":23,"start_date":"2016-11-03","description":"","custom_fields":[{"id":1,"name":"Subdivision","value":"EC"},{"id":4,"name":"Milepost","value":"23.3301"},{"id":17,"name":"Train ID","value":"115-03"},{"id":16,"name":"Locomotive ID","value":"4014"},{"id":130,"name":"Impact","value":""},{"id":150,"name":"Time of Event (Mountain Time)","value":"06:06:10"},{"id":151,"name":"Denver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477</v>
      </c>
      <c r="B28" s="7">
        <v>4013</v>
      </c>
      <c r="C28" s="22" t="s">
        <v>245</v>
      </c>
      <c r="D28" s="22" t="s">
        <v>291</v>
      </c>
      <c r="E28" s="13">
        <v>42677.256284722222</v>
      </c>
      <c r="F28" s="13">
        <v>42677.268333333333</v>
      </c>
      <c r="G28" s="7">
        <v>1</v>
      </c>
      <c r="H28" s="22" t="s">
        <v>181</v>
      </c>
      <c r="I28" s="13">
        <v>42677.29451388889</v>
      </c>
      <c r="J28" s="7">
        <v>0</v>
      </c>
      <c r="K28" s="112" t="str">
        <f t="shared" si="0"/>
        <v>4013/4014</v>
      </c>
      <c r="L28" s="22" t="str">
        <f>VLOOKUP(A28,'Trips&amp;Operators'!$C$1:$E$10000,3,FALSE)</f>
        <v>PERKINS</v>
      </c>
      <c r="M28" s="6">
        <f t="shared" si="1"/>
        <v>2.6180555556493346E-2</v>
      </c>
      <c r="N28" s="7">
        <f t="shared" si="22"/>
        <v>37.700000001350418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05:09:03-0600',mode:absolute,to:'2016-11-03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8" s="52" t="str">
        <f t="shared" si="6"/>
        <v>N</v>
      </c>
      <c r="X28" s="177">
        <f t="shared" si="23"/>
        <v>1</v>
      </c>
      <c r="Y28" s="67">
        <f t="shared" si="8"/>
        <v>23.2971</v>
      </c>
      <c r="Z28" s="67">
        <f t="shared" si="9"/>
        <v>1.41E-2</v>
      </c>
      <c r="AA28" s="67">
        <f t="shared" si="10"/>
        <v>23.283000000000001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0116-03</v>
      </c>
      <c r="AE28" s="91" t="str">
        <f t="shared" si="12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28" s="88" t="str">
        <f t="shared" si="13"/>
        <v>"C:\Program Files (x86)\AstroGrep\AstroGrep.exe" /spath="%USERPROFILE%\AppData\Local\Temp\OnboardLogs" /stypes="app*4013*20161103*"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116-03 --locoid 4013 --swversion DE.1.0.8.0 --startMP 204:232971 --initTime 2016-11-03T06:09:03 --startdatetime 2016-11-03T06:26:24 --delay 1 --endMP 204:141 --enddatetime 2016-11-03T07:04:06 --enforcementcount 0 &gt;&gt;C:\Users\stu\Documents\GitHub\eaglep3-reporting\EC\2016-11-03-refined-times.txt</v>
      </c>
      <c r="AI2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{"issue":{"subject":"","project_id":79,"tracker_id":40,"status_id":1,"priority_id":2,"assigned_to_id":23,"start_date":"2016-11-03","description":"","custom_fields":[{"id":1,"name":"Subdivision","value":"EC"},{"id":4,"name":"Milepost","value":"0.0141"},{"id":17,"name":"Train ID","value":"116-03"},{"id":16,"name":"Locomotive ID","value":"4013"},{"id":130,"name":"Impact","value":""},{"id":150,"name":"Time of Event (Mountain Time)","value":"07:04:06"},{"id":151,"name":"Denver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403</v>
      </c>
      <c r="B29" s="7">
        <v>4003</v>
      </c>
      <c r="C29" s="22" t="s">
        <v>245</v>
      </c>
      <c r="D29" s="22" t="s">
        <v>278</v>
      </c>
      <c r="E29" s="13">
        <v>42677.231030092589</v>
      </c>
      <c r="F29" s="13">
        <v>42677.240115740744</v>
      </c>
      <c r="G29" s="7">
        <v>3</v>
      </c>
      <c r="H29" s="22" t="s">
        <v>642</v>
      </c>
      <c r="I29" s="13">
        <v>42677.268726851849</v>
      </c>
      <c r="J29" s="7">
        <v>0</v>
      </c>
      <c r="K29" s="112" t="str">
        <f t="shared" si="0"/>
        <v>4003/4004</v>
      </c>
      <c r="L29" s="22" t="str">
        <f>VLOOKUP(A29,'Trips&amp;Operators'!$C$1:$E$10000,3,FALSE)</f>
        <v>RICHARDSON</v>
      </c>
      <c r="M29" s="6">
        <f t="shared" si="1"/>
        <v>2.8611111105419695E-2</v>
      </c>
      <c r="N29" s="7">
        <f t="shared" si="22"/>
        <v>41.199999991804361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04:32:41-0600',mode:absolute,to:'2016-11-03 07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23"/>
        <v>1</v>
      </c>
      <c r="Y29" s="67">
        <f t="shared" si="8"/>
        <v>4.4200000000000003E-2</v>
      </c>
      <c r="Z29" s="67">
        <f t="shared" si="9"/>
        <v>23.324000000000002</v>
      </c>
      <c r="AA29" s="67">
        <f t="shared" si="10"/>
        <v>23.279800000000002</v>
      </c>
      <c r="AB29" s="64" t="str">
        <f>VLOOKUP(A29,Enforcements!$C$7:$K$21,8,0)</f>
        <v>Speed (6)</v>
      </c>
      <c r="AC29" s="60" t="str">
        <f>VLOOKUP(A29,Enforcements!$C$7:$E$21,3,0)</f>
        <v>PERMANENT SPEED RESTRICTION</v>
      </c>
      <c r="AD29" s="61" t="str">
        <f t="shared" si="11"/>
        <v>0117-03</v>
      </c>
      <c r="AE29" s="91" t="str">
        <f t="shared" si="12"/>
        <v>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 &amp; 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</v>
      </c>
      <c r="AF29" s="88" t="str">
        <f t="shared" si="13"/>
        <v>"C:\Program Files (x86)\AstroGrep\AstroGrep.exe" /spath="%USERPROFILE%\AppData\Local\Temp\OnboardLogs" /stypes="app*4003*20161103*"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117-03 --locoid 4003 --swversion DE.1.0.8.0 --startMP 204:442 --initTime 2016-11-03T05:32:41 --startdatetime 2016-11-03T05:45:46 --delay 3 --endMP 204:233240 --enddatetime 2016-11-03T06:26:58 --enforcementcount 0 &gt;&gt;C:\Users\stu\Documents\GitHub\eaglep3-reporting\EC\2016-11-03-refined-times.txt</v>
      </c>
      <c r="AI2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{"issue":{"subject":"","project_id":79,"tracker_id":40,"status_id":1,"priority_id":2,"assigned_to_id":23,"start_date":"2016-11-03","description":"","custom_fields":[{"id":1,"name":"Subdivision","value":"EC"},{"id":4,"name":"Milepost","value":"23.324"},{"id":17,"name":"Train ID","value":"117-03"},{"id":16,"name":"Locomotive ID","value":"4003"},{"id":130,"name":"Impact","value":""},{"id":150,"name":"Time of Event (Mountain Time)","value":"06:26:58"},{"id":151,"name":"Denver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479</v>
      </c>
      <c r="B30" s="7">
        <v>4004</v>
      </c>
      <c r="C30" s="22" t="s">
        <v>245</v>
      </c>
      <c r="D30" s="22" t="s">
        <v>643</v>
      </c>
      <c r="E30" s="13">
        <v>42677.271192129629</v>
      </c>
      <c r="F30" s="13">
        <v>42677.272175925929</v>
      </c>
      <c r="G30" s="7">
        <v>1</v>
      </c>
      <c r="H30" s="22" t="s">
        <v>644</v>
      </c>
      <c r="I30" s="13">
        <v>42677.272256944445</v>
      </c>
      <c r="J30" s="7">
        <v>0</v>
      </c>
      <c r="K30" s="112" t="str">
        <f t="shared" si="0"/>
        <v>4003/4004</v>
      </c>
      <c r="L30" s="22" t="str">
        <f>VLOOKUP(A30,'Trips&amp;Operators'!$C$1:$E$10000,3,FALSE)</f>
        <v>RICHARDSON</v>
      </c>
      <c r="M30" s="6">
        <f t="shared" si="1"/>
        <v>8.1018515629693866E-5</v>
      </c>
      <c r="N30" s="7"/>
      <c r="O30" s="7"/>
      <c r="P30" s="7">
        <v>1</v>
      </c>
      <c r="Q30" s="23"/>
      <c r="R30" s="23" t="s">
        <v>400</v>
      </c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05:30:31-0600',mode:absolute,to:'2016-11-03 07:32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Y</v>
      </c>
      <c r="X30" s="177">
        <f t="shared" si="23"/>
        <v>1</v>
      </c>
      <c r="Y30" s="67">
        <f t="shared" si="8"/>
        <v>23.293199999999999</v>
      </c>
      <c r="Z30" s="67">
        <f t="shared" si="9"/>
        <v>2.7046000000000001</v>
      </c>
      <c r="AA30" s="67">
        <f t="shared" si="10"/>
        <v>20.5886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0118-03</v>
      </c>
      <c r="AE30" s="91" t="str">
        <f t="shared" si="12"/>
        <v>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 &amp; 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</v>
      </c>
      <c r="AF30" s="88" t="str">
        <f t="shared" si="13"/>
        <v>"C:\Program Files (x86)\AstroGrep\AstroGrep.exe" /spath="%USERPROFILE%\AppData\Local\Temp\OnboardLogs" /stypes="app*4004*20161103*" /stext=" 12:.+((SYSTEM_STATE.+slice.+state.+changed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118-03 --locoid 4004 --swversion DE.1.0.8.0 --startMP 204:232932 --initTime 2016-11-03T06:30:31 --startdatetime 2016-11-03T06:31:56 --delay 1 --endMP 204:27046 --enddatetime 2016-11-03T06:32:03 --enforcementcount 0 &gt;&gt;C:\Users\stu\Documents\GitHub\eaglep3-reporting\EC\2016-11-03-refined-times.txt</v>
      </c>
      <c r="AI30" s="122" t="str">
        <f t="shared" si="18"/>
        <v>echo {"issue":{"subject":"Onboard in-route failure","project_id":79,"tracker_id":40,"status_id":1,"priority_id":2,"assigned_to_id":23,"start_date":"2016-11-03","description":"Multiple CPU faults at 2016-11-03 06:33:18 local time","custom_fields":[{"id":1,"name":"Subdivision","value":"EC"},{"id":4,"name":"Milepost","value":"2.7046"},{"id":17,"name":"Train ID","value":"118-03"},{"id":16,"name":"Locomotive ID","value":"4004"},{"id":130,"name":"Impact","value":"Failed State"},{"id":150,"name":"Time of Event (Mountain Time)","value":"06:32:03"},{"id":151,"name":"Denver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0" s="53" t="s">
        <v>786</v>
      </c>
      <c r="AK30" s="53" t="s">
        <v>128</v>
      </c>
      <c r="AL30" s="53" t="s">
        <v>178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471</v>
      </c>
      <c r="B31" s="7">
        <v>4016</v>
      </c>
      <c r="C31" s="22" t="s">
        <v>245</v>
      </c>
      <c r="D31" s="22" t="s">
        <v>645</v>
      </c>
      <c r="E31" s="13">
        <v>42677.245810185188</v>
      </c>
      <c r="F31" s="13">
        <v>42677.250694444447</v>
      </c>
      <c r="G31" s="7">
        <v>1</v>
      </c>
      <c r="H31" s="22" t="s">
        <v>646</v>
      </c>
      <c r="I31" s="13">
        <v>42677.27516203704</v>
      </c>
      <c r="J31" s="7">
        <v>0</v>
      </c>
      <c r="K31" s="112" t="str">
        <f t="shared" si="0"/>
        <v>4015/4016</v>
      </c>
      <c r="L31" s="22" t="str">
        <f>VLOOKUP(A31,'Trips&amp;Operators'!$C$1:$E$10000,3,FALSE)</f>
        <v>SANTIZO</v>
      </c>
      <c r="M31" s="6">
        <f t="shared" si="1"/>
        <v>2.4467592593282461E-2</v>
      </c>
      <c r="N31" s="7">
        <f t="shared" ref="N31:N62" si="24">24*60*SUM($M31:$M31)</f>
        <v>35.233333334326744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04:53:58-0600',mode:absolute,to:'2016-11-03 07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52" t="str">
        <f t="shared" si="6"/>
        <v>N</v>
      </c>
      <c r="X31" s="177">
        <f t="shared" si="23"/>
        <v>1</v>
      </c>
      <c r="Y31" s="67">
        <f t="shared" si="8"/>
        <v>8.0500000000000002E-2</v>
      </c>
      <c r="Z31" s="67">
        <f t="shared" si="9"/>
        <v>23.331099999999999</v>
      </c>
      <c r="AA31" s="67">
        <f t="shared" si="10"/>
        <v>23.250599999999999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0119-03</v>
      </c>
      <c r="AE31" s="91" t="str">
        <f t="shared" si="12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31" s="88" t="str">
        <f t="shared" si="13"/>
        <v>"C:\Program Files (x86)\AstroGrep\AstroGrep.exe" /spath="%USERPROFILE%\AppData\Local\Temp\OnboardLogs" /stypes="app*4016*20161103*"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119-03 --locoid 4016 --swversion DE.1.0.8.0 --startMP 204:805 --initTime 2016-11-03T05:53:58 --startdatetime 2016-11-03T06:01:00 --delay 1 --endMP 204:233311 --enddatetime 2016-11-03T06:36:14 --enforcementcount 0 &gt;&gt;C:\Users\stu\Documents\GitHub\eaglep3-reporting\EC\2016-11-03-refined-times.txt</v>
      </c>
      <c r="AI3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{"issue":{"subject":"","project_id":79,"tracker_id":40,"status_id":1,"priority_id":2,"assigned_to_id":23,"start_date":"2016-11-03","description":"","custom_fields":[{"id":1,"name":"Subdivision","value":"EC"},{"id":4,"name":"Milepost","value":"23.3311"},{"id":17,"name":"Train ID","value":"119-03"},{"id":16,"name":"Locomotive ID","value":"4016"},{"id":130,"name":"Impact","value":""},{"id":150,"name":"Time of Event (Mountain Time)","value":"06:36:14"},{"id":151,"name":"Denver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480</v>
      </c>
      <c r="B32" s="7">
        <v>4015</v>
      </c>
      <c r="C32" s="22" t="s">
        <v>245</v>
      </c>
      <c r="D32" s="22" t="s">
        <v>647</v>
      </c>
      <c r="E32" s="13">
        <v>42677.276689814818</v>
      </c>
      <c r="F32" s="13">
        <v>42677.29011574074</v>
      </c>
      <c r="G32" s="7">
        <v>1</v>
      </c>
      <c r="H32" s="22" t="s">
        <v>330</v>
      </c>
      <c r="I32" s="13">
        <v>42677.319236111114</v>
      </c>
      <c r="J32" s="7">
        <v>0</v>
      </c>
      <c r="K32" s="112" t="str">
        <f t="shared" si="0"/>
        <v>4015/4016</v>
      </c>
      <c r="L32" s="22" t="str">
        <f>VLOOKUP(A32,'Trips&amp;Operators'!$C$1:$E$10000,3,FALSE)</f>
        <v>SANTIZO</v>
      </c>
      <c r="M32" s="6">
        <f t="shared" si="1"/>
        <v>2.9120370374585036E-2</v>
      </c>
      <c r="N32" s="7">
        <f t="shared" si="24"/>
        <v>41.933333339402452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05:38:26-0600',mode:absolute,to:'2016-11-03 08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52" t="str">
        <f t="shared" si="6"/>
        <v>N</v>
      </c>
      <c r="X32" s="177">
        <f t="shared" si="23"/>
        <v>1</v>
      </c>
      <c r="Y32" s="67">
        <f t="shared" si="8"/>
        <v>23.299199999999999</v>
      </c>
      <c r="Z32" s="67">
        <f t="shared" si="9"/>
        <v>1.34E-2</v>
      </c>
      <c r="AA32" s="67">
        <f t="shared" si="10"/>
        <v>23.285799999999998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0120-03</v>
      </c>
      <c r="AE32" s="91" t="str">
        <f t="shared" si="12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32" s="88" t="str">
        <f t="shared" si="13"/>
        <v>"C:\Program Files (x86)\AstroGrep\AstroGrep.exe" /spath="%USERPROFILE%\AppData\Local\Temp\OnboardLogs" /stypes="app*4015*20161103*"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120-03 --locoid 4015 --swversion DE.1.0.8.0 --startMP 204:232992 --initTime 2016-11-03T06:38:26 --startdatetime 2016-11-03T06:57:46 --delay 1 --endMP 204:134 --enddatetime 2016-11-03T07:39:42 --enforcementcount 0 &gt;&gt;C:\Users\stu\Documents\GitHub\eaglep3-reporting\EC\2016-11-03-refined-times.txt</v>
      </c>
      <c r="AI32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{"issue":{"subject":"","project_id":79,"tracker_id":40,"status_id":1,"priority_id":2,"assigned_to_id":23,"start_date":"2016-11-03","description":"","custom_fields":[{"id":1,"name":"Subdivision","value":"EC"},{"id":4,"name":"Milepost","value":"0.0134"},{"id":17,"name":"Train ID","value":"120-03"},{"id":16,"name":"Locomotive ID","value":"4015"},{"id":130,"name":"Impact","value":""},{"id":150,"name":"Time of Event (Mountain Time)","value":"07:39:42"},{"id":151,"name":"Denver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474</v>
      </c>
      <c r="B33" s="7">
        <v>4025</v>
      </c>
      <c r="C33" s="22" t="s">
        <v>245</v>
      </c>
      <c r="D33" s="22" t="s">
        <v>210</v>
      </c>
      <c r="E33" s="13">
        <v>42677.254363425927</v>
      </c>
      <c r="F33" s="13">
        <v>42677.260625000003</v>
      </c>
      <c r="G33" s="7">
        <v>1</v>
      </c>
      <c r="H33" s="22" t="s">
        <v>206</v>
      </c>
      <c r="I33" s="13">
        <v>42677.29</v>
      </c>
      <c r="J33" s="7">
        <v>0</v>
      </c>
      <c r="K33" s="112" t="str">
        <f t="shared" si="0"/>
        <v>4025/4026</v>
      </c>
      <c r="L33" s="22" t="str">
        <f>VLOOKUP(A33,'Trips&amp;Operators'!$C$1:$E$10000,3,FALSE)</f>
        <v>ISHMAEL</v>
      </c>
      <c r="M33" s="6">
        <f t="shared" si="1"/>
        <v>2.937499999825377E-2</v>
      </c>
      <c r="N33" s="7">
        <f t="shared" si="24"/>
        <v>42.299999997485429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05:06:17-0600',mode:absolute,to:'2016-11-03 07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3" s="52" t="str">
        <f t="shared" si="6"/>
        <v>N</v>
      </c>
      <c r="X33" s="177">
        <f t="shared" si="23"/>
        <v>1</v>
      </c>
      <c r="Y33" s="67">
        <f t="shared" si="8"/>
        <v>4.5499999999999999E-2</v>
      </c>
      <c r="Z33" s="67">
        <f t="shared" si="9"/>
        <v>23.3293</v>
      </c>
      <c r="AA33" s="67">
        <f t="shared" si="10"/>
        <v>23.283799999999999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0121-03</v>
      </c>
      <c r="AE33" s="91" t="str">
        <f t="shared" si="12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33" s="88" t="str">
        <f t="shared" si="13"/>
        <v>"C:\Program Files (x86)\AstroGrep\AstroGrep.exe" /spath="%USERPROFILE%\AppData\Local\Temp\OnboardLogs" /stypes="app*4025*20161103*"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121-03 --locoid 4025 --swversion DE.1.0.8.0 --startMP 204:455 --initTime 2016-11-03T06:06:17 --startdatetime 2016-11-03T06:15:18 --delay 1 --endMP 204:233293 --enddatetime 2016-11-03T06:57:36 --enforcementcount 0 &gt;&gt;C:\Users\stu\Documents\GitHub\eaglep3-reporting\EC\2016-11-03-refined-times.txt</v>
      </c>
      <c r="AI3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{"issue":{"subject":"","project_id":79,"tracker_id":40,"status_id":1,"priority_id":2,"assigned_to_id":23,"start_date":"2016-11-03","description":"","custom_fields":[{"id":1,"name":"Subdivision","value":"EC"},{"id":4,"name":"Milepost","value":"23.3293"},{"id":17,"name":"Train ID","value":"121-03"},{"id":16,"name":"Locomotive ID","value":"4025"},{"id":130,"name":"Impact","value":""},{"id":150,"name":"Time of Event (Mountain Time)","value":"06:57:36"},{"id":151,"name":"Denver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484</v>
      </c>
      <c r="B34" s="7">
        <v>4026</v>
      </c>
      <c r="C34" s="22" t="s">
        <v>245</v>
      </c>
      <c r="D34" s="22" t="s">
        <v>233</v>
      </c>
      <c r="E34" s="13">
        <v>42677.292453703703</v>
      </c>
      <c r="F34" s="13">
        <v>42677.299490740741</v>
      </c>
      <c r="G34" s="7">
        <v>1</v>
      </c>
      <c r="H34" s="22" t="s">
        <v>175</v>
      </c>
      <c r="I34" s="13">
        <v>42677.32571759259</v>
      </c>
      <c r="J34" s="7">
        <v>0</v>
      </c>
      <c r="K34" s="112" t="str">
        <f t="shared" si="0"/>
        <v>4025/4026</v>
      </c>
      <c r="L34" s="22" t="str">
        <f>VLOOKUP(A34,'Trips&amp;Operators'!$C$1:$E$10000,3,FALSE)</f>
        <v>ISHMAEL</v>
      </c>
      <c r="M34" s="6">
        <f t="shared" si="1"/>
        <v>2.622685184906004E-2</v>
      </c>
      <c r="N34" s="7">
        <f t="shared" si="24"/>
        <v>37.766666662646458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06:01:08-0600',mode:absolute,to:'2016-11-03 08:49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4" s="52" t="str">
        <f t="shared" si="6"/>
        <v>N</v>
      </c>
      <c r="X34" s="177">
        <f t="shared" si="23"/>
        <v>1</v>
      </c>
      <c r="Y34" s="67">
        <f t="shared" si="8"/>
        <v>23.298500000000001</v>
      </c>
      <c r="Z34" s="67">
        <f t="shared" si="9"/>
        <v>1.47E-2</v>
      </c>
      <c r="AA34" s="67">
        <f t="shared" si="10"/>
        <v>23.283799999999999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0122-03</v>
      </c>
      <c r="AE34" s="91" t="str">
        <f t="shared" si="12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34" s="88" t="str">
        <f t="shared" si="13"/>
        <v>"C:\Program Files (x86)\AstroGrep\AstroGrep.exe" /spath="%USERPROFILE%\AppData\Local\Temp\OnboardLogs" /stypes="app*4026*20161103*"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122-03 --locoid 4026 --swversion DE.1.0.8.0 --startMP 204:232985 --initTime 2016-11-03T07:01:08 --startdatetime 2016-11-03T07:11:16 --delay 1 --endMP 204:147 --enddatetime 2016-11-03T07:49:02 --enforcementcount 0 &gt;&gt;C:\Users\stu\Documents\GitHub\eaglep3-reporting\EC\2016-11-03-refined-times.txt</v>
      </c>
      <c r="AI3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{"issue":{"subject":"","project_id":79,"tracker_id":40,"status_id":1,"priority_id":2,"assigned_to_id":23,"start_date":"2016-11-03","description":"","custom_fields":[{"id":1,"name":"Subdivision","value":"EC"},{"id":4,"name":"Milepost","value":"0.0147"},{"id":17,"name":"Train ID","value":"122-03"},{"id":16,"name":"Locomotive ID","value":"4026"},{"id":130,"name":"Impact","value":""},{"id":150,"name":"Time of Event (Mountain Time)","value":"07:49:02"},{"id":151,"name":"Denver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478</v>
      </c>
      <c r="B35" s="7">
        <v>4029</v>
      </c>
      <c r="C35" s="22" t="s">
        <v>245</v>
      </c>
      <c r="D35" s="22" t="s">
        <v>230</v>
      </c>
      <c r="E35" s="13">
        <v>42677.270567129628</v>
      </c>
      <c r="F35" s="13">
        <v>42677.271874999999</v>
      </c>
      <c r="G35" s="7">
        <v>1</v>
      </c>
      <c r="H35" s="22" t="s">
        <v>241</v>
      </c>
      <c r="I35" s="13">
        <v>42677.300671296296</v>
      </c>
      <c r="J35" s="7">
        <v>0</v>
      </c>
      <c r="K35" s="112" t="str">
        <f t="shared" si="0"/>
        <v>4029/4030</v>
      </c>
      <c r="L35" s="22" t="str">
        <f>VLOOKUP(A35,'Trips&amp;Operators'!$C$1:$E$10000,3,FALSE)</f>
        <v>NELSON</v>
      </c>
      <c r="M35" s="6">
        <f t="shared" si="1"/>
        <v>2.8796296297514345E-2</v>
      </c>
      <c r="N35" s="7">
        <f t="shared" si="24"/>
        <v>41.466666668420658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05:29:37-0600',mode:absolute,to:'2016-11-03 08:12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5" s="52" t="str">
        <f t="shared" si="6"/>
        <v>N</v>
      </c>
      <c r="X35" s="177">
        <f t="shared" si="23"/>
        <v>1</v>
      </c>
      <c r="Y35" s="67">
        <f t="shared" si="8"/>
        <v>4.6199999999999998E-2</v>
      </c>
      <c r="Z35" s="67">
        <f t="shared" si="9"/>
        <v>23.330100000000002</v>
      </c>
      <c r="AA35" s="67">
        <f t="shared" si="10"/>
        <v>23.283900000000003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0123-03</v>
      </c>
      <c r="AE35" s="91" t="str">
        <f t="shared" si="12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35" s="88" t="str">
        <f t="shared" si="13"/>
        <v>"C:\Program Files (x86)\AstroGrep\AstroGrep.exe" /spath="%USERPROFILE%\AppData\Local\Temp\OnboardLogs" /stypes="app*4029*20161103*"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123-03 --locoid 4029 --swversion DE.1.0.8.0 --startMP 204:462 --initTime 2016-11-03T06:29:37 --startdatetime 2016-11-03T06:31:30 --delay 1 --endMP 204:233301 --enddatetime 2016-11-03T07:12:58 --enforcementcount 0 &gt;&gt;C:\Users\stu\Documents\GitHub\eaglep3-reporting\EC\2016-11-03-refined-times.txt</v>
      </c>
      <c r="AI3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{"issue":{"subject":"","project_id":79,"tracker_id":40,"status_id":1,"priority_id":2,"assigned_to_id":23,"start_date":"2016-11-03","description":"","custom_fields":[{"id":1,"name":"Subdivision","value":"EC"},{"id":4,"name":"Milepost","value":"23.3301"},{"id":17,"name":"Train ID","value":"123-03"},{"id":16,"name":"Locomotive ID","value":"4029"},{"id":130,"name":"Impact","value":""},{"id":150,"name":"Time of Event (Mountain Time)","value":"07:12:58"},{"id":151,"name":"Denver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406</v>
      </c>
      <c r="B36" s="7">
        <v>4030</v>
      </c>
      <c r="C36" s="22" t="s">
        <v>245</v>
      </c>
      <c r="D36" s="22" t="s">
        <v>268</v>
      </c>
      <c r="E36" s="13">
        <v>42677.303425925929</v>
      </c>
      <c r="F36" s="13">
        <v>42677.310960648145</v>
      </c>
      <c r="G36" s="7">
        <v>2</v>
      </c>
      <c r="H36" s="22" t="s">
        <v>207</v>
      </c>
      <c r="I36" s="13">
        <v>42677.338356481479</v>
      </c>
      <c r="J36" s="7">
        <v>0</v>
      </c>
      <c r="K36" s="112" t="str">
        <f t="shared" si="0"/>
        <v>4029/4030</v>
      </c>
      <c r="L36" s="22" t="str">
        <f>VLOOKUP(A36,'Trips&amp;Operators'!$C$1:$E$10000,3,FALSE)</f>
        <v>NELSON</v>
      </c>
      <c r="M36" s="6">
        <f t="shared" si="1"/>
        <v>2.7395833334594499E-2</v>
      </c>
      <c r="N36" s="7">
        <f t="shared" si="24"/>
        <v>39.450000001816079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06:16:56-0600',mode:absolute,to:'2016-11-03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6" s="52" t="str">
        <f t="shared" si="6"/>
        <v>N</v>
      </c>
      <c r="X36" s="177">
        <f t="shared" si="23"/>
        <v>1</v>
      </c>
      <c r="Y36" s="67">
        <f t="shared" si="8"/>
        <v>23.298400000000001</v>
      </c>
      <c r="Z36" s="67">
        <f t="shared" si="9"/>
        <v>1.43E-2</v>
      </c>
      <c r="AA36" s="67">
        <f t="shared" si="10"/>
        <v>23.284100000000002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0124-03</v>
      </c>
      <c r="AE36" s="91" t="str">
        <f t="shared" si="12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36" s="88" t="str">
        <f t="shared" si="13"/>
        <v>"C:\Program Files (x86)\AstroGrep\AstroGrep.exe" /spath="%USERPROFILE%\AppData\Local\Temp\OnboardLogs" /stypes="app*4030*20161103*"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124-03 --locoid 4030 --swversion DE.1.0.8.0 --startMP 204:232984 --initTime 2016-11-03T07:16:56 --startdatetime 2016-11-03T07:27:47 --delay 2 --endMP 204:143 --enddatetime 2016-11-03T08:07:14 --enforcementcount 0 &gt;&gt;C:\Users\stu\Documents\GitHub\eaglep3-reporting\EC\2016-11-03-refined-times.txt</v>
      </c>
      <c r="AI3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ID","value":"124-03"},{"id":16,"name":"Locomotive ID","value":"4030"},{"id":130,"name":"Impact","value":""},{"id":150,"name":"Time of Event (Mountain Time)","value":"08:07:14"},{"id":151,"name":"Denver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481</v>
      </c>
      <c r="B37" s="7">
        <v>4031</v>
      </c>
      <c r="C37" s="22" t="s">
        <v>245</v>
      </c>
      <c r="D37" s="22" t="s">
        <v>262</v>
      </c>
      <c r="E37" s="13">
        <v>42677.279317129629</v>
      </c>
      <c r="F37" s="13">
        <v>42677.281423611108</v>
      </c>
      <c r="G37" s="7">
        <v>1</v>
      </c>
      <c r="H37" s="22" t="s">
        <v>290</v>
      </c>
      <c r="I37" s="13">
        <v>42677.307037037041</v>
      </c>
      <c r="J37" s="7">
        <v>0</v>
      </c>
      <c r="K37" s="112" t="str">
        <f t="shared" si="0"/>
        <v>4031/4032</v>
      </c>
      <c r="L37" s="22" t="str">
        <f>VLOOKUP(A37,'Trips&amp;Operators'!$C$1:$E$10000,3,FALSE)</f>
        <v>STARKS</v>
      </c>
      <c r="M37" s="6">
        <f t="shared" si="1"/>
        <v>2.5613425932533573E-2</v>
      </c>
      <c r="N37" s="7">
        <f t="shared" si="24"/>
        <v>36.883333342848346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05:42:13-0600',mode:absolute,to:'2016-11-03 08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7" s="52" t="str">
        <f t="shared" si="6"/>
        <v>N</v>
      </c>
      <c r="X37" s="177">
        <f t="shared" si="23"/>
        <v>1</v>
      </c>
      <c r="Y37" s="67">
        <f t="shared" si="8"/>
        <v>4.4400000000000002E-2</v>
      </c>
      <c r="Z37" s="67">
        <f t="shared" si="9"/>
        <v>23.330200000000001</v>
      </c>
      <c r="AA37" s="67">
        <f t="shared" si="10"/>
        <v>23.285800000000002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0125-03</v>
      </c>
      <c r="AE37" s="91" t="str">
        <f t="shared" si="12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37" s="88" t="str">
        <f t="shared" si="13"/>
        <v>"C:\Program Files (x86)\AstroGrep\AstroGrep.exe" /spath="%USERPROFILE%\AppData\Local\Temp\OnboardLogs" /stypes="app*4031*20161103*"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125-03 --locoid 4031 --swversion DE.1.0.8.0 --startMP 204:444 --initTime 2016-11-03T06:42:13 --startdatetime 2016-11-03T06:45:15 --delay 1 --endMP 204:233302 --enddatetime 2016-11-03T07:22:08 --enforcementcount 0 &gt;&gt;C:\Users\stu\Documents\GitHub\eaglep3-reporting\EC\2016-11-03-refined-times.txt</v>
      </c>
      <c r="AI3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{"issue":{"subject":"","project_id":79,"tracker_id":40,"status_id":1,"priority_id":2,"assigned_to_id":23,"start_date":"2016-11-03","description":"","custom_fields":[{"id":1,"name":"Subdivision","value":"EC"},{"id":4,"name":"Milepost","value":"23.3302"},{"id":17,"name":"Train ID","value":"125-03"},{"id":16,"name":"Locomotive ID","value":"4031"},{"id":130,"name":"Impact","value":""},{"id":150,"name":"Time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408</v>
      </c>
      <c r="B38" s="7">
        <v>4032</v>
      </c>
      <c r="C38" s="22" t="s">
        <v>245</v>
      </c>
      <c r="D38" s="22" t="s">
        <v>233</v>
      </c>
      <c r="E38" s="13">
        <v>42677.312372685185</v>
      </c>
      <c r="F38" s="13">
        <v>42677.320486111108</v>
      </c>
      <c r="G38" s="7">
        <v>1</v>
      </c>
      <c r="H38" s="22" t="s">
        <v>648</v>
      </c>
      <c r="I38" s="13">
        <v>42677.346539351849</v>
      </c>
      <c r="J38" s="7">
        <v>0</v>
      </c>
      <c r="K38" s="112" t="str">
        <f t="shared" si="0"/>
        <v>4031/4032</v>
      </c>
      <c r="L38" s="22" t="str">
        <f>VLOOKUP(A38,'Trips&amp;Operators'!$C$1:$E$10000,3,FALSE)</f>
        <v>STARKS</v>
      </c>
      <c r="M38" s="6">
        <f t="shared" si="1"/>
        <v>2.6053240741021E-2</v>
      </c>
      <c r="N38" s="7">
        <f t="shared" si="24"/>
        <v>37.51666666707024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06:29:49-0600',mode:absolute,to:'2016-11-03 09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8" s="52" t="str">
        <f t="shared" si="6"/>
        <v>N</v>
      </c>
      <c r="X38" s="177">
        <f t="shared" si="23"/>
        <v>1</v>
      </c>
      <c r="Y38" s="67">
        <f t="shared" si="8"/>
        <v>23.298500000000001</v>
      </c>
      <c r="Z38" s="67">
        <f t="shared" si="9"/>
        <v>1.89E-2</v>
      </c>
      <c r="AA38" s="67">
        <f t="shared" si="10"/>
        <v>23.279600000000002</v>
      </c>
      <c r="AB38" s="64" t="str">
        <f>VLOOKUP(A38,Enforcements!$C$7:$K$21,8,0)</f>
        <v>Speed (6)</v>
      </c>
      <c r="AC38" s="60" t="str">
        <f>VLOOKUP(A38,Enforcements!$C$7:$E$21,3,0)</f>
        <v>PERMANENT SPEED RESTRICTION</v>
      </c>
      <c r="AD38" s="61" t="str">
        <f t="shared" si="11"/>
        <v>0126-03</v>
      </c>
      <c r="AE38" s="91" t="str">
        <f t="shared" si="12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38" s="88" t="str">
        <f t="shared" si="13"/>
        <v>"C:\Program Files (x86)\AstroGrep\AstroGrep.exe" /spath="%USERPROFILE%\AppData\Local\Temp\OnboardLogs" /stypes="app*4032*20161103*"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126-03 --locoid 4032 --swversion DE.1.0.8.0 --startMP 204:232985 --initTime 2016-11-03T07:29:49 --startdatetime 2016-11-03T07:41:30 --delay 1 --endMP 204:189 --enddatetime 2016-11-03T08:19:01 --enforcementcount 0 &gt;&gt;C:\Users\stu\Documents\GitHub\eaglep3-reporting\EC\2016-11-03-refined-times.txt</v>
      </c>
      <c r="AI3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{"issue":{"subject":"","project_id":79,"tracker_id":40,"status_id":1,"priority_id":2,"assigned_to_id":23,"start_date":"2016-11-03","description":"","custom_fields":[{"id":1,"name":"Subdivision","value":"EC"},{"id":4,"name":"Milepost","value":"0.0189"},{"id":17,"name":"Train ID","value":"126-03"},{"id":16,"name":"Locomotive ID","value":"4032"},{"id":130,"name":"Impact","value":""},{"id":150,"name":"Time of Event (Mountain Time)","value":"08:19:01"},{"id":151,"name":"Denver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483</v>
      </c>
      <c r="B39" s="7">
        <v>4040</v>
      </c>
      <c r="C39" s="22" t="s">
        <v>245</v>
      </c>
      <c r="D39" s="22" t="s">
        <v>240</v>
      </c>
      <c r="E39" s="13">
        <v>42677.289120370369</v>
      </c>
      <c r="F39" s="13">
        <v>42677.292118055557</v>
      </c>
      <c r="G39" s="7">
        <v>1</v>
      </c>
      <c r="H39" s="22" t="s">
        <v>249</v>
      </c>
      <c r="I39" s="13">
        <v>42677.317141203705</v>
      </c>
      <c r="J39" s="7">
        <v>0</v>
      </c>
      <c r="K39" s="112" t="str">
        <f t="shared" si="0"/>
        <v>4039/4040</v>
      </c>
      <c r="L39" s="22" t="str">
        <f>VLOOKUP(A39,'Trips&amp;Operators'!$C$1:$E$10000,3,FALSE)</f>
        <v>LOZA</v>
      </c>
      <c r="M39" s="6">
        <f t="shared" si="1"/>
        <v>2.5023148147738539E-2</v>
      </c>
      <c r="N39" s="7">
        <f t="shared" si="24"/>
        <v>36.033333332743496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05:56:20-0600',mode:absolute,to:'2016-11-03 08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9" s="52" t="str">
        <f t="shared" si="6"/>
        <v>N</v>
      </c>
      <c r="X39" s="177">
        <f t="shared" si="23"/>
        <v>1</v>
      </c>
      <c r="Y39" s="67">
        <f t="shared" si="8"/>
        <v>4.6399999999999997E-2</v>
      </c>
      <c r="Z39" s="67">
        <f t="shared" si="9"/>
        <v>23.328800000000001</v>
      </c>
      <c r="AA39" s="67">
        <f t="shared" si="10"/>
        <v>23.282400000000003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0127-03</v>
      </c>
      <c r="AE39" s="91" t="str">
        <f t="shared" si="12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39" s="88" t="str">
        <f t="shared" si="13"/>
        <v>"C:\Program Files (x86)\AstroGrep\AstroGrep.exe" /spath="%USERPROFILE%\AppData\Local\Temp\OnboardLogs" /stypes="app*4040*20161103*"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127-03 --locoid 4040 --swversion DE.1.0.8.0 --startMP 204:464 --initTime 2016-11-03T06:56:20 --startdatetime 2016-11-03T07:00:39 --delay 1 --endMP 204:233288 --enddatetime 2016-11-03T07:36:41 --enforcementcount 0 &gt;&gt;C:\Users\stu\Documents\GitHub\eaglep3-reporting\EC\2016-11-03-refined-times.txt</v>
      </c>
      <c r="AI3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{"issue":{"subject":"","project_id":79,"tracker_id":40,"status_id":1,"priority_id":2,"assigned_to_id":23,"start_date":"2016-11-03","description":"","custom_fields":[{"id":1,"name":"Subdivision","value":"EC"},{"id":4,"name":"Milepost","value":"23.3288"},{"id":17,"name":"Train ID","value":"127-03"},{"id":16,"name":"Locomotive ID","value":"4040"},{"id":130,"name":"Impact","value":""},{"id":150,"name":"Time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409</v>
      </c>
      <c r="B40" s="7">
        <v>4039</v>
      </c>
      <c r="C40" s="22" t="s">
        <v>245</v>
      </c>
      <c r="D40" s="22" t="s">
        <v>649</v>
      </c>
      <c r="E40" s="13">
        <v>42677.324178240742</v>
      </c>
      <c r="F40" s="13">
        <v>42677.33084490741</v>
      </c>
      <c r="G40" s="7">
        <v>2</v>
      </c>
      <c r="H40" s="22" t="s">
        <v>638</v>
      </c>
      <c r="I40" s="13">
        <v>42677.357118055559</v>
      </c>
      <c r="J40" s="7">
        <v>0</v>
      </c>
      <c r="K40" s="112" t="str">
        <f t="shared" si="0"/>
        <v>4039/4040</v>
      </c>
      <c r="L40" s="22" t="str">
        <f>VLOOKUP(A40,'Trips&amp;Operators'!$C$1:$E$10000,3,FALSE)</f>
        <v>LOZA</v>
      </c>
      <c r="M40" s="6">
        <f t="shared" si="1"/>
        <v>2.6273148148902692E-2</v>
      </c>
      <c r="N40" s="7">
        <f t="shared" si="24"/>
        <v>37.833333334419876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06:46:49-0600',mode:absolute,to:'2016-11-03 09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0" s="52" t="str">
        <f t="shared" si="6"/>
        <v>N</v>
      </c>
      <c r="X40" s="177">
        <f t="shared" si="23"/>
        <v>1</v>
      </c>
      <c r="Y40" s="67">
        <f t="shared" si="8"/>
        <v>23.296700000000001</v>
      </c>
      <c r="Z40" s="67">
        <f t="shared" si="9"/>
        <v>1.6E-2</v>
      </c>
      <c r="AA40" s="67">
        <f t="shared" si="10"/>
        <v>23.280700000000003</v>
      </c>
      <c r="AB40" s="64" t="str">
        <f>VLOOKUP(A40,Enforcements!$C$7:$K$21,8,0)</f>
        <v>Bulletin (2)</v>
      </c>
      <c r="AC40" s="60" t="str">
        <f>VLOOKUP(A40,Enforcements!$C$7:$E$21,3,0)</f>
        <v>GRADE CROSSING</v>
      </c>
      <c r="AD40" s="61" t="str">
        <f t="shared" si="11"/>
        <v>0128-03</v>
      </c>
      <c r="AE40" s="91" t="str">
        <f t="shared" si="12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40" s="88" t="str">
        <f t="shared" si="13"/>
        <v>"C:\Program Files (x86)\AstroGrep\AstroGrep.exe" /spath="%USERPROFILE%\AppData\Local\Temp\OnboardLogs" /stypes="app*4039*20161103*"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128-03 --locoid 4039 --swversion DE.1.0.8.0 --startMP 204:232967 --initTime 2016-11-03T07:46:49 --startdatetime 2016-11-03T07:56:25 --delay 2 --endMP 204:160 --enddatetime 2016-11-03T08:34:15 --enforcementcount 0 &gt;&gt;C:\Users\stu\Documents\GitHub\eaglep3-reporting\EC\2016-11-03-refined-times.txt</v>
      </c>
      <c r="AI40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ID","value":"128-03"},{"id":16,"name":"Locomotive ID","value":"4039"},{"id":130,"name":"Impact","value":""},{"id":150,"name":"Time of Event (Mountain Time)","value":"08:34:15"},{"id":151,"name":"Denver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485</v>
      </c>
      <c r="B41" s="7">
        <v>4014</v>
      </c>
      <c r="C41" s="22" t="s">
        <v>245</v>
      </c>
      <c r="D41" s="22" t="s">
        <v>250</v>
      </c>
      <c r="E41" s="13">
        <v>42677.296597222223</v>
      </c>
      <c r="F41" s="13">
        <v>42677.302256944444</v>
      </c>
      <c r="G41" s="7">
        <v>5</v>
      </c>
      <c r="H41" s="22" t="s">
        <v>650</v>
      </c>
      <c r="I41" s="13">
        <v>42677.326898148145</v>
      </c>
      <c r="J41" s="7">
        <v>0</v>
      </c>
      <c r="K41" s="112" t="str">
        <f t="shared" si="0"/>
        <v>4013/4014</v>
      </c>
      <c r="L41" s="22" t="str">
        <f>VLOOKUP(A41,'Trips&amp;Operators'!$C$1:$E$10000,3,FALSE)</f>
        <v>PERKINS</v>
      </c>
      <c r="M41" s="6">
        <f t="shared" si="1"/>
        <v>2.4641203701321501E-2</v>
      </c>
      <c r="N41" s="7">
        <f t="shared" si="24"/>
        <v>35.483333329902962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06:07:06-0600',mode:absolute,to:'2016-11-03 08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1" s="52" t="str">
        <f t="shared" si="6"/>
        <v>N</v>
      </c>
      <c r="X41" s="177">
        <f t="shared" si="23"/>
        <v>1</v>
      </c>
      <c r="Y41" s="67">
        <f t="shared" si="8"/>
        <v>4.58E-2</v>
      </c>
      <c r="Z41" s="67">
        <f t="shared" si="9"/>
        <v>23.330400000000001</v>
      </c>
      <c r="AA41" s="67">
        <f t="shared" si="10"/>
        <v>23.284600000000001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0129-03</v>
      </c>
      <c r="AE41" s="91" t="str">
        <f t="shared" si="12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41" s="88" t="str">
        <f t="shared" si="13"/>
        <v>"C:\Program Files (x86)\AstroGrep\AstroGrep.exe" /spath="%USERPROFILE%\AppData\Local\Temp\OnboardLogs" /stypes="app*4014*20161103*"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129-03 --locoid 4014 --swversion DE.1.0.8.0 --startMP 204:458 --initTime 2016-11-03T07:07:06 --startdatetime 2016-11-03T07:15:15 --delay 5 --endMP 204:233304 --enddatetime 2016-11-03T07:50:44 --enforcementcount 0 &gt;&gt;C:\Users\stu\Documents\GitHub\eaglep3-reporting\EC\2016-11-03-refined-times.txt</v>
      </c>
      <c r="AI4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{"issue":{"subject":"","project_id":79,"tracker_id":40,"status_id":1,"priority_id":2,"assigned_to_id":23,"start_date":"2016-11-03","description":"","custom_fields":[{"id":1,"name":"Subdivision","value":"EC"},{"id":4,"name":"Milepost","value":"23.3304"},{"id":17,"name":"Train ID","value":"129-03"},{"id":16,"name":"Locomotive ID","value":"4014"},{"id":130,"name":"Impact","value":""},{"id":150,"name":"Time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410</v>
      </c>
      <c r="B42" s="7">
        <v>4013</v>
      </c>
      <c r="C42" s="22" t="s">
        <v>245</v>
      </c>
      <c r="D42" s="22" t="s">
        <v>325</v>
      </c>
      <c r="E42" s="13">
        <v>42677.336157407408</v>
      </c>
      <c r="F42" s="13">
        <v>42677.341249999998</v>
      </c>
      <c r="G42" s="7">
        <v>1</v>
      </c>
      <c r="H42" s="22" t="s">
        <v>181</v>
      </c>
      <c r="I42" s="13">
        <v>42677.368333333332</v>
      </c>
      <c r="J42" s="7">
        <v>0</v>
      </c>
      <c r="K42" s="112" t="str">
        <f t="shared" si="0"/>
        <v>4013/4014</v>
      </c>
      <c r="L42" s="22" t="str">
        <f>VLOOKUP(A42,'Trips&amp;Operators'!$C$1:$E$10000,3,FALSE)</f>
        <v>PERKINS</v>
      </c>
      <c r="M42" s="6">
        <f t="shared" si="1"/>
        <v>2.7083333334303461E-2</v>
      </c>
      <c r="N42" s="7">
        <f t="shared" si="24"/>
        <v>39.000000001396984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07:04:04-0600',mode:absolute,to:'2016-11-03 09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2" s="52" t="str">
        <f t="shared" si="6"/>
        <v>N</v>
      </c>
      <c r="X42" s="177">
        <f t="shared" si="23"/>
        <v>1</v>
      </c>
      <c r="Y42" s="67">
        <f t="shared" si="8"/>
        <v>23.2987</v>
      </c>
      <c r="Z42" s="67">
        <f t="shared" si="9"/>
        <v>1.41E-2</v>
      </c>
      <c r="AA42" s="67">
        <f t="shared" si="10"/>
        <v>23.284600000000001</v>
      </c>
      <c r="AB42" s="64" t="str">
        <f>VLOOKUP(A42,Enforcements!$C$7:$K$21,8,0)</f>
        <v>Speed (6)</v>
      </c>
      <c r="AC42" s="60" t="str">
        <f>VLOOKUP(A42,Enforcements!$C$7:$E$21,3,0)</f>
        <v>PERMANENT SPEED RESTRICTION</v>
      </c>
      <c r="AD42" s="61" t="str">
        <f t="shared" si="11"/>
        <v>0130-03</v>
      </c>
      <c r="AE42" s="91" t="str">
        <f t="shared" si="12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42" s="88" t="str">
        <f t="shared" si="13"/>
        <v>"C:\Program Files (x86)\AstroGrep\AstroGrep.exe" /spath="%USERPROFILE%\AppData\Local\Temp\OnboardLogs" /stypes="app*4013*20161103*"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130-03 --locoid 4013 --swversion DE.1.0.8.0 --startMP 204:232987 --initTime 2016-11-03T08:04:04 --startdatetime 2016-11-03T08:11:24 --delay 1 --endMP 204:141 --enddatetime 2016-11-03T08:50:24 --enforcementcount 0 &gt;&gt;C:\Users\stu\Documents\GitHub\eaglep3-reporting\EC\2016-11-03-refined-times.txt</v>
      </c>
      <c r="AI42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{"issue":{"subject":"","project_id":79,"tracker_id":40,"status_id":1,"priority_id":2,"assigned_to_id":23,"start_date":"2016-11-03","description":"","custom_fields":[{"id":1,"name":"Subdivision","value":"EC"},{"id":4,"name":"Milepost","value":"0.0141"},{"id":17,"name":"Train ID","value":"130-03"},{"id":16,"name":"Locomotive ID","value":"4013"},{"id":130,"name":"Impact","value":""},{"id":150,"name":"Time of Event (Mountain Time)","value":"08:50:24"},{"id":151,"name":"Denver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488</v>
      </c>
      <c r="B43" s="7">
        <v>4042</v>
      </c>
      <c r="C43" s="22" t="s">
        <v>245</v>
      </c>
      <c r="D43" s="22" t="s">
        <v>211</v>
      </c>
      <c r="E43" s="13">
        <v>42677.304942129631</v>
      </c>
      <c r="F43" s="13">
        <v>42677.313055555554</v>
      </c>
      <c r="G43" s="7">
        <v>1</v>
      </c>
      <c r="H43" s="22" t="s">
        <v>651</v>
      </c>
      <c r="I43" s="13">
        <v>42677.336736111109</v>
      </c>
      <c r="J43" s="7">
        <v>0</v>
      </c>
      <c r="K43" s="112" t="str">
        <f t="shared" si="0"/>
        <v>4041/4042</v>
      </c>
      <c r="L43" s="22" t="str">
        <f>VLOOKUP(A43,'Trips&amp;Operators'!$C$1:$E$10000,3,FALSE)</f>
        <v>BEAM</v>
      </c>
      <c r="M43" s="6">
        <f t="shared" si="1"/>
        <v>2.3680555554165039E-2</v>
      </c>
      <c r="N43" s="7">
        <f t="shared" si="24"/>
        <v>34.099999997997656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06:19:07-0600',mode:absolute,to:'2016-11-03 09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7">
        <f t="shared" si="23"/>
        <v>1</v>
      </c>
      <c r="Y43" s="67">
        <f t="shared" si="8"/>
        <v>4.6600000000000003E-2</v>
      </c>
      <c r="Z43" s="67">
        <f t="shared" si="9"/>
        <v>23.328199999999999</v>
      </c>
      <c r="AA43" s="67">
        <f t="shared" si="10"/>
        <v>23.281599999999997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0131-03</v>
      </c>
      <c r="AE43" s="91" t="str">
        <f t="shared" si="12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43" s="88" t="str">
        <f t="shared" si="13"/>
        <v>"C:\Program Files (x86)\AstroGrep\AstroGrep.exe" /spath="%USERPROFILE%\AppData\Local\Temp\OnboardLogs" /stypes="app*4042*20161103*"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131-03 --locoid 4042 --swversion DE.1.0.8.0 --startMP 204:466 --initTime 2016-11-03T07:19:07 --startdatetime 2016-11-03T07:30:48 --delay 1 --endMP 204:233282 --enddatetime 2016-11-03T08:04:54 --enforcementcount 0 &gt;&gt;C:\Users\stu\Documents\GitHub\eaglep3-reporting\EC\2016-11-03-refined-times.txt</v>
      </c>
      <c r="AI4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{"issue":{"subject":"","project_id":79,"tracker_id":40,"status_id":1,"priority_id":2,"assigned_to_id":23,"start_date":"2016-11-03","description":"","custom_fields":[{"id":1,"name":"Subdivision","value":"EC"},{"id":4,"name":"Milepost","value":"23.3282"},{"id":17,"name":"Train ID","value":"131-03"},{"id":16,"name":"Locomotive ID","value":"4042"},{"id":130,"name":"Impact","value":""},{"id":150,"name":"Time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493</v>
      </c>
      <c r="B44" s="7">
        <v>4041</v>
      </c>
      <c r="C44" s="22" t="s">
        <v>245</v>
      </c>
      <c r="D44" s="22" t="s">
        <v>277</v>
      </c>
      <c r="E44" s="13">
        <v>42677.340509259258</v>
      </c>
      <c r="F44" s="13">
        <v>42677.351585648146</v>
      </c>
      <c r="G44" s="7">
        <v>2</v>
      </c>
      <c r="H44" s="22" t="s">
        <v>638</v>
      </c>
      <c r="I44" s="13">
        <v>42677.379421296297</v>
      </c>
      <c r="J44" s="7">
        <v>0</v>
      </c>
      <c r="K44" s="112" t="str">
        <f t="shared" si="0"/>
        <v>4041/4042</v>
      </c>
      <c r="L44" s="22" t="str">
        <f>VLOOKUP(A44,'Trips&amp;Operators'!$C$1:$E$10000,3,FALSE)</f>
        <v>BEAM</v>
      </c>
      <c r="M44" s="6">
        <f t="shared" si="1"/>
        <v>2.7835648150357883E-2</v>
      </c>
      <c r="N44" s="7">
        <f t="shared" si="24"/>
        <v>40.083333336515352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07:10:20-0600',mode:absolute,to:'2016-11-03 10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N</v>
      </c>
      <c r="X44" s="177">
        <f t="shared" si="23"/>
        <v>1</v>
      </c>
      <c r="Y44" s="67">
        <f t="shared" si="8"/>
        <v>23.297999999999998</v>
      </c>
      <c r="Z44" s="67">
        <f t="shared" si="9"/>
        <v>1.6E-2</v>
      </c>
      <c r="AA44" s="67">
        <f t="shared" si="10"/>
        <v>23.282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0132-03</v>
      </c>
      <c r="AE44" s="91" t="str">
        <f t="shared" si="12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44" s="88" t="str">
        <f t="shared" si="13"/>
        <v>"C:\Program Files (x86)\AstroGrep\AstroGrep.exe" /spath="%USERPROFILE%\AppData\Local\Temp\OnboardLogs" /stypes="app*4041*20161103*"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132-03 --locoid 4041 --swversion DE.1.0.8.0 --startMP 204:232980 --initTime 2016-11-03T08:10:20 --startdatetime 2016-11-03T08:26:17 --delay 2 --endMP 204:160 --enddatetime 2016-11-03T09:06:22 --enforcementcount 0 &gt;&gt;C:\Users\stu\Documents\GitHub\eaglep3-reporting\EC\2016-11-03-refined-times.txt</v>
      </c>
      <c r="AI4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ID","value":"132-03"},{"id":16,"name":"Locomotive ID","value":"4041"},{"id":130,"name":"Impact","value":""},{"id":150,"name":"Time of Event (Mountain Time)","value":"09:06:22"},{"id":151,"name":"Denver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490</v>
      </c>
      <c r="B45" s="7">
        <v>4016</v>
      </c>
      <c r="C45" s="22" t="s">
        <v>245</v>
      </c>
      <c r="D45" s="22" t="s">
        <v>258</v>
      </c>
      <c r="E45" s="13">
        <v>42677.320937500001</v>
      </c>
      <c r="F45" s="13">
        <v>42677.32309027778</v>
      </c>
      <c r="G45" s="7">
        <v>1</v>
      </c>
      <c r="H45" s="22" t="s">
        <v>652</v>
      </c>
      <c r="I45" s="13">
        <v>42677.347546296296</v>
      </c>
      <c r="J45" s="7">
        <v>0</v>
      </c>
      <c r="K45" s="112" t="str">
        <f t="shared" si="0"/>
        <v>4015/4016</v>
      </c>
      <c r="L45" s="22" t="str">
        <f>VLOOKUP(A45,'Trips&amp;Operators'!$C$1:$E$10000,3,FALSE)</f>
        <v>SANTIZO</v>
      </c>
      <c r="M45" s="6">
        <f t="shared" si="1"/>
        <v>2.4456018516502809E-2</v>
      </c>
      <c r="N45" s="7">
        <f t="shared" si="24"/>
        <v>35.216666663764045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06:42:09-0600',mode:absolute,to:'2016-11-03 09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5" s="52" t="str">
        <f t="shared" si="6"/>
        <v>N</v>
      </c>
      <c r="X45" s="177">
        <f t="shared" si="23"/>
        <v>1</v>
      </c>
      <c r="Y45" s="67">
        <f t="shared" si="8"/>
        <v>4.3799999999999999E-2</v>
      </c>
      <c r="Z45" s="67">
        <f t="shared" si="9"/>
        <v>23.331900000000001</v>
      </c>
      <c r="AA45" s="67">
        <f t="shared" si="10"/>
        <v>23.2881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0133-03</v>
      </c>
      <c r="AE45" s="91" t="str">
        <f t="shared" si="12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45" s="88" t="str">
        <f t="shared" si="13"/>
        <v>"C:\Program Files (x86)\AstroGrep\AstroGrep.exe" /spath="%USERPROFILE%\AppData\Local\Temp\OnboardLogs" /stypes="app*4016*20161103*"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133-03 --locoid 4016 --swversion DE.1.0.8.0 --startMP 204:438 --initTime 2016-11-03T07:42:09 --startdatetime 2016-11-03T07:45:15 --delay 1 --endMP 204:233319 --enddatetime 2016-11-03T08:20:28 --enforcementcount 0 &gt;&gt;C:\Users\stu\Documents\GitHub\eaglep3-reporting\EC\2016-11-03-refined-times.txt</v>
      </c>
      <c r="AI4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{"issue":{"subject":"","project_id":79,"tracker_id":40,"status_id":1,"priority_id":2,"assigned_to_id":23,"start_date":"2016-11-03","description":"","custom_fields":[{"id":1,"name":"Subdivision","value":"EC"},{"id":4,"name":"Milepost","value":"23.3319"},{"id":17,"name":"Train ID","value":"133-03"},{"id":16,"name":"Locomotive ID","value":"4016"},{"id":130,"name":"Impact","value":""},{"id":150,"name":"Time of Event (Mountain Time)","value":"08:20:28"},{"id":151,"name":"Denver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495</v>
      </c>
      <c r="B46" s="7">
        <v>4015</v>
      </c>
      <c r="C46" s="22" t="s">
        <v>245</v>
      </c>
      <c r="D46" s="22" t="s">
        <v>335</v>
      </c>
      <c r="E46" s="13">
        <v>42677.349097222221</v>
      </c>
      <c r="F46" s="13">
        <v>42677.362037037034</v>
      </c>
      <c r="G46" s="7">
        <v>0</v>
      </c>
      <c r="H46" s="22" t="s">
        <v>257</v>
      </c>
      <c r="I46" s="13">
        <v>42677.387627314813</v>
      </c>
      <c r="J46" s="7">
        <v>0</v>
      </c>
      <c r="K46" s="112" t="str">
        <f t="shared" si="0"/>
        <v>4015/4016</v>
      </c>
      <c r="L46" s="22" t="str">
        <f>VLOOKUP(A46,'Trips&amp;Operators'!$C$1:$E$10000,3,FALSE)</f>
        <v>SANTIZO</v>
      </c>
      <c r="M46" s="6">
        <f t="shared" si="1"/>
        <v>2.5590277778974269E-2</v>
      </c>
      <c r="N46" s="7">
        <f t="shared" si="24"/>
        <v>36.850000001722947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07:22:42-0600',mode:absolute,to:'2016-11-03 10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6" s="52" t="str">
        <f t="shared" si="6"/>
        <v>N</v>
      </c>
      <c r="X46" s="177">
        <f t="shared" si="23"/>
        <v>1</v>
      </c>
      <c r="Y46" s="67">
        <f t="shared" si="8"/>
        <v>23.3004</v>
      </c>
      <c r="Z46" s="67">
        <f t="shared" si="9"/>
        <v>1.3599999999999999E-2</v>
      </c>
      <c r="AA46" s="67">
        <f t="shared" si="10"/>
        <v>23.286799999999999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0134-03</v>
      </c>
      <c r="AE46" s="91" t="str">
        <f t="shared" si="12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46" s="88" t="str">
        <f t="shared" si="13"/>
        <v>"C:\Program Files (x86)\AstroGrep\AstroGrep.exe" /spath="%USERPROFILE%\AppData\Local\Temp\OnboardLogs" /stypes="app*4015*20161103*"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134-03 --locoid 4015 --swversion DE.1.0.8.0 --startMP 204:233004 --initTime 2016-11-03T08:22:42 --startdatetime 2016-11-03T08:41:20 --delay 0 --endMP 204:136 --enddatetime 2016-11-03T09:18:11 --enforcementcount 0 &gt;&gt;C:\Users\stu\Documents\GitHub\eaglep3-reporting\EC\2016-11-03-refined-times.txt</v>
      </c>
      <c r="AI4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{"issue":{"subject":"","project_id":79,"tracker_id":40,"status_id":1,"priority_id":2,"assigned_to_id":23,"start_date":"2016-11-03","description":"","custom_fields":[{"id":1,"name":"Subdivision","value":"EC"},{"id":4,"name":"Milepost","value":"0.0136"},{"id":17,"name":"Train ID","value":"134-03"},{"id":16,"name":"Locomotive ID","value":"4015"},{"id":130,"name":"Impact","value":""},{"id":150,"name":"Time of Event (Mountain Time)","value":"09:18:11"},{"id":151,"name":"Denver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411</v>
      </c>
      <c r="B47" s="7">
        <v>4025</v>
      </c>
      <c r="C47" s="22" t="s">
        <v>245</v>
      </c>
      <c r="D47" s="22" t="s">
        <v>230</v>
      </c>
      <c r="E47" s="13">
        <v>42677.328935185185</v>
      </c>
      <c r="F47" s="13">
        <v>42677.333784722221</v>
      </c>
      <c r="G47" s="7">
        <v>2</v>
      </c>
      <c r="H47" s="22" t="s">
        <v>653</v>
      </c>
      <c r="I47" s="13">
        <v>42677.360972222225</v>
      </c>
      <c r="J47" s="7">
        <v>0</v>
      </c>
      <c r="K47" s="112" t="str">
        <f t="shared" si="0"/>
        <v>4025/4026</v>
      </c>
      <c r="L47" s="22" t="str">
        <f>VLOOKUP(A47,'Trips&amp;Operators'!$C$1:$E$10000,3,FALSE)</f>
        <v>WHITED</v>
      </c>
      <c r="M47" s="6">
        <f t="shared" si="1"/>
        <v>2.718750000349246E-2</v>
      </c>
      <c r="N47" s="7">
        <f t="shared" si="24"/>
        <v>39.150000005029142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06:53:40-0600',mode:absolute,to:'2016-11-03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7" s="52" t="str">
        <f t="shared" si="6"/>
        <v>N</v>
      </c>
      <c r="X47" s="177">
        <f t="shared" si="23"/>
        <v>1</v>
      </c>
      <c r="Y47" s="67">
        <f t="shared" si="8"/>
        <v>4.6199999999999998E-2</v>
      </c>
      <c r="Z47" s="67">
        <f t="shared" si="9"/>
        <v>23.326799999999999</v>
      </c>
      <c r="AA47" s="67">
        <f t="shared" si="10"/>
        <v>23.2806</v>
      </c>
      <c r="AB47" s="64" t="str">
        <f>VLOOKUP(A47,Enforcements!$C$7:$K$21,8,0)</f>
        <v>Speed (6)</v>
      </c>
      <c r="AC47" s="60" t="str">
        <f>VLOOKUP(A47,Enforcements!$C$7:$E$21,3,0)</f>
        <v>PERMANENT SPEED RESTRICTION</v>
      </c>
      <c r="AD47" s="61" t="str">
        <f t="shared" si="11"/>
        <v>0135-03</v>
      </c>
      <c r="AE47" s="91" t="str">
        <f t="shared" si="12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47" s="88" t="str">
        <f t="shared" si="13"/>
        <v>"C:\Program Files (x86)\AstroGrep\AstroGrep.exe" /spath="%USERPROFILE%\AppData\Local\Temp\OnboardLogs" /stypes="app*4025*20161103*"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135-03 --locoid 4025 --swversion DE.1.0.8.0 --startMP 204:462 --initTime 2016-11-03T07:53:40 --startdatetime 2016-11-03T08:00:39 --delay 2 --endMP 204:233268 --enddatetime 2016-11-03T08:39:48 --enforcementcount 0 &gt;&gt;C:\Users\stu\Documents\GitHub\eaglep3-reporting\EC\2016-11-03-refined-times.txt</v>
      </c>
      <c r="AI4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{"issue":{"subject":"","project_id":79,"tracker_id":40,"status_id":1,"priority_id":2,"assigned_to_id":23,"start_date":"2016-11-03","description":"","custom_fields":[{"id":1,"name":"Subdivision","value":"EC"},{"id":4,"name":"Milepost","value":"23.3268"},{"id":17,"name":"Train ID","value":"135-03"},{"id":16,"name":"Locomotive ID","value":"4025"},{"id":130,"name":"Impact","value":""},{"id":150,"name":"Time of Event (Mountain Time)","value":"08:39:48"},{"id":151,"name":"Denver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500</v>
      </c>
      <c r="B48" s="7">
        <v>4026</v>
      </c>
      <c r="C48" s="22" t="s">
        <v>245</v>
      </c>
      <c r="D48" s="22" t="s">
        <v>649</v>
      </c>
      <c r="E48" s="13">
        <v>42677.369780092595</v>
      </c>
      <c r="F48" s="13">
        <v>42677.373773148145</v>
      </c>
      <c r="G48" s="7">
        <v>2</v>
      </c>
      <c r="H48" s="22" t="s">
        <v>175</v>
      </c>
      <c r="I48" s="13">
        <v>42677.401180555556</v>
      </c>
      <c r="J48" s="7">
        <v>0</v>
      </c>
      <c r="K48" s="112" t="str">
        <f t="shared" si="0"/>
        <v>4025/4026</v>
      </c>
      <c r="L48" s="22" t="str">
        <f>VLOOKUP(A48,'Trips&amp;Operators'!$C$1:$E$10000,3,FALSE)</f>
        <v>WHITED</v>
      </c>
      <c r="M48" s="6">
        <f t="shared" si="1"/>
        <v>2.7407407411374152E-2</v>
      </c>
      <c r="N48" s="7">
        <f t="shared" si="24"/>
        <v>39.466666672378778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07:52:29-0600',mode:absolute,to:'2016-11-03 10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8" s="52" t="str">
        <f t="shared" si="6"/>
        <v>N</v>
      </c>
      <c r="X48" s="177">
        <f t="shared" si="23"/>
        <v>1</v>
      </c>
      <c r="Y48" s="67">
        <f t="shared" si="8"/>
        <v>23.296700000000001</v>
      </c>
      <c r="Z48" s="67">
        <f t="shared" si="9"/>
        <v>1.47E-2</v>
      </c>
      <c r="AA48" s="67">
        <f t="shared" si="10"/>
        <v>23.282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0136-03</v>
      </c>
      <c r="AE48" s="91" t="str">
        <f t="shared" si="12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48" s="88" t="str">
        <f t="shared" si="13"/>
        <v>"C:\Program Files (x86)\AstroGrep\AstroGrep.exe" /spath="%USERPROFILE%\AppData\Local\Temp\OnboardLogs" /stypes="app*4026*20161103*"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136-03 --locoid 4026 --swversion DE.1.0.8.0 --startMP 204:232967 --initTime 2016-11-03T08:52:29 --startdatetime 2016-11-03T08:58:14 --delay 2 --endMP 204:147 --enddatetime 2016-11-03T09:37:42 --enforcementcount 0 &gt;&gt;C:\Users\stu\Documents\GitHub\eaglep3-reporting\EC\2016-11-03-refined-times.txt</v>
      </c>
      <c r="AI4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{"issue":{"subject":"","project_id":79,"tracker_id":40,"status_id":1,"priority_id":2,"assigned_to_id":23,"start_date":"2016-11-03","description":"","custom_fields":[{"id":1,"name":"Subdivision","value":"EC"},{"id":4,"name":"Milepost","value":"0.0147"},{"id":17,"name":"Train ID","value":"136-03"},{"id":16,"name":"Locomotive ID","value":"4026"},{"id":130,"name":"Impact","value":""},{"id":150,"name":"Time of Event (Mountain Time)","value":"09:37:42"},{"id":151,"name":"Denver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494</v>
      </c>
      <c r="B49" s="7">
        <v>4029</v>
      </c>
      <c r="C49" s="22" t="s">
        <v>245</v>
      </c>
      <c r="D49" s="22" t="s">
        <v>230</v>
      </c>
      <c r="E49" s="13">
        <v>42677.342835648145</v>
      </c>
      <c r="F49" s="13">
        <v>42677.34412037037</v>
      </c>
      <c r="G49" s="7">
        <v>0</v>
      </c>
      <c r="H49" s="22" t="s">
        <v>654</v>
      </c>
      <c r="I49" s="13">
        <v>42677.368125000001</v>
      </c>
      <c r="J49" s="7">
        <v>0</v>
      </c>
      <c r="K49" s="112" t="str">
        <f t="shared" si="0"/>
        <v>4029/4030</v>
      </c>
      <c r="L49" s="22" t="str">
        <f>VLOOKUP(A49,'Trips&amp;Operators'!$C$1:$E$10000,3,FALSE)</f>
        <v>NELSON</v>
      </c>
      <c r="M49" s="6">
        <f t="shared" si="1"/>
        <v>2.400462963123573E-2</v>
      </c>
      <c r="N49" s="7">
        <f t="shared" si="24"/>
        <v>34.566666668979451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07:13:41-0600',mode:absolute,to:'2016-11-03 09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9" s="52" t="str">
        <f t="shared" si="6"/>
        <v>N</v>
      </c>
      <c r="X49" s="177">
        <f t="shared" si="23"/>
        <v>1</v>
      </c>
      <c r="Y49" s="67">
        <f t="shared" si="8"/>
        <v>4.6199999999999998E-2</v>
      </c>
      <c r="Z49" s="67">
        <f t="shared" si="9"/>
        <v>23.328099999999999</v>
      </c>
      <c r="AA49" s="67">
        <f t="shared" si="10"/>
        <v>23.2819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0137-03</v>
      </c>
      <c r="AE49" s="91" t="str">
        <f t="shared" si="12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49" s="88" t="str">
        <f t="shared" si="13"/>
        <v>"C:\Program Files (x86)\AstroGrep\AstroGrep.exe" /spath="%USERPROFILE%\AppData\Local\Temp\OnboardLogs" /stypes="app*4029*20161103*"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137-03 --locoid 4029 --swversion DE.1.0.8.0 --startMP 204:462 --initTime 2016-11-03T08:13:41 --startdatetime 2016-11-03T08:15:32 --delay 0 --endMP 204:233281 --enddatetime 2016-11-03T08:50:06 --enforcementcount 0 &gt;&gt;C:\Users\stu\Documents\GitHub\eaglep3-reporting\EC\2016-11-03-refined-times.txt</v>
      </c>
      <c r="AI4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{"issue":{"subject":"","project_id":79,"tracker_id":40,"status_id":1,"priority_id":2,"assigned_to_id":23,"start_date":"2016-11-03","description":"","custom_fields":[{"id":1,"name":"Subdivision","value":"EC"},{"id":4,"name":"Milepost","value":"23.3281"},{"id":17,"name":"Train ID","value":"137-03"},{"id":16,"name":"Locomotive ID","value":"4029"},{"id":130,"name":"Impact","value":""},{"id":150,"name":"Time of Event (Mountain Time)","value":"08:50:06"},{"id":151,"name":"Denver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502</v>
      </c>
      <c r="B50" s="7">
        <v>4030</v>
      </c>
      <c r="C50" s="22" t="s">
        <v>245</v>
      </c>
      <c r="D50" s="22" t="s">
        <v>655</v>
      </c>
      <c r="E50" s="13">
        <v>42677.381435185183</v>
      </c>
      <c r="F50" s="13">
        <v>42677.382939814815</v>
      </c>
      <c r="G50" s="7">
        <v>1</v>
      </c>
      <c r="H50" s="22" t="s">
        <v>225</v>
      </c>
      <c r="I50" s="13">
        <v>42677.407858796294</v>
      </c>
      <c r="J50" s="7">
        <v>0</v>
      </c>
      <c r="K50" s="112" t="str">
        <f t="shared" si="0"/>
        <v>4029/4030</v>
      </c>
      <c r="L50" s="22" t="str">
        <f>VLOOKUP(A50,'Trips&amp;Operators'!$C$1:$E$10000,3,FALSE)</f>
        <v>NELSON</v>
      </c>
      <c r="M50" s="6">
        <f t="shared" si="1"/>
        <v>2.491898147854954E-2</v>
      </c>
      <c r="N50" s="7">
        <f t="shared" si="24"/>
        <v>35.883333329111338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08:09:16-0600',mode:absolute,to:'2016-11-03 10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0" s="52" t="str">
        <f t="shared" si="6"/>
        <v>N</v>
      </c>
      <c r="X50" s="177">
        <f t="shared" si="23"/>
        <v>1</v>
      </c>
      <c r="Y50" s="67">
        <f t="shared" si="8"/>
        <v>23.296399999999998</v>
      </c>
      <c r="Z50" s="67">
        <f t="shared" si="9"/>
        <v>1.5599999999999999E-2</v>
      </c>
      <c r="AA50" s="67">
        <f t="shared" si="10"/>
        <v>23.280799999999999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0138-03</v>
      </c>
      <c r="AE50" s="91" t="str">
        <f t="shared" si="12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50" s="88" t="str">
        <f t="shared" si="13"/>
        <v>"C:\Program Files (x86)\AstroGrep\AstroGrep.exe" /spath="%USERPROFILE%\AppData\Local\Temp\OnboardLogs" /stypes="app*4030*20161103*"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138-03 --locoid 4030 --swversion DE.1.0.8.0 --startMP 204:232964 --initTime 2016-11-03T09:09:16 --startdatetime 2016-11-03T09:11:26 --delay 1 --endMP 204:156 --enddatetime 2016-11-03T09:47:19 --enforcementcount 0 &gt;&gt;C:\Users\stu\Documents\GitHub\eaglep3-reporting\EC\2016-11-03-refined-times.txt</v>
      </c>
      <c r="AI50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{"issue":{"subject":"","project_id":79,"tracker_id":40,"status_id":1,"priority_id":2,"assigned_to_id":23,"start_date":"2016-11-03","description":"","custom_fields":[{"id":1,"name":"Subdivision","value":"EC"},{"id":4,"name":"Milepost","value":"0.0156"},{"id":17,"name":"Train ID","value":"138-03"},{"id":16,"name":"Locomotive ID","value":"4030"},{"id":130,"name":"Impact","value":""},{"id":150,"name":"Time of Event (Mountain Time)","value":"09:47:19"},{"id":151,"name":"Denver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412</v>
      </c>
      <c r="B51" s="7">
        <v>4031</v>
      </c>
      <c r="C51" s="22" t="s">
        <v>245</v>
      </c>
      <c r="D51" s="22" t="s">
        <v>656</v>
      </c>
      <c r="E51" s="13">
        <v>42677.349120370367</v>
      </c>
      <c r="F51" s="13">
        <v>42677.354432870372</v>
      </c>
      <c r="G51" s="7">
        <v>1</v>
      </c>
      <c r="H51" s="22" t="s">
        <v>376</v>
      </c>
      <c r="I51" s="13">
        <v>42677.379629629628</v>
      </c>
      <c r="J51" s="7">
        <v>0</v>
      </c>
      <c r="K51" s="112" t="str">
        <f t="shared" si="0"/>
        <v>4031/4032</v>
      </c>
      <c r="L51" s="22" t="str">
        <f>VLOOKUP(A51,'Trips&amp;Operators'!$C$1:$E$10000,3,FALSE)</f>
        <v>STARKS</v>
      </c>
      <c r="M51" s="6">
        <f t="shared" si="1"/>
        <v>2.5196759255777579E-2</v>
      </c>
      <c r="N51" s="7">
        <f t="shared" si="24"/>
        <v>36.283333328319713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07:22:44-0600',mode:absolute,to:'2016-11-03 10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1" s="52" t="str">
        <f t="shared" si="6"/>
        <v>N</v>
      </c>
      <c r="X51" s="177">
        <f t="shared" si="23"/>
        <v>1</v>
      </c>
      <c r="Y51" s="67">
        <f t="shared" si="8"/>
        <v>4.9700000000000001E-2</v>
      </c>
      <c r="Z51" s="67">
        <f t="shared" si="9"/>
        <v>23.330500000000001</v>
      </c>
      <c r="AA51" s="67">
        <f t="shared" si="10"/>
        <v>23.280799999999999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0139-03</v>
      </c>
      <c r="AE51" s="91" t="str">
        <f t="shared" si="12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51" s="88" t="str">
        <f t="shared" si="13"/>
        <v>"C:\Program Files (x86)\AstroGrep\AstroGrep.exe" /spath="%USERPROFILE%\AppData\Local\Temp\OnboardLogs" /stypes="app*4031*20161103*"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139-03 --locoid 4031 --swversion DE.1.0.8.0 --startMP 204:497 --initTime 2016-11-03T08:22:44 --startdatetime 2016-11-03T08:30:23 --delay 1 --endMP 204:233305 --enddatetime 2016-11-03T09:06:40 --enforcementcount 0 &gt;&gt;C:\Users\stu\Documents\GitHub\eaglep3-reporting\EC\2016-11-03-refined-times.txt</v>
      </c>
      <c r="AI5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{"issue":{"subject":"","project_id":79,"tracker_id":40,"status_id":1,"priority_id":2,"assigned_to_id":23,"start_date":"2016-11-03","description":"","custom_fields":[{"id":1,"name":"Subdivision","value":"EC"},{"id":4,"name":"Milepost","value":"23.3305"},{"id":17,"name":"Train ID","value":"139-03"},{"id":16,"name":"Locomotive ID","value":"4031"},{"id":130,"name":"Impact","value":""},{"id":150,"name":"Time of Event (Mountain Time)","value":"09:06:40"},{"id":151,"name":"Denver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504</v>
      </c>
      <c r="B52" s="7">
        <v>4032</v>
      </c>
      <c r="C52" s="22" t="s">
        <v>245</v>
      </c>
      <c r="D52" s="22" t="s">
        <v>373</v>
      </c>
      <c r="E52" s="13">
        <v>42677.389756944445</v>
      </c>
      <c r="F52" s="13">
        <v>42677.393275462964</v>
      </c>
      <c r="G52" s="7">
        <v>1</v>
      </c>
      <c r="H52" s="22" t="s">
        <v>176</v>
      </c>
      <c r="I52" s="13">
        <v>42677.419618055559</v>
      </c>
      <c r="J52" s="7">
        <v>0</v>
      </c>
      <c r="K52" s="112" t="str">
        <f t="shared" si="0"/>
        <v>4031/4032</v>
      </c>
      <c r="L52" s="22" t="str">
        <f>VLOOKUP(A52,'Trips&amp;Operators'!$C$1:$E$10000,3,FALSE)</f>
        <v>STARKS</v>
      </c>
      <c r="M52" s="6">
        <f t="shared" si="1"/>
        <v>2.6342592595028691E-2</v>
      </c>
      <c r="N52" s="7">
        <f t="shared" si="24"/>
        <v>37.933333336841315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08:21:15-0600',mode:absolute,to:'2016-11-03 11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2" s="52" t="str">
        <f t="shared" si="6"/>
        <v>N</v>
      </c>
      <c r="X52" s="177">
        <f t="shared" si="23"/>
        <v>1</v>
      </c>
      <c r="Y52" s="67">
        <f t="shared" si="8"/>
        <v>23.2986</v>
      </c>
      <c r="Z52" s="67">
        <f t="shared" si="9"/>
        <v>1.52E-2</v>
      </c>
      <c r="AA52" s="67">
        <f t="shared" si="10"/>
        <v>23.2834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0140-03</v>
      </c>
      <c r="AE52" s="91" t="str">
        <f t="shared" si="12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52" s="88" t="str">
        <f t="shared" si="13"/>
        <v>"C:\Program Files (x86)\AstroGrep\AstroGrep.exe" /spath="%USERPROFILE%\AppData\Local\Temp\OnboardLogs" /stypes="app*4032*20161103*"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140-03 --locoid 4032 --swversion DE.1.0.8.0 --startMP 204:232986 --initTime 2016-11-03T09:21:15 --startdatetime 2016-11-03T09:26:19 --delay 1 --endMP 204:152 --enddatetime 2016-11-03T10:04:15 --enforcementcount 0 &gt;&gt;C:\Users\stu\Documents\GitHub\eaglep3-reporting\EC\2016-11-03-refined-times.txt</v>
      </c>
      <c r="AI52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{"issue":{"subject":"","project_id":79,"tracker_id":40,"status_id":1,"priority_id":2,"assigned_to_id":23,"start_date":"2016-11-03","description":"","custom_fields":[{"id":1,"name":"Subdivision","value":"EC"},{"id":4,"name":"Milepost","value":"0.0152"},{"id":17,"name":"Train ID","value":"140-03"},{"id":16,"name":"Locomotive ID","value":"4032"},{"id":130,"name":"Impact","value":""},{"id":150,"name":"Time of Event (Mountain Time)","value":"10:04:15"},{"id":151,"name":"Denver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498</v>
      </c>
      <c r="B53" s="7">
        <v>4040</v>
      </c>
      <c r="C53" s="22" t="s">
        <v>245</v>
      </c>
      <c r="D53" s="22" t="s">
        <v>211</v>
      </c>
      <c r="E53" s="13">
        <v>42677.361087962963</v>
      </c>
      <c r="F53" s="13">
        <v>42677.365057870367</v>
      </c>
      <c r="G53" s="7">
        <v>1</v>
      </c>
      <c r="H53" s="22" t="s">
        <v>295</v>
      </c>
      <c r="I53" s="13">
        <v>42677.389467592591</v>
      </c>
      <c r="J53" s="7">
        <v>0</v>
      </c>
      <c r="K53" s="112" t="str">
        <f t="shared" si="0"/>
        <v>4039/4040</v>
      </c>
      <c r="L53" s="22" t="str">
        <f>VLOOKUP(A53,'Trips&amp;Operators'!$C$1:$E$10000,3,FALSE)</f>
        <v>LOZA</v>
      </c>
      <c r="M53" s="6">
        <f t="shared" si="1"/>
        <v>2.4409722223936114E-2</v>
      </c>
      <c r="N53" s="7">
        <f t="shared" si="24"/>
        <v>35.150000002468005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07:39:58-0600',mode:absolute,to:'2016-11-03 10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3" s="52" t="str">
        <f t="shared" si="6"/>
        <v>N</v>
      </c>
      <c r="X53" s="177">
        <f t="shared" si="23"/>
        <v>1</v>
      </c>
      <c r="Y53" s="67">
        <f t="shared" si="8"/>
        <v>4.6600000000000003E-2</v>
      </c>
      <c r="Z53" s="67">
        <f t="shared" si="9"/>
        <v>23.331199999999999</v>
      </c>
      <c r="AA53" s="67">
        <f t="shared" si="10"/>
        <v>23.284599999999998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0141-03</v>
      </c>
      <c r="AE53" s="91" t="str">
        <f t="shared" si="12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53" s="88" t="str">
        <f t="shared" si="13"/>
        <v>"C:\Program Files (x86)\AstroGrep\AstroGrep.exe" /spath="%USERPROFILE%\AppData\Local\Temp\OnboardLogs" /stypes="app*4040*20161103*"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141-03 --locoid 4040 --swversion DE.1.0.8.0 --startMP 204:466 --initTime 2016-11-03T08:39:58 --startdatetime 2016-11-03T08:45:41 --delay 1 --endMP 204:233312 --enddatetime 2016-11-03T09:20:50 --enforcementcount 0 &gt;&gt;C:\Users\stu\Documents\GitHub\eaglep3-reporting\EC\2016-11-03-refined-times.txt</v>
      </c>
      <c r="AI5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{"issue":{"subject":"","project_id":79,"tracker_id":40,"status_id":1,"priority_id":2,"assigned_to_id":23,"start_date":"2016-11-03","description":"","custom_fields":[{"id":1,"name":"Subdivision","value":"EC"},{"id":4,"name":"Milepost","value":"23.3312"},{"id":17,"name":"Train ID","value":"141-03"},{"id":16,"name":"Locomotive ID","value":"4040"},{"id":130,"name":"Impact","value":""},{"id":150,"name":"Time of Event (Mountain Time)","value":"09:20:50"},{"id":151,"name":"Denver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506</v>
      </c>
      <c r="B54" s="7">
        <v>4039</v>
      </c>
      <c r="C54" s="22" t="s">
        <v>245</v>
      </c>
      <c r="D54" s="22" t="s">
        <v>243</v>
      </c>
      <c r="E54" s="13">
        <v>42677.400960648149</v>
      </c>
      <c r="F54" s="13">
        <v>42677.403807870367</v>
      </c>
      <c r="G54" s="7">
        <v>1</v>
      </c>
      <c r="H54" s="22" t="s">
        <v>207</v>
      </c>
      <c r="I54" s="13">
        <v>42677.429606481484</v>
      </c>
      <c r="J54" s="7">
        <v>0</v>
      </c>
      <c r="K54" s="112" t="str">
        <f t="shared" si="0"/>
        <v>4039/4040</v>
      </c>
      <c r="L54" s="22" t="str">
        <f>VLOOKUP(A54,'Trips&amp;Operators'!$C$1:$E$10000,3,FALSE)</f>
        <v>LOZA</v>
      </c>
      <c r="M54" s="6">
        <f t="shared" si="1"/>
        <v>2.5798611117352266E-2</v>
      </c>
      <c r="N54" s="7">
        <f t="shared" si="24"/>
        <v>37.150000008987263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08:37:23-0600',mode:absolute,to:'2016-11-03 11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4" s="52" t="str">
        <f t="shared" si="6"/>
        <v>N</v>
      </c>
      <c r="X54" s="177">
        <f t="shared" si="23"/>
        <v>1</v>
      </c>
      <c r="Y54" s="67">
        <f t="shared" si="8"/>
        <v>23.298100000000002</v>
      </c>
      <c r="Z54" s="67">
        <f t="shared" si="9"/>
        <v>1.43E-2</v>
      </c>
      <c r="AA54" s="67">
        <f t="shared" si="10"/>
        <v>23.283800000000003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0142-03</v>
      </c>
      <c r="AE54" s="91" t="str">
        <f t="shared" si="12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54" s="88" t="str">
        <f t="shared" si="13"/>
        <v>"C:\Program Files (x86)\AstroGrep\AstroGrep.exe" /spath="%USERPROFILE%\AppData\Local\Temp\OnboardLogs" /stypes="app*4039*20161103*"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142-03 --locoid 4039 --swversion DE.1.0.8.0 --startMP 204:232981 --initTime 2016-11-03T09:37:23 --startdatetime 2016-11-03T09:41:29 --delay 1 --endMP 204:143 --enddatetime 2016-11-03T10:18:38 --enforcementcount 0 &gt;&gt;C:\Users\stu\Documents\GitHub\eaglep3-reporting\EC\2016-11-03-refined-times.txt</v>
      </c>
      <c r="AI5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ID","value":"142-03"},{"id":16,"name":"Locomotive ID","value":"4039"},{"id":130,"name":"Impact","value":""},{"id":150,"name":"Time of Event (Mountain Time)","value":"10:18:38"},{"id":151,"name":"Denver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499</v>
      </c>
      <c r="B55" s="7">
        <v>4014</v>
      </c>
      <c r="C55" s="22" t="s">
        <v>245</v>
      </c>
      <c r="D55" s="22" t="s">
        <v>240</v>
      </c>
      <c r="E55" s="13">
        <v>42677.370416666665</v>
      </c>
      <c r="F55" s="13">
        <v>42677.375196759262</v>
      </c>
      <c r="G55" s="7">
        <v>5</v>
      </c>
      <c r="H55" s="22" t="s">
        <v>657</v>
      </c>
      <c r="I55" s="13">
        <v>42677.39943287037</v>
      </c>
      <c r="J55" s="7">
        <v>0</v>
      </c>
      <c r="K55" s="112" t="str">
        <f t="shared" si="0"/>
        <v>4013/4014</v>
      </c>
      <c r="L55" s="22" t="str">
        <f>VLOOKUP(A55,'Trips&amp;Operators'!$C$1:$E$10000,3,FALSE)</f>
        <v>PERKINS</v>
      </c>
      <c r="M55" s="6">
        <f t="shared" si="1"/>
        <v>2.4236111108621117E-2</v>
      </c>
      <c r="N55" s="7">
        <f t="shared" si="24"/>
        <v>34.899999996414408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07:53:24-0600',mode:absolute,to:'2016-11-03 10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5" s="52" t="str">
        <f t="shared" si="6"/>
        <v>N</v>
      </c>
      <c r="X55" s="177">
        <f t="shared" si="23"/>
        <v>1</v>
      </c>
      <c r="Y55" s="67">
        <f t="shared" si="8"/>
        <v>4.6399999999999997E-2</v>
      </c>
      <c r="Z55" s="67">
        <f t="shared" si="9"/>
        <v>23.328399999999998</v>
      </c>
      <c r="AA55" s="67">
        <f t="shared" si="10"/>
        <v>23.282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0143-03</v>
      </c>
      <c r="AE55" s="91" t="str">
        <f t="shared" si="12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55" s="88" t="str">
        <f t="shared" si="13"/>
        <v>"C:\Program Files (x86)\AstroGrep\AstroGrep.exe" /spath="%USERPROFILE%\AppData\Local\Temp\OnboardLogs" /stypes="app*4014*20161103*"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143-03 --locoid 4014 --swversion DE.1.0.8.0 --startMP 204:464 --initTime 2016-11-03T08:53:24 --startdatetime 2016-11-03T09:00:17 --delay 5 --endMP 204:233284 --enddatetime 2016-11-03T09:35:11 --enforcementcount 0 &gt;&gt;C:\Users\stu\Documents\GitHub\eaglep3-reporting\EC\2016-11-03-refined-times.txt</v>
      </c>
      <c r="AI5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{"issue":{"subject":"","project_id":79,"tracker_id":40,"status_id":1,"priority_id":2,"assigned_to_id":23,"start_date":"2016-11-03","description":"","custom_fields":[{"id":1,"name":"Subdivision","value":"EC"},{"id":4,"name":"Milepost","value":"23.3284"},{"id":17,"name":"Train ID","value":"143-03"},{"id":16,"name":"Locomotive ID","value":"4014"},{"id":130,"name":"Impact","value":""},{"id":150,"name":"Time of Event (Mountain Time)","value":"09:35:11"},{"id":151,"name":"Denver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508</v>
      </c>
      <c r="B56" s="7">
        <v>4013</v>
      </c>
      <c r="C56" s="22" t="s">
        <v>245</v>
      </c>
      <c r="D56" s="22" t="s">
        <v>277</v>
      </c>
      <c r="E56" s="13">
        <v>42677.406712962962</v>
      </c>
      <c r="F56" s="13">
        <v>42677.414247685185</v>
      </c>
      <c r="G56" s="7">
        <v>1</v>
      </c>
      <c r="H56" s="22" t="s">
        <v>176</v>
      </c>
      <c r="I56" s="13">
        <v>42677.440370370372</v>
      </c>
      <c r="J56" s="7">
        <v>0</v>
      </c>
      <c r="K56" s="112" t="str">
        <f t="shared" si="0"/>
        <v>4013/4014</v>
      </c>
      <c r="L56" s="22" t="str">
        <f>VLOOKUP(A56,'Trips&amp;Operators'!$C$1:$E$10000,3,FALSE)</f>
        <v>PERKINS</v>
      </c>
      <c r="M56" s="6">
        <f t="shared" si="1"/>
        <v>2.6122685187146999E-2</v>
      </c>
      <c r="N56" s="7">
        <f t="shared" si="24"/>
        <v>37.616666669491678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08:45:40-0600',mode:absolute,to:'2016-11-03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6" s="52" t="str">
        <f t="shared" si="6"/>
        <v>N</v>
      </c>
      <c r="X56" s="177">
        <f t="shared" ref="X56:X59" si="25">VALUE(LEFT(AD56,4))-VALUE(LEFT(AD55,4))</f>
        <v>1</v>
      </c>
      <c r="Y56" s="67">
        <f t="shared" si="8"/>
        <v>23.297999999999998</v>
      </c>
      <c r="Z56" s="67">
        <f t="shared" si="9"/>
        <v>1.52E-2</v>
      </c>
      <c r="AA56" s="67">
        <f t="shared" si="10"/>
        <v>23.282799999999998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0144-03</v>
      </c>
      <c r="AE56" s="91" t="str">
        <f t="shared" si="12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56" s="88" t="str">
        <f t="shared" si="13"/>
        <v>"C:\Program Files (x86)\AstroGrep\AstroGrep.exe" /spath="%USERPROFILE%\AppData\Local\Temp\OnboardLogs" /stypes="app*4013*20161103*"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144-03 --locoid 4013 --swversion DE.1.0.8.0 --startMP 204:232980 --initTime 2016-11-03T09:45:40 --startdatetime 2016-11-03T09:56:31 --delay 1 --endMP 204:152 --enddatetime 2016-11-03T10:34:08 --enforcementcount 0 &gt;&gt;C:\Users\stu\Documents\GitHub\eaglep3-reporting\EC\2016-11-03-refined-times.txt</v>
      </c>
      <c r="AI5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{"issue":{"subject":"","project_id":79,"tracker_id":40,"status_id":1,"priority_id":2,"assigned_to_id":23,"start_date":"2016-11-03","description":"","custom_fields":[{"id":1,"name":"Subdivision","value":"EC"},{"id":4,"name":"Milepost","value":"0.0152"},{"id":17,"name":"Train ID","value":"144-03"},{"id":16,"name":"Locomotive ID","value":"4013"},{"id":130,"name":"Impact","value":""},{"id":150,"name":"Time of Event (Mountain Time)","value":"10:34:08"},{"id":151,"name":"Denver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503</v>
      </c>
      <c r="B57" s="7">
        <v>4042</v>
      </c>
      <c r="C57" s="22" t="s">
        <v>245</v>
      </c>
      <c r="D57" s="22" t="s">
        <v>211</v>
      </c>
      <c r="E57" s="13">
        <v>42677.382210648146</v>
      </c>
      <c r="F57" s="13">
        <v>42677.38585648148</v>
      </c>
      <c r="G57" s="7">
        <v>2</v>
      </c>
      <c r="H57" s="22" t="s">
        <v>232</v>
      </c>
      <c r="I57" s="13">
        <v>42677.410636574074</v>
      </c>
      <c r="J57" s="7">
        <v>0</v>
      </c>
      <c r="K57" s="112" t="str">
        <f t="shared" si="0"/>
        <v>4041/4042</v>
      </c>
      <c r="L57" s="22" t="str">
        <f>VLOOKUP(A57,'Trips&amp;Operators'!$C$1:$E$10000,3,FALSE)</f>
        <v>RICHARDSON</v>
      </c>
      <c r="M57" s="6">
        <f t="shared" si="1"/>
        <v>2.4780092593573499E-2</v>
      </c>
      <c r="N57" s="7">
        <f t="shared" si="24"/>
        <v>35.683333334745839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08:10:23-0600',mode:absolute,to:'2016-11-03 10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52" t="str">
        <f t="shared" si="6"/>
        <v>N</v>
      </c>
      <c r="X57" s="177">
        <f t="shared" si="25"/>
        <v>1</v>
      </c>
      <c r="Y57" s="67">
        <f t="shared" si="8"/>
        <v>4.6600000000000003E-2</v>
      </c>
      <c r="Z57" s="67">
        <f t="shared" si="9"/>
        <v>23.3291</v>
      </c>
      <c r="AA57" s="67">
        <f t="shared" si="10"/>
        <v>23.282499999999999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0145-03</v>
      </c>
      <c r="AE57" s="91" t="str">
        <f t="shared" si="12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57" s="88" t="str">
        <f t="shared" si="13"/>
        <v>"C:\Program Files (x86)\AstroGrep\AstroGrep.exe" /spath="%USERPROFILE%\AppData\Local\Temp\OnboardLogs" /stypes="app*4042*20161103*"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145-03 --locoid 4042 --swversion DE.1.0.8.0 --startMP 204:466 --initTime 2016-11-03T09:10:23 --startdatetime 2016-11-03T09:15:38 --delay 2 --endMP 204:233291 --enddatetime 2016-11-03T09:51:19 --enforcementcount 0 &gt;&gt;C:\Users\stu\Documents\GitHub\eaglep3-reporting\EC\2016-11-03-refined-times.txt</v>
      </c>
      <c r="AI5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{"issue":{"subject":"","project_id":79,"tracker_id":40,"status_id":1,"priority_id":2,"assigned_to_id":23,"start_date":"2016-11-03","description":"","custom_fields":[{"id":1,"name":"Subdivision","value":"EC"},{"id":4,"name":"Milepost","value":"23.3291"},{"id":17,"name":"Train ID","value":"145-03"},{"id":16,"name":"Locomotive ID","value":"4042"},{"id":130,"name":"Impact","value":""},{"id":150,"name":"Time of Event (Mountain Time)","value":"09:51:19"},{"id":151,"name":"Denver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414</v>
      </c>
      <c r="B58" s="7">
        <v>4041</v>
      </c>
      <c r="C58" s="22" t="s">
        <v>245</v>
      </c>
      <c r="D58" s="22" t="s">
        <v>248</v>
      </c>
      <c r="E58" s="13">
        <v>42677.41710648148</v>
      </c>
      <c r="F58" s="13">
        <v>42677.424467592595</v>
      </c>
      <c r="G58" s="7">
        <v>6</v>
      </c>
      <c r="H58" s="22" t="s">
        <v>181</v>
      </c>
      <c r="I58" s="13">
        <v>42677.451527777775</v>
      </c>
      <c r="J58" s="7">
        <v>0</v>
      </c>
      <c r="K58" s="112" t="str">
        <f t="shared" si="0"/>
        <v>4041/4042</v>
      </c>
      <c r="L58" s="22" t="str">
        <f>VLOOKUP(A58,'Trips&amp;Operators'!$C$1:$E$10000,3,FALSE)</f>
        <v>RICHARDSON</v>
      </c>
      <c r="M58" s="6">
        <f t="shared" si="1"/>
        <v>2.7060185180744156E-2</v>
      </c>
      <c r="N58" s="7">
        <f t="shared" si="24"/>
        <v>38.966666660271585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09:00:38-0600',mode:absolute,to:'2016-11-03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52" t="str">
        <f t="shared" si="6"/>
        <v>N</v>
      </c>
      <c r="X58" s="177">
        <f t="shared" si="25"/>
        <v>1</v>
      </c>
      <c r="Y58" s="67">
        <f t="shared" si="8"/>
        <v>23.298300000000001</v>
      </c>
      <c r="Z58" s="67">
        <f t="shared" si="9"/>
        <v>1.41E-2</v>
      </c>
      <c r="AA58" s="67">
        <f t="shared" si="10"/>
        <v>23.284200000000002</v>
      </c>
      <c r="AB58" s="64" t="str">
        <f>VLOOKUP(A58,Enforcements!$C$7:$K$21,8,0)</f>
        <v>Speed (6)</v>
      </c>
      <c r="AC58" s="60" t="str">
        <f>VLOOKUP(A58,Enforcements!$C$7:$E$21,3,0)</f>
        <v>PERMANENT SPEED RESTRICTION</v>
      </c>
      <c r="AD58" s="61" t="str">
        <f t="shared" si="11"/>
        <v>0146-03</v>
      </c>
      <c r="AE58" s="91" t="str">
        <f t="shared" si="12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58" s="88" t="str">
        <f t="shared" si="13"/>
        <v>"C:\Program Files (x86)\AstroGrep\AstroGrep.exe" /spath="%USERPROFILE%\AppData\Local\Temp\OnboardLogs" /stypes="app*4041*20161103*"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146-03 --locoid 4041 --swversion DE.1.0.8.0 --startMP 204:232983 --initTime 2016-11-03T10:00:38 --startdatetime 2016-11-03T10:11:14 --delay 6 --endMP 204:141 --enddatetime 2016-11-03T10:50:12 --enforcementcount 0 &gt;&gt;C:\Users\stu\Documents\GitHub\eaglep3-reporting\EC\2016-11-03-refined-times.txt</v>
      </c>
      <c r="AI5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{"issue":{"subject":"","project_id":79,"tracker_id":40,"status_id":1,"priority_id":2,"assigned_to_id":23,"start_date":"2016-11-03","description":"","custom_fields":[{"id":1,"name":"Subdivision","value":"EC"},{"id":4,"name":"Milepost","value":"0.0141"},{"id":17,"name":"Train ID","value":"146-03"},{"id":16,"name":"Locomotive ID","value":"4041"},{"id":130,"name":"Impact","value":""},{"id":150,"name":"Time of Event (Mountain Time)","value":"10:50:12"},{"id":151,"name":"Denver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505</v>
      </c>
      <c r="B59" s="7">
        <v>4016</v>
      </c>
      <c r="C59" s="22" t="s">
        <v>245</v>
      </c>
      <c r="D59" s="22" t="s">
        <v>228</v>
      </c>
      <c r="E59" s="13">
        <v>42677.39135416667</v>
      </c>
      <c r="F59" s="13">
        <v>42677.396192129629</v>
      </c>
      <c r="G59" s="7">
        <v>2</v>
      </c>
      <c r="H59" s="22" t="s">
        <v>658</v>
      </c>
      <c r="I59" s="13">
        <v>42677.420590277776</v>
      </c>
      <c r="J59" s="7">
        <v>0</v>
      </c>
      <c r="K59" s="112" t="str">
        <f t="shared" si="0"/>
        <v>4015/4016</v>
      </c>
      <c r="L59" s="22" t="str">
        <f>VLOOKUP(A59,'Trips&amp;Operators'!$C$1:$E$10000,3,FALSE)</f>
        <v>ROMERO</v>
      </c>
      <c r="M59" s="6">
        <f t="shared" si="1"/>
        <v>2.4398148147156462E-2</v>
      </c>
      <c r="N59" s="7">
        <f t="shared" si="24"/>
        <v>35.133333331905305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08:23:33-0600',mode:absolute,to:'2016-11-03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9" s="52" t="str">
        <f t="shared" si="6"/>
        <v>N</v>
      </c>
      <c r="X59" s="177">
        <f t="shared" si="25"/>
        <v>1</v>
      </c>
      <c r="Y59" s="67">
        <f t="shared" si="8"/>
        <v>4.4900000000000002E-2</v>
      </c>
      <c r="Z59" s="67">
        <f t="shared" si="9"/>
        <v>23.328600000000002</v>
      </c>
      <c r="AA59" s="67">
        <f t="shared" si="10"/>
        <v>23.283700000000003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0147-03</v>
      </c>
      <c r="AE59" s="91" t="str">
        <f t="shared" si="12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59" s="88" t="str">
        <f t="shared" si="13"/>
        <v>"C:\Program Files (x86)\AstroGrep\AstroGrep.exe" /spath="%USERPROFILE%\AppData\Local\Temp\OnboardLogs" /stypes="app*4016*20161103*"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147-03 --locoid 4016 --swversion DE.1.0.8.0 --startMP 204:449 --initTime 2016-11-03T09:23:33 --startdatetime 2016-11-03T09:30:31 --delay 2 --endMP 204:233286 --enddatetime 2016-11-03T10:05:39 --enforcementcount 0 &gt;&gt;C:\Users\stu\Documents\GitHub\eaglep3-reporting\EC\2016-11-03-refined-times.txt</v>
      </c>
      <c r="AI5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{"issue":{"subject":"","project_id":79,"tracker_id":40,"status_id":1,"priority_id":2,"assigned_to_id":23,"start_date":"2016-11-03","description":"","custom_fields":[{"id":1,"name":"Subdivision","value":"EC"},{"id":4,"name":"Milepost","value":"23.3286"},{"id":17,"name":"Train ID","value":"147-03"},{"id":16,"name":"Locomotive ID","value":"4016"},{"id":130,"name":"Impact","value":""},{"id":150,"name":"Time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511</v>
      </c>
      <c r="B60" s="7">
        <v>4015</v>
      </c>
      <c r="C60" s="22" t="s">
        <v>245</v>
      </c>
      <c r="D60" s="22" t="s">
        <v>277</v>
      </c>
      <c r="E60" s="13">
        <v>42677.424745370372</v>
      </c>
      <c r="F60" s="13">
        <v>42677.434988425928</v>
      </c>
      <c r="G60" s="7">
        <v>1</v>
      </c>
      <c r="H60" s="22" t="s">
        <v>269</v>
      </c>
      <c r="I60" s="13">
        <v>42677.461400462962</v>
      </c>
      <c r="J60" s="7">
        <v>0</v>
      </c>
      <c r="K60" s="112" t="str">
        <f t="shared" si="0"/>
        <v>4015/4016</v>
      </c>
      <c r="L60" s="22" t="str">
        <f>VLOOKUP(A60,'Trips&amp;Operators'!$C$1:$E$10000,3,FALSE)</f>
        <v>ROMERO</v>
      </c>
      <c r="M60" s="6">
        <f t="shared" si="1"/>
        <v>2.6412037033878732E-2</v>
      </c>
      <c r="N60" s="7">
        <f t="shared" si="24"/>
        <v>38.033333328785375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09:11:38-0600',mode:absolute,to:'2016-11-03 12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0" s="52" t="str">
        <f t="shared" si="6"/>
        <v>N</v>
      </c>
      <c r="X60" s="177">
        <f t="shared" ref="X60:X91" si="26">VALUE(LEFT(AD60,4))-VALUE(LEFT(AD59,4))</f>
        <v>1</v>
      </c>
      <c r="Y60" s="67">
        <f t="shared" si="8"/>
        <v>23.297999999999998</v>
      </c>
      <c r="Z60" s="67">
        <f t="shared" si="9"/>
        <v>1.5800000000000002E-2</v>
      </c>
      <c r="AA60" s="67">
        <f t="shared" si="10"/>
        <v>23.2822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0148-03</v>
      </c>
      <c r="AE60" s="91" t="str">
        <f t="shared" si="12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60" s="88" t="str">
        <f t="shared" si="13"/>
        <v>"C:\Program Files (x86)\AstroGrep\AstroGrep.exe" /spath="%USERPROFILE%\AppData\Local\Temp\OnboardLogs" /stypes="app*4015*20161103*"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148-03 --locoid 4015 --swversion DE.1.0.8.0 --startMP 204:232980 --initTime 2016-11-03T10:11:38 --startdatetime 2016-11-03T10:26:23 --delay 1 --endMP 204:158 --enddatetime 2016-11-03T11:04:25 --enforcementcount 0 &gt;&gt;C:\Users\stu\Documents\GitHub\eaglep3-reporting\EC\2016-11-03-refined-times.txt</v>
      </c>
      <c r="AI60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{"issue":{"subject":"","project_id":79,"tracker_id":40,"status_id":1,"priority_id":2,"assigned_to_id":23,"start_date":"2016-11-03","description":"","custom_fields":[{"id":1,"name":"Subdivision","value":"EC"},{"id":4,"name":"Milepost","value":"0.0158"},{"id":17,"name":"Train ID","value":"148-03"},{"id":16,"name":"Locomotive ID","value":"4015"},{"id":130,"name":"Impact","value":""},{"id":150,"name":"Time of Event (Mountain Time)","value":"11:04:25"},{"id":151,"name":"Denver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507</v>
      </c>
      <c r="B61" s="7">
        <v>4025</v>
      </c>
      <c r="C61" s="22" t="s">
        <v>245</v>
      </c>
      <c r="D61" s="22" t="s">
        <v>230</v>
      </c>
      <c r="E61" s="13">
        <v>42677.40315972222</v>
      </c>
      <c r="F61" s="13">
        <v>42677.406423611108</v>
      </c>
      <c r="G61" s="7">
        <v>1</v>
      </c>
      <c r="H61" s="22" t="s">
        <v>292</v>
      </c>
      <c r="I61" s="13">
        <v>42677.430891203701</v>
      </c>
      <c r="J61" s="7">
        <v>0</v>
      </c>
      <c r="K61" s="112" t="str">
        <f t="shared" si="0"/>
        <v>4025/4026</v>
      </c>
      <c r="L61" s="22" t="str">
        <f>VLOOKUP(A61,'Trips&amp;Operators'!$C$1:$E$10000,3,FALSE)</f>
        <v>ISHMAEL</v>
      </c>
      <c r="M61" s="6">
        <f t="shared" si="1"/>
        <v>2.4467592593282461E-2</v>
      </c>
      <c r="N61" s="7">
        <f t="shared" si="24"/>
        <v>35.233333334326744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08:40:33-0600',mode:absolute,to:'2016-11-03 11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1" s="52" t="str">
        <f t="shared" si="6"/>
        <v>N</v>
      </c>
      <c r="X61" s="177">
        <f t="shared" si="26"/>
        <v>1</v>
      </c>
      <c r="Y61" s="67">
        <f t="shared" si="8"/>
        <v>4.6199999999999998E-2</v>
      </c>
      <c r="Z61" s="67">
        <f t="shared" si="9"/>
        <v>23.329799999999999</v>
      </c>
      <c r="AA61" s="67">
        <f t="shared" si="10"/>
        <v>23.2836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0149-03</v>
      </c>
      <c r="AE61" s="91" t="str">
        <f t="shared" si="12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61" s="88" t="str">
        <f t="shared" si="13"/>
        <v>"C:\Program Files (x86)\AstroGrep\AstroGrep.exe" /spath="%USERPROFILE%\AppData\Local\Temp\OnboardLogs" /stypes="app*4025*20161103*"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149-03 --locoid 4025 --swversion DE.1.0.8.0 --startMP 204:462 --initTime 2016-11-03T09:40:33 --startdatetime 2016-11-03T09:45:15 --delay 1 --endMP 204:233298 --enddatetime 2016-11-03T10:20:29 --enforcementcount 0 &gt;&gt;C:\Users\stu\Documents\GitHub\eaglep3-reporting\EC\2016-11-03-refined-times.txt</v>
      </c>
      <c r="AI6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{"issue":{"subject":"","project_id":79,"tracker_id":40,"status_id":1,"priority_id":2,"assigned_to_id":23,"start_date":"2016-11-03","description":"","custom_fields":[{"id":1,"name":"Subdivision","value":"EC"},{"id":4,"name":"Milepost","value":"23.3298"},{"id":17,"name":"Train ID","value":"149-03"},{"id":16,"name":"Locomotive ID","value":"4025"},{"id":130,"name":"Impact","value":""},{"id":150,"name":"Time of Event (Mountain Time)","value":"10:20:29"},{"id":151,"name":"Denver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514</v>
      </c>
      <c r="B62" s="7">
        <v>4026</v>
      </c>
      <c r="C62" s="22" t="s">
        <v>245</v>
      </c>
      <c r="D62" s="22" t="s">
        <v>371</v>
      </c>
      <c r="E62" s="13">
        <v>42677.437222222223</v>
      </c>
      <c r="F62" s="13">
        <v>42677.445381944446</v>
      </c>
      <c r="G62" s="7">
        <v>1</v>
      </c>
      <c r="H62" s="22" t="s">
        <v>203</v>
      </c>
      <c r="I62" s="13">
        <v>42677.471238425926</v>
      </c>
      <c r="J62" s="7">
        <v>0</v>
      </c>
      <c r="K62" s="112" t="str">
        <f t="shared" si="0"/>
        <v>4025/4026</v>
      </c>
      <c r="L62" s="22" t="str">
        <f>VLOOKUP(A62,'Trips&amp;Operators'!$C$1:$E$10000,3,FALSE)</f>
        <v>ISHMAEL</v>
      </c>
      <c r="M62" s="6">
        <f t="shared" si="1"/>
        <v>2.5856481479422655E-2</v>
      </c>
      <c r="N62" s="7">
        <f t="shared" si="24"/>
        <v>37.233333330368623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09:29:36-0600',mode:absolute,to:'2016-11-03 12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2" s="52" t="str">
        <f t="shared" si="6"/>
        <v>N</v>
      </c>
      <c r="X62" s="177">
        <f t="shared" si="26"/>
        <v>1</v>
      </c>
      <c r="Y62" s="67">
        <f t="shared" si="8"/>
        <v>23.2989</v>
      </c>
      <c r="Z62" s="67">
        <f t="shared" si="9"/>
        <v>1.54E-2</v>
      </c>
      <c r="AA62" s="67">
        <f t="shared" si="10"/>
        <v>23.2835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0150-03</v>
      </c>
      <c r="AE62" s="91" t="str">
        <f t="shared" si="12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62" s="88" t="str">
        <f t="shared" si="13"/>
        <v>"C:\Program Files (x86)\AstroGrep\AstroGrep.exe" /spath="%USERPROFILE%\AppData\Local\Temp\OnboardLogs" /stypes="app*4026*20161103*"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150-03 --locoid 4026 --swversion DE.1.0.8.0 --startMP 204:232989 --initTime 2016-11-03T10:29:36 --startdatetime 2016-11-03T10:41:21 --delay 1 --endMP 204:154 --enddatetime 2016-11-03T11:18:35 --enforcementcount 0 &gt;&gt;C:\Users\stu\Documents\GitHub\eaglep3-reporting\EC\2016-11-03-refined-times.txt</v>
      </c>
      <c r="AI62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{"issue":{"subject":"","project_id":79,"tracker_id":40,"status_id":1,"priority_id":2,"assigned_to_id":23,"start_date":"2016-11-03","description":"","custom_fields":[{"id":1,"name":"Subdivision","value":"EC"},{"id":4,"name":"Milepost","value":"0.0154"},{"id":17,"name":"Train ID","value":"150-03"},{"id":16,"name":"Locomotive ID","value":"4026"},{"id":130,"name":"Impact","value":""},{"id":150,"name":"Time of Event (Mountain Time)","value":"11:18:35"},{"id":151,"name":"Denver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415</v>
      </c>
      <c r="B63" s="7">
        <v>4029</v>
      </c>
      <c r="C63" s="22" t="s">
        <v>245</v>
      </c>
      <c r="D63" s="22" t="s">
        <v>214</v>
      </c>
      <c r="E63" s="13">
        <v>42677.412754629629</v>
      </c>
      <c r="F63" s="13">
        <v>42677.417002314818</v>
      </c>
      <c r="G63" s="7">
        <v>1</v>
      </c>
      <c r="H63" s="22" t="s">
        <v>659</v>
      </c>
      <c r="I63" s="13">
        <v>42677.442546296297</v>
      </c>
      <c r="J63" s="7">
        <v>0</v>
      </c>
      <c r="K63" s="112" t="str">
        <f t="shared" si="0"/>
        <v>4029/4030</v>
      </c>
      <c r="L63" s="22" t="str">
        <f>VLOOKUP(A63,'Trips&amp;Operators'!$C$1:$E$10000,3,FALSE)</f>
        <v>NELSON</v>
      </c>
      <c r="M63" s="6">
        <f t="shared" si="1"/>
        <v>2.5543981479131617E-2</v>
      </c>
      <c r="N63" s="7">
        <f t="shared" ref="N63:N94" si="27">24*60*SUM($M63:$M63)</f>
        <v>36.783333329949528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08:54:22-0600',mode:absolute,to:'2016-11-03 11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3" s="52" t="str">
        <f t="shared" si="6"/>
        <v>N</v>
      </c>
      <c r="X63" s="177">
        <f t="shared" si="26"/>
        <v>1</v>
      </c>
      <c r="Y63" s="67">
        <f t="shared" si="8"/>
        <v>4.5100000000000001E-2</v>
      </c>
      <c r="Z63" s="67">
        <f t="shared" si="9"/>
        <v>23.3124</v>
      </c>
      <c r="AA63" s="67">
        <f t="shared" si="10"/>
        <v>23.267299999999999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0151-03</v>
      </c>
      <c r="AE63" s="91" t="str">
        <f t="shared" si="12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63" s="88" t="str">
        <f t="shared" si="13"/>
        <v>"C:\Program Files (x86)\AstroGrep\AstroGrep.exe" /spath="%USERPROFILE%\AppData\Local\Temp\OnboardLogs" /stypes="app*4029*20161103*"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151-03 --locoid 4029 --swversion DE.1.0.8.0 --startMP 204:451 --initTime 2016-11-03T09:54:22 --startdatetime 2016-11-03T10:00:29 --delay 1 --endMP 204:233124 --enddatetime 2016-11-03T10:37:16 --enforcementcount 0 &gt;&gt;C:\Users\stu\Documents\GitHub\eaglep3-reporting\EC\2016-11-03-refined-times.txt</v>
      </c>
      <c r="AI6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{"issue":{"subject":"","project_id":79,"tracker_id":40,"status_id":1,"priority_id":2,"assigned_to_id":23,"start_date":"2016-11-03","description":"","custom_fields":[{"id":1,"name":"Subdivision","value":"EC"},{"id":4,"name":"Milepost","value":"23.3124"},{"id":17,"name":"Train ID","value":"151-03"},{"id":16,"name":"Locomotive ID","value":"4029"},{"id":130,"name":"Impact","value":""},{"id":150,"name":"Time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419</v>
      </c>
      <c r="B64" s="7">
        <v>4030</v>
      </c>
      <c r="C64" s="22" t="s">
        <v>245</v>
      </c>
      <c r="D64" s="22" t="s">
        <v>242</v>
      </c>
      <c r="E64" s="13">
        <v>42677.453298611108</v>
      </c>
      <c r="F64" s="13">
        <v>42677.45585648148</v>
      </c>
      <c r="G64" s="7">
        <v>3</v>
      </c>
      <c r="H64" s="22" t="s">
        <v>638</v>
      </c>
      <c r="I64" s="13">
        <v>42677.482685185183</v>
      </c>
      <c r="J64" s="7">
        <v>0</v>
      </c>
      <c r="K64" s="112" t="str">
        <f t="shared" si="0"/>
        <v>4029/4030</v>
      </c>
      <c r="L64" s="22" t="str">
        <f>VLOOKUP(A64,'Trips&amp;Operators'!$C$1:$E$10000,3,FALSE)</f>
        <v>NELSON</v>
      </c>
      <c r="M64" s="6">
        <f t="shared" si="1"/>
        <v>2.6828703703358769E-2</v>
      </c>
      <c r="N64" s="7">
        <f t="shared" si="27"/>
        <v>38.633333332836628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09:52:45-0600',mode:absolute,to:'2016-11-03 12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4" s="52" t="str">
        <f t="shared" si="6"/>
        <v>N</v>
      </c>
      <c r="X64" s="177">
        <f t="shared" si="26"/>
        <v>1</v>
      </c>
      <c r="Y64" s="67">
        <f t="shared" si="8"/>
        <v>23.296900000000001</v>
      </c>
      <c r="Z64" s="67">
        <f t="shared" si="9"/>
        <v>1.6E-2</v>
      </c>
      <c r="AA64" s="67">
        <f t="shared" si="10"/>
        <v>23.280900000000003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0152-03</v>
      </c>
      <c r="AE64" s="91" t="str">
        <f t="shared" si="12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64" s="88" t="str">
        <f t="shared" si="13"/>
        <v>"C:\Program Files (x86)\AstroGrep\AstroGrep.exe" /spath="%USERPROFILE%\AppData\Local\Temp\OnboardLogs" /stypes="app*4030*20161103*"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152-03 --locoid 4030 --swversion DE.1.0.8.0 --startMP 204:232969 --initTime 2016-11-03T10:52:45 --startdatetime 2016-11-03T10:56:26 --delay 3 --endMP 204:160 --enddatetime 2016-11-03T11:35:04 --enforcementcount 0 &gt;&gt;C:\Users\stu\Documents\GitHub\eaglep3-reporting\EC\2016-11-03-refined-times.txt</v>
      </c>
      <c r="AI6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ID","value":"152-03"},{"id":16,"name":"Locomotive ID","value":"4030"},{"id":130,"name":"Impact","value":""},{"id":150,"name":"Time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509</v>
      </c>
      <c r="B65" s="7">
        <v>4031</v>
      </c>
      <c r="C65" s="22" t="s">
        <v>245</v>
      </c>
      <c r="D65" s="22" t="s">
        <v>270</v>
      </c>
      <c r="E65" s="13">
        <v>42677.422430555554</v>
      </c>
      <c r="F65" s="13">
        <v>42677.427499999998</v>
      </c>
      <c r="G65" s="7">
        <v>2</v>
      </c>
      <c r="H65" s="22" t="s">
        <v>191</v>
      </c>
      <c r="I65" s="13">
        <v>42677.452048611114</v>
      </c>
      <c r="J65" s="7">
        <v>0</v>
      </c>
      <c r="K65" s="112" t="str">
        <f t="shared" si="0"/>
        <v>4031/4032</v>
      </c>
      <c r="L65" s="22" t="str">
        <f>VLOOKUP(A65,'Trips&amp;Operators'!$C$1:$E$10000,3,FALSE)</f>
        <v>MATTHEWS</v>
      </c>
      <c r="M65" s="6">
        <f t="shared" si="1"/>
        <v>2.4548611116188113E-2</v>
      </c>
      <c r="N65" s="7">
        <f t="shared" si="27"/>
        <v>35.350000007310882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09:08:18-0600',mode:absolute,to:'2016-11-03 11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5" s="52" t="str">
        <f t="shared" si="6"/>
        <v>N</v>
      </c>
      <c r="X65" s="177">
        <f t="shared" si="26"/>
        <v>1</v>
      </c>
      <c r="Y65" s="67">
        <f t="shared" si="8"/>
        <v>4.7500000000000001E-2</v>
      </c>
      <c r="Z65" s="67">
        <f t="shared" si="9"/>
        <v>23.329699999999999</v>
      </c>
      <c r="AA65" s="67">
        <f t="shared" si="10"/>
        <v>23.2822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0153-03</v>
      </c>
      <c r="AE65" s="91" t="str">
        <f t="shared" si="12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65" s="88" t="str">
        <f t="shared" si="13"/>
        <v>"C:\Program Files (x86)\AstroGrep\AstroGrep.exe" /spath="%USERPROFILE%\AppData\Local\Temp\OnboardLogs" /stypes="app*4031*20161103*"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153-03 --locoid 4031 --swversion DE.1.0.8.0 --startMP 204:475 --initTime 2016-11-03T10:08:18 --startdatetime 2016-11-03T10:15:36 --delay 2 --endMP 204:233297 --enddatetime 2016-11-03T10:50:57 --enforcementcount 0 &gt;&gt;C:\Users\stu\Documents\GitHub\eaglep3-reporting\EC\2016-11-03-refined-times.txt</v>
      </c>
      <c r="AI6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{"issue":{"subject":"","project_id":79,"tracker_id":40,"status_id":1,"priority_id":2,"assigned_to_id":23,"start_date":"2016-11-03","description":"","custom_fields":[{"id":1,"name":"Subdivision","value":"EC"},{"id":4,"name":"Milepost","value":"23.3297"},{"id":17,"name":"Train ID","value":"153-03"},{"id":16,"name":"Locomotive ID","value":"4031"},{"id":130,"name":"Impact","value":""},{"id":150,"name":"Time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518</v>
      </c>
      <c r="B66" s="7">
        <v>4032</v>
      </c>
      <c r="C66" s="22" t="s">
        <v>245</v>
      </c>
      <c r="D66" s="22" t="s">
        <v>243</v>
      </c>
      <c r="E66" s="13">
        <v>42677.46020833333</v>
      </c>
      <c r="F66" s="13">
        <v>42677.466273148151</v>
      </c>
      <c r="G66" s="7">
        <v>1</v>
      </c>
      <c r="H66" s="22" t="s">
        <v>640</v>
      </c>
      <c r="I66" s="13">
        <v>42677.492384259262</v>
      </c>
      <c r="J66" s="7">
        <v>0</v>
      </c>
      <c r="K66" s="112" t="str">
        <f t="shared" si="0"/>
        <v>4031/4032</v>
      </c>
      <c r="L66" s="22" t="str">
        <f>VLOOKUP(A66,'Trips&amp;Operators'!$C$1:$E$10000,3,FALSE)</f>
        <v>MATTHEWS</v>
      </c>
      <c r="M66" s="6">
        <f t="shared" si="1"/>
        <v>2.6111111110367347E-2</v>
      </c>
      <c r="N66" s="7">
        <f t="shared" si="27"/>
        <v>37.599999998928979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10:02:42-0600',mode:absolute,to:'2016-11-03 12:49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6" s="52" t="str">
        <f t="shared" si="6"/>
        <v>N</v>
      </c>
      <c r="X66" s="177">
        <f t="shared" si="26"/>
        <v>1</v>
      </c>
      <c r="Y66" s="67">
        <f t="shared" si="8"/>
        <v>23.298100000000002</v>
      </c>
      <c r="Z66" s="67">
        <f t="shared" si="9"/>
        <v>1.4999999999999999E-2</v>
      </c>
      <c r="AA66" s="67">
        <f t="shared" si="10"/>
        <v>23.283100000000001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0154-03</v>
      </c>
      <c r="AE66" s="91" t="str">
        <f t="shared" si="12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66" s="88" t="str">
        <f t="shared" si="13"/>
        <v>"C:\Program Files (x86)\AstroGrep\AstroGrep.exe" /spath="%USERPROFILE%\AppData\Local\Temp\OnboardLogs" /stypes="app*4032*20161103*"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154-03 --locoid 4032 --swversion DE.1.0.8.0 --startMP 204:232981 --initTime 2016-11-03T11:02:42 --startdatetime 2016-11-03T11:11:26 --delay 1 --endMP 204:150 --enddatetime 2016-11-03T11:49:02 --enforcementcount 0 &gt;&gt;C:\Users\stu\Documents\GitHub\eaglep3-reporting\EC\2016-11-03-refined-times.txt</v>
      </c>
      <c r="AI6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ID","value":"154-03"},{"id":16,"name":"Locomotive ID","value":"4032"},{"id":130,"name":"Impact","value":""},{"id":150,"name":"Time of Event (Mountain Time)","value":"11:49:02"},{"id":151,"name":"Denver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513</v>
      </c>
      <c r="B67" s="7">
        <v>4040</v>
      </c>
      <c r="C67" s="22" t="s">
        <v>245</v>
      </c>
      <c r="D67" s="22" t="s">
        <v>262</v>
      </c>
      <c r="E67" s="13">
        <v>42677.435567129629</v>
      </c>
      <c r="F67" s="13">
        <v>42677.438090277778</v>
      </c>
      <c r="G67" s="7">
        <v>0</v>
      </c>
      <c r="H67" s="22" t="s">
        <v>259</v>
      </c>
      <c r="I67" s="13">
        <v>42677.462488425925</v>
      </c>
      <c r="J67" s="7">
        <v>0</v>
      </c>
      <c r="K67" s="112" t="str">
        <f t="shared" si="0"/>
        <v>4039/4040</v>
      </c>
      <c r="L67" s="22" t="str">
        <f>VLOOKUP(A67,'Trips&amp;Operators'!$C$1:$E$10000,3,FALSE)</f>
        <v>LOZA</v>
      </c>
      <c r="M67" s="6">
        <f t="shared" si="1"/>
        <v>2.4398148147156462E-2</v>
      </c>
      <c r="N67" s="7">
        <f t="shared" si="27"/>
        <v>35.133333331905305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09:27:13-0600',mode:absolute,to:'2016-11-03 12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7" s="52" t="str">
        <f t="shared" si="6"/>
        <v>N</v>
      </c>
      <c r="X67" s="177">
        <f t="shared" si="26"/>
        <v>1</v>
      </c>
      <c r="Y67" s="67">
        <f t="shared" si="8"/>
        <v>4.4400000000000002E-2</v>
      </c>
      <c r="Z67" s="67">
        <f t="shared" si="9"/>
        <v>23.328900000000001</v>
      </c>
      <c r="AA67" s="67">
        <f t="shared" si="10"/>
        <v>23.284500000000001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0155-03</v>
      </c>
      <c r="AE67" s="91" t="str">
        <f t="shared" si="12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67" s="88" t="str">
        <f t="shared" si="13"/>
        <v>"C:\Program Files (x86)\AstroGrep\AstroGrep.exe" /spath="%USERPROFILE%\AppData\Local\Temp\OnboardLogs" /stypes="app*4040*20161103*"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155-03 --locoid 4040 --swversion DE.1.0.8.0 --startMP 204:444 --initTime 2016-11-03T10:27:13 --startdatetime 2016-11-03T10:30:51 --delay 0 --endMP 204:233289 --enddatetime 2016-11-03T11:05:59 --enforcementcount 0 &gt;&gt;C:\Users\stu\Documents\GitHub\eaglep3-reporting\EC\2016-11-03-refined-times.txt</v>
      </c>
      <c r="AI6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{"issue":{"subject":"","project_id":79,"tracker_id":40,"status_id":1,"priority_id":2,"assigned_to_id":23,"start_date":"2016-11-03","description":"","custom_fields":[{"id":1,"name":"Subdivision","value":"EC"},{"id":4,"name":"Milepost","value":"23.3289"},{"id":17,"name":"Train ID","value":"155-03"},{"id":16,"name":"Locomotive ID","value":"4040"},{"id":130,"name":"Impact","value":""},{"id":150,"name":"Time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523</v>
      </c>
      <c r="B68" s="7">
        <v>4039</v>
      </c>
      <c r="C68" s="22" t="s">
        <v>245</v>
      </c>
      <c r="D68" s="22" t="s">
        <v>649</v>
      </c>
      <c r="E68" s="13">
        <v>42677.470300925925</v>
      </c>
      <c r="F68" s="13">
        <v>42677.476759259262</v>
      </c>
      <c r="G68" s="7">
        <v>2</v>
      </c>
      <c r="H68" s="22" t="s">
        <v>660</v>
      </c>
      <c r="I68" s="13">
        <v>42677.502546296295</v>
      </c>
      <c r="J68" s="7">
        <v>0</v>
      </c>
      <c r="K68" s="112" t="str">
        <f t="shared" si="0"/>
        <v>4039/4040</v>
      </c>
      <c r="L68" s="22" t="str">
        <f>VLOOKUP(A68,'Trips&amp;Operators'!$C$1:$E$10000,3,FALSE)</f>
        <v>LOZA</v>
      </c>
      <c r="M68" s="6">
        <f t="shared" si="1"/>
        <v>2.5787037033296656E-2</v>
      </c>
      <c r="N68" s="7">
        <f t="shared" si="27"/>
        <v>37.133333327947184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10:17:14-0600',mode:absolute,to:'2016-11-03 13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8" s="52" t="str">
        <f t="shared" si="6"/>
        <v>N</v>
      </c>
      <c r="X68" s="177">
        <f t="shared" si="26"/>
        <v>1</v>
      </c>
      <c r="Y68" s="67">
        <f t="shared" si="8"/>
        <v>23.296700000000001</v>
      </c>
      <c r="Z68" s="67">
        <f t="shared" si="9"/>
        <v>1.3899999999999999E-2</v>
      </c>
      <c r="AA68" s="67">
        <f t="shared" si="10"/>
        <v>23.282800000000002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0156-03</v>
      </c>
      <c r="AE68" s="91" t="str">
        <f t="shared" si="12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68" s="88" t="str">
        <f t="shared" si="13"/>
        <v>"C:\Program Files (x86)\AstroGrep\AstroGrep.exe" /spath="%USERPROFILE%\AppData\Local\Temp\OnboardLogs" /stypes="app*4039*20161103*"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156-03 --locoid 4039 --swversion DE.1.0.8.0 --startMP 204:232967 --initTime 2016-11-03T11:17:14 --startdatetime 2016-11-03T11:26:32 --delay 2 --endMP 204:139 --enddatetime 2016-11-03T12:03:40 --enforcementcount 0 &gt;&gt;C:\Users\stu\Documents\GitHub\eaglep3-reporting\EC\2016-11-03-refined-times.txt</v>
      </c>
      <c r="AI68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{"issue":{"subject":"","project_id":79,"tracker_id":40,"status_id":1,"priority_id":2,"assigned_to_id":23,"start_date":"2016-11-03","description":"","custom_fields":[{"id":1,"name":"Subdivision","value":"EC"},{"id":4,"name":"Milepost","value":"0.0139"},{"id":17,"name":"Train ID","value":"156-03"},{"id":16,"name":"Locomotive ID","value":"4039"},{"id":130,"name":"Impact","value":""},{"id":150,"name":"Time of Event (Mountain Time)","value":"12:03:40"},{"id":151,"name":"Denver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516</v>
      </c>
      <c r="B69" s="7">
        <v>4014</v>
      </c>
      <c r="C69" s="22" t="s">
        <v>245</v>
      </c>
      <c r="D69" s="22" t="s">
        <v>250</v>
      </c>
      <c r="E69" s="13">
        <v>42677.441388888888</v>
      </c>
      <c r="F69" s="13">
        <v>42677.44809027778</v>
      </c>
      <c r="G69" s="7">
        <v>1</v>
      </c>
      <c r="H69" s="22" t="s">
        <v>328</v>
      </c>
      <c r="I69" s="13">
        <v>42677.472743055558</v>
      </c>
      <c r="J69" s="7">
        <v>0</v>
      </c>
      <c r="K69" s="112" t="str">
        <f t="shared" si="0"/>
        <v>4013/4014</v>
      </c>
      <c r="L69" s="22" t="str">
        <f>VLOOKUP(A69,'Trips&amp;Operators'!$C$1:$E$10000,3,FALSE)</f>
        <v>PERKINS</v>
      </c>
      <c r="M69" s="6">
        <f t="shared" si="1"/>
        <v>2.4652777778101154E-2</v>
      </c>
      <c r="N69" s="7">
        <f t="shared" si="27"/>
        <v>35.500000000465661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09:35:36-0600',mode:absolute,to:'2016-11-03 12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9" s="52" t="str">
        <f t="shared" si="6"/>
        <v>N</v>
      </c>
      <c r="X69" s="177">
        <f t="shared" si="26"/>
        <v>1</v>
      </c>
      <c r="Y69" s="67">
        <f t="shared" si="8"/>
        <v>4.58E-2</v>
      </c>
      <c r="Z69" s="67">
        <f t="shared" si="9"/>
        <v>23.3308</v>
      </c>
      <c r="AA69" s="67">
        <f t="shared" si="10"/>
        <v>23.285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0157-03</v>
      </c>
      <c r="AE69" s="91" t="str">
        <f t="shared" si="12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69" s="88" t="str">
        <f t="shared" si="13"/>
        <v>"C:\Program Files (x86)\AstroGrep\AstroGrep.exe" /spath="%USERPROFILE%\AppData\Local\Temp\OnboardLogs" /stypes="app*4014*20161103*"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157-03 --locoid 4014 --swversion DE.1.0.8.0 --startMP 204:458 --initTime 2016-11-03T10:35:36 --startdatetime 2016-11-03T10:45:15 --delay 1 --endMP 204:233308 --enddatetime 2016-11-03T11:20:45 --enforcementcount 0 &gt;&gt;C:\Users\stu\Documents\GitHub\eaglep3-reporting\EC\2016-11-03-refined-times.txt</v>
      </c>
      <c r="AI69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{"issue":{"subject":"","project_id":79,"tracker_id":40,"status_id":1,"priority_id":2,"assigned_to_id":23,"start_date":"2016-11-03","description":"","custom_fields":[{"id":1,"name":"Subdivision","value":"EC"},{"id":4,"name":"Milepost","value":"23.3308"},{"id":17,"name":"Train ID","value":"157-03"},{"id":16,"name":"Locomotive ID","value":"4014"},{"id":130,"name":"Impact","value":""},{"id":150,"name":"Time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420</v>
      </c>
      <c r="B70" s="7">
        <v>4013</v>
      </c>
      <c r="C70" s="22" t="s">
        <v>245</v>
      </c>
      <c r="D70" s="22" t="s">
        <v>233</v>
      </c>
      <c r="E70" s="13">
        <v>42677.480833333335</v>
      </c>
      <c r="F70" s="13">
        <v>42677.487314814818</v>
      </c>
      <c r="G70" s="7">
        <v>5</v>
      </c>
      <c r="H70" s="22" t="s">
        <v>269</v>
      </c>
      <c r="I70" s="13">
        <v>42677.514317129629</v>
      </c>
      <c r="J70" s="7">
        <v>0</v>
      </c>
      <c r="K70" s="112" t="str">
        <f t="shared" si="0"/>
        <v>4013/4014</v>
      </c>
      <c r="L70" s="22" t="str">
        <f>VLOOKUP(A70,'Trips&amp;Operators'!$C$1:$E$10000,3,FALSE)</f>
        <v>PERKINS</v>
      </c>
      <c r="M70" s="6">
        <f t="shared" si="1"/>
        <v>2.700231481139781E-2</v>
      </c>
      <c r="N70" s="7">
        <f t="shared" si="27"/>
        <v>38.883333328412846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10:32:24-0600',mode:absolute,to:'2016-11-03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0" s="52" t="str">
        <f t="shared" si="6"/>
        <v>N</v>
      </c>
      <c r="X70" s="177">
        <f t="shared" si="26"/>
        <v>1</v>
      </c>
      <c r="Y70" s="67">
        <f t="shared" si="8"/>
        <v>23.298500000000001</v>
      </c>
      <c r="Z70" s="67">
        <f t="shared" si="9"/>
        <v>1.5800000000000002E-2</v>
      </c>
      <c r="AA70" s="67">
        <f t="shared" si="10"/>
        <v>23.282700000000002</v>
      </c>
      <c r="AB70" s="64" t="str">
        <f>VLOOKUP(A70,Enforcements!$C$7:$K$21,8,0)</f>
        <v>Bulletin (2)</v>
      </c>
      <c r="AC70" s="60" t="str">
        <f>VLOOKUP(A70,Enforcements!$C$7:$E$21,3,0)</f>
        <v>GRADE CROSSING</v>
      </c>
      <c r="AD70" s="61" t="str">
        <f t="shared" si="11"/>
        <v>0158-03</v>
      </c>
      <c r="AE70" s="91" t="str">
        <f t="shared" si="12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70" s="88" t="str">
        <f t="shared" si="13"/>
        <v>"C:\Program Files (x86)\AstroGrep\AstroGrep.exe" /spath="%USERPROFILE%\AppData\Local\Temp\OnboardLogs" /stypes="app*4013*20161103*"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158-03 --locoid 4013 --swversion DE.1.0.8.0 --startMP 204:232985 --initTime 2016-11-03T11:32:24 --startdatetime 2016-11-03T11:41:44 --delay 5 --endMP 204:158 --enddatetime 2016-11-03T12:20:37 --enforcementcount 0 &gt;&gt;C:\Users\stu\Documents\GitHub\eaglep3-reporting\EC\2016-11-03-refined-times.txt</v>
      </c>
      <c r="AI70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{"issue":{"subject":"","project_id":79,"tracker_id":40,"status_id":1,"priority_id":2,"assigned_to_id":23,"start_date":"2016-11-03","description":"","custom_fields":[{"id":1,"name":"Subdivision","value":"EC"},{"id":4,"name":"Milepost","value":"0.0158"},{"id":17,"name":"Train ID","value":"158-03"},{"id":16,"name":"Locomotive ID","value":"4013"},{"id":130,"name":"Impact","value":""},{"id":150,"name":"Time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517</v>
      </c>
      <c r="B71" s="7">
        <v>4042</v>
      </c>
      <c r="C71" s="22" t="s">
        <v>245</v>
      </c>
      <c r="D71" s="22" t="s">
        <v>380</v>
      </c>
      <c r="E71" s="13">
        <v>42677.453599537039</v>
      </c>
      <c r="F71" s="13">
        <v>42677.458518518521</v>
      </c>
      <c r="G71" s="7">
        <v>1</v>
      </c>
      <c r="H71" s="22" t="s">
        <v>661</v>
      </c>
      <c r="I71" s="13">
        <v>42677.483032407406</v>
      </c>
      <c r="J71" s="7">
        <v>0</v>
      </c>
      <c r="K71" s="112" t="str">
        <f t="shared" si="0"/>
        <v>4041/4042</v>
      </c>
      <c r="L71" s="22" t="str">
        <f>VLOOKUP(A71,'Trips&amp;Operators'!$C$1:$E$10000,3,FALSE)</f>
        <v>SAFIEF</v>
      </c>
      <c r="M71" s="6">
        <f t="shared" si="1"/>
        <v>2.4513888885849155E-2</v>
      </c>
      <c r="N71" s="7">
        <f t="shared" si="27"/>
        <v>35.299999995622784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09:53:11-0600',mode:absolute,to:'2016-11-03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1" s="52" t="str">
        <f t="shared" si="6"/>
        <v>N</v>
      </c>
      <c r="X71" s="177">
        <f t="shared" si="26"/>
        <v>1</v>
      </c>
      <c r="Y71" s="67">
        <f t="shared" si="8"/>
        <v>4.3099999999999999E-2</v>
      </c>
      <c r="Z71" s="67">
        <f t="shared" si="9"/>
        <v>23.3247</v>
      </c>
      <c r="AA71" s="67">
        <f t="shared" si="10"/>
        <v>23.281600000000001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0159-03</v>
      </c>
      <c r="AE71" s="91" t="str">
        <f t="shared" si="12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71" s="88" t="str">
        <f t="shared" si="13"/>
        <v>"C:\Program Files (x86)\AstroGrep\AstroGrep.exe" /spath="%USERPROFILE%\AppData\Local\Temp\OnboardLogs" /stypes="app*4042*20161103*"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159-03 --locoid 4042 --swversion DE.1.0.8.0 --startMP 204:431 --initTime 2016-11-03T10:53:11 --startdatetime 2016-11-03T11:00:16 --delay 1 --endMP 204:233247 --enddatetime 2016-11-03T11:35:34 --enforcementcount 0 &gt;&gt;C:\Users\stu\Documents\GitHub\eaglep3-reporting\EC\2016-11-03-refined-times.txt</v>
      </c>
      <c r="AI71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{"issue":{"subject":"","project_id":79,"tracker_id":40,"status_id":1,"priority_id":2,"assigned_to_id":23,"start_date":"2016-11-03","description":"","custom_fields":[{"id":1,"name":"Subdivision","value":"EC"},{"id":4,"name":"Milepost","value":"23.3247"},{"id":17,"name":"Train ID","value":"159-03"},{"id":16,"name":"Locomotive ID","value":"4042"},{"id":130,"name":"Impact","value":""},{"id":150,"name":"Time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527</v>
      </c>
      <c r="B72" s="7">
        <v>4041</v>
      </c>
      <c r="C72" s="22" t="s">
        <v>245</v>
      </c>
      <c r="D72" s="22" t="s">
        <v>643</v>
      </c>
      <c r="E72" s="13">
        <v>42677.488692129627</v>
      </c>
      <c r="F72" s="13">
        <v>42677.497430555559</v>
      </c>
      <c r="G72" s="7">
        <v>1</v>
      </c>
      <c r="H72" s="22" t="s">
        <v>660</v>
      </c>
      <c r="I72" s="13">
        <v>42677.523888888885</v>
      </c>
      <c r="J72" s="7">
        <v>0</v>
      </c>
      <c r="K72" s="112" t="str">
        <f t="shared" si="0"/>
        <v>4041/4042</v>
      </c>
      <c r="L72" s="22" t="str">
        <f>VLOOKUP(A72,'Trips&amp;Operators'!$C$1:$E$10000,3,FALSE)</f>
        <v>SAFIEF</v>
      </c>
      <c r="M72" s="6">
        <f t="shared" si="1"/>
        <v>2.6458333326445427E-2</v>
      </c>
      <c r="N72" s="7">
        <f t="shared" si="27"/>
        <v>38.099999990081415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10:43:43-0600',mode:absolute,to:'2016-11-03 13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52" t="str">
        <f t="shared" si="6"/>
        <v>N</v>
      </c>
      <c r="X72" s="177">
        <f t="shared" si="26"/>
        <v>1</v>
      </c>
      <c r="Y72" s="67">
        <f t="shared" si="8"/>
        <v>23.293199999999999</v>
      </c>
      <c r="Z72" s="67">
        <f t="shared" si="9"/>
        <v>1.3899999999999999E-2</v>
      </c>
      <c r="AA72" s="67">
        <f t="shared" si="10"/>
        <v>23.279299999999999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0160-03</v>
      </c>
      <c r="AE72" s="91" t="str">
        <f t="shared" si="12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72" s="88" t="str">
        <f t="shared" si="13"/>
        <v>"C:\Program Files (x86)\AstroGrep\AstroGrep.exe" /spath="%USERPROFILE%\AppData\Local\Temp\OnboardLogs" /stypes="app*4041*20161103*"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160-03 --locoid 4041 --swversion DE.1.0.8.0 --startMP 204:232932 --initTime 2016-11-03T11:43:43 --startdatetime 2016-11-03T11:56:18 --delay 1 --endMP 204:139 --enddatetime 2016-11-03T12:34:24 --enforcementcount 0 &gt;&gt;C:\Users\stu\Documents\GitHub\eaglep3-reporting\EC\2016-11-03-refined-times.txt</v>
      </c>
      <c r="AI72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{"issue":{"subject":"","project_id":79,"tracker_id":40,"status_id":1,"priority_id":2,"assigned_to_id":23,"start_date":"2016-11-03","description":"","custom_fields":[{"id":1,"name":"Subdivision","value":"EC"},{"id":4,"name":"Milepost","value":"0.0139"},{"id":17,"name":"Train ID","value":"160-03"},{"id":16,"name":"Locomotive ID","value":"4041"},{"id":130,"name":"Impact","value":""},{"id":150,"name":"Time of Event (Mountain Time)","value":"12:34:24"},{"id":151,"name":"Denver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4016</v>
      </c>
      <c r="C73" s="22" t="s">
        <v>245</v>
      </c>
      <c r="D73" s="22" t="s">
        <v>210</v>
      </c>
      <c r="E73" s="13">
        <v>42677.46303240741</v>
      </c>
      <c r="F73" s="13">
        <v>42677.468935185185</v>
      </c>
      <c r="G73" s="7">
        <v>1</v>
      </c>
      <c r="H73" s="22" t="s">
        <v>662</v>
      </c>
      <c r="I73" s="13">
        <v>42677.494467592594</v>
      </c>
      <c r="J73" s="7">
        <v>0</v>
      </c>
      <c r="K73" s="112" t="str">
        <f t="shared" si="0"/>
        <v>4015/4016</v>
      </c>
      <c r="L73" s="22" t="str">
        <f>VLOOKUP(A73,'Trips&amp;Operators'!$C$1:$E$10000,3,FALSE)</f>
        <v>SHOOK</v>
      </c>
      <c r="M73" s="6">
        <f t="shared" si="1"/>
        <v>2.5532407409627922E-2</v>
      </c>
      <c r="N73" s="7">
        <f t="shared" si="27"/>
        <v>36.766666669864208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10:06:46-0600',mode:absolute,to:'2016-11-03 12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3" s="52" t="str">
        <f t="shared" si="6"/>
        <v>N</v>
      </c>
      <c r="X73" s="177">
        <f t="shared" si="26"/>
        <v>1</v>
      </c>
      <c r="Y73" s="67">
        <f t="shared" si="8"/>
        <v>4.5499999999999999E-2</v>
      </c>
      <c r="Z73" s="67">
        <f t="shared" si="9"/>
        <v>23.334700000000002</v>
      </c>
      <c r="AA73" s="67">
        <f t="shared" si="10"/>
        <v>23.289200000000001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0161-03</v>
      </c>
      <c r="AE73" s="91" t="str">
        <f t="shared" si="12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73" s="88" t="str">
        <f t="shared" si="13"/>
        <v>"C:\Program Files (x86)\AstroGrep\AstroGrep.exe" /spath="%USERPROFILE%\AppData\Local\Temp\OnboardLogs" /stypes="app*4016*20161103*"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161-03 --locoid 4016 --swversion DE.1.0.8.0 --startMP 204:455 --initTime 2016-11-03T11:06:46 --startdatetime 2016-11-03T11:15:16 --delay 1 --endMP 204:233347 --enddatetime 2016-11-03T11:52:02 --enforcementcount 0 &gt;&gt;C:\Users\stu\Documents\GitHub\eaglep3-reporting\EC\2016-11-03-refined-times.txt</v>
      </c>
      <c r="AI73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{"issue":{"subject":"","project_id":79,"tracker_id":40,"status_id":1,"priority_id":2,"assigned_to_id":23,"start_date":"2016-11-03","description":"","custom_fields":[{"id":1,"name":"Subdivision","value":"EC"},{"id":4,"name":"Milepost","value":"23.3347"},{"id":17,"name":"Train ID","value":"161-03"},{"id":16,"name":"Locomotive ID","value":"4016"},{"id":130,"name":"Impact","value":""},{"id":150,"name":"Time of Event (Mountain Time)","value":"11:52:02"},{"id":151,"name":"Denver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530</v>
      </c>
      <c r="B74" s="7">
        <v>4015</v>
      </c>
      <c r="C74" s="22" t="s">
        <v>245</v>
      </c>
      <c r="D74" s="22" t="s">
        <v>663</v>
      </c>
      <c r="E74" s="13">
        <v>42677.502638888887</v>
      </c>
      <c r="F74" s="13">
        <v>42677.507847222223</v>
      </c>
      <c r="G74" s="7">
        <v>1</v>
      </c>
      <c r="H74" s="22" t="s">
        <v>239</v>
      </c>
      <c r="I74" s="13">
        <v>42677.533842592595</v>
      </c>
      <c r="J74" s="7">
        <v>0</v>
      </c>
      <c r="K74" s="112" t="str">
        <f t="shared" si="0"/>
        <v>4015/4016</v>
      </c>
      <c r="L74" s="22" t="str">
        <f>VLOOKUP(A74,'Trips&amp;Operators'!$C$1:$E$10000,3,FALSE)</f>
        <v>SHOOK</v>
      </c>
      <c r="M74" s="6">
        <f t="shared" si="1"/>
        <v>2.5995370371674653E-2</v>
      </c>
      <c r="N74" s="7">
        <f t="shared" si="27"/>
        <v>37.433333335211501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11:03:48-0600',mode:absolute,to:'2016-11-03 13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4" s="52" t="str">
        <f t="shared" si="6"/>
        <v>N</v>
      </c>
      <c r="X74" s="177">
        <f t="shared" si="26"/>
        <v>1</v>
      </c>
      <c r="Y74" s="67">
        <f t="shared" si="8"/>
        <v>23.305499999999999</v>
      </c>
      <c r="Z74" s="67">
        <f t="shared" si="9"/>
        <v>1.61E-2</v>
      </c>
      <c r="AA74" s="67">
        <f t="shared" si="10"/>
        <v>23.289399999999997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0162-03</v>
      </c>
      <c r="AE74" s="91" t="str">
        <f t="shared" si="12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74" s="88" t="str">
        <f t="shared" si="13"/>
        <v>"C:\Program Files (x86)\AstroGrep\AstroGrep.exe" /spath="%USERPROFILE%\AppData\Local\Temp\OnboardLogs" /stypes="app*4015*20161103*"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162-03 --locoid 4015 --swversion DE.1.0.8.0 --startMP 204:233055 --initTime 2016-11-03T12:03:48 --startdatetime 2016-11-03T12:11:18 --delay 1 --endMP 204:161 --enddatetime 2016-11-03T12:48:44 --enforcementcount 0 &gt;&gt;C:\Users\stu\Documents\GitHub\eaglep3-reporting\EC\2016-11-03-refined-times.txt</v>
      </c>
      <c r="AI74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{"issue":{"subject":"","project_id":79,"tracker_id":40,"status_id":1,"priority_id":2,"assigned_to_id":23,"start_date":"2016-11-03","description":"","custom_fields":[{"id":1,"name":"Subdivision","value":"EC"},{"id":4,"name":"Milepost","value":"0.0161"},{"id":17,"name":"Train ID","value":"162-03"},{"id":16,"name":"Locomotive ID","value":"4015"},{"id":130,"name":"Impact","value":""},{"id":150,"name":"Time of Event (Mountain Time)","value":"12:48:44"},{"id":151,"name":"Denver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524</v>
      </c>
      <c r="B75" s="7">
        <v>4025</v>
      </c>
      <c r="C75" s="22" t="s">
        <v>245</v>
      </c>
      <c r="D75" s="22" t="s">
        <v>214</v>
      </c>
      <c r="E75" s="13">
        <v>42677.474282407406</v>
      </c>
      <c r="F75" s="13">
        <v>42677.479479166665</v>
      </c>
      <c r="G75" s="7">
        <v>1</v>
      </c>
      <c r="H75" s="22" t="s">
        <v>376</v>
      </c>
      <c r="I75" s="13">
        <v>42677.505011574074</v>
      </c>
      <c r="J75" s="7">
        <v>0</v>
      </c>
      <c r="K75" s="112" t="str">
        <f t="shared" si="0"/>
        <v>4025/4026</v>
      </c>
      <c r="L75" s="22" t="str">
        <f>VLOOKUP(A75,'Trips&amp;Operators'!$C$1:$E$10000,3,FALSE)</f>
        <v>HOLCOMB</v>
      </c>
      <c r="M75" s="6">
        <f t="shared" si="1"/>
        <v>2.5532407409627922E-2</v>
      </c>
      <c r="N75" s="7">
        <f t="shared" si="27"/>
        <v>36.766666669864208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10:22:58-0600',mode:absolute,to:'2016-11-03 13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5" s="52" t="str">
        <f t="shared" si="6"/>
        <v>N</v>
      </c>
      <c r="X75" s="177">
        <f t="shared" si="26"/>
        <v>1</v>
      </c>
      <c r="Y75" s="67">
        <f t="shared" si="8"/>
        <v>4.5100000000000001E-2</v>
      </c>
      <c r="Z75" s="67">
        <f t="shared" si="9"/>
        <v>23.330500000000001</v>
      </c>
      <c r="AA75" s="67">
        <f t="shared" si="10"/>
        <v>23.285399999999999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0163-03</v>
      </c>
      <c r="AE75" s="91" t="str">
        <f t="shared" si="12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75" s="88" t="str">
        <f t="shared" si="13"/>
        <v>"C:\Program Files (x86)\AstroGrep\AstroGrep.exe" /spath="%USERPROFILE%\AppData\Local\Temp\OnboardLogs" /stypes="app*4025*20161103*"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163-03 --locoid 4025 --swversion DE.1.0.8.0 --startMP 204:451 --initTime 2016-11-03T11:22:58 --startdatetime 2016-11-03T11:30:27 --delay 1 --endMP 204:233305 --enddatetime 2016-11-03T12:07:13 --enforcementcount 0 &gt;&gt;C:\Users\stu\Documents\GitHub\eaglep3-reporting\EC\2016-11-03-refined-times.txt</v>
      </c>
      <c r="AI75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{"issue":{"subject":"","project_id":79,"tracker_id":40,"status_id":1,"priority_id":2,"assigned_to_id":23,"start_date":"2016-11-03","description":"","custom_fields":[{"id":1,"name":"Subdivision","value":"EC"},{"id":4,"name":"Milepost","value":"23.3305"},{"id":17,"name":"Train ID","value":"163-03"},{"id":16,"name":"Locomotive ID","value":"4025"},{"id":130,"name":"Impact","value":""},{"id":150,"name":"Time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533</v>
      </c>
      <c r="B76" s="7">
        <v>4026</v>
      </c>
      <c r="C76" s="22" t="s">
        <v>245</v>
      </c>
      <c r="D76" s="22" t="s">
        <v>244</v>
      </c>
      <c r="E76" s="13">
        <v>42677.513680555552</v>
      </c>
      <c r="F76" s="13">
        <v>42677.518275462964</v>
      </c>
      <c r="G76" s="7">
        <v>1</v>
      </c>
      <c r="H76" s="22" t="s">
        <v>640</v>
      </c>
      <c r="I76" s="13">
        <v>42677.545011574075</v>
      </c>
      <c r="J76" s="7">
        <v>0</v>
      </c>
      <c r="K76" s="112" t="str">
        <f t="shared" si="0"/>
        <v>4025/4026</v>
      </c>
      <c r="L76" s="22" t="str">
        <f>VLOOKUP(A76,'Trips&amp;Operators'!$C$1:$E$10000,3,FALSE)</f>
        <v>HOLCOMB</v>
      </c>
      <c r="M76" s="6">
        <f t="shared" si="1"/>
        <v>2.6736111110949423E-2</v>
      </c>
      <c r="N76" s="7">
        <f t="shared" si="27"/>
        <v>38.499999999767169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https://search-rtdc-monitor-bjffxe2xuh6vdkpspy63sjmuny.us-east-1.es.amazonaws.com/_plugin/kibana/#/discover/Steve-Slow-Train-Analysis-(2080s-and-2083s)?_g=(refreshInterval:(display:Off,section:0,value:0),time:(from:'2016-11-03 11:19:42-0600',mode:absolute,to:'2016-11-03 14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6" s="52" t="str">
        <f t="shared" si="6"/>
        <v>N</v>
      </c>
      <c r="X76" s="177">
        <f t="shared" si="26"/>
        <v>1</v>
      </c>
      <c r="Y76" s="67">
        <f t="shared" si="8"/>
        <v>23.297799999999999</v>
      </c>
      <c r="Z76" s="67">
        <f t="shared" si="9"/>
        <v>1.4999999999999999E-2</v>
      </c>
      <c r="AA76" s="67">
        <f t="shared" si="10"/>
        <v>23.282799999999998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0164-03</v>
      </c>
      <c r="AE76" s="91" t="str">
        <f t="shared" si="12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76" s="88" t="str">
        <f t="shared" si="13"/>
        <v>"C:\Program Files (x86)\AstroGrep\AstroGrep.exe" /spath="%USERPROFILE%\AppData\Local\Temp\OnboardLogs" /stypes="app*4026*20161103*"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164-03 --locoid 4026 --swversion DE.1.0.8.0 --startMP 204:232978 --initTime 2016-11-03T12:19:42 --startdatetime 2016-11-03T12:26:19 --delay 1 --endMP 204:150 --enddatetime 2016-11-03T13:04:49 --enforcementcount 0 &gt;&gt;C:\Users\stu\Documents\GitHub\eaglep3-reporting\EC\2016-11-03-refined-times.txt</v>
      </c>
      <c r="AI76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ID","value":"164-03"},{"id":16,"name":"Locomotive ID","value":"4026"},{"id":130,"name":"Impact","value":""},{"id":150,"name":"Time of Event (Mountain Time)","value":"13:04:49"},{"id":151,"name":"Denver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526</v>
      </c>
      <c r="B77" s="7">
        <v>4029</v>
      </c>
      <c r="C77" s="22" t="s">
        <v>245</v>
      </c>
      <c r="D77" s="22" t="s">
        <v>664</v>
      </c>
      <c r="E77" s="13">
        <v>42677.486574074072</v>
      </c>
      <c r="F77" s="13">
        <v>42677.489745370367</v>
      </c>
      <c r="G77" s="7">
        <v>1</v>
      </c>
      <c r="H77" s="22" t="s">
        <v>652</v>
      </c>
      <c r="I77" s="13">
        <v>42677.51394675926</v>
      </c>
      <c r="J77" s="7">
        <v>0</v>
      </c>
      <c r="K77" s="112" t="str">
        <f t="shared" ref="K77:K140" si="28">IF(ISEVEN(B77),(B77-1)&amp;"/"&amp;B77,B77&amp;"/"&amp;(B77+1))</f>
        <v>4029/4030</v>
      </c>
      <c r="L77" s="22" t="str">
        <f>VLOOKUP(A77,'Trips&amp;Operators'!$C$1:$E$10000,3,FALSE)</f>
        <v>LOPES</v>
      </c>
      <c r="M77" s="6">
        <f t="shared" ref="M77:M140" si="29">I77-F77</f>
        <v>2.4201388892834075E-2</v>
      </c>
      <c r="N77" s="7">
        <f t="shared" si="27"/>
        <v>34.850000005681068</v>
      </c>
      <c r="O77" s="7"/>
      <c r="P77" s="7"/>
      <c r="Q77" s="23"/>
      <c r="R77" s="23"/>
      <c r="S77" s="35">
        <f t="shared" ref="S77:S140" si="30">SUM(U77:U77)/IF(AG77="EC",12,1)</f>
        <v>1</v>
      </c>
      <c r="T77" s="50" t="str">
        <f t="shared" ref="T77:T140" si="31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https://search-rtdc-monitor-bjffxe2xuh6vdkpspy63sjmuny.us-east-1.es.amazonaws.com/_plugin/kibana/#/discover/Steve-Slow-Train-Analysis-(2080s-and-2083s)?_g=(refreshInterval:(display:Off,section:0,value:0),time:(from:'2016-11-03 10:40:40-0600',mode:absolute,to:'2016-11-03 13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7" s="52" t="str">
        <f t="shared" ref="W77:W140" si="33">IF(AA77&lt;IF(AG77="EC",23,5.65),"Y","N")</f>
        <v>N</v>
      </c>
      <c r="X77" s="177">
        <f t="shared" si="26"/>
        <v>1</v>
      </c>
      <c r="Y77" s="67">
        <f t="shared" ref="Y77:Y140" si="34">RIGHT(D77,LEN(D77)-4)/10000</f>
        <v>4.8599999999999997E-2</v>
      </c>
      <c r="Z77" s="67">
        <f t="shared" ref="Z77:Z140" si="35">RIGHT(H77,LEN(H77)-4)/10000</f>
        <v>23.331900000000001</v>
      </c>
      <c r="AA77" s="67">
        <f t="shared" ref="AA77:AA140" si="36">ABS(Z77-Y77)</f>
        <v>23.283300000000001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7">IF(LEN(A77)=6,"0"&amp;A77,A77)</f>
        <v>0165-03</v>
      </c>
      <c r="AE77" s="91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77" s="88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/stypes="app*4029*20161103*" /stext=" 18:.+((SYSTEM_STATE.+slice.+state.+changed )|(ment ac)|(system.+state.+changed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165-03 --locoid 4029 --swversion DE.1.0.8.0 --startMP 204:486 --initTime 2016-11-03T11:40:40 --startdatetime 2016-11-03T11:45:14 --delay 1 --endMP 204:233319 --enddatetime 2016-11-03T12:20:05 --enforcementcount 0 &gt;&gt;C:\Users\stu\Documents\GitHub\eaglep3-reporting\EC\2016-11-03-refined-times.txt</v>
      </c>
      <c r="AI77" s="122" t="str">
        <f t="shared" si="18"/>
        <v>echo {"issue":{"subject":"","project_id":79,"tracker_id":40,"status_id":1,"priority_id":2,"assigned_to_id":23,"start_date":"2016-11-03","description":"","custom_fields":[{"id":1,"name":"Subdivision","value":"EC"},{"id":4,"name":"Milepost","value":"23.3319"},{"id":17,"name":"Train ID","value":"165-03"},{"id":16,"name":"Locomotive ID","value":"4029"},{"id":130,"name":"Impact","value":""},{"id":150,"name":"Time of Event (Mountain Time)","value":"12:20:05"},{"id":151,"name":"Denver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534</v>
      </c>
      <c r="B78" s="7">
        <v>4030</v>
      </c>
      <c r="C78" s="22" t="s">
        <v>245</v>
      </c>
      <c r="D78" s="22" t="s">
        <v>331</v>
      </c>
      <c r="E78" s="13">
        <v>42677.517106481479</v>
      </c>
      <c r="F78" s="13">
        <v>42677.528668981482</v>
      </c>
      <c r="G78" s="7">
        <v>1</v>
      </c>
      <c r="H78" s="22" t="s">
        <v>225</v>
      </c>
      <c r="I78" s="13">
        <v>42677.555023148147</v>
      </c>
      <c r="J78" s="7">
        <v>0</v>
      </c>
      <c r="K78" s="112" t="str">
        <f t="shared" si="28"/>
        <v>4029/4030</v>
      </c>
      <c r="L78" s="22" t="str">
        <f>VLOOKUP(A78,'Trips&amp;Operators'!$C$1:$E$10000,3,FALSE)</f>
        <v>LOPES</v>
      </c>
      <c r="M78" s="6">
        <f t="shared" si="29"/>
        <v>2.6354166664532386E-2</v>
      </c>
      <c r="N78" s="7">
        <f t="shared" si="27"/>
        <v>37.949999996926636</v>
      </c>
      <c r="O78" s="7"/>
      <c r="P78" s="7"/>
      <c r="Q78" s="23"/>
      <c r="R78" s="23"/>
      <c r="S78" s="35">
        <f t="shared" si="30"/>
        <v>1</v>
      </c>
      <c r="T78" s="50" t="str">
        <f t="shared" si="31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11:24:38-0600',mode:absolute,to:'2016-11-03 14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8" s="52" t="str">
        <f t="shared" si="33"/>
        <v>N</v>
      </c>
      <c r="X78" s="177">
        <f t="shared" si="26"/>
        <v>1</v>
      </c>
      <c r="Y78" s="67">
        <f t="shared" si="34"/>
        <v>23.299299999999999</v>
      </c>
      <c r="Z78" s="67">
        <f t="shared" si="35"/>
        <v>1.5599999999999999E-2</v>
      </c>
      <c r="AA78" s="67">
        <f t="shared" si="36"/>
        <v>23.2837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7"/>
        <v>0166-03</v>
      </c>
      <c r="AE78" s="91" t="str">
        <f t="shared" si="38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78" s="88" t="str">
        <f t="shared" si="39"/>
        <v>"C:\Program Files (x86)\AstroGrep\AstroGrep.exe" /spath="%USERPROFILE%\AppData\Local\Temp\OnboardLogs" /stypes="app*4030*20161103*" /stext=" 19:.+((SYSTEM_STATE.+slice.+state.+changed )|(ment ac)|(system.+state.+changed )|(\[timeout)|(PRM\|1\|D)|(kpr)|(kdp)|(\|lc)|(penalty))" /e /r /s</v>
      </c>
      <c r="AG78" s="1" t="str">
        <f t="shared" si="40"/>
        <v>EC</v>
      </c>
      <c r="AH78" s="92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166-03 --locoid 4030 --swversion DE.1.0.8.0 --startMP 204:232993 --initTime 2016-11-03T12:24:38 --startdatetime 2016-11-03T12:41:17 --delay 1 --endMP 204:156 --enddatetime 2016-11-03T13:19:14 --enforcementcount 0 &gt;&gt;C:\Users\stu\Documents\GitHub\eaglep3-reporting\EC\2016-11-03-refined-times.txt</v>
      </c>
      <c r="AI78" s="122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{"issue":{"subject":"","project_id":79,"tracker_id":40,"status_id":1,"priority_id":2,"assigned_to_id":23,"start_date":"2016-11-03","description":"","custom_fields":[{"id":1,"name":"Subdivision","value":"EC"},{"id":4,"name":"Milepost","value":"0.0156"},{"id":17,"name":"Train ID","value":"166-03"},{"id":16,"name":"Locomotive ID","value":"4030"},{"id":130,"name":"Impact","value":""},{"id":150,"name":"Time of Event (Mountain Time)","value":"13:19:14"},{"id":151,"name":"Denver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529</v>
      </c>
      <c r="B79" s="7">
        <v>4031</v>
      </c>
      <c r="C79" s="22" t="s">
        <v>245</v>
      </c>
      <c r="D79" s="22" t="s">
        <v>230</v>
      </c>
      <c r="E79" s="13">
        <v>42677.494398148148</v>
      </c>
      <c r="F79" s="13">
        <v>42677.500208333331</v>
      </c>
      <c r="G79" s="7">
        <v>1</v>
      </c>
      <c r="H79" s="22" t="s">
        <v>665</v>
      </c>
      <c r="I79" s="13">
        <v>42677.524247685185</v>
      </c>
      <c r="J79" s="7">
        <v>0</v>
      </c>
      <c r="K79" s="112" t="str">
        <f t="shared" si="28"/>
        <v>4031/4032</v>
      </c>
      <c r="L79" s="22" t="str">
        <f>VLOOKUP(A79,'Trips&amp;Operators'!$C$1:$E$10000,3,FALSE)</f>
        <v>HILLS</v>
      </c>
      <c r="M79" s="6">
        <f t="shared" si="29"/>
        <v>2.4039351854298729E-2</v>
      </c>
      <c r="N79" s="7">
        <f t="shared" si="27"/>
        <v>34.61666667019017</v>
      </c>
      <c r="O79" s="7"/>
      <c r="P79" s="7"/>
      <c r="Q79" s="23"/>
      <c r="R79" s="23"/>
      <c r="S79" s="35">
        <f t="shared" si="30"/>
        <v>1</v>
      </c>
      <c r="T79" s="50" t="str">
        <f t="shared" si="31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10:51:56-0600',mode:absolute,to:'2016-11-03 13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9" s="52" t="str">
        <f t="shared" si="33"/>
        <v>N</v>
      </c>
      <c r="X79" s="177">
        <f t="shared" si="26"/>
        <v>1</v>
      </c>
      <c r="Y79" s="67">
        <f t="shared" si="34"/>
        <v>4.6199999999999998E-2</v>
      </c>
      <c r="Z79" s="67">
        <f t="shared" si="35"/>
        <v>23.3337</v>
      </c>
      <c r="AA79" s="67">
        <f t="shared" si="36"/>
        <v>23.287500000000001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7"/>
        <v>0167-03</v>
      </c>
      <c r="AE79" s="91" t="str">
        <f t="shared" si="38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79" s="88" t="str">
        <f t="shared" si="39"/>
        <v>"C:\Program Files (x86)\AstroGrep\AstroGrep.exe" /spath="%USERPROFILE%\AppData\Local\Temp\OnboardLogs" /stypes="app*4031*20161103*" /stext=" 18:.+((SYSTEM_STATE.+slice.+state.+changed )|(ment ac)|(system.+state.+changed )|(\[timeout)|(PRM\|1\|D)|(kpr)|(kdp)|(\|lc)|(penalty))" /e /r /s</v>
      </c>
      <c r="AG79" s="1" t="str">
        <f t="shared" si="40"/>
        <v>EC</v>
      </c>
      <c r="AH79" s="92" t="str">
        <f t="shared" si="41"/>
        <v>"%USERPROFILE%\Documents\GitHub\eaglep3\Utilities\RefineRTDCRunTimes.py" --tripid 167-03 --locoid 4031 --swversion DE.1.0.8.0 --startMP 204:462 --initTime 2016-11-03T11:51:56 --startdatetime 2016-11-03T12:00:18 --delay 1 --endMP 204:233337 --enddatetime 2016-11-03T12:34:55 --enforcementcount 0 &gt;&gt;C:\Users\stu\Documents\GitHub\eaglep3-reporting\EC\2016-11-03-refined-times.txt</v>
      </c>
      <c r="AI7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{"issue":{"subject":"","project_id":79,"tracker_id":40,"status_id":1,"priority_id":2,"assigned_to_id":23,"start_date":"2016-11-03","description":"","custom_fields":[{"id":1,"name":"Subdivision","value":"EC"},{"id":4,"name":"Milepost","value":"23.3337"},{"id":17,"name":"Train ID","value":"167-03"},{"id":16,"name":"Locomotive ID","value":"4031"},{"id":130,"name":"Impact","value":""},{"id":150,"name":"Time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421</v>
      </c>
      <c r="B80" s="7">
        <v>4032</v>
      </c>
      <c r="C80" s="22" t="s">
        <v>245</v>
      </c>
      <c r="D80" s="22" t="s">
        <v>666</v>
      </c>
      <c r="E80" s="13">
        <v>42677.52884259259</v>
      </c>
      <c r="F80" s="13">
        <v>42677.539409722223</v>
      </c>
      <c r="G80" s="7">
        <v>1</v>
      </c>
      <c r="H80" s="22" t="s">
        <v>667</v>
      </c>
      <c r="I80" s="13">
        <v>42677.566041666665</v>
      </c>
      <c r="J80" s="7">
        <v>0</v>
      </c>
      <c r="K80" s="112" t="str">
        <f t="shared" si="28"/>
        <v>4031/4032</v>
      </c>
      <c r="L80" s="22" t="str">
        <f>VLOOKUP(A80,'Trips&amp;Operators'!$C$1:$E$10000,3,FALSE)</f>
        <v>HILLS</v>
      </c>
      <c r="M80" s="6">
        <f t="shared" si="29"/>
        <v>2.6631944441760425E-2</v>
      </c>
      <c r="N80" s="7">
        <f t="shared" si="27"/>
        <v>38.349999996135011</v>
      </c>
      <c r="O80" s="7"/>
      <c r="P80" s="7"/>
      <c r="Q80" s="23"/>
      <c r="R80" s="23"/>
      <c r="S80" s="35">
        <f t="shared" si="30"/>
        <v>1</v>
      </c>
      <c r="T80" s="50" t="str">
        <f t="shared" si="31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11:41:32-0600',mode:absolute,to:'2016-11-03 14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0" s="52" t="str">
        <f t="shared" si="33"/>
        <v>N</v>
      </c>
      <c r="X80" s="177">
        <f t="shared" si="26"/>
        <v>1</v>
      </c>
      <c r="Y80" s="67">
        <f t="shared" si="34"/>
        <v>23.302800000000001</v>
      </c>
      <c r="Z80" s="67">
        <f t="shared" si="35"/>
        <v>8.0999999999999996E-3</v>
      </c>
      <c r="AA80" s="67">
        <f t="shared" si="36"/>
        <v>23.294700000000002</v>
      </c>
      <c r="AB80" s="64" t="str">
        <f>VLOOKUP(A80,Enforcements!$C$7:$K$21,8,0)</f>
        <v>Speed (6)</v>
      </c>
      <c r="AC80" s="60" t="str">
        <f>VLOOKUP(A80,Enforcements!$C$7:$E$21,3,0)</f>
        <v>PERMANENT SPEED RESTRICTION</v>
      </c>
      <c r="AD80" s="61" t="str">
        <f t="shared" si="37"/>
        <v>0168-03</v>
      </c>
      <c r="AE80" s="91" t="str">
        <f t="shared" si="38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80" s="88" t="str">
        <f t="shared" si="39"/>
        <v>"C:\Program Files (x86)\AstroGrep\AstroGrep.exe" /spath="%USERPROFILE%\AppData\Local\Temp\OnboardLogs" /stypes="app*4032*20161103*" /stext=" 19:.+((SYSTEM_STATE.+slice.+state.+changed )|(ment ac)|(system.+state.+changed )|(\[timeout)|(PRM\|1\|D)|(kpr)|(kdp)|(\|lc)|(penalty))" /e /r /s</v>
      </c>
      <c r="AG80" s="1" t="str">
        <f t="shared" si="40"/>
        <v>EC</v>
      </c>
      <c r="AH80" s="92" t="str">
        <f t="shared" si="41"/>
        <v>"%USERPROFILE%\Documents\GitHub\eaglep3\Utilities\RefineRTDCRunTimes.py" --tripid 168-03 --locoid 4032 --swversion DE.1.0.8.0 --startMP 204:233028 --initTime 2016-11-03T12:41:32 --startdatetime 2016-11-03T12:56:45 --delay 1 --endMP 204:81 --enddatetime 2016-11-03T13:35:06 --enforcementcount 0 &gt;&gt;C:\Users\stu\Documents\GitHub\eaglep3-reporting\EC\2016-11-03-refined-times.txt</v>
      </c>
      <c r="AI8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{"issue":{"subject":"","project_id":79,"tracker_id":40,"status_id":1,"priority_id":2,"assigned_to_id":23,"start_date":"2016-11-03","description":"","custom_fields":[{"id":1,"name":"Subdivision","value":"EC"},{"id":4,"name":"Milepost","value":"0.0081"},{"id":17,"name":"Train ID","value":"168-03"},{"id":16,"name":"Locomotive ID","value":"4032"},{"id":130,"name":"Impact","value":""},{"id":150,"name":"Time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4040</v>
      </c>
      <c r="C81" s="22" t="s">
        <v>245</v>
      </c>
      <c r="D81" s="22" t="s">
        <v>278</v>
      </c>
      <c r="E81" s="13">
        <v>42677.506192129629</v>
      </c>
      <c r="F81" s="13">
        <v>42677.510787037034</v>
      </c>
      <c r="G81" s="7">
        <v>2</v>
      </c>
      <c r="H81" s="22" t="s">
        <v>650</v>
      </c>
      <c r="I81" s="13">
        <v>42677.536446759259</v>
      </c>
      <c r="J81" s="7">
        <v>0</v>
      </c>
      <c r="K81" s="112" t="str">
        <f t="shared" si="28"/>
        <v>4039/4040</v>
      </c>
      <c r="L81" s="22" t="str">
        <f>VLOOKUP(A81,'Trips&amp;Operators'!$C$1:$E$10000,3,FALSE)</f>
        <v>ADANE</v>
      </c>
      <c r="M81" s="6">
        <f t="shared" si="29"/>
        <v>2.5659722225100268E-2</v>
      </c>
      <c r="N81" s="7">
        <f t="shared" si="27"/>
        <v>36.950000004144385</v>
      </c>
      <c r="O81" s="7"/>
      <c r="P81" s="7"/>
      <c r="Q81" s="23"/>
      <c r="R81" s="23"/>
      <c r="S81" s="35">
        <f t="shared" si="30"/>
        <v>1</v>
      </c>
      <c r="T81" s="50" t="str">
        <f t="shared" si="31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11:08:55-0600',mode:absolute,to:'2016-11-03 13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1" s="52" t="str">
        <f t="shared" si="33"/>
        <v>N</v>
      </c>
      <c r="X81" s="177">
        <f t="shared" si="26"/>
        <v>1</v>
      </c>
      <c r="Y81" s="67">
        <f t="shared" si="34"/>
        <v>4.4200000000000003E-2</v>
      </c>
      <c r="Z81" s="67">
        <f t="shared" si="35"/>
        <v>23.330400000000001</v>
      </c>
      <c r="AA81" s="67">
        <f t="shared" si="36"/>
        <v>23.286200000000001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7"/>
        <v>0169-03</v>
      </c>
      <c r="AE81" s="91" t="str">
        <f t="shared" si="38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81" s="88" t="str">
        <f t="shared" si="39"/>
        <v>"C:\Program Files (x86)\AstroGrep\AstroGrep.exe" /spath="%USERPROFILE%\AppData\Local\Temp\OnboardLogs" /stypes="app*4040*20161103*" /stext=" 18:.+((SYSTEM_STATE.+slice.+state.+changed )|(ment ac)|(system.+state.+changed )|(\[timeout)|(PRM\|1\|D)|(kpr)|(kdp)|(\|lc)|(penalty))" /e /r /s</v>
      </c>
      <c r="AG81" s="1" t="str">
        <f t="shared" si="40"/>
        <v>EC</v>
      </c>
      <c r="AH81" s="92" t="str">
        <f t="shared" si="41"/>
        <v>"%USERPROFILE%\Documents\GitHub\eaglep3\Utilities\RefineRTDCRunTimes.py" --tripid 169-03 --locoid 4040 --swversion DE.1.0.8.0 --startMP 204:442 --initTime 2016-11-03T12:08:55 --startdatetime 2016-11-03T12:15:32 --delay 2 --endMP 204:233304 --enddatetime 2016-11-03T12:52:29 --enforcementcount 0 &gt;&gt;C:\Users\stu\Documents\GitHub\eaglep3-reporting\EC\2016-11-03-refined-times.txt</v>
      </c>
      <c r="AI8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{"issue":{"subject":"","project_id":79,"tracker_id":40,"status_id":1,"priority_id":2,"assigned_to_id":23,"start_date":"2016-11-03","description":"","custom_fields":[{"id":1,"name":"Subdivision","value":"EC"},{"id":4,"name":"Milepost","value":"23.3304"},{"id":17,"name":"Train ID","value":"169-03"},{"id":16,"name":"Locomotive ID","value":"4040"},{"id":130,"name":"Impact","value":""},{"id":150,"name":"Time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422</v>
      </c>
      <c r="B82" s="7">
        <v>4039</v>
      </c>
      <c r="C82" s="22" t="s">
        <v>245</v>
      </c>
      <c r="D82" s="22" t="s">
        <v>248</v>
      </c>
      <c r="E82" s="13">
        <v>42677.541030092594</v>
      </c>
      <c r="F82" s="13">
        <v>42677.550046296295</v>
      </c>
      <c r="G82" s="7">
        <v>1</v>
      </c>
      <c r="H82" s="22" t="s">
        <v>668</v>
      </c>
      <c r="I82" s="13">
        <v>42677.575416666667</v>
      </c>
      <c r="J82" s="7">
        <v>0</v>
      </c>
      <c r="K82" s="112" t="str">
        <f t="shared" si="28"/>
        <v>4039/4040</v>
      </c>
      <c r="L82" s="22" t="str">
        <f>VLOOKUP(A82,'Trips&amp;Operators'!$C$1:$E$10000,3,FALSE)</f>
        <v>ADANE</v>
      </c>
      <c r="M82" s="6">
        <f t="shared" si="29"/>
        <v>2.5370370371092577E-2</v>
      </c>
      <c r="N82" s="7">
        <f t="shared" si="27"/>
        <v>36.53333333437331</v>
      </c>
      <c r="O82" s="7"/>
      <c r="P82" s="7"/>
      <c r="Q82" s="23"/>
      <c r="R82" s="23"/>
      <c r="S82" s="35">
        <f t="shared" si="30"/>
        <v>1</v>
      </c>
      <c r="T82" s="50" t="str">
        <f t="shared" si="31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11:59:05-0600',mode:absolute,to:'2016-11-03 14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2" s="52" t="str">
        <f t="shared" si="33"/>
        <v>N</v>
      </c>
      <c r="X82" s="177">
        <f t="shared" si="26"/>
        <v>1</v>
      </c>
      <c r="Y82" s="67">
        <f t="shared" si="34"/>
        <v>23.298300000000001</v>
      </c>
      <c r="Z82" s="67">
        <f t="shared" si="35"/>
        <v>1.9800000000000002E-2</v>
      </c>
      <c r="AA82" s="67">
        <f t="shared" si="36"/>
        <v>23.278500000000001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7"/>
        <v>0170-03</v>
      </c>
      <c r="AE82" s="91" t="str">
        <f t="shared" si="38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82" s="88" t="str">
        <f t="shared" si="39"/>
        <v>"C:\Program Files (x86)\AstroGrep\AstroGrep.exe" /spath="%USERPROFILE%\AppData\Local\Temp\OnboardLogs" /stypes="app*4039*20161103*" /stext=" 19:.+((SYSTEM_STATE.+slice.+state.+changed )|(ment ac)|(system.+state.+changed )|(\[timeout)|(PRM\|1\|D)|(kpr)|(kdp)|(\|lc)|(penalty))" /e /r /s</v>
      </c>
      <c r="AG82" s="1" t="str">
        <f t="shared" si="40"/>
        <v>EC</v>
      </c>
      <c r="AH82" s="92" t="str">
        <f t="shared" si="41"/>
        <v>"%USERPROFILE%\Documents\GitHub\eaglep3\Utilities\RefineRTDCRunTimes.py" --tripid 170-03 --locoid 4039 --swversion DE.1.0.8.0 --startMP 204:232983 --initTime 2016-11-03T12:59:05 --startdatetime 2016-11-03T13:12:04 --delay 1 --endMP 204:198 --enddatetime 2016-11-03T13:48:36 --enforcementcount 0 &gt;&gt;C:\Users\stu\Documents\GitHub\eaglep3-reporting\EC\2016-11-03-refined-times.txt</v>
      </c>
      <c r="AI8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{"issue":{"subject":"","project_id":79,"tracker_id":40,"status_id":1,"priority_id":2,"assigned_to_id":23,"start_date":"2016-11-03","description":"","custom_fields":[{"id":1,"name":"Subdivision","value":"EC"},{"id":4,"name":"Milepost","value":"0.0198"},{"id":17,"name":"Train ID","value":"170-03"},{"id":16,"name":"Locomotive ID","value":"4039"},{"id":130,"name":"Impact","value":""},{"id":150,"name":"Time of Event (Mountain Time)","value":"13:48:36"},{"id":151,"name":"Denver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535</v>
      </c>
      <c r="B83" s="7">
        <v>4014</v>
      </c>
      <c r="C83" s="22" t="s">
        <v>245</v>
      </c>
      <c r="D83" s="22" t="s">
        <v>211</v>
      </c>
      <c r="E83" s="13">
        <v>42677.516840277778</v>
      </c>
      <c r="F83" s="13">
        <v>42677.521307870367</v>
      </c>
      <c r="G83" s="7">
        <v>2</v>
      </c>
      <c r="H83" s="22" t="s">
        <v>259</v>
      </c>
      <c r="I83" s="13">
        <v>42677.546053240738</v>
      </c>
      <c r="J83" s="7">
        <v>0</v>
      </c>
      <c r="K83" s="112" t="str">
        <f t="shared" si="28"/>
        <v>4013/4014</v>
      </c>
      <c r="L83" s="22" t="str">
        <f>VLOOKUP(A83,'Trips&amp;Operators'!$C$1:$E$10000,3,FALSE)</f>
        <v>MACDONALD</v>
      </c>
      <c r="M83" s="6">
        <f t="shared" si="29"/>
        <v>2.47453703705105E-2</v>
      </c>
      <c r="N83" s="7">
        <f t="shared" si="27"/>
        <v>35.63333333353512</v>
      </c>
      <c r="O83" s="7"/>
      <c r="P83" s="7"/>
      <c r="Q83" s="23"/>
      <c r="R83" s="23"/>
      <c r="S83" s="35">
        <f t="shared" si="30"/>
        <v>1</v>
      </c>
      <c r="T83" s="50" t="str">
        <f t="shared" si="31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11:24:15-0600',mode:absolute,to:'2016-11-03 14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3" s="52" t="str">
        <f t="shared" si="33"/>
        <v>N</v>
      </c>
      <c r="X83" s="177">
        <f t="shared" si="26"/>
        <v>1</v>
      </c>
      <c r="Y83" s="67">
        <f t="shared" si="34"/>
        <v>4.6600000000000003E-2</v>
      </c>
      <c r="Z83" s="67">
        <f t="shared" si="35"/>
        <v>23.328900000000001</v>
      </c>
      <c r="AA83" s="67">
        <f t="shared" si="36"/>
        <v>23.282299999999999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7"/>
        <v>0171-03</v>
      </c>
      <c r="AE83" s="91" t="str">
        <f t="shared" si="38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83" s="88" t="str">
        <f t="shared" si="39"/>
        <v>"C:\Program Files (x86)\AstroGrep\AstroGrep.exe" /spath="%USERPROFILE%\AppData\Local\Temp\OnboardLogs" /stypes="app*4014*20161103*" /stext=" 19:.+((SYSTEM_STATE.+slice.+state.+changed )|(ment ac)|(system.+state.+changed )|(\[timeout)|(PRM\|1\|D)|(kpr)|(kdp)|(\|lc)|(penalty))" /e /r /s</v>
      </c>
      <c r="AG83" s="1" t="str">
        <f t="shared" si="40"/>
        <v>EC</v>
      </c>
      <c r="AH83" s="92" t="str">
        <f t="shared" si="41"/>
        <v>"%USERPROFILE%\Documents\GitHub\eaglep3\Utilities\RefineRTDCRunTimes.py" --tripid 171-03 --locoid 4014 --swversion DE.1.0.8.0 --startMP 204:466 --initTime 2016-11-03T12:24:15 --startdatetime 2016-11-03T12:30:41 --delay 2 --endMP 204:233289 --enddatetime 2016-11-03T13:06:19 --enforcementcount 0 &gt;&gt;C:\Users\stu\Documents\GitHub\eaglep3-reporting\EC\2016-11-03-refined-times.txt</v>
      </c>
      <c r="AI8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{"issue":{"subject":"","project_id":79,"tracker_id":40,"status_id":1,"priority_id":2,"assigned_to_id":23,"start_date":"2016-11-03","description":"","custom_fields":[{"id":1,"name":"Subdivision","value":"EC"},{"id":4,"name":"Milepost","value":"23.3289"},{"id":17,"name":"Train ID","value":"171-03"},{"id":16,"name":"Locomotive ID","value":"4014"},{"id":130,"name":"Impact","value":""},{"id":150,"name":"Time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423</v>
      </c>
      <c r="B84" s="7">
        <v>4013</v>
      </c>
      <c r="C84" s="22" t="s">
        <v>245</v>
      </c>
      <c r="D84" s="22" t="s">
        <v>261</v>
      </c>
      <c r="E84" s="13">
        <v>42677.55672453704</v>
      </c>
      <c r="F84" s="13">
        <v>42677.560162037036</v>
      </c>
      <c r="G84" s="7">
        <v>2</v>
      </c>
      <c r="H84" s="22" t="s">
        <v>326</v>
      </c>
      <c r="I84" s="13">
        <v>42677.58699074074</v>
      </c>
      <c r="J84" s="7">
        <v>0</v>
      </c>
      <c r="K84" s="112" t="str">
        <f t="shared" si="28"/>
        <v>4013/4014</v>
      </c>
      <c r="L84" s="22" t="str">
        <f>VLOOKUP(A84,'Trips&amp;Operators'!$C$1:$E$10000,3,FALSE)</f>
        <v>MACDONALD</v>
      </c>
      <c r="M84" s="6">
        <f t="shared" si="29"/>
        <v>2.6828703703358769E-2</v>
      </c>
      <c r="N84" s="7">
        <f t="shared" si="27"/>
        <v>38.633333332836628</v>
      </c>
      <c r="O84" s="7"/>
      <c r="P84" s="7"/>
      <c r="Q84" s="23"/>
      <c r="R84" s="23"/>
      <c r="S84" s="35">
        <f t="shared" si="30"/>
        <v>1</v>
      </c>
      <c r="T84" s="50" t="str">
        <f t="shared" si="31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12:21:41-0600',mode:absolute,to:'2016-11-03 15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4" s="52" t="str">
        <f t="shared" si="33"/>
        <v>N</v>
      </c>
      <c r="X84" s="177">
        <f t="shared" si="26"/>
        <v>1</v>
      </c>
      <c r="Y84" s="67">
        <f t="shared" si="34"/>
        <v>23.297499999999999</v>
      </c>
      <c r="Z84" s="67">
        <f t="shared" si="35"/>
        <v>1.6500000000000001E-2</v>
      </c>
      <c r="AA84" s="67">
        <f t="shared" si="36"/>
        <v>23.280999999999999</v>
      </c>
      <c r="AB84" s="64" t="str">
        <f>VLOOKUP(A84,Enforcements!$C$7:$K$21,8,0)</f>
        <v>Bulletin (2)</v>
      </c>
      <c r="AC84" s="60" t="str">
        <f>VLOOKUP(A84,Enforcements!$C$7:$E$21,3,0)</f>
        <v>GRADE CROSSING</v>
      </c>
      <c r="AD84" s="61" t="str">
        <f t="shared" si="37"/>
        <v>0172-03</v>
      </c>
      <c r="AE84" s="91" t="str">
        <f t="shared" si="38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84" s="88" t="str">
        <f t="shared" si="39"/>
        <v>"C:\Program Files (x86)\AstroGrep\AstroGrep.exe" /spath="%USERPROFILE%\AppData\Local\Temp\OnboardLogs" /stypes="app*4013*20161103*" /stext=" 20:.+((SYSTEM_STATE.+slice.+state.+changed )|(ment ac)|(system.+state.+changed )|(\[timeout)|(PRM\|1\|D)|(kpr)|(kdp)|(\|lc)|(penalty))" /e /r /s</v>
      </c>
      <c r="AG84" s="1" t="str">
        <f t="shared" si="40"/>
        <v>EC</v>
      </c>
      <c r="AH84" s="92" t="str">
        <f t="shared" si="41"/>
        <v>"%USERPROFILE%\Documents\GitHub\eaglep3\Utilities\RefineRTDCRunTimes.py" --tripid 172-03 --locoid 4013 --swversion DE.1.0.8.0 --startMP 204:232975 --initTime 2016-11-03T13:21:41 --startdatetime 2016-11-03T13:26:38 --delay 2 --endMP 204:165 --enddatetime 2016-11-03T14:05:16 --enforcementcount 0 &gt;&gt;C:\Users\stu\Documents\GitHub\eaglep3-reporting\EC\2016-11-03-refined-times.txt</v>
      </c>
      <c r="AI8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{"issue":{"subject":"","project_id":79,"tracker_id":40,"status_id":1,"priority_id":2,"assigned_to_id":23,"start_date":"2016-11-03","description":"","custom_fields":[{"id":1,"name":"Subdivision","value":"EC"},{"id":4,"name":"Milepost","value":"0.0165"},{"id":17,"name":"Train ID","value":"172-03"},{"id":16,"name":"Locomotive ID","value":"4013"},{"id":130,"name":"Impact","value":""},{"id":150,"name":"Time of Event (Mountain Time)","value":"14:05:16"},{"id":151,"name":"Denver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536</v>
      </c>
      <c r="B85" s="7">
        <v>4042</v>
      </c>
      <c r="C85" s="22" t="s">
        <v>245</v>
      </c>
      <c r="D85" s="22" t="s">
        <v>375</v>
      </c>
      <c r="E85" s="13">
        <v>42677.525231481479</v>
      </c>
      <c r="F85" s="13">
        <v>42677.531539351854</v>
      </c>
      <c r="G85" s="7">
        <v>1</v>
      </c>
      <c r="H85" s="22" t="s">
        <v>669</v>
      </c>
      <c r="I85" s="13">
        <v>42677.55746527778</v>
      </c>
      <c r="J85" s="7">
        <v>0</v>
      </c>
      <c r="K85" s="112" t="str">
        <f t="shared" si="28"/>
        <v>4041/4042</v>
      </c>
      <c r="L85" s="22" t="str">
        <f>VLOOKUP(A85,'Trips&amp;Operators'!$C$1:$E$10000,3,FALSE)</f>
        <v>SAFIEF</v>
      </c>
      <c r="M85" s="6">
        <f t="shared" si="29"/>
        <v>2.5925925925548654E-2</v>
      </c>
      <c r="N85" s="7">
        <f t="shared" si="27"/>
        <v>37.333333332790062</v>
      </c>
      <c r="O85" s="7"/>
      <c r="P85" s="7"/>
      <c r="Q85" s="23"/>
      <c r="R85" s="23"/>
      <c r="S85" s="35">
        <f t="shared" si="30"/>
        <v>1</v>
      </c>
      <c r="T85" s="50" t="str">
        <f t="shared" si="31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11:36:20-0600',mode:absolute,to:'2016-11-03 14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5" s="52" t="str">
        <f t="shared" si="33"/>
        <v>N</v>
      </c>
      <c r="X85" s="177">
        <f t="shared" si="26"/>
        <v>1</v>
      </c>
      <c r="Y85" s="67">
        <f t="shared" si="34"/>
        <v>4.7100000000000003E-2</v>
      </c>
      <c r="Z85" s="67">
        <f t="shared" si="35"/>
        <v>23.328299999999999</v>
      </c>
      <c r="AA85" s="67">
        <f t="shared" si="36"/>
        <v>23.281199999999998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7"/>
        <v>0173-03</v>
      </c>
      <c r="AE85" s="91" t="str">
        <f t="shared" si="38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85" s="88" t="str">
        <f t="shared" si="39"/>
        <v>"C:\Program Files (x86)\AstroGrep\AstroGrep.exe" /spath="%USERPROFILE%\AppData\Local\Temp\OnboardLogs" /stypes="app*4042*20161103*" /stext=" 19:.+((SYSTEM_STATE.+slice.+state.+changed )|(ment ac)|(system.+state.+changed )|(\[timeout)|(PRM\|1\|D)|(kpr)|(kdp)|(\|lc)|(penalty))" /e /r /s</v>
      </c>
      <c r="AG85" s="1" t="str">
        <f t="shared" si="40"/>
        <v>EC</v>
      </c>
      <c r="AH85" s="92" t="str">
        <f t="shared" si="41"/>
        <v>"%USERPROFILE%\Documents\GitHub\eaglep3\Utilities\RefineRTDCRunTimes.py" --tripid 173-03 --locoid 4042 --swversion DE.1.0.8.0 --startMP 204:471 --initTime 2016-11-03T12:36:20 --startdatetime 2016-11-03T12:45:25 --delay 1 --endMP 204:233283 --enddatetime 2016-11-03T13:22:45 --enforcementcount 0 &gt;&gt;C:\Users\stu\Documents\GitHub\eaglep3-reporting\EC\2016-11-03-refined-times.txt</v>
      </c>
      <c r="AI8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{"issue":{"subject":"","project_id":79,"tracker_id":40,"status_id":1,"priority_id":2,"assigned_to_id":23,"start_date":"2016-11-03","description":"","custom_fields":[{"id":1,"name":"Subdivision","value":"EC"},{"id":4,"name":"Milepost","value":"23.3283"},{"id":17,"name":"Train ID","value":"173-03"},{"id":16,"name":"Locomotive ID","value":"4042"},{"id":130,"name":"Impact","value":""},{"id":150,"name":"Time of Event (Mountain Time)","value":"13:22:45"},{"id":151,"name":"Denver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424</v>
      </c>
      <c r="B86" s="7">
        <v>4041</v>
      </c>
      <c r="C86" s="22" t="s">
        <v>245</v>
      </c>
      <c r="D86" s="22" t="s">
        <v>336</v>
      </c>
      <c r="E86" s="13">
        <v>42677.562592592592</v>
      </c>
      <c r="F86" s="13">
        <v>42677.570543981485</v>
      </c>
      <c r="G86" s="7">
        <v>1</v>
      </c>
      <c r="H86" s="22" t="s">
        <v>229</v>
      </c>
      <c r="I86" s="13">
        <v>42677.596134259256</v>
      </c>
      <c r="J86" s="7">
        <v>0</v>
      </c>
      <c r="K86" s="112" t="str">
        <f t="shared" si="28"/>
        <v>4041/4042</v>
      </c>
      <c r="L86" s="22" t="str">
        <f>VLOOKUP(A86,'Trips&amp;Operators'!$C$1:$E$10000,3,FALSE)</f>
        <v>SAFIEF</v>
      </c>
      <c r="M86" s="6">
        <f t="shared" si="29"/>
        <v>2.5590277771698311E-2</v>
      </c>
      <c r="N86" s="7">
        <f t="shared" si="27"/>
        <v>36.849999991245568</v>
      </c>
      <c r="O86" s="7"/>
      <c r="P86" s="7"/>
      <c r="Q86" s="23"/>
      <c r="R86" s="23"/>
      <c r="S86" s="35">
        <f t="shared" si="30"/>
        <v>1</v>
      </c>
      <c r="T86" s="50" t="str">
        <f t="shared" si="31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12:30:08-0600',mode:absolute,to:'2016-11-03 15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6" s="52" t="str">
        <f t="shared" si="33"/>
        <v>N</v>
      </c>
      <c r="X86" s="177">
        <f t="shared" si="26"/>
        <v>1</v>
      </c>
      <c r="Y86" s="67">
        <f t="shared" si="34"/>
        <v>23.299099999999999</v>
      </c>
      <c r="Z86" s="67">
        <f t="shared" si="35"/>
        <v>1.38E-2</v>
      </c>
      <c r="AA86" s="67">
        <f t="shared" si="36"/>
        <v>23.285299999999999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7"/>
        <v>0174-03</v>
      </c>
      <c r="AE86" s="91" t="str">
        <f t="shared" si="38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86" s="88" t="str">
        <f t="shared" si="39"/>
        <v>"C:\Program Files (x86)\AstroGrep\AstroGrep.exe" /spath="%USERPROFILE%\AppData\Local\Temp\OnboardLogs" /stypes="app*4041*20161103*" /stext=" 20:.+((SYSTEM_STATE.+slice.+state.+changed )|(ment ac)|(system.+state.+changed )|(\[timeout)|(PRM\|1\|D)|(kpr)|(kdp)|(\|lc)|(penalty))" /e /r /s</v>
      </c>
      <c r="AG86" s="1" t="str">
        <f t="shared" si="40"/>
        <v>EC</v>
      </c>
      <c r="AH86" s="92" t="str">
        <f t="shared" si="41"/>
        <v>"%USERPROFILE%\Documents\GitHub\eaglep3\Utilities\RefineRTDCRunTimes.py" --tripid 174-03 --locoid 4041 --swversion DE.1.0.8.0 --startMP 204:232991 --initTime 2016-11-03T13:30:08 --startdatetime 2016-11-03T13:41:35 --delay 1 --endMP 204:138 --enddatetime 2016-11-03T14:18:26 --enforcementcount 0 &gt;&gt;C:\Users\stu\Documents\GitHub\eaglep3-reporting\EC\2016-11-03-refined-times.txt</v>
      </c>
      <c r="AI8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{"issue":{"subject":"","project_id":79,"tracker_id":40,"status_id":1,"priority_id":2,"assigned_to_id":23,"start_date":"2016-11-03","description":"","custom_fields":[{"id":1,"name":"Subdivision","value":"EC"},{"id":4,"name":"Milepost","value":"0.0138"},{"id":17,"name":"Train ID","value":"174-03"},{"id":16,"name":"Locomotive ID","value":"4041"},{"id":130,"name":"Impact","value":""},{"id":150,"name":"Time of Event (Mountain Time)","value":"14:18:26"},{"id":151,"name":"Denver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538</v>
      </c>
      <c r="B87" s="7">
        <v>4016</v>
      </c>
      <c r="C87" s="22" t="s">
        <v>245</v>
      </c>
      <c r="D87" s="22" t="s">
        <v>235</v>
      </c>
      <c r="E87" s="13">
        <v>42677.537453703706</v>
      </c>
      <c r="F87" s="13">
        <v>42677.541851851849</v>
      </c>
      <c r="G87" s="7">
        <v>1</v>
      </c>
      <c r="H87" s="22" t="s">
        <v>670</v>
      </c>
      <c r="I87" s="13">
        <v>42677.567407407405</v>
      </c>
      <c r="J87" s="7">
        <v>0</v>
      </c>
      <c r="K87" s="112" t="str">
        <f t="shared" si="28"/>
        <v>4015/4016</v>
      </c>
      <c r="L87" s="22" t="str">
        <f>VLOOKUP(A87,'Trips&amp;Operators'!$C$1:$E$10000,3,FALSE)</f>
        <v>SHOOK</v>
      </c>
      <c r="M87" s="6">
        <f t="shared" si="29"/>
        <v>2.5555555555911269E-2</v>
      </c>
      <c r="N87" s="7">
        <f t="shared" si="27"/>
        <v>36.800000000512227</v>
      </c>
      <c r="O87" s="7"/>
      <c r="P87" s="7"/>
      <c r="Q87" s="23"/>
      <c r="R87" s="23"/>
      <c r="S87" s="35">
        <f t="shared" si="30"/>
        <v>1</v>
      </c>
      <c r="T87" s="50" t="str">
        <f t="shared" si="31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11:53:56-0600',mode:absolute,to:'2016-11-03 14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7" s="52" t="str">
        <f t="shared" si="33"/>
        <v>N</v>
      </c>
      <c r="X87" s="177">
        <f t="shared" si="26"/>
        <v>1</v>
      </c>
      <c r="Y87" s="67">
        <f t="shared" si="34"/>
        <v>4.5699999999999998E-2</v>
      </c>
      <c r="Z87" s="67">
        <f t="shared" si="35"/>
        <v>23.3414</v>
      </c>
      <c r="AA87" s="67">
        <f t="shared" si="36"/>
        <v>23.2957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7"/>
        <v>0175-03</v>
      </c>
      <c r="AE87" s="91" t="str">
        <f t="shared" si="38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87" s="88" t="str">
        <f t="shared" si="39"/>
        <v>"C:\Program Files (x86)\AstroGrep\AstroGrep.exe" /spath="%USERPROFILE%\AppData\Local\Temp\OnboardLogs" /stypes="app*4016*20161103*" /stext=" 19:.+((SYSTEM_STATE.+slice.+state.+changed )|(ment ac)|(system.+state.+changed )|(\[timeout)|(PRM\|1\|D)|(kpr)|(kdp)|(\|lc)|(penalty))" /e /r /s</v>
      </c>
      <c r="AG87" s="1" t="str">
        <f t="shared" si="40"/>
        <v>EC</v>
      </c>
      <c r="AH87" s="92" t="str">
        <f t="shared" si="41"/>
        <v>"%USERPROFILE%\Documents\GitHub\eaglep3\Utilities\RefineRTDCRunTimes.py" --tripid 175-03 --locoid 4016 --swversion DE.1.0.8.0 --startMP 204:457 --initTime 2016-11-03T12:53:56 --startdatetime 2016-11-03T13:00:16 --delay 1 --endMP 204:233414 --enddatetime 2016-11-03T13:37:04 --enforcementcount 0 &gt;&gt;C:\Users\stu\Documents\GitHub\eaglep3-reporting\EC\2016-11-03-refined-times.txt</v>
      </c>
      <c r="AI8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{"issue":{"subject":"","project_id":79,"tracker_id":40,"status_id":1,"priority_id":2,"assigned_to_id":23,"start_date":"2016-11-03","description":"","custom_fields":[{"id":1,"name":"Subdivision","value":"EC"},{"id":4,"name":"Milepost","value":"23.3414"},{"id":17,"name":"Train ID","value":"175-03"},{"id":16,"name":"Locomotive ID","value":"4016"},{"id":130,"name":"Impact","value":""},{"id":150,"name":"Time of Event (Mountain Time)","value":"13:37:04"},{"id":151,"name":"Denver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544</v>
      </c>
      <c r="B88" s="7">
        <v>4015</v>
      </c>
      <c r="C88" s="22" t="s">
        <v>245</v>
      </c>
      <c r="D88" s="22" t="s">
        <v>671</v>
      </c>
      <c r="E88" s="13">
        <v>42677.574861111112</v>
      </c>
      <c r="F88" s="13">
        <v>42677.580775462964</v>
      </c>
      <c r="G88" s="7">
        <v>1</v>
      </c>
      <c r="H88" s="22" t="s">
        <v>229</v>
      </c>
      <c r="I88" s="13">
        <v>42677.606782407405</v>
      </c>
      <c r="J88" s="7">
        <v>0</v>
      </c>
      <c r="K88" s="112" t="str">
        <f t="shared" si="28"/>
        <v>4015/4016</v>
      </c>
      <c r="L88" s="22" t="str">
        <f>VLOOKUP(A88,'Trips&amp;Operators'!$C$1:$E$10000,3,FALSE)</f>
        <v>SHOOK</v>
      </c>
      <c r="M88" s="6">
        <f t="shared" si="29"/>
        <v>2.6006944441178348E-2</v>
      </c>
      <c r="N88" s="7">
        <f t="shared" si="27"/>
        <v>37.449999995296821</v>
      </c>
      <c r="O88" s="7"/>
      <c r="P88" s="7"/>
      <c r="Q88" s="23"/>
      <c r="R88" s="23"/>
      <c r="S88" s="35">
        <f t="shared" si="30"/>
        <v>1</v>
      </c>
      <c r="T88" s="50" t="str">
        <f t="shared" si="31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12:47:48-0600',mode:absolute,to:'2016-11-03 15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8" s="52" t="str">
        <f t="shared" si="33"/>
        <v>N</v>
      </c>
      <c r="X88" s="177">
        <f t="shared" si="26"/>
        <v>1</v>
      </c>
      <c r="Y88" s="67">
        <f t="shared" si="34"/>
        <v>23.304400000000001</v>
      </c>
      <c r="Z88" s="67">
        <f t="shared" si="35"/>
        <v>1.38E-2</v>
      </c>
      <c r="AA88" s="67">
        <f t="shared" si="36"/>
        <v>23.290600000000001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7"/>
        <v>0176-03</v>
      </c>
      <c r="AE88" s="91" t="str">
        <f t="shared" si="38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88" s="88" t="str">
        <f t="shared" si="39"/>
        <v>"C:\Program Files (x86)\AstroGrep\AstroGrep.exe" /spath="%USERPROFILE%\AppData\Local\Temp\OnboardLogs" /stypes="app*4015*20161103*" /stext=" 20:.+((SYSTEM_STATE.+slice.+state.+changed )|(ment ac)|(system.+state.+changed )|(\[timeout)|(PRM\|1\|D)|(kpr)|(kdp)|(\|lc)|(penalty))" /e /r /s</v>
      </c>
      <c r="AG88" s="1" t="str">
        <f t="shared" si="40"/>
        <v>EC</v>
      </c>
      <c r="AH88" s="92" t="str">
        <f t="shared" si="41"/>
        <v>"%USERPROFILE%\Documents\GitHub\eaglep3\Utilities\RefineRTDCRunTimes.py" --tripid 176-03 --locoid 4015 --swversion DE.1.0.8.0 --startMP 204:233044 --initTime 2016-11-03T13:47:48 --startdatetime 2016-11-03T13:56:19 --delay 1 --endMP 204:138 --enddatetime 2016-11-03T14:33:46 --enforcementcount 0 &gt;&gt;C:\Users\stu\Documents\GitHub\eaglep3-reporting\EC\2016-11-03-refined-times.txt</v>
      </c>
      <c r="AI8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{"issue":{"subject":"","project_id":79,"tracker_id":40,"status_id":1,"priority_id":2,"assigned_to_id":23,"start_date":"2016-11-03","description":"","custom_fields":[{"id":1,"name":"Subdivision","value":"EC"},{"id":4,"name":"Milepost","value":"0.0138"},{"id":17,"name":"Train ID","value":"176-03"},{"id":16,"name":"Locomotive ID","value":"4015"},{"id":130,"name":"Impact","value":""},{"id":150,"name":"Time of Event (Mountain Time)","value":"14:33:46"},{"id":151,"name":"Denver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539</v>
      </c>
      <c r="B89" s="7">
        <v>4025</v>
      </c>
      <c r="C89" s="22" t="s">
        <v>245</v>
      </c>
      <c r="D89" s="22" t="s">
        <v>250</v>
      </c>
      <c r="E89" s="13">
        <v>42677.548888888887</v>
      </c>
      <c r="F89" s="13">
        <v>42677.552418981482</v>
      </c>
      <c r="G89" s="7">
        <v>4</v>
      </c>
      <c r="H89" s="22" t="s">
        <v>378</v>
      </c>
      <c r="I89" s="13">
        <v>42677.577245370368</v>
      </c>
      <c r="J89" s="7">
        <v>0</v>
      </c>
      <c r="K89" s="112" t="str">
        <f t="shared" si="28"/>
        <v>4025/4026</v>
      </c>
      <c r="L89" s="22" t="str">
        <f>VLOOKUP(A89,'Trips&amp;Operators'!$C$1:$E$10000,3,FALSE)</f>
        <v>HOLCOMB</v>
      </c>
      <c r="M89" s="6">
        <f t="shared" si="29"/>
        <v>2.4826388886140194E-2</v>
      </c>
      <c r="N89" s="7">
        <f t="shared" si="27"/>
        <v>35.749999996041879</v>
      </c>
      <c r="O89" s="7"/>
      <c r="P89" s="7"/>
      <c r="Q89" s="23"/>
      <c r="R89" s="23"/>
      <c r="S89" s="35">
        <f t="shared" si="30"/>
        <v>1</v>
      </c>
      <c r="T89" s="50" t="str">
        <f t="shared" si="31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12:10:24-0600',mode:absolute,to:'2016-11-03 14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9" s="52" t="str">
        <f t="shared" si="33"/>
        <v>N</v>
      </c>
      <c r="X89" s="177">
        <f t="shared" si="26"/>
        <v>1</v>
      </c>
      <c r="Y89" s="67">
        <f t="shared" si="34"/>
        <v>4.58E-2</v>
      </c>
      <c r="Z89" s="67">
        <f t="shared" si="35"/>
        <v>23.333400000000001</v>
      </c>
      <c r="AA89" s="67">
        <f t="shared" si="36"/>
        <v>23.287600000000001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7"/>
        <v>0177-03</v>
      </c>
      <c r="AE89" s="91" t="str">
        <f t="shared" si="38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89" s="88" t="str">
        <f t="shared" si="39"/>
        <v>"C:\Program Files (x86)\AstroGrep\AstroGrep.exe" /spath="%USERPROFILE%\AppData\Local\Temp\OnboardLogs" /stypes="app*4025*20161103*" /stext=" 19:.+((SYSTEM_STATE.+slice.+state.+changed )|(ment ac)|(system.+state.+changed )|(\[timeout)|(PRM\|1\|D)|(kpr)|(kdp)|(\|lc)|(penalty))" /e /r /s</v>
      </c>
      <c r="AG89" s="1" t="str">
        <f t="shared" si="40"/>
        <v>EC</v>
      </c>
      <c r="AH89" s="92" t="str">
        <f t="shared" si="41"/>
        <v>"%USERPROFILE%\Documents\GitHub\eaglep3\Utilities\RefineRTDCRunTimes.py" --tripid 177-03 --locoid 4025 --swversion DE.1.0.8.0 --startMP 204:458 --initTime 2016-11-03T13:10:24 --startdatetime 2016-11-03T13:15:29 --delay 4 --endMP 204:233334 --enddatetime 2016-11-03T13:51:14 --enforcementcount 0 &gt;&gt;C:\Users\stu\Documents\GitHub\eaglep3-reporting\EC\2016-11-03-refined-times.txt</v>
      </c>
      <c r="AI8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{"issue":{"subject":"","project_id":79,"tracker_id":40,"status_id":1,"priority_id":2,"assigned_to_id":23,"start_date":"2016-11-03","description":"","custom_fields":[{"id":1,"name":"Subdivision","value":"EC"},{"id":4,"name":"Milepost","value":"23.3334"},{"id":17,"name":"Train ID","value":"177-03"},{"id":16,"name":"Locomotive ID","value":"4025"},{"id":130,"name":"Impact","value":""},{"id":150,"name":"Time of Event (Mountain Time)","value":"13:51:14"},{"id":151,"name":"Denver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545</v>
      </c>
      <c r="B90" s="7">
        <v>4026</v>
      </c>
      <c r="C90" s="22" t="s">
        <v>245</v>
      </c>
      <c r="D90" s="22" t="s">
        <v>672</v>
      </c>
      <c r="E90" s="13">
        <v>42677.587905092594</v>
      </c>
      <c r="F90" s="13">
        <v>42677.591307870367</v>
      </c>
      <c r="G90" s="7">
        <v>2</v>
      </c>
      <c r="H90" s="22" t="s">
        <v>229</v>
      </c>
      <c r="I90" s="13">
        <v>42677.617824074077</v>
      </c>
      <c r="J90" s="7">
        <v>0</v>
      </c>
      <c r="K90" s="112" t="str">
        <f t="shared" si="28"/>
        <v>4025/4026</v>
      </c>
      <c r="L90" s="22" t="str">
        <f>VLOOKUP(A90,'Trips&amp;Operators'!$C$1:$E$10000,3,FALSE)</f>
        <v>HOLCOMB</v>
      </c>
      <c r="M90" s="6">
        <f t="shared" si="29"/>
        <v>2.6516203710343689E-2</v>
      </c>
      <c r="N90" s="7">
        <f t="shared" si="27"/>
        <v>38.183333342894912</v>
      </c>
      <c r="O90" s="7"/>
      <c r="P90" s="7"/>
      <c r="Q90" s="23"/>
      <c r="R90" s="23"/>
      <c r="S90" s="35">
        <f t="shared" si="30"/>
        <v>1</v>
      </c>
      <c r="T90" s="50" t="str">
        <f t="shared" si="31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13:06:35-0600',mode:absolute,to:'2016-11-03 15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0" s="52" t="str">
        <f t="shared" si="33"/>
        <v>N</v>
      </c>
      <c r="X90" s="177">
        <f t="shared" si="26"/>
        <v>1</v>
      </c>
      <c r="Y90" s="67">
        <f t="shared" si="34"/>
        <v>23.301500000000001</v>
      </c>
      <c r="Z90" s="67">
        <f t="shared" si="35"/>
        <v>1.38E-2</v>
      </c>
      <c r="AA90" s="67">
        <f t="shared" si="36"/>
        <v>23.287700000000001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7"/>
        <v>0178-03</v>
      </c>
      <c r="AE90" s="91" t="str">
        <f t="shared" si="38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90" s="88" t="str">
        <f t="shared" si="39"/>
        <v>"C:\Program Files (x86)\AstroGrep\AstroGrep.exe" /spath="%USERPROFILE%\AppData\Local\Temp\OnboardLogs" /stypes="app*4026*20161103*" /stext=" 20:.+((SYSTEM_STATE.+slice.+state.+changed )|(ment ac)|(system.+state.+changed )|(\[timeout)|(PRM\|1\|D)|(kpr)|(kdp)|(\|lc)|(penalty))" /e /r /s</v>
      </c>
      <c r="AG90" s="1" t="str">
        <f t="shared" si="40"/>
        <v>EC</v>
      </c>
      <c r="AH90" s="92" t="str">
        <f t="shared" si="41"/>
        <v>"%USERPROFILE%\Documents\GitHub\eaglep3\Utilities\RefineRTDCRunTimes.py" --tripid 178-03 --locoid 4026 --swversion DE.1.0.8.0 --startMP 204:233015 --initTime 2016-11-03T14:06:35 --startdatetime 2016-11-03T14:11:29 --delay 2 --endMP 204:138 --enddatetime 2016-11-03T14:49:40 --enforcementcount 0 &gt;&gt;C:\Users\stu\Documents\GitHub\eaglep3-reporting\EC\2016-11-03-refined-times.txt</v>
      </c>
      <c r="AI9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{"issue":{"subject":"","project_id":79,"tracker_id":40,"status_id":1,"priority_id":2,"assigned_to_id":23,"start_date":"2016-11-03","description":"","custom_fields":[{"id":1,"name":"Subdivision","value":"EC"},{"id":4,"name":"Milepost","value":"0.0138"},{"id":17,"name":"Train ID","value":"178-03"},{"id":16,"name":"Locomotive ID","value":"4026"},{"id":130,"name":"Impact","value":""},{"id":150,"name":"Time of Event (Mountain Time)","value":"14:49:40"},{"id":151,"name":"Denver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541</v>
      </c>
      <c r="B91" s="7">
        <v>4029</v>
      </c>
      <c r="C91" s="22" t="s">
        <v>245</v>
      </c>
      <c r="D91" s="22" t="s">
        <v>240</v>
      </c>
      <c r="E91" s="13">
        <v>42677.556469907409</v>
      </c>
      <c r="F91" s="13">
        <v>42677.562696759262</v>
      </c>
      <c r="G91" s="7">
        <v>1</v>
      </c>
      <c r="H91" s="22" t="s">
        <v>267</v>
      </c>
      <c r="I91" s="13">
        <v>42677.587893518517</v>
      </c>
      <c r="J91" s="7">
        <v>0</v>
      </c>
      <c r="K91" s="112" t="str">
        <f t="shared" si="28"/>
        <v>4029/4030</v>
      </c>
      <c r="L91" s="22" t="str">
        <f>VLOOKUP(A91,'Trips&amp;Operators'!$C$1:$E$10000,3,FALSE)</f>
        <v>LOPES</v>
      </c>
      <c r="M91" s="6">
        <f t="shared" si="29"/>
        <v>2.5196759255777579E-2</v>
      </c>
      <c r="N91" s="7">
        <f t="shared" si="27"/>
        <v>36.283333328319713</v>
      </c>
      <c r="O91" s="7"/>
      <c r="P91" s="7"/>
      <c r="Q91" s="23"/>
      <c r="R91" s="23"/>
      <c r="S91" s="35">
        <f t="shared" si="30"/>
        <v>1</v>
      </c>
      <c r="T91" s="50" t="str">
        <f t="shared" si="31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12:21:19-0600',mode:absolute,to:'2016-11-03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1" s="52" t="str">
        <f t="shared" si="33"/>
        <v>N</v>
      </c>
      <c r="X91" s="177">
        <f t="shared" si="26"/>
        <v>1</v>
      </c>
      <c r="Y91" s="67">
        <f t="shared" si="34"/>
        <v>4.6399999999999997E-2</v>
      </c>
      <c r="Z91" s="67">
        <f t="shared" si="35"/>
        <v>23.330300000000001</v>
      </c>
      <c r="AA91" s="67">
        <f t="shared" si="36"/>
        <v>23.283900000000003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7"/>
        <v>0179-03</v>
      </c>
      <c r="AE91" s="91" t="str">
        <f t="shared" si="38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91" s="88" t="str">
        <f t="shared" si="39"/>
        <v>"C:\Program Files (x86)\AstroGrep\AstroGrep.exe" /spath="%USERPROFILE%\AppData\Local\Temp\OnboardLogs" /stypes="app*4029*20161103*" /stext=" 20:.+((SYSTEM_STATE.+slice.+state.+changed )|(ment ac)|(system.+state.+changed )|(\[timeout)|(PRM\|1\|D)|(kpr)|(kdp)|(\|lc)|(penalty))" /e /r /s</v>
      </c>
      <c r="AG91" s="1" t="str">
        <f t="shared" si="40"/>
        <v>EC</v>
      </c>
      <c r="AH91" s="92" t="str">
        <f t="shared" si="41"/>
        <v>"%USERPROFILE%\Documents\GitHub\eaglep3\Utilities\RefineRTDCRunTimes.py" --tripid 179-03 --locoid 4029 --swversion DE.1.0.8.0 --startMP 204:464 --initTime 2016-11-03T13:21:19 --startdatetime 2016-11-03T13:30:17 --delay 1 --endMP 204:233303 --enddatetime 2016-11-03T14:06:34 --enforcementcount 0 &gt;&gt;C:\Users\stu\Documents\GitHub\eaglep3-reporting\EC\2016-11-03-refined-times.txt</v>
      </c>
      <c r="AI9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{"issue":{"subject":"","project_id":79,"tracker_id":40,"status_id":1,"priority_id":2,"assigned_to_id":23,"start_date":"2016-11-03","description":"","custom_fields":[{"id":1,"name":"Subdivision","value":"EC"},{"id":4,"name":"Milepost","value":"23.3303"},{"id":17,"name":"Train ID","value":"179-03"},{"id":16,"name":"Locomotive ID","value":"4029"},{"id":130,"name":"Impact","value":""},{"id":150,"name":"Time of Event (Mountain Time)","value":"14:06:34"},{"id":151,"name":"Denver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547</v>
      </c>
      <c r="B92" s="7">
        <v>4030</v>
      </c>
      <c r="C92" s="22" t="s">
        <v>245</v>
      </c>
      <c r="D92" s="22" t="s">
        <v>293</v>
      </c>
      <c r="E92" s="13">
        <v>42677.590844907405</v>
      </c>
      <c r="F92" s="13">
        <v>42677.6015625</v>
      </c>
      <c r="G92" s="7">
        <v>1</v>
      </c>
      <c r="H92" s="22" t="s">
        <v>225</v>
      </c>
      <c r="I92" s="13">
        <v>42677.627280092594</v>
      </c>
      <c r="J92" s="7">
        <v>0</v>
      </c>
      <c r="K92" s="112" t="str">
        <f t="shared" si="28"/>
        <v>4029/4030</v>
      </c>
      <c r="L92" s="22" t="str">
        <f>VLOOKUP(A92,'Trips&amp;Operators'!$C$1:$E$10000,3,FALSE)</f>
        <v>LOPES</v>
      </c>
      <c r="M92" s="6">
        <f t="shared" si="29"/>
        <v>2.5717592594446614E-2</v>
      </c>
      <c r="N92" s="7">
        <f t="shared" si="27"/>
        <v>37.033333336003125</v>
      </c>
      <c r="O92" s="7"/>
      <c r="P92" s="7"/>
      <c r="Q92" s="23"/>
      <c r="R92" s="23"/>
      <c r="S92" s="35">
        <f t="shared" si="30"/>
        <v>1</v>
      </c>
      <c r="T92" s="50" t="str">
        <f t="shared" si="31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13:10:49-0600',mode:absolute,to:'2016-11-03 16:03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2" s="52" t="str">
        <f t="shared" si="33"/>
        <v>N</v>
      </c>
      <c r="X92" s="177">
        <f t="shared" ref="X92:X123" si="43">VALUE(LEFT(AD92,4))-VALUE(LEFT(AD91,4))</f>
        <v>1</v>
      </c>
      <c r="Y92" s="67">
        <f t="shared" si="34"/>
        <v>23.298200000000001</v>
      </c>
      <c r="Z92" s="67">
        <f t="shared" si="35"/>
        <v>1.5599999999999999E-2</v>
      </c>
      <c r="AA92" s="67">
        <f t="shared" si="36"/>
        <v>23.282600000000002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7"/>
        <v>0180-03</v>
      </c>
      <c r="AE92" s="91" t="str">
        <f t="shared" si="38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92" s="88" t="str">
        <f t="shared" si="39"/>
        <v>"C:\Program Files (x86)\AstroGrep\AstroGrep.exe" /spath="%USERPROFILE%\AppData\Local\Temp\OnboardLogs" /stypes="app*4030*20161103*" /stext=" 21:.+((SYSTEM_STATE.+slice.+state.+changed )|(ment ac)|(system.+state.+changed )|(\[timeout)|(PRM\|1\|D)|(kpr)|(kdp)|(\|lc)|(penalty))" /e /r /s</v>
      </c>
      <c r="AG92" s="1" t="str">
        <f t="shared" si="40"/>
        <v>EC</v>
      </c>
      <c r="AH92" s="92" t="str">
        <f t="shared" si="41"/>
        <v>"%USERPROFILE%\Documents\GitHub\eaglep3\Utilities\RefineRTDCRunTimes.py" --tripid 180-03 --locoid 4030 --swversion DE.1.0.8.0 --startMP 204:232982 --initTime 2016-11-03T14:10:49 --startdatetime 2016-11-03T14:26:15 --delay 1 --endMP 204:156 --enddatetime 2016-11-03T15:03:17 --enforcementcount 0 &gt;&gt;C:\Users\stu\Documents\GitHub\eaglep3-reporting\EC\2016-11-03-refined-times.txt</v>
      </c>
      <c r="AI9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{"issue":{"subject":"","project_id":79,"tracker_id":40,"status_id":1,"priority_id":2,"assigned_to_id":23,"start_date":"2016-11-03","description":"","custom_fields":[{"id":1,"name":"Subdivision","value":"EC"},{"id":4,"name":"Milepost","value":"0.0156"},{"id":17,"name":"Train ID","value":"180-03"},{"id":16,"name":"Locomotive ID","value":"4030"},{"id":130,"name":"Impact","value":""},{"id":150,"name":"Time of Event (Mountain Time)","value":"15:03:17"},{"id":151,"name":"Denver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543</v>
      </c>
      <c r="B93" s="7">
        <v>4031</v>
      </c>
      <c r="C93" s="22" t="s">
        <v>245</v>
      </c>
      <c r="D93" s="22" t="s">
        <v>673</v>
      </c>
      <c r="E93" s="13">
        <v>42677.56753472222</v>
      </c>
      <c r="F93" s="13">
        <v>42677.573194444441</v>
      </c>
      <c r="G93" s="7">
        <v>1</v>
      </c>
      <c r="H93" s="22" t="s">
        <v>674</v>
      </c>
      <c r="I93" s="13">
        <v>42677.597581018519</v>
      </c>
      <c r="J93" s="7">
        <v>0</v>
      </c>
      <c r="K93" s="112" t="str">
        <f t="shared" si="28"/>
        <v>4031/4032</v>
      </c>
      <c r="L93" s="22" t="str">
        <f>VLOOKUP(A93,'Trips&amp;Operators'!$C$1:$E$10000,3,FALSE)</f>
        <v>HILLS</v>
      </c>
      <c r="M93" s="6">
        <f t="shared" si="29"/>
        <v>2.4386574077652767E-2</v>
      </c>
      <c r="N93" s="7">
        <f t="shared" si="27"/>
        <v>35.116666671819985</v>
      </c>
      <c r="O93" s="7"/>
      <c r="P93" s="7"/>
      <c r="Q93" s="23"/>
      <c r="R93" s="23"/>
      <c r="S93" s="35">
        <f t="shared" si="30"/>
        <v>1</v>
      </c>
      <c r="T93" s="50" t="str">
        <f t="shared" si="31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12:37:15-0600',mode:absolute,to:'2016-11-03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3" s="52" t="str">
        <f t="shared" si="33"/>
        <v>N</v>
      </c>
      <c r="X93" s="177">
        <f t="shared" si="43"/>
        <v>1</v>
      </c>
      <c r="Y93" s="67">
        <f t="shared" si="34"/>
        <v>3.9800000000000002E-2</v>
      </c>
      <c r="Z93" s="67">
        <f t="shared" si="35"/>
        <v>23.334399999999999</v>
      </c>
      <c r="AA93" s="67">
        <f t="shared" si="36"/>
        <v>23.294599999999999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7"/>
        <v>0181-03</v>
      </c>
      <c r="AE93" s="91" t="str">
        <f t="shared" si="38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93" s="88" t="str">
        <f t="shared" si="39"/>
        <v>"C:\Program Files (x86)\AstroGrep\AstroGrep.exe" /spath="%USERPROFILE%\AppData\Local\Temp\OnboardLogs" /stypes="app*4031*20161103*" /stext=" 20:.+((SYSTEM_STATE.+slice.+state.+changed )|(ment ac)|(system.+state.+changed )|(\[timeout)|(PRM\|1\|D)|(kpr)|(kdp)|(\|lc)|(penalty))" /e /r /s</v>
      </c>
      <c r="AG93" s="1" t="str">
        <f t="shared" si="40"/>
        <v>EC</v>
      </c>
      <c r="AH93" s="92" t="str">
        <f t="shared" si="41"/>
        <v>"%USERPROFILE%\Documents\GitHub\eaglep3\Utilities\RefineRTDCRunTimes.py" --tripid 181-03 --locoid 4031 --swversion DE.1.0.8.0 --startMP 204:398 --initTime 2016-11-03T13:37:15 --startdatetime 2016-11-03T13:45:24 --delay 1 --endMP 204:233344 --enddatetime 2016-11-03T14:20:31 --enforcementcount 0 &gt;&gt;C:\Users\stu\Documents\GitHub\eaglep3-reporting\EC\2016-11-03-refined-times.txt</v>
      </c>
      <c r="AI9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{"issue":{"subject":"","project_id":79,"tracker_id":40,"status_id":1,"priority_id":2,"assigned_to_id":23,"start_date":"2016-11-03","description":"","custom_fields":[{"id":1,"name":"Subdivision","value":"EC"},{"id":4,"name":"Milepost","value":"23.3344"},{"id":17,"name":"Train ID","value":"181-03"},{"id":16,"name":"Locomotive ID","value":"4031"},{"id":130,"name":"Impact","value":""},{"id":150,"name":"Time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549</v>
      </c>
      <c r="B94" s="7">
        <v>4032</v>
      </c>
      <c r="C94" s="22" t="s">
        <v>245</v>
      </c>
      <c r="D94" s="22" t="s">
        <v>675</v>
      </c>
      <c r="E94" s="13">
        <v>42677.598923611113</v>
      </c>
      <c r="F94" s="13">
        <v>42677.612280092595</v>
      </c>
      <c r="G94" s="7">
        <v>0</v>
      </c>
      <c r="H94" s="22" t="s">
        <v>676</v>
      </c>
      <c r="I94" s="13">
        <v>42677.637685185182</v>
      </c>
      <c r="J94" s="7">
        <v>0</v>
      </c>
      <c r="K94" s="112" t="str">
        <f t="shared" si="28"/>
        <v>4031/4032</v>
      </c>
      <c r="L94" s="22" t="str">
        <f>VLOOKUP(A94,'Trips&amp;Operators'!$C$1:$E$10000,3,FALSE)</f>
        <v>HILLS</v>
      </c>
      <c r="M94" s="6">
        <f t="shared" si="29"/>
        <v>2.5405092586879618E-2</v>
      </c>
      <c r="N94" s="7">
        <f t="shared" si="27"/>
        <v>36.583333325106651</v>
      </c>
      <c r="O94" s="7"/>
      <c r="P94" s="7"/>
      <c r="Q94" s="23"/>
      <c r="R94" s="23"/>
      <c r="S94" s="35">
        <f t="shared" si="30"/>
        <v>1</v>
      </c>
      <c r="T94" s="50" t="str">
        <f t="shared" si="31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13:22:27-0600',mode:absolute,to:'2016-11-03 16:18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4" s="52" t="str">
        <f t="shared" si="33"/>
        <v>N</v>
      </c>
      <c r="X94" s="177">
        <f t="shared" si="43"/>
        <v>1</v>
      </c>
      <c r="Y94" s="67">
        <f t="shared" si="34"/>
        <v>23.305700000000002</v>
      </c>
      <c r="Z94" s="67">
        <f t="shared" si="35"/>
        <v>1.18E-2</v>
      </c>
      <c r="AA94" s="67">
        <f t="shared" si="36"/>
        <v>23.293900000000001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7"/>
        <v>0182-03</v>
      </c>
      <c r="AE94" s="91" t="str">
        <f t="shared" si="38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94" s="88" t="str">
        <f t="shared" si="39"/>
        <v>"C:\Program Files (x86)\AstroGrep\AstroGrep.exe" /spath="%USERPROFILE%\AppData\Local\Temp\OnboardLogs" /stypes="app*4032*20161103*" /stext=" 21:.+((SYSTEM_STATE.+slice.+state.+changed )|(ment ac)|(system.+state.+changed )|(\[timeout)|(PRM\|1\|D)|(kpr)|(kdp)|(\|lc)|(penalty))" /e /r /s</v>
      </c>
      <c r="AG94" s="1" t="str">
        <f t="shared" si="40"/>
        <v>EC</v>
      </c>
      <c r="AH94" s="92" t="str">
        <f t="shared" si="41"/>
        <v>"%USERPROFILE%\Documents\GitHub\eaglep3\Utilities\RefineRTDCRunTimes.py" --tripid 182-03 --locoid 4032 --swversion DE.1.0.8.0 --startMP 204:233057 --initTime 2016-11-03T14:22:27 --startdatetime 2016-11-03T14:41:41 --delay 0 --endMP 204:118 --enddatetime 2016-11-03T15:18:16 --enforcementcount 0 &gt;&gt;C:\Users\stu\Documents\GitHub\eaglep3-reporting\EC\2016-11-03-refined-times.txt</v>
      </c>
      <c r="AI9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{"issue":{"subject":"","project_id":79,"tracker_id":40,"status_id":1,"priority_id":2,"assigned_to_id":23,"start_date":"2016-11-03","description":"","custom_fields":[{"id":1,"name":"Subdivision","value":"EC"},{"id":4,"name":"Milepost","value":"0.0118"},{"id":17,"name":"Train ID","value":"182-03"},{"id":16,"name":"Locomotive ID","value":"4032"},{"id":130,"name":"Impact","value":""},{"id":150,"name":"Time of Event (Mountain Time)","value":"15:18:16"},{"id":151,"name":"Denver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425</v>
      </c>
      <c r="B95" s="7">
        <v>4040</v>
      </c>
      <c r="C95" s="22" t="s">
        <v>245</v>
      </c>
      <c r="D95" s="22" t="s">
        <v>677</v>
      </c>
      <c r="E95" s="13">
        <v>42677.579791666663</v>
      </c>
      <c r="F95" s="13">
        <v>42677.584004629629</v>
      </c>
      <c r="G95" s="7">
        <v>1</v>
      </c>
      <c r="H95" s="22" t="s">
        <v>646</v>
      </c>
      <c r="I95" s="13">
        <v>42677.609571759262</v>
      </c>
      <c r="J95" s="7">
        <v>0</v>
      </c>
      <c r="K95" s="112" t="str">
        <f t="shared" si="28"/>
        <v>4039/4040</v>
      </c>
      <c r="L95" s="22" t="str">
        <f>VLOOKUP(A95,'Trips&amp;Operators'!$C$1:$E$10000,3,FALSE)</f>
        <v>ADANE</v>
      </c>
      <c r="M95" s="6">
        <f t="shared" si="29"/>
        <v>2.5567129632690921E-2</v>
      </c>
      <c r="N95" s="7">
        <f t="shared" ref="N95:N126" si="44">24*60*SUM($M95:$M95)</f>
        <v>36.816666671074927</v>
      </c>
      <c r="O95" s="7"/>
      <c r="P95" s="7"/>
      <c r="Q95" s="23"/>
      <c r="R95" s="23"/>
      <c r="S95" s="35">
        <f t="shared" si="30"/>
        <v>1</v>
      </c>
      <c r="T95" s="50" t="str">
        <f t="shared" si="31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12:54:54-0600',mode:absolute,to:'2016-11-03 15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5" s="52" t="str">
        <f t="shared" si="33"/>
        <v>N</v>
      </c>
      <c r="X95" s="177">
        <f t="shared" si="43"/>
        <v>1</v>
      </c>
      <c r="Y95" s="67">
        <f t="shared" si="34"/>
        <v>5.4800000000000001E-2</v>
      </c>
      <c r="Z95" s="67">
        <f t="shared" si="35"/>
        <v>23.331099999999999</v>
      </c>
      <c r="AA95" s="67">
        <f t="shared" si="36"/>
        <v>23.276299999999999</v>
      </c>
      <c r="AB95" s="64" t="str">
        <f>VLOOKUP(A95,Enforcements!$C$7:$K$21,8,0)</f>
        <v>Speed (6)</v>
      </c>
      <c r="AC95" s="60" t="str">
        <f>VLOOKUP(A95,Enforcements!$C$7:$E$21,3,0)</f>
        <v>EQUIPMENT RESTRICTION</v>
      </c>
      <c r="AD95" s="61" t="str">
        <f t="shared" si="37"/>
        <v>0183-03</v>
      </c>
      <c r="AE95" s="91" t="str">
        <f t="shared" si="38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95" s="88" t="str">
        <f t="shared" si="39"/>
        <v>"C:\Program Files (x86)\AstroGrep\AstroGrep.exe" /spath="%USERPROFILE%\AppData\Local\Temp\OnboardLogs" /stypes="app*4040*20161103*" /stext=" 20:.+((SYSTEM_STATE.+slice.+state.+changed )|(ment ac)|(system.+state.+changed )|(\[timeout)|(PRM\|1\|D)|(kpr)|(kdp)|(\|lc)|(penalty))" /e /r /s</v>
      </c>
      <c r="AG95" s="1" t="str">
        <f t="shared" si="40"/>
        <v>EC</v>
      </c>
      <c r="AH95" s="92" t="str">
        <f t="shared" si="41"/>
        <v>"%USERPROFILE%\Documents\GitHub\eaglep3\Utilities\RefineRTDCRunTimes.py" --tripid 183-03 --locoid 4040 --swversion DE.1.0.8.0 --startMP 204:548 --initTime 2016-11-03T13:54:54 --startdatetime 2016-11-03T14:00:58 --delay 1 --endMP 204:233311 --enddatetime 2016-11-03T14:37:47 --enforcementcount 0 &gt;&gt;C:\Users\stu\Documents\GitHub\eaglep3-reporting\EC\2016-11-03-refined-times.txt</v>
      </c>
      <c r="AI9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{"issue":{"subject":"","project_id":79,"tracker_id":40,"status_id":1,"priority_id":2,"assigned_to_id":23,"start_date":"2016-11-03","description":"","custom_fields":[{"id":1,"name":"Subdivision","value":"EC"},{"id":4,"name":"Milepost","value":"23.3311"},{"id":17,"name":"Train ID","value":"183-03"},{"id":16,"name":"Locomotive ID","value":"4040"},{"id":130,"name":"Impact","value":""},{"id":150,"name":"Time of Event (Mountain Time)","value":"14:37:47"},{"id":151,"name":"Denver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552</v>
      </c>
      <c r="B96" s="7">
        <v>4039</v>
      </c>
      <c r="C96" s="22" t="s">
        <v>245</v>
      </c>
      <c r="D96" s="22" t="s">
        <v>647</v>
      </c>
      <c r="E96" s="13">
        <v>42677.610960648148</v>
      </c>
      <c r="F96" s="13">
        <v>42677.622997685183</v>
      </c>
      <c r="G96" s="7">
        <v>1</v>
      </c>
      <c r="H96" s="22" t="s">
        <v>678</v>
      </c>
      <c r="I96" s="13">
        <v>42677.648425925923</v>
      </c>
      <c r="J96" s="7">
        <v>0</v>
      </c>
      <c r="K96" s="112" t="str">
        <f t="shared" si="28"/>
        <v>4039/4040</v>
      </c>
      <c r="L96" s="22" t="str">
        <f>VLOOKUP(A96,'Trips&amp;Operators'!$C$1:$E$10000,3,FALSE)</f>
        <v>ADANE</v>
      </c>
      <c r="M96" s="6">
        <f t="shared" si="29"/>
        <v>2.5428240740438923E-2</v>
      </c>
      <c r="N96" s="7">
        <f t="shared" si="44"/>
        <v>36.616666666232049</v>
      </c>
      <c r="O96" s="7"/>
      <c r="P96" s="7"/>
      <c r="Q96" s="23"/>
      <c r="R96" s="23"/>
      <c r="S96" s="35">
        <f t="shared" si="30"/>
        <v>1</v>
      </c>
      <c r="T96" s="50" t="str">
        <f t="shared" si="31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13:39:47-0600',mode:absolute,to:'2016-11-03 16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6" s="52" t="str">
        <f t="shared" si="33"/>
        <v>N</v>
      </c>
      <c r="X96" s="177">
        <f t="shared" si="43"/>
        <v>1</v>
      </c>
      <c r="Y96" s="67">
        <f t="shared" si="34"/>
        <v>23.299199999999999</v>
      </c>
      <c r="Z96" s="67">
        <f t="shared" si="35"/>
        <v>1.29E-2</v>
      </c>
      <c r="AA96" s="67">
        <f t="shared" si="36"/>
        <v>23.286300000000001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7"/>
        <v>0184-03</v>
      </c>
      <c r="AE96" s="91" t="str">
        <f t="shared" si="38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96" s="88" t="str">
        <f t="shared" si="39"/>
        <v>"C:\Program Files (x86)\AstroGrep\AstroGrep.exe" /spath="%USERPROFILE%\AppData\Local\Temp\OnboardLogs" /stypes="app*4039*20161103*" /stext=" 21:.+((SYSTEM_STATE.+slice.+state.+changed )|(ment ac)|(system.+state.+changed )|(\[timeout)|(PRM\|1\|D)|(kpr)|(kdp)|(\|lc)|(penalty))" /e /r /s</v>
      </c>
      <c r="AG96" s="1" t="str">
        <f t="shared" si="40"/>
        <v>EC</v>
      </c>
      <c r="AH96" s="92" t="str">
        <f t="shared" si="41"/>
        <v>"%USERPROFILE%\Documents\GitHub\eaglep3\Utilities\RefineRTDCRunTimes.py" --tripid 184-03 --locoid 4039 --swversion DE.1.0.8.0 --startMP 204:232992 --initTime 2016-11-03T14:39:47 --startdatetime 2016-11-03T14:57:07 --delay 1 --endMP 204:129 --enddatetime 2016-11-03T15:33:44 --enforcementcount 0 &gt;&gt;C:\Users\stu\Documents\GitHub\eaglep3-reporting\EC\2016-11-03-refined-times.txt</v>
      </c>
      <c r="AI9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{"issue":{"subject":"","project_id":79,"tracker_id":40,"status_id":1,"priority_id":2,"assigned_to_id":23,"start_date":"2016-11-03","description":"","custom_fields":[{"id":1,"name":"Subdivision","value":"EC"},{"id":4,"name":"Milepost","value":"0.0129"},{"id":17,"name":"Train ID","value":"184-03"},{"id":16,"name":"Locomotive ID","value":"4039"},{"id":130,"name":"Impact","value":""},{"id":150,"name":"Time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7" t="s">
        <v>427</v>
      </c>
      <c r="B97" s="7">
        <v>4014</v>
      </c>
      <c r="C97" s="22" t="s">
        <v>245</v>
      </c>
      <c r="D97" s="22" t="s">
        <v>235</v>
      </c>
      <c r="E97" s="13">
        <v>42677.588310185187</v>
      </c>
      <c r="F97" s="13">
        <v>42677.5940162037</v>
      </c>
      <c r="G97" s="7">
        <v>1</v>
      </c>
      <c r="H97" s="22" t="s">
        <v>650</v>
      </c>
      <c r="I97" s="13">
        <v>42677.619004629632</v>
      </c>
      <c r="J97" s="7">
        <v>0</v>
      </c>
      <c r="K97" s="112" t="str">
        <f t="shared" si="28"/>
        <v>4013/4014</v>
      </c>
      <c r="L97" s="22" t="str">
        <f>VLOOKUP(A97,'Trips&amp;Operators'!$C$1:$E$10000,3,FALSE)</f>
        <v>MACDONALD</v>
      </c>
      <c r="M97" s="6">
        <f t="shared" si="29"/>
        <v>2.4988425931951497E-2</v>
      </c>
      <c r="N97" s="7">
        <f t="shared" si="44"/>
        <v>35.983333342010155</v>
      </c>
      <c r="O97" s="7"/>
      <c r="P97" s="7"/>
      <c r="Q97" s="23"/>
      <c r="R97" s="23"/>
      <c r="S97" s="35">
        <f t="shared" si="30"/>
        <v>1</v>
      </c>
      <c r="T97" s="50" t="str">
        <f t="shared" si="31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13:07:10-0600',mode:absolute,to:'2016-11-03 15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7" s="52" t="str">
        <f t="shared" si="33"/>
        <v>N</v>
      </c>
      <c r="X97" s="177">
        <f t="shared" si="43"/>
        <v>1</v>
      </c>
      <c r="Y97" s="67">
        <f t="shared" si="34"/>
        <v>4.5699999999999998E-2</v>
      </c>
      <c r="Z97" s="67">
        <f t="shared" si="35"/>
        <v>23.330400000000001</v>
      </c>
      <c r="AA97" s="67">
        <f t="shared" si="36"/>
        <v>23.284700000000001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7"/>
        <v>0185-03</v>
      </c>
      <c r="AE97" s="91" t="str">
        <f t="shared" si="38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97" s="88" t="str">
        <f t="shared" si="39"/>
        <v>"C:\Program Files (x86)\AstroGrep\AstroGrep.exe" /spath="%USERPROFILE%\AppData\Local\Temp\OnboardLogs" /stypes="app*4014*20161103*" /stext=" 20:.+((SYSTEM_STATE.+slice.+state.+changed )|(ment ac)|(system.+state.+changed )|(\[timeout)|(PRM\|1\|D)|(kpr)|(kdp)|(\|lc)|(penalty))" /e /r /s</v>
      </c>
      <c r="AG97" s="1" t="str">
        <f t="shared" si="40"/>
        <v>EC</v>
      </c>
      <c r="AH97" s="92" t="str">
        <f t="shared" si="41"/>
        <v>"%USERPROFILE%\Documents\GitHub\eaglep3\Utilities\RefineRTDCRunTimes.py" --tripid 185-03 --locoid 4014 --swversion DE.1.0.8.0 --startMP 204:457 --initTime 2016-11-03T14:07:10 --startdatetime 2016-11-03T14:15:23 --delay 1 --endMP 204:233304 --enddatetime 2016-11-03T14:51:22 --enforcementcount 0 &gt;&gt;C:\Users\stu\Documents\GitHub\eaglep3-reporting\EC\2016-11-03-refined-times.txt</v>
      </c>
      <c r="AI9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{"issue":{"subject":"","project_id":79,"tracker_id":40,"status_id":1,"priority_id":2,"assigned_to_id":23,"start_date":"2016-11-03","description":"","custom_fields":[{"id":1,"name":"Subdivision","value":"EC"},{"id":4,"name":"Milepost","value":"23.3304"},{"id":17,"name":"Train ID","value":"185-03"},{"id":16,"name":"Locomotive ID","value":"4014"},{"id":130,"name":"Impact","value":""},{"id":150,"name":"Time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554</v>
      </c>
      <c r="B98" s="7">
        <v>4013</v>
      </c>
      <c r="C98" s="22" t="s">
        <v>245</v>
      </c>
      <c r="D98" s="22" t="s">
        <v>679</v>
      </c>
      <c r="E98" s="13">
        <v>42677.627245370371</v>
      </c>
      <c r="F98" s="13">
        <v>42677.632939814815</v>
      </c>
      <c r="G98" s="7">
        <v>2</v>
      </c>
      <c r="H98" s="22" t="s">
        <v>329</v>
      </c>
      <c r="I98" s="13">
        <v>42677.659699074073</v>
      </c>
      <c r="J98" s="7">
        <v>0</v>
      </c>
      <c r="K98" s="112" t="str">
        <f t="shared" si="28"/>
        <v>4013/4014</v>
      </c>
      <c r="L98" s="22" t="str">
        <f>VLOOKUP(A98,'Trips&amp;Operators'!$C$1:$E$10000,3,FALSE)</f>
        <v>MACDONALD</v>
      </c>
      <c r="M98" s="6">
        <f t="shared" si="29"/>
        <v>2.675925925723277E-2</v>
      </c>
      <c r="N98" s="7">
        <f t="shared" si="44"/>
        <v>38.533333330415189</v>
      </c>
      <c r="O98" s="7"/>
      <c r="P98" s="7"/>
      <c r="Q98" s="23"/>
      <c r="R98" s="23"/>
      <c r="S98" s="35">
        <f t="shared" si="30"/>
        <v>1</v>
      </c>
      <c r="T98" s="50" t="str">
        <f t="shared" si="31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14:03:14-0600',mode:absolute,to:'2016-11-03 16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8" s="52" t="str">
        <f t="shared" si="33"/>
        <v>N</v>
      </c>
      <c r="X98" s="177">
        <f t="shared" si="43"/>
        <v>1</v>
      </c>
      <c r="Y98" s="67">
        <f t="shared" si="34"/>
        <v>23.301100000000002</v>
      </c>
      <c r="Z98" s="67">
        <f t="shared" si="35"/>
        <v>1.2699999999999999E-2</v>
      </c>
      <c r="AA98" s="67">
        <f t="shared" si="36"/>
        <v>23.288400000000003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7"/>
        <v>0186-03</v>
      </c>
      <c r="AE98" s="91" t="str">
        <f t="shared" si="38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98" s="88" t="str">
        <f t="shared" si="39"/>
        <v>"C:\Program Files (x86)\AstroGrep\AstroGrep.exe" /spath="%USERPROFILE%\AppData\Local\Temp\OnboardLogs" /stypes="app*4013*20161103*" /stext=" 21:.+((SYSTEM_STATE.+slice.+state.+changed )|(ment ac)|(system.+state.+changed )|(\[timeout)|(PRM\|1\|D)|(kpr)|(kdp)|(\|lc)|(penalty))" /e /r /s</v>
      </c>
      <c r="AG98" s="1" t="str">
        <f t="shared" si="40"/>
        <v>EC</v>
      </c>
      <c r="AH98" s="92" t="str">
        <f t="shared" si="41"/>
        <v>"%USERPROFILE%\Documents\GitHub\eaglep3\Utilities\RefineRTDCRunTimes.py" --tripid 186-03 --locoid 4013 --swversion DE.1.0.8.0 --startMP 204:233011 --initTime 2016-11-03T15:03:14 --startdatetime 2016-11-03T15:11:26 --delay 2 --endMP 204:127 --enddatetime 2016-11-03T15:49:58 --enforcementcount 0 &gt;&gt;C:\Users\stu\Documents\GitHub\eaglep3-reporting\EC\2016-11-03-refined-times.txt</v>
      </c>
      <c r="AI9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{"issue":{"subject":"","project_id":79,"tracker_id":40,"status_id":1,"priority_id":2,"assigned_to_id":23,"start_date":"2016-11-03","description":"","custom_fields":[{"id":1,"name":"Subdivision","value":"EC"},{"id":4,"name":"Milepost","value":"0.0127"},{"id":17,"name":"Train ID","value":"186-03"},{"id":16,"name":"Locomotive ID","value":"4013"},{"id":130,"name":"Impact","value":""},{"id":150,"name":"Time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548</v>
      </c>
      <c r="B99" s="7">
        <v>4042</v>
      </c>
      <c r="C99" s="22" t="s">
        <v>245</v>
      </c>
      <c r="D99" s="22" t="s">
        <v>214</v>
      </c>
      <c r="E99" s="13">
        <v>42677.597349537034</v>
      </c>
      <c r="F99" s="13">
        <v>42677.60434027778</v>
      </c>
      <c r="G99" s="7">
        <v>1</v>
      </c>
      <c r="H99" s="22" t="s">
        <v>680</v>
      </c>
      <c r="I99" s="13">
        <v>42677.629236111112</v>
      </c>
      <c r="J99" s="7">
        <v>0</v>
      </c>
      <c r="K99" s="112" t="str">
        <f t="shared" si="28"/>
        <v>4041/4042</v>
      </c>
      <c r="L99" s="22" t="str">
        <f>VLOOKUP(A99,'Trips&amp;Operators'!$C$1:$E$10000,3,FALSE)</f>
        <v>SAFIEF</v>
      </c>
      <c r="M99" s="6">
        <f t="shared" si="29"/>
        <v>2.4895833332266193E-2</v>
      </c>
      <c r="N99" s="7">
        <f t="shared" si="44"/>
        <v>35.849999998463318</v>
      </c>
      <c r="O99" s="7"/>
      <c r="P99" s="7"/>
      <c r="Q99" s="23"/>
      <c r="R99" s="23"/>
      <c r="S99" s="35">
        <f t="shared" si="30"/>
        <v>1</v>
      </c>
      <c r="T99" s="50" t="str">
        <f t="shared" si="31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13:20:11-0600',mode:absolute,to:'2016-11-03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33"/>
        <v>N</v>
      </c>
      <c r="X99" s="177">
        <f t="shared" si="43"/>
        <v>1</v>
      </c>
      <c r="Y99" s="67">
        <f t="shared" si="34"/>
        <v>4.5100000000000001E-2</v>
      </c>
      <c r="Z99" s="67">
        <f t="shared" si="35"/>
        <v>23.332000000000001</v>
      </c>
      <c r="AA99" s="67">
        <f t="shared" si="36"/>
        <v>23.286899999999999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7"/>
        <v>0187-03</v>
      </c>
      <c r="AE99" s="91" t="str">
        <f t="shared" si="38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99" s="88" t="str">
        <f t="shared" si="39"/>
        <v>"C:\Program Files (x86)\AstroGrep\AstroGrep.exe" /spath="%USERPROFILE%\AppData\Local\Temp\OnboardLogs" /stypes="app*4042*20161103*" /stext=" 21:.+((SYSTEM_STATE.+slice.+state.+changed )|(ment ac)|(system.+state.+changed )|(\[timeout)|(PRM\|1\|D)|(kpr)|(kdp)|(\|lc)|(penalty))" /e /r /s</v>
      </c>
      <c r="AG99" s="1" t="str">
        <f t="shared" si="40"/>
        <v>EC</v>
      </c>
      <c r="AH99" s="92" t="str">
        <f t="shared" si="41"/>
        <v>"%USERPROFILE%\Documents\GitHub\eaglep3\Utilities\RefineRTDCRunTimes.py" --tripid 187-03 --locoid 4042 --swversion DE.1.0.8.0 --startMP 204:451 --initTime 2016-11-03T14:20:11 --startdatetime 2016-11-03T14:30:15 --delay 1 --endMP 204:233320 --enddatetime 2016-11-03T15:06:06 --enforcementcount 0 &gt;&gt;C:\Users\stu\Documents\GitHub\eaglep3-reporting\EC\2016-11-03-refined-times.txt</v>
      </c>
      <c r="AI9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{"issue":{"subject":"","project_id":79,"tracker_id":40,"status_id":1,"priority_id":2,"assigned_to_id":23,"start_date":"2016-11-03","description":"","custom_fields":[{"id":1,"name":"Subdivision","value":"EC"},{"id":4,"name":"Milepost","value":"23.332"},{"id":17,"name":"Train ID","value":"187-03"},{"id":16,"name":"Locomotive ID","value":"4042"},{"id":130,"name":"Impact","value":""},{"id":150,"name":"Time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555</v>
      </c>
      <c r="B100" s="7">
        <v>4041</v>
      </c>
      <c r="C100" s="22" t="s">
        <v>245</v>
      </c>
      <c r="D100" s="22" t="s">
        <v>276</v>
      </c>
      <c r="E100" s="13">
        <v>42677.633321759262</v>
      </c>
      <c r="F100" s="13">
        <v>42677.64334490741</v>
      </c>
      <c r="G100" s="7">
        <v>1</v>
      </c>
      <c r="H100" s="22" t="s">
        <v>204</v>
      </c>
      <c r="I100" s="13">
        <v>42677.669710648152</v>
      </c>
      <c r="J100" s="7">
        <v>0</v>
      </c>
      <c r="K100" s="112" t="str">
        <f t="shared" si="28"/>
        <v>4041/4042</v>
      </c>
      <c r="L100" s="22" t="str">
        <f>VLOOKUP(A100,'Trips&amp;Operators'!$C$1:$E$10000,3,FALSE)</f>
        <v>SAFIEF</v>
      </c>
      <c r="M100" s="6">
        <f t="shared" si="29"/>
        <v>2.6365740741312038E-2</v>
      </c>
      <c r="N100" s="7">
        <f t="shared" si="44"/>
        <v>37.966666667489335</v>
      </c>
      <c r="O100" s="7"/>
      <c r="P100" s="7"/>
      <c r="Q100" s="23"/>
      <c r="R100" s="23"/>
      <c r="S100" s="35">
        <f t="shared" si="30"/>
        <v>1</v>
      </c>
      <c r="T100" s="50" t="str">
        <f t="shared" si="31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14:11:59-0600',mode:absolute,to:'2016-11-03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33"/>
        <v>N</v>
      </c>
      <c r="X100" s="177">
        <f t="shared" si="43"/>
        <v>1</v>
      </c>
      <c r="Y100" s="67">
        <f t="shared" si="34"/>
        <v>23.299600000000002</v>
      </c>
      <c r="Z100" s="67">
        <f t="shared" si="35"/>
        <v>1.4500000000000001E-2</v>
      </c>
      <c r="AA100" s="67">
        <f t="shared" si="36"/>
        <v>23.2851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7"/>
        <v>0188-03</v>
      </c>
      <c r="AE100" s="91" t="str">
        <f t="shared" si="38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100" s="88" t="str">
        <f t="shared" si="39"/>
        <v>"C:\Program Files (x86)\AstroGrep\AstroGrep.exe" /spath="%USERPROFILE%\AppData\Local\Temp\OnboardLogs" /stypes="app*4041*20161103*" /stext=" 22:.+((SYSTEM_STATE.+slice.+state.+changed )|(ment ac)|(system.+state.+changed )|(\[timeout)|(PRM\|1\|D)|(kpr)|(kdp)|(\|lc)|(penalty))" /e /r /s</v>
      </c>
      <c r="AG100" s="1" t="str">
        <f t="shared" si="40"/>
        <v>EC</v>
      </c>
      <c r="AH100" s="92" t="str">
        <f t="shared" si="41"/>
        <v>"%USERPROFILE%\Documents\GitHub\eaglep3\Utilities\RefineRTDCRunTimes.py" --tripid 188-03 --locoid 4041 --swversion DE.1.0.8.0 --startMP 204:232996 --initTime 2016-11-03T15:11:59 --startdatetime 2016-11-03T15:26:25 --delay 1 --endMP 204:145 --enddatetime 2016-11-03T16:04:23 --enforcementcount 0 &gt;&gt;C:\Users\stu\Documents\GitHub\eaglep3-reporting\EC\2016-11-03-refined-times.txt</v>
      </c>
      <c r="AI10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{"issue":{"subject":"","project_id":79,"tracker_id":40,"status_id":1,"priority_id":2,"assigned_to_id":23,"start_date":"2016-11-03","description":"","custom_fields":[{"id":1,"name":"Subdivision","value":"EC"},{"id":4,"name":"Milepost","value":"0.0145"},{"id":17,"name":"Train ID","value":"188-03"},{"id":16,"name":"Locomotive ID","value":"4041"},{"id":130,"name":"Impact","value":""},{"id":150,"name":"Time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550</v>
      </c>
      <c r="B101" s="7">
        <v>4016</v>
      </c>
      <c r="C101" s="22" t="s">
        <v>245</v>
      </c>
      <c r="D101" s="22" t="s">
        <v>375</v>
      </c>
      <c r="E101" s="13">
        <v>42677.60864583333</v>
      </c>
      <c r="F101" s="13">
        <v>42677.614768518521</v>
      </c>
      <c r="G101" s="7">
        <v>1</v>
      </c>
      <c r="H101" s="22" t="s">
        <v>681</v>
      </c>
      <c r="I101" s="13">
        <v>42677.639953703707</v>
      </c>
      <c r="J101" s="7">
        <v>0</v>
      </c>
      <c r="K101" s="112" t="str">
        <f t="shared" si="28"/>
        <v>4015/4016</v>
      </c>
      <c r="L101" s="22" t="str">
        <f>VLOOKUP(A101,'Trips&amp;Operators'!$C$1:$E$10000,3,FALSE)</f>
        <v>SHOOK</v>
      </c>
      <c r="M101" s="6">
        <f t="shared" si="29"/>
        <v>2.5185185186273884E-2</v>
      </c>
      <c r="N101" s="7">
        <f t="shared" si="44"/>
        <v>36.266666668234393</v>
      </c>
      <c r="O101" s="7"/>
      <c r="P101" s="7"/>
      <c r="Q101" s="23"/>
      <c r="R101" s="23"/>
      <c r="S101" s="35">
        <f t="shared" si="30"/>
        <v>1</v>
      </c>
      <c r="T101" s="50" t="str">
        <f t="shared" si="31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13:36:27-0600',mode:absolute,to:'2016-11-03 16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1" s="52" t="str">
        <f t="shared" si="33"/>
        <v>N</v>
      </c>
      <c r="X101" s="177">
        <f t="shared" si="43"/>
        <v>1</v>
      </c>
      <c r="Y101" s="67">
        <f t="shared" si="34"/>
        <v>4.7100000000000003E-2</v>
      </c>
      <c r="Z101" s="67">
        <f t="shared" si="35"/>
        <v>23.34</v>
      </c>
      <c r="AA101" s="67">
        <f t="shared" si="36"/>
        <v>23.292899999999999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7"/>
        <v>0189-03</v>
      </c>
      <c r="AE101" s="91" t="str">
        <f t="shared" si="38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01" s="88" t="str">
        <f t="shared" si="39"/>
        <v>"C:\Program Files (x86)\AstroGrep\AstroGrep.exe" /spath="%USERPROFILE%\AppData\Local\Temp\OnboardLogs" /stypes="app*4016*20161103*" /stext=" 21:.+((SYSTEM_STATE.+slice.+state.+changed )|(ment ac)|(system.+state.+changed )|(\[timeout)|(PRM\|1\|D)|(kpr)|(kdp)|(\|lc)|(penalty))" /e /r /s</v>
      </c>
      <c r="AG101" s="1" t="str">
        <f t="shared" si="40"/>
        <v>EC</v>
      </c>
      <c r="AH101" s="92" t="str">
        <f t="shared" si="41"/>
        <v>"%USERPROFILE%\Documents\GitHub\eaglep3\Utilities\RefineRTDCRunTimes.py" --tripid 189-03 --locoid 4016 --swversion DE.1.0.8.0 --startMP 204:471 --initTime 2016-11-03T14:36:27 --startdatetime 2016-11-03T14:45:16 --delay 1 --endMP 204:233400 --enddatetime 2016-11-03T15:21:32 --enforcementcount 0 &gt;&gt;C:\Users\stu\Documents\GitHub\eaglep3-reporting\EC\2016-11-03-refined-times.txt</v>
      </c>
      <c r="AI10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{"issue":{"subject":"","project_id":79,"tracker_id":40,"status_id":1,"priority_id":2,"assigned_to_id":23,"start_date":"2016-11-03","description":"","custom_fields":[{"id":1,"name":"Subdivision","value":"EC"},{"id":4,"name":"Milepost","value":"23.34"},{"id":17,"name":"Train ID","value":"189-03"},{"id":16,"name":"Locomotive ID","value":"4016"},{"id":130,"name":"Impact","value":""},{"id":150,"name":"Time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559</v>
      </c>
      <c r="B102" s="7">
        <v>4015</v>
      </c>
      <c r="C102" s="22" t="s">
        <v>245</v>
      </c>
      <c r="D102" s="22" t="s">
        <v>682</v>
      </c>
      <c r="E102" s="13">
        <v>42677.646597222221</v>
      </c>
      <c r="F102" s="13">
        <v>42677.653692129628</v>
      </c>
      <c r="G102" s="7">
        <v>1</v>
      </c>
      <c r="H102" s="22" t="s">
        <v>205</v>
      </c>
      <c r="I102" s="13">
        <v>42677.6799537037</v>
      </c>
      <c r="J102" s="7">
        <v>0</v>
      </c>
      <c r="K102" s="112" t="str">
        <f t="shared" si="28"/>
        <v>4015/4016</v>
      </c>
      <c r="L102" s="22" t="str">
        <f>VLOOKUP(A102,'Trips&amp;Operators'!$C$1:$E$10000,3,FALSE)</f>
        <v>SHOOK</v>
      </c>
      <c r="M102" s="6">
        <f t="shared" si="29"/>
        <v>2.626157407212304E-2</v>
      </c>
      <c r="N102" s="7">
        <f t="shared" si="44"/>
        <v>37.816666663857177</v>
      </c>
      <c r="O102" s="7"/>
      <c r="P102" s="7"/>
      <c r="Q102" s="23"/>
      <c r="R102" s="23"/>
      <c r="S102" s="35">
        <f t="shared" si="30"/>
        <v>1</v>
      </c>
      <c r="T102" s="50" t="str">
        <f t="shared" si="31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14:31:06-0600',mode:absolute,to:'2016-11-03 17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2" s="52" t="str">
        <f t="shared" si="33"/>
        <v>N</v>
      </c>
      <c r="X102" s="177">
        <f t="shared" si="43"/>
        <v>1</v>
      </c>
      <c r="Y102" s="67">
        <f t="shared" si="34"/>
        <v>23.305099999999999</v>
      </c>
      <c r="Z102" s="67">
        <f t="shared" si="35"/>
        <v>1.49E-2</v>
      </c>
      <c r="AA102" s="67">
        <f t="shared" si="36"/>
        <v>23.290199999999999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7"/>
        <v>0190-03</v>
      </c>
      <c r="AE102" s="91" t="str">
        <f t="shared" si="38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102" s="88" t="str">
        <f t="shared" si="39"/>
        <v>"C:\Program Files (x86)\AstroGrep\AstroGrep.exe" /spath="%USERPROFILE%\AppData\Local\Temp\OnboardLogs" /stypes="app*4015*20161103*" /stext=" 22:.+((SYSTEM_STATE.+slice.+state.+changed )|(ment ac)|(system.+state.+changed )|(\[timeout)|(PRM\|1\|D)|(kpr)|(kdp)|(\|lc)|(penalty))" /e /r /s</v>
      </c>
      <c r="AG102" s="1" t="str">
        <f t="shared" si="40"/>
        <v>EC</v>
      </c>
      <c r="AH102" s="92" t="str">
        <f t="shared" si="41"/>
        <v>"%USERPROFILE%\Documents\GitHub\eaglep3\Utilities\RefineRTDCRunTimes.py" --tripid 190-03 --locoid 4015 --swversion DE.1.0.8.0 --startMP 204:233051 --initTime 2016-11-03T15:31:06 --startdatetime 2016-11-03T15:41:19 --delay 1 --endMP 204:149 --enddatetime 2016-11-03T16:19:08 --enforcementcount 0 &gt;&gt;C:\Users\stu\Documents\GitHub\eaglep3-reporting\EC\2016-11-03-refined-times.txt</v>
      </c>
      <c r="AI10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{"issue":{"subject":"","project_id":79,"tracker_id":40,"status_id":1,"priority_id":2,"assigned_to_id":23,"start_date":"2016-11-03","description":"","custom_fields":[{"id":1,"name":"Subdivision","value":"EC"},{"id":4,"name":"Milepost","value":"0.0149"},{"id":17,"name":"Train ID","value":"190-03"},{"id":16,"name":"Locomotive ID","value":"4015"},{"id":130,"name":"Impact","value":""},{"id":150,"name":"Time of Event (Mountain Time)","value":"16:19:08"},{"id":151,"name":"Denver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553</v>
      </c>
      <c r="B103" s="7">
        <v>4025</v>
      </c>
      <c r="C103" s="22" t="s">
        <v>245</v>
      </c>
      <c r="D103" s="22" t="s">
        <v>209</v>
      </c>
      <c r="E103" s="13">
        <v>42677.619826388887</v>
      </c>
      <c r="F103" s="13">
        <v>42677.625219907408</v>
      </c>
      <c r="G103" s="7">
        <v>1</v>
      </c>
      <c r="H103" s="22" t="s">
        <v>683</v>
      </c>
      <c r="I103" s="13">
        <v>42677.650289351855</v>
      </c>
      <c r="J103" s="7">
        <v>0</v>
      </c>
      <c r="K103" s="112" t="str">
        <f t="shared" si="28"/>
        <v>4025/4026</v>
      </c>
      <c r="L103" s="22" t="str">
        <f>VLOOKUP(A103,'Trips&amp;Operators'!$C$1:$E$10000,3,FALSE)</f>
        <v>HOLCOMB</v>
      </c>
      <c r="M103" s="6">
        <f t="shared" si="29"/>
        <v>2.5069444447581191E-2</v>
      </c>
      <c r="N103" s="7">
        <f t="shared" si="44"/>
        <v>36.100000004516914</v>
      </c>
      <c r="O103" s="7"/>
      <c r="P103" s="7"/>
      <c r="Q103" s="23"/>
      <c r="R103" s="23"/>
      <c r="S103" s="35">
        <f t="shared" si="30"/>
        <v>1</v>
      </c>
      <c r="T103" s="50" t="str">
        <f t="shared" si="31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13:52:33-0600',mode:absolute,to:'2016-11-03 16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3" s="52" t="str">
        <f t="shared" si="33"/>
        <v>N</v>
      </c>
      <c r="X103" s="177">
        <f t="shared" si="43"/>
        <v>1</v>
      </c>
      <c r="Y103" s="67">
        <f t="shared" si="34"/>
        <v>4.53E-2</v>
      </c>
      <c r="Z103" s="67">
        <f t="shared" si="35"/>
        <v>23.331800000000001</v>
      </c>
      <c r="AA103" s="67">
        <f t="shared" si="36"/>
        <v>23.2865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7"/>
        <v>0191-03</v>
      </c>
      <c r="AE103" s="91" t="str">
        <f t="shared" si="38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03" s="88" t="str">
        <f t="shared" si="39"/>
        <v>"C:\Program Files (x86)\AstroGrep\AstroGrep.exe" /spath="%USERPROFILE%\AppData\Local\Temp\OnboardLogs" /stypes="app*4025*20161103*" /stext=" 21:.+((SYSTEM_STATE.+slice.+state.+changed )|(ment ac)|(system.+state.+changed )|(\[timeout)|(PRM\|1\|D)|(kpr)|(kdp)|(\|lc)|(penalty))" /e /r /s</v>
      </c>
      <c r="AG103" s="1" t="str">
        <f t="shared" si="40"/>
        <v>EC</v>
      </c>
      <c r="AH103" s="92" t="str">
        <f t="shared" si="41"/>
        <v>"%USERPROFILE%\Documents\GitHub\eaglep3\Utilities\RefineRTDCRunTimes.py" --tripid 191-03 --locoid 4025 --swversion DE.1.0.8.0 --startMP 204:453 --initTime 2016-11-03T14:52:33 --startdatetime 2016-11-03T15:00:19 --delay 1 --endMP 204:233318 --enddatetime 2016-11-03T15:36:25 --enforcementcount 0 &gt;&gt;C:\Users\stu\Documents\GitHub\eaglep3-reporting\EC\2016-11-03-refined-times.txt</v>
      </c>
      <c r="AI10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{"issue":{"subject":"","project_id":79,"tracker_id":40,"status_id":1,"priority_id":2,"assigned_to_id":23,"start_date":"2016-11-03","description":"","custom_fields":[{"id":1,"name":"Subdivision","value":"EC"},{"id":4,"name":"Milepost","value":"23.3318"},{"id":17,"name":"Train ID","value":"191-03"},{"id":16,"name":"Locomotive ID","value":"4025"},{"id":130,"name":"Impact","value":""},{"id":150,"name":"Time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430</v>
      </c>
      <c r="B104" s="7">
        <v>4026</v>
      </c>
      <c r="C104" s="22" t="s">
        <v>245</v>
      </c>
      <c r="D104" s="22" t="s">
        <v>684</v>
      </c>
      <c r="E104" s="13">
        <v>42677.652013888888</v>
      </c>
      <c r="F104" s="13">
        <v>42677.664247685185</v>
      </c>
      <c r="G104" s="7">
        <v>1</v>
      </c>
      <c r="H104" s="22" t="s">
        <v>640</v>
      </c>
      <c r="I104" s="13">
        <v>42677.691967592589</v>
      </c>
      <c r="J104" s="7">
        <v>0</v>
      </c>
      <c r="K104" s="112" t="str">
        <f t="shared" si="28"/>
        <v>4025/4026</v>
      </c>
      <c r="L104" s="22" t="str">
        <f>VLOOKUP(A104,'Trips&amp;Operators'!$C$1:$E$10000,3,FALSE)</f>
        <v>HOLCOMB</v>
      </c>
      <c r="M104" s="6">
        <f t="shared" si="29"/>
        <v>2.7719907404389232E-2</v>
      </c>
      <c r="N104" s="7">
        <f t="shared" si="44"/>
        <v>39.916666662320495</v>
      </c>
      <c r="O104" s="7"/>
      <c r="P104" s="7"/>
      <c r="Q104" s="23"/>
      <c r="R104" s="23"/>
      <c r="S104" s="35">
        <f t="shared" si="30"/>
        <v>1</v>
      </c>
      <c r="T104" s="50" t="str">
        <f t="shared" si="31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14:38:54-0600',mode:absolute,to:'2016-11-03 17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4" s="52" t="str">
        <f t="shared" si="33"/>
        <v>N</v>
      </c>
      <c r="X104" s="177">
        <f t="shared" si="43"/>
        <v>1</v>
      </c>
      <c r="Y104" s="67">
        <f t="shared" si="34"/>
        <v>23.3003</v>
      </c>
      <c r="Z104" s="67">
        <f t="shared" si="35"/>
        <v>1.4999999999999999E-2</v>
      </c>
      <c r="AA104" s="67">
        <f t="shared" si="36"/>
        <v>23.285299999999999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7"/>
        <v>0192-03</v>
      </c>
      <c r="AE104" s="91" t="str">
        <f t="shared" si="38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104" s="88" t="str">
        <f t="shared" si="39"/>
        <v>"C:\Program Files (x86)\AstroGrep\AstroGrep.exe" /spath="%USERPROFILE%\AppData\Local\Temp\OnboardLogs" /stypes="app*4026*20161103*" /stext=" 22:.+((SYSTEM_STATE.+slice.+state.+changed )|(ment ac)|(system.+state.+changed )|(\[timeout)|(PRM\|1\|D)|(kpr)|(kdp)|(\|lc)|(penalty))" /e /r /s</v>
      </c>
      <c r="AG104" s="1" t="str">
        <f t="shared" si="40"/>
        <v>EC</v>
      </c>
      <c r="AH104" s="92" t="str">
        <f t="shared" si="41"/>
        <v>"%USERPROFILE%\Documents\GitHub\eaglep3\Utilities\RefineRTDCRunTimes.py" --tripid 192-03 --locoid 4026 --swversion DE.1.0.8.0 --startMP 204:233003 --initTime 2016-11-03T15:38:54 --startdatetime 2016-11-03T15:56:31 --delay 1 --endMP 204:150 --enddatetime 2016-11-03T16:36:26 --enforcementcount 0 &gt;&gt;C:\Users\stu\Documents\GitHub\eaglep3-reporting\EC\2016-11-03-refined-times.txt</v>
      </c>
      <c r="AI10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ID","value":"192-03"},{"id":16,"name":"Locomotive ID","value":"4026"},{"id":130,"name":"Impact","value":""},{"id":150,"name":"Time of Event (Mountain Time)","value":"16:36:26"},{"id":151,"name":"Denver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428</v>
      </c>
      <c r="B105" s="7">
        <v>4029</v>
      </c>
      <c r="C105" s="22" t="s">
        <v>245</v>
      </c>
      <c r="D105" s="22" t="s">
        <v>258</v>
      </c>
      <c r="E105" s="13">
        <v>42677.628831018519</v>
      </c>
      <c r="F105" s="13">
        <v>42677.636111111111</v>
      </c>
      <c r="G105" s="7">
        <v>1</v>
      </c>
      <c r="H105" s="22" t="s">
        <v>328</v>
      </c>
      <c r="I105" s="13">
        <v>42677.661157407405</v>
      </c>
      <c r="J105" s="7">
        <v>0</v>
      </c>
      <c r="K105" s="112" t="str">
        <f t="shared" si="28"/>
        <v>4029/4030</v>
      </c>
      <c r="L105" s="22" t="str">
        <f>VLOOKUP(A105,'Trips&amp;Operators'!$C$1:$E$10000,3,FALSE)</f>
        <v>LOPES</v>
      </c>
      <c r="M105" s="6">
        <f t="shared" si="29"/>
        <v>2.5046296294021886E-2</v>
      </c>
      <c r="N105" s="7">
        <f t="shared" si="44"/>
        <v>36.066666663391516</v>
      </c>
      <c r="O105" s="7"/>
      <c r="P105" s="7"/>
      <c r="Q105" s="23"/>
      <c r="R105" s="23"/>
      <c r="S105" s="35">
        <f t="shared" si="30"/>
        <v>1</v>
      </c>
      <c r="T105" s="50" t="str">
        <f t="shared" si="31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14:05:31-0600',mode:absolute,to:'2016-11-03 16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5" s="52" t="str">
        <f t="shared" si="33"/>
        <v>N</v>
      </c>
      <c r="X105" s="177">
        <f t="shared" si="43"/>
        <v>1</v>
      </c>
      <c r="Y105" s="67">
        <f t="shared" si="34"/>
        <v>4.3799999999999999E-2</v>
      </c>
      <c r="Z105" s="67">
        <f t="shared" si="35"/>
        <v>23.3308</v>
      </c>
      <c r="AA105" s="67">
        <f t="shared" si="36"/>
        <v>23.286999999999999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7"/>
        <v>0193-03</v>
      </c>
      <c r="AE105" s="91" t="str">
        <f t="shared" si="38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105" s="88" t="str">
        <f t="shared" si="39"/>
        <v>"C:\Program Files (x86)\AstroGrep\AstroGrep.exe" /spath="%USERPROFILE%\AppData\Local\Temp\OnboardLogs" /stypes="app*4029*20161103*" /stext=" 21:.+((SYSTEM_STATE.+slice.+state.+changed )|(ment ac)|(system.+state.+changed )|(\[timeout)|(PRM\|1\|D)|(kpr)|(kdp)|(\|lc)|(penalty))" /e /r /s</v>
      </c>
      <c r="AG105" s="1" t="str">
        <f t="shared" si="40"/>
        <v>EC</v>
      </c>
      <c r="AH105" s="92" t="str">
        <f t="shared" si="41"/>
        <v>"%USERPROFILE%\Documents\GitHub\eaglep3\Utilities\RefineRTDCRunTimes.py" --tripid 193-03 --locoid 4029 --swversion DE.1.0.8.0 --startMP 204:438 --initTime 2016-11-03T15:05:31 --startdatetime 2016-11-03T15:16:00 --delay 1 --endMP 204:233308 --enddatetime 2016-11-03T15:52:04 --enforcementcount 0 &gt;&gt;C:\Users\stu\Documents\GitHub\eaglep3-reporting\EC\2016-11-03-refined-times.txt</v>
      </c>
      <c r="AI10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{"issue":{"subject":"","project_id":79,"tracker_id":40,"status_id":1,"priority_id":2,"assigned_to_id":23,"start_date":"2016-11-03","description":"","custom_fields":[{"id":1,"name":"Subdivision","value":"EC"},{"id":4,"name":"Milepost","value":"23.3308"},{"id":17,"name":"Train ID","value":"193-03"},{"id":16,"name":"Locomotive ID","value":"4029"},{"id":130,"name":"Impact","value":""},{"id":150,"name":"Time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433</v>
      </c>
      <c r="B106" s="7">
        <v>4030</v>
      </c>
      <c r="C106" s="22" t="s">
        <v>245</v>
      </c>
      <c r="D106" s="22" t="s">
        <v>372</v>
      </c>
      <c r="E106" s="13">
        <v>42677.662638888891</v>
      </c>
      <c r="F106" s="13">
        <v>42677.67460648148</v>
      </c>
      <c r="G106" s="7">
        <v>1</v>
      </c>
      <c r="H106" s="22" t="s">
        <v>176</v>
      </c>
      <c r="I106" s="13">
        <v>42677.70108796296</v>
      </c>
      <c r="J106" s="7">
        <v>0</v>
      </c>
      <c r="K106" s="112" t="str">
        <f t="shared" si="28"/>
        <v>4029/4030</v>
      </c>
      <c r="L106" s="22" t="str">
        <f>VLOOKUP(A106,'Trips&amp;Operators'!$C$1:$E$10000,3,FALSE)</f>
        <v>LOPES</v>
      </c>
      <c r="M106" s="6">
        <f t="shared" si="29"/>
        <v>2.6481481480004732E-2</v>
      </c>
      <c r="N106" s="7">
        <f t="shared" si="44"/>
        <v>38.133333331206813</v>
      </c>
      <c r="O106" s="7"/>
      <c r="P106" s="7"/>
      <c r="Q106" s="23"/>
      <c r="R106" s="23"/>
      <c r="S106" s="35">
        <f t="shared" si="30"/>
        <v>1</v>
      </c>
      <c r="T106" s="50" t="str">
        <f t="shared" si="31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14:54:12-0600',mode:absolute,to:'2016-11-03 17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6" s="52" t="str">
        <f t="shared" si="33"/>
        <v>N</v>
      </c>
      <c r="X106" s="177">
        <f t="shared" si="43"/>
        <v>1</v>
      </c>
      <c r="Y106" s="67">
        <f t="shared" si="34"/>
        <v>23.299399999999999</v>
      </c>
      <c r="Z106" s="67">
        <f t="shared" si="35"/>
        <v>1.52E-2</v>
      </c>
      <c r="AA106" s="67">
        <f t="shared" si="36"/>
        <v>23.284199999999998</v>
      </c>
      <c r="AB106" s="64" t="str">
        <f>VLOOKUP(A106,Enforcements!$C$7:$K$21,8,0)</f>
        <v>Speed (6)</v>
      </c>
      <c r="AC106" s="60" t="str">
        <f>VLOOKUP(A106,Enforcements!$C$7:$E$21,3,0)</f>
        <v>PERMANENT SPEED RESTRICTION</v>
      </c>
      <c r="AD106" s="61" t="str">
        <f t="shared" si="37"/>
        <v>0194-03</v>
      </c>
      <c r="AE106" s="91" t="str">
        <f t="shared" si="38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106" s="88" t="str">
        <f t="shared" si="39"/>
        <v>"C:\Program Files (x86)\AstroGrep\AstroGrep.exe" /spath="%USERPROFILE%\AppData\Local\Temp\OnboardLogs" /stypes="app*4030*20161103*" /stext=" 22:.+((SYSTEM_STATE.+slice.+state.+changed )|(ment ac)|(system.+state.+changed )|(\[timeout)|(PRM\|1\|D)|(kpr)|(kdp)|(\|lc)|(penalty))" /e /r /s</v>
      </c>
      <c r="AG106" s="1" t="str">
        <f t="shared" si="40"/>
        <v>EC</v>
      </c>
      <c r="AH106" s="92" t="str">
        <f t="shared" si="41"/>
        <v>"%USERPROFILE%\Documents\GitHub\eaglep3\Utilities\RefineRTDCRunTimes.py" --tripid 194-03 --locoid 4030 --swversion DE.1.0.8.0 --startMP 204:232994 --initTime 2016-11-03T15:54:12 --startdatetime 2016-11-03T16:11:26 --delay 1 --endMP 204:152 --enddatetime 2016-11-03T16:49:34 --enforcementcount 0 &gt;&gt;C:\Users\stu\Documents\GitHub\eaglep3-reporting\EC\2016-11-03-refined-times.txt</v>
      </c>
      <c r="AI10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{"issue":{"subject":"","project_id":79,"tracker_id":40,"status_id":1,"priority_id":2,"assigned_to_id":23,"start_date":"2016-11-03","description":"","custom_fields":[{"id":1,"name":"Subdivision","value":"EC"},{"id":4,"name":"Milepost","value":"0.0152"},{"id":17,"name":"Train ID","value":"194-03"},{"id":16,"name":"Locomotive ID","value":"4030"},{"id":130,"name":"Impact","value":""},{"id":150,"name":"Time of Event (Mountain Time)","value":"16:49:34"},{"id":151,"name":"Denver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558</v>
      </c>
      <c r="B107" s="7">
        <v>4031</v>
      </c>
      <c r="C107" s="22" t="s">
        <v>245</v>
      </c>
      <c r="D107" s="22" t="s">
        <v>379</v>
      </c>
      <c r="E107" s="13">
        <v>42677.639918981484</v>
      </c>
      <c r="F107" s="13">
        <v>42677.646296296298</v>
      </c>
      <c r="G107" s="7">
        <v>1</v>
      </c>
      <c r="H107" s="22" t="s">
        <v>232</v>
      </c>
      <c r="I107" s="13">
        <v>42677.671759259261</v>
      </c>
      <c r="J107" s="7">
        <v>0</v>
      </c>
      <c r="K107" s="112" t="str">
        <f t="shared" si="28"/>
        <v>4031/4032</v>
      </c>
      <c r="L107" s="22" t="str">
        <f>VLOOKUP(A107,'Trips&amp;Operators'!$C$1:$E$10000,3,FALSE)</f>
        <v>HILLS</v>
      </c>
      <c r="M107" s="6">
        <f t="shared" si="29"/>
        <v>2.5462962963501923E-2</v>
      </c>
      <c r="N107" s="7">
        <f t="shared" si="44"/>
        <v>36.666666667442769</v>
      </c>
      <c r="O107" s="7"/>
      <c r="P107" s="7"/>
      <c r="Q107" s="23"/>
      <c r="R107" s="23"/>
      <c r="S107" s="35">
        <f t="shared" si="30"/>
        <v>1</v>
      </c>
      <c r="T107" s="50" t="str">
        <f t="shared" si="31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14:21:29-0600',mode:absolute,to:'2016-11-03 17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7" s="52" t="str">
        <f t="shared" si="33"/>
        <v>N</v>
      </c>
      <c r="X107" s="177">
        <f t="shared" si="43"/>
        <v>1</v>
      </c>
      <c r="Y107" s="67">
        <f t="shared" si="34"/>
        <v>4.0399999999999998E-2</v>
      </c>
      <c r="Z107" s="67">
        <f t="shared" si="35"/>
        <v>23.3291</v>
      </c>
      <c r="AA107" s="67">
        <f t="shared" si="36"/>
        <v>23.288699999999999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7"/>
        <v>0195-03</v>
      </c>
      <c r="AE107" s="91" t="str">
        <f t="shared" si="38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07" s="88" t="str">
        <f t="shared" si="39"/>
        <v>"C:\Program Files (x86)\AstroGrep\AstroGrep.exe" /spath="%USERPROFILE%\AppData\Local\Temp\OnboardLogs" /stypes="app*4031*20161103*" /stext=" 22:.+((SYSTEM_STATE.+slice.+state.+changed )|(ment ac)|(system.+state.+changed )|(\[timeout)|(PRM\|1\|D)|(kpr)|(kdp)|(\|lc)|(penalty))" /e /r /s</v>
      </c>
      <c r="AG107" s="1" t="str">
        <f t="shared" si="40"/>
        <v>EC</v>
      </c>
      <c r="AH107" s="92" t="str">
        <f t="shared" si="41"/>
        <v>"%USERPROFILE%\Documents\GitHub\eaglep3\Utilities\RefineRTDCRunTimes.py" --tripid 195-03 --locoid 4031 --swversion DE.1.0.8.0 --startMP 204:404 --initTime 2016-11-03T15:21:29 --startdatetime 2016-11-03T15:30:40 --delay 1 --endMP 204:233291 --enddatetime 2016-11-03T16:07:20 --enforcementcount 0 &gt;&gt;C:\Users\stu\Documents\GitHub\eaglep3-reporting\EC\2016-11-03-refined-times.txt</v>
      </c>
      <c r="AI10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{"issue":{"subject":"","project_id":79,"tracker_id":40,"status_id":1,"priority_id":2,"assigned_to_id":23,"start_date":"2016-11-03","description":"","custom_fields":[{"id":1,"name":"Subdivision","value":"EC"},{"id":4,"name":"Milepost","value":"23.3291"},{"id":17,"name":"Train ID","value":"195-03"},{"id":16,"name":"Locomotive ID","value":"4031"},{"id":130,"name":"Impact","value":""},{"id":150,"name":"Time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564</v>
      </c>
      <c r="B108" s="7">
        <v>4032</v>
      </c>
      <c r="C108" s="22" t="s">
        <v>245</v>
      </c>
      <c r="D108" s="22" t="s">
        <v>261</v>
      </c>
      <c r="E108" s="13">
        <v>42677.673368055555</v>
      </c>
      <c r="F108" s="13">
        <v>42677.685648148145</v>
      </c>
      <c r="G108" s="7">
        <v>1</v>
      </c>
      <c r="H108" s="22" t="s">
        <v>685</v>
      </c>
      <c r="I108" s="13">
        <v>42677.712824074071</v>
      </c>
      <c r="J108" s="7">
        <v>0</v>
      </c>
      <c r="K108" s="112" t="str">
        <f t="shared" si="28"/>
        <v>4031/4032</v>
      </c>
      <c r="L108" s="22" t="str">
        <f>VLOOKUP(A108,'Trips&amp;Operators'!$C$1:$E$10000,3,FALSE)</f>
        <v>HILLS</v>
      </c>
      <c r="M108" s="6">
        <f t="shared" si="29"/>
        <v>2.7175925926712807E-2</v>
      </c>
      <c r="N108" s="7">
        <f t="shared" si="44"/>
        <v>39.133333334466442</v>
      </c>
      <c r="O108" s="7"/>
      <c r="P108" s="7"/>
      <c r="Q108" s="23"/>
      <c r="R108" s="23"/>
      <c r="S108" s="35">
        <f t="shared" si="30"/>
        <v>1</v>
      </c>
      <c r="T108" s="50" t="str">
        <f t="shared" si="31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15:09:39-0600',mode:absolute,to:'2016-11-03 18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8" s="52" t="str">
        <f t="shared" si="33"/>
        <v>N</v>
      </c>
      <c r="X108" s="177">
        <f t="shared" si="43"/>
        <v>1</v>
      </c>
      <c r="Y108" s="67">
        <f t="shared" si="34"/>
        <v>23.297499999999999</v>
      </c>
      <c r="Z108" s="67">
        <f t="shared" si="35"/>
        <v>9.7999999999999997E-3</v>
      </c>
      <c r="AA108" s="67">
        <f t="shared" si="36"/>
        <v>23.287700000000001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7"/>
        <v>0196-03</v>
      </c>
      <c r="AE108" s="91" t="str">
        <f t="shared" si="38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108" s="88" t="str">
        <f t="shared" si="39"/>
        <v>"C:\Program Files (x86)\AstroGrep\AstroGrep.exe" /spath="%USERPROFILE%\AppData\Local\Temp\OnboardLogs" /stypes="app*4032*20161103*" /stext=" 23:.+((SYSTEM_STATE.+slice.+state.+changed )|(ment ac)|(system.+state.+changed )|(\[timeout)|(PRM\|1\|D)|(kpr)|(kdp)|(\|lc)|(penalty))" /e /r /s</v>
      </c>
      <c r="AG108" s="1" t="str">
        <f t="shared" si="40"/>
        <v>EC</v>
      </c>
      <c r="AH108" s="92" t="str">
        <f t="shared" si="41"/>
        <v>"%USERPROFILE%\Documents\GitHub\eaglep3\Utilities\RefineRTDCRunTimes.py" --tripid 196-03 --locoid 4032 --swversion DE.1.0.8.0 --startMP 204:232975 --initTime 2016-11-03T16:09:39 --startdatetime 2016-11-03T16:27:20 --delay 1 --endMP 204:98 --enddatetime 2016-11-03T17:06:28 --enforcementcount 0 &gt;&gt;C:\Users\stu\Documents\GitHub\eaglep3-reporting\EC\2016-11-03-refined-times.txt</v>
      </c>
      <c r="AI10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{"issue":{"subject":"","project_id":79,"tracker_id":40,"status_id":1,"priority_id":2,"assigned_to_id":23,"start_date":"2016-11-03","description":"","custom_fields":[{"id":1,"name":"Subdivision","value":"EC"},{"id":4,"name":"Milepost","value":"0.0098"},{"id":17,"name":"Train ID","value":"196-03"},{"id":16,"name":"Locomotive ID","value":"4032"},{"id":130,"name":"Impact","value":""},{"id":150,"name":"Time of Event (Mountain Time)","value":"17:06:28"},{"id":151,"name":"Denver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560</v>
      </c>
      <c r="B109" s="7">
        <v>4040</v>
      </c>
      <c r="C109" s="22" t="s">
        <v>245</v>
      </c>
      <c r="D109" s="22" t="s">
        <v>686</v>
      </c>
      <c r="E109" s="13">
        <v>42677.652905092589</v>
      </c>
      <c r="F109" s="13">
        <v>42677.656828703701</v>
      </c>
      <c r="G109" s="7">
        <v>1</v>
      </c>
      <c r="H109" s="22" t="s">
        <v>295</v>
      </c>
      <c r="I109" s="13">
        <v>42677.681192129632</v>
      </c>
      <c r="J109" s="7">
        <v>0</v>
      </c>
      <c r="K109" s="112" t="str">
        <f t="shared" si="28"/>
        <v>4039/4040</v>
      </c>
      <c r="L109" s="22" t="str">
        <f>VLOOKUP(A109,'Trips&amp;Operators'!$C$1:$E$10000,3,FALSE)</f>
        <v>ADANE</v>
      </c>
      <c r="M109" s="6">
        <f t="shared" si="29"/>
        <v>2.436342593136942E-2</v>
      </c>
      <c r="N109" s="7">
        <f t="shared" si="44"/>
        <v>35.083333341171965</v>
      </c>
      <c r="O109" s="7"/>
      <c r="P109" s="7"/>
      <c r="Q109" s="23"/>
      <c r="R109" s="23"/>
      <c r="S109" s="35">
        <f t="shared" si="30"/>
        <v>1</v>
      </c>
      <c r="T109" s="50" t="str">
        <f t="shared" si="31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14:40:11-0600',mode:absolute,to:'2016-11-03 17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9" s="52" t="str">
        <f t="shared" si="33"/>
        <v>N</v>
      </c>
      <c r="X109" s="177">
        <f t="shared" si="43"/>
        <v>1</v>
      </c>
      <c r="Y109" s="67">
        <f t="shared" si="34"/>
        <v>4.3499999999999997E-2</v>
      </c>
      <c r="Z109" s="67">
        <f t="shared" si="35"/>
        <v>23.331199999999999</v>
      </c>
      <c r="AA109" s="67">
        <f t="shared" si="36"/>
        <v>23.287699999999997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7"/>
        <v>0197-03</v>
      </c>
      <c r="AE109" s="91" t="str">
        <f t="shared" si="38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109" s="88" t="str">
        <f t="shared" si="39"/>
        <v>"C:\Program Files (x86)\AstroGrep\AstroGrep.exe" /spath="%USERPROFILE%\AppData\Local\Temp\OnboardLogs" /stypes="app*4040*20161103*" /stext=" 22:.+((SYSTEM_STATE.+slice.+state.+changed )|(ment ac)|(system.+state.+changed )|(\[timeout)|(PRM\|1\|D)|(kpr)|(kdp)|(\|lc)|(penalty))" /e /r /s</v>
      </c>
      <c r="AG109" s="1" t="str">
        <f t="shared" si="40"/>
        <v>EC</v>
      </c>
      <c r="AH109" s="92" t="str">
        <f t="shared" si="41"/>
        <v>"%USERPROFILE%\Documents\GitHub\eaglep3\Utilities\RefineRTDCRunTimes.py" --tripid 197-03 --locoid 4040 --swversion DE.1.0.8.0 --startMP 204:435 --initTime 2016-11-03T15:40:11 --startdatetime 2016-11-03T15:45:50 --delay 1 --endMP 204:233312 --enddatetime 2016-11-03T16:20:55 --enforcementcount 0 &gt;&gt;C:\Users\stu\Documents\GitHub\eaglep3-reporting\EC\2016-11-03-refined-times.txt</v>
      </c>
      <c r="AI10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{"issue":{"subject":"","project_id":79,"tracker_id":40,"status_id":1,"priority_id":2,"assigned_to_id":23,"start_date":"2016-11-03","description":"","custom_fields":[{"id":1,"name":"Subdivision","value":"EC"},{"id":4,"name":"Milepost","value":"23.3312"},{"id":17,"name":"Train ID","value":"197-03"},{"id":16,"name":"Locomotive ID","value":"4040"},{"id":130,"name":"Impact","value":""},{"id":150,"name":"Time of Event (Mountain Time)","value":"16:20:55"},{"id":151,"name":"Denver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567</v>
      </c>
      <c r="B110" s="7">
        <v>4039</v>
      </c>
      <c r="C110" s="22" t="s">
        <v>245</v>
      </c>
      <c r="D110" s="22" t="s">
        <v>243</v>
      </c>
      <c r="E110" s="13">
        <v>42677.683263888888</v>
      </c>
      <c r="F110" s="13">
        <v>42677.695636574077</v>
      </c>
      <c r="G110" s="7">
        <v>1</v>
      </c>
      <c r="H110" s="22" t="s">
        <v>225</v>
      </c>
      <c r="I110" s="13">
        <v>42677.721400462964</v>
      </c>
      <c r="J110" s="7">
        <v>0</v>
      </c>
      <c r="K110" s="112" t="str">
        <f t="shared" si="28"/>
        <v>4039/4040</v>
      </c>
      <c r="L110" s="22" t="str">
        <f>VLOOKUP(A110,'Trips&amp;Operators'!$C$1:$E$10000,3,FALSE)</f>
        <v>ADANE</v>
      </c>
      <c r="M110" s="6">
        <f t="shared" si="29"/>
        <v>2.5763888887013309E-2</v>
      </c>
      <c r="N110" s="7">
        <f t="shared" si="44"/>
        <v>37.099999997299165</v>
      </c>
      <c r="O110" s="7"/>
      <c r="P110" s="7"/>
      <c r="Q110" s="23"/>
      <c r="R110" s="23"/>
      <c r="S110" s="35">
        <f t="shared" si="30"/>
        <v>1</v>
      </c>
      <c r="T110" s="50" t="str">
        <f t="shared" si="31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15:23:54-0600',mode:absolute,to:'2016-11-03 18:18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0" s="52" t="str">
        <f t="shared" si="33"/>
        <v>N</v>
      </c>
      <c r="X110" s="177">
        <f t="shared" si="43"/>
        <v>1</v>
      </c>
      <c r="Y110" s="67">
        <f t="shared" si="34"/>
        <v>23.298100000000002</v>
      </c>
      <c r="Z110" s="67">
        <f t="shared" si="35"/>
        <v>1.5599999999999999E-2</v>
      </c>
      <c r="AA110" s="67">
        <f t="shared" si="36"/>
        <v>23.282500000000002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7"/>
        <v>0198-03</v>
      </c>
      <c r="AE110" s="91" t="str">
        <f t="shared" si="38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110" s="88" t="str">
        <f t="shared" si="39"/>
        <v>"C:\Program Files (x86)\AstroGrep\AstroGrep.exe" /spath="%USERPROFILE%\AppData\Local\Temp\OnboardLogs" /stypes="app*4039*20161103*" /stext=" 23:.+((SYSTEM_STATE.+slice.+state.+changed )|(ment ac)|(system.+state.+changed )|(\[timeout)|(PRM\|1\|D)|(kpr)|(kdp)|(\|lc)|(penalty))" /e /r /s</v>
      </c>
      <c r="AG110" s="1" t="str">
        <f t="shared" si="40"/>
        <v>EC</v>
      </c>
      <c r="AH110" s="92" t="str">
        <f t="shared" si="41"/>
        <v>"%USERPROFILE%\Documents\GitHub\eaglep3\Utilities\RefineRTDCRunTimes.py" --tripid 198-03 --locoid 4039 --swversion DE.1.0.8.0 --startMP 204:232981 --initTime 2016-11-03T16:23:54 --startdatetime 2016-11-03T16:41:43 --delay 1 --endMP 204:156 --enddatetime 2016-11-03T17:18:49 --enforcementcount 0 &gt;&gt;C:\Users\stu\Documents\GitHub\eaglep3-reporting\EC\2016-11-03-refined-times.txt</v>
      </c>
      <c r="AI11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{"issue":{"subject":"","project_id":79,"tracker_id":40,"status_id":1,"priority_id":2,"assigned_to_id":23,"start_date":"2016-11-03","description":"","custom_fields":[{"id":1,"name":"Subdivision","value":"EC"},{"id":4,"name":"Milepost","value":"0.0156"},{"id":17,"name":"Train ID","value":"198-03"},{"id":16,"name":"Locomotive ID","value":"4039"},{"id":130,"name":"Impact","value":""},{"id":150,"name":"Time of Event (Mountain Time)","value":"17:18:49"},{"id":151,"name":"Denver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562</v>
      </c>
      <c r="B111" s="7">
        <v>4014</v>
      </c>
      <c r="C111" s="22" t="s">
        <v>245</v>
      </c>
      <c r="D111" s="22" t="s">
        <v>687</v>
      </c>
      <c r="E111" s="13">
        <v>42677.663252314815</v>
      </c>
      <c r="F111" s="13">
        <v>42677.666886574072</v>
      </c>
      <c r="G111" s="7">
        <v>5</v>
      </c>
      <c r="H111" s="22" t="s">
        <v>688</v>
      </c>
      <c r="I111" s="13">
        <v>42677.691666666666</v>
      </c>
      <c r="J111" s="7">
        <v>0</v>
      </c>
      <c r="K111" s="112" t="str">
        <f t="shared" si="28"/>
        <v>4013/4014</v>
      </c>
      <c r="L111" s="22" t="str">
        <f>VLOOKUP(A111,'Trips&amp;Operators'!$C$1:$E$10000,3,FALSE)</f>
        <v>MACDONALD</v>
      </c>
      <c r="M111" s="6">
        <f t="shared" si="29"/>
        <v>2.4780092593573499E-2</v>
      </c>
      <c r="N111" s="7">
        <f t="shared" si="44"/>
        <v>35.683333334745839</v>
      </c>
      <c r="O111" s="7"/>
      <c r="P111" s="7"/>
      <c r="Q111" s="23"/>
      <c r="R111" s="23"/>
      <c r="S111" s="35">
        <f t="shared" si="30"/>
        <v>1</v>
      </c>
      <c r="T111" s="50" t="str">
        <f t="shared" si="31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14:55:05-0600',mode:absolute,to:'2016-11-03 17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1" s="52" t="str">
        <f t="shared" si="33"/>
        <v>N</v>
      </c>
      <c r="X111" s="177">
        <f t="shared" si="43"/>
        <v>1</v>
      </c>
      <c r="Y111" s="67">
        <f t="shared" si="34"/>
        <v>4.3700000000000003E-2</v>
      </c>
      <c r="Z111" s="67">
        <f t="shared" si="35"/>
        <v>23.327000000000002</v>
      </c>
      <c r="AA111" s="67">
        <f t="shared" si="36"/>
        <v>23.283300000000001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7"/>
        <v>0199-03</v>
      </c>
      <c r="AE111" s="91" t="str">
        <f t="shared" si="38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11" s="88" t="str">
        <f t="shared" si="39"/>
        <v>"C:\Program Files (x86)\AstroGrep\AstroGrep.exe" /spath="%USERPROFILE%\AppData\Local\Temp\OnboardLogs" /stypes="app*4014*20161103*" /stext=" 22:.+((SYSTEM_STATE.+slice.+state.+changed )|(ment ac)|(system.+state.+changed )|(\[timeout)|(PRM\|1\|D)|(kpr)|(kdp)|(\|lc)|(penalty))" /e /r /s</v>
      </c>
      <c r="AG111" s="1" t="str">
        <f t="shared" si="40"/>
        <v>EC</v>
      </c>
      <c r="AH111" s="92" t="str">
        <f t="shared" si="41"/>
        <v>"%USERPROFILE%\Documents\GitHub\eaglep3\Utilities\RefineRTDCRunTimes.py" --tripid 199-03 --locoid 4014 --swversion DE.1.0.8.0 --startMP 204:437 --initTime 2016-11-03T15:55:05 --startdatetime 2016-11-03T16:00:19 --delay 5 --endMP 204:233270 --enddatetime 2016-11-03T16:36:00 --enforcementcount 0 &gt;&gt;C:\Users\stu\Documents\GitHub\eaglep3-reporting\EC\2016-11-03-refined-times.txt</v>
      </c>
      <c r="AI11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{"issue":{"subject":"","project_id":79,"tracker_id":40,"status_id":1,"priority_id":2,"assigned_to_id":23,"start_date":"2016-11-03","description":"","custom_fields":[{"id":1,"name":"Subdivision","value":"EC"},{"id":4,"name":"Milepost","value":"23.327"},{"id":17,"name":"Train ID","value":"199-03"},{"id":16,"name":"Locomotive ID","value":"4014"},{"id":130,"name":"Impact","value":""},{"id":150,"name":"Time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435</v>
      </c>
      <c r="B112" s="7">
        <v>4013</v>
      </c>
      <c r="C112" s="22" t="s">
        <v>245</v>
      </c>
      <c r="D112" s="22" t="s">
        <v>689</v>
      </c>
      <c r="E112" s="13">
        <v>42677.70003472222</v>
      </c>
      <c r="F112" s="13">
        <v>42677.705949074072</v>
      </c>
      <c r="G112" s="7">
        <v>1</v>
      </c>
      <c r="H112" s="22" t="s">
        <v>181</v>
      </c>
      <c r="I112" s="13">
        <v>42677.733865740738</v>
      </c>
      <c r="J112" s="7">
        <v>0</v>
      </c>
      <c r="K112" s="112" t="str">
        <f t="shared" si="28"/>
        <v>4013/4014</v>
      </c>
      <c r="L112" s="22" t="str">
        <f>VLOOKUP(A112,'Trips&amp;Operators'!$C$1:$E$10000,3,FALSE)</f>
        <v>MACDONALD</v>
      </c>
      <c r="M112" s="6">
        <f t="shared" si="29"/>
        <v>2.7916666665987577E-2</v>
      </c>
      <c r="N112" s="7">
        <f t="shared" si="44"/>
        <v>40.199999999022111</v>
      </c>
      <c r="O112" s="7"/>
      <c r="P112" s="7"/>
      <c r="Q112" s="23"/>
      <c r="R112" s="23"/>
      <c r="S112" s="35">
        <f t="shared" si="30"/>
        <v>1</v>
      </c>
      <c r="T112" s="50" t="str">
        <f t="shared" si="31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15:48:03-0600',mode:absolute,to:'2016-11-03 18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2" s="52" t="str">
        <f t="shared" si="33"/>
        <v>N</v>
      </c>
      <c r="X112" s="177">
        <f t="shared" si="43"/>
        <v>1</v>
      </c>
      <c r="Y112" s="67">
        <f t="shared" si="34"/>
        <v>23.2957</v>
      </c>
      <c r="Z112" s="67">
        <f t="shared" si="35"/>
        <v>1.41E-2</v>
      </c>
      <c r="AA112" s="67">
        <f t="shared" si="36"/>
        <v>23.281600000000001</v>
      </c>
      <c r="AB112" s="64" t="str">
        <f>VLOOKUP(A112,Enforcements!$C$7:$K$21,8,0)</f>
        <v>Bulletin (2)</v>
      </c>
      <c r="AC112" s="60" t="str">
        <f>VLOOKUP(A112,Enforcements!$C$7:$E$21,3,0)</f>
        <v>GRADE CROSSING</v>
      </c>
      <c r="AD112" s="61" t="str">
        <f t="shared" si="37"/>
        <v>0200-03</v>
      </c>
      <c r="AE112" s="91" t="str">
        <f t="shared" si="38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112" s="88" t="str">
        <f t="shared" si="39"/>
        <v>"C:\Program Files (x86)\AstroGrep\AstroGrep.exe" /spath="%USERPROFILE%\AppData\Local\Temp\OnboardLogs" /stypes="app*4013*20161103*" /stext=" 23:.+((SYSTEM_STATE.+slice.+state.+changed )|(ment ac)|(system.+state.+changed )|(\[timeout)|(PRM\|1\|D)|(kpr)|(kdp)|(\|lc)|(penalty))" /e /r /s</v>
      </c>
      <c r="AG112" s="1" t="str">
        <f t="shared" si="40"/>
        <v>EC</v>
      </c>
      <c r="AH112" s="92" t="str">
        <f t="shared" si="41"/>
        <v>"%USERPROFILE%\Documents\GitHub\eaglep3\Utilities\RefineRTDCRunTimes.py" --tripid 200-03 --locoid 4013 --swversion DE.1.0.8.0 --startMP 204:232957 --initTime 2016-11-03T16:48:03 --startdatetime 2016-11-03T16:56:34 --delay 1 --endMP 204:141 --enddatetime 2016-11-03T17:36:46 --enforcementcount 0 &gt;&gt;C:\Users\stu\Documents\GitHub\eaglep3-reporting\EC\2016-11-03-refined-times.txt</v>
      </c>
      <c r="AI11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{"issue":{"subject":"","project_id":79,"tracker_id":40,"status_id":1,"priority_id":2,"assigned_to_id":23,"start_date":"2016-11-03","description":"","custom_fields":[{"id":1,"name":"Subdivision","value":"EC"},{"id":4,"name":"Milepost","value":"0.0141"},{"id":17,"name":"Train ID","value":"200-03"},{"id":16,"name":"Locomotive ID","value":"4013"},{"id":130,"name":"Impact","value":""},{"id":150,"name":"Time of Event (Mountain Time)","value":"17:36:46"},{"id":151,"name":"Denver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563</v>
      </c>
      <c r="B113" s="7">
        <v>4042</v>
      </c>
      <c r="C113" s="22" t="s">
        <v>245</v>
      </c>
      <c r="D113" s="22" t="s">
        <v>210</v>
      </c>
      <c r="E113" s="13">
        <v>42677.670995370368</v>
      </c>
      <c r="F113" s="13">
        <v>42677.677708333336</v>
      </c>
      <c r="G113" s="7">
        <v>1</v>
      </c>
      <c r="H113" s="22" t="s">
        <v>334</v>
      </c>
      <c r="I113" s="13">
        <v>42677.703622685185</v>
      </c>
      <c r="J113" s="7">
        <v>0</v>
      </c>
      <c r="K113" s="112" t="str">
        <f t="shared" si="28"/>
        <v>4041/4042</v>
      </c>
      <c r="L113" s="22" t="str">
        <f>VLOOKUP(A113,'Trips&amp;Operators'!$C$1:$E$10000,3,FALSE)</f>
        <v>SAFIEF</v>
      </c>
      <c r="M113" s="6">
        <f t="shared" si="29"/>
        <v>2.5914351848769002E-2</v>
      </c>
      <c r="N113" s="7">
        <f t="shared" si="44"/>
        <v>37.316666662227362</v>
      </c>
      <c r="O113" s="7"/>
      <c r="P113" s="7"/>
      <c r="Q113" s="23"/>
      <c r="R113" s="23"/>
      <c r="S113" s="35">
        <f t="shared" si="30"/>
        <v>1</v>
      </c>
      <c r="T113" s="50" t="str">
        <f t="shared" si="31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15:06:14-0600',mode:absolute,to:'2016-11-03 17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33"/>
        <v>N</v>
      </c>
      <c r="X113" s="177">
        <f t="shared" si="43"/>
        <v>1</v>
      </c>
      <c r="Y113" s="67">
        <f t="shared" si="34"/>
        <v>4.5499999999999999E-2</v>
      </c>
      <c r="Z113" s="67">
        <f t="shared" si="35"/>
        <v>23.3306</v>
      </c>
      <c r="AA113" s="67">
        <f t="shared" si="36"/>
        <v>23.2851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7"/>
        <v>0201-03</v>
      </c>
      <c r="AE113" s="91" t="str">
        <f t="shared" si="38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113" s="88" t="str">
        <f t="shared" si="39"/>
        <v>"C:\Program Files (x86)\AstroGrep\AstroGrep.exe" /spath="%USERPROFILE%\AppData\Local\Temp\OnboardLogs" /stypes="app*4042*20161103*" /stext=" 22:.+((SYSTEM_STATE.+slice.+state.+changed )|(ment ac)|(system.+state.+changed )|(\[timeout)|(PRM\|1\|D)|(kpr)|(kdp)|(\|lc)|(penalty))" /e /r /s</v>
      </c>
      <c r="AG113" s="1" t="str">
        <f t="shared" si="40"/>
        <v>EC</v>
      </c>
      <c r="AH113" s="92" t="str">
        <f t="shared" si="41"/>
        <v>"%USERPROFILE%\Documents\GitHub\eaglep3\Utilities\RefineRTDCRunTimes.py" --tripid 201-03 --locoid 4042 --swversion DE.1.0.8.0 --startMP 204:455 --initTime 2016-11-03T16:06:14 --startdatetime 2016-11-03T16:15:54 --delay 1 --endMP 204:233306 --enddatetime 2016-11-03T16:53:13 --enforcementcount 0 &gt;&gt;C:\Users\stu\Documents\GitHub\eaglep3-reporting\EC\2016-11-03-refined-times.txt</v>
      </c>
      <c r="AI11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{"issue":{"subject":"","project_id":79,"tracker_id":40,"status_id":1,"priority_id":2,"assigned_to_id":23,"start_date":"2016-11-03","description":"","custom_fields":[{"id":1,"name":"Subdivision","value":"EC"},{"id":4,"name":"Milepost","value":"23.3306"},{"id":17,"name":"Train ID","value":"201-03"},{"id":16,"name":"Locomotive ID","value":"4042"},{"id":130,"name":"Impact","value":""},{"id":150,"name":"Time of Event (Mountain Time)","value":"16:53:13"},{"id":151,"name":"Denver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572</v>
      </c>
      <c r="B114" s="7">
        <v>4041</v>
      </c>
      <c r="C114" s="22" t="s">
        <v>245</v>
      </c>
      <c r="D114" s="22" t="s">
        <v>371</v>
      </c>
      <c r="E114" s="13">
        <v>42677.707384259258</v>
      </c>
      <c r="F114" s="13">
        <v>42677.716238425928</v>
      </c>
      <c r="G114" s="7">
        <v>1</v>
      </c>
      <c r="H114" s="22" t="s">
        <v>269</v>
      </c>
      <c r="I114" s="13">
        <v>42677.742569444446</v>
      </c>
      <c r="J114" s="7">
        <v>0</v>
      </c>
      <c r="K114" s="112" t="str">
        <f t="shared" si="28"/>
        <v>4041/4042</v>
      </c>
      <c r="L114" s="22" t="str">
        <f>VLOOKUP(A114,'Trips&amp;Operators'!$C$1:$E$10000,3,FALSE)</f>
        <v>SAFIEF</v>
      </c>
      <c r="M114" s="6">
        <f t="shared" si="29"/>
        <v>2.6331018518249039E-2</v>
      </c>
      <c r="N114" s="7">
        <f t="shared" si="44"/>
        <v>37.916666666278616</v>
      </c>
      <c r="O114" s="7"/>
      <c r="P114" s="7"/>
      <c r="Q114" s="23"/>
      <c r="R114" s="23"/>
      <c r="S114" s="35">
        <f t="shared" si="30"/>
        <v>1</v>
      </c>
      <c r="T114" s="50" t="str">
        <f t="shared" si="31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15:58:38-0600',mode:absolute,to:'2016-11-03 18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33"/>
        <v>N</v>
      </c>
      <c r="X114" s="177">
        <f t="shared" si="43"/>
        <v>1</v>
      </c>
      <c r="Y114" s="67">
        <f t="shared" si="34"/>
        <v>23.2989</v>
      </c>
      <c r="Z114" s="67">
        <f t="shared" si="35"/>
        <v>1.5800000000000002E-2</v>
      </c>
      <c r="AA114" s="67">
        <f t="shared" si="36"/>
        <v>23.283100000000001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7"/>
        <v>0202-03</v>
      </c>
      <c r="AE114" s="91" t="str">
        <f t="shared" si="38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114" s="88" t="str">
        <f t="shared" si="39"/>
        <v>"C:\Program Files (x86)\AstroGrep\AstroGrep.exe" /spath="%USERPROFILE%\AppData\Local\Temp\OnboardLogs" /stypes="app*4041*20161103*" /stext=" 23:.+((SYSTEM_STATE.+slice.+state.+changed )|(ment ac)|(system.+state.+changed )|(\[timeout)|(PRM\|1\|D)|(kpr)|(kdp)|(\|lc)|(penalty))" /e /r /s</v>
      </c>
      <c r="AG114" s="1" t="str">
        <f t="shared" si="40"/>
        <v>EC</v>
      </c>
      <c r="AH114" s="92" t="str">
        <f t="shared" si="41"/>
        <v>"%USERPROFILE%\Documents\GitHub\eaglep3\Utilities\RefineRTDCRunTimes.py" --tripid 202-03 --locoid 4041 --swversion DE.1.0.8.0 --startMP 204:232989 --initTime 2016-11-03T16:58:38 --startdatetime 2016-11-03T17:11:23 --delay 1 --endMP 204:158 --enddatetime 2016-11-03T17:49:18 --enforcementcount 0 &gt;&gt;C:\Users\stu\Documents\GitHub\eaglep3-reporting\EC\2016-11-03-refined-times.txt</v>
      </c>
      <c r="AI11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{"issue":{"subject":"","project_id":79,"tracker_id":40,"status_id":1,"priority_id":2,"assigned_to_id":23,"start_date":"2016-11-03","description":"","custom_fields":[{"id":1,"name":"Subdivision","value":"EC"},{"id":4,"name":"Milepost","value":"0.0158"},{"id":17,"name":"Train ID","value":"202-03"},{"id":16,"name":"Locomotive ID","value":"4041"},{"id":130,"name":"Impact","value":""},{"id":150,"name":"Time of Event (Mountain Time)","value":"17:49:18"},{"id":151,"name":"Denver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566</v>
      </c>
      <c r="B115" s="7">
        <v>4016</v>
      </c>
      <c r="C115" s="22" t="s">
        <v>245</v>
      </c>
      <c r="D115" s="22" t="s">
        <v>250</v>
      </c>
      <c r="E115" s="13">
        <v>42677.682569444441</v>
      </c>
      <c r="F115" s="13">
        <v>42677.687743055554</v>
      </c>
      <c r="G115" s="7">
        <v>1</v>
      </c>
      <c r="H115" s="22" t="s">
        <v>370</v>
      </c>
      <c r="I115" s="13">
        <v>42677.713136574072</v>
      </c>
      <c r="J115" s="7">
        <v>0</v>
      </c>
      <c r="K115" s="112" t="str">
        <f t="shared" si="28"/>
        <v>4015/4016</v>
      </c>
      <c r="L115" s="22" t="str">
        <f>VLOOKUP(A115,'Trips&amp;Operators'!$C$1:$E$10000,3,FALSE)</f>
        <v>SHOOK</v>
      </c>
      <c r="M115" s="6">
        <f t="shared" si="29"/>
        <v>2.5393518517375924E-2</v>
      </c>
      <c r="N115" s="7">
        <f t="shared" si="44"/>
        <v>36.56666666502133</v>
      </c>
      <c r="O115" s="7"/>
      <c r="P115" s="7"/>
      <c r="Q115" s="23"/>
      <c r="R115" s="23"/>
      <c r="S115" s="35">
        <f t="shared" si="30"/>
        <v>1</v>
      </c>
      <c r="T115" s="50" t="str">
        <f t="shared" si="31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15:22:54-0600',mode:absolute,to:'2016-11-03 18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5" s="52" t="str">
        <f t="shared" si="33"/>
        <v>N</v>
      </c>
      <c r="X115" s="177">
        <f t="shared" si="43"/>
        <v>1</v>
      </c>
      <c r="Y115" s="67">
        <f t="shared" si="34"/>
        <v>4.58E-2</v>
      </c>
      <c r="Z115" s="67">
        <f t="shared" si="35"/>
        <v>23.3324</v>
      </c>
      <c r="AA115" s="67">
        <f t="shared" si="36"/>
        <v>23.2866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7"/>
        <v>0203-03</v>
      </c>
      <c r="AE115" s="91" t="str">
        <f t="shared" si="38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15" s="88" t="str">
        <f t="shared" si="39"/>
        <v>"C:\Program Files (x86)\AstroGrep\AstroGrep.exe" /spath="%USERPROFILE%\AppData\Local\Temp\OnboardLogs" /stypes="app*4016*20161103*" /stext=" 23:.+((SYSTEM_STATE.+slice.+state.+changed )|(ment ac)|(system.+state.+changed )|(\[timeout)|(PRM\|1\|D)|(kpr)|(kdp)|(\|lc)|(penalty))" /e /r /s</v>
      </c>
      <c r="AG115" s="1" t="str">
        <f t="shared" si="40"/>
        <v>EC</v>
      </c>
      <c r="AH115" s="92" t="str">
        <f t="shared" si="41"/>
        <v>"%USERPROFILE%\Documents\GitHub\eaglep3\Utilities\RefineRTDCRunTimes.py" --tripid 203-03 --locoid 4016 --swversion DE.1.0.8.0 --startMP 204:458 --initTime 2016-11-03T16:22:54 --startdatetime 2016-11-03T16:30:21 --delay 1 --endMP 204:233324 --enddatetime 2016-11-03T17:06:55 --enforcementcount 0 &gt;&gt;C:\Users\stu\Documents\GitHub\eaglep3-reporting\EC\2016-11-03-refined-times.txt</v>
      </c>
      <c r="AI11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{"issue":{"subject":"","project_id":79,"tracker_id":40,"status_id":1,"priority_id":2,"assigned_to_id":23,"start_date":"2016-11-03","description":"","custom_fields":[{"id":1,"name":"Subdivision","value":"EC"},{"id":4,"name":"Milepost","value":"23.3324"},{"id":17,"name":"Train ID","value":"203-03"},{"id":16,"name":"Locomotive ID","value":"4016"},{"id":130,"name":"Impact","value":""},{"id":150,"name":"Time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576</v>
      </c>
      <c r="B116" s="7">
        <v>4015</v>
      </c>
      <c r="C116" s="22" t="s">
        <v>245</v>
      </c>
      <c r="D116" s="22" t="s">
        <v>690</v>
      </c>
      <c r="E116" s="13">
        <v>42677.720659722225</v>
      </c>
      <c r="F116" s="13">
        <v>42677.726712962962</v>
      </c>
      <c r="G116" s="7">
        <v>0</v>
      </c>
      <c r="H116" s="22" t="s">
        <v>205</v>
      </c>
      <c r="I116" s="13">
        <v>42677.753252314818</v>
      </c>
      <c r="J116" s="7">
        <v>0</v>
      </c>
      <c r="K116" s="112" t="str">
        <f t="shared" si="28"/>
        <v>4015/4016</v>
      </c>
      <c r="L116" s="22" t="str">
        <f>VLOOKUP(A116,'Trips&amp;Operators'!$C$1:$E$10000,3,FALSE)</f>
        <v>SHOOK</v>
      </c>
      <c r="M116" s="6">
        <f t="shared" si="29"/>
        <v>2.6539351856627036E-2</v>
      </c>
      <c r="N116" s="7">
        <f t="shared" si="44"/>
        <v>38.216666673542932</v>
      </c>
      <c r="O116" s="7"/>
      <c r="P116" s="7"/>
      <c r="Q116" s="23"/>
      <c r="R116" s="23"/>
      <c r="S116" s="35">
        <f t="shared" si="30"/>
        <v>1</v>
      </c>
      <c r="T116" s="50" t="str">
        <f t="shared" si="31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16:17:45-0600',mode:absolute,to:'2016-11-03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6" s="52" t="str">
        <f t="shared" si="33"/>
        <v>N</v>
      </c>
      <c r="X116" s="177">
        <f t="shared" si="43"/>
        <v>1</v>
      </c>
      <c r="Y116" s="67">
        <f t="shared" si="34"/>
        <v>23.303000000000001</v>
      </c>
      <c r="Z116" s="67">
        <f t="shared" si="35"/>
        <v>1.49E-2</v>
      </c>
      <c r="AA116" s="67">
        <f t="shared" si="36"/>
        <v>23.2881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7"/>
        <v>0204-03</v>
      </c>
      <c r="AE116" s="91" t="str">
        <f t="shared" si="38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116" s="88" t="str">
        <f t="shared" si="39"/>
        <v>"C:\Program Files (x86)\AstroGrep\AstroGrep.exe" /spath="%USERPROFILE%\AppData\Local\Temp\OnboardLogs" /stypes="app*4015*20161104*" /stext=" 00:.+((SYSTEM_STATE.+slice.+state.+changed )|(ment ac)|(system.+state.+changed )|(\[timeout)|(PRM\|1\|D)|(kpr)|(kdp)|(\|lc)|(penalty))" /e /r /s</v>
      </c>
      <c r="AG116" s="1" t="str">
        <f t="shared" si="40"/>
        <v>EC</v>
      </c>
      <c r="AH116" s="92" t="str">
        <f t="shared" si="41"/>
        <v>"%USERPROFILE%\Documents\GitHub\eaglep3\Utilities\RefineRTDCRunTimes.py" --tripid 204-03 --locoid 4015 --swversion DE.1.0.8.0 --startMP 204:233030 --initTime 2016-11-03T17:17:45 --startdatetime 2016-11-03T17:26:28 --delay 0 --endMP 204:149 --enddatetime 2016-11-03T18:04:41 --enforcementcount 0 &gt;&gt;C:\Users\stu\Documents\GitHub\eaglep3-reporting\EC\2016-11-03-refined-times.txt</v>
      </c>
      <c r="AI11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{"issue":{"subject":"","project_id":79,"tracker_id":40,"status_id":1,"priority_id":2,"assigned_to_id":23,"start_date":"2016-11-03","description":"","custom_fields":[{"id":1,"name":"Subdivision","value":"EC"},{"id":4,"name":"Milepost","value":"0.0149"},{"id":17,"name":"Train ID","value":"204-03"},{"id":16,"name":"Locomotive ID","value":"4015"},{"id":130,"name":"Impact","value":""},{"id":150,"name":"Time of Event (Mountain Time)","value":"18:04:41"},{"id":151,"name":"Denver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569</v>
      </c>
      <c r="B117" s="7">
        <v>4025</v>
      </c>
      <c r="C117" s="22" t="s">
        <v>245</v>
      </c>
      <c r="D117" s="22" t="s">
        <v>228</v>
      </c>
      <c r="E117" s="13">
        <v>42677.694490740738</v>
      </c>
      <c r="F117" s="13">
        <v>42677.698298611111</v>
      </c>
      <c r="G117" s="7">
        <v>1</v>
      </c>
      <c r="H117" s="22" t="s">
        <v>381</v>
      </c>
      <c r="I117" s="13">
        <v>42677.723634259259</v>
      </c>
      <c r="J117" s="7">
        <v>0</v>
      </c>
      <c r="K117" s="112" t="str">
        <f t="shared" si="28"/>
        <v>4025/4026</v>
      </c>
      <c r="L117" s="22" t="str">
        <f>VLOOKUP(A117,'Trips&amp;Operators'!$C$1:$E$10000,3,FALSE)</f>
        <v>HOLCOMB</v>
      </c>
      <c r="M117" s="6">
        <f t="shared" si="29"/>
        <v>2.5335648148029577E-2</v>
      </c>
      <c r="N117" s="7">
        <f t="shared" si="44"/>
        <v>36.483333333162591</v>
      </c>
      <c r="O117" s="7"/>
      <c r="P117" s="7"/>
      <c r="Q117" s="23"/>
      <c r="R117" s="23"/>
      <c r="S117" s="35">
        <f t="shared" si="30"/>
        <v>1</v>
      </c>
      <c r="T117" s="50" t="str">
        <f t="shared" si="31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15:40:04-0600',mode:absolute,to:'2016-11-03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7" s="52" t="str">
        <f t="shared" si="33"/>
        <v>N</v>
      </c>
      <c r="X117" s="177">
        <f t="shared" si="43"/>
        <v>1</v>
      </c>
      <c r="Y117" s="67">
        <f t="shared" si="34"/>
        <v>4.4900000000000002E-2</v>
      </c>
      <c r="Z117" s="67">
        <f t="shared" si="35"/>
        <v>23.331499999999998</v>
      </c>
      <c r="AA117" s="67">
        <f t="shared" si="36"/>
        <v>23.2866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7"/>
        <v>0205-03</v>
      </c>
      <c r="AE117" s="91" t="str">
        <f t="shared" si="38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17" s="88" t="str">
        <f t="shared" si="39"/>
        <v>"C:\Program Files (x86)\AstroGrep\AstroGrep.exe" /spath="%USERPROFILE%\AppData\Local\Temp\OnboardLogs" /stypes="app*4025*20161103*" /stext=" 23:.+((SYSTEM_STATE.+slice.+state.+changed )|(ment ac)|(system.+state.+changed )|(\[timeout)|(PRM\|1\|D)|(kpr)|(kdp)|(\|lc)|(penalty))" /e /r /s</v>
      </c>
      <c r="AG117" s="1" t="str">
        <f t="shared" si="40"/>
        <v>EC</v>
      </c>
      <c r="AH117" s="92" t="str">
        <f t="shared" si="41"/>
        <v>"%USERPROFILE%\Documents\GitHub\eaglep3\Utilities\RefineRTDCRunTimes.py" --tripid 205-03 --locoid 4025 --swversion DE.1.0.8.0 --startMP 204:449 --initTime 2016-11-03T16:40:04 --startdatetime 2016-11-03T16:45:33 --delay 1 --endMP 204:233315 --enddatetime 2016-11-03T17:22:02 --enforcementcount 0 &gt;&gt;C:\Users\stu\Documents\GitHub\eaglep3-reporting\EC\2016-11-03-refined-times.txt</v>
      </c>
      <c r="AI11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{"issue":{"subject":"","project_id":79,"tracker_id":40,"status_id":1,"priority_id":2,"assigned_to_id":23,"start_date":"2016-11-03","description":"","custom_fields":[{"id":1,"name":"Subdivision","value":"EC"},{"id":4,"name":"Milepost","value":"23.3315"},{"id":17,"name":"Train ID","value":"205-03"},{"id":16,"name":"Locomotive ID","value":"4025"},{"id":130,"name":"Impact","value":""},{"id":150,"name":"Time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578</v>
      </c>
      <c r="B118" s="7">
        <v>4026</v>
      </c>
      <c r="C118" s="22" t="s">
        <v>245</v>
      </c>
      <c r="D118" s="22" t="s">
        <v>691</v>
      </c>
      <c r="E118" s="13">
        <v>42677.732847222222</v>
      </c>
      <c r="F118" s="13">
        <v>42677.737083333333</v>
      </c>
      <c r="G118" s="7">
        <v>1</v>
      </c>
      <c r="H118" s="22" t="s">
        <v>239</v>
      </c>
      <c r="I118" s="13">
        <v>42677.766041666669</v>
      </c>
      <c r="J118" s="7">
        <v>0</v>
      </c>
      <c r="K118" s="112" t="str">
        <f t="shared" si="28"/>
        <v>4025/4026</v>
      </c>
      <c r="L118" s="22" t="str">
        <f>VLOOKUP(A118,'Trips&amp;Operators'!$C$1:$E$10000,3,FALSE)</f>
        <v>HOLCOMB</v>
      </c>
      <c r="M118" s="6">
        <f t="shared" si="29"/>
        <v>2.8958333336049691E-2</v>
      </c>
      <c r="N118" s="7">
        <f t="shared" si="44"/>
        <v>41.700000003911555</v>
      </c>
      <c r="O118" s="7"/>
      <c r="P118" s="7"/>
      <c r="Q118" s="23"/>
      <c r="R118" s="23"/>
      <c r="S118" s="35">
        <f t="shared" si="30"/>
        <v>1</v>
      </c>
      <c r="T118" s="50" t="str">
        <f t="shared" si="31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16:35:18-0600',mode:absolute,to:'2016-11-03 19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8" s="52" t="str">
        <f t="shared" si="33"/>
        <v>N</v>
      </c>
      <c r="X118" s="177">
        <f t="shared" si="43"/>
        <v>1</v>
      </c>
      <c r="Y118" s="67">
        <f t="shared" si="34"/>
        <v>23.300799999999999</v>
      </c>
      <c r="Z118" s="67">
        <f t="shared" si="35"/>
        <v>1.61E-2</v>
      </c>
      <c r="AA118" s="67">
        <f t="shared" si="36"/>
        <v>23.284699999999997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7"/>
        <v>0206-03</v>
      </c>
      <c r="AE118" s="91" t="str">
        <f t="shared" si="38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118" s="88" t="str">
        <f t="shared" si="39"/>
        <v>"C:\Program Files (x86)\AstroGrep\AstroGrep.exe" /spath="%USERPROFILE%\AppData\Local\Temp\OnboardLogs" /stypes="app*4026*20161104*" /stext=" 00:.+((SYSTEM_STATE.+slice.+state.+changed )|(ment ac)|(system.+state.+changed )|(\[timeout)|(PRM\|1\|D)|(kpr)|(kdp)|(\|lc)|(penalty))" /e /r /s</v>
      </c>
      <c r="AG118" s="1" t="str">
        <f t="shared" si="40"/>
        <v>EC</v>
      </c>
      <c r="AH118" s="92" t="str">
        <f t="shared" si="41"/>
        <v>"%USERPROFILE%\Documents\GitHub\eaglep3\Utilities\RefineRTDCRunTimes.py" --tripid 206-03 --locoid 4026 --swversion DE.1.0.8.0 --startMP 204:233008 --initTime 2016-11-03T17:35:18 --startdatetime 2016-11-03T17:41:24 --delay 1 --endMP 204:161 --enddatetime 2016-11-03T18:23:06 --enforcementcount 0 &gt;&gt;C:\Users\stu\Documents\GitHub\eaglep3-reporting\EC\2016-11-03-refined-times.txt</v>
      </c>
      <c r="AI11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{"issue":{"subject":"","project_id":79,"tracker_id":40,"status_id":1,"priority_id":2,"assigned_to_id":23,"start_date":"2016-11-03","description":"","custom_fields":[{"id":1,"name":"Subdivision","value":"EC"},{"id":4,"name":"Milepost","value":"0.0161"},{"id":17,"name":"Train ID","value":"206-03"},{"id":16,"name":"Locomotive ID","value":"4026"},{"id":130,"name":"Impact","value":""},{"id":150,"name":"Time of Event (Mountain Time)","value":"18:23:06"},{"id":151,"name":"Denver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571</v>
      </c>
      <c r="B119" s="7">
        <v>4029</v>
      </c>
      <c r="C119" s="22" t="s">
        <v>245</v>
      </c>
      <c r="D119" s="22" t="s">
        <v>208</v>
      </c>
      <c r="E119" s="13">
        <v>42677.702199074076</v>
      </c>
      <c r="F119" s="13">
        <v>42677.708541666667</v>
      </c>
      <c r="G119" s="7">
        <v>1</v>
      </c>
      <c r="H119" s="22" t="s">
        <v>376</v>
      </c>
      <c r="I119" s="13">
        <v>42677.732557870368</v>
      </c>
      <c r="J119" s="7">
        <v>0</v>
      </c>
      <c r="K119" s="112" t="str">
        <f t="shared" si="28"/>
        <v>4029/4030</v>
      </c>
      <c r="L119" s="22" t="str">
        <f>VLOOKUP(A119,'Trips&amp;Operators'!$C$1:$E$10000,3,FALSE)</f>
        <v>LOPES</v>
      </c>
      <c r="M119" s="6">
        <f t="shared" si="29"/>
        <v>2.4016203700739425E-2</v>
      </c>
      <c r="N119" s="7">
        <f t="shared" si="44"/>
        <v>34.583333329064772</v>
      </c>
      <c r="O119" s="7"/>
      <c r="P119" s="7"/>
      <c r="Q119" s="23"/>
      <c r="R119" s="23"/>
      <c r="S119" s="35">
        <f t="shared" si="30"/>
        <v>1</v>
      </c>
      <c r="T119" s="50" t="str">
        <f t="shared" si="31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15:51:10-0600',mode:absolute,to:'2016-11-03 18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9" s="52" t="str">
        <f t="shared" si="33"/>
        <v>N</v>
      </c>
      <c r="X119" s="177">
        <f t="shared" si="43"/>
        <v>1</v>
      </c>
      <c r="Y119" s="67">
        <f t="shared" si="34"/>
        <v>4.4699999999999997E-2</v>
      </c>
      <c r="Z119" s="67">
        <f t="shared" si="35"/>
        <v>23.330500000000001</v>
      </c>
      <c r="AA119" s="67">
        <f t="shared" si="36"/>
        <v>23.285800000000002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7"/>
        <v>0207-03</v>
      </c>
      <c r="AE119" s="91" t="str">
        <f t="shared" si="38"/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AF119" s="88" t="str">
        <f t="shared" si="39"/>
        <v>"C:\Program Files (x86)\AstroGrep\AstroGrep.exe" /spath="%USERPROFILE%\AppData\Local\Temp\OnboardLogs" /stypes="app*4029*20161103*" /stext=" 23:.+((SYSTEM_STATE.+slice.+state.+changed )|(ment ac)|(system.+state.+changed )|(\[timeout)|(PRM\|1\|D)|(kpr)|(kdp)|(\|lc)|(penalty))" /e /r /s</v>
      </c>
      <c r="AG119" s="1" t="str">
        <f t="shared" si="40"/>
        <v>EC</v>
      </c>
      <c r="AH119" s="92" t="str">
        <f t="shared" si="41"/>
        <v>"%USERPROFILE%\Documents\GitHub\eaglep3\Utilities\RefineRTDCRunTimes.py" --tripid 207-03 --locoid 4029 --swversion DE.1.0.8.0 --startMP 204:447 --initTime 2016-11-03T16:51:10 --startdatetime 2016-11-03T17:00:18 --delay 1 --endMP 204:233305 --enddatetime 2016-11-03T17:34:53 --enforcementcount 0 &gt;&gt;C:\Users\stu\Documents\GitHub\eaglep3-reporting\EC\2016-11-03-refined-times.txt</v>
      </c>
      <c r="AI11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{"issue":{"subject":"","project_id":79,"tracker_id":40,"status_id":1,"priority_id":2,"assigned_to_id":23,"start_date":"2016-11-03","description":"","custom_fields":[{"id":1,"name":"Subdivision","value":"EC"},{"id":4,"name":"Milepost","value":"23.3305"},{"id":17,"name":"Train ID","value":"207-03"},{"id":16,"name":"Locomotive ID","value":"4029"},{"id":130,"name":"Impact","value":""},{"id":150,"name":"Time of Event (Mountain Time)","value":"17:34:53"},{"id":151,"name":"Denver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579</v>
      </c>
      <c r="B120" s="7">
        <v>4030</v>
      </c>
      <c r="C120" s="22" t="s">
        <v>245</v>
      </c>
      <c r="D120" s="22" t="s">
        <v>266</v>
      </c>
      <c r="E120" s="13">
        <v>42677.733981481484</v>
      </c>
      <c r="F120" s="13">
        <v>42677.747685185182</v>
      </c>
      <c r="G120" s="7">
        <v>0</v>
      </c>
      <c r="H120" s="22" t="s">
        <v>640</v>
      </c>
      <c r="I120" s="13">
        <v>42677.772962962961</v>
      </c>
      <c r="J120" s="7">
        <v>0</v>
      </c>
      <c r="K120" s="112" t="str">
        <f t="shared" si="28"/>
        <v>4029/4030</v>
      </c>
      <c r="L120" s="22" t="str">
        <f>VLOOKUP(A120,'Trips&amp;Operators'!$C$1:$E$10000,3,FALSE)</f>
        <v>LOPES</v>
      </c>
      <c r="M120" s="6">
        <f t="shared" si="29"/>
        <v>2.527777777868323E-2</v>
      </c>
      <c r="N120" s="7">
        <f t="shared" si="44"/>
        <v>36.400000001303852</v>
      </c>
      <c r="O120" s="7"/>
      <c r="P120" s="7"/>
      <c r="Q120" s="23"/>
      <c r="R120" s="23"/>
      <c r="S120" s="35">
        <f t="shared" si="30"/>
        <v>1</v>
      </c>
      <c r="T120" s="50" t="str">
        <f t="shared" si="31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16:36:56-0600',mode:absolute,to:'2016-11-03 19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0" s="52" t="str">
        <f t="shared" si="33"/>
        <v>N</v>
      </c>
      <c r="X120" s="177">
        <f t="shared" si="43"/>
        <v>1</v>
      </c>
      <c r="Y120" s="67">
        <f t="shared" si="34"/>
        <v>23.2973</v>
      </c>
      <c r="Z120" s="67">
        <f t="shared" si="35"/>
        <v>1.4999999999999999E-2</v>
      </c>
      <c r="AA120" s="67">
        <f t="shared" si="36"/>
        <v>23.282299999999999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7"/>
        <v>0208-03</v>
      </c>
      <c r="AE120" s="91" t="str">
        <f t="shared" si="38"/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AF120" s="88" t="str">
        <f t="shared" si="39"/>
        <v>"C:\Program Files (x86)\AstroGrep\AstroGrep.exe" /spath="%USERPROFILE%\AppData\Local\Temp\OnboardLogs" /stypes="app*4030*20161104*" /stext=" 00:.+((SYSTEM_STATE.+slice.+state.+changed )|(ment ac)|(system.+state.+changed )|(\[timeout)|(PRM\|1\|D)|(kpr)|(kdp)|(\|lc)|(penalty))" /e /r /s</v>
      </c>
      <c r="AG120" s="1" t="str">
        <f t="shared" si="40"/>
        <v>EC</v>
      </c>
      <c r="AH120" s="92" t="str">
        <f t="shared" si="41"/>
        <v>"%USERPROFILE%\Documents\GitHub\eaglep3\Utilities\RefineRTDCRunTimes.py" --tripid 208-03 --locoid 4030 --swversion DE.1.0.8.0 --startMP 204:232973 --initTime 2016-11-03T17:36:56 --startdatetime 2016-11-03T17:56:40 --delay 0 --endMP 204:150 --enddatetime 2016-11-03T18:33:04 --enforcementcount 0 &gt;&gt;C:\Users\stu\Documents\GitHub\eaglep3-reporting\EC\2016-11-03-refined-times.txt</v>
      </c>
      <c r="AI12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ID","value":"208-03"},{"id":16,"name":"Locomotive ID","value":"4030"},{"id":130,"name":"Impact","value":""},{"id":150,"name":"Time of Event (Mountain Time)","value":"18:33:04"},{"id":151,"name":"Denver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574</v>
      </c>
      <c r="B121" s="7">
        <v>4031</v>
      </c>
      <c r="C121" s="22" t="s">
        <v>245</v>
      </c>
      <c r="D121" s="22" t="s">
        <v>692</v>
      </c>
      <c r="E121" s="13">
        <v>42677.716111111113</v>
      </c>
      <c r="F121" s="13">
        <v>42677.719097222223</v>
      </c>
      <c r="G121" s="7">
        <v>2</v>
      </c>
      <c r="H121" s="22" t="s">
        <v>382</v>
      </c>
      <c r="I121" s="13">
        <v>42677.746365740742</v>
      </c>
      <c r="J121" s="7">
        <v>0</v>
      </c>
      <c r="K121" s="112" t="str">
        <f t="shared" si="28"/>
        <v>4031/4032</v>
      </c>
      <c r="L121" s="22" t="str">
        <f>VLOOKUP(A121,'Trips&amp;Operators'!$C$1:$E$10000,3,FALSE)</f>
        <v>JOHNSON</v>
      </c>
      <c r="M121" s="6">
        <f t="shared" si="29"/>
        <v>2.7268518519122154E-2</v>
      </c>
      <c r="N121" s="7">
        <f t="shared" si="44"/>
        <v>39.266666667535901</v>
      </c>
      <c r="O121" s="7"/>
      <c r="P121" s="7"/>
      <c r="Q121" s="23"/>
      <c r="R121" s="23"/>
      <c r="S121" s="35">
        <f t="shared" si="30"/>
        <v>1</v>
      </c>
      <c r="T121" s="50" t="str">
        <f t="shared" si="31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16:11:12-0600',mode:absolute,to:'2016-11-03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1" s="52" t="str">
        <f t="shared" si="33"/>
        <v>N</v>
      </c>
      <c r="X121" s="177">
        <f t="shared" si="43"/>
        <v>1</v>
      </c>
      <c r="Y121" s="67">
        <f t="shared" si="34"/>
        <v>4.1599999999999998E-2</v>
      </c>
      <c r="Z121" s="67">
        <f t="shared" si="35"/>
        <v>23.3323</v>
      </c>
      <c r="AA121" s="67">
        <f t="shared" si="36"/>
        <v>23.290700000000001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7"/>
        <v>0209-03</v>
      </c>
      <c r="AE121" s="91" t="str">
        <f t="shared" si="38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21" s="88" t="str">
        <f t="shared" si="39"/>
        <v>"C:\Program Files (x86)\AstroGrep\AstroGrep.exe" /spath="%USERPROFILE%\AppData\Local\Temp\OnboardLogs" /stypes="app*4031*20161103*" /stext=" 23:.+((SYSTEM_STATE.+slice.+state.+changed )|(ment ac)|(system.+state.+changed )|(\[timeout)|(PRM\|1\|D)|(kpr)|(kdp)|(\|lc)|(penalty))" /e /r /s</v>
      </c>
      <c r="AG121" s="1" t="str">
        <f t="shared" si="40"/>
        <v>EC</v>
      </c>
      <c r="AH121" s="92" t="str">
        <f t="shared" si="41"/>
        <v>"%USERPROFILE%\Documents\GitHub\eaglep3\Utilities\RefineRTDCRunTimes.py" --tripid 209-03 --locoid 4031 --swversion DE.1.0.8.0 --startMP 204:416 --initTime 2016-11-03T17:11:12 --startdatetime 2016-11-03T17:15:30 --delay 2 --endMP 204:233323 --enddatetime 2016-11-03T17:54:46 --enforcementcount 0 &gt;&gt;C:\Users\stu\Documents\GitHub\eaglep3-reporting\EC\2016-11-03-refined-times.txt</v>
      </c>
      <c r="AI12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{"issue":{"subject":"","project_id":79,"tracker_id":40,"status_id":1,"priority_id":2,"assigned_to_id":23,"start_date":"2016-11-03","description":"","custom_fields":[{"id":1,"name":"Subdivision","value":"EC"},{"id":4,"name":"Milepost","value":"23.3323"},{"id":17,"name":"Train ID","value":"209-03"},{"id":16,"name":"Locomotive ID","value":"4031"},{"id":130,"name":"Impact","value":""},{"id":150,"name":"Time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586</v>
      </c>
      <c r="B122" s="7">
        <v>4032</v>
      </c>
      <c r="C122" s="22" t="s">
        <v>245</v>
      </c>
      <c r="D122" s="22" t="s">
        <v>335</v>
      </c>
      <c r="E122" s="13">
        <v>42677.752314814818</v>
      </c>
      <c r="F122" s="13">
        <v>42677.757835648146</v>
      </c>
      <c r="G122" s="7">
        <v>1</v>
      </c>
      <c r="H122" s="22" t="s">
        <v>207</v>
      </c>
      <c r="I122" s="13">
        <v>42677.784421296295</v>
      </c>
      <c r="J122" s="7">
        <v>0</v>
      </c>
      <c r="K122" s="112" t="str">
        <f t="shared" si="28"/>
        <v>4031/4032</v>
      </c>
      <c r="L122" s="22" t="str">
        <f>VLOOKUP(A122,'Trips&amp;Operators'!$C$1:$E$10000,3,FALSE)</f>
        <v>JOHNSON</v>
      </c>
      <c r="M122" s="6">
        <f t="shared" si="29"/>
        <v>2.658564814919373E-2</v>
      </c>
      <c r="N122" s="7">
        <f t="shared" si="44"/>
        <v>38.283333334838971</v>
      </c>
      <c r="O122" s="7"/>
      <c r="P122" s="7"/>
      <c r="Q122" s="23"/>
      <c r="R122" s="23"/>
      <c r="S122" s="35">
        <f t="shared" si="30"/>
        <v>1</v>
      </c>
      <c r="T122" s="50" t="str">
        <f t="shared" si="31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17:03:20-0600',mode:absolute,to:'2016-11-03 19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2" s="52" t="str">
        <f t="shared" si="33"/>
        <v>N</v>
      </c>
      <c r="X122" s="177">
        <f t="shared" si="43"/>
        <v>1</v>
      </c>
      <c r="Y122" s="67">
        <f t="shared" si="34"/>
        <v>23.3004</v>
      </c>
      <c r="Z122" s="67">
        <f t="shared" si="35"/>
        <v>1.43E-2</v>
      </c>
      <c r="AA122" s="67">
        <f t="shared" si="36"/>
        <v>23.286100000000001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7"/>
        <v>0210-03</v>
      </c>
      <c r="AE122" s="91" t="str">
        <f t="shared" si="38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122" s="88" t="str">
        <f t="shared" si="39"/>
        <v>"C:\Program Files (x86)\AstroGrep\AstroGrep.exe" /spath="%USERPROFILE%\AppData\Local\Temp\OnboardLogs" /stypes="app*4032*20161104*" /stext=" 00:.+((SYSTEM_STATE.+slice.+state.+changed )|(ment ac)|(system.+state.+changed )|(\[timeout)|(PRM\|1\|D)|(kpr)|(kdp)|(\|lc)|(penalty))" /e /r /s</v>
      </c>
      <c r="AG122" s="1" t="str">
        <f t="shared" si="40"/>
        <v>EC</v>
      </c>
      <c r="AH122" s="92" t="str">
        <f t="shared" si="41"/>
        <v>"%USERPROFILE%\Documents\GitHub\eaglep3\Utilities\RefineRTDCRunTimes.py" --tripid 210-03 --locoid 4032 --swversion DE.1.0.8.0 --startMP 204:233004 --initTime 2016-11-03T18:03:20 --startdatetime 2016-11-03T18:11:17 --delay 1 --endMP 204:143 --enddatetime 2016-11-03T18:49:34 --enforcementcount 0 &gt;&gt;C:\Users\stu\Documents\GitHub\eaglep3-reporting\EC\2016-11-03-refined-times.txt</v>
      </c>
      <c r="AI12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ID","value":"210-03"},{"id":16,"name":"Locomotive ID","value":"4032"},{"id":130,"name":"Impact","value":""},{"id":150,"name":"Time of Event (Mountain Time)","value":"18:49:34"},{"id":151,"name":"Denver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436</v>
      </c>
      <c r="B123" s="7">
        <v>4040</v>
      </c>
      <c r="C123" s="22" t="s">
        <v>245</v>
      </c>
      <c r="D123" s="22" t="s">
        <v>250</v>
      </c>
      <c r="E123" s="13">
        <v>42677.723611111112</v>
      </c>
      <c r="F123" s="13">
        <v>42677.729444444441</v>
      </c>
      <c r="G123" s="7">
        <v>1</v>
      </c>
      <c r="H123" s="22" t="s">
        <v>693</v>
      </c>
      <c r="I123" s="13">
        <v>42677.754699074074</v>
      </c>
      <c r="J123" s="7">
        <v>0</v>
      </c>
      <c r="K123" s="112" t="str">
        <f t="shared" si="28"/>
        <v>4039/4040</v>
      </c>
      <c r="L123" s="22" t="str">
        <f>VLOOKUP(A123,'Trips&amp;Operators'!$C$1:$E$10000,3,FALSE)</f>
        <v>HILLS</v>
      </c>
      <c r="M123" s="6">
        <f t="shared" si="29"/>
        <v>2.5254629632399883E-2</v>
      </c>
      <c r="N123" s="7">
        <f t="shared" si="44"/>
        <v>36.366666670655832</v>
      </c>
      <c r="O123" s="7"/>
      <c r="P123" s="7"/>
      <c r="Q123" s="23"/>
      <c r="R123" s="23"/>
      <c r="S123" s="35">
        <f t="shared" si="30"/>
        <v>1</v>
      </c>
      <c r="T123" s="50" t="str">
        <f t="shared" si="31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16:22:00-0600',mode:absolute,to:'2016-11-03 19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3" s="52" t="str">
        <f t="shared" si="33"/>
        <v>N</v>
      </c>
      <c r="X123" s="177">
        <f t="shared" si="43"/>
        <v>1</v>
      </c>
      <c r="Y123" s="67">
        <f t="shared" si="34"/>
        <v>4.58E-2</v>
      </c>
      <c r="Z123" s="67">
        <f t="shared" si="35"/>
        <v>23.3307</v>
      </c>
      <c r="AA123" s="67">
        <f t="shared" si="36"/>
        <v>23.2849</v>
      </c>
      <c r="AB123" s="64" t="str">
        <f>VLOOKUP(A123,Enforcements!$C$7:$K$21,8,0)</f>
        <v>Bulletin (2)</v>
      </c>
      <c r="AC123" s="60" t="str">
        <f>VLOOKUP(A123,Enforcements!$C$7:$E$21,3,0)</f>
        <v>GRADE CROSSING</v>
      </c>
      <c r="AD123" s="61" t="str">
        <f t="shared" si="37"/>
        <v>0211-03</v>
      </c>
      <c r="AE123" s="91" t="str">
        <f t="shared" si="38"/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AF123" s="88" t="str">
        <f t="shared" si="39"/>
        <v>"C:\Program Files (x86)\AstroGrep\AstroGrep.exe" /spath="%USERPROFILE%\AppData\Local\Temp\OnboardLogs" /stypes="app*4040*20161104*" /stext=" 00:.+((SYSTEM_STATE.+slice.+state.+changed )|(ment ac)|(system.+state.+changed )|(\[timeout)|(PRM\|1\|D)|(kpr)|(kdp)|(\|lc)|(penalty))" /e /r /s</v>
      </c>
      <c r="AG123" s="1" t="str">
        <f t="shared" si="40"/>
        <v>EC</v>
      </c>
      <c r="AH123" s="92" t="str">
        <f t="shared" si="41"/>
        <v>"%USERPROFILE%\Documents\GitHub\eaglep3\Utilities\RefineRTDCRunTimes.py" --tripid 211-03 --locoid 4040 --swversion DE.1.0.8.0 --startMP 204:458 --initTime 2016-11-03T17:22:00 --startdatetime 2016-11-03T17:30:24 --delay 1 --endMP 204:233307 --enddatetime 2016-11-03T18:06:46 --enforcementcount 0 &gt;&gt;C:\Users\stu\Documents\GitHub\eaglep3-reporting\EC\2016-11-03-refined-times.txt</v>
      </c>
      <c r="AI12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{"issue":{"subject":"","project_id":79,"tracker_id":40,"status_id":1,"priority_id":2,"assigned_to_id":23,"start_date":"2016-11-03","description":"","custom_fields":[{"id":1,"name":"Subdivision","value":"EC"},{"id":4,"name":"Milepost","value":"23.3307"},{"id":17,"name":"Train ID","value":"211-03"},{"id":16,"name":"Locomotive ID","value":"4040"},{"id":130,"name":"Impact","value":""},{"id":150,"name":"Time of Event (Mountain Time)","value":"18:06:46"},{"id":151,"name":"Denver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590</v>
      </c>
      <c r="B124" s="7">
        <v>4039</v>
      </c>
      <c r="C124" s="22" t="s">
        <v>245</v>
      </c>
      <c r="D124" s="22" t="s">
        <v>647</v>
      </c>
      <c r="E124" s="13">
        <v>42677.762083333335</v>
      </c>
      <c r="F124" s="13">
        <v>42677.768240740741</v>
      </c>
      <c r="G124" s="7">
        <v>1</v>
      </c>
      <c r="H124" s="22" t="s">
        <v>638</v>
      </c>
      <c r="I124" s="13">
        <v>42677.794942129629</v>
      </c>
      <c r="J124" s="7">
        <v>0</v>
      </c>
      <c r="K124" s="112" t="str">
        <f t="shared" si="28"/>
        <v>4039/4040</v>
      </c>
      <c r="L124" s="22" t="str">
        <f>VLOOKUP(A124,'Trips&amp;Operators'!$C$1:$E$10000,3,FALSE)</f>
        <v>HILLS</v>
      </c>
      <c r="M124" s="6">
        <f t="shared" si="29"/>
        <v>2.6701388887886424E-2</v>
      </c>
      <c r="N124" s="7">
        <f t="shared" si="44"/>
        <v>38.44999999855645</v>
      </c>
      <c r="O124" s="7"/>
      <c r="P124" s="7"/>
      <c r="Q124" s="23"/>
      <c r="R124" s="23"/>
      <c r="S124" s="35">
        <f t="shared" si="30"/>
        <v>1</v>
      </c>
      <c r="T124" s="50" t="str">
        <f t="shared" si="31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17:17:24-0600',mode:absolute,to:'2016-11-03 20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4" s="52" t="str">
        <f t="shared" si="33"/>
        <v>N</v>
      </c>
      <c r="X124" s="177">
        <f t="shared" ref="X124:X160" si="45">VALUE(LEFT(AD124,4))-VALUE(LEFT(AD123,4))</f>
        <v>1</v>
      </c>
      <c r="Y124" s="67">
        <f t="shared" si="34"/>
        <v>23.299199999999999</v>
      </c>
      <c r="Z124" s="67">
        <f t="shared" si="35"/>
        <v>1.6E-2</v>
      </c>
      <c r="AA124" s="67">
        <f t="shared" si="36"/>
        <v>23.283200000000001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7"/>
        <v>0212-03</v>
      </c>
      <c r="AE124" s="91" t="str">
        <f t="shared" si="38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124" s="88" t="str">
        <f t="shared" si="39"/>
        <v>"C:\Program Files (x86)\AstroGrep\AstroGrep.exe" /spath="%USERPROFILE%\AppData\Local\Temp\OnboardLogs" /stypes="app*4039*20161104*" /stext=" 01:.+((SYSTEM_STATE.+slice.+state.+changed )|(ment ac)|(system.+state.+changed )|(\[timeout)|(PRM\|1\|D)|(kpr)|(kdp)|(\|lc)|(penalty))" /e /r /s</v>
      </c>
      <c r="AG124" s="1" t="str">
        <f t="shared" si="40"/>
        <v>EC</v>
      </c>
      <c r="AH124" s="92" t="str">
        <f t="shared" si="41"/>
        <v>"%USERPROFILE%\Documents\GitHub\eaglep3\Utilities\RefineRTDCRunTimes.py" --tripid 212-03 --locoid 4039 --swversion DE.1.0.8.0 --startMP 204:232992 --initTime 2016-11-03T18:17:24 --startdatetime 2016-11-03T18:26:16 --delay 1 --endMP 204:160 --enddatetime 2016-11-03T19:04:43 --enforcementcount 0 &gt;&gt;C:\Users\stu\Documents\GitHub\eaglep3-reporting\EC\2016-11-03-refined-times.txt</v>
      </c>
      <c r="AI12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ID","value":"212-03"},{"id":16,"name":"Locomotive ID","value":"4039"},{"id":130,"name":"Impact","value":""},{"id":150,"name":"Time of Event (Mountain Time)","value":"19:04:43"},{"id":151,"name":"Denver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580</v>
      </c>
      <c r="B125" s="7">
        <v>4014</v>
      </c>
      <c r="C125" s="22" t="s">
        <v>245</v>
      </c>
      <c r="D125" s="22" t="s">
        <v>230</v>
      </c>
      <c r="E125" s="13">
        <v>42677.735810185186</v>
      </c>
      <c r="F125" s="13">
        <v>42677.739756944444</v>
      </c>
      <c r="G125" s="7">
        <v>1</v>
      </c>
      <c r="H125" s="22" t="s">
        <v>333</v>
      </c>
      <c r="I125" s="13">
        <v>42677.764976851853</v>
      </c>
      <c r="J125" s="7">
        <v>0</v>
      </c>
      <c r="K125" s="112" t="str">
        <f t="shared" si="28"/>
        <v>4013/4014</v>
      </c>
      <c r="L125" s="22" t="str">
        <f>VLOOKUP(A125,'Trips&amp;Operators'!$C$1:$E$10000,3,FALSE)</f>
        <v>CRAYTON</v>
      </c>
      <c r="M125" s="6">
        <f t="shared" si="29"/>
        <v>2.5219907409336884E-2</v>
      </c>
      <c r="N125" s="7">
        <f t="shared" si="44"/>
        <v>36.316666669445112</v>
      </c>
      <c r="O125" s="7"/>
      <c r="P125" s="7"/>
      <c r="Q125" s="23"/>
      <c r="R125" s="23"/>
      <c r="S125" s="35">
        <f t="shared" si="30"/>
        <v>1</v>
      </c>
      <c r="T125" s="50" t="str">
        <f t="shared" si="31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16:39:34-0600',mode:absolute,to:'2016-11-03 19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5" s="52" t="str">
        <f t="shared" si="33"/>
        <v>N</v>
      </c>
      <c r="X125" s="177">
        <f t="shared" si="45"/>
        <v>1</v>
      </c>
      <c r="Y125" s="67">
        <f t="shared" si="34"/>
        <v>4.6199999999999998E-2</v>
      </c>
      <c r="Z125" s="67">
        <f t="shared" si="35"/>
        <v>23.332699999999999</v>
      </c>
      <c r="AA125" s="67">
        <f t="shared" si="36"/>
        <v>23.2865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7"/>
        <v>0213-03</v>
      </c>
      <c r="AE125" s="91" t="str">
        <f t="shared" si="38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25" s="88" t="str">
        <f t="shared" si="39"/>
        <v>"C:\Program Files (x86)\AstroGrep\AstroGrep.exe" /spath="%USERPROFILE%\AppData\Local\Temp\OnboardLogs" /stypes="app*4014*20161104*" /stext=" 00:.+((SYSTEM_STATE.+slice.+state.+changed )|(ment ac)|(system.+state.+changed )|(\[timeout)|(PRM\|1\|D)|(kpr)|(kdp)|(\|lc)|(penalty))" /e /r /s</v>
      </c>
      <c r="AG125" s="1" t="str">
        <f t="shared" si="40"/>
        <v>EC</v>
      </c>
      <c r="AH125" s="92" t="str">
        <f t="shared" si="41"/>
        <v>"%USERPROFILE%\Documents\GitHub\eaglep3\Utilities\RefineRTDCRunTimes.py" --tripid 213-03 --locoid 4014 --swversion DE.1.0.8.0 --startMP 204:462 --initTime 2016-11-03T17:39:34 --startdatetime 2016-11-03T17:45:15 --delay 1 --endMP 204:233327 --enddatetime 2016-11-03T18:21:34 --enforcementcount 0 &gt;&gt;C:\Users\stu\Documents\GitHub\eaglep3-reporting\EC\2016-11-03-refined-times.txt</v>
      </c>
      <c r="AI12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{"issue":{"subject":"","project_id":79,"tracker_id":40,"status_id":1,"priority_id":2,"assigned_to_id":23,"start_date":"2016-11-03","description":"","custom_fields":[{"id":1,"name":"Subdivision","value":"EC"},{"id":4,"name":"Milepost","value":"23.3327"},{"id":17,"name":"Train ID","value":"213-03"},{"id":16,"name":"Locomotive ID","value":"4014"},{"id":130,"name":"Impact","value":""},{"id":150,"name":"Time of Event (Mountain Time)","value":"18:21:34"},{"id":151,"name":"Denver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592</v>
      </c>
      <c r="B126" s="7">
        <v>4013</v>
      </c>
      <c r="C126" s="22" t="s">
        <v>245</v>
      </c>
      <c r="D126" s="22" t="s">
        <v>694</v>
      </c>
      <c r="E126" s="13">
        <v>42677.770798611113</v>
      </c>
      <c r="F126" s="13">
        <v>42677.778692129628</v>
      </c>
      <c r="G126" s="7">
        <v>1</v>
      </c>
      <c r="H126" s="22" t="s">
        <v>257</v>
      </c>
      <c r="I126" s="13">
        <v>42677.805115740739</v>
      </c>
      <c r="J126" s="7">
        <v>0</v>
      </c>
      <c r="K126" s="112" t="str">
        <f t="shared" si="28"/>
        <v>4013/4014</v>
      </c>
      <c r="L126" s="22" t="str">
        <f>VLOOKUP(A126,'Trips&amp;Operators'!$C$1:$E$10000,3,FALSE)</f>
        <v>CRAYTON</v>
      </c>
      <c r="M126" s="6">
        <f t="shared" si="29"/>
        <v>2.6423611110658385E-2</v>
      </c>
      <c r="N126" s="7">
        <f t="shared" si="44"/>
        <v>38.049999999348074</v>
      </c>
      <c r="O126" s="7"/>
      <c r="P126" s="7"/>
      <c r="Q126" s="23"/>
      <c r="R126" s="23"/>
      <c r="S126" s="35">
        <f t="shared" si="30"/>
        <v>1</v>
      </c>
      <c r="T126" s="50" t="str">
        <f t="shared" si="31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17:29:57-0600',mode:absolute,to:'2016-11-03 20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6" s="52" t="str">
        <f t="shared" si="33"/>
        <v>N</v>
      </c>
      <c r="X126" s="177">
        <f t="shared" si="45"/>
        <v>1</v>
      </c>
      <c r="Y126" s="67">
        <f t="shared" si="34"/>
        <v>23.300999999999998</v>
      </c>
      <c r="Z126" s="67">
        <f t="shared" si="35"/>
        <v>1.3599999999999999E-2</v>
      </c>
      <c r="AA126" s="67">
        <f t="shared" si="36"/>
        <v>23.287399999999998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7"/>
        <v>0214-03</v>
      </c>
      <c r="AE126" s="91" t="str">
        <f t="shared" si="38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126" s="88" t="str">
        <f t="shared" si="39"/>
        <v>"C:\Program Files (x86)\AstroGrep\AstroGrep.exe" /spath="%USERPROFILE%\AppData\Local\Temp\OnboardLogs" /stypes="app*4013*20161104*" /stext=" 01:.+((SYSTEM_STATE.+slice.+state.+changed )|(ment ac)|(system.+state.+changed )|(\[timeout)|(PRM\|1\|D)|(kpr)|(kdp)|(\|lc)|(penalty))" /e /r /s</v>
      </c>
      <c r="AG126" s="1" t="str">
        <f t="shared" si="40"/>
        <v>EC</v>
      </c>
      <c r="AH126" s="92" t="str">
        <f t="shared" si="41"/>
        <v>"%USERPROFILE%\Documents\GitHub\eaglep3\Utilities\RefineRTDCRunTimes.py" --tripid 214-03 --locoid 4013 --swversion DE.1.0.8.0 --startMP 204:233010 --initTime 2016-11-03T18:29:57 --startdatetime 2016-11-03T18:41:19 --delay 1 --endMP 204:136 --enddatetime 2016-11-03T19:19:22 --enforcementcount 0 &gt;&gt;C:\Users\stu\Documents\GitHub\eaglep3-reporting\EC\2016-11-03-refined-times.txt</v>
      </c>
      <c r="AI12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{"issue":{"subject":"","project_id":79,"tracker_id":40,"status_id":1,"priority_id":2,"assigned_to_id":23,"start_date":"2016-11-03","description":"","custom_fields":[{"id":1,"name":"Subdivision","value":"EC"},{"id":4,"name":"Milepost","value":"0.0136"},{"id":17,"name":"Train ID","value":"214-03"},{"id":16,"name":"Locomotive ID","value":"4013"},{"id":130,"name":"Impact","value":""},{"id":150,"name":"Time of Event (Mountain Time)","value":"19:19:22"},{"id":151,"name":"Denver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583</v>
      </c>
      <c r="B127" s="7">
        <v>4042</v>
      </c>
      <c r="C127" s="22" t="s">
        <v>245</v>
      </c>
      <c r="D127" s="22" t="s">
        <v>235</v>
      </c>
      <c r="E127" s="13">
        <v>42677.748333333337</v>
      </c>
      <c r="F127" s="13">
        <v>42677.750254629631</v>
      </c>
      <c r="G127" s="7">
        <v>1</v>
      </c>
      <c r="H127" s="22" t="s">
        <v>658</v>
      </c>
      <c r="I127" s="13">
        <v>42677.775219907409</v>
      </c>
      <c r="J127" s="7">
        <v>0</v>
      </c>
      <c r="K127" s="112" t="str">
        <f t="shared" si="28"/>
        <v>4041/4042</v>
      </c>
      <c r="L127" s="22" t="str">
        <f>VLOOKUP(A127,'Trips&amp;Operators'!$C$1:$E$10000,3,FALSE)</f>
        <v>MACDONALD</v>
      </c>
      <c r="M127" s="6">
        <f t="shared" si="29"/>
        <v>2.4965277778392192E-2</v>
      </c>
      <c r="N127" s="7">
        <f t="shared" ref="N127:N158" si="46">24*60*SUM($M127:$M127)</f>
        <v>35.950000000884756</v>
      </c>
      <c r="O127" s="7"/>
      <c r="P127" s="7"/>
      <c r="Q127" s="23"/>
      <c r="R127" s="23"/>
      <c r="S127" s="35">
        <f t="shared" si="30"/>
        <v>1</v>
      </c>
      <c r="T127" s="50" t="str">
        <f t="shared" si="31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16:57:36-0600',mode:absolute,to:'2016-11-03 19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33"/>
        <v>N</v>
      </c>
      <c r="X127" s="177">
        <f t="shared" si="45"/>
        <v>1</v>
      </c>
      <c r="Y127" s="67">
        <f t="shared" si="34"/>
        <v>4.5699999999999998E-2</v>
      </c>
      <c r="Z127" s="67">
        <f t="shared" si="35"/>
        <v>23.328600000000002</v>
      </c>
      <c r="AA127" s="67">
        <f t="shared" si="36"/>
        <v>23.282900000000001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7"/>
        <v>0215-03</v>
      </c>
      <c r="AE127" s="91" t="str">
        <f t="shared" si="38"/>
        <v>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 &amp; 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</v>
      </c>
      <c r="AF127" s="88" t="str">
        <f t="shared" si="39"/>
        <v>"C:\Program Files (x86)\AstroGrep\AstroGrep.exe" /spath="%USERPROFILE%\AppData\Local\Temp\OnboardLogs" /stypes="app*4042*20161104*" /stext=" 00:.+((SYSTEM_STATE.+slice.+state.+changed )|(ment ac)|(system.+state.+changed )|(\[timeout)|(PRM\|1\|D)|(kpr)|(kdp)|(\|lc)|(penalty))" /e /r /s</v>
      </c>
      <c r="AG127" s="1" t="str">
        <f t="shared" si="40"/>
        <v>EC</v>
      </c>
      <c r="AH127" s="92" t="str">
        <f t="shared" si="41"/>
        <v>"%USERPROFILE%\Documents\GitHub\eaglep3\Utilities\RefineRTDCRunTimes.py" --tripid 215-03 --locoid 4042 --swversion DE.1.0.8.0 --startMP 204:457 --initTime 2016-11-03T17:57:36 --startdatetime 2016-11-03T18:00:22 --delay 1 --endMP 204:233286 --enddatetime 2016-11-03T18:36:19 --enforcementcount 0 &gt;&gt;C:\Users\stu\Documents\GitHub\eaglep3-reporting\EC\2016-11-03-refined-times.txt</v>
      </c>
      <c r="AI12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{"issue":{"subject":"","project_id":79,"tracker_id":40,"status_id":1,"priority_id":2,"assigned_to_id":23,"start_date":"2016-11-03","description":"","custom_fields":[{"id":1,"name":"Subdivision","value":"EC"},{"id":4,"name":"Milepost","value":"23.3286"},{"id":17,"name":"Train ID","value":"215-03"},{"id":16,"name":"Locomotive ID","value":"4042"},{"id":130,"name":"Impact","value":""},{"id":150,"name":"Time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4041</v>
      </c>
      <c r="C128" s="22" t="s">
        <v>245</v>
      </c>
      <c r="D128" s="22" t="s">
        <v>695</v>
      </c>
      <c r="E128" s="13">
        <v>42677.784907407404</v>
      </c>
      <c r="F128" s="13">
        <v>42677.789317129631</v>
      </c>
      <c r="G128" s="7">
        <v>1</v>
      </c>
      <c r="H128" s="22" t="s">
        <v>640</v>
      </c>
      <c r="I128" s="13">
        <v>42677.815601851849</v>
      </c>
      <c r="J128" s="7">
        <v>0</v>
      </c>
      <c r="K128" s="112" t="str">
        <f t="shared" si="28"/>
        <v>4041/4042</v>
      </c>
      <c r="L128" s="22" t="str">
        <f>VLOOKUP(A128,'Trips&amp;Operators'!$C$1:$E$10000,3,FALSE)</f>
        <v>MACDONALD</v>
      </c>
      <c r="M128" s="6">
        <f t="shared" si="29"/>
        <v>2.6284722218406387E-2</v>
      </c>
      <c r="N128" s="7">
        <f t="shared" si="46"/>
        <v>37.849999994505197</v>
      </c>
      <c r="O128" s="7"/>
      <c r="P128" s="7"/>
      <c r="Q128" s="23"/>
      <c r="R128" s="23"/>
      <c r="S128" s="35">
        <f t="shared" si="30"/>
        <v>1</v>
      </c>
      <c r="T128" s="50" t="str">
        <f t="shared" si="31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17:50:16-0600',mode:absolute,to:'2016-11-03 20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33"/>
        <v>N</v>
      </c>
      <c r="X128" s="177">
        <f t="shared" si="45"/>
        <v>1</v>
      </c>
      <c r="Y128" s="67">
        <f t="shared" si="34"/>
        <v>23.2959</v>
      </c>
      <c r="Z128" s="67">
        <f t="shared" si="35"/>
        <v>1.4999999999999999E-2</v>
      </c>
      <c r="AA128" s="67">
        <f t="shared" si="36"/>
        <v>23.280899999999999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7"/>
        <v>0216-03</v>
      </c>
      <c r="AE128" s="91" t="str">
        <f t="shared" si="38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128" s="88" t="str">
        <f t="shared" si="39"/>
        <v>"C:\Program Files (x86)\AstroGrep\AstroGrep.exe" /spath="%USERPROFILE%\AppData\Local\Temp\OnboardLogs" /stypes="app*4041*20161104*" /stext=" 01:.+((SYSTEM_STATE.+slice.+state.+changed )|(ment ac)|(system.+state.+changed )|(\[timeout)|(PRM\|1\|D)|(kpr)|(kdp)|(\|lc)|(penalty))" /e /r /s</v>
      </c>
      <c r="AG128" s="1" t="str">
        <f t="shared" si="40"/>
        <v>EC</v>
      </c>
      <c r="AH128" s="92" t="str">
        <f t="shared" si="41"/>
        <v>"%USERPROFILE%\Documents\GitHub\eaglep3\Utilities\RefineRTDCRunTimes.py" --tripid 216-03 --locoid 4041 --swversion DE.1.0.8.0 --startMP 204:232959 --initTime 2016-11-03T18:50:16 --startdatetime 2016-11-03T18:56:37 --delay 1 --endMP 204:150 --enddatetime 2016-11-03T19:34:28 --enforcementcount 0 &gt;&gt;C:\Users\stu\Documents\GitHub\eaglep3-reporting\EC\2016-11-03-refined-times.txt</v>
      </c>
      <c r="AI12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ID","value":"216-03"},{"id":16,"name":"Locomotive ID","value":"4041"},{"id":130,"name":"Impact","value":""},{"id":150,"name":"Time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587</v>
      </c>
      <c r="B129" s="7">
        <v>4016</v>
      </c>
      <c r="C129" s="22" t="s">
        <v>245</v>
      </c>
      <c r="D129" s="22" t="s">
        <v>696</v>
      </c>
      <c r="E129" s="13">
        <v>42677.755312499998</v>
      </c>
      <c r="F129" s="13">
        <v>42677.760613425926</v>
      </c>
      <c r="G129" s="7">
        <v>1</v>
      </c>
      <c r="H129" s="22" t="s">
        <v>697</v>
      </c>
      <c r="I129" s="13">
        <v>42677.786111111112</v>
      </c>
      <c r="J129" s="7">
        <v>0</v>
      </c>
      <c r="K129" s="112" t="str">
        <f t="shared" si="28"/>
        <v>4015/4016</v>
      </c>
      <c r="L129" s="22" t="str">
        <f>VLOOKUP(A129,'Trips&amp;Operators'!$C$1:$E$10000,3,FALSE)</f>
        <v>LEVIN</v>
      </c>
      <c r="M129" s="6">
        <f t="shared" si="29"/>
        <v>2.5497685186564922E-2</v>
      </c>
      <c r="N129" s="7">
        <f t="shared" si="46"/>
        <v>36.716666668653488</v>
      </c>
      <c r="O129" s="7"/>
      <c r="P129" s="7"/>
      <c r="Q129" s="23"/>
      <c r="R129" s="23"/>
      <c r="S129" s="35">
        <f t="shared" si="30"/>
        <v>1</v>
      </c>
      <c r="T129" s="50" t="str">
        <f t="shared" si="31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17:07:39-0600',mode:absolute,to:'2016-11-03 19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 t="shared" si="33"/>
        <v>N</v>
      </c>
      <c r="X129" s="177">
        <f t="shared" si="45"/>
        <v>1</v>
      </c>
      <c r="Y129" s="67">
        <f t="shared" si="34"/>
        <v>4.2700000000000002E-2</v>
      </c>
      <c r="Z129" s="67">
        <f t="shared" si="35"/>
        <v>23.327400000000001</v>
      </c>
      <c r="AA129" s="67">
        <f t="shared" si="36"/>
        <v>23.284700000000001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7"/>
        <v>0217-03</v>
      </c>
      <c r="AE129" s="91" t="str">
        <f t="shared" si="38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29" s="88" t="str">
        <f t="shared" si="39"/>
        <v>"C:\Program Files (x86)\AstroGrep\AstroGrep.exe" /spath="%USERPROFILE%\AppData\Local\Temp\OnboardLogs" /stypes="app*4016*20161104*" /stext=" 00:.+((SYSTEM_STATE.+slice.+state.+changed )|(ment ac)|(system.+state.+changed )|(\[timeout)|(PRM\|1\|D)|(kpr)|(kdp)|(\|lc)|(penalty))" /e /r /s</v>
      </c>
      <c r="AG129" s="1" t="str">
        <f t="shared" si="40"/>
        <v>EC</v>
      </c>
      <c r="AH129" s="92" t="str">
        <f t="shared" si="41"/>
        <v>"%USERPROFILE%\Documents\GitHub\eaglep3\Utilities\RefineRTDCRunTimes.py" --tripid 217-03 --locoid 4016 --swversion DE.1.0.8.0 --startMP 204:427 --initTime 2016-11-03T18:07:39 --startdatetime 2016-11-03T18:15:17 --delay 1 --endMP 204:233274 --enddatetime 2016-11-03T18:52:00 --enforcementcount 0 &gt;&gt;C:\Users\stu\Documents\GitHub\eaglep3-reporting\EC\2016-11-03-refined-times.txt</v>
      </c>
      <c r="AI12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{"issue":{"subject":"","project_id":79,"tracker_id":40,"status_id":1,"priority_id":2,"assigned_to_id":23,"start_date":"2016-11-03","description":"","custom_fields":[{"id":1,"name":"Subdivision","value":"EC"},{"id":4,"name":"Milepost","value":"23.3274"},{"id":17,"name":"Train ID","value":"217-03"},{"id":16,"name":"Locomotive ID","value":"4016"},{"id":130,"name":"Impact","value":""},{"id":150,"name":"Time of Event (Mountain Time)","value":"18:52:00"},{"id":151,"name":"Denver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442</v>
      </c>
      <c r="B130" s="7">
        <v>4015</v>
      </c>
      <c r="C130" s="22" t="s">
        <v>245</v>
      </c>
      <c r="D130" s="22" t="s">
        <v>698</v>
      </c>
      <c r="E130" s="13">
        <v>42677.788449074076</v>
      </c>
      <c r="F130" s="13">
        <v>42677.799502314818</v>
      </c>
      <c r="G130" s="7">
        <v>1</v>
      </c>
      <c r="H130" s="22" t="s">
        <v>638</v>
      </c>
      <c r="I130" s="13">
        <v>42677.825879629629</v>
      </c>
      <c r="J130" s="7">
        <v>0</v>
      </c>
      <c r="K130" s="112" t="str">
        <f t="shared" si="28"/>
        <v>4015/4016</v>
      </c>
      <c r="L130" s="22" t="str">
        <f>VLOOKUP(A130,'Trips&amp;Operators'!$C$1:$E$10000,3,FALSE)</f>
        <v>LEVIN</v>
      </c>
      <c r="M130" s="6">
        <f t="shared" si="29"/>
        <v>2.6377314810815733E-2</v>
      </c>
      <c r="N130" s="7">
        <f t="shared" si="46"/>
        <v>37.983333327574655</v>
      </c>
      <c r="O130" s="7"/>
      <c r="P130" s="7"/>
      <c r="Q130" s="23"/>
      <c r="R130" s="23"/>
      <c r="S130" s="35">
        <f t="shared" si="30"/>
        <v>1</v>
      </c>
      <c r="T130" s="50" t="str">
        <f t="shared" si="31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17:55:22-0600',mode:absolute,to:'2016-11-03 20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 t="shared" si="33"/>
        <v>N</v>
      </c>
      <c r="X130" s="177">
        <f t="shared" si="45"/>
        <v>1</v>
      </c>
      <c r="Y130" s="67">
        <f t="shared" si="34"/>
        <v>23.295999999999999</v>
      </c>
      <c r="Z130" s="67">
        <f t="shared" si="35"/>
        <v>1.6E-2</v>
      </c>
      <c r="AA130" s="67">
        <f t="shared" si="36"/>
        <v>23.28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7"/>
        <v>0218-03</v>
      </c>
      <c r="AE130" s="91" t="str">
        <f t="shared" si="38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130" s="88" t="str">
        <f t="shared" si="39"/>
        <v>"C:\Program Files (x86)\AstroGrep\AstroGrep.exe" /spath="%USERPROFILE%\AppData\Local\Temp\OnboardLogs" /stypes="app*4015*20161104*" /stext=" 01:.+((SYSTEM_STATE.+slice.+state.+changed )|(ment ac)|(system.+state.+changed )|(\[timeout)|(PRM\|1\|D)|(kpr)|(kdp)|(\|lc)|(penalty))" /e /r /s</v>
      </c>
      <c r="AG130" s="1" t="str">
        <f t="shared" si="40"/>
        <v>EC</v>
      </c>
      <c r="AH130" s="92" t="str">
        <f t="shared" si="41"/>
        <v>"%USERPROFILE%\Documents\GitHub\eaglep3\Utilities\RefineRTDCRunTimes.py" --tripid 218-03 --locoid 4015 --swversion DE.1.0.8.0 --startMP 204:232960 --initTime 2016-11-03T18:55:22 --startdatetime 2016-11-03T19:11:17 --delay 1 --endMP 204:160 --enddatetime 2016-11-03T19:49:16 --enforcementcount 0 &gt;&gt;C:\Users\stu\Documents\GitHub\eaglep3-reporting\EC\2016-11-03-refined-times.txt</v>
      </c>
      <c r="AI13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{"issue":{"subject":"","project_id":79,"tracker_id":40,"status_id":1,"priority_id":2,"assigned_to_id":23,"start_date":"2016-11-03","description":"","custom_fields":[{"id":1,"name":"Subdivision","value":"EC"},{"id":4,"name":"Milepost","value":"0.016"},{"id":17,"name":"Train ID","value":"218-03"},{"id":16,"name":"Locomotive ID","value":"4015"},{"id":130,"name":"Impact","value":""},{"id":150,"name":"Time of Event (Mountain Time)","value":"19:49:16"},{"id":151,"name":"Denver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591</v>
      </c>
      <c r="B131" s="7">
        <v>4025</v>
      </c>
      <c r="C131" s="22" t="s">
        <v>245</v>
      </c>
      <c r="D131" s="22" t="s">
        <v>214</v>
      </c>
      <c r="E131" s="13">
        <v>42677.770150462966</v>
      </c>
      <c r="F131" s="13">
        <v>42677.771666666667</v>
      </c>
      <c r="G131" s="7">
        <v>1</v>
      </c>
      <c r="H131" s="22" t="s">
        <v>241</v>
      </c>
      <c r="I131" s="13">
        <v>42677.795543981483</v>
      </c>
      <c r="J131" s="7">
        <v>0</v>
      </c>
      <c r="K131" s="112" t="str">
        <f t="shared" si="28"/>
        <v>4025/4026</v>
      </c>
      <c r="L131" s="22" t="str">
        <f>VLOOKUP(A131,'Trips&amp;Operators'!$C$1:$E$10000,3,FALSE)</f>
        <v>STAMBAUGH</v>
      </c>
      <c r="M131" s="6">
        <f t="shared" si="29"/>
        <v>2.3877314815763384E-2</v>
      </c>
      <c r="N131" s="7">
        <f t="shared" si="46"/>
        <v>34.383333334699273</v>
      </c>
      <c r="O131" s="7"/>
      <c r="P131" s="7"/>
      <c r="Q131" s="23"/>
      <c r="R131" s="23"/>
      <c r="S131" s="35">
        <f t="shared" si="30"/>
        <v>1</v>
      </c>
      <c r="T131" s="50" t="str">
        <f t="shared" si="31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17:29:01-0600',mode:absolute,to:'2016-11-03 20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33"/>
        <v>N</v>
      </c>
      <c r="X131" s="177">
        <f t="shared" si="45"/>
        <v>1</v>
      </c>
      <c r="Y131" s="67">
        <f t="shared" si="34"/>
        <v>4.5100000000000001E-2</v>
      </c>
      <c r="Z131" s="67">
        <f t="shared" si="35"/>
        <v>23.330100000000002</v>
      </c>
      <c r="AA131" s="67">
        <f t="shared" si="36"/>
        <v>23.285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7"/>
        <v>0219-03</v>
      </c>
      <c r="AE131" s="91" t="str">
        <f t="shared" si="38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31" s="88" t="str">
        <f t="shared" si="39"/>
        <v>"C:\Program Files (x86)\AstroGrep\AstroGrep.exe" /spath="%USERPROFILE%\AppData\Local\Temp\OnboardLogs" /stypes="app*4025*20161104*" /stext=" 01:.+((SYSTEM_STATE.+slice.+state.+changed )|(ment ac)|(system.+state.+changed )|(\[timeout)|(PRM\|1\|D)|(kpr)|(kdp)|(\|lc)|(penalty))" /e /r /s</v>
      </c>
      <c r="AG131" s="1" t="str">
        <f t="shared" si="40"/>
        <v>EC</v>
      </c>
      <c r="AH131" s="92" t="str">
        <f t="shared" si="41"/>
        <v>"%USERPROFILE%\Documents\GitHub\eaglep3\Utilities\RefineRTDCRunTimes.py" --tripid 219-03 --locoid 4025 --swversion DE.1.0.8.0 --startMP 204:451 --initTime 2016-11-03T18:29:01 --startdatetime 2016-11-03T18:31:12 --delay 1 --endMP 204:233301 --enddatetime 2016-11-03T19:05:35 --enforcementcount 0 &gt;&gt;C:\Users\stu\Documents\GitHub\eaglep3-reporting\EC\2016-11-03-refined-times.txt</v>
      </c>
      <c r="AI13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{"issue":{"subject":"","project_id":79,"tracker_id":40,"status_id":1,"priority_id":2,"assigned_to_id":23,"start_date":"2016-11-03","description":"","custom_fields":[{"id":1,"name":"Subdivision","value":"EC"},{"id":4,"name":"Milepost","value":"23.3301"},{"id":17,"name":"Train ID","value":"219-03"},{"id":16,"name":"Locomotive ID","value":"4025"},{"id":130,"name":"Impact","value":""},{"id":150,"name":"Time of Event (Mountain Time)","value":"19:05:35"},{"id":151,"name":"Denver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598</v>
      </c>
      <c r="B132" s="7">
        <v>4026</v>
      </c>
      <c r="C132" s="22" t="s">
        <v>245</v>
      </c>
      <c r="D132" s="22" t="s">
        <v>223</v>
      </c>
      <c r="E132" s="13">
        <v>42677.797569444447</v>
      </c>
      <c r="F132" s="13">
        <v>42677.81040509259</v>
      </c>
      <c r="G132" s="7">
        <v>1</v>
      </c>
      <c r="H132" s="22" t="s">
        <v>207</v>
      </c>
      <c r="I132" s="13">
        <v>42677.835324074076</v>
      </c>
      <c r="J132" s="7">
        <v>0</v>
      </c>
      <c r="K132" s="112" t="str">
        <f t="shared" si="28"/>
        <v>4025/4026</v>
      </c>
      <c r="L132" s="22" t="str">
        <f>VLOOKUP(A132,'Trips&amp;Operators'!$C$1:$E$10000,3,FALSE)</f>
        <v>STAMBAUGH</v>
      </c>
      <c r="M132" s="6">
        <f t="shared" si="29"/>
        <v>2.4918981485825498E-2</v>
      </c>
      <c r="N132" s="7">
        <f t="shared" si="46"/>
        <v>35.883333339588717</v>
      </c>
      <c r="O132" s="7"/>
      <c r="P132" s="7"/>
      <c r="Q132" s="23"/>
      <c r="R132" s="23"/>
      <c r="S132" s="35">
        <f t="shared" si="30"/>
        <v>1</v>
      </c>
      <c r="T132" s="50" t="str">
        <f t="shared" si="31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18:08:30-0600',mode:absolute,to:'2016-11-03 21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33"/>
        <v>N</v>
      </c>
      <c r="X132" s="177">
        <f t="shared" si="45"/>
        <v>1</v>
      </c>
      <c r="Y132" s="67">
        <f t="shared" si="34"/>
        <v>23.297699999999999</v>
      </c>
      <c r="Z132" s="67">
        <f t="shared" si="35"/>
        <v>1.43E-2</v>
      </c>
      <c r="AA132" s="67">
        <f t="shared" si="36"/>
        <v>23.2834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7"/>
        <v>0220-03</v>
      </c>
      <c r="AE132" s="91" t="str">
        <f t="shared" si="38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132" s="88" t="str">
        <f t="shared" si="39"/>
        <v>"C:\Program Files (x86)\AstroGrep\AstroGrep.exe" /spath="%USERPROFILE%\AppData\Local\Temp\OnboardLogs" /stypes="app*4026*20161104*" /stext=" 02:.+((SYSTEM_STATE.+slice.+state.+changed )|(ment ac)|(system.+state.+changed )|(\[timeout)|(PRM\|1\|D)|(kpr)|(kdp)|(\|lc)|(penalty))" /e /r /s</v>
      </c>
      <c r="AG132" s="1" t="str">
        <f t="shared" si="40"/>
        <v>EC</v>
      </c>
      <c r="AH132" s="92" t="str">
        <f t="shared" si="41"/>
        <v>"%USERPROFILE%\Documents\GitHub\eaglep3\Utilities\RefineRTDCRunTimes.py" --tripid 220-03 --locoid 4026 --swversion DE.1.0.8.0 --startMP 204:232977 --initTime 2016-11-03T19:08:30 --startdatetime 2016-11-03T19:26:59 --delay 1 --endMP 204:143 --enddatetime 2016-11-03T20:02:52 --enforcementcount 0 &gt;&gt;C:\Users\stu\Documents\GitHub\eaglep3-reporting\EC\2016-11-03-refined-times.txt</v>
      </c>
      <c r="AI132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ID","value":"220-03"},{"id":16,"name":"Locomotive ID","value":"4026"},{"id":130,"name":"Impact","value":""},{"id":150,"name":"Time of Event (Mountain Time)","value":"20:02:52"},{"id":151,"name":"Denver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596</v>
      </c>
      <c r="B133" s="7">
        <v>4031</v>
      </c>
      <c r="C133" s="22" t="s">
        <v>245</v>
      </c>
      <c r="D133" s="22" t="s">
        <v>214</v>
      </c>
      <c r="E133" s="13">
        <v>42677.785891203705</v>
      </c>
      <c r="F133" s="13">
        <v>42677.791851851849</v>
      </c>
      <c r="G133" s="7">
        <v>1</v>
      </c>
      <c r="H133" s="22" t="s">
        <v>232</v>
      </c>
      <c r="I133" s="13">
        <v>42677.816655092596</v>
      </c>
      <c r="J133" s="7">
        <v>0</v>
      </c>
      <c r="K133" s="112" t="str">
        <f t="shared" si="28"/>
        <v>4031/4032</v>
      </c>
      <c r="L133" s="22" t="str">
        <f>VLOOKUP(A133,'Trips&amp;Operators'!$C$1:$E$10000,3,FALSE)</f>
        <v>JOHNSON</v>
      </c>
      <c r="M133" s="6">
        <f t="shared" si="29"/>
        <v>2.4803240747132804E-2</v>
      </c>
      <c r="N133" s="7">
        <f t="shared" si="46"/>
        <v>35.716666675871238</v>
      </c>
      <c r="O133" s="7"/>
      <c r="P133" s="7"/>
      <c r="Q133" s="23"/>
      <c r="R133" s="23"/>
      <c r="S133" s="35">
        <f t="shared" si="30"/>
        <v>1</v>
      </c>
      <c r="T133" s="50" t="str">
        <f t="shared" si="31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17:51:41-0600',mode:absolute,to:'2016-11-03 20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3" s="52" t="str">
        <f t="shared" si="33"/>
        <v>N</v>
      </c>
      <c r="X133" s="177">
        <f t="shared" si="45"/>
        <v>1</v>
      </c>
      <c r="Y133" s="67">
        <f t="shared" si="34"/>
        <v>4.5100000000000001E-2</v>
      </c>
      <c r="Z133" s="67">
        <f t="shared" si="35"/>
        <v>23.3291</v>
      </c>
      <c r="AA133" s="67">
        <f t="shared" si="36"/>
        <v>23.283999999999999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7"/>
        <v>0221-03</v>
      </c>
      <c r="AE133" s="91" t="str">
        <f t="shared" si="38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33" s="88" t="str">
        <f t="shared" si="39"/>
        <v>"C:\Program Files (x86)\AstroGrep\AstroGrep.exe" /spath="%USERPROFILE%\AppData\Local\Temp\OnboardLogs" /stypes="app*4031*20161104*" /stext=" 01:.+((SYSTEM_STATE.+slice.+state.+changed )|(ment ac)|(system.+state.+changed )|(\[timeout)|(PRM\|1\|D)|(kpr)|(kdp)|(\|lc)|(penalty))" /e /r /s</v>
      </c>
      <c r="AG133" s="1" t="str">
        <f t="shared" si="40"/>
        <v>EC</v>
      </c>
      <c r="AH133" s="92" t="str">
        <f t="shared" si="41"/>
        <v>"%USERPROFILE%\Documents\GitHub\eaglep3\Utilities\RefineRTDCRunTimes.py" --tripid 221-03 --locoid 4031 --swversion DE.1.0.8.0 --startMP 204:451 --initTime 2016-11-03T18:51:41 --startdatetime 2016-11-03T19:00:16 --delay 1 --endMP 204:233291 --enddatetime 2016-11-03T19:35:59 --enforcementcount 0 &gt;&gt;C:\Users\stu\Documents\GitHub\eaglep3-reporting\EC\2016-11-03-refined-times.txt</v>
      </c>
      <c r="AI133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{"issue":{"subject":"","project_id":79,"tracker_id":40,"status_id":1,"priority_id":2,"assigned_to_id":23,"start_date":"2016-11-03","description":"","custom_fields":[{"id":1,"name":"Subdivision","value":"EC"},{"id":4,"name":"Milepost","value":"23.3291"},{"id":17,"name":"Train ID","value":"221-03"},{"id":16,"name":"Locomotive ID","value":"4031"},{"id":130,"name":"Impact","value":""},{"id":150,"name":"Time of Event (Mountain Time)","value":"19:35:59"},{"id":151,"name":"Denver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603</v>
      </c>
      <c r="B134" s="7">
        <v>4032</v>
      </c>
      <c r="C134" s="22" t="s">
        <v>245</v>
      </c>
      <c r="D134" s="22" t="s">
        <v>248</v>
      </c>
      <c r="E134" s="13">
        <v>42677.825381944444</v>
      </c>
      <c r="F134" s="13">
        <v>42677.83079861111</v>
      </c>
      <c r="G134" s="7">
        <v>1</v>
      </c>
      <c r="H134" s="22" t="s">
        <v>699</v>
      </c>
      <c r="I134" s="13">
        <v>42677.857916666668</v>
      </c>
      <c r="J134" s="7">
        <v>0</v>
      </c>
      <c r="K134" s="112" t="str">
        <f t="shared" si="28"/>
        <v>4031/4032</v>
      </c>
      <c r="L134" s="22" t="str">
        <f>VLOOKUP(A134,'Trips&amp;Operators'!$C$1:$E$10000,3,FALSE)</f>
        <v>JOHNSON</v>
      </c>
      <c r="M134" s="6">
        <f t="shared" si="29"/>
        <v>2.7118055557366461E-2</v>
      </c>
      <c r="N134" s="7">
        <f t="shared" si="46"/>
        <v>39.050000002607703</v>
      </c>
      <c r="O134" s="7"/>
      <c r="P134" s="7"/>
      <c r="Q134" s="23"/>
      <c r="R134" s="23"/>
      <c r="S134" s="35">
        <f t="shared" si="30"/>
        <v>1</v>
      </c>
      <c r="T134" s="50" t="str">
        <f t="shared" si="31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18:48:33-0600',mode:absolute,to:'2016-11-03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4" s="52" t="str">
        <f t="shared" si="33"/>
        <v>N</v>
      </c>
      <c r="X134" s="177">
        <f t="shared" si="45"/>
        <v>1</v>
      </c>
      <c r="Y134" s="67">
        <f t="shared" si="34"/>
        <v>23.298300000000001</v>
      </c>
      <c r="Z134" s="67">
        <f t="shared" si="35"/>
        <v>1.23E-2</v>
      </c>
      <c r="AA134" s="67">
        <f t="shared" si="36"/>
        <v>23.286000000000001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7"/>
        <v>0222-03</v>
      </c>
      <c r="AE134" s="91" t="str">
        <f t="shared" si="38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134" s="88" t="str">
        <f t="shared" si="39"/>
        <v>"C:\Program Files (x86)\AstroGrep\AstroGrep.exe" /spath="%USERPROFILE%\AppData\Local\Temp\OnboardLogs" /stypes="app*4032*20161104*" /stext=" 02:.+((SYSTEM_STATE.+slice.+state.+changed )|(ment ac)|(system.+state.+changed )|(\[timeout)|(PRM\|1\|D)|(kpr)|(kdp)|(\|lc)|(penalty))" /e /r /s</v>
      </c>
      <c r="AG134" s="1" t="str">
        <f t="shared" si="40"/>
        <v>EC</v>
      </c>
      <c r="AH134" s="92" t="str">
        <f t="shared" si="41"/>
        <v>"%USERPROFILE%\Documents\GitHub\eaglep3\Utilities\RefineRTDCRunTimes.py" --tripid 222-03 --locoid 4032 --swversion DE.1.0.8.0 --startMP 204:232983 --initTime 2016-11-03T19:48:33 --startdatetime 2016-11-03T19:56:21 --delay 1 --endMP 204:123 --enddatetime 2016-11-03T20:35:24 --enforcementcount 0 &gt;&gt;C:\Users\stu\Documents\GitHub\eaglep3-reporting\EC\2016-11-03-refined-times.txt</v>
      </c>
      <c r="AI134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{"issue":{"subject":"","project_id":79,"tracker_id":40,"status_id":1,"priority_id":2,"assigned_to_id":23,"start_date":"2016-11-03","description":"","custom_fields":[{"id":1,"name":"Subdivision","value":"EC"},{"id":4,"name":"Milepost","value":"0.0123"},{"id":17,"name":"Train ID","value":"222-03"},{"id":16,"name":"Locomotive ID","value":"4032"},{"id":130,"name":"Impact","value":""},{"id":150,"name":"Time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601</v>
      </c>
      <c r="B135" s="7">
        <v>4014</v>
      </c>
      <c r="C135" s="22" t="s">
        <v>245</v>
      </c>
      <c r="D135" s="22" t="s">
        <v>228</v>
      </c>
      <c r="E135" s="13">
        <v>42677.806967592594</v>
      </c>
      <c r="F135" s="13">
        <v>42677.812662037039</v>
      </c>
      <c r="G135" s="7">
        <v>1</v>
      </c>
      <c r="H135" s="22" t="s">
        <v>191</v>
      </c>
      <c r="I135" s="13">
        <v>42677.837453703702</v>
      </c>
      <c r="J135" s="7">
        <v>0</v>
      </c>
      <c r="K135" s="112" t="str">
        <f t="shared" si="28"/>
        <v>4013/4014</v>
      </c>
      <c r="L135" s="22" t="str">
        <f>VLOOKUP(A135,'Trips&amp;Operators'!$C$1:$E$10000,3,FALSE)</f>
        <v>CRAYTON</v>
      </c>
      <c r="M135" s="6">
        <f t="shared" si="29"/>
        <v>2.4791666663077194E-2</v>
      </c>
      <c r="N135" s="7">
        <f t="shared" si="46"/>
        <v>35.69999999483116</v>
      </c>
      <c r="O135" s="7"/>
      <c r="P135" s="7"/>
      <c r="Q135" s="23"/>
      <c r="R135" s="23"/>
      <c r="S135" s="35">
        <f t="shared" si="30"/>
        <v>1</v>
      </c>
      <c r="T135" s="50" t="str">
        <f t="shared" si="31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18:22:02-0600',mode:absolute,to:'2016-11-03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2" t="str">
        <f t="shared" si="33"/>
        <v>N</v>
      </c>
      <c r="X135" s="177">
        <f t="shared" si="45"/>
        <v>1</v>
      </c>
      <c r="Y135" s="67">
        <f t="shared" si="34"/>
        <v>4.4900000000000002E-2</v>
      </c>
      <c r="Z135" s="67">
        <f t="shared" si="35"/>
        <v>23.329699999999999</v>
      </c>
      <c r="AA135" s="67">
        <f t="shared" si="36"/>
        <v>23.284800000000001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7"/>
        <v>0223-03</v>
      </c>
      <c r="AE135" s="91" t="str">
        <f t="shared" si="38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35" s="88" t="str">
        <f t="shared" si="39"/>
        <v>"C:\Program Files (x86)\AstroGrep\AstroGrep.exe" /spath="%USERPROFILE%\AppData\Local\Temp\OnboardLogs" /stypes="app*4014*20161104*" /stext=" 02:.+((SYSTEM_STATE.+slice.+state.+changed )|(ment ac)|(system.+state.+changed )|(\[timeout)|(PRM\|1\|D)|(kpr)|(kdp)|(\|lc)|(penalty))" /e /r /s</v>
      </c>
      <c r="AG135" s="1" t="str">
        <f t="shared" si="40"/>
        <v>EC</v>
      </c>
      <c r="AH135" s="92" t="str">
        <f t="shared" si="41"/>
        <v>"%USERPROFILE%\Documents\GitHub\eaglep3\Utilities\RefineRTDCRunTimes.py" --tripid 223-03 --locoid 4014 --swversion DE.1.0.8.0 --startMP 204:449 --initTime 2016-11-03T19:22:02 --startdatetime 2016-11-03T19:30:14 --delay 1 --endMP 204:233297 --enddatetime 2016-11-03T20:05:56 --enforcementcount 0 &gt;&gt;C:\Users\stu\Documents\GitHub\eaglep3-reporting\EC\2016-11-03-refined-times.txt</v>
      </c>
      <c r="AI135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{"issue":{"subject":"","project_id":79,"tracker_id":40,"status_id":1,"priority_id":2,"assigned_to_id":23,"start_date":"2016-11-03","description":"","custom_fields":[{"id":1,"name":"Subdivision","value":"EC"},{"id":4,"name":"Milepost","value":"23.3297"},{"id":17,"name":"Train ID","value":"223-03"},{"id":16,"name":"Locomotive ID","value":"4014"},{"id":130,"name":"Impact","value":""},{"id":150,"name":"Time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444</v>
      </c>
      <c r="B136" s="7">
        <v>4013</v>
      </c>
      <c r="C136" s="22" t="s">
        <v>245</v>
      </c>
      <c r="D136" s="22" t="s">
        <v>371</v>
      </c>
      <c r="E136" s="13">
        <v>42677.844375000001</v>
      </c>
      <c r="F136" s="13">
        <v>42677.851793981485</v>
      </c>
      <c r="G136" s="7">
        <v>1</v>
      </c>
      <c r="H136" s="22" t="s">
        <v>374</v>
      </c>
      <c r="I136" s="13">
        <v>42677.877951388888</v>
      </c>
      <c r="J136" s="7">
        <v>0</v>
      </c>
      <c r="K136" s="112" t="str">
        <f t="shared" si="28"/>
        <v>4013/4014</v>
      </c>
      <c r="L136" s="22" t="str">
        <f>VLOOKUP(A136,'Trips&amp;Operators'!$C$1:$E$10000,3,FALSE)</f>
        <v>CRAYTON</v>
      </c>
      <c r="M136" s="6">
        <f t="shared" si="29"/>
        <v>2.6157407402934041E-2</v>
      </c>
      <c r="N136" s="7">
        <f t="shared" si="46"/>
        <v>37.666666660225019</v>
      </c>
      <c r="O136" s="7"/>
      <c r="P136" s="7"/>
      <c r="Q136" s="23"/>
      <c r="R136" s="23"/>
      <c r="S136" s="35">
        <f t="shared" si="30"/>
        <v>1</v>
      </c>
      <c r="T136" s="50" t="str">
        <f t="shared" si="31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19:15:54-0600',mode:absolute,to:'2016-11-03 22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2" t="str">
        <f t="shared" si="33"/>
        <v>N</v>
      </c>
      <c r="X136" s="177">
        <f t="shared" si="45"/>
        <v>1</v>
      </c>
      <c r="Y136" s="67">
        <f t="shared" si="34"/>
        <v>23.2989</v>
      </c>
      <c r="Z136" s="67">
        <f t="shared" si="35"/>
        <v>1.32E-2</v>
      </c>
      <c r="AA136" s="67">
        <f t="shared" si="36"/>
        <v>23.285699999999999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7"/>
        <v>0224-03</v>
      </c>
      <c r="AE136" s="91" t="str">
        <f t="shared" si="38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136" s="88" t="str">
        <f t="shared" si="39"/>
        <v>"C:\Program Files (x86)\AstroGrep\AstroGrep.exe" /spath="%USERPROFILE%\AppData\Local\Temp\OnboardLogs" /stypes="app*4013*20161104*" /stext=" 03:.+((SYSTEM_STATE.+slice.+state.+changed )|(ment ac)|(system.+state.+changed )|(\[timeout)|(PRM\|1\|D)|(kpr)|(kdp)|(\|lc)|(penalty))" /e /r /s</v>
      </c>
      <c r="AG136" s="1" t="str">
        <f t="shared" si="40"/>
        <v>EC</v>
      </c>
      <c r="AH136" s="92" t="str">
        <f t="shared" si="41"/>
        <v>"%USERPROFILE%\Documents\GitHub\eaglep3\Utilities\RefineRTDCRunTimes.py" --tripid 224-03 --locoid 4013 --swversion DE.1.0.8.0 --startMP 204:232989 --initTime 2016-11-03T20:15:54 --startdatetime 2016-11-03T20:26:35 --delay 1 --endMP 204:132 --enddatetime 2016-11-03T21:04:15 --enforcementcount 0 &gt;&gt;C:\Users\stu\Documents\GitHub\eaglep3-reporting\EC\2016-11-03-refined-times.txt</v>
      </c>
      <c r="AI136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{"issue":{"subject":"","project_id":79,"tracker_id":40,"status_id":1,"priority_id":2,"assigned_to_id":23,"start_date":"2016-11-03","description":"","custom_fields":[{"id":1,"name":"Subdivision","value":"EC"},{"id":4,"name":"Milepost","value":"0.0132"},{"id":17,"name":"Train ID","value":"224-03"},{"id":16,"name":"Locomotive ID","value":"4013"},{"id":130,"name":"Impact","value":""},{"id":150,"name":"Time of Event (Mountain Time)","value":"21:04:15"},{"id":151,"name":"Denver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604</v>
      </c>
      <c r="B137" s="7">
        <v>4016</v>
      </c>
      <c r="C137" s="22" t="s">
        <v>245</v>
      </c>
      <c r="D137" s="22" t="s">
        <v>250</v>
      </c>
      <c r="E137" s="13">
        <v>42677.827418981484</v>
      </c>
      <c r="F137" s="13">
        <v>42677.833587962959</v>
      </c>
      <c r="G137" s="7">
        <v>1</v>
      </c>
      <c r="H137" s="22" t="s">
        <v>650</v>
      </c>
      <c r="I137" s="13">
        <v>42677.85796296296</v>
      </c>
      <c r="J137" s="7">
        <v>0</v>
      </c>
      <c r="K137" s="112" t="str">
        <f t="shared" si="28"/>
        <v>4015/4016</v>
      </c>
      <c r="L137" s="22" t="str">
        <f>VLOOKUP(A137,'Trips&amp;Operators'!$C$1:$E$10000,3,FALSE)</f>
        <v>LEVIN</v>
      </c>
      <c r="M137" s="6">
        <f t="shared" si="29"/>
        <v>2.4375000000873115E-2</v>
      </c>
      <c r="N137" s="7">
        <f t="shared" si="46"/>
        <v>35.100000001257285</v>
      </c>
      <c r="O137" s="7"/>
      <c r="P137" s="7"/>
      <c r="Q137" s="23"/>
      <c r="R137" s="23"/>
      <c r="S137" s="35">
        <f t="shared" si="30"/>
        <v>1</v>
      </c>
      <c r="T137" s="50" t="str">
        <f t="shared" si="31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18:51:29-0600',mode:absolute,to:'2016-11-03 21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33"/>
        <v>N</v>
      </c>
      <c r="X137" s="177">
        <f t="shared" si="45"/>
        <v>1</v>
      </c>
      <c r="Y137" s="67">
        <f t="shared" si="34"/>
        <v>4.58E-2</v>
      </c>
      <c r="Z137" s="67">
        <f t="shared" si="35"/>
        <v>23.330400000000001</v>
      </c>
      <c r="AA137" s="67">
        <f t="shared" si="36"/>
        <v>23.284600000000001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7"/>
        <v>0225-03</v>
      </c>
      <c r="AE137" s="91" t="str">
        <f t="shared" si="38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37" s="88" t="str">
        <f t="shared" si="39"/>
        <v>"C:\Program Files (x86)\AstroGrep\AstroGrep.exe" /spath="%USERPROFILE%\AppData\Local\Temp\OnboardLogs" /stypes="app*4016*20161104*" /stext=" 02:.+((SYSTEM_STATE.+slice.+state.+changed )|(ment ac)|(system.+state.+changed )|(\[timeout)|(PRM\|1\|D)|(kpr)|(kdp)|(\|lc)|(penalty))" /e /r /s</v>
      </c>
      <c r="AG137" s="1" t="str">
        <f t="shared" si="40"/>
        <v>EC</v>
      </c>
      <c r="AH137" s="92" t="str">
        <f t="shared" si="41"/>
        <v>"%USERPROFILE%\Documents\GitHub\eaglep3\Utilities\RefineRTDCRunTimes.py" --tripid 225-03 --locoid 4016 --swversion DE.1.0.8.0 --startMP 204:458 --initTime 2016-11-03T19:51:29 --startdatetime 2016-11-03T20:00:22 --delay 1 --endMP 204:233304 --enddatetime 2016-11-03T20:35:28 --enforcementcount 0 &gt;&gt;C:\Users\stu\Documents\GitHub\eaglep3-reporting\EC\2016-11-03-refined-times.txt</v>
      </c>
      <c r="AI137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{"issue":{"subject":"","project_id":79,"tracker_id":40,"status_id":1,"priority_id":2,"assigned_to_id":23,"start_date":"2016-11-03","description":"","custom_fields":[{"id":1,"name":"Subdivision","value":"EC"},{"id":4,"name":"Milepost","value":"23.3304"},{"id":17,"name":"Train ID","value":"225-03"},{"id":16,"name":"Locomotive ID","value":"4016"},{"id":130,"name":"Impact","value":""},{"id":150,"name":"Time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609</v>
      </c>
      <c r="B138" s="7">
        <v>4015</v>
      </c>
      <c r="C138" s="22" t="s">
        <v>245</v>
      </c>
      <c r="D138" s="22" t="s">
        <v>691</v>
      </c>
      <c r="E138" s="13">
        <v>42677.871111111112</v>
      </c>
      <c r="F138" s="13">
        <v>42677.872557870367</v>
      </c>
      <c r="G138" s="7">
        <v>1</v>
      </c>
      <c r="H138" s="22" t="s">
        <v>207</v>
      </c>
      <c r="I138" s="13">
        <v>42677.898680555554</v>
      </c>
      <c r="J138" s="7">
        <v>0</v>
      </c>
      <c r="K138" s="112" t="str">
        <f t="shared" si="28"/>
        <v>4015/4016</v>
      </c>
      <c r="L138" s="22" t="str">
        <f>VLOOKUP(A138,'Trips&amp;Operators'!$C$1:$E$10000,3,FALSE)</f>
        <v>LEVIN</v>
      </c>
      <c r="M138" s="6">
        <f t="shared" si="29"/>
        <v>2.6122685187146999E-2</v>
      </c>
      <c r="N138" s="7">
        <f t="shared" si="46"/>
        <v>37.616666669491678</v>
      </c>
      <c r="O138" s="7"/>
      <c r="P138" s="7"/>
      <c r="Q138" s="23"/>
      <c r="R138" s="23"/>
      <c r="S138" s="35">
        <f t="shared" si="30"/>
        <v>1</v>
      </c>
      <c r="T138" s="50" t="str">
        <f t="shared" si="31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19:54:24-0600',mode:absolute,to:'2016-11-03 22:34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33"/>
        <v>N</v>
      </c>
      <c r="X138" s="177">
        <f t="shared" si="45"/>
        <v>1</v>
      </c>
      <c r="Y138" s="67">
        <f t="shared" si="34"/>
        <v>23.300799999999999</v>
      </c>
      <c r="Z138" s="67">
        <f t="shared" si="35"/>
        <v>1.43E-2</v>
      </c>
      <c r="AA138" s="67">
        <f t="shared" si="36"/>
        <v>23.2865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7"/>
        <v>0226-03</v>
      </c>
      <c r="AE138" s="91" t="str">
        <f t="shared" si="38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138" s="88" t="str">
        <f t="shared" si="39"/>
        <v>"C:\Program Files (x86)\AstroGrep\AstroGrep.exe" /spath="%USERPROFILE%\AppData\Local\Temp\OnboardLogs" /stypes="app*4015*20161104*" /stext=" 03:.+((SYSTEM_STATE.+slice.+state.+changed )|(ment ac)|(system.+state.+changed )|(\[timeout)|(PRM\|1\|D)|(kpr)|(kdp)|(\|lc)|(penalty))" /e /r /s</v>
      </c>
      <c r="AG138" s="1" t="str">
        <f t="shared" si="40"/>
        <v>EC</v>
      </c>
      <c r="AH138" s="92" t="str">
        <f t="shared" si="41"/>
        <v>"%USERPROFILE%\Documents\GitHub\eaglep3\Utilities\RefineRTDCRunTimes.py" --tripid 226-03 --locoid 4015 --swversion DE.1.0.8.0 --startMP 204:233008 --initTime 2016-11-03T20:54:24 --startdatetime 2016-11-03T20:56:29 --delay 1 --endMP 204:143 --enddatetime 2016-11-03T21:34:06 --enforcementcount 0 &gt;&gt;C:\Users\stu\Documents\GitHub\eaglep3-reporting\EC\2016-11-03-refined-times.txt</v>
      </c>
      <c r="AI138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{"issue":{"subject":"","project_id":79,"tracker_id":40,"status_id":1,"priority_id":2,"assigned_to_id":23,"start_date":"2016-11-03","description":"","custom_fields":[{"id":1,"name":"Subdivision","value":"EC"},{"id":4,"name":"Milepost","value":"0.0143"},{"id":17,"name":"Train ID","value":"226-03"},{"id":16,"name":"Locomotive ID","value":"4015"},{"id":130,"name":"Impact","value":""},{"id":150,"name":"Time of Event (Mountain Time)","value":"21:34:06"},{"id":151,"name":"Denver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605</v>
      </c>
      <c r="B139" s="7">
        <v>4025</v>
      </c>
      <c r="C139" s="22" t="s">
        <v>245</v>
      </c>
      <c r="D139" s="22" t="s">
        <v>278</v>
      </c>
      <c r="E139" s="13">
        <v>42677.841458333336</v>
      </c>
      <c r="F139" s="13">
        <v>42677.854479166665</v>
      </c>
      <c r="G139" s="7">
        <v>1</v>
      </c>
      <c r="H139" s="22" t="s">
        <v>700</v>
      </c>
      <c r="I139" s="13">
        <v>42677.880069444444</v>
      </c>
      <c r="J139" s="7">
        <v>0</v>
      </c>
      <c r="K139" s="112" t="str">
        <f t="shared" si="28"/>
        <v>4025/4026</v>
      </c>
      <c r="L139" s="22" t="str">
        <f>VLOOKUP(A139,'Trips&amp;Operators'!$C$1:$E$10000,3,FALSE)</f>
        <v>STAMBAUGH</v>
      </c>
      <c r="M139" s="6">
        <f t="shared" si="29"/>
        <v>2.5590277778974269E-2</v>
      </c>
      <c r="N139" s="7">
        <f t="shared" si="46"/>
        <v>36.850000001722947</v>
      </c>
      <c r="O139" s="7"/>
      <c r="P139" s="7"/>
      <c r="Q139" s="23"/>
      <c r="R139" s="23"/>
      <c r="S139" s="35">
        <f t="shared" si="30"/>
        <v>1</v>
      </c>
      <c r="T139" s="50" t="str">
        <f t="shared" si="31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19:11:42-0600',mode:absolute,to:'2016-11-03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9" s="52" t="str">
        <f t="shared" si="33"/>
        <v>N</v>
      </c>
      <c r="X139" s="177">
        <f t="shared" si="45"/>
        <v>1</v>
      </c>
      <c r="Y139" s="67">
        <f t="shared" si="34"/>
        <v>4.4200000000000003E-2</v>
      </c>
      <c r="Z139" s="67">
        <f t="shared" si="35"/>
        <v>23.3325</v>
      </c>
      <c r="AA139" s="67">
        <f t="shared" si="36"/>
        <v>23.2883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7"/>
        <v>0227-03</v>
      </c>
      <c r="AE139" s="91" t="str">
        <f t="shared" si="38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39" s="88" t="str">
        <f t="shared" si="39"/>
        <v>"C:\Program Files (x86)\AstroGrep\AstroGrep.exe" /spath="%USERPROFILE%\AppData\Local\Temp\OnboardLogs" /stypes="app*4025*20161104*" /stext=" 03:.+((SYSTEM_STATE.+slice.+state.+changed )|(ment ac)|(system.+state.+changed )|(\[timeout)|(PRM\|1\|D)|(kpr)|(kdp)|(\|lc)|(penalty))" /e /r /s</v>
      </c>
      <c r="AG139" s="1" t="str">
        <f t="shared" si="40"/>
        <v>EC</v>
      </c>
      <c r="AH139" s="92" t="str">
        <f t="shared" si="41"/>
        <v>"%USERPROFILE%\Documents\GitHub\eaglep3\Utilities\RefineRTDCRunTimes.py" --tripid 227-03 --locoid 4025 --swversion DE.1.0.8.0 --startMP 204:442 --initTime 2016-11-03T20:11:42 --startdatetime 2016-11-03T20:30:27 --delay 1 --endMP 204:233325 --enddatetime 2016-11-03T21:07:18 --enforcementcount 0 &gt;&gt;C:\Users\stu\Documents\GitHub\eaglep3-reporting\EC\2016-11-03-refined-times.txt</v>
      </c>
      <c r="AI139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{"issue":{"subject":"","project_id":79,"tracker_id":40,"status_id":1,"priority_id":2,"assigned_to_id":23,"start_date":"2016-11-03","description":"","custom_fields":[{"id":1,"name":"Subdivision","value":"EC"},{"id":4,"name":"Milepost","value":"23.3325"},{"id":17,"name":"Train ID","value":"227-03"},{"id":16,"name":"Locomotive ID","value":"4025"},{"id":130,"name":"Impact","value":""},{"id":150,"name":"Time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445</v>
      </c>
      <c r="B140" s="7">
        <v>4026</v>
      </c>
      <c r="C140" s="22" t="s">
        <v>245</v>
      </c>
      <c r="D140" s="22" t="s">
        <v>327</v>
      </c>
      <c r="E140" s="13">
        <v>42677.882418981484</v>
      </c>
      <c r="F140" s="13">
        <v>42677.89335648148</v>
      </c>
      <c r="G140" s="7">
        <v>1</v>
      </c>
      <c r="H140" s="22" t="s">
        <v>640</v>
      </c>
      <c r="I140" s="13">
        <v>42677.920995370368</v>
      </c>
      <c r="J140" s="7">
        <v>0</v>
      </c>
      <c r="K140" s="112" t="str">
        <f t="shared" si="28"/>
        <v>4025/4026</v>
      </c>
      <c r="L140" s="22" t="str">
        <f>VLOOKUP(A140,'Trips&amp;Operators'!$C$1:$E$10000,3,FALSE)</f>
        <v>STAMBAUGH</v>
      </c>
      <c r="M140" s="6">
        <f t="shared" si="29"/>
        <v>2.7638888888759539E-2</v>
      </c>
      <c r="N140" s="7">
        <f t="shared" si="46"/>
        <v>39.799999999813735</v>
      </c>
      <c r="O140" s="7"/>
      <c r="P140" s="7"/>
      <c r="Q140" s="23"/>
      <c r="R140" s="23"/>
      <c r="S140" s="35">
        <f t="shared" si="30"/>
        <v>1</v>
      </c>
      <c r="T140" s="50" t="str">
        <f t="shared" si="31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https://search-rtdc-monitor-bjffxe2xuh6vdkpspy63sjmuny.us-east-1.es.amazonaws.com/_plugin/kibana/#/discover/Steve-Slow-Train-Analysis-(2080s-and-2083s)?_g=(refreshInterval:(display:Off,section:0,value:0),time:(from:'2016-11-03 20:10:41-0600',mode:absolute,to:'2016-11-03 23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0" s="52" t="str">
        <f t="shared" si="33"/>
        <v>N</v>
      </c>
      <c r="X140" s="177">
        <f t="shared" si="45"/>
        <v>1</v>
      </c>
      <c r="Y140" s="67">
        <f t="shared" si="34"/>
        <v>23.299800000000001</v>
      </c>
      <c r="Z140" s="67">
        <f t="shared" si="35"/>
        <v>1.4999999999999999E-2</v>
      </c>
      <c r="AA140" s="67">
        <f t="shared" si="36"/>
        <v>23.284800000000001</v>
      </c>
      <c r="AB140" s="64" t="str">
        <f>VLOOKUP(A140,Enforcements!$C$7:$K$21,8,0)</f>
        <v>Speed (6)</v>
      </c>
      <c r="AC140" s="60" t="str">
        <f>VLOOKUP(A140,Enforcements!$C$7:$E$21,3,0)</f>
        <v>PERMANENT SPEED RESTRICTION</v>
      </c>
      <c r="AD140" s="61" t="str">
        <f t="shared" si="37"/>
        <v>0228-03</v>
      </c>
      <c r="AE140" s="91" t="str">
        <f t="shared" si="38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140" s="88" t="str">
        <f t="shared" si="39"/>
        <v>"C:\Program Files (x86)\AstroGrep\AstroGrep.exe" /spath="%USERPROFILE%\AppData\Local\Temp\OnboardLogs" /stypes="app*4026*20161104*" /stext=" 04:.+((SYSTEM_STATE.+slice.+state.+changed )|(ment ac)|(system.+state.+changed )|(\[timeout)|(PRM\|1\|D)|(kpr)|(kdp)|(\|lc)|(penalty))" /e /r /s</v>
      </c>
      <c r="AG140" s="1" t="str">
        <f t="shared" si="40"/>
        <v>EC</v>
      </c>
      <c r="AH140" s="92" t="str">
        <f t="shared" si="41"/>
        <v>"%USERPROFILE%\Documents\GitHub\eaglep3\Utilities\RefineRTDCRunTimes.py" --tripid 228-03 --locoid 4026 --swversion DE.1.0.8.0 --startMP 204:232998 --initTime 2016-11-03T21:10:41 --startdatetime 2016-11-03T21:26:26 --delay 1 --endMP 204:150 --enddatetime 2016-11-03T22:06:14 --enforcementcount 0 &gt;&gt;C:\Users\stu\Documents\GitHub\eaglep3-reporting\EC\2016-11-03-refined-times.txt</v>
      </c>
      <c r="AI140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{"issue":{"subject":"","project_id":79,"tracker_id":40,"status_id":1,"priority_id":2,"assigned_to_id":23,"start_date":"2016-11-03","description":"","custom_fields":[{"id":1,"name":"Subdivision","value":"EC"},{"id":4,"name":"Milepost","value":"0.015"},{"id":17,"name":"Train ID","value":"228-03"},{"id":16,"name":"Locomotive ID","value":"4026"},{"id":130,"name":"Impact","value":""},{"id":150,"name":"Time of Event (Mountain Time)","value":"22:06:14"},{"id":151,"name":"Denver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4031</v>
      </c>
      <c r="C141" s="22" t="s">
        <v>245</v>
      </c>
      <c r="D141" s="22" t="s">
        <v>208</v>
      </c>
      <c r="E141" s="13">
        <v>42677.869942129626</v>
      </c>
      <c r="F141" s="13">
        <v>42677.8752662037</v>
      </c>
      <c r="G141" s="7">
        <v>1</v>
      </c>
      <c r="H141" s="22" t="s">
        <v>334</v>
      </c>
      <c r="I141" s="13">
        <v>42677.900196759256</v>
      </c>
      <c r="J141" s="7">
        <v>0</v>
      </c>
      <c r="K141" s="112" t="str">
        <f t="shared" ref="K141:K204" si="47">IF(ISEVEN(B141),(B141-1)&amp;"/"&amp;B141,B141&amp;"/"&amp;(B141+1))</f>
        <v>4031/4032</v>
      </c>
      <c r="L141" s="22" t="str">
        <f>VLOOKUP(A141,'Trips&amp;Operators'!$C$1:$E$10000,3,FALSE)</f>
        <v>JOHNSON</v>
      </c>
      <c r="M141" s="6">
        <f t="shared" ref="M141:M204" si="48">I141-F141</f>
        <v>2.4930555555329192E-2</v>
      </c>
      <c r="N141" s="7">
        <f t="shared" si="46"/>
        <v>35.899999999674037</v>
      </c>
      <c r="O141" s="7"/>
      <c r="P141" s="7"/>
      <c r="Q141" s="23"/>
      <c r="R141" s="23"/>
      <c r="S141" s="35">
        <f t="shared" ref="S141:S204" si="49">SUM(U141:U141)/IF(AG141="EC",12,1)</f>
        <v>1</v>
      </c>
      <c r="T141" s="50" t="str">
        <f t="shared" ref="T141:T204" si="5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https://search-rtdc-monitor-bjffxe2xuh6vdkpspy63sjmuny.us-east-1.es.amazonaws.com/_plugin/kibana/#/discover/Steve-Slow-Train-Analysis-(2080s-and-2083s)?_g=(refreshInterval:(display:Off,section:0,value:0),time:(from:'2016-11-03 19:52:43-0600',mode:absolute,to:'2016-11-03 22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1" s="52" t="str">
        <f t="shared" ref="W141:W204" si="52">IF(AA141&lt;IF(AG141="EC",23,5.65),"Y","N")</f>
        <v>N</v>
      </c>
      <c r="X141" s="177">
        <f t="shared" si="45"/>
        <v>1</v>
      </c>
      <c r="Y141" s="67">
        <f t="shared" ref="Y141:Y204" si="53">RIGHT(D141,LEN(D141)-4)/10000</f>
        <v>4.4699999999999997E-2</v>
      </c>
      <c r="Z141" s="67">
        <f t="shared" ref="Z141:Z204" si="54">RIGHT(H141,LEN(H141)-4)/10000</f>
        <v>23.3306</v>
      </c>
      <c r="AA141" s="67">
        <f t="shared" ref="AA141:AA204" si="55">ABS(Z141-Y141)</f>
        <v>23.285900000000002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6">IF(LEN(A141)=6,"0"&amp;A141,A141)</f>
        <v>0229-03</v>
      </c>
      <c r="AE141" s="91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41" s="88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/stypes="app*4031*20161104*" /stext=" 03:.+((SYSTEM_STATE.+slice.+state.+changed )|(ment ac)|(system.+state.+changed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92" t="str">
        <f t="shared" si="41"/>
        <v>"%USERPROFILE%\Documents\GitHub\eaglep3\Utilities\RefineRTDCRunTimes.py" --tripid 229-03 --locoid 4031 --swversion DE.1.0.8.0 --startMP 204:447 --initTime 2016-11-03T20:52:43 --startdatetime 2016-11-03T21:00:23 --delay 1 --endMP 204:233306 --enddatetime 2016-11-03T21:36:17 --enforcementcount 0 &gt;&gt;C:\Users\stu\Documents\GitHub\eaglep3-reporting\EC\2016-11-03-refined-times.txt</v>
      </c>
      <c r="AI141" s="122" t="str">
        <f t="shared" si="42"/>
        <v>echo {"issue":{"subject":"","project_id":79,"tracker_id":40,"status_id":1,"priority_id":2,"assigned_to_id":23,"start_date":"2016-11-03","description":"","custom_fields":[{"id":1,"name":"Subdivision","value":"EC"},{"id":4,"name":"Milepost","value":"23.3306"},{"id":17,"name":"Train ID","value":"229-03"},{"id":16,"name":"Locomotive ID","value":"4031"},{"id":130,"name":"Impact","value":""},{"id":150,"name":"Time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4032</v>
      </c>
      <c r="C142" s="22" t="s">
        <v>245</v>
      </c>
      <c r="D142" s="22" t="s">
        <v>233</v>
      </c>
      <c r="E142" s="13">
        <v>42677.909212962964</v>
      </c>
      <c r="F142" s="13">
        <v>42677.914155092592</v>
      </c>
      <c r="G142" s="7">
        <v>1</v>
      </c>
      <c r="H142" s="22" t="s">
        <v>269</v>
      </c>
      <c r="I142" s="13">
        <v>42677.941099537034</v>
      </c>
      <c r="J142" s="7">
        <v>0</v>
      </c>
      <c r="K142" s="112" t="str">
        <f t="shared" si="47"/>
        <v>4031/4032</v>
      </c>
      <c r="L142" s="22" t="str">
        <f>VLOOKUP(A142,'Trips&amp;Operators'!$C$1:$E$10000,3,FALSE)</f>
        <v>JOHNSON</v>
      </c>
      <c r="M142" s="6">
        <f t="shared" si="48"/>
        <v>2.6944444442051463E-2</v>
      </c>
      <c r="N142" s="7">
        <f t="shared" si="46"/>
        <v>38.799999996554106</v>
      </c>
      <c r="O142" s="7"/>
      <c r="P142" s="7"/>
      <c r="Q142" s="23"/>
      <c r="R142" s="23"/>
      <c r="S142" s="35">
        <f t="shared" si="49"/>
        <v>1</v>
      </c>
      <c r="T142" s="50" t="str">
        <f t="shared" si="5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20:49:16-0600',mode:absolute,to:'2016-11-03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2" s="52" t="str">
        <f t="shared" si="52"/>
        <v>N</v>
      </c>
      <c r="X142" s="177">
        <f t="shared" si="45"/>
        <v>1</v>
      </c>
      <c r="Y142" s="67">
        <f t="shared" si="53"/>
        <v>23.298500000000001</v>
      </c>
      <c r="Z142" s="67">
        <f t="shared" si="54"/>
        <v>1.5800000000000002E-2</v>
      </c>
      <c r="AA142" s="67">
        <f t="shared" si="55"/>
        <v>23.282700000000002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6"/>
        <v>0230-03</v>
      </c>
      <c r="AE142" s="91" t="str">
        <f t="shared" si="57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142" s="88" t="str">
        <f t="shared" si="58"/>
        <v>"C:\Program Files (x86)\AstroGrep\AstroGrep.exe" /spath="%USERPROFILE%\AppData\Local\Temp\OnboardLogs" /stypes="app*4032*20161104*" /stext=" 04:.+((SYSTEM_STATE.+slice.+state.+changed )|(ment ac)|(system.+state.+changed )|(\[timeout)|(PRM\|1\|D)|(kpr)|(kdp)|(\|lc)|(penalty))" /e /r /s</v>
      </c>
      <c r="AG142" s="1" t="str">
        <f t="shared" si="59"/>
        <v>EC</v>
      </c>
      <c r="AH142" s="92" t="str">
        <f t="shared" ref="AH142:AH203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230-03 --locoid 4032 --swversion DE.1.0.8.0 --startMP 204:232985 --initTime 2016-11-03T21:49:16 --startdatetime 2016-11-03T21:56:23 --delay 1 --endMP 204:158 --enddatetime 2016-11-03T22:35:11 --enforcementcount 0 &gt;&gt;C:\Users\stu\Documents\GitHub\eaglep3-reporting\EC\2016-11-03-refined-times.txt</v>
      </c>
      <c r="AI142" s="122" t="str">
        <f t="shared" ref="AI142:AI203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{"issue":{"subject":"","project_id":79,"tracker_id":40,"status_id":1,"priority_id":2,"assigned_to_id":23,"start_date":"2016-11-03","description":"","custom_fields":[{"id":1,"name":"Subdivision","value":"EC"},{"id":4,"name":"Milepost","value":"0.0158"},{"id":17,"name":"Train ID","value":"230-03"},{"id":16,"name":"Locomotive ID","value":"4032"},{"id":130,"name":"Impact","value":""},{"id":150,"name":"Time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611</v>
      </c>
      <c r="B143" s="7">
        <v>4014</v>
      </c>
      <c r="C143" s="22" t="s">
        <v>245</v>
      </c>
      <c r="D143" s="22" t="s">
        <v>209</v>
      </c>
      <c r="E143" s="13">
        <v>42677.880497685182</v>
      </c>
      <c r="F143" s="13">
        <v>42677.89607638889</v>
      </c>
      <c r="G143" s="7">
        <v>2</v>
      </c>
      <c r="H143" s="22" t="s">
        <v>294</v>
      </c>
      <c r="I143" s="13">
        <v>42677.921111111114</v>
      </c>
      <c r="J143" s="7">
        <v>0</v>
      </c>
      <c r="K143" s="112" t="str">
        <f t="shared" si="47"/>
        <v>4013/4014</v>
      </c>
      <c r="L143" s="22" t="str">
        <f>VLOOKUP(A143,'Trips&amp;Operators'!$C$1:$E$10000,3,FALSE)</f>
        <v>CRAYTON</v>
      </c>
      <c r="M143" s="6">
        <f t="shared" si="48"/>
        <v>2.5034722224518191E-2</v>
      </c>
      <c r="N143" s="7">
        <f t="shared" si="46"/>
        <v>36.050000003306195</v>
      </c>
      <c r="O143" s="7"/>
      <c r="P143" s="7"/>
      <c r="Q143" s="23"/>
      <c r="R143" s="23"/>
      <c r="S143" s="35">
        <f t="shared" si="49"/>
        <v>1</v>
      </c>
      <c r="T143" s="50" t="str">
        <f t="shared" si="5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20:07:55-0600',mode:absolute,to:'2016-11-03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2" t="str">
        <f t="shared" si="52"/>
        <v>N</v>
      </c>
      <c r="X143" s="177">
        <f t="shared" si="45"/>
        <v>1</v>
      </c>
      <c r="Y143" s="67">
        <f t="shared" si="53"/>
        <v>4.53E-2</v>
      </c>
      <c r="Z143" s="67">
        <f t="shared" si="54"/>
        <v>23.331</v>
      </c>
      <c r="AA143" s="67">
        <f t="shared" si="55"/>
        <v>23.285699999999999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6"/>
        <v>0231-03</v>
      </c>
      <c r="AE143" s="91" t="str">
        <f t="shared" si="57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43" s="88" t="str">
        <f t="shared" si="58"/>
        <v>"C:\Program Files (x86)\AstroGrep\AstroGrep.exe" /spath="%USERPROFILE%\AppData\Local\Temp\OnboardLogs" /stypes="app*4014*20161104*" /stext=" 04:.+((SYSTEM_STATE.+slice.+state.+changed )|(ment ac)|(system.+state.+changed )|(\[timeout)|(PRM\|1\|D)|(kpr)|(kdp)|(\|lc)|(penalty))" /e /r /s</v>
      </c>
      <c r="AG143" s="1" t="str">
        <f t="shared" si="59"/>
        <v>EC</v>
      </c>
      <c r="AH143" s="92" t="str">
        <f t="shared" si="60"/>
        <v>"%USERPROFILE%\Documents\GitHub\eaglep3\Utilities\RefineRTDCRunTimes.py" --tripid 231-03 --locoid 4014 --swversion DE.1.0.8.0 --startMP 204:453 --initTime 2016-11-03T21:07:55 --startdatetime 2016-11-03T21:30:21 --delay 2 --endMP 204:233310 --enddatetime 2016-11-03T22:06:24 --enforcementcount 0 &gt;&gt;C:\Users\stu\Documents\GitHub\eaglep3-reporting\EC\2016-11-03-refined-times.txt</v>
      </c>
      <c r="AI143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{"issue":{"subject":"","project_id":79,"tracker_id":40,"status_id":1,"priority_id":2,"assigned_to_id":23,"start_date":"2016-11-03","description":"","custom_fields":[{"id":1,"name":"Subdivision","value":"EC"},{"id":4,"name":"Milepost","value":"23.331"},{"id":17,"name":"Train ID","value":"231-03"},{"id":16,"name":"Locomotive ID","value":"4014"},{"id":130,"name":"Impact","value":""},{"id":150,"name":"Time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617</v>
      </c>
      <c r="B144" s="7">
        <v>4013</v>
      </c>
      <c r="C144" s="22" t="s">
        <v>245</v>
      </c>
      <c r="D144" s="22" t="s">
        <v>372</v>
      </c>
      <c r="E144" s="13">
        <v>42677.923101851855</v>
      </c>
      <c r="F144" s="13">
        <v>42677.935034722221</v>
      </c>
      <c r="G144" s="7">
        <v>1</v>
      </c>
      <c r="H144" s="22" t="s">
        <v>175</v>
      </c>
      <c r="I144" s="13">
        <v>42677.961412037039</v>
      </c>
      <c r="J144" s="7">
        <v>0</v>
      </c>
      <c r="K144" s="112" t="str">
        <f t="shared" si="47"/>
        <v>4013/4014</v>
      </c>
      <c r="L144" s="22" t="str">
        <f>VLOOKUP(A144,'Trips&amp;Operators'!$C$1:$E$10000,3,FALSE)</f>
        <v>CRAYTON</v>
      </c>
      <c r="M144" s="6">
        <f t="shared" si="48"/>
        <v>2.6377314818091691E-2</v>
      </c>
      <c r="N144" s="7">
        <f t="shared" si="46"/>
        <v>37.983333338052034</v>
      </c>
      <c r="O144" s="7"/>
      <c r="P144" s="7"/>
      <c r="Q144" s="23"/>
      <c r="R144" s="23"/>
      <c r="S144" s="35">
        <f t="shared" si="49"/>
        <v>1</v>
      </c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21:09:16-0600',mode:absolute,to:'2016-11-04 00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2" t="str">
        <f t="shared" si="52"/>
        <v>N</v>
      </c>
      <c r="X144" s="177">
        <f t="shared" si="45"/>
        <v>1</v>
      </c>
      <c r="Y144" s="67">
        <f t="shared" si="53"/>
        <v>23.299399999999999</v>
      </c>
      <c r="Z144" s="67">
        <f t="shared" si="54"/>
        <v>1.47E-2</v>
      </c>
      <c r="AA144" s="67">
        <f t="shared" si="55"/>
        <v>23.284699999999997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6"/>
        <v>0232-03</v>
      </c>
      <c r="AE144" s="91" t="str">
        <f t="shared" si="57"/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AF144" s="88" t="str">
        <f t="shared" si="58"/>
        <v>"C:\Program Files (x86)\AstroGrep\AstroGrep.exe" /spath="%USERPROFILE%\AppData\Local\Temp\OnboardLogs" /stypes="app*4013*20161104*" /stext=" 05:.+((SYSTEM_STATE.+slice.+state.+changed )|(ment ac)|(system.+state.+changed )|(\[timeout)|(PRM\|1\|D)|(kpr)|(kdp)|(\|lc)|(penalty))" /e /r /s</v>
      </c>
      <c r="AG144" s="1" t="str">
        <f t="shared" si="59"/>
        <v>EC</v>
      </c>
      <c r="AH144" s="92" t="str">
        <f t="shared" si="60"/>
        <v>"%USERPROFILE%\Documents\GitHub\eaglep3\Utilities\RefineRTDCRunTimes.py" --tripid 232-03 --locoid 4013 --swversion DE.1.0.8.0 --startMP 204:232994 --initTime 2016-11-03T22:09:16 --startdatetime 2016-11-03T22:26:27 --delay 1 --endMP 204:147 --enddatetime 2016-11-03T23:04:26 --enforcementcount 0 &gt;&gt;C:\Users\stu\Documents\GitHub\eaglep3-reporting\EC\2016-11-03-refined-times.txt</v>
      </c>
      <c r="AI144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{"issue":{"subject":"","project_id":79,"tracker_id":40,"status_id":1,"priority_id":2,"assigned_to_id":23,"start_date":"2016-11-03","description":"","custom_fields":[{"id":1,"name":"Subdivision","value":"EC"},{"id":4,"name":"Milepost","value":"0.0147"},{"id":17,"name":"Train ID","value":"232-03"},{"id":16,"name":"Locomotive ID","value":"4013"},{"id":130,"name":"Impact","value":""},{"id":150,"name":"Time of Event (Mountain Time)","value":"23:04:26"},{"id":151,"name":"Denver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616</v>
      </c>
      <c r="B145" s="7">
        <v>4016</v>
      </c>
      <c r="C145" s="22" t="s">
        <v>245</v>
      </c>
      <c r="D145" s="22" t="s">
        <v>235</v>
      </c>
      <c r="E145" s="13">
        <v>42677.913495370369</v>
      </c>
      <c r="F145" s="13">
        <v>42677.916875000003</v>
      </c>
      <c r="G145" s="7">
        <v>1</v>
      </c>
      <c r="H145" s="22" t="s">
        <v>292</v>
      </c>
      <c r="I145" s="13">
        <v>42677.941423611112</v>
      </c>
      <c r="J145" s="7">
        <v>0</v>
      </c>
      <c r="K145" s="112" t="str">
        <f t="shared" si="47"/>
        <v>4015/4016</v>
      </c>
      <c r="L145" s="22" t="str">
        <f>VLOOKUP(A145,'Trips&amp;Operators'!$C$1:$E$10000,3,FALSE)</f>
        <v>LEVIN</v>
      </c>
      <c r="M145" s="6">
        <f t="shared" si="48"/>
        <v>2.4548611108912155E-2</v>
      </c>
      <c r="N145" s="7">
        <f t="shared" si="46"/>
        <v>35.349999996833503</v>
      </c>
      <c r="O145" s="7"/>
      <c r="P145" s="7"/>
      <c r="Q145" s="23"/>
      <c r="R145" s="23"/>
      <c r="S145" s="35">
        <f t="shared" si="49"/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20:55:26-0600',mode:absolute,to:'2016-11-03 23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52"/>
        <v>N</v>
      </c>
      <c r="X145" s="177">
        <f t="shared" si="45"/>
        <v>1</v>
      </c>
      <c r="Y145" s="67">
        <f t="shared" si="53"/>
        <v>4.5699999999999998E-2</v>
      </c>
      <c r="Z145" s="67">
        <f t="shared" si="54"/>
        <v>23.329799999999999</v>
      </c>
      <c r="AA145" s="67">
        <f t="shared" si="55"/>
        <v>23.284099999999999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6"/>
        <v>0233-03</v>
      </c>
      <c r="AE145" s="91" t="str">
        <f t="shared" si="57"/>
        <v>aws s3 cp s3://rtdc.mdm.uploadarchive.raw/RTDC4016/ "%USERPROFILE%\AppData\Local\Temp\OnboardLogs"\RTDC4016\2016-11-03 --exclude "*" --recursive --include "*20161103*" &amp; "%USERPROFILE%\Documents\GitHub\mrs-test-scripts\Headless Mode &amp; Sideloading\WalkAndUnGZ.bat" "%USERPROFILE%\AppData\Local\Temp\OnboardLogs"\RTDC4016\2016-11-03 &amp; 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</v>
      </c>
      <c r="AF145" s="88" t="str">
        <f t="shared" si="58"/>
        <v>"C:\Program Files (x86)\AstroGrep\AstroGrep.exe" /spath="%USERPROFILE%\AppData\Local\Temp\OnboardLogs" /stypes="app*4016*20161104*" /stext=" 04:.+((SYSTEM_STATE.+slice.+state.+changed )|(ment ac)|(system.+state.+changed )|(\[timeout)|(PRM\|1\|D)|(kpr)|(kdp)|(\|lc)|(penalty))" /e /r /s</v>
      </c>
      <c r="AG145" s="1" t="str">
        <f t="shared" si="59"/>
        <v>EC</v>
      </c>
      <c r="AH145" s="92" t="str">
        <f t="shared" si="60"/>
        <v>"%USERPROFILE%\Documents\GitHub\eaglep3\Utilities\RefineRTDCRunTimes.py" --tripid 233-03 --locoid 4016 --swversion DE.1.0.8.0 --startMP 204:457 --initTime 2016-11-03T21:55:26 --startdatetime 2016-11-03T22:00:18 --delay 1 --endMP 204:233298 --enddatetime 2016-11-03T22:35:39 --enforcementcount 0 &gt;&gt;C:\Users\stu\Documents\GitHub\eaglep3-reporting\EC\2016-11-03-refined-times.txt</v>
      </c>
      <c r="AI145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{"issue":{"subject":"","project_id":79,"tracker_id":40,"status_id":1,"priority_id":2,"assigned_to_id":23,"start_date":"2016-11-03","description":"","custom_fields":[{"id":1,"name":"Subdivision","value":"EC"},{"id":4,"name":"Milepost","value":"23.3298"},{"id":17,"name":"Train ID","value":"233-03"},{"id":16,"name":"Locomotive ID","value":"4016"},{"id":130,"name":"Impact","value":""},{"id":150,"name":"Time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620</v>
      </c>
      <c r="B146" s="7">
        <v>4015</v>
      </c>
      <c r="C146" s="22" t="s">
        <v>245</v>
      </c>
      <c r="D146" s="22" t="s">
        <v>695</v>
      </c>
      <c r="E146" s="13">
        <v>42677.952210648145</v>
      </c>
      <c r="F146" s="13">
        <v>42677.955972222226</v>
      </c>
      <c r="G146" s="7">
        <v>1</v>
      </c>
      <c r="H146" s="22" t="s">
        <v>269</v>
      </c>
      <c r="I146" s="13">
        <v>42677.985902777778</v>
      </c>
      <c r="J146" s="7">
        <v>0</v>
      </c>
      <c r="K146" s="112" t="str">
        <f t="shared" si="47"/>
        <v>4015/4016</v>
      </c>
      <c r="L146" s="22" t="str">
        <f>VLOOKUP(A146,'Trips&amp;Operators'!$C$1:$E$10000,3,FALSE)</f>
        <v>LEVIN</v>
      </c>
      <c r="M146" s="6">
        <f t="shared" si="48"/>
        <v>2.9930555552709848E-2</v>
      </c>
      <c r="N146" s="7">
        <f t="shared" si="46"/>
        <v>43.099999995902181</v>
      </c>
      <c r="O146" s="7"/>
      <c r="P146" s="7"/>
      <c r="Q146" s="23"/>
      <c r="R146" s="23"/>
      <c r="S146" s="35">
        <f t="shared" si="49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21:51:11-0600',mode:absolute,to:'2016-11-04 00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52"/>
        <v>N</v>
      </c>
      <c r="X146" s="177">
        <f t="shared" si="45"/>
        <v>1</v>
      </c>
      <c r="Y146" s="67">
        <f t="shared" si="53"/>
        <v>23.2959</v>
      </c>
      <c r="Z146" s="67">
        <f t="shared" si="54"/>
        <v>1.5800000000000002E-2</v>
      </c>
      <c r="AA146" s="67">
        <f t="shared" si="55"/>
        <v>23.280100000000001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6"/>
        <v>0234-03</v>
      </c>
      <c r="AE146" s="91" t="str">
        <f t="shared" si="57"/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AF146" s="88" t="str">
        <f t="shared" si="58"/>
        <v>"C:\Program Files (x86)\AstroGrep\AstroGrep.exe" /spath="%USERPROFILE%\AppData\Local\Temp\OnboardLogs" /stypes="app*4015*20161104*" /stext=" 05:.+((SYSTEM_STATE.+slice.+state.+changed )|(ment ac)|(system.+state.+changed )|(\[timeout)|(PRM\|1\|D)|(kpr)|(kdp)|(\|lc)|(penalty))" /e /r /s</v>
      </c>
      <c r="AG146" s="1" t="str">
        <f t="shared" si="59"/>
        <v>EC</v>
      </c>
      <c r="AH146" s="92" t="str">
        <f t="shared" si="60"/>
        <v>"%USERPROFILE%\Documents\GitHub\eaglep3\Utilities\RefineRTDCRunTimes.py" --tripid 234-03 --locoid 4015 --swversion DE.1.0.8.0 --startMP 204:232959 --initTime 2016-11-03T22:51:11 --startdatetime 2016-11-03T22:56:36 --delay 1 --endMP 204:158 --enddatetime 2016-11-03T23:39:42 --enforcementcount 0 &gt;&gt;C:\Users\stu\Documents\GitHub\eaglep3-reporting\EC\2016-11-03-refined-times.txt</v>
      </c>
      <c r="AI146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{"issue":{"subject":"","project_id":79,"tracker_id":40,"status_id":1,"priority_id":2,"assigned_to_id":23,"start_date":"2016-11-03","description":"","custom_fields":[{"id":1,"name":"Subdivision","value":"EC"},{"id":4,"name":"Milepost","value":"0.0158"},{"id":17,"name":"Train ID","value":"234-03"},{"id":16,"name":"Locomotive ID","value":"4015"},{"id":130,"name":"Impact","value":""},{"id":150,"name":"Time of Event (Mountain Time)","value":"23:39:42"},{"id":151,"name":"Denver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618</v>
      </c>
      <c r="B147" s="7">
        <v>4025</v>
      </c>
      <c r="C147" s="22" t="s">
        <v>245</v>
      </c>
      <c r="D147" s="22" t="s">
        <v>687</v>
      </c>
      <c r="E147" s="13">
        <v>42677.923981481479</v>
      </c>
      <c r="F147" s="13">
        <v>42677.938703703701</v>
      </c>
      <c r="G147" s="7">
        <v>1</v>
      </c>
      <c r="H147" s="22" t="s">
        <v>212</v>
      </c>
      <c r="I147" s="13">
        <v>42677.963854166665</v>
      </c>
      <c r="J147" s="7">
        <v>0</v>
      </c>
      <c r="K147" s="112" t="str">
        <f t="shared" si="47"/>
        <v>4025/4026</v>
      </c>
      <c r="L147" s="22" t="str">
        <f>VLOOKUP(A147,'Trips&amp;Operators'!$C$1:$E$10000,3,FALSE)</f>
        <v>STAMBAUGH</v>
      </c>
      <c r="M147" s="6">
        <f t="shared" si="48"/>
        <v>2.5150462963210884E-2</v>
      </c>
      <c r="N147" s="7">
        <f t="shared" si="46"/>
        <v>36.216666667023674</v>
      </c>
      <c r="O147" s="7"/>
      <c r="P147" s="7"/>
      <c r="Q147" s="23"/>
      <c r="R147" s="23"/>
      <c r="S147" s="35">
        <f t="shared" si="49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21:10:32-0600',mode:absolute,to:'2016-11-04 00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7" s="52" t="str">
        <f t="shared" si="52"/>
        <v>N</v>
      </c>
      <c r="X147" s="177">
        <f t="shared" si="45"/>
        <v>1</v>
      </c>
      <c r="Y147" s="67">
        <f t="shared" si="53"/>
        <v>4.3700000000000003E-2</v>
      </c>
      <c r="Z147" s="67">
        <f t="shared" si="54"/>
        <v>23.329499999999999</v>
      </c>
      <c r="AA147" s="67">
        <f t="shared" si="55"/>
        <v>23.285799999999998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6"/>
        <v>0235-03</v>
      </c>
      <c r="AE147" s="91" t="str">
        <f t="shared" si="57"/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AF147" s="88" t="str">
        <f t="shared" si="58"/>
        <v>"C:\Program Files (x86)\AstroGrep\AstroGrep.exe" /spath="%USERPROFILE%\AppData\Local\Temp\OnboardLogs" /stypes="app*4025*20161104*" /stext=" 05:.+((SYSTEM_STATE.+slice.+state.+changed )|(ment ac)|(system.+state.+changed )|(\[timeout)|(PRM\|1\|D)|(kpr)|(kdp)|(\|lc)|(penalty))" /e /r /s</v>
      </c>
      <c r="AG147" s="1" t="str">
        <f t="shared" si="59"/>
        <v>EC</v>
      </c>
      <c r="AH147" s="92" t="str">
        <f t="shared" si="60"/>
        <v>"%USERPROFILE%\Documents\GitHub\eaglep3\Utilities\RefineRTDCRunTimes.py" --tripid 235-03 --locoid 4025 --swversion DE.1.0.8.0 --startMP 204:437 --initTime 2016-11-03T22:10:32 --startdatetime 2016-11-03T22:31:44 --delay 1 --endMP 204:233295 --enddatetime 2016-11-03T23:07:57 --enforcementcount 0 &gt;&gt;C:\Users\stu\Documents\GitHub\eaglep3-reporting\EC\2016-11-03-refined-times.txt</v>
      </c>
      <c r="AI147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{"issue":{"subject":"","project_id":79,"tracker_id":40,"status_id":1,"priority_id":2,"assigned_to_id":23,"start_date":"2016-11-03","description":"","custom_fields":[{"id":1,"name":"Subdivision","value":"EC"},{"id":4,"name":"Milepost","value":"23.3295"},{"id":17,"name":"Train ID","value":"235-03"},{"id":16,"name":"Locomotive ID","value":"4025"},{"id":130,"name":"Impact","value":""},{"id":150,"name":"Time of Event (Mountain Time)","value":"23:07:57"},{"id":151,"name":"Denver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448</v>
      </c>
      <c r="B148" s="7">
        <v>4026</v>
      </c>
      <c r="C148" s="22" t="s">
        <v>245</v>
      </c>
      <c r="D148" s="22" t="s">
        <v>325</v>
      </c>
      <c r="E148" s="13">
        <v>42677.965787037036</v>
      </c>
      <c r="F148" s="13">
        <v>42677.977743055555</v>
      </c>
      <c r="G148" s="7">
        <v>1</v>
      </c>
      <c r="H148" s="22" t="s">
        <v>638</v>
      </c>
      <c r="I148" s="13">
        <v>42678.005104166667</v>
      </c>
      <c r="J148" s="7">
        <v>0</v>
      </c>
      <c r="K148" s="112" t="str">
        <f t="shared" si="47"/>
        <v>4025/4026</v>
      </c>
      <c r="L148" s="22" t="str">
        <f>VLOOKUP(A148,'Trips&amp;Operators'!$C$1:$E$10000,3,FALSE)</f>
        <v>STAMBAUGH</v>
      </c>
      <c r="M148" s="6">
        <f t="shared" si="48"/>
        <v>2.73611111115315E-2</v>
      </c>
      <c r="N148" s="7">
        <f t="shared" si="46"/>
        <v>39.40000000060536</v>
      </c>
      <c r="O148" s="7"/>
      <c r="P148" s="7"/>
      <c r="Q148" s="23"/>
      <c r="R148" s="23"/>
      <c r="S148" s="35">
        <f t="shared" si="49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22:10:44-0600',mode:absolute,to:'2016-11-04 01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8" s="52" t="str">
        <f t="shared" si="52"/>
        <v>N</v>
      </c>
      <c r="X148" s="177">
        <f t="shared" si="45"/>
        <v>1</v>
      </c>
      <c r="Y148" s="67">
        <f t="shared" si="53"/>
        <v>23.2987</v>
      </c>
      <c r="Z148" s="67">
        <f t="shared" si="54"/>
        <v>1.6E-2</v>
      </c>
      <c r="AA148" s="67">
        <f t="shared" si="55"/>
        <v>23.282700000000002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6"/>
        <v>0236-03</v>
      </c>
      <c r="AE148" s="91" t="str">
        <f t="shared" si="57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148" s="88" t="str">
        <f t="shared" si="58"/>
        <v>"C:\Program Files (x86)\AstroGrep\AstroGrep.exe" /spath="%USERPROFILE%\AppData\Local\Temp\OnboardLogs" /stypes="app*4026*20161104*" /stext=" 06:.+((SYSTEM_STATE.+slice.+state.+changed )|(ment ac)|(system.+state.+changed )|(\[timeout)|(PRM\|1\|D)|(kpr)|(kdp)|(\|lc)|(penalty))" /e /r /s</v>
      </c>
      <c r="AG148" s="1" t="str">
        <f t="shared" si="59"/>
        <v>EC</v>
      </c>
      <c r="AH148" s="92" t="str">
        <f t="shared" si="60"/>
        <v>"%USERPROFILE%\Documents\GitHub\eaglep3\Utilities\RefineRTDCRunTimes.py" --tripid 236-03 --locoid 4026 --swversion DE.1.0.8.0 --startMP 204:232987 --initTime 2016-11-03T23:10:44 --startdatetime 2016-11-03T23:27:57 --delay 1 --endMP 204:160 --enddatetime 2016-11-04T00:07:21 --enforcementcount 0 &gt;&gt;C:\Users\stu\Documents\GitHub\eaglep3-reporting\EC\2016-11-03-refined-times.txt</v>
      </c>
      <c r="AI148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{"issue":{"subject":"","project_id":79,"tracker_id":40,"status_id":1,"priority_id":2,"assigned_to_id":23,"start_date":"2016-11-04","description":"","custom_fields":[{"id":1,"name":"Subdivision","value":"EC"},{"id":4,"name":"Milepost","value":"0.016"},{"id":17,"name":"Train ID","value":"236-03"},{"id":16,"name":"Locomotive ID","value":"4026"},{"id":130,"name":"Impact","value":""},{"id":150,"name":"Time of Event (Mountain Time)","value":"00:07:21"},{"id":151,"name":"Denver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619</v>
      </c>
      <c r="B149" s="7">
        <v>4031</v>
      </c>
      <c r="C149" s="22" t="s">
        <v>245</v>
      </c>
      <c r="D149" s="22" t="s">
        <v>213</v>
      </c>
      <c r="E149" s="13">
        <v>42677.951736111114</v>
      </c>
      <c r="F149" s="13">
        <v>42677.958518518521</v>
      </c>
      <c r="G149" s="7">
        <v>1</v>
      </c>
      <c r="H149" s="22" t="s">
        <v>290</v>
      </c>
      <c r="I149" s="13">
        <v>42677.984444444446</v>
      </c>
      <c r="J149" s="7">
        <v>0</v>
      </c>
      <c r="K149" s="112" t="str">
        <f t="shared" si="47"/>
        <v>4031/4032</v>
      </c>
      <c r="L149" s="22" t="str">
        <f>VLOOKUP(A149,'Trips&amp;Operators'!$C$1:$E$10000,3,FALSE)</f>
        <v>JOHNSON</v>
      </c>
      <c r="M149" s="6">
        <f t="shared" si="48"/>
        <v>2.5925925925548654E-2</v>
      </c>
      <c r="N149" s="7">
        <f t="shared" si="46"/>
        <v>37.333333332790062</v>
      </c>
      <c r="O149" s="7"/>
      <c r="P149" s="7"/>
      <c r="Q149" s="23"/>
      <c r="R149" s="23"/>
      <c r="S149" s="35">
        <f t="shared" si="49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21:50:30-0600',mode:absolute,to:'2016-11-04 00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9" s="52" t="str">
        <f t="shared" si="52"/>
        <v>N</v>
      </c>
      <c r="X149" s="177">
        <f t="shared" si="45"/>
        <v>1</v>
      </c>
      <c r="Y149" s="67">
        <f t="shared" si="53"/>
        <v>4.5999999999999999E-2</v>
      </c>
      <c r="Z149" s="67">
        <f t="shared" si="54"/>
        <v>23.330200000000001</v>
      </c>
      <c r="AA149" s="67">
        <f t="shared" si="55"/>
        <v>23.284200000000002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6"/>
        <v>0237-03</v>
      </c>
      <c r="AE149" s="91" t="str">
        <f t="shared" si="57"/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AF149" s="88" t="str">
        <f t="shared" si="58"/>
        <v>"C:\Program Files (x86)\AstroGrep\AstroGrep.exe" /spath="%USERPROFILE%\AppData\Local\Temp\OnboardLogs" /stypes="app*4031*20161104*" /stext=" 05:.+((SYSTEM_STATE.+slice.+state.+changed )|(ment ac)|(system.+state.+changed )|(\[timeout)|(PRM\|1\|D)|(kpr)|(kdp)|(\|lc)|(penalty))" /e /r /s</v>
      </c>
      <c r="AG149" s="1" t="str">
        <f t="shared" si="59"/>
        <v>EC</v>
      </c>
      <c r="AH149" s="92" t="str">
        <f t="shared" si="60"/>
        <v>"%USERPROFILE%\Documents\GitHub\eaglep3\Utilities\RefineRTDCRunTimes.py" --tripid 237-03 --locoid 4031 --swversion DE.1.0.8.0 --startMP 204:460 --initTime 2016-11-03T22:50:30 --startdatetime 2016-11-03T23:00:16 --delay 1 --endMP 204:233302 --enddatetime 2016-11-03T23:37:36 --enforcementcount 0 &gt;&gt;C:\Users\stu\Documents\GitHub\eaglep3-reporting\EC\2016-11-03-refined-times.txt</v>
      </c>
      <c r="AI149" s="122" t="str">
        <f t="shared" si="61"/>
        <v>echo {"issue":{"subject":"","project_id":79,"tracker_id":40,"status_id":1,"priority_id":2,"assigned_to_id":23,"start_date":"2016-11-03","description":"","custom_fields":[{"id":1,"name":"Subdivision","value":"EC"},{"id":4,"name":"Milepost","value":"23.3302"},{"id":17,"name":"Train ID","value":"237-03"},{"id":16,"name":"Locomotive ID","value":"4031"},{"id":130,"name":"Impact","value":""},{"id":150,"name":"Time of Event (Mountain Time)","value":"23:37:36"},{"id":151,"name":"Denver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622</v>
      </c>
      <c r="B150" s="7">
        <v>4032</v>
      </c>
      <c r="C150" s="22" t="s">
        <v>245</v>
      </c>
      <c r="D150" s="22" t="s">
        <v>325</v>
      </c>
      <c r="E150" s="13">
        <v>42677.992349537039</v>
      </c>
      <c r="F150" s="13">
        <v>42677.997453703705</v>
      </c>
      <c r="G150" s="7">
        <v>1</v>
      </c>
      <c r="H150" s="22" t="s">
        <v>203</v>
      </c>
      <c r="I150" s="13">
        <v>42678.026076388887</v>
      </c>
      <c r="J150" s="7">
        <v>0</v>
      </c>
      <c r="K150" s="112" t="str">
        <f t="shared" si="47"/>
        <v>4031/4032</v>
      </c>
      <c r="L150" s="22" t="str">
        <f>VLOOKUP(A150,'Trips&amp;Operators'!$C$1:$E$10000,3,FALSE)</f>
        <v>JOHNSON</v>
      </c>
      <c r="M150" s="6">
        <f t="shared" si="48"/>
        <v>2.8622685182199348E-2</v>
      </c>
      <c r="N150" s="7">
        <f t="shared" si="46"/>
        <v>41.216666662367061</v>
      </c>
      <c r="O150" s="7"/>
      <c r="P150" s="7"/>
      <c r="Q150" s="23"/>
      <c r="R150" s="23"/>
      <c r="S150" s="35">
        <f t="shared" si="49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22:48:59-0600',mode:absolute,to:'2016-11-04 01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0" s="52" t="str">
        <f t="shared" si="52"/>
        <v>N</v>
      </c>
      <c r="X150" s="177">
        <f t="shared" si="45"/>
        <v>1</v>
      </c>
      <c r="Y150" s="67">
        <f t="shared" si="53"/>
        <v>23.2987</v>
      </c>
      <c r="Z150" s="67">
        <f t="shared" si="54"/>
        <v>1.54E-2</v>
      </c>
      <c r="AA150" s="67">
        <f t="shared" si="55"/>
        <v>23.283300000000001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6"/>
        <v>0238-03</v>
      </c>
      <c r="AE150" s="91" t="str">
        <f t="shared" si="57"/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AF150" s="88" t="str">
        <f t="shared" si="58"/>
        <v>"C:\Program Files (x86)\AstroGrep\AstroGrep.exe" /spath="%USERPROFILE%\AppData\Local\Temp\OnboardLogs" /stypes="app*4032*20161104*" /stext=" 06:.+((SYSTEM_STATE.+slice.+state.+changed )|(ment ac)|(system.+state.+changed )|(\[timeout)|(PRM\|1\|D)|(kpr)|(kdp)|(\|lc)|(penalty))" /e /r /s</v>
      </c>
      <c r="AG150" s="1" t="str">
        <f t="shared" si="59"/>
        <v>EC</v>
      </c>
      <c r="AH150" s="92" t="str">
        <f t="shared" si="60"/>
        <v>"%USERPROFILE%\Documents\GitHub\eaglep3\Utilities\RefineRTDCRunTimes.py" --tripid 238-03 --locoid 4032 --swversion DE.1.0.8.0 --startMP 204:232987 --initTime 2016-11-03T23:48:59 --startdatetime 2016-11-03T23:56:20 --delay 1 --endMP 204:154 --enddatetime 2016-11-04T00:37:33 --enforcementcount 0 &gt;&gt;C:\Users\stu\Documents\GitHub\eaglep3-reporting\EC\2016-11-03-refined-times.txt</v>
      </c>
      <c r="AI150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{"issue":{"subject":"","project_id":79,"tracker_id":40,"status_id":1,"priority_id":2,"assigned_to_id":23,"start_date":"2016-11-04","description":"","custom_fields":[{"id":1,"name":"Subdivision","value":"EC"},{"id":4,"name":"Milepost","value":"0.0154"},{"id":17,"name":"Train ID","value":"238-03"},{"id":16,"name":"Locomotive ID","value":"4032"},{"id":130,"name":"Impact","value":""},{"id":150,"name":"Time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621</v>
      </c>
      <c r="B151" s="7">
        <v>4014</v>
      </c>
      <c r="C151" s="22" t="s">
        <v>245</v>
      </c>
      <c r="D151" s="22" t="s">
        <v>214</v>
      </c>
      <c r="E151" s="13">
        <v>42677.972719907404</v>
      </c>
      <c r="F151" s="13">
        <v>42677.979456018518</v>
      </c>
      <c r="G151" s="7">
        <v>1</v>
      </c>
      <c r="H151" s="22" t="s">
        <v>381</v>
      </c>
      <c r="I151" s="13">
        <v>42678.00472222222</v>
      </c>
      <c r="J151" s="7">
        <v>0</v>
      </c>
      <c r="K151" s="112" t="str">
        <f t="shared" si="47"/>
        <v>4013/4014</v>
      </c>
      <c r="L151" s="22" t="str">
        <f>VLOOKUP(A151,'Trips&amp;Operators'!$C$1:$E$10000,3,FALSE)</f>
        <v>CRAYTON</v>
      </c>
      <c r="M151" s="6">
        <f t="shared" si="48"/>
        <v>2.5266203701903578E-2</v>
      </c>
      <c r="N151" s="7">
        <f t="shared" si="46"/>
        <v>36.383333330741152</v>
      </c>
      <c r="O151" s="7"/>
      <c r="P151" s="7"/>
      <c r="Q151" s="23"/>
      <c r="R151" s="23"/>
      <c r="S151" s="35">
        <f t="shared" si="49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22:20:43-0600',mode:absolute,to:'2016-11-04 01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2" t="str">
        <f t="shared" si="52"/>
        <v>N</v>
      </c>
      <c r="X151" s="177">
        <f t="shared" si="45"/>
        <v>1</v>
      </c>
      <c r="Y151" s="67">
        <f t="shared" si="53"/>
        <v>4.5100000000000001E-2</v>
      </c>
      <c r="Z151" s="67">
        <f t="shared" si="54"/>
        <v>23.331499999999998</v>
      </c>
      <c r="AA151" s="67">
        <f t="shared" si="55"/>
        <v>23.286399999999997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6"/>
        <v>0239-03</v>
      </c>
      <c r="AE151" s="91" t="str">
        <f t="shared" si="57"/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AF151" s="88" t="str">
        <f t="shared" si="58"/>
        <v>"C:\Program Files (x86)\AstroGrep\AstroGrep.exe" /spath="%USERPROFILE%\AppData\Local\Temp\OnboardLogs" /stypes="app*4014*20161104*" /stext=" 06:.+((SYSTEM_STATE.+slice.+state.+changed )|(ment ac)|(system.+state.+changed )|(\[timeout)|(PRM\|1\|D)|(kpr)|(kdp)|(\|lc)|(penalty))" /e /r /s</v>
      </c>
      <c r="AG151" s="1" t="str">
        <f t="shared" si="59"/>
        <v>EC</v>
      </c>
      <c r="AH151" s="92" t="str">
        <f t="shared" si="60"/>
        <v>"%USERPROFILE%\Documents\GitHub\eaglep3\Utilities\RefineRTDCRunTimes.py" --tripid 239-03 --locoid 4014 --swversion DE.1.0.8.0 --startMP 204:451 --initTime 2016-11-03T23:20:43 --startdatetime 2016-11-03T23:30:25 --delay 1 --endMP 204:233315 --enddatetime 2016-11-04T00:06:48 --enforcementcount 0 &gt;&gt;C:\Users\stu\Documents\GitHub\eaglep3-reporting\EC\2016-11-03-refined-times.txt</v>
      </c>
      <c r="AI151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{"issue":{"subject":"","project_id":79,"tracker_id":40,"status_id":1,"priority_id":2,"assigned_to_id":23,"start_date":"2016-11-04","description":"","custom_fields":[{"id":1,"name":"Subdivision","value":"EC"},{"id":4,"name":"Milepost","value":"23.3315"},{"id":17,"name":"Train ID","value":"239-03"},{"id":16,"name":"Locomotive ID","value":"4014"},{"id":130,"name":"Impact","value":""},{"id":150,"name":"Time of Event (Mountain Time)","value":"00:06:48"},{"id":151,"name":"Denver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624</v>
      </c>
      <c r="B152" s="7">
        <v>4013</v>
      </c>
      <c r="C152" s="22" t="s">
        <v>245</v>
      </c>
      <c r="D152" s="22" t="s">
        <v>248</v>
      </c>
      <c r="E152" s="13">
        <v>42678.014363425929</v>
      </c>
      <c r="F152" s="13">
        <v>42678.018321759257</v>
      </c>
      <c r="G152" s="7">
        <v>1</v>
      </c>
      <c r="H152" s="22" t="s">
        <v>176</v>
      </c>
      <c r="I152" s="13">
        <v>42678.045844907407</v>
      </c>
      <c r="J152" s="7">
        <v>0</v>
      </c>
      <c r="K152" s="112" t="str">
        <f t="shared" si="47"/>
        <v>4013/4014</v>
      </c>
      <c r="L152" s="22" t="str">
        <f>VLOOKUP(A152,'Trips&amp;Operators'!$C$1:$E$10000,3,FALSE)</f>
        <v>CRAYTON</v>
      </c>
      <c r="M152" s="6">
        <f t="shared" si="48"/>
        <v>2.7523148150066845E-2</v>
      </c>
      <c r="N152" s="7">
        <f t="shared" si="46"/>
        <v>39.633333336096257</v>
      </c>
      <c r="O152" s="7"/>
      <c r="P152" s="7"/>
      <c r="Q152" s="23"/>
      <c r="R152" s="23"/>
      <c r="S152" s="35">
        <f t="shared" si="49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23:20:41-0600',mode:absolute,to:'2016-11-04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2" s="52" t="str">
        <f t="shared" si="52"/>
        <v>N</v>
      </c>
      <c r="X152" s="177">
        <f t="shared" si="45"/>
        <v>1</v>
      </c>
      <c r="Y152" s="67">
        <f t="shared" si="53"/>
        <v>23.298300000000001</v>
      </c>
      <c r="Z152" s="67">
        <f t="shared" si="54"/>
        <v>1.52E-2</v>
      </c>
      <c r="AA152" s="67">
        <f t="shared" si="55"/>
        <v>23.283100000000001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6"/>
        <v>0240-03</v>
      </c>
      <c r="AE152" s="91" t="str">
        <f t="shared" si="57"/>
        <v>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 &amp; 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</v>
      </c>
      <c r="AF152" s="88" t="str">
        <f t="shared" si="58"/>
        <v>"C:\Program Files (x86)\AstroGrep\AstroGrep.exe" /spath="%USERPROFILE%\AppData\Local\Temp\OnboardLogs" /stypes="app*4013*20161104*" /stext=" 07:.+((SYSTEM_STATE.+slice.+state.+changed )|(ment ac)|(system.+state.+changed )|(\[timeout)|(PRM\|1\|D)|(kpr)|(kdp)|(\|lc)|(penalty))" /e /r /s</v>
      </c>
      <c r="AG152" s="1" t="str">
        <f t="shared" si="59"/>
        <v>EC</v>
      </c>
      <c r="AH152" s="92" t="str">
        <f t="shared" si="60"/>
        <v>"%USERPROFILE%\Documents\GitHub\eaglep3\Utilities\RefineRTDCRunTimes.py" --tripid 240-03 --locoid 4013 --swversion DE.1.0.8.0 --startMP 204:232983 --initTime 2016-11-04T00:20:41 --startdatetime 2016-11-04T00:26:23 --delay 1 --endMP 204:152 --enddatetime 2016-11-04T01:06:01 --enforcementcount 0 &gt;&gt;C:\Users\stu\Documents\GitHub\eaglep3-reporting\EC\2016-11-03-refined-times.txt</v>
      </c>
      <c r="AI152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ID","value":"240-03"},{"id":16,"name":"Locomotive ID","value":"4013"},{"id":130,"name":"Impact","value":""},{"id":150,"name":"Time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450</v>
      </c>
      <c r="B153" s="7">
        <v>4016</v>
      </c>
      <c r="C153" s="22" t="s">
        <v>245</v>
      </c>
      <c r="D153" s="22" t="s">
        <v>260</v>
      </c>
      <c r="E153" s="13">
        <v>42677.99622685185</v>
      </c>
      <c r="F153" s="13">
        <v>42678.000208333331</v>
      </c>
      <c r="G153" s="7">
        <v>1</v>
      </c>
      <c r="H153" s="22" t="s">
        <v>652</v>
      </c>
      <c r="I153" s="13">
        <v>42678.027094907404</v>
      </c>
      <c r="J153" s="7">
        <v>0</v>
      </c>
      <c r="K153" s="112" t="str">
        <f t="shared" si="47"/>
        <v>4015/4016</v>
      </c>
      <c r="L153" s="22" t="str">
        <f>VLOOKUP(A153,'Trips&amp;Operators'!$C$1:$E$10000,3,FALSE)</f>
        <v>LEVIN</v>
      </c>
      <c r="M153" s="6">
        <f t="shared" si="48"/>
        <v>2.6886574072705116E-2</v>
      </c>
      <c r="N153" s="7">
        <f t="shared" si="46"/>
        <v>38.716666664695367</v>
      </c>
      <c r="O153" s="7"/>
      <c r="P153" s="7"/>
      <c r="Q153" s="23"/>
      <c r="R153" s="23"/>
      <c r="S153" s="35">
        <f t="shared" si="49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22:54:34-0600',mode:absolute,to:'2016-11-04 01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52"/>
        <v>N</v>
      </c>
      <c r="X153" s="177">
        <f t="shared" si="45"/>
        <v>1</v>
      </c>
      <c r="Y153" s="67">
        <f t="shared" si="53"/>
        <v>4.7300000000000002E-2</v>
      </c>
      <c r="Z153" s="67">
        <f t="shared" si="54"/>
        <v>23.331900000000001</v>
      </c>
      <c r="AA153" s="67">
        <f t="shared" si="55"/>
        <v>23.284600000000001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6"/>
        <v>0241-03</v>
      </c>
      <c r="AE153" s="91" t="str">
        <f t="shared" si="57"/>
        <v>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 &amp; 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</v>
      </c>
      <c r="AF153" s="88" t="str">
        <f t="shared" si="58"/>
        <v>"C:\Program Files (x86)\AstroGrep\AstroGrep.exe" /spath="%USERPROFILE%\AppData\Local\Temp\OnboardLogs" /stypes="app*4016*20161104*" /stext=" 06:.+((SYSTEM_STATE.+slice.+state.+changed )|(ment ac)|(system.+state.+changed )|(\[timeout)|(PRM\|1\|D)|(kpr)|(kdp)|(\|lc)|(penalty))" /e /r /s</v>
      </c>
      <c r="AG153" s="1" t="str">
        <f t="shared" si="59"/>
        <v>EC</v>
      </c>
      <c r="AH153" s="92" t="str">
        <f t="shared" si="60"/>
        <v>"%USERPROFILE%\Documents\GitHub\eaglep3\Utilities\RefineRTDCRunTimes.py" --tripid 241-03 --locoid 4016 --swversion DE.1.0.8.0 --startMP 204:473 --initTime 2016-11-03T23:54:34 --startdatetime 2016-11-04T00:00:18 --delay 1 --endMP 204:233319 --enddatetime 2016-11-04T00:39:01 --enforcementcount 0 &gt;&gt;C:\Users\stu\Documents\GitHub\eaglep3-reporting\EC\2016-11-03-refined-times.txt</v>
      </c>
      <c r="AI153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{"issue":{"subject":"","project_id":79,"tracker_id":40,"status_id":1,"priority_id":2,"assigned_to_id":23,"start_date":"2016-11-04","description":"","custom_fields":[{"id":1,"name":"Subdivision","value":"EC"},{"id":4,"name":"Milepost","value":"23.3319"},{"id":17,"name":"Train ID","value":"241-03"},{"id":16,"name":"Locomotive ID","value":"4016"},{"id":130,"name":"Impact","value":""},{"id":150,"name":"Time of Event (Mountain Time)","value":"00:39:01"},{"id":151,"name":"Denver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626</v>
      </c>
      <c r="B154" s="7">
        <v>4015</v>
      </c>
      <c r="C154" s="22" t="s">
        <v>245</v>
      </c>
      <c r="D154" s="22" t="s">
        <v>327</v>
      </c>
      <c r="E154" s="13">
        <v>42678.034444444442</v>
      </c>
      <c r="F154" s="13">
        <v>42678.039097222223</v>
      </c>
      <c r="G154" s="7">
        <v>1</v>
      </c>
      <c r="H154" s="22" t="s">
        <v>225</v>
      </c>
      <c r="I154" s="13">
        <v>42678.064791666664</v>
      </c>
      <c r="J154" s="7">
        <v>0</v>
      </c>
      <c r="K154" s="112" t="str">
        <f t="shared" si="47"/>
        <v>4015/4016</v>
      </c>
      <c r="L154" s="22" t="str">
        <f>VLOOKUP(A154,'Trips&amp;Operators'!$C$1:$E$10000,3,FALSE)</f>
        <v>LEVIN</v>
      </c>
      <c r="M154" s="6">
        <f t="shared" si="48"/>
        <v>2.569444444088731E-2</v>
      </c>
      <c r="N154" s="7">
        <f t="shared" si="46"/>
        <v>36.999999994877726</v>
      </c>
      <c r="O154" s="7"/>
      <c r="P154" s="7"/>
      <c r="Q154" s="23"/>
      <c r="R154" s="23"/>
      <c r="S154" s="35">
        <f t="shared" si="49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23:49:36-0600',mode:absolute,to:'2016-11-04 02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52"/>
        <v>N</v>
      </c>
      <c r="X154" s="177">
        <f t="shared" si="45"/>
        <v>1</v>
      </c>
      <c r="Y154" s="67">
        <f t="shared" si="53"/>
        <v>23.299800000000001</v>
      </c>
      <c r="Z154" s="67">
        <f t="shared" si="54"/>
        <v>1.5599999999999999E-2</v>
      </c>
      <c r="AA154" s="67">
        <f t="shared" si="55"/>
        <v>23.284200000000002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6"/>
        <v>0242-03</v>
      </c>
      <c r="AE154" s="91" t="str">
        <f t="shared" si="57"/>
        <v>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 &amp; 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</v>
      </c>
      <c r="AF154" s="88" t="str">
        <f t="shared" si="58"/>
        <v>"C:\Program Files (x86)\AstroGrep\AstroGrep.exe" /spath="%USERPROFILE%\AppData\Local\Temp\OnboardLogs" /stypes="app*4015*20161104*" /stext=" 07:.+((SYSTEM_STATE.+slice.+state.+changed )|(ment ac)|(system.+state.+changed )|(\[timeout)|(PRM\|1\|D)|(kpr)|(kdp)|(\|lc)|(penalty))" /e /r /s</v>
      </c>
      <c r="AG154" s="1" t="str">
        <f t="shared" si="59"/>
        <v>EC</v>
      </c>
      <c r="AH154" s="92" t="str">
        <f t="shared" si="60"/>
        <v>"%USERPROFILE%\Documents\GitHub\eaglep3\Utilities\RefineRTDCRunTimes.py" --tripid 242-03 --locoid 4015 --swversion DE.1.0.8.0 --startMP 204:232998 --initTime 2016-11-04T00:49:36 --startdatetime 2016-11-04T00:56:18 --delay 1 --endMP 204:156 --enddatetime 2016-11-04T01:33:18 --enforcementcount 0 &gt;&gt;C:\Users\stu\Documents\GitHub\eaglep3-reporting\EC\2016-11-03-refined-times.txt</v>
      </c>
      <c r="AI154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{"issue":{"subject":"","project_id":79,"tracker_id":40,"status_id":1,"priority_id":2,"assigned_to_id":23,"start_date":"2016-11-04","description":"","custom_fields":[{"id":1,"name":"Subdivision","value":"EC"},{"id":4,"name":"Milepost","value":"0.0156"},{"id":17,"name":"Train ID","value":"242-03"},{"id":16,"name":"Locomotive ID","value":"4015"},{"id":130,"name":"Impact","value":""},{"id":150,"name":"Time of Event (Mountain Time)","value":"01:33:18"},{"id":151,"name":"Denver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623</v>
      </c>
      <c r="B155" s="7">
        <v>4025</v>
      </c>
      <c r="C155" s="22" t="s">
        <v>245</v>
      </c>
      <c r="D155" s="22" t="s">
        <v>230</v>
      </c>
      <c r="E155" s="13">
        <v>42678.008333333331</v>
      </c>
      <c r="F155" s="13">
        <v>42678.021145833336</v>
      </c>
      <c r="G155" s="7">
        <v>1</v>
      </c>
      <c r="H155" s="22" t="s">
        <v>294</v>
      </c>
      <c r="I155" s="13">
        <v>42678.045752314814</v>
      </c>
      <c r="J155" s="7">
        <v>0</v>
      </c>
      <c r="K155" s="112" t="str">
        <f t="shared" si="47"/>
        <v>4025/4026</v>
      </c>
      <c r="L155" s="22" t="str">
        <f>VLOOKUP(A155,'Trips&amp;Operators'!$C$1:$E$10000,3,FALSE)</f>
        <v>STAMBAUGH</v>
      </c>
      <c r="M155" s="6">
        <f t="shared" si="48"/>
        <v>2.4606481478258502E-2</v>
      </c>
      <c r="N155" s="7">
        <f t="shared" si="46"/>
        <v>35.433333328692243</v>
      </c>
      <c r="O155" s="7"/>
      <c r="P155" s="7"/>
      <c r="Q155" s="23"/>
      <c r="R155" s="23"/>
      <c r="S155" s="35">
        <f t="shared" si="49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23:12:00-0600',mode:absolute,to:'2016-11-04 02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5" s="52" t="str">
        <f t="shared" si="52"/>
        <v>N</v>
      </c>
      <c r="X155" s="177">
        <f t="shared" si="45"/>
        <v>1</v>
      </c>
      <c r="Y155" s="67">
        <f t="shared" si="53"/>
        <v>4.6199999999999998E-2</v>
      </c>
      <c r="Z155" s="67">
        <f t="shared" si="54"/>
        <v>23.331</v>
      </c>
      <c r="AA155" s="67">
        <f t="shared" si="55"/>
        <v>23.284800000000001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6"/>
        <v>0243-03</v>
      </c>
      <c r="AE155" s="91" t="str">
        <f t="shared" si="57"/>
        <v>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 &amp; 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</v>
      </c>
      <c r="AF155" s="88" t="str">
        <f t="shared" si="58"/>
        <v>"C:\Program Files (x86)\AstroGrep\AstroGrep.exe" /spath="%USERPROFILE%\AppData\Local\Temp\OnboardLogs" /stypes="app*4025*20161104*" /stext=" 07:.+((SYSTEM_STATE.+slice.+state.+changed )|(ment ac)|(system.+state.+changed )|(\[timeout)|(PRM\|1\|D)|(kpr)|(kdp)|(\|lc)|(penalty))" /e /r /s</v>
      </c>
      <c r="AG155" s="1" t="str">
        <f t="shared" si="59"/>
        <v>EC</v>
      </c>
      <c r="AH155" s="92" t="str">
        <f t="shared" si="60"/>
        <v>"%USERPROFILE%\Documents\GitHub\eaglep3\Utilities\RefineRTDCRunTimes.py" --tripid 243-03 --locoid 4025 --swversion DE.1.0.8.0 --startMP 204:462 --initTime 2016-11-04T00:12:00 --startdatetime 2016-11-04T00:30:27 --delay 1 --endMP 204:233310 --enddatetime 2016-11-04T01:05:53 --enforcementcount 0 &gt;&gt;C:\Users\stu\Documents\GitHub\eaglep3-reporting\EC\2016-11-03-refined-times.txt</v>
      </c>
      <c r="AI155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{"issue":{"subject":"","project_id":79,"tracker_id":40,"status_id":1,"priority_id":2,"assigned_to_id":23,"start_date":"2016-11-04","description":"","custom_fields":[{"id":1,"name":"Subdivision","value":"EC"},{"id":4,"name":"Milepost","value":"23.331"},{"id":17,"name":"Train ID","value":"243-03"},{"id":16,"name":"Locomotive ID","value":"4025"},{"id":130,"name":"Impact","value":""},{"id":150,"name":"Time of Event (Mountain Time)","value":"01:05:53"},{"id":151,"name":"Denver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628</v>
      </c>
      <c r="B156" s="7">
        <v>4026</v>
      </c>
      <c r="C156" s="22" t="s">
        <v>245</v>
      </c>
      <c r="D156" s="22" t="s">
        <v>325</v>
      </c>
      <c r="E156" s="13">
        <v>42678.055046296293</v>
      </c>
      <c r="F156" s="13">
        <v>42678.060150462959</v>
      </c>
      <c r="G156" s="7">
        <v>1</v>
      </c>
      <c r="H156" s="22" t="s">
        <v>176</v>
      </c>
      <c r="I156" s="13">
        <v>42678.085289351853</v>
      </c>
      <c r="J156" s="7">
        <v>0</v>
      </c>
      <c r="K156" s="112" t="str">
        <f t="shared" si="47"/>
        <v>4025/4026</v>
      </c>
      <c r="L156" s="22" t="str">
        <f>VLOOKUP(A156,'Trips&amp;Operators'!$C$1:$E$10000,3,FALSE)</f>
        <v>STAMBAUGH</v>
      </c>
      <c r="M156" s="6">
        <f t="shared" si="48"/>
        <v>2.513888889370719E-2</v>
      </c>
      <c r="N156" s="7">
        <f t="shared" si="46"/>
        <v>36.200000006938353</v>
      </c>
      <c r="O156" s="7"/>
      <c r="P156" s="7"/>
      <c r="Q156" s="23"/>
      <c r="R156" s="23"/>
      <c r="S156" s="35">
        <f t="shared" si="49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https://search-rtdc-monitor-bjffxe2xuh6vdkpspy63sjmuny.us-east-1.es.amazonaws.com/_plugin/kibana/#/discover/Steve-Slow-Train-Analysis-(2080s-and-2083s)?_g=(refreshInterval:(display:Off,section:0,value:0),time:(from:'2016-11-04 00:19:16-0600',mode:absolute,to:'2016-11-04 03:02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6" s="52" t="str">
        <f t="shared" si="52"/>
        <v>N</v>
      </c>
      <c r="X156" s="177">
        <f t="shared" si="45"/>
        <v>1</v>
      </c>
      <c r="Y156" s="67">
        <f t="shared" si="53"/>
        <v>23.2987</v>
      </c>
      <c r="Z156" s="67">
        <f t="shared" si="54"/>
        <v>1.52E-2</v>
      </c>
      <c r="AA156" s="67">
        <f t="shared" si="55"/>
        <v>23.2835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6"/>
        <v>0244-03</v>
      </c>
      <c r="AE156" s="91" t="str">
        <f t="shared" si="57"/>
        <v>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 &amp; 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</v>
      </c>
      <c r="AF156" s="88" t="str">
        <f t="shared" si="58"/>
        <v>"C:\Program Files (x86)\AstroGrep\AstroGrep.exe" /spath="%USERPROFILE%\AppData\Local\Temp\OnboardLogs" /stypes="app*4026*20161104*" /stext=" 08:.+((SYSTEM_STATE.+slice.+state.+changed )|(ment ac)|(system.+state.+changed )|(\[timeout)|(PRM\|1\|D)|(kpr)|(kdp)|(\|lc)|(penalty))" /e /r /s</v>
      </c>
      <c r="AG156" s="1" t="str">
        <f t="shared" si="59"/>
        <v>EC</v>
      </c>
      <c r="AH156" s="92" t="str">
        <f t="shared" si="60"/>
        <v>"%USERPROFILE%\Documents\GitHub\eaglep3\Utilities\RefineRTDCRunTimes.py" --tripid 244-03 --locoid 4026 --swversion DE.1.0.8.0 --startMP 204:232987 --initTime 2016-11-04T01:19:16 --startdatetime 2016-11-04T01:26:37 --delay 1 --endMP 204:152 --enddatetime 2016-11-04T02:02:49 --enforcementcount 0 &gt;&gt;C:\Users\stu\Documents\GitHub\eaglep3-reporting\EC\2016-11-03-refined-times.txt</v>
      </c>
      <c r="AI156" s="122" t="str">
        <f t="shared" si="61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ID","value":"244-03"},{"id":16,"name":"Locomotive ID","value":"4026"},{"id":130,"name":"Impact","value":""},{"id":150,"name":"Time of Event (Mountain Time)","value":"02:02:49"},{"id":151,"name":"Denver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467</v>
      </c>
      <c r="B157" s="7">
        <v>4012</v>
      </c>
      <c r="C157" s="22" t="s">
        <v>245</v>
      </c>
      <c r="D157" s="22" t="s">
        <v>722</v>
      </c>
      <c r="E157" s="13">
        <v>42677.214236111111</v>
      </c>
      <c r="F157" s="13">
        <v>42677.216331018521</v>
      </c>
      <c r="G157" s="7">
        <v>1</v>
      </c>
      <c r="H157" s="22" t="s">
        <v>723</v>
      </c>
      <c r="I157" s="13">
        <v>42677.225914351853</v>
      </c>
      <c r="J157" s="7">
        <v>0</v>
      </c>
      <c r="K157" s="112" t="str">
        <f t="shared" si="47"/>
        <v>4011/4012</v>
      </c>
      <c r="L157" s="22" t="str">
        <f>VLOOKUP(A157,'Trips&amp;Operators'!$C$1:$E$10000,3,FALSE)</f>
        <v>LALONDE</v>
      </c>
      <c r="M157" s="6">
        <f t="shared" si="48"/>
        <v>9.5833333325572312E-3</v>
      </c>
      <c r="N157" s="7">
        <f t="shared" si="46"/>
        <v>13.799999998882413</v>
      </c>
      <c r="O157" s="7"/>
      <c r="P157" s="7"/>
      <c r="Q157" s="23"/>
      <c r="R157" s="23"/>
      <c r="S157" s="35">
        <f t="shared" si="49"/>
        <v>1</v>
      </c>
      <c r="T157" s="50" t="str">
        <f t="shared" si="5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04:08:30-0600',mode:absolute,to:'2016-11-03 06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7" s="52" t="str">
        <f t="shared" si="52"/>
        <v>N</v>
      </c>
      <c r="X157" s="177">
        <f t="shared" si="45"/>
        <v>556</v>
      </c>
      <c r="Y157" s="67">
        <f t="shared" si="53"/>
        <v>5.8592000000000004</v>
      </c>
      <c r="Z157" s="67">
        <f t="shared" si="54"/>
        <v>7.4700000000000003E-2</v>
      </c>
      <c r="AA157" s="67">
        <f t="shared" si="55"/>
        <v>5.7845000000000004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6"/>
        <v>0800-03</v>
      </c>
      <c r="AE157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57" s="88" t="str">
        <f t="shared" si="58"/>
        <v>"C:\Program Files (x86)\AstroGrep\AstroGrep.exe" /spath="%USERPROFILE%\AppData\Local\Temp\OnboardLogs" /stypes="app*4012*20161103*" /stext=" 11:.+((SYSTEM_STATE.+slice.+state.+changed )|(ment ac)|(system.+state.+changed )|(\[timeout)|(PRM\|1\|D)|(kpr)|(kdp)|(\|lc)|(penalty))" /e /r /s</v>
      </c>
      <c r="AG157" s="1" t="str">
        <f t="shared" si="59"/>
        <v>NW</v>
      </c>
      <c r="AH157" s="92" t="str">
        <f t="shared" si="60"/>
        <v>"%USERPROFILE%\Documents\GitHub\eaglep3\Utilities\RefineRTDCRunTimes.py" --tripid 800-03 --locoid 4012 --swversion DE.1.0.8.0 --startMP 300:58592 --initTime 2016-11-03T05:08:30 --startdatetime 2016-11-03T05:11:31 --delay 1 --endMP 204:747 --enddatetime 2016-11-03T05:25:19 --enforcementcount 0 &gt;&gt;C:\Users\stu\Documents\GitHub\eaglep3-reporting\EC\2016-11-03-refined-times.txt</v>
      </c>
      <c r="AI157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{"issue":{"subject":"","project_id":79,"tracker_id":40,"status_id":1,"priority_id":2,"assigned_to_id":23,"start_date":"2016-11-03","description":"","custom_fields":[{"id":1,"name":"Subdivision","value":"NW"},{"id":4,"name":"Milepost","value":"0.0747"},{"id":17,"name":"Train ID","value":"800-03"},{"id":16,"name":"Locomotive ID","value":"4012"},{"id":130,"name":"Impact","value":""},{"id":150,"name":"Time of Event (Mountain Time)","value":"05:25:19"},{"id":151,"name":"Denver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470</v>
      </c>
      <c r="B158" s="7">
        <v>4011</v>
      </c>
      <c r="C158" s="22" t="s">
        <v>245</v>
      </c>
      <c r="D158" s="22" t="s">
        <v>395</v>
      </c>
      <c r="E158" s="13">
        <v>42677.242604166669</v>
      </c>
      <c r="F158" s="13">
        <v>42677.244016203702</v>
      </c>
      <c r="G158" s="7">
        <v>0</v>
      </c>
      <c r="H158" s="22" t="s">
        <v>264</v>
      </c>
      <c r="I158" s="13">
        <v>42677.252847222226</v>
      </c>
      <c r="J158" s="7">
        <v>0</v>
      </c>
      <c r="K158" s="112" t="str">
        <f t="shared" si="47"/>
        <v>4011/4012</v>
      </c>
      <c r="L158" s="22" t="str">
        <f>VLOOKUP(A158,'Trips&amp;Operators'!$C$1:$E$10000,3,FALSE)</f>
        <v>LALONDE</v>
      </c>
      <c r="M158" s="6">
        <f t="shared" si="48"/>
        <v>8.8310185237787664E-3</v>
      </c>
      <c r="N158" s="7">
        <f t="shared" si="46"/>
        <v>12.716666674241424</v>
      </c>
      <c r="O158" s="7"/>
      <c r="P158" s="7"/>
      <c r="Q158" s="23"/>
      <c r="R158" s="23"/>
      <c r="S158" s="35">
        <f t="shared" si="49"/>
        <v>1</v>
      </c>
      <c r="T158" s="50" t="str">
        <f t="shared" si="5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04:49:21-0600',mode:absolute,to:'2016-11-03 07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8" s="52" t="str">
        <f t="shared" si="52"/>
        <v>N</v>
      </c>
      <c r="X158" s="177">
        <f t="shared" si="45"/>
        <v>1</v>
      </c>
      <c r="Y158" s="67">
        <f t="shared" si="53"/>
        <v>0.10299999999999999</v>
      </c>
      <c r="Z158" s="67">
        <f t="shared" si="54"/>
        <v>5.8925999999999998</v>
      </c>
      <c r="AA158" s="67">
        <f t="shared" si="55"/>
        <v>5.7896000000000001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6"/>
        <v>0801-03</v>
      </c>
      <c r="AE158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58" s="88" t="str">
        <f t="shared" si="58"/>
        <v>"C:\Program Files (x86)\AstroGrep\AstroGrep.exe" /spath="%USERPROFILE%\AppData\Local\Temp\OnboardLogs" /stypes="app*4011*20161103*" /stext=" 12:.+((SYSTEM_STATE.+slice.+state.+changed )|(ment ac)|(system.+state.+changed )|(\[timeout)|(PRM\|1\|D)|(kpr)|(kdp)|(\|lc)|(penalty))" /e /r /s</v>
      </c>
      <c r="AG158" s="1" t="str">
        <f t="shared" si="59"/>
        <v>NW</v>
      </c>
      <c r="AH158" s="92" t="str">
        <f t="shared" si="60"/>
        <v>"%USERPROFILE%\Documents\GitHub\eaglep3\Utilities\RefineRTDCRunTimes.py" --tripid 801-03 --locoid 4011 --swversion DE.1.0.8.0 --startMP 204:1030 --initTime 2016-11-03T05:49:21 --startdatetime 2016-11-03T05:51:23 --delay 0 --endMP 300:58926 --enddatetime 2016-11-03T06:04:06 --enforcementcount 0 &gt;&gt;C:\Users\stu\Documents\GitHub\eaglep3-reporting\EC\2016-11-03-refined-times.txt</v>
      </c>
      <c r="AI158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{"issue":{"subject":"","project_id":79,"tracker_id":40,"status_id":1,"priority_id":2,"assigned_to_id":23,"start_date":"2016-11-03","description":"","custom_fields":[{"id":1,"name":"Subdivision","value":"NW"},{"id":4,"name":"Milepost","value":"5.8926"},{"id":17,"name":"Train ID","value":"801-03"},{"id":16,"name":"Locomotive ID","value":"4011"},{"id":130,"name":"Impact","value":""},{"id":150,"name":"Time of Event (Mountain Time)","value":"06:04:06"},{"id":151,"name":"Denver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475</v>
      </c>
      <c r="B159" s="7">
        <v>4012</v>
      </c>
      <c r="C159" s="22" t="s">
        <v>245</v>
      </c>
      <c r="D159" s="22" t="s">
        <v>724</v>
      </c>
      <c r="E159" s="13">
        <v>42677.254212962966</v>
      </c>
      <c r="F159" s="13">
        <v>42677.257638888892</v>
      </c>
      <c r="G159" s="7">
        <v>1</v>
      </c>
      <c r="H159" s="22" t="s">
        <v>337</v>
      </c>
      <c r="I159" s="13">
        <v>42677.267592592594</v>
      </c>
      <c r="J159" s="7">
        <v>0</v>
      </c>
      <c r="K159" s="112" t="str">
        <f t="shared" si="47"/>
        <v>4011/4012</v>
      </c>
      <c r="L159" s="22" t="str">
        <f>VLOOKUP(A159,'Trips&amp;Operators'!$C$1:$E$10000,3,FALSE)</f>
        <v>LALONDE</v>
      </c>
      <c r="M159" s="6">
        <f t="shared" si="48"/>
        <v>9.9537037021946162E-3</v>
      </c>
      <c r="N159" s="7">
        <f t="shared" ref="N159:N164" si="62">24*60*SUM($M159:$M159)</f>
        <v>14.333333331160247</v>
      </c>
      <c r="O159" s="7"/>
      <c r="P159" s="7"/>
      <c r="Q159" s="23"/>
      <c r="R159" s="23"/>
      <c r="S159" s="35">
        <f t="shared" si="49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05:06:04-0600',mode:absolute,to:'2016-11-03 07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9" s="52" t="str">
        <f t="shared" si="52"/>
        <v>N</v>
      </c>
      <c r="X159" s="177">
        <f t="shared" si="45"/>
        <v>1</v>
      </c>
      <c r="Y159" s="67">
        <f t="shared" si="53"/>
        <v>5.8616999999999999</v>
      </c>
      <c r="Z159" s="67">
        <f t="shared" si="54"/>
        <v>7.3099999999999998E-2</v>
      </c>
      <c r="AA159" s="67">
        <f t="shared" si="55"/>
        <v>5.7885999999999997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6"/>
        <v>0802-03</v>
      </c>
      <c r="AE159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59" s="88" t="str">
        <f t="shared" si="58"/>
        <v>"C:\Program Files (x86)\AstroGrep\AstroGrep.exe" /spath="%USERPROFILE%\AppData\Local\Temp\OnboardLogs" /stypes="app*4012*20161103*" /stext=" 12:.+((SYSTEM_STATE.+slice.+state.+changed )|(ment ac)|(system.+state.+changed )|(\[timeout)|(PRM\|1\|D)|(kpr)|(kdp)|(\|lc)|(penalty))" /e /r /s</v>
      </c>
      <c r="AG159" s="1" t="str">
        <f t="shared" si="59"/>
        <v>NW</v>
      </c>
      <c r="AH159" s="92" t="str">
        <f t="shared" si="60"/>
        <v>"%USERPROFILE%\Documents\GitHub\eaglep3\Utilities\RefineRTDCRunTimes.py" --tripid 802-03 --locoid 4012 --swversion DE.1.0.8.0 --startMP 300:58617 --initTime 2016-11-03T06:06:04 --startdatetime 2016-11-03T06:11:00 --delay 1 --endMP 204:731 --enddatetime 2016-11-03T06:25:20 --enforcementcount 0 &gt;&gt;C:\Users\stu\Documents\GitHub\eaglep3-reporting\EC\2016-11-03-refined-times.txt</v>
      </c>
      <c r="AI159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{"issue":{"subject":"","project_id":79,"tracker_id":40,"status_id":1,"priority_id":2,"assigned_to_id":23,"start_date":"2016-11-03","description":"","custom_fields":[{"id":1,"name":"Subdivision","value":"NW"},{"id":4,"name":"Milepost","value":"0.0731"},{"id":17,"name":"Train ID","value":"802-03"},{"id":16,"name":"Locomotive ID","value":"4012"},{"id":130,"name":"Impact","value":""},{"id":150,"name":"Time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476</v>
      </c>
      <c r="B160" s="7">
        <v>4053</v>
      </c>
      <c r="C160" s="22" t="s">
        <v>245</v>
      </c>
      <c r="D160" s="22" t="s">
        <v>725</v>
      </c>
      <c r="E160" s="13">
        <v>42677.292800925927</v>
      </c>
      <c r="F160" s="13">
        <v>42677.306435185186</v>
      </c>
      <c r="G160" s="7">
        <v>16</v>
      </c>
      <c r="H160" s="22" t="s">
        <v>726</v>
      </c>
      <c r="I160" s="13">
        <v>42677.315509259257</v>
      </c>
      <c r="J160" s="7">
        <v>0</v>
      </c>
      <c r="K160" s="112" t="str">
        <f t="shared" si="47"/>
        <v>4053/4054</v>
      </c>
      <c r="L160" s="22" t="str">
        <f>VLOOKUP(A160,'Trips&amp;Operators'!$C$1:$E$10000,3,FALSE)</f>
        <v>DAVIDSON</v>
      </c>
      <c r="M160" s="6">
        <f t="shared" si="48"/>
        <v>9.074074070667848E-3</v>
      </c>
      <c r="N160" s="7">
        <f t="shared" si="62"/>
        <v>13.066666661761701</v>
      </c>
      <c r="O160" s="7"/>
      <c r="P160" s="7"/>
      <c r="Q160" s="23"/>
      <c r="R160" s="23"/>
      <c r="S160" s="35">
        <f t="shared" si="49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06:01:38-0600',mode:absolute,to:'2016-11-03 08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0" s="52" t="str">
        <f t="shared" si="52"/>
        <v>N</v>
      </c>
      <c r="X160" s="177">
        <f t="shared" si="45"/>
        <v>1</v>
      </c>
      <c r="Y160" s="67">
        <f t="shared" si="53"/>
        <v>0.10340000000000001</v>
      </c>
      <c r="Z160" s="67">
        <f t="shared" si="54"/>
        <v>5.9001000000000001</v>
      </c>
      <c r="AA160" s="67">
        <f t="shared" si="55"/>
        <v>5.7967000000000004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6"/>
        <v>0803-03</v>
      </c>
      <c r="AE160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60" s="88" t="str">
        <f t="shared" si="58"/>
        <v>"C:\Program Files (x86)\AstroGrep\AstroGrep.exe" /spath="%USERPROFILE%\AppData\Local\Temp\OnboardLogs" /stypes="app*4053*20161103*" /stext=" 13:.+((SYSTEM_STATE.+slice.+state.+changed )|(ment ac)|(system.+state.+changed )|(\[timeout)|(PRM\|1\|D)|(kpr)|(kdp)|(\|lc)|(penalty))" /e /r /s</v>
      </c>
      <c r="AG160" s="1" t="str">
        <f t="shared" si="59"/>
        <v>NW</v>
      </c>
      <c r="AH160" s="92" t="str">
        <f t="shared" si="60"/>
        <v>"%USERPROFILE%\Documents\GitHub\eaglep3\Utilities\RefineRTDCRunTimes.py" --tripid 803-03 --locoid 4053 --swversion DE.1.0.8.0 --startMP 204:1034 --initTime 2016-11-03T07:01:38 --startdatetime 2016-11-03T07:21:16 --delay 16 --endMP 300:59001 --enddatetime 2016-11-03T07:34:20 --enforcementcount 0 &gt;&gt;C:\Users\stu\Documents\GitHub\eaglep3-reporting\EC\2016-11-03-refined-times.txt</v>
      </c>
      <c r="AI160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{"issue":{"subject":"","project_id":79,"tracker_id":40,"status_id":1,"priority_id":2,"assigned_to_id":23,"start_date":"2016-11-03","description":"","custom_fields":[{"id":1,"name":"Subdivision","value":"NW"},{"id":4,"name":"Milepost","value":"5.9001"},{"id":17,"name":"Train ID","value":"803-03"},{"id":16,"name":"Locomotive ID","value":"4053"},{"id":130,"name":"Impact","value":""},{"id":150,"name":"Time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405</v>
      </c>
      <c r="B161" s="7">
        <v>4054</v>
      </c>
      <c r="C161" s="22" t="s">
        <v>245</v>
      </c>
      <c r="D161" s="22" t="s">
        <v>727</v>
      </c>
      <c r="E161" s="13">
        <v>42677.27983796296</v>
      </c>
      <c r="F161" s="13">
        <v>42677.281145833331</v>
      </c>
      <c r="G161" s="7">
        <v>1</v>
      </c>
      <c r="H161" s="22" t="s">
        <v>728</v>
      </c>
      <c r="I161" s="13">
        <v>42677.290324074071</v>
      </c>
      <c r="J161" s="7">
        <v>0</v>
      </c>
      <c r="K161" s="112" t="str">
        <f t="shared" si="47"/>
        <v>4053/4054</v>
      </c>
      <c r="L161" s="22" t="str">
        <f>VLOOKUP(A161,'Trips&amp;Operators'!$C$1:$E$10000,3,FALSE)</f>
        <v>DAVIDSON</v>
      </c>
      <c r="M161" s="6">
        <f t="shared" si="48"/>
        <v>9.1782407398568466E-3</v>
      </c>
      <c r="N161" s="7">
        <f t="shared" si="62"/>
        <v>13.216666665393859</v>
      </c>
      <c r="O161" s="7"/>
      <c r="P161" s="7"/>
      <c r="Q161" s="23"/>
      <c r="R161" s="23"/>
      <c r="S161" s="35">
        <f t="shared" si="49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05:42:58-0600',mode:absolute,to:'2016-11-03 07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1" s="52" t="str">
        <f t="shared" si="52"/>
        <v>N</v>
      </c>
      <c r="X161" s="177">
        <f t="shared" ref="X161:X164" si="63">VALUE(LEFT(AD161,4))-VALUE(LEFT(AD160,4))</f>
        <v>1</v>
      </c>
      <c r="Y161" s="67">
        <f t="shared" si="53"/>
        <v>5.7344999999999997</v>
      </c>
      <c r="Z161" s="67">
        <f t="shared" si="54"/>
        <v>7.4800000000000005E-2</v>
      </c>
      <c r="AA161" s="67">
        <f t="shared" si="55"/>
        <v>5.6597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6"/>
        <v>0804-03</v>
      </c>
      <c r="AE161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61" s="88" t="str">
        <f t="shared" si="58"/>
        <v>"C:\Program Files (x86)\AstroGrep\AstroGrep.exe" /spath="%USERPROFILE%\AppData\Local\Temp\OnboardLogs" /stypes="app*4054*20161103*" /stext=" 12:.+((SYSTEM_STATE.+slice.+state.+changed )|(ment ac)|(system.+state.+changed )|(\[timeout)|(PRM\|1\|D)|(kpr)|(kdp)|(\|lc)|(penalty))" /e /r /s</v>
      </c>
      <c r="AG161" s="1" t="str">
        <f t="shared" si="59"/>
        <v>NW</v>
      </c>
      <c r="AH161" s="92" t="str">
        <f t="shared" si="60"/>
        <v>"%USERPROFILE%\Documents\GitHub\eaglep3\Utilities\RefineRTDCRunTimes.py" --tripid 804-03 --locoid 4054 --swversion DE.1.0.8.0 --startMP 300:57345 --initTime 2016-11-03T06:42:58 --startdatetime 2016-11-03T06:44:51 --delay 1 --endMP 204:748 --enddatetime 2016-11-03T06:58:04 --enforcementcount 0 &gt;&gt;C:\Users\stu\Documents\GitHub\eaglep3-reporting\EC\2016-11-03-refined-times.txt</v>
      </c>
      <c r="AI161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{"issue":{"subject":"","project_id":79,"tracker_id":40,"status_id":1,"priority_id":2,"assigned_to_id":23,"start_date":"2016-11-03","description":"","custom_fields":[{"id":1,"name":"Subdivision","value":"NW"},{"id":4,"name":"Milepost","value":"0.0748"},{"id":17,"name":"Train ID","value":"804-03"},{"id":16,"name":"Locomotive ID","value":"4054"},{"id":130,"name":"Impact","value":""},{"id":150,"name":"Time of Event (Mountain Time)","value":"06:58:04"},{"id":151,"name":"Denver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482</v>
      </c>
      <c r="B162" s="7">
        <v>4011</v>
      </c>
      <c r="C162" s="22" t="s">
        <v>245</v>
      </c>
      <c r="D162" s="22" t="s">
        <v>399</v>
      </c>
      <c r="E162" s="13">
        <v>42677.284490740742</v>
      </c>
      <c r="F162" s="13">
        <v>42677.286400462966</v>
      </c>
      <c r="G162" s="7">
        <v>1</v>
      </c>
      <c r="H162" s="22" t="s">
        <v>338</v>
      </c>
      <c r="I162" s="13">
        <v>42677.295972222222</v>
      </c>
      <c r="J162" s="7">
        <v>0</v>
      </c>
      <c r="K162" s="112" t="str">
        <f t="shared" si="47"/>
        <v>4011/4012</v>
      </c>
      <c r="L162" s="22" t="str">
        <f>VLOOKUP(A162,'Trips&amp;Operators'!$C$1:$E$10000,3,FALSE)</f>
        <v>LALONDE</v>
      </c>
      <c r="M162" s="6">
        <f t="shared" si="48"/>
        <v>9.5717592557775788E-3</v>
      </c>
      <c r="N162" s="7">
        <f t="shared" si="62"/>
        <v>13.783333328319713</v>
      </c>
      <c r="O162" s="7"/>
      <c r="P162" s="7"/>
      <c r="Q162" s="23"/>
      <c r="R162" s="23"/>
      <c r="S162" s="35">
        <f t="shared" si="49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05:49:40-0600',mode:absolute,to:'2016-11-03 08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2" t="str">
        <f t="shared" si="52"/>
        <v>N</v>
      </c>
      <c r="X162" s="177">
        <f t="shared" si="63"/>
        <v>1</v>
      </c>
      <c r="Y162" s="67">
        <f t="shared" si="53"/>
        <v>0.1027</v>
      </c>
      <c r="Z162" s="67">
        <f t="shared" si="54"/>
        <v>5.8930999999999996</v>
      </c>
      <c r="AA162" s="67">
        <f t="shared" si="55"/>
        <v>5.7904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6"/>
        <v>0805-03</v>
      </c>
      <c r="AE162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62" s="88" t="str">
        <f t="shared" si="58"/>
        <v>"C:\Program Files (x86)\AstroGrep\AstroGrep.exe" /spath="%USERPROFILE%\AppData\Local\Temp\OnboardLogs" /stypes="app*4011*20161103*" /stext=" 13:.+((SYSTEM_STATE.+slice.+state.+changed )|(ment ac)|(system.+state.+changed )|(\[timeout)|(PRM\|1\|D)|(kpr)|(kdp)|(\|lc)|(penalty))" /e /r /s</v>
      </c>
      <c r="AG162" s="1" t="str">
        <f t="shared" si="59"/>
        <v>NW</v>
      </c>
      <c r="AH162" s="92" t="str">
        <f t="shared" si="60"/>
        <v>"%USERPROFILE%\Documents\GitHub\eaglep3\Utilities\RefineRTDCRunTimes.py" --tripid 805-03 --locoid 4011 --swversion DE.1.0.8.0 --startMP 204:1027 --initTime 2016-11-03T06:49:40 --startdatetime 2016-11-03T06:52:25 --delay 1 --endMP 300:58931 --enddatetime 2016-11-03T07:06:12 --enforcementcount 0 &gt;&gt;C:\Users\stu\Documents\GitHub\eaglep3-reporting\EC\2016-11-03-refined-times.txt</v>
      </c>
      <c r="AI162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{"issue":{"subject":"","project_id":79,"tracker_id":40,"status_id":1,"priority_id":2,"assigned_to_id":23,"start_date":"2016-11-03","description":"","custom_fields":[{"id":1,"name":"Subdivision","value":"NW"},{"id":4,"name":"Milepost","value":"5.8931"},{"id":17,"name":"Train ID","value":"805-03"},{"id":16,"name":"Locomotive ID","value":"4011"},{"id":130,"name":"Impact","value":""},{"id":150,"name":"Time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x14ac:dyDescent="0.25">
      <c r="A163" s="37" t="s">
        <v>486</v>
      </c>
      <c r="B163" s="7">
        <v>4012</v>
      </c>
      <c r="C163" s="22" t="s">
        <v>245</v>
      </c>
      <c r="D163" s="22" t="s">
        <v>729</v>
      </c>
      <c r="E163" s="13">
        <v>42677.298020833332</v>
      </c>
      <c r="F163" s="13">
        <v>42677.299884259257</v>
      </c>
      <c r="G163" s="7">
        <v>1</v>
      </c>
      <c r="H163" s="22" t="s">
        <v>730</v>
      </c>
      <c r="I163" s="13">
        <v>42677.309791666667</v>
      </c>
      <c r="J163" s="7">
        <v>0</v>
      </c>
      <c r="K163" s="112" t="str">
        <f t="shared" si="47"/>
        <v>4011/4012</v>
      </c>
      <c r="L163" s="22" t="str">
        <f>VLOOKUP(A163,'Trips&amp;Operators'!$C$1:$E$10000,3,FALSE)</f>
        <v>LALONDE</v>
      </c>
      <c r="M163" s="6">
        <f t="shared" si="48"/>
        <v>9.9074074096279219E-3</v>
      </c>
      <c r="N163" s="7">
        <f t="shared" si="62"/>
        <v>14.266666669864208</v>
      </c>
      <c r="O163" s="7"/>
      <c r="P163" s="7"/>
      <c r="Q163" s="23"/>
      <c r="R163" s="23"/>
      <c r="S163" s="35">
        <f t="shared" si="49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06:09:09-0600',mode:absolute,to:'2016-11-03 08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 t="shared" si="52"/>
        <v>N</v>
      </c>
      <c r="X163" s="177">
        <f t="shared" si="63"/>
        <v>1</v>
      </c>
      <c r="Y163" s="67">
        <f t="shared" si="53"/>
        <v>5.8619000000000003</v>
      </c>
      <c r="Z163" s="67">
        <f t="shared" si="54"/>
        <v>7.1300000000000002E-2</v>
      </c>
      <c r="AA163" s="67">
        <f t="shared" si="55"/>
        <v>5.7906000000000004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6"/>
        <v>0806-03</v>
      </c>
      <c r="AE163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63" s="88" t="str">
        <f t="shared" si="58"/>
        <v>"C:\Program Files (x86)\AstroGrep\AstroGrep.exe" /spath="%USERPROFILE%\AppData\Local\Temp\OnboardLogs" /stypes="app*4012*20161103*" /stext=" 13:.+((SYSTEM_STATE.+slice.+state.+changed )|(ment ac)|(system.+state.+changed )|(\[timeout)|(PRM\|1\|D)|(kpr)|(kdp)|(\|lc)|(penalty))" /e /r /s</v>
      </c>
      <c r="AG163" s="1" t="str">
        <f t="shared" si="59"/>
        <v>NW</v>
      </c>
      <c r="AH163" s="92" t="str">
        <f t="shared" si="60"/>
        <v>"%USERPROFILE%\Documents\GitHub\eaglep3\Utilities\RefineRTDCRunTimes.py" --tripid 806-03 --locoid 4012 --swversion DE.1.0.8.0 --startMP 300:58619 --initTime 2016-11-03T07:09:09 --startdatetime 2016-11-03T07:11:50 --delay 1 --endMP 204:713 --enddatetime 2016-11-03T07:26:06 --enforcementcount 0 &gt;&gt;C:\Users\stu\Documents\GitHub\eaglep3-reporting\EC\2016-11-03-refined-times.txt</v>
      </c>
      <c r="AI163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{"issue":{"subject":"","project_id":79,"tracker_id":40,"status_id":1,"priority_id":2,"assigned_to_id":23,"start_date":"2016-11-03","description":"","custom_fields":[{"id":1,"name":"Subdivision","value":"NW"},{"id":4,"name":"Milepost","value":"0.0713"},{"id":17,"name":"Train ID","value":"806-03"},{"id":16,"name":"Locomotive ID","value":"4012"},{"id":130,"name":"Impact","value":""},{"id":150,"name":"Time of Event (Mountain Time)","value":"07:26:06"},{"id":151,"name":"Denver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487</v>
      </c>
      <c r="B164" s="7">
        <v>4053</v>
      </c>
      <c r="C164" s="22" t="s">
        <v>245</v>
      </c>
      <c r="D164" s="22" t="s">
        <v>725</v>
      </c>
      <c r="E164" s="13">
        <v>42677.303460648145</v>
      </c>
      <c r="F164" s="13">
        <v>42677.306435185186</v>
      </c>
      <c r="G164" s="7">
        <v>1</v>
      </c>
      <c r="H164" s="22" t="s">
        <v>726</v>
      </c>
      <c r="I164" s="13">
        <v>42677.315509259257</v>
      </c>
      <c r="J164" s="7">
        <v>0</v>
      </c>
      <c r="K164" s="112" t="str">
        <f t="shared" si="47"/>
        <v>4053/4054</v>
      </c>
      <c r="L164" s="22" t="str">
        <f>VLOOKUP(A164,'Trips&amp;Operators'!$C$1:$E$10000,3,FALSE)</f>
        <v>DAVIDSON</v>
      </c>
      <c r="M164" s="6">
        <f t="shared" si="48"/>
        <v>9.074074070667848E-3</v>
      </c>
      <c r="N164" s="7">
        <f t="shared" si="62"/>
        <v>13.066666661761701</v>
      </c>
      <c r="O164" s="7"/>
      <c r="P164" s="7"/>
      <c r="Q164" s="23"/>
      <c r="R164" s="23"/>
      <c r="S164" s="35">
        <f t="shared" si="49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06:16:59-0600',mode:absolute,to:'2016-11-03 08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4" s="52" t="str">
        <f t="shared" si="52"/>
        <v>N</v>
      </c>
      <c r="X164" s="177">
        <f t="shared" si="63"/>
        <v>1</v>
      </c>
      <c r="Y164" s="67">
        <f t="shared" si="53"/>
        <v>0.10340000000000001</v>
      </c>
      <c r="Z164" s="67">
        <f t="shared" si="54"/>
        <v>5.9001000000000001</v>
      </c>
      <c r="AA164" s="67">
        <f t="shared" si="55"/>
        <v>5.7967000000000004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6"/>
        <v>0807-03</v>
      </c>
      <c r="AE164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64" s="88" t="str">
        <f t="shared" si="58"/>
        <v>"C:\Program Files (x86)\AstroGrep\AstroGrep.exe" /spath="%USERPROFILE%\AppData\Local\Temp\OnboardLogs" /stypes="app*4053*20161103*" /stext=" 13:.+((SYSTEM_STATE.+slice.+state.+changed )|(ment ac)|(system.+state.+changed )|(\[timeout)|(PRM\|1\|D)|(kpr)|(kdp)|(\|lc)|(penalty))" /e /r /s</v>
      </c>
      <c r="AG164" s="1" t="str">
        <f t="shared" si="59"/>
        <v>NW</v>
      </c>
      <c r="AH164" s="92" t="str">
        <f t="shared" si="60"/>
        <v>"%USERPROFILE%\Documents\GitHub\eaglep3\Utilities\RefineRTDCRunTimes.py" --tripid 807-03 --locoid 4053 --swversion DE.1.0.8.0 --startMP 204:1034 --initTime 2016-11-03T07:16:59 --startdatetime 2016-11-03T07:21:16 --delay 1 --endMP 300:59001 --enddatetime 2016-11-03T07:34:20 --enforcementcount 0 &gt;&gt;C:\Users\stu\Documents\GitHub\eaglep3-reporting\EC\2016-11-03-refined-times.txt</v>
      </c>
      <c r="AI164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{"issue":{"subject":"","project_id":79,"tracker_id":40,"status_id":1,"priority_id":2,"assigned_to_id":23,"start_date":"2016-11-03","description":"","custom_fields":[{"id":1,"name":"Subdivision","value":"NW"},{"id":4,"name":"Milepost","value":"5.9001"},{"id":17,"name":"Train ID","value":"807-03"},{"id":16,"name":"Locomotive ID","value":"4053"},{"id":130,"name":"Impact","value":""},{"id":150,"name":"Time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407</v>
      </c>
      <c r="B165" s="7">
        <v>4054</v>
      </c>
      <c r="C165" s="22" t="s">
        <v>245</v>
      </c>
      <c r="D165" s="22" t="s">
        <v>731</v>
      </c>
      <c r="E165" s="13">
        <v>42677.317025462966</v>
      </c>
      <c r="F165" s="13">
        <v>42677.318819444445</v>
      </c>
      <c r="G165" s="7">
        <v>1</v>
      </c>
      <c r="H165" s="22" t="s">
        <v>732</v>
      </c>
      <c r="I165" s="13">
        <v>42677.326655092591</v>
      </c>
      <c r="J165" s="7">
        <v>0</v>
      </c>
      <c r="K165" s="112" t="str">
        <f t="shared" si="47"/>
        <v>4053/4054</v>
      </c>
      <c r="L165" s="22" t="str">
        <f>VLOOKUP(A165,'Trips&amp;Operators'!$C$1:$E$10000,3,FALSE)</f>
        <v>DAVIDSON</v>
      </c>
      <c r="M165" s="6">
        <f t="shared" si="48"/>
        <v>7.8356481462833472E-3</v>
      </c>
      <c r="N165" s="7"/>
      <c r="O165" s="7"/>
      <c r="P165" s="7">
        <f>24*60*SUM($M165:$M165)</f>
        <v>11.28333333064802</v>
      </c>
      <c r="Q165" s="23"/>
      <c r="R165" s="23" t="s">
        <v>791</v>
      </c>
      <c r="S165" s="35">
        <f t="shared" si="49"/>
        <v>0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06:36:31-0600',mode:absolute,to:'2016-11-03 08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5" s="52" t="str">
        <f t="shared" si="52"/>
        <v>Y</v>
      </c>
      <c r="X165" s="177">
        <f t="shared" ref="X165:X196" si="64">VALUE(LEFT(AD165,4))-VALUE(LEFT(AD164,4))</f>
        <v>1</v>
      </c>
      <c r="Y165" s="67">
        <f t="shared" si="53"/>
        <v>5.8682999999999996</v>
      </c>
      <c r="Z165" s="67">
        <f t="shared" si="54"/>
        <v>2.6133000000000002</v>
      </c>
      <c r="AA165" s="67">
        <f t="shared" si="55"/>
        <v>3.2549999999999994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6"/>
        <v>0808-03</v>
      </c>
      <c r="AE165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65" s="88" t="str">
        <f t="shared" si="58"/>
        <v>"C:\Program Files (x86)\AstroGrep\AstroGrep.exe" /spath="%USERPROFILE%\AppData\Local\Temp\OnboardLogs" /stypes="app*4054*20161103*" /stext=" 13:.+((SYSTEM_STATE.+slice.+state.+changed )|(ment ac)|(system.+state.+changed )|(\[timeout)|(PRM\|1\|D)|(kpr)|(kdp)|(\|lc)|(penalty))" /e /r /s</v>
      </c>
      <c r="AG165" s="1" t="str">
        <f t="shared" si="59"/>
        <v>NW</v>
      </c>
      <c r="AH165" s="92" t="str">
        <f t="shared" si="60"/>
        <v>"%USERPROFILE%\Documents\GitHub\eaglep3\Utilities\RefineRTDCRunTimes.py" --tripid 808-03 --locoid 4054 --swversion DE.1.0.8.0 --startMP 300:58683 --initTime 2016-11-03T07:36:31 --startdatetime 2016-11-03T07:39:06 --delay 1 --endMP 300:26133 --enddatetime 2016-11-03T07:50:23 --enforcementcount 0 &gt;&gt;C:\Users\stu\Documents\GitHub\eaglep3-reporting\EC\2016-11-03-refined-times.txt</v>
      </c>
      <c r="AI165" s="122" t="str">
        <f t="shared" si="61"/>
        <v>echo {"issue":{"subject":"NW0333RH switch failure","project_id":79,"tracker_id":40,"status_id":1,"priority_id":2,"assigned_to_id":23,"start_date":"2016-11-03","description":"Seems like NW0333, NW0264, and W56th Wi-MAX had interruptions in messaging activity in the 07:42 timeframe. Network issues maybe?","custom_fields":[{"id":1,"name":"Subdivision","value":"NW"},{"id":4,"name":"Milepost","value":"2.6133"},{"id":17,"name":"Train ID","value":"808-03"},{"id":16,"name":"Locomotive ID","value":"4054"},{"id":130,"name":"Impact","value":"Enforcement"},{"id":150,"name":"Time of Event (Mountain Time)","value":"07:50:23"},{"id":151,"name":"Denver Issue ID","value":""},{"id":178,"name":"Operational Impact","value":"Yes"},{"id":179,"name":"Denver Segment Assigned","value":"Comms"}]}} | curl -X POST -H "Content-Type: application/json" -H "X-Redmine-API-Key: d6333d4a04012a730768444271f8ca06482dae87" https://secure.xorail.net/redmine/issues.json --data @-</v>
      </c>
      <c r="AJ165" s="53" t="s">
        <v>787</v>
      </c>
      <c r="AK165" s="53" t="s">
        <v>125</v>
      </c>
      <c r="AL165" s="53" t="s">
        <v>136</v>
      </c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489</v>
      </c>
      <c r="B166" s="7">
        <v>4011</v>
      </c>
      <c r="C166" s="22" t="s">
        <v>245</v>
      </c>
      <c r="D166" s="22" t="s">
        <v>296</v>
      </c>
      <c r="E166" s="13">
        <v>42677.311828703707</v>
      </c>
      <c r="F166" s="13">
        <v>42677.32744212963</v>
      </c>
      <c r="G166" s="7">
        <v>1</v>
      </c>
      <c r="H166" s="22" t="s">
        <v>733</v>
      </c>
      <c r="I166" s="13">
        <v>42677.336354166669</v>
      </c>
      <c r="J166" s="7">
        <v>0</v>
      </c>
      <c r="K166" s="112" t="str">
        <f t="shared" si="47"/>
        <v>4011/4012</v>
      </c>
      <c r="L166" s="22" t="str">
        <f>VLOOKUP(A166,'Trips&amp;Operators'!$C$1:$E$10000,3,FALSE)</f>
        <v>LALONDE</v>
      </c>
      <c r="M166" s="6">
        <f t="shared" si="48"/>
        <v>8.9120370394084603E-3</v>
      </c>
      <c r="N166" s="7">
        <f>24*60*SUM($M166:$M166)</f>
        <v>12.833333336748183</v>
      </c>
      <c r="O166" s="7"/>
      <c r="P166" s="7"/>
      <c r="Q166" s="23"/>
      <c r="R166" s="23"/>
      <c r="S166" s="35">
        <f t="shared" si="49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06:29:02-0600',mode:absolute,to:'2016-11-03 09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6" s="52" t="str">
        <f t="shared" si="52"/>
        <v>N</v>
      </c>
      <c r="X166" s="177">
        <f t="shared" si="64"/>
        <v>1</v>
      </c>
      <c r="Y166" s="67">
        <f t="shared" si="53"/>
        <v>0.1016</v>
      </c>
      <c r="Z166" s="67">
        <f t="shared" si="54"/>
        <v>5.8935000000000004</v>
      </c>
      <c r="AA166" s="67">
        <f t="shared" si="55"/>
        <v>5.7919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6"/>
        <v>0809-03</v>
      </c>
      <c r="AE166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66" s="88" t="str">
        <f t="shared" si="58"/>
        <v>"C:\Program Files (x86)\AstroGrep\AstroGrep.exe" /spath="%USERPROFILE%\AppData\Local\Temp\OnboardLogs" /stypes="app*4011*20161103*" /stext=" 14:.+((SYSTEM_STATE.+slice.+state.+changed )|(ment ac)|(system.+state.+changed )|(\[timeout)|(PRM\|1\|D)|(kpr)|(kdp)|(\|lc)|(penalty))" /e /r /s</v>
      </c>
      <c r="AG166" s="1" t="str">
        <f t="shared" si="59"/>
        <v>NW</v>
      </c>
      <c r="AH166" s="92" t="str">
        <f t="shared" si="60"/>
        <v>"%USERPROFILE%\Documents\GitHub\eaglep3\Utilities\RefineRTDCRunTimes.py" --tripid 809-03 --locoid 4011 --swversion DE.1.0.8.0 --startMP 204:1016 --initTime 2016-11-03T07:29:02 --startdatetime 2016-11-03T07:51:31 --delay 1 --endMP 300:58935 --enddatetime 2016-11-03T08:04:21 --enforcementcount 0 &gt;&gt;C:\Users\stu\Documents\GitHub\eaglep3-reporting\EC\2016-11-03-refined-times.txt</v>
      </c>
      <c r="AI166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{"issue":{"subject":"","project_id":79,"tracker_id":40,"status_id":1,"priority_id":2,"assigned_to_id":23,"start_date":"2016-11-03","description":"","custom_fields":[{"id":1,"name":"Subdivision","value":"NW"},{"id":4,"name":"Milepost","value":"5.8935"},{"id":17,"name":"Train ID","value":"809-03"},{"id":16,"name":"Locomotive ID","value":"4011"},{"id":130,"name":"Impact","value":""},{"id":150,"name":"Time of Event (Mountain Time)","value":"08:04:21"},{"id":151,"name":"Denver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492</v>
      </c>
      <c r="B167" s="7">
        <v>4012</v>
      </c>
      <c r="C167" s="22" t="s">
        <v>245</v>
      </c>
      <c r="D167" s="22" t="s">
        <v>341</v>
      </c>
      <c r="E167" s="13">
        <v>42677.337592592594</v>
      </c>
      <c r="F167" s="13">
        <v>42677.339074074072</v>
      </c>
      <c r="G167" s="7">
        <v>1</v>
      </c>
      <c r="H167" s="22" t="s">
        <v>734</v>
      </c>
      <c r="I167" s="13">
        <v>42677.350694444445</v>
      </c>
      <c r="J167" s="7">
        <v>0</v>
      </c>
      <c r="K167" s="112" t="str">
        <f t="shared" si="47"/>
        <v>4011/4012</v>
      </c>
      <c r="L167" s="22" t="str">
        <f>VLOOKUP(A167,'Trips&amp;Operators'!$C$1:$E$10000,3,FALSE)</f>
        <v>LALONDE</v>
      </c>
      <c r="M167" s="6">
        <f t="shared" si="48"/>
        <v>1.1620370372838806E-2</v>
      </c>
      <c r="N167" s="7">
        <f>24*60*SUM($M167:$M167)</f>
        <v>16.733333336887881</v>
      </c>
      <c r="O167" s="7"/>
      <c r="P167" s="7"/>
      <c r="Q167" s="23"/>
      <c r="R167" s="23"/>
      <c r="S167" s="35">
        <f t="shared" si="49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07:06:08-0600',mode:absolute,to:'2016-11-03 09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7" s="52" t="str">
        <f t="shared" si="52"/>
        <v>N</v>
      </c>
      <c r="X167" s="177">
        <f t="shared" si="64"/>
        <v>1</v>
      </c>
      <c r="Y167" s="67">
        <f t="shared" si="53"/>
        <v>5.8611000000000004</v>
      </c>
      <c r="Z167" s="67">
        <f t="shared" si="54"/>
        <v>1.4E-2</v>
      </c>
      <c r="AA167" s="67">
        <f t="shared" si="55"/>
        <v>5.8471000000000002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6"/>
        <v>0810-03</v>
      </c>
      <c r="AE167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67" s="88" t="str">
        <f t="shared" si="58"/>
        <v>"C:\Program Files (x86)\AstroGrep\AstroGrep.exe" /spath="%USERPROFILE%\AppData\Local\Temp\OnboardLogs" /stypes="app*4012*20161103*" /stext=" 14:.+((SYSTEM_STATE.+slice.+state.+changed )|(ment ac)|(system.+state.+changed )|(\[timeout)|(PRM\|1\|D)|(kpr)|(kdp)|(\|lc)|(penalty))" /e /r /s</v>
      </c>
      <c r="AG167" s="1" t="str">
        <f t="shared" si="59"/>
        <v>NW</v>
      </c>
      <c r="AH167" s="92" t="str">
        <f t="shared" si="60"/>
        <v>"%USERPROFILE%\Documents\GitHub\eaglep3\Utilities\RefineRTDCRunTimes.py" --tripid 810-03 --locoid 4012 --swversion DE.1.0.8.0 --startMP 300:58611 --initTime 2016-11-03T08:06:08 --startdatetime 2016-11-03T08:08:16 --delay 1 --endMP 204:140 --enddatetime 2016-11-03T08:25:00 --enforcementcount 0 &gt;&gt;C:\Users\stu\Documents\GitHub\eaglep3-reporting\EC\2016-11-03-refined-times.txt</v>
      </c>
      <c r="AI167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{"issue":{"subject":"","project_id":79,"tracker_id":40,"status_id":1,"priority_id":2,"assigned_to_id":23,"start_date":"2016-11-03","description":"","custom_fields":[{"id":1,"name":"Subdivision","value":"NW"},{"id":4,"name":"Milepost","value":"0.014"},{"id":17,"name":"Train ID","value":"810-03"},{"id":16,"name":"Locomotive ID","value":"4012"},{"id":130,"name":"Impact","value":""},{"id":150,"name":"Time of Event (Mountain Time)","value":"08:25:00"},{"id":151,"name":"Denver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491</v>
      </c>
      <c r="B168" s="7">
        <v>4053</v>
      </c>
      <c r="C168" s="22" t="s">
        <v>245</v>
      </c>
      <c r="D168" s="22" t="s">
        <v>340</v>
      </c>
      <c r="E168" s="13">
        <v>42677.335509259261</v>
      </c>
      <c r="F168" s="13">
        <v>42677.348113425927</v>
      </c>
      <c r="G168" s="7">
        <v>9</v>
      </c>
      <c r="H168" s="22" t="s">
        <v>388</v>
      </c>
      <c r="I168" s="13">
        <v>42677.35796296296</v>
      </c>
      <c r="J168" s="7">
        <v>0</v>
      </c>
      <c r="K168" s="112" t="str">
        <f t="shared" si="47"/>
        <v>4053/4054</v>
      </c>
      <c r="L168" s="22" t="str">
        <f>VLOOKUP(A168,'Trips&amp;Operators'!$C$1:$E$10000,3,FALSE)</f>
        <v>DAVIDSON</v>
      </c>
      <c r="M168" s="6">
        <f t="shared" si="48"/>
        <v>9.8495370330056176E-3</v>
      </c>
      <c r="N168" s="7">
        <f>24*60*SUM($M168:$M168)</f>
        <v>14.183333327528089</v>
      </c>
      <c r="O168" s="7"/>
      <c r="P168" s="7"/>
      <c r="Q168" s="23"/>
      <c r="R168" s="23"/>
      <c r="S168" s="35">
        <f t="shared" si="49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07:03:08-0600',mode:absolute,to:'2016-11-03 09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8" s="52" t="str">
        <f t="shared" si="52"/>
        <v>N</v>
      </c>
      <c r="X168" s="177">
        <f t="shared" si="64"/>
        <v>1</v>
      </c>
      <c r="Y168" s="67">
        <f t="shared" si="53"/>
        <v>9.6699999999999994E-2</v>
      </c>
      <c r="Z168" s="67">
        <f t="shared" si="54"/>
        <v>5.8983999999999996</v>
      </c>
      <c r="AA168" s="67">
        <f t="shared" si="55"/>
        <v>5.8016999999999994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6"/>
        <v>0811-03</v>
      </c>
      <c r="AE168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68" s="88" t="str">
        <f t="shared" si="58"/>
        <v>"C:\Program Files (x86)\AstroGrep\AstroGrep.exe" /spath="%USERPROFILE%\AppData\Local\Temp\OnboardLogs" /stypes="app*4053*20161103*" /stext=" 14:.+((SYSTEM_STATE.+slice.+state.+changed )|(ment ac)|(system.+state.+changed )|(\[timeout)|(PRM\|1\|D)|(kpr)|(kdp)|(\|lc)|(penalty))" /e /r /s</v>
      </c>
      <c r="AG168" s="1" t="str">
        <f t="shared" si="59"/>
        <v>NW</v>
      </c>
      <c r="AH168" s="92" t="str">
        <f t="shared" si="60"/>
        <v>"%USERPROFILE%\Documents\GitHub\eaglep3\Utilities\RefineRTDCRunTimes.py" --tripid 811-03 --locoid 4053 --swversion DE.1.0.8.0 --startMP 204:967 --initTime 2016-11-03T08:03:08 --startdatetime 2016-11-03T08:21:17 --delay 9 --endMP 300:58984 --enddatetime 2016-11-03T08:35:28 --enforcementcount 0 &gt;&gt;C:\Users\stu\Documents\GitHub\eaglep3-reporting\EC\2016-11-03-refined-times.txt</v>
      </c>
      <c r="AI168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{"issue":{"subject":"","project_id":79,"tracker_id":40,"status_id":1,"priority_id":2,"assigned_to_id":23,"start_date":"2016-11-03","description":"","custom_fields":[{"id":1,"name":"Subdivision","value":"NW"},{"id":4,"name":"Milepost","value":"5.8984"},{"id":17,"name":"Train ID","value":"811-03"},{"id":16,"name":"Locomotive ID","value":"4053"},{"id":130,"name":"Impact","value":""},{"id":150,"name":"Time of Event (Mountain Time)","value":"08:35:28"},{"id":151,"name":"Denver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497</v>
      </c>
      <c r="B169" s="7">
        <v>4054</v>
      </c>
      <c r="C169" s="22" t="s">
        <v>245</v>
      </c>
      <c r="D169" s="22" t="s">
        <v>397</v>
      </c>
      <c r="E169" s="13">
        <v>42677.359224537038</v>
      </c>
      <c r="F169" s="13">
        <v>42677.402881944443</v>
      </c>
      <c r="G169" s="7">
        <v>1</v>
      </c>
      <c r="H169" s="22" t="s">
        <v>735</v>
      </c>
      <c r="I169" s="13">
        <v>42677.413240740738</v>
      </c>
      <c r="J169" s="7">
        <v>0</v>
      </c>
      <c r="K169" s="112" t="str">
        <f t="shared" si="47"/>
        <v>4053/4054</v>
      </c>
      <c r="L169" s="22" t="str">
        <f>VLOOKUP(A169,'Trips&amp;Operators'!$C$1:$E$10000,3,FALSE)</f>
        <v>DAVIDSON</v>
      </c>
      <c r="M169" s="6">
        <f t="shared" si="48"/>
        <v>1.0358796294895001E-2</v>
      </c>
      <c r="N169" s="7"/>
      <c r="O169" s="7"/>
      <c r="P169" s="7">
        <f>24*60*SUM($M169:$M169)</f>
        <v>14.916666664648801</v>
      </c>
      <c r="Q169" s="23"/>
      <c r="R169" s="23" t="s">
        <v>400</v>
      </c>
      <c r="S169" s="35">
        <f t="shared" si="49"/>
        <v>0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07:37:17-0600',mode:absolute,to:'2016-11-03 10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9" s="52" t="str">
        <f t="shared" si="52"/>
        <v>Y</v>
      </c>
      <c r="X169" s="177">
        <f t="shared" si="64"/>
        <v>1</v>
      </c>
      <c r="Y169" s="67">
        <f t="shared" si="53"/>
        <v>5.867</v>
      </c>
      <c r="Z169" s="67">
        <f t="shared" si="54"/>
        <v>5.7339000000000002</v>
      </c>
      <c r="AA169" s="67">
        <f t="shared" si="55"/>
        <v>0.13309999999999977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6"/>
        <v>0812-03</v>
      </c>
      <c r="AE169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69" s="88" t="str">
        <f t="shared" si="58"/>
        <v>"C:\Program Files (x86)\AstroGrep\AstroGrep.exe" /spath="%USERPROFILE%\AppData\Local\Temp\OnboardLogs" /stypes="app*4054*20161103*" /stext=" 15:.+((SYSTEM_STATE.+slice.+state.+changed )|(ment ac)|(system.+state.+changed )|(\[timeout)|(PRM\|1\|D)|(kpr)|(kdp)|(\|lc)|(penalty))" /e /r /s</v>
      </c>
      <c r="AG169" s="1" t="str">
        <f t="shared" si="59"/>
        <v>NW</v>
      </c>
      <c r="AH169" s="92" t="str">
        <f t="shared" si="60"/>
        <v>"%USERPROFILE%\Documents\GitHub\eaglep3\Utilities\RefineRTDCRunTimes.py" --tripid 812-03 --locoid 4054 --swversion DE.1.0.8.0 --startMP 300:58670 --initTime 2016-11-03T08:37:17 --startdatetime 2016-11-03T09:40:09 --delay 1 --endMP 300:57339 --enddatetime 2016-11-03T09:55:04 --enforcementcount 0 &gt;&gt;C:\Users\stu\Documents\GitHub\eaglep3-reporting\EC\2016-11-03-refined-times.txt</v>
      </c>
      <c r="AI169" s="122" t="str">
        <f t="shared" si="61"/>
        <v>echo {"issue":{"subject":"Onboard in-route failure","project_id":79,"tracker_id":40,"status_id":1,"priority_id":2,"assigned_to_id":23,"start_date":"2016-11-03","description":"Primary slice change at 08:44:10, prevented map selection","custom_fields":[{"id":1,"name":"Subdivision","value":"NW"},{"id":4,"name":"Milepost","value":"5.7339"},{"id":17,"name":"Train ID","value":"812-03"},{"id":16,"name":"Locomotive ID","value":"4054"},{"id":130,"name":"Impact","value":"Unexpected Cut-Out or Disengaged"},{"id":150,"name":"Time of Event (Mountain Time)","value":"09:55:04"},{"id":151,"name":"Denver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69" s="53" t="s">
        <v>788</v>
      </c>
      <c r="AK169" s="53" t="s">
        <v>131</v>
      </c>
      <c r="AL169" s="53" t="s">
        <v>178</v>
      </c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501</v>
      </c>
      <c r="B170" s="7">
        <v>4053</v>
      </c>
      <c r="C170" s="22" t="s">
        <v>245</v>
      </c>
      <c r="D170" s="22" t="s">
        <v>736</v>
      </c>
      <c r="E170" s="13">
        <v>42677.377835648149</v>
      </c>
      <c r="F170" s="13">
        <v>42677.389872685184</v>
      </c>
      <c r="G170" s="7">
        <v>3</v>
      </c>
      <c r="H170" s="22" t="s">
        <v>389</v>
      </c>
      <c r="I170" s="13">
        <v>42677.399456018517</v>
      </c>
      <c r="J170" s="7">
        <v>0</v>
      </c>
      <c r="K170" s="112" t="str">
        <f t="shared" si="47"/>
        <v>4053/4054</v>
      </c>
      <c r="L170" s="22" t="str">
        <f>VLOOKUP(A170,'Trips&amp;Operators'!$C$1:$E$10000,3,FALSE)</f>
        <v>DAVIDSON</v>
      </c>
      <c r="M170" s="6">
        <f t="shared" si="48"/>
        <v>9.5833333325572312E-3</v>
      </c>
      <c r="N170" s="7">
        <f t="shared" ref="N170:N201" si="65">24*60*SUM($M170:$M170)</f>
        <v>13.799999998882413</v>
      </c>
      <c r="O170" s="7"/>
      <c r="P170" s="7"/>
      <c r="Q170" s="23"/>
      <c r="R170" s="23"/>
      <c r="S170" s="35">
        <f t="shared" si="49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08:04:05-0600',mode:absolute,to:'2016-11-03 10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2" t="str">
        <f t="shared" si="52"/>
        <v>N</v>
      </c>
      <c r="X170" s="177">
        <f t="shared" si="64"/>
        <v>1</v>
      </c>
      <c r="Y170" s="67">
        <f t="shared" si="53"/>
        <v>9.7900000000000001E-2</v>
      </c>
      <c r="Z170" s="67">
        <f t="shared" si="54"/>
        <v>5.8992000000000004</v>
      </c>
      <c r="AA170" s="67">
        <f t="shared" si="55"/>
        <v>5.8013000000000003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6"/>
        <v>0813-03</v>
      </c>
      <c r="AE170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70" s="88" t="str">
        <f t="shared" si="58"/>
        <v>"C:\Program Files (x86)\AstroGrep\AstroGrep.exe" /spath="%USERPROFILE%\AppData\Local\Temp\OnboardLogs" /stypes="app*4053*20161103*" /stext=" 15:.+((SYSTEM_STATE.+slice.+state.+changed )|(ment ac)|(system.+state.+changed )|(\[timeout)|(PRM\|1\|D)|(kpr)|(kdp)|(\|lc)|(penalty))" /e /r /s</v>
      </c>
      <c r="AG170" s="1" t="str">
        <f t="shared" si="59"/>
        <v>NW</v>
      </c>
      <c r="AH170" s="92" t="str">
        <f t="shared" si="60"/>
        <v>"%USERPROFILE%\Documents\GitHub\eaglep3\Utilities\RefineRTDCRunTimes.py" --tripid 813-03 --locoid 4053 --swversion DE.1.0.8.0 --startMP 204:979 --initTime 2016-11-03T09:04:05 --startdatetime 2016-11-03T09:21:25 --delay 3 --endMP 300:58992 --enddatetime 2016-11-03T09:35:13 --enforcementcount 0 &gt;&gt;C:\Users\stu\Documents\GitHub\eaglep3-reporting\EC\2016-11-03-refined-times.txt</v>
      </c>
      <c r="AI170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{"issue":{"subject":"","project_id":79,"tracker_id":40,"status_id":1,"priority_id":2,"assigned_to_id":23,"start_date":"2016-11-03","description":"","custom_fields":[{"id":1,"name":"Subdivision","value":"NW"},{"id":4,"name":"Milepost","value":"5.8992"},{"id":17,"name":"Train ID","value":"813-03"},{"id":16,"name":"Locomotive ID","value":"4053"},{"id":130,"name":"Impact","value":""},{"id":150,"name":"Time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413</v>
      </c>
      <c r="B171" s="7">
        <v>4054</v>
      </c>
      <c r="C171" s="22" t="s">
        <v>245</v>
      </c>
      <c r="D171" s="22" t="s">
        <v>387</v>
      </c>
      <c r="E171" s="13">
        <v>42677.400902777779</v>
      </c>
      <c r="F171" s="13">
        <v>42677.402881944443</v>
      </c>
      <c r="G171" s="7">
        <v>1</v>
      </c>
      <c r="H171" s="22" t="s">
        <v>737</v>
      </c>
      <c r="I171" s="13">
        <v>42677.413240740738</v>
      </c>
      <c r="J171" s="7">
        <v>0</v>
      </c>
      <c r="K171" s="112" t="str">
        <f t="shared" si="47"/>
        <v>4053/4054</v>
      </c>
      <c r="L171" s="22" t="str">
        <f>VLOOKUP(A171,'Trips&amp;Operators'!$C$1:$E$10000,3,FALSE)</f>
        <v>DAVIDSON</v>
      </c>
      <c r="M171" s="6">
        <f t="shared" si="48"/>
        <v>1.0358796294895001E-2</v>
      </c>
      <c r="N171" s="7">
        <f t="shared" si="65"/>
        <v>14.916666664648801</v>
      </c>
      <c r="O171" s="7"/>
      <c r="P171" s="7"/>
      <c r="Q171" s="23"/>
      <c r="R171" s="23"/>
      <c r="S171" s="35">
        <f t="shared" si="49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08:37:18-0600',mode:absolute,to:'2016-11-03 10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2" t="str">
        <f t="shared" si="52"/>
        <v>N</v>
      </c>
      <c r="X171" s="177">
        <f t="shared" si="64"/>
        <v>1</v>
      </c>
      <c r="Y171" s="67">
        <f t="shared" si="53"/>
        <v>5.8672000000000004</v>
      </c>
      <c r="Z171" s="67">
        <f t="shared" si="54"/>
        <v>7.9399999999999998E-2</v>
      </c>
      <c r="AA171" s="67">
        <f t="shared" si="55"/>
        <v>5.7878000000000007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6"/>
        <v>0814-03</v>
      </c>
      <c r="AE171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71" s="88" t="str">
        <f t="shared" si="58"/>
        <v>"C:\Program Files (x86)\AstroGrep\AstroGrep.exe" /spath="%USERPROFILE%\AppData\Local\Temp\OnboardLogs" /stypes="app*4054*20161103*" /stext=" 15:.+((SYSTEM_STATE.+slice.+state.+changed )|(ment ac)|(system.+state.+changed )|(\[timeout)|(PRM\|1\|D)|(kpr)|(kdp)|(\|lc)|(penalty))" /e /r /s</v>
      </c>
      <c r="AG171" s="1" t="str">
        <f t="shared" si="59"/>
        <v>NW</v>
      </c>
      <c r="AH171" s="92" t="str">
        <f t="shared" si="60"/>
        <v>"%USERPROFILE%\Documents\GitHub\eaglep3\Utilities\RefineRTDCRunTimes.py" --tripid 814-03 --locoid 4054 --swversion DE.1.0.8.0 --startMP 300:58672 --initTime 2016-11-03T09:37:18 --startdatetime 2016-11-03T09:40:09 --delay 1 --endMP 204:794 --enddatetime 2016-11-03T09:55:04 --enforcementcount 0 &gt;&gt;C:\Users\stu\Documents\GitHub\eaglep3-reporting\EC\2016-11-03-refined-times.txt</v>
      </c>
      <c r="AI171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{"issue":{"subject":"","project_id":79,"tracker_id":40,"status_id":1,"priority_id":2,"assigned_to_id":23,"start_date":"2016-11-03","description":"","custom_fields":[{"id":1,"name":"Subdivision","value":"NW"},{"id":4,"name":"Milepost","value":"0.0794"},{"id":17,"name":"Train ID","value":"814-03"},{"id":16,"name":"Locomotive ID","value":"4054"},{"id":130,"name":"Impact","value":""},{"id":150,"name":"Time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512</v>
      </c>
      <c r="B172" s="7">
        <v>4053</v>
      </c>
      <c r="C172" s="22" t="s">
        <v>245</v>
      </c>
      <c r="D172" s="22" t="s">
        <v>738</v>
      </c>
      <c r="E172" s="13">
        <v>42677.427847222221</v>
      </c>
      <c r="F172" s="13">
        <v>42677.43178240741</v>
      </c>
      <c r="G172" s="7">
        <v>1</v>
      </c>
      <c r="H172" s="22" t="s">
        <v>739</v>
      </c>
      <c r="I172" s="13">
        <v>42677.442731481482</v>
      </c>
      <c r="J172" s="7">
        <v>0</v>
      </c>
      <c r="K172" s="112" t="str">
        <f t="shared" si="47"/>
        <v>4053/4054</v>
      </c>
      <c r="L172" s="22" t="str">
        <f>VLOOKUP(A172,'Trips&amp;Operators'!$C$1:$E$10000,3,FALSE)</f>
        <v>WHITED</v>
      </c>
      <c r="M172" s="6">
        <f t="shared" si="48"/>
        <v>1.0949074072414078E-2</v>
      </c>
      <c r="N172" s="7">
        <f t="shared" si="65"/>
        <v>15.766666664276272</v>
      </c>
      <c r="O172" s="7"/>
      <c r="P172" s="7"/>
      <c r="Q172" s="23"/>
      <c r="R172" s="23"/>
      <c r="S172" s="35">
        <f t="shared" si="49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09:16:06-0600',mode:absolute,to:'2016-11-03 11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2" s="52" t="str">
        <f t="shared" si="52"/>
        <v>N</v>
      </c>
      <c r="X172" s="177">
        <f t="shared" si="64"/>
        <v>1</v>
      </c>
      <c r="Y172" s="67">
        <f t="shared" si="53"/>
        <v>0.1077</v>
      </c>
      <c r="Z172" s="67">
        <f t="shared" si="54"/>
        <v>5.8939000000000004</v>
      </c>
      <c r="AA172" s="67">
        <f t="shared" si="55"/>
        <v>5.7862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6"/>
        <v>0815-03</v>
      </c>
      <c r="AE172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72" s="88" t="str">
        <f t="shared" si="58"/>
        <v>"C:\Program Files (x86)\AstroGrep\AstroGrep.exe" /spath="%USERPROFILE%\AppData\Local\Temp\OnboardLogs" /stypes="app*4053*20161103*" /stext=" 16:.+((SYSTEM_STATE.+slice.+state.+changed )|(ment ac)|(system.+state.+changed )|(\[timeout)|(PRM\|1\|D)|(kpr)|(kdp)|(\|lc)|(penalty))" /e /r /s</v>
      </c>
      <c r="AG172" s="1" t="str">
        <f t="shared" si="59"/>
        <v>NW</v>
      </c>
      <c r="AH172" s="92" t="str">
        <f t="shared" si="60"/>
        <v>"%USERPROFILE%\Documents\GitHub\eaglep3\Utilities\RefineRTDCRunTimes.py" --tripid 815-03 --locoid 4053 --swversion DE.1.0.8.0 --startMP 204:1077 --initTime 2016-11-03T10:16:06 --startdatetime 2016-11-03T10:21:46 --delay 1 --endMP 300:58939 --enddatetime 2016-11-03T10:37:32 --enforcementcount 0 &gt;&gt;C:\Users\stu\Documents\GitHub\eaglep3-reporting\EC\2016-11-03-refined-times.txt</v>
      </c>
      <c r="AI172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{"issue":{"subject":"","project_id":79,"tracker_id":40,"status_id":1,"priority_id":2,"assigned_to_id":23,"start_date":"2016-11-03","description":"","custom_fields":[{"id":1,"name":"Subdivision","value":"NW"},{"id":4,"name":"Milepost","value":"5.8939"},{"id":17,"name":"Train ID","value":"815-03"},{"id":16,"name":"Locomotive ID","value":"4053"},{"id":130,"name":"Impact","value":""},{"id":150,"name":"Time of Event (Mountain Time)","value":"10:37:32"},{"id":151,"name":"Denver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417</v>
      </c>
      <c r="B173" s="7">
        <v>4054</v>
      </c>
      <c r="C173" s="22" t="s">
        <v>245</v>
      </c>
      <c r="D173" s="22" t="s">
        <v>740</v>
      </c>
      <c r="E173" s="13">
        <v>42677.444421296299</v>
      </c>
      <c r="F173" s="13">
        <v>42677.446608796294</v>
      </c>
      <c r="G173" s="7">
        <v>1</v>
      </c>
      <c r="H173" s="22" t="s">
        <v>741</v>
      </c>
      <c r="I173" s="13">
        <v>42677.461111111108</v>
      </c>
      <c r="J173" s="7">
        <v>0</v>
      </c>
      <c r="K173" s="112" t="str">
        <f t="shared" si="47"/>
        <v>4053/4054</v>
      </c>
      <c r="L173" s="22" t="str">
        <f>VLOOKUP(A173,'Trips&amp;Operators'!$C$1:$E$10000,3,FALSE)</f>
        <v>WHITED</v>
      </c>
      <c r="M173" s="6">
        <f t="shared" si="48"/>
        <v>1.4502314814308193E-2</v>
      </c>
      <c r="N173" s="7">
        <f t="shared" si="65"/>
        <v>20.883333332603797</v>
      </c>
      <c r="O173" s="7"/>
      <c r="P173" s="7"/>
      <c r="Q173" s="23"/>
      <c r="R173" s="23"/>
      <c r="S173" s="35">
        <f t="shared" si="49"/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09:39:58-0600',mode:absolute,to:'2016-11-03 12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3" s="52" t="str">
        <f t="shared" si="52"/>
        <v>N</v>
      </c>
      <c r="X173" s="177">
        <f t="shared" si="64"/>
        <v>1</v>
      </c>
      <c r="Y173" s="67">
        <f t="shared" si="53"/>
        <v>5.8620999999999999</v>
      </c>
      <c r="Z173" s="67">
        <f t="shared" si="54"/>
        <v>6.6100000000000006E-2</v>
      </c>
      <c r="AA173" s="67">
        <f t="shared" si="55"/>
        <v>5.7960000000000003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6"/>
        <v>0816-03</v>
      </c>
      <c r="AE173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73" s="88" t="str">
        <f t="shared" si="58"/>
        <v>"C:\Program Files (x86)\AstroGrep\AstroGrep.exe" /spath="%USERPROFILE%\AppData\Local\Temp\OnboardLogs" /stypes="app*4054*20161103*" /stext=" 17:.+((SYSTEM_STATE.+slice.+state.+changed )|(ment ac)|(system.+state.+changed )|(\[timeout)|(PRM\|1\|D)|(kpr)|(kdp)|(\|lc)|(penalty))" /e /r /s</v>
      </c>
      <c r="AG173" s="1" t="str">
        <f t="shared" si="59"/>
        <v>NW</v>
      </c>
      <c r="AH173" s="92" t="str">
        <f t="shared" si="60"/>
        <v>"%USERPROFILE%\Documents\GitHub\eaglep3\Utilities\RefineRTDCRunTimes.py" --tripid 816-03 --locoid 4054 --swversion DE.1.0.8.0 --startMP 300:58621 --initTime 2016-11-03T10:39:58 --startdatetime 2016-11-03T10:43:07 --delay 1 --endMP 204:661 --enddatetime 2016-11-03T11:04:00 --enforcementcount 0 &gt;&gt;C:\Users\stu\Documents\GitHub\eaglep3-reporting\EC\2016-11-03-refined-times.txt</v>
      </c>
      <c r="AI173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{"issue":{"subject":"","project_id":79,"tracker_id":40,"status_id":1,"priority_id":2,"assigned_to_id":23,"start_date":"2016-11-03","description":"","custom_fields":[{"id":1,"name":"Subdivision","value":"NW"},{"id":4,"name":"Milepost","value":"0.0661"},{"id":17,"name":"Train ID","value":"816-03"},{"id":16,"name":"Locomotive ID","value":"4054"},{"id":130,"name":"Impact","value":""},{"id":150,"name":"Time of Event (Mountain Time)","value":"11:04:00"},{"id":151,"name":"Denver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522</v>
      </c>
      <c r="B174" s="7">
        <v>4053</v>
      </c>
      <c r="C174" s="22" t="s">
        <v>245</v>
      </c>
      <c r="D174" s="22" t="s">
        <v>742</v>
      </c>
      <c r="E174" s="13">
        <v>42677.467499999999</v>
      </c>
      <c r="F174" s="13">
        <v>42677.473113425927</v>
      </c>
      <c r="G174" s="7">
        <v>1</v>
      </c>
      <c r="H174" s="22" t="s">
        <v>338</v>
      </c>
      <c r="I174" s="13">
        <v>42677.483460648145</v>
      </c>
      <c r="J174" s="7">
        <v>0</v>
      </c>
      <c r="K174" s="112" t="str">
        <f t="shared" si="47"/>
        <v>4053/4054</v>
      </c>
      <c r="L174" s="22" t="str">
        <f>VLOOKUP(A174,'Trips&amp;Operators'!$C$1:$E$10000,3,FALSE)</f>
        <v>ROMERO</v>
      </c>
      <c r="M174" s="6">
        <f t="shared" si="48"/>
        <v>1.0347222218115348E-2</v>
      </c>
      <c r="N174" s="7">
        <f t="shared" si="65"/>
        <v>14.899999994086102</v>
      </c>
      <c r="O174" s="7"/>
      <c r="P174" s="7"/>
      <c r="Q174" s="23"/>
      <c r="R174" s="23"/>
      <c r="S174" s="35">
        <f t="shared" si="49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10:13:12-0600',mode:absolute,to:'2016-11-03 12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4" s="52" t="str">
        <f t="shared" si="52"/>
        <v>N</v>
      </c>
      <c r="X174" s="177">
        <f t="shared" si="64"/>
        <v>1</v>
      </c>
      <c r="Y174" s="67">
        <f t="shared" si="53"/>
        <v>9.5000000000000001E-2</v>
      </c>
      <c r="Z174" s="67">
        <f t="shared" si="54"/>
        <v>5.8930999999999996</v>
      </c>
      <c r="AA174" s="67">
        <f t="shared" si="55"/>
        <v>5.7980999999999998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6"/>
        <v>0817-03</v>
      </c>
      <c r="AE174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74" s="88" t="str">
        <f t="shared" si="58"/>
        <v>"C:\Program Files (x86)\AstroGrep\AstroGrep.exe" /spath="%USERPROFILE%\AppData\Local\Temp\OnboardLogs" /stypes="app*4053*20161103*" /stext=" 17:.+((SYSTEM_STATE.+slice.+state.+changed )|(ment ac)|(system.+state.+changed )|(\[timeout)|(PRM\|1\|D)|(kpr)|(kdp)|(\|lc)|(penalty))" /e /r /s</v>
      </c>
      <c r="AG174" s="1" t="str">
        <f t="shared" si="59"/>
        <v>NW</v>
      </c>
      <c r="AH174" s="92" t="str">
        <f t="shared" si="60"/>
        <v>"%USERPROFILE%\Documents\GitHub\eaglep3\Utilities\RefineRTDCRunTimes.py" --tripid 817-03 --locoid 4053 --swversion DE.1.0.8.0 --startMP 204:950 --initTime 2016-11-03T11:13:12 --startdatetime 2016-11-03T11:21:17 --delay 1 --endMP 300:58931 --enddatetime 2016-11-03T11:36:11 --enforcementcount 0 &gt;&gt;C:\Users\stu\Documents\GitHub\eaglep3-reporting\EC\2016-11-03-refined-times.txt</v>
      </c>
      <c r="AI174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{"issue":{"subject":"","project_id":79,"tracker_id":40,"status_id":1,"priority_id":2,"assigned_to_id":23,"start_date":"2016-11-03","description":"","custom_fields":[{"id":1,"name":"Subdivision","value":"NW"},{"id":4,"name":"Milepost","value":"5.8931"},{"id":17,"name":"Train ID","value":"817-03"},{"id":16,"name":"Locomotive ID","value":"4053"},{"id":130,"name":"Impact","value":""},{"id":150,"name":"Time of Event (Mountain Time)","value":"11:36:11"},{"id":151,"name":"Denver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525</v>
      </c>
      <c r="B175" s="7">
        <v>4054</v>
      </c>
      <c r="C175" s="22" t="s">
        <v>245</v>
      </c>
      <c r="D175" s="22" t="s">
        <v>724</v>
      </c>
      <c r="E175" s="13">
        <v>42677.485069444447</v>
      </c>
      <c r="F175" s="13">
        <v>42677.486620370371</v>
      </c>
      <c r="G175" s="7">
        <v>1</v>
      </c>
      <c r="H175" s="22" t="s">
        <v>743</v>
      </c>
      <c r="I175" s="13">
        <v>42677.497627314813</v>
      </c>
      <c r="J175" s="7">
        <v>0</v>
      </c>
      <c r="K175" s="112" t="str">
        <f t="shared" si="47"/>
        <v>4053/4054</v>
      </c>
      <c r="L175" s="22" t="str">
        <f>VLOOKUP(A175,'Trips&amp;Operators'!$C$1:$E$10000,3,FALSE)</f>
        <v>ROMERO</v>
      </c>
      <c r="M175" s="6">
        <f t="shared" si="48"/>
        <v>1.1006944441760425E-2</v>
      </c>
      <c r="N175" s="7">
        <f t="shared" si="65"/>
        <v>15.849999996135011</v>
      </c>
      <c r="O175" s="7"/>
      <c r="P175" s="7"/>
      <c r="Q175" s="23"/>
      <c r="R175" s="23"/>
      <c r="S175" s="35">
        <f t="shared" si="49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10:38:30-0600',mode:absolute,to:'2016-11-03 12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5" s="52" t="str">
        <f t="shared" si="52"/>
        <v>N</v>
      </c>
      <c r="X175" s="177">
        <f t="shared" si="64"/>
        <v>1</v>
      </c>
      <c r="Y175" s="67">
        <f t="shared" si="53"/>
        <v>5.8616999999999999</v>
      </c>
      <c r="Z175" s="67">
        <f t="shared" si="54"/>
        <v>6.6400000000000001E-2</v>
      </c>
      <c r="AA175" s="67">
        <f t="shared" si="55"/>
        <v>5.7953000000000001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6"/>
        <v>0818-03</v>
      </c>
      <c r="AE175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75" s="88" t="str">
        <f t="shared" si="58"/>
        <v>"C:\Program Files (x86)\AstroGrep\AstroGrep.exe" /spath="%USERPROFILE%\AppData\Local\Temp\OnboardLogs" /stypes="app*4054*20161103*" /stext=" 17:.+((SYSTEM_STATE.+slice.+state.+changed )|(ment ac)|(system.+state.+changed )|(\[timeout)|(PRM\|1\|D)|(kpr)|(kdp)|(\|lc)|(penalty))" /e /r /s</v>
      </c>
      <c r="AG175" s="1" t="str">
        <f t="shared" si="59"/>
        <v>NW</v>
      </c>
      <c r="AH175" s="92" t="str">
        <f t="shared" si="60"/>
        <v>"%USERPROFILE%\Documents\GitHub\eaglep3\Utilities\RefineRTDCRunTimes.py" --tripid 818-03 --locoid 4054 --swversion DE.1.0.8.0 --startMP 300:58617 --initTime 2016-11-03T11:38:30 --startdatetime 2016-11-03T11:40:44 --delay 1 --endMP 204:664 --enddatetime 2016-11-03T11:56:35 --enforcementcount 0 &gt;&gt;C:\Users\stu\Documents\GitHub\eaglep3-reporting\EC\2016-11-03-refined-times.txt</v>
      </c>
      <c r="AI175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{"issue":{"subject":"","project_id":79,"tracker_id":40,"status_id":1,"priority_id":2,"assigned_to_id":23,"start_date":"2016-11-03","description":"","custom_fields":[{"id":1,"name":"Subdivision","value":"NW"},{"id":4,"name":"Milepost","value":"0.0664"},{"id":17,"name":"Train ID","value":"818-03"},{"id":16,"name":"Locomotive ID","value":"4054"},{"id":130,"name":"Impact","value":""},{"id":150,"name":"Time of Event (Mountain Time)","value":"11:56:35"},{"id":151,"name":"Denver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531</v>
      </c>
      <c r="B176" s="7">
        <v>4053</v>
      </c>
      <c r="C176" s="22" t="s">
        <v>245</v>
      </c>
      <c r="D176" s="22" t="s">
        <v>744</v>
      </c>
      <c r="E176" s="13">
        <v>42677.502106481479</v>
      </c>
      <c r="F176" s="13">
        <v>42677.514803240738</v>
      </c>
      <c r="G176" s="7">
        <v>2</v>
      </c>
      <c r="H176" s="22" t="s">
        <v>396</v>
      </c>
      <c r="I176" s="13">
        <v>42677.524965277778</v>
      </c>
      <c r="J176" s="7">
        <v>0</v>
      </c>
      <c r="K176" s="112" t="str">
        <f t="shared" si="47"/>
        <v>4053/4054</v>
      </c>
      <c r="L176" s="22" t="str">
        <f>VLOOKUP(A176,'Trips&amp;Operators'!$C$1:$E$10000,3,FALSE)</f>
        <v>DAVIDSON</v>
      </c>
      <c r="M176" s="6">
        <f t="shared" si="48"/>
        <v>1.0162037040572613E-2</v>
      </c>
      <c r="N176" s="7">
        <f t="shared" si="65"/>
        <v>14.633333338424563</v>
      </c>
      <c r="O176" s="7"/>
      <c r="P176" s="7"/>
      <c r="Q176" s="23"/>
      <c r="R176" s="23"/>
      <c r="S176" s="35">
        <f t="shared" si="49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11:03:02-0600',mode:absolute,to:'2016-11-03 13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6" s="52" t="str">
        <f t="shared" si="52"/>
        <v>N</v>
      </c>
      <c r="X176" s="177">
        <f t="shared" si="64"/>
        <v>1</v>
      </c>
      <c r="Y176" s="67">
        <f t="shared" si="53"/>
        <v>9.5299999999999996E-2</v>
      </c>
      <c r="Z176" s="67">
        <f t="shared" si="54"/>
        <v>5.8986000000000001</v>
      </c>
      <c r="AA176" s="67">
        <f t="shared" si="55"/>
        <v>5.8033000000000001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6"/>
        <v>0819-03</v>
      </c>
      <c r="AE176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76" s="88" t="str">
        <f t="shared" si="58"/>
        <v>"C:\Program Files (x86)\AstroGrep\AstroGrep.exe" /spath="%USERPROFILE%\AppData\Local\Temp\OnboardLogs" /stypes="app*4053*20161103*" /stext=" 18:.+((SYSTEM_STATE.+slice.+state.+changed )|(ment ac)|(system.+state.+changed )|(\[timeout)|(PRM\|1\|D)|(kpr)|(kdp)|(\|lc)|(penalty))" /e /r /s</v>
      </c>
      <c r="AG176" s="1" t="str">
        <f t="shared" si="59"/>
        <v>NW</v>
      </c>
      <c r="AH176" s="92" t="str">
        <f t="shared" si="60"/>
        <v>"%USERPROFILE%\Documents\GitHub\eaglep3\Utilities\RefineRTDCRunTimes.py" --tripid 819-03 --locoid 4053 --swversion DE.1.0.8.0 --startMP 204:953 --initTime 2016-11-03T12:03:02 --startdatetime 2016-11-03T12:21:19 --delay 2 --endMP 300:58986 --enddatetime 2016-11-03T12:35:57 --enforcementcount 0 &gt;&gt;C:\Users\stu\Documents\GitHub\eaglep3-reporting\EC\2016-11-03-refined-times.txt</v>
      </c>
      <c r="AI176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{"issue":{"subject":"","project_id":79,"tracker_id":40,"status_id":1,"priority_id":2,"assigned_to_id":23,"start_date":"2016-11-03","description":"","custom_fields":[{"id":1,"name":"Subdivision","value":"NW"},{"id":4,"name":"Milepost","value":"5.8986"},{"id":17,"name":"Train ID","value":"819-03"},{"id":16,"name":"Locomotive ID","value":"4053"},{"id":130,"name":"Impact","value":""},{"id":150,"name":"Time of Event (Mountain Time)","value":"12:35:57"},{"id":151,"name":"Denver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537</v>
      </c>
      <c r="B177" s="7">
        <v>4054</v>
      </c>
      <c r="C177" s="22" t="s">
        <v>245</v>
      </c>
      <c r="D177" s="22" t="s">
        <v>745</v>
      </c>
      <c r="E177" s="13">
        <v>42677.526817129627</v>
      </c>
      <c r="F177" s="13">
        <v>42677.529016203705</v>
      </c>
      <c r="G177" s="7">
        <v>1</v>
      </c>
      <c r="H177" s="22" t="s">
        <v>746</v>
      </c>
      <c r="I177" s="13">
        <v>42677.538993055554</v>
      </c>
      <c r="J177" s="7">
        <v>0</v>
      </c>
      <c r="K177" s="112" t="str">
        <f t="shared" si="47"/>
        <v>4053/4054</v>
      </c>
      <c r="L177" s="22" t="str">
        <f>VLOOKUP(A177,'Trips&amp;Operators'!$C$1:$E$10000,3,FALSE)</f>
        <v>DAVIDSON</v>
      </c>
      <c r="M177" s="6">
        <f t="shared" si="48"/>
        <v>9.9768518484779634E-3</v>
      </c>
      <c r="N177" s="7">
        <f t="shared" si="65"/>
        <v>14.366666661808267</v>
      </c>
      <c r="O177" s="7"/>
      <c r="P177" s="7"/>
      <c r="Q177" s="23"/>
      <c r="R177" s="23"/>
      <c r="S177" s="35">
        <f t="shared" si="49"/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11:38:37-0600',mode:absolute,to:'2016-11-03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7" s="52" t="str">
        <f t="shared" si="52"/>
        <v>N</v>
      </c>
      <c r="X177" s="177">
        <f t="shared" si="64"/>
        <v>1</v>
      </c>
      <c r="Y177" s="67">
        <f t="shared" si="53"/>
        <v>5.8667999999999996</v>
      </c>
      <c r="Z177" s="67">
        <f t="shared" si="54"/>
        <v>7.0800000000000002E-2</v>
      </c>
      <c r="AA177" s="67">
        <f t="shared" si="55"/>
        <v>5.7959999999999994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6"/>
        <v>0820-03</v>
      </c>
      <c r="AE177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77" s="88" t="str">
        <f t="shared" si="58"/>
        <v>"C:\Program Files (x86)\AstroGrep\AstroGrep.exe" /spath="%USERPROFILE%\AppData\Local\Temp\OnboardLogs" /stypes="app*4054*20161103*" /stext=" 18:.+((SYSTEM_STATE.+slice.+state.+changed )|(ment ac)|(system.+state.+changed )|(\[timeout)|(PRM\|1\|D)|(kpr)|(kdp)|(\|lc)|(penalty))" /e /r /s</v>
      </c>
      <c r="AG177" s="1" t="str">
        <f t="shared" si="59"/>
        <v>NW</v>
      </c>
      <c r="AH177" s="92" t="str">
        <f t="shared" si="60"/>
        <v>"%USERPROFILE%\Documents\GitHub\eaglep3\Utilities\RefineRTDCRunTimes.py" --tripid 820-03 --locoid 4054 --swversion DE.1.0.8.0 --startMP 300:58668 --initTime 2016-11-03T12:38:37 --startdatetime 2016-11-03T12:41:47 --delay 1 --endMP 204:708 --enddatetime 2016-11-03T12:56:09 --enforcementcount 0 &gt;&gt;C:\Users\stu\Documents\GitHub\eaglep3-reporting\EC\2016-11-03-refined-times.txt</v>
      </c>
      <c r="AI177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{"issue":{"subject":"","project_id":79,"tracker_id":40,"status_id":1,"priority_id":2,"assigned_to_id":23,"start_date":"2016-11-03","description":"","custom_fields":[{"id":1,"name":"Subdivision","value":"NW"},{"id":4,"name":"Milepost","value":"0.0708"},{"id":17,"name":"Train ID","value":"820-03"},{"id":16,"name":"Locomotive ID","value":"4054"},{"id":130,"name":"Impact","value":""},{"id":150,"name":"Time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540</v>
      </c>
      <c r="B178" s="7">
        <v>4053</v>
      </c>
      <c r="C178" s="22" t="s">
        <v>245</v>
      </c>
      <c r="D178" s="22" t="s">
        <v>390</v>
      </c>
      <c r="E178" s="13">
        <v>42677.550625000003</v>
      </c>
      <c r="F178" s="13">
        <v>42677.556469907409</v>
      </c>
      <c r="G178" s="7">
        <v>1</v>
      </c>
      <c r="H178" s="22" t="s">
        <v>264</v>
      </c>
      <c r="I178" s="13">
        <v>42677.56554398148</v>
      </c>
      <c r="J178" s="7">
        <v>0</v>
      </c>
      <c r="K178" s="112" t="str">
        <f t="shared" si="47"/>
        <v>4053/4054</v>
      </c>
      <c r="L178" s="22" t="str">
        <f>VLOOKUP(A178,'Trips&amp;Operators'!$C$1:$E$10000,3,FALSE)</f>
        <v>HELVIE</v>
      </c>
      <c r="M178" s="6">
        <f t="shared" si="48"/>
        <v>9.074074070667848E-3</v>
      </c>
      <c r="N178" s="7">
        <f t="shared" si="65"/>
        <v>13.066666661761701</v>
      </c>
      <c r="O178" s="7"/>
      <c r="P178" s="7"/>
      <c r="Q178" s="23"/>
      <c r="R178" s="23"/>
      <c r="S178" s="35">
        <f t="shared" si="49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12:12:54-0600',mode:absolute,to:'2016-11-03 14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8" s="52" t="str">
        <f t="shared" si="52"/>
        <v>N</v>
      </c>
      <c r="X178" s="177">
        <f t="shared" si="64"/>
        <v>1</v>
      </c>
      <c r="Y178" s="67">
        <f t="shared" si="53"/>
        <v>9.9199999999999997E-2</v>
      </c>
      <c r="Z178" s="67">
        <f t="shared" si="54"/>
        <v>5.8925999999999998</v>
      </c>
      <c r="AA178" s="67">
        <f t="shared" si="55"/>
        <v>5.7934000000000001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6"/>
        <v>0821-03</v>
      </c>
      <c r="AE178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78" s="88" t="str">
        <f t="shared" si="58"/>
        <v>"C:\Program Files (x86)\AstroGrep\AstroGrep.exe" /spath="%USERPROFILE%\AppData\Local\Temp\OnboardLogs" /stypes="app*4053*20161103*" /stext=" 19:.+((SYSTEM_STATE.+slice.+state.+changed )|(ment ac)|(system.+state.+changed )|(\[timeout)|(PRM\|1\|D)|(kpr)|(kdp)|(\|lc)|(penalty))" /e /r /s</v>
      </c>
      <c r="AG178" s="1" t="str">
        <f t="shared" si="59"/>
        <v>NW</v>
      </c>
      <c r="AH178" s="92" t="str">
        <f t="shared" si="60"/>
        <v>"%USERPROFILE%\Documents\GitHub\eaglep3\Utilities\RefineRTDCRunTimes.py" --tripid 821-03 --locoid 4053 --swversion DE.1.0.8.0 --startMP 204:992 --initTime 2016-11-03T13:12:54 --startdatetime 2016-11-03T13:21:19 --delay 1 --endMP 300:58926 --enddatetime 2016-11-03T13:34:23 --enforcementcount 0 &gt;&gt;C:\Users\stu\Documents\GitHub\eaglep3-reporting\EC\2016-11-03-refined-times.txt</v>
      </c>
      <c r="AI178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{"issue":{"subject":"","project_id":79,"tracker_id":40,"status_id":1,"priority_id":2,"assigned_to_id":23,"start_date":"2016-11-03","description":"","custom_fields":[{"id":1,"name":"Subdivision","value":"NW"},{"id":4,"name":"Milepost","value":"5.8926"},{"id":17,"name":"Train ID","value":"821-03"},{"id":16,"name":"Locomotive ID","value":"4053"},{"id":130,"name":"Impact","value":""},{"id":150,"name":"Time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542</v>
      </c>
      <c r="B179" s="7">
        <v>4054</v>
      </c>
      <c r="C179" s="22" t="s">
        <v>245</v>
      </c>
      <c r="D179" s="22" t="s">
        <v>341</v>
      </c>
      <c r="E179" s="13">
        <v>42677.566828703704</v>
      </c>
      <c r="F179" s="13">
        <v>42677.568425925929</v>
      </c>
      <c r="G179" s="7">
        <v>1</v>
      </c>
      <c r="H179" s="22" t="s">
        <v>747</v>
      </c>
      <c r="I179" s="13">
        <v>42677.579363425924</v>
      </c>
      <c r="J179" s="7">
        <v>0</v>
      </c>
      <c r="K179" s="112" t="str">
        <f t="shared" si="47"/>
        <v>4053/4054</v>
      </c>
      <c r="L179" s="22" t="str">
        <f>VLOOKUP(A179,'Trips&amp;Operators'!$C$1:$E$10000,3,FALSE)</f>
        <v>HELVIE</v>
      </c>
      <c r="M179" s="6">
        <f t="shared" si="48"/>
        <v>1.0937499995634425E-2</v>
      </c>
      <c r="N179" s="7">
        <f t="shared" si="65"/>
        <v>15.749999993713573</v>
      </c>
      <c r="O179" s="7"/>
      <c r="P179" s="7"/>
      <c r="Q179" s="23"/>
      <c r="R179" s="23"/>
      <c r="S179" s="35">
        <f t="shared" si="49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12:36:14-0600',mode:absolute,to:'2016-11-03 14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9" s="52" t="str">
        <f t="shared" si="52"/>
        <v>N</v>
      </c>
      <c r="X179" s="177">
        <f t="shared" si="64"/>
        <v>1</v>
      </c>
      <c r="Y179" s="67">
        <f t="shared" si="53"/>
        <v>5.8611000000000004</v>
      </c>
      <c r="Z179" s="67">
        <f t="shared" si="54"/>
        <v>7.4999999999999997E-2</v>
      </c>
      <c r="AA179" s="67">
        <f t="shared" si="55"/>
        <v>5.7861000000000002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6"/>
        <v>0822-03</v>
      </c>
      <c r="AE179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79" s="88" t="str">
        <f t="shared" si="58"/>
        <v>"C:\Program Files (x86)\AstroGrep\AstroGrep.exe" /spath="%USERPROFILE%\AppData\Local\Temp\OnboardLogs" /stypes="app*4054*20161103*" /stext=" 19:.+((SYSTEM_STATE.+slice.+state.+changed )|(ment ac)|(system.+state.+changed )|(\[timeout)|(PRM\|1\|D)|(kpr)|(kdp)|(\|lc)|(penalty))" /e /r /s</v>
      </c>
      <c r="AG179" s="1" t="str">
        <f t="shared" si="59"/>
        <v>NW</v>
      </c>
      <c r="AH179" s="92" t="str">
        <f t="shared" si="60"/>
        <v>"%USERPROFILE%\Documents\GitHub\eaglep3\Utilities\RefineRTDCRunTimes.py" --tripid 822-03 --locoid 4054 --swversion DE.1.0.8.0 --startMP 300:58611 --initTime 2016-11-03T13:36:14 --startdatetime 2016-11-03T13:38:32 --delay 1 --endMP 204:750 --enddatetime 2016-11-03T13:54:17 --enforcementcount 0 &gt;&gt;C:\Users\stu\Documents\GitHub\eaglep3-reporting\EC\2016-11-03-refined-times.txt</v>
      </c>
      <c r="AI179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{"issue":{"subject":"","project_id":79,"tracker_id":40,"status_id":1,"priority_id":2,"assigned_to_id":23,"start_date":"2016-11-03","description":"","custom_fields":[{"id":1,"name":"Subdivision","value":"NW"},{"id":4,"name":"Milepost","value":"0.075"},{"id":17,"name":"Train ID","value":"822-03"},{"id":16,"name":"Locomotive ID","value":"4054"},{"id":130,"name":"Impact","value":""},{"id":150,"name":"Time of Event (Mountain Time)","value":"13:54:17"},{"id":151,"name":"Denver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546</v>
      </c>
      <c r="B180" s="7">
        <v>4053</v>
      </c>
      <c r="C180" s="22" t="s">
        <v>245</v>
      </c>
      <c r="D180" s="22" t="s">
        <v>391</v>
      </c>
      <c r="E180" s="13">
        <v>42677.589212962965</v>
      </c>
      <c r="F180" s="13">
        <v>42677.598344907405</v>
      </c>
      <c r="G180" s="7">
        <v>3</v>
      </c>
      <c r="H180" s="22" t="s">
        <v>748</v>
      </c>
      <c r="I180" s="13">
        <v>42677.608506944445</v>
      </c>
      <c r="J180" s="7">
        <v>0</v>
      </c>
      <c r="K180" s="112" t="str">
        <f t="shared" si="47"/>
        <v>4053/4054</v>
      </c>
      <c r="L180" s="22" t="str">
        <f>VLOOKUP(A180,'Trips&amp;Operators'!$C$1:$E$10000,3,FALSE)</f>
        <v>LOZA</v>
      </c>
      <c r="M180" s="6">
        <f t="shared" si="48"/>
        <v>1.0162037040572613E-2</v>
      </c>
      <c r="N180" s="7">
        <f t="shared" si="65"/>
        <v>14.633333338424563</v>
      </c>
      <c r="O180" s="7"/>
      <c r="P180" s="7"/>
      <c r="Q180" s="23"/>
      <c r="R180" s="23"/>
      <c r="S180" s="35">
        <f t="shared" si="49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13:08:28-0600',mode:absolute,to:'2016-11-03 15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0" s="52" t="str">
        <f t="shared" si="52"/>
        <v>N</v>
      </c>
      <c r="X180" s="177">
        <f t="shared" si="64"/>
        <v>1</v>
      </c>
      <c r="Y180" s="67">
        <f t="shared" si="53"/>
        <v>0.1023</v>
      </c>
      <c r="Z180" s="67">
        <f t="shared" si="54"/>
        <v>5.8940999999999999</v>
      </c>
      <c r="AA180" s="67">
        <f t="shared" si="55"/>
        <v>5.7918000000000003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6"/>
        <v>0823-03</v>
      </c>
      <c r="AE180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80" s="88" t="str">
        <f t="shared" si="58"/>
        <v>"C:\Program Files (x86)\AstroGrep\AstroGrep.exe" /spath="%USERPROFILE%\AppData\Local\Temp\OnboardLogs" /stypes="app*4053*20161103*" /stext=" 20:.+((SYSTEM_STATE.+slice.+state.+changed )|(ment ac)|(system.+state.+changed )|(\[timeout)|(PRM\|1\|D)|(kpr)|(kdp)|(\|lc)|(penalty))" /e /r /s</v>
      </c>
      <c r="AG180" s="1" t="str">
        <f t="shared" si="59"/>
        <v>NW</v>
      </c>
      <c r="AH180" s="92" t="str">
        <f t="shared" si="60"/>
        <v>"%USERPROFILE%\Documents\GitHub\eaglep3\Utilities\RefineRTDCRunTimes.py" --tripid 823-03 --locoid 4053 --swversion DE.1.0.8.0 --startMP 204:1023 --initTime 2016-11-03T14:08:28 --startdatetime 2016-11-03T14:21:37 --delay 3 --endMP 300:58941 --enddatetime 2016-11-03T14:36:15 --enforcementcount 0 &gt;&gt;C:\Users\stu\Documents\GitHub\eaglep3-reporting\EC\2016-11-03-refined-times.txt</v>
      </c>
      <c r="AI180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{"issue":{"subject":"","project_id":79,"tracker_id":40,"status_id":1,"priority_id":2,"assigned_to_id":23,"start_date":"2016-11-03","description":"","custom_fields":[{"id":1,"name":"Subdivision","value":"NW"},{"id":4,"name":"Milepost","value":"5.8941"},{"id":17,"name":"Train ID","value":"823-03"},{"id":16,"name":"Locomotive ID","value":"4053"},{"id":130,"name":"Impact","value":""},{"id":150,"name":"Time of Event (Mountain Time)","value":"14:36:15"},{"id":151,"name":"Denver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551</v>
      </c>
      <c r="B181" s="7">
        <v>4054</v>
      </c>
      <c r="C181" s="22" t="s">
        <v>245</v>
      </c>
      <c r="D181" s="22" t="s">
        <v>724</v>
      </c>
      <c r="E181" s="13">
        <v>42677.609583333331</v>
      </c>
      <c r="F181" s="13">
        <v>42677.611828703702</v>
      </c>
      <c r="G181" s="7">
        <v>1</v>
      </c>
      <c r="H181" s="22" t="s">
        <v>749</v>
      </c>
      <c r="I181" s="13">
        <v>42677.622199074074</v>
      </c>
      <c r="J181" s="7">
        <v>0</v>
      </c>
      <c r="K181" s="112" t="str">
        <f t="shared" si="47"/>
        <v>4053/4054</v>
      </c>
      <c r="L181" s="22" t="str">
        <f>VLOOKUP(A181,'Trips&amp;Operators'!$C$1:$E$10000,3,FALSE)</f>
        <v>LOZA</v>
      </c>
      <c r="M181" s="6">
        <f t="shared" si="48"/>
        <v>1.0370370371674653E-2</v>
      </c>
      <c r="N181" s="7">
        <f t="shared" si="65"/>
        <v>14.933333335211501</v>
      </c>
      <c r="O181" s="7"/>
      <c r="P181" s="7"/>
      <c r="Q181" s="23"/>
      <c r="R181" s="23"/>
      <c r="S181" s="35">
        <f t="shared" si="49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13:37:48-0600',mode:absolute,to:'2016-11-03 15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1" s="52" t="str">
        <f t="shared" si="52"/>
        <v>N</v>
      </c>
      <c r="X181" s="177">
        <f t="shared" si="64"/>
        <v>1</v>
      </c>
      <c r="Y181" s="67">
        <f t="shared" si="53"/>
        <v>5.8616999999999999</v>
      </c>
      <c r="Z181" s="67">
        <f t="shared" si="54"/>
        <v>7.2700000000000001E-2</v>
      </c>
      <c r="AA181" s="67">
        <f t="shared" si="55"/>
        <v>5.7889999999999997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6"/>
        <v>0824-03</v>
      </c>
      <c r="AE181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81" s="88" t="str">
        <f t="shared" si="58"/>
        <v>"C:\Program Files (x86)\AstroGrep\AstroGrep.exe" /spath="%USERPROFILE%\AppData\Local\Temp\OnboardLogs" /stypes="app*4054*20161103*" /stext=" 20:.+((SYSTEM_STATE.+slice.+state.+changed )|(ment ac)|(system.+state.+changed )|(\[timeout)|(PRM\|1\|D)|(kpr)|(kdp)|(\|lc)|(penalty))" /e /r /s</v>
      </c>
      <c r="AG181" s="1" t="str">
        <f t="shared" si="59"/>
        <v>NW</v>
      </c>
      <c r="AH181" s="92" t="str">
        <f t="shared" si="60"/>
        <v>"%USERPROFILE%\Documents\GitHub\eaglep3\Utilities\RefineRTDCRunTimes.py" --tripid 824-03 --locoid 4054 --swversion DE.1.0.8.0 --startMP 300:58617 --initTime 2016-11-03T14:37:48 --startdatetime 2016-11-03T14:41:02 --delay 1 --endMP 204:727 --enddatetime 2016-11-03T14:55:58 --enforcementcount 0 &gt;&gt;C:\Users\stu\Documents\GitHub\eaglep3-reporting\EC\2016-11-03-refined-times.txt</v>
      </c>
      <c r="AI181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{"issue":{"subject":"","project_id":79,"tracker_id":40,"status_id":1,"priority_id":2,"assigned_to_id":23,"start_date":"2016-11-03","description":"","custom_fields":[{"id":1,"name":"Subdivision","value":"NW"},{"id":4,"name":"Milepost","value":"0.0727"},{"id":17,"name":"Train ID","value":"824-03"},{"id":16,"name":"Locomotive ID","value":"4054"},{"id":130,"name":"Impact","value":""},{"id":150,"name":"Time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556</v>
      </c>
      <c r="B182" s="7">
        <v>4053</v>
      </c>
      <c r="C182" s="22" t="s">
        <v>245</v>
      </c>
      <c r="D182" s="22" t="s">
        <v>296</v>
      </c>
      <c r="E182" s="13">
        <v>42677.636273148149</v>
      </c>
      <c r="F182" s="13">
        <v>42677.639849537038</v>
      </c>
      <c r="G182" s="7">
        <v>1</v>
      </c>
      <c r="H182" s="22" t="s">
        <v>750</v>
      </c>
      <c r="I182" s="13">
        <v>42677.648715277777</v>
      </c>
      <c r="J182" s="7">
        <v>0</v>
      </c>
      <c r="K182" s="112" t="str">
        <f t="shared" si="47"/>
        <v>4053/4054</v>
      </c>
      <c r="L182" s="22" t="str">
        <f>VLOOKUP(A182,'Trips&amp;Operators'!$C$1:$E$10000,3,FALSE)</f>
        <v>HELVIE</v>
      </c>
      <c r="M182" s="6">
        <f t="shared" si="48"/>
        <v>8.8657407395658083E-3</v>
      </c>
      <c r="N182" s="7">
        <f t="shared" si="65"/>
        <v>12.766666664974764</v>
      </c>
      <c r="O182" s="7"/>
      <c r="P182" s="7"/>
      <c r="Q182" s="23"/>
      <c r="R182" s="23"/>
      <c r="S182" s="35">
        <f t="shared" si="49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14:16:14-0600',mode:absolute,to:'2016-11-03 16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2" s="52" t="str">
        <f t="shared" si="52"/>
        <v>N</v>
      </c>
      <c r="X182" s="177">
        <f t="shared" si="64"/>
        <v>1</v>
      </c>
      <c r="Y182" s="67">
        <f t="shared" si="53"/>
        <v>0.1016</v>
      </c>
      <c r="Z182" s="67">
        <f t="shared" si="54"/>
        <v>5.8929</v>
      </c>
      <c r="AA182" s="67">
        <f t="shared" si="55"/>
        <v>5.7912999999999997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6"/>
        <v>0825-03</v>
      </c>
      <c r="AE182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82" s="88" t="str">
        <f t="shared" si="58"/>
        <v>"C:\Program Files (x86)\AstroGrep\AstroGrep.exe" /spath="%USERPROFILE%\AppData\Local\Temp\OnboardLogs" /stypes="app*4053*20161103*" /stext=" 21:.+((SYSTEM_STATE.+slice.+state.+changed )|(ment ac)|(system.+state.+changed )|(\[timeout)|(PRM\|1\|D)|(kpr)|(kdp)|(\|lc)|(penalty))" /e /r /s</v>
      </c>
      <c r="AG182" s="1" t="str">
        <f t="shared" si="59"/>
        <v>NW</v>
      </c>
      <c r="AH182" s="92" t="str">
        <f t="shared" si="60"/>
        <v>"%USERPROFILE%\Documents\GitHub\eaglep3\Utilities\RefineRTDCRunTimes.py" --tripid 825-03 --locoid 4053 --swversion DE.1.0.8.0 --startMP 204:1016 --initTime 2016-11-03T15:16:14 --startdatetime 2016-11-03T15:21:23 --delay 1 --endMP 300:58929 --enddatetime 2016-11-03T15:34:09 --enforcementcount 0 &gt;&gt;C:\Users\stu\Documents\GitHub\eaglep3-reporting\EC\2016-11-03-refined-times.txt</v>
      </c>
      <c r="AI182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{"issue":{"subject":"","project_id":79,"tracker_id":40,"status_id":1,"priority_id":2,"assigned_to_id":23,"start_date":"2016-11-03","description":"","custom_fields":[{"id":1,"name":"Subdivision","value":"NW"},{"id":4,"name":"Milepost","value":"5.8929"},{"id":17,"name":"Train ID","value":"825-03"},{"id":16,"name":"Locomotive ID","value":"4053"},{"id":130,"name":"Impact","value":""},{"id":150,"name":"Time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429</v>
      </c>
      <c r="B183" s="7">
        <v>4054</v>
      </c>
      <c r="C183" s="22" t="s">
        <v>245</v>
      </c>
      <c r="D183" s="22" t="s">
        <v>263</v>
      </c>
      <c r="E183" s="13">
        <v>42677.649606481478</v>
      </c>
      <c r="F183" s="13">
        <v>42677.650914351849</v>
      </c>
      <c r="G183" s="7">
        <v>1</v>
      </c>
      <c r="H183" s="22" t="s">
        <v>747</v>
      </c>
      <c r="I183" s="13">
        <v>42677.663449074076</v>
      </c>
      <c r="J183" s="7">
        <v>0</v>
      </c>
      <c r="K183" s="112" t="str">
        <f t="shared" si="47"/>
        <v>4053/4054</v>
      </c>
      <c r="L183" s="22" t="str">
        <f>VLOOKUP(A183,'Trips&amp;Operators'!$C$1:$E$10000,3,FALSE)</f>
        <v>HELVIE</v>
      </c>
      <c r="M183" s="6">
        <f t="shared" si="48"/>
        <v>1.2534722227428574E-2</v>
      </c>
      <c r="N183" s="7">
        <f t="shared" si="65"/>
        <v>18.050000007497147</v>
      </c>
      <c r="O183" s="7"/>
      <c r="P183" s="7"/>
      <c r="Q183" s="23"/>
      <c r="R183" s="23"/>
      <c r="S183" s="35">
        <f t="shared" si="49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14:35:26-0600',mode:absolute,to:'2016-11-03 16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3" s="52" t="str">
        <f t="shared" si="52"/>
        <v>N</v>
      </c>
      <c r="X183" s="177">
        <f t="shared" si="64"/>
        <v>1</v>
      </c>
      <c r="Y183" s="67">
        <f t="shared" si="53"/>
        <v>5.8613</v>
      </c>
      <c r="Z183" s="67">
        <f t="shared" si="54"/>
        <v>7.4999999999999997E-2</v>
      </c>
      <c r="AA183" s="67">
        <f t="shared" si="55"/>
        <v>5.7862999999999998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6"/>
        <v>0826-03</v>
      </c>
      <c r="AE183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83" s="88" t="str">
        <f t="shared" si="58"/>
        <v>"C:\Program Files (x86)\AstroGrep\AstroGrep.exe" /spath="%USERPROFILE%\AppData\Local\Temp\OnboardLogs" /stypes="app*4054*20161103*" /stext=" 21:.+((SYSTEM_STATE.+slice.+state.+changed )|(ment ac)|(system.+state.+changed )|(\[timeout)|(PRM\|1\|D)|(kpr)|(kdp)|(\|lc)|(penalty))" /e /r /s</v>
      </c>
      <c r="AG183" s="1" t="str">
        <f t="shared" si="59"/>
        <v>NW</v>
      </c>
      <c r="AH183" s="92" t="str">
        <f t="shared" si="60"/>
        <v>"%USERPROFILE%\Documents\GitHub\eaglep3\Utilities\RefineRTDCRunTimes.py" --tripid 826-03 --locoid 4054 --swversion DE.1.0.8.0 --startMP 300:58613 --initTime 2016-11-03T15:35:26 --startdatetime 2016-11-03T15:37:19 --delay 1 --endMP 204:750 --enddatetime 2016-11-03T15:55:22 --enforcementcount 0 &gt;&gt;C:\Users\stu\Documents\GitHub\eaglep3-reporting\EC\2016-11-03-refined-times.txt</v>
      </c>
      <c r="AI183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{"issue":{"subject":"","project_id":79,"tracker_id":40,"status_id":1,"priority_id":2,"assigned_to_id":23,"start_date":"2016-11-03","description":"","custom_fields":[{"id":1,"name":"Subdivision","value":"NW"},{"id":4,"name":"Milepost","value":"0.075"},{"id":17,"name":"Train ID","value":"826-03"},{"id":16,"name":"Locomotive ID","value":"4054"},{"id":130,"name":"Impact","value":""},{"id":150,"name":"Time of Event (Mountain Time)","value":"15:55:22"},{"id":151,"name":"Denver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561</v>
      </c>
      <c r="B184" s="7">
        <v>4011</v>
      </c>
      <c r="C184" s="22" t="s">
        <v>245</v>
      </c>
      <c r="D184" s="22" t="s">
        <v>751</v>
      </c>
      <c r="E184" s="13">
        <v>42677.656782407408</v>
      </c>
      <c r="F184" s="13">
        <v>42677.66065972222</v>
      </c>
      <c r="G184" s="7">
        <v>1</v>
      </c>
      <c r="H184" s="22" t="s">
        <v>752</v>
      </c>
      <c r="I184" s="13">
        <v>42677.669618055559</v>
      </c>
      <c r="J184" s="7">
        <v>0</v>
      </c>
      <c r="K184" s="112" t="str">
        <f t="shared" si="47"/>
        <v>4011/4012</v>
      </c>
      <c r="L184" s="22" t="str">
        <f>VLOOKUP(A184,'Trips&amp;Operators'!$C$1:$E$10000,3,FALSE)</f>
        <v>MAGEE</v>
      </c>
      <c r="M184" s="6">
        <f t="shared" si="48"/>
        <v>8.9583333392511122E-3</v>
      </c>
      <c r="N184" s="7">
        <f t="shared" si="65"/>
        <v>12.900000008521602</v>
      </c>
      <c r="O184" s="7"/>
      <c r="P184" s="7"/>
      <c r="Q184" s="23"/>
      <c r="R184" s="23"/>
      <c r="S184" s="35">
        <f t="shared" si="49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14:45:46-0600',mode:absolute,to:'2016-11-03 17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4" s="52" t="str">
        <f t="shared" si="52"/>
        <v>N</v>
      </c>
      <c r="X184" s="177">
        <f t="shared" si="64"/>
        <v>1</v>
      </c>
      <c r="Y184" s="67">
        <f t="shared" si="53"/>
        <v>9.2700000000000005E-2</v>
      </c>
      <c r="Z184" s="67">
        <f t="shared" si="54"/>
        <v>5.8945999999999996</v>
      </c>
      <c r="AA184" s="67">
        <f t="shared" si="55"/>
        <v>5.8018999999999998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6"/>
        <v>0827-03</v>
      </c>
      <c r="AE184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84" s="88" t="str">
        <f t="shared" si="58"/>
        <v>"C:\Program Files (x86)\AstroGrep\AstroGrep.exe" /spath="%USERPROFILE%\AppData\Local\Temp\OnboardLogs" /stypes="app*4011*20161103*" /stext=" 22:.+((SYSTEM_STATE.+slice.+state.+changed )|(ment ac)|(system.+state.+changed )|(\[timeout)|(PRM\|1\|D)|(kpr)|(kdp)|(\|lc)|(penalty))" /e /r /s</v>
      </c>
      <c r="AG184" s="1" t="str">
        <f t="shared" si="59"/>
        <v>NW</v>
      </c>
      <c r="AH184" s="92" t="str">
        <f t="shared" si="60"/>
        <v>"%USERPROFILE%\Documents\GitHub\eaglep3\Utilities\RefineRTDCRunTimes.py" --tripid 827-03 --locoid 4011 --swversion DE.1.0.8.0 --startMP 204:927 --initTime 2016-11-03T15:45:46 --startdatetime 2016-11-03T15:51:21 --delay 1 --endMP 300:58946 --enddatetime 2016-11-03T16:04:15 --enforcementcount 0 &gt;&gt;C:\Users\stu\Documents\GitHub\eaglep3-reporting\EC\2016-11-03-refined-times.txt</v>
      </c>
      <c r="AI184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{"issue":{"subject":"","project_id":79,"tracker_id":40,"status_id":1,"priority_id":2,"assigned_to_id":23,"start_date":"2016-11-03","description":"","custom_fields":[{"id":1,"name":"Subdivision","value":"NW"},{"id":4,"name":"Milepost","value":"5.8946"},{"id":17,"name":"Train ID","value":"827-03"},{"id":16,"name":"Locomotive ID","value":"4011"},{"id":130,"name":"Impact","value":""},{"id":150,"name":"Time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432</v>
      </c>
      <c r="B185" s="7">
        <v>4012</v>
      </c>
      <c r="C185" s="22" t="s">
        <v>245</v>
      </c>
      <c r="D185" s="22" t="s">
        <v>753</v>
      </c>
      <c r="E185" s="13">
        <v>42677.670543981483</v>
      </c>
      <c r="F185" s="13">
        <v>42677.672002314815</v>
      </c>
      <c r="G185" s="7">
        <v>1</v>
      </c>
      <c r="H185" s="22" t="s">
        <v>754</v>
      </c>
      <c r="I185" s="13">
        <v>42677.684386574074</v>
      </c>
      <c r="J185" s="7">
        <v>0</v>
      </c>
      <c r="K185" s="112" t="str">
        <f t="shared" si="47"/>
        <v>4011/4012</v>
      </c>
      <c r="L185" s="22" t="str">
        <f>VLOOKUP(A185,'Trips&amp;Operators'!$C$1:$E$10000,3,FALSE)</f>
        <v>MAGEE</v>
      </c>
      <c r="M185" s="6">
        <f t="shared" si="48"/>
        <v>1.2384259258396924E-2</v>
      </c>
      <c r="N185" s="7">
        <f t="shared" si="65"/>
        <v>17.83333333209157</v>
      </c>
      <c r="O185" s="7"/>
      <c r="P185" s="7"/>
      <c r="Q185" s="23"/>
      <c r="R185" s="23"/>
      <c r="S185" s="35">
        <f t="shared" si="49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15:05:35-0600',mode:absolute,to:'2016-11-03 17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5" s="52" t="str">
        <f t="shared" si="52"/>
        <v>N</v>
      </c>
      <c r="X185" s="177">
        <f t="shared" si="64"/>
        <v>1</v>
      </c>
      <c r="Y185" s="67">
        <f t="shared" si="53"/>
        <v>5.8624000000000001</v>
      </c>
      <c r="Z185" s="67">
        <f t="shared" si="54"/>
        <v>7.1199999999999999E-2</v>
      </c>
      <c r="AA185" s="67">
        <f t="shared" si="55"/>
        <v>5.7911999999999999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6"/>
        <v>0828-03</v>
      </c>
      <c r="AE185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85" s="88" t="str">
        <f t="shared" si="58"/>
        <v>"C:\Program Files (x86)\AstroGrep\AstroGrep.exe" /spath="%USERPROFILE%\AppData\Local\Temp\OnboardLogs" /stypes="app*4012*20161103*" /stext=" 22:.+((SYSTEM_STATE.+slice.+state.+changed )|(ment ac)|(system.+state.+changed )|(\[timeout)|(PRM\|1\|D)|(kpr)|(kdp)|(\|lc)|(penalty))" /e /r /s</v>
      </c>
      <c r="AG185" s="1" t="str">
        <f t="shared" si="59"/>
        <v>NW</v>
      </c>
      <c r="AH185" s="92" t="str">
        <f t="shared" si="60"/>
        <v>"%USERPROFILE%\Documents\GitHub\eaglep3\Utilities\RefineRTDCRunTimes.py" --tripid 828-03 --locoid 4012 --swversion DE.1.0.8.0 --startMP 300:58624 --initTime 2016-11-03T16:05:35 --startdatetime 2016-11-03T16:07:41 --delay 1 --endMP 204:712 --enddatetime 2016-11-03T16:25:31 --enforcementcount 0 &gt;&gt;C:\Users\stu\Documents\GitHub\eaglep3-reporting\EC\2016-11-03-refined-times.txt</v>
      </c>
      <c r="AI185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{"issue":{"subject":"","project_id":79,"tracker_id":40,"status_id":1,"priority_id":2,"assigned_to_id":23,"start_date":"2016-11-03","description":"","custom_fields":[{"id":1,"name":"Subdivision","value":"NW"},{"id":4,"name":"Milepost","value":"0.0712"},{"id":17,"name":"Train ID","value":"828-03"},{"id":16,"name":"Locomotive ID","value":"4012"},{"id":130,"name":"Impact","value":""},{"id":150,"name":"Time of Event (Mountain Time)","value":"16:25:31"},{"id":151,"name":"Denver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565</v>
      </c>
      <c r="B186" s="7">
        <v>4053</v>
      </c>
      <c r="C186" s="22" t="s">
        <v>245</v>
      </c>
      <c r="D186" s="22" t="s">
        <v>755</v>
      </c>
      <c r="E186" s="13">
        <v>42677.678587962961</v>
      </c>
      <c r="F186" s="13">
        <v>42677.681493055556</v>
      </c>
      <c r="G186" s="7">
        <v>1</v>
      </c>
      <c r="H186" s="22" t="s">
        <v>756</v>
      </c>
      <c r="I186" s="13">
        <v>42677.690520833334</v>
      </c>
      <c r="J186" s="7">
        <v>0</v>
      </c>
      <c r="K186" s="112" t="str">
        <f t="shared" si="47"/>
        <v>4053/4054</v>
      </c>
      <c r="L186" s="22" t="str">
        <f>VLOOKUP(A186,'Trips&amp;Operators'!$C$1:$E$10000,3,FALSE)</f>
        <v>HELVIE</v>
      </c>
      <c r="M186" s="6">
        <f t="shared" si="48"/>
        <v>9.0277777781011537E-3</v>
      </c>
      <c r="N186" s="7">
        <f t="shared" si="65"/>
        <v>13.000000000465661</v>
      </c>
      <c r="O186" s="7"/>
      <c r="P186" s="7"/>
      <c r="Q186" s="23"/>
      <c r="R186" s="23"/>
      <c r="S186" s="35">
        <f t="shared" si="49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15:17:10-0600',mode:absolute,to:'2016-11-03 17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6" s="52" t="str">
        <f t="shared" si="52"/>
        <v>N</v>
      </c>
      <c r="X186" s="177">
        <f t="shared" si="64"/>
        <v>1</v>
      </c>
      <c r="Y186" s="67">
        <f t="shared" si="53"/>
        <v>0.1046</v>
      </c>
      <c r="Z186" s="67">
        <f t="shared" si="54"/>
        <v>5.8920000000000003</v>
      </c>
      <c r="AA186" s="67">
        <f t="shared" si="55"/>
        <v>5.7874000000000008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6"/>
        <v>0829-03</v>
      </c>
      <c r="AE186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86" s="88" t="str">
        <f t="shared" si="58"/>
        <v>"C:\Program Files (x86)\AstroGrep\AstroGrep.exe" /spath="%USERPROFILE%\AppData\Local\Temp\OnboardLogs" /stypes="app*4053*20161103*" /stext=" 22:.+((SYSTEM_STATE.+slice.+state.+changed )|(ment ac)|(system.+state.+changed )|(\[timeout)|(PRM\|1\|D)|(kpr)|(kdp)|(\|lc)|(penalty))" /e /r /s</v>
      </c>
      <c r="AG186" s="1" t="str">
        <f t="shared" si="59"/>
        <v>NW</v>
      </c>
      <c r="AH186" s="92" t="str">
        <f t="shared" si="60"/>
        <v>"%USERPROFILE%\Documents\GitHub\eaglep3\Utilities\RefineRTDCRunTimes.py" --tripid 829-03 --locoid 4053 --swversion DE.1.0.8.0 --startMP 204:1046 --initTime 2016-11-03T16:17:10 --startdatetime 2016-11-03T16:21:21 --delay 1 --endMP 300:58920 --enddatetime 2016-11-03T16:34:21 --enforcementcount 0 &gt;&gt;C:\Users\stu\Documents\GitHub\eaglep3-reporting\EC\2016-11-03-refined-times.txt</v>
      </c>
      <c r="AI186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{"issue":{"subject":"","project_id":79,"tracker_id":40,"status_id":1,"priority_id":2,"assigned_to_id":23,"start_date":"2016-11-03","description":"","custom_fields":[{"id":1,"name":"Subdivision","value":"NW"},{"id":4,"name":"Milepost","value":"5.892"},{"id":17,"name":"Train ID","value":"829-03"},{"id":16,"name":"Locomotive ID","value":"4053"},{"id":130,"name":"Impact","value":""},{"id":150,"name":"Time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568</v>
      </c>
      <c r="B187" s="7">
        <v>4054</v>
      </c>
      <c r="C187" s="22" t="s">
        <v>245</v>
      </c>
      <c r="D187" s="22" t="s">
        <v>341</v>
      </c>
      <c r="E187" s="13">
        <v>42677.691631944443</v>
      </c>
      <c r="F187" s="13">
        <v>42677.693715277775</v>
      </c>
      <c r="G187" s="7">
        <v>1</v>
      </c>
      <c r="H187" s="22" t="s">
        <v>757</v>
      </c>
      <c r="I187" s="13">
        <v>42677.705092592594</v>
      </c>
      <c r="J187" s="7">
        <v>0</v>
      </c>
      <c r="K187" s="112" t="str">
        <f t="shared" si="47"/>
        <v>4053/4054</v>
      </c>
      <c r="L187" s="22" t="str">
        <f>VLOOKUP(A187,'Trips&amp;Operators'!$C$1:$E$10000,3,FALSE)</f>
        <v>HELVIE</v>
      </c>
      <c r="M187" s="6">
        <f t="shared" si="48"/>
        <v>1.1377314818673767E-2</v>
      </c>
      <c r="N187" s="7">
        <f t="shared" si="65"/>
        <v>16.383333338890225</v>
      </c>
      <c r="O187" s="7"/>
      <c r="P187" s="7"/>
      <c r="Q187" s="23"/>
      <c r="R187" s="23"/>
      <c r="S187" s="35">
        <f t="shared" si="49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15:35:57-0600',mode:absolute,to:'2016-11-03 17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7" s="52" t="str">
        <f t="shared" si="52"/>
        <v>N</v>
      </c>
      <c r="X187" s="177">
        <f t="shared" si="64"/>
        <v>1</v>
      </c>
      <c r="Y187" s="67">
        <f t="shared" si="53"/>
        <v>5.8611000000000004</v>
      </c>
      <c r="Z187" s="67">
        <f t="shared" si="54"/>
        <v>7.4099999999999999E-2</v>
      </c>
      <c r="AA187" s="67">
        <f t="shared" si="55"/>
        <v>5.7870000000000008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6"/>
        <v>0830-03</v>
      </c>
      <c r="AE187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87" s="88" t="str">
        <f t="shared" si="58"/>
        <v>"C:\Program Files (x86)\AstroGrep\AstroGrep.exe" /spath="%USERPROFILE%\AppData\Local\Temp\OnboardLogs" /stypes="app*4054*20161103*" /stext=" 22:.+((SYSTEM_STATE.+slice.+state.+changed )|(ment ac)|(system.+state.+changed )|(\[timeout)|(PRM\|1\|D)|(kpr)|(kdp)|(\|lc)|(penalty))" /e /r /s</v>
      </c>
      <c r="AG187" s="1" t="str">
        <f t="shared" si="59"/>
        <v>NW</v>
      </c>
      <c r="AH187" s="92" t="str">
        <f t="shared" si="60"/>
        <v>"%USERPROFILE%\Documents\GitHub\eaglep3\Utilities\RefineRTDCRunTimes.py" --tripid 830-03 --locoid 4054 --swversion DE.1.0.8.0 --startMP 300:58611 --initTime 2016-11-03T16:35:57 --startdatetime 2016-11-03T16:38:57 --delay 1 --endMP 204:741 --enddatetime 2016-11-03T16:55:20 --enforcementcount 0 &gt;&gt;C:\Users\stu\Documents\GitHub\eaglep3-reporting\EC\2016-11-03-refined-times.txt</v>
      </c>
      <c r="AI187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{"issue":{"subject":"","project_id":79,"tracker_id":40,"status_id":1,"priority_id":2,"assigned_to_id":23,"start_date":"2016-11-03","description":"","custom_fields":[{"id":1,"name":"Subdivision","value":"NW"},{"id":4,"name":"Milepost","value":"0.0741"},{"id":17,"name":"Train ID","value":"830-03"},{"id":16,"name":"Locomotive ID","value":"4054"},{"id":130,"name":"Impact","value":""},{"id":150,"name":"Time of Event (Mountain Time)","value":"16:55:20"},{"id":151,"name":"Denver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570</v>
      </c>
      <c r="B188" s="7">
        <v>4011</v>
      </c>
      <c r="C188" s="22" t="s">
        <v>245</v>
      </c>
      <c r="D188" s="22" t="s">
        <v>758</v>
      </c>
      <c r="E188" s="13">
        <v>42677.695844907408</v>
      </c>
      <c r="F188" s="13">
        <v>42677.702291666668</v>
      </c>
      <c r="G188" s="7">
        <v>1</v>
      </c>
      <c r="H188" s="22" t="s">
        <v>748</v>
      </c>
      <c r="I188" s="13">
        <v>42677.711828703701</v>
      </c>
      <c r="J188" s="7">
        <v>0</v>
      </c>
      <c r="K188" s="112" t="str">
        <f t="shared" si="47"/>
        <v>4011/4012</v>
      </c>
      <c r="L188" s="22" t="str">
        <f>VLOOKUP(A188,'Trips&amp;Operators'!$C$1:$E$10000,3,FALSE)</f>
        <v>MAGEE</v>
      </c>
      <c r="M188" s="6">
        <f t="shared" si="48"/>
        <v>9.5370370327145793E-3</v>
      </c>
      <c r="N188" s="7">
        <f t="shared" si="65"/>
        <v>13.733333327108994</v>
      </c>
      <c r="O188" s="7"/>
      <c r="P188" s="7"/>
      <c r="Q188" s="23"/>
      <c r="R188" s="23"/>
      <c r="S188" s="35">
        <f t="shared" si="49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15:42:01-0600',mode:absolute,to:'2016-11-03 18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8" s="52" t="str">
        <f t="shared" si="52"/>
        <v>N</v>
      </c>
      <c r="X188" s="177">
        <f t="shared" si="64"/>
        <v>1</v>
      </c>
      <c r="Y188" s="67">
        <f t="shared" si="53"/>
        <v>9.9500000000000005E-2</v>
      </c>
      <c r="Z188" s="67">
        <f t="shared" si="54"/>
        <v>5.8940999999999999</v>
      </c>
      <c r="AA188" s="67">
        <f t="shared" si="55"/>
        <v>5.7946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6"/>
        <v>0831-03</v>
      </c>
      <c r="AE188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88" s="88" t="str">
        <f t="shared" si="58"/>
        <v>"C:\Program Files (x86)\AstroGrep\AstroGrep.exe" /spath="%USERPROFILE%\AppData\Local\Temp\OnboardLogs" /stypes="app*4011*20161103*" /stext=" 23:.+((SYSTEM_STATE.+slice.+state.+changed )|(ment ac)|(system.+state.+changed )|(\[timeout)|(PRM\|1\|D)|(kpr)|(kdp)|(\|lc)|(penalty))" /e /r /s</v>
      </c>
      <c r="AG188" s="1" t="str">
        <f t="shared" si="59"/>
        <v>NW</v>
      </c>
      <c r="AH188" s="92" t="str">
        <f t="shared" si="60"/>
        <v>"%USERPROFILE%\Documents\GitHub\eaglep3\Utilities\RefineRTDCRunTimes.py" --tripid 831-03 --locoid 4011 --swversion DE.1.0.8.0 --startMP 204:995 --initTime 2016-11-03T16:42:01 --startdatetime 2016-11-03T16:51:18 --delay 1 --endMP 300:58941 --enddatetime 2016-11-03T17:05:02 --enforcementcount 0 &gt;&gt;C:\Users\stu\Documents\GitHub\eaglep3-reporting\EC\2016-11-03-refined-times.txt</v>
      </c>
      <c r="AI188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{"issue":{"subject":"","project_id":79,"tracker_id":40,"status_id":1,"priority_id":2,"assigned_to_id":23,"start_date":"2016-11-03","description":"","custom_fields":[{"id":1,"name":"Subdivision","value":"NW"},{"id":4,"name":"Milepost","value":"5.8941"},{"id":17,"name":"Train ID","value":"831-03"},{"id":16,"name":"Locomotive ID","value":"4011"},{"id":130,"name":"Impact","value":""},{"id":150,"name":"Time of Event (Mountain Time)","value":"17:05:02"},{"id":151,"name":"Denver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573</v>
      </c>
      <c r="B189" s="7">
        <v>4012</v>
      </c>
      <c r="C189" s="22" t="s">
        <v>245</v>
      </c>
      <c r="D189" s="22" t="s">
        <v>753</v>
      </c>
      <c r="E189" s="13">
        <v>42677.712916666664</v>
      </c>
      <c r="F189" s="13">
        <v>42677.714618055557</v>
      </c>
      <c r="G189" s="7">
        <v>1</v>
      </c>
      <c r="H189" s="22" t="s">
        <v>393</v>
      </c>
      <c r="I189" s="13">
        <v>42677.726539351854</v>
      </c>
      <c r="J189" s="7">
        <v>0</v>
      </c>
      <c r="K189" s="112" t="str">
        <f t="shared" si="47"/>
        <v>4011/4012</v>
      </c>
      <c r="L189" s="22" t="str">
        <f>VLOOKUP(A189,'Trips&amp;Operators'!$C$1:$E$10000,3,FALSE)</f>
        <v>MAGEE</v>
      </c>
      <c r="M189" s="6">
        <f t="shared" si="48"/>
        <v>1.1921296296350192E-2</v>
      </c>
      <c r="N189" s="7">
        <f t="shared" si="65"/>
        <v>17.166666666744277</v>
      </c>
      <c r="O189" s="7"/>
      <c r="P189" s="7"/>
      <c r="Q189" s="23"/>
      <c r="R189" s="23"/>
      <c r="S189" s="35">
        <f t="shared" si="49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16:06:36-0600',mode:absolute,to:'2016-11-03 18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9" s="52" t="str">
        <f t="shared" si="52"/>
        <v>N</v>
      </c>
      <c r="X189" s="177">
        <f t="shared" si="64"/>
        <v>1</v>
      </c>
      <c r="Y189" s="67">
        <f t="shared" si="53"/>
        <v>5.8624000000000001</v>
      </c>
      <c r="Z189" s="67">
        <f t="shared" si="54"/>
        <v>6.9900000000000004E-2</v>
      </c>
      <c r="AA189" s="67">
        <f t="shared" si="55"/>
        <v>5.7925000000000004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6"/>
        <v>0832-03</v>
      </c>
      <c r="AE189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89" s="88" t="str">
        <f t="shared" si="58"/>
        <v>"C:\Program Files (x86)\AstroGrep\AstroGrep.exe" /spath="%USERPROFILE%\AppData\Local\Temp\OnboardLogs" /stypes="app*4012*20161103*" /stext=" 23:.+((SYSTEM_STATE.+slice.+state.+changed )|(ment ac)|(system.+state.+changed )|(\[timeout)|(PRM\|1\|D)|(kpr)|(kdp)|(\|lc)|(penalty))" /e /r /s</v>
      </c>
      <c r="AG189" s="1" t="str">
        <f t="shared" si="59"/>
        <v>NW</v>
      </c>
      <c r="AH189" s="92" t="str">
        <f t="shared" si="60"/>
        <v>"%USERPROFILE%\Documents\GitHub\eaglep3\Utilities\RefineRTDCRunTimes.py" --tripid 832-03 --locoid 4012 --swversion DE.1.0.8.0 --startMP 300:58624 --initTime 2016-11-03T17:06:36 --startdatetime 2016-11-03T17:09:03 --delay 1 --endMP 204:699 --enddatetime 2016-11-03T17:26:13 --enforcementcount 0 &gt;&gt;C:\Users\stu\Documents\GitHub\eaglep3-reporting\EC\2016-11-03-refined-times.txt</v>
      </c>
      <c r="AI189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{"issue":{"subject":"","project_id":79,"tracker_id":40,"status_id":1,"priority_id":2,"assigned_to_id":23,"start_date":"2016-11-03","description":"","custom_fields":[{"id":1,"name":"Subdivision","value":"NW"},{"id":4,"name":"Milepost","value":"0.0699"},{"id":17,"name":"Train ID","value":"832-03"},{"id":16,"name":"Locomotive ID","value":"4012"},{"id":130,"name":"Impact","value":""},{"id":150,"name":"Time of Event (Mountain Time)","value":"17:26:13"},{"id":151,"name":"Denver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575</v>
      </c>
      <c r="B190" s="7">
        <v>4053</v>
      </c>
      <c r="C190" s="22" t="s">
        <v>245</v>
      </c>
      <c r="D190" s="22" t="s">
        <v>398</v>
      </c>
      <c r="E190" s="13">
        <v>42677.71974537037</v>
      </c>
      <c r="F190" s="13">
        <v>42677.723738425928</v>
      </c>
      <c r="G190" s="7">
        <v>1</v>
      </c>
      <c r="H190" s="22" t="s">
        <v>264</v>
      </c>
      <c r="I190" s="13">
        <v>42677.732835648145</v>
      </c>
      <c r="J190" s="7">
        <v>0</v>
      </c>
      <c r="K190" s="112" t="str">
        <f t="shared" si="47"/>
        <v>4053/4054</v>
      </c>
      <c r="L190" s="22" t="str">
        <f>VLOOKUP(A190,'Trips&amp;Operators'!$C$1:$E$10000,3,FALSE)</f>
        <v>HELVIE</v>
      </c>
      <c r="M190" s="6">
        <f t="shared" si="48"/>
        <v>9.0972222169511952E-3</v>
      </c>
      <c r="N190" s="7">
        <f t="shared" si="65"/>
        <v>13.099999992409721</v>
      </c>
      <c r="O190" s="7"/>
      <c r="P190" s="7"/>
      <c r="Q190" s="23"/>
      <c r="R190" s="23"/>
      <c r="S190" s="35">
        <f t="shared" si="49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16:16:26-0600',mode:absolute,to:'2016-11-03 18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0" s="52" t="str">
        <f t="shared" si="52"/>
        <v>N</v>
      </c>
      <c r="X190" s="177">
        <f t="shared" si="64"/>
        <v>1</v>
      </c>
      <c r="Y190" s="67">
        <f t="shared" si="53"/>
        <v>0.1032</v>
      </c>
      <c r="Z190" s="67">
        <f t="shared" si="54"/>
        <v>5.8925999999999998</v>
      </c>
      <c r="AA190" s="67">
        <f t="shared" si="55"/>
        <v>5.7893999999999997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6"/>
        <v>0833-03</v>
      </c>
      <c r="AE190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90" s="88" t="str">
        <f t="shared" si="58"/>
        <v>"C:\Program Files (x86)\AstroGrep\AstroGrep.exe" /spath="%USERPROFILE%\AppData\Local\Temp\OnboardLogs" /stypes="app*4053*20161103*" /stext=" 23:.+((SYSTEM_STATE.+slice.+state.+changed )|(ment ac)|(system.+state.+changed )|(\[timeout)|(PRM\|1\|D)|(kpr)|(kdp)|(\|lc)|(penalty))" /e /r /s</v>
      </c>
      <c r="AG190" s="1" t="str">
        <f t="shared" si="59"/>
        <v>NW</v>
      </c>
      <c r="AH190" s="92" t="str">
        <f t="shared" si="60"/>
        <v>"%USERPROFILE%\Documents\GitHub\eaglep3\Utilities\RefineRTDCRunTimes.py" --tripid 833-03 --locoid 4053 --swversion DE.1.0.8.0 --startMP 204:1032 --initTime 2016-11-03T17:16:26 --startdatetime 2016-11-03T17:22:11 --delay 1 --endMP 300:58926 --enddatetime 2016-11-03T17:35:17 --enforcementcount 0 &gt;&gt;C:\Users\stu\Documents\GitHub\eaglep3-reporting\EC\2016-11-03-refined-times.txt</v>
      </c>
      <c r="AI190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{"issue":{"subject":"","project_id":79,"tracker_id":40,"status_id":1,"priority_id":2,"assigned_to_id":23,"start_date":"2016-11-03","description":"","custom_fields":[{"id":1,"name":"Subdivision","value":"NW"},{"id":4,"name":"Milepost","value":"5.8926"},{"id":17,"name":"Train ID","value":"833-03"},{"id":16,"name":"Locomotive ID","value":"4053"},{"id":130,"name":"Impact","value":""},{"id":150,"name":"Time of Event (Mountain Time)","value":"17:35:17"},{"id":151,"name":"Denver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437</v>
      </c>
      <c r="B191" s="7">
        <v>4054</v>
      </c>
      <c r="C191" s="22" t="s">
        <v>245</v>
      </c>
      <c r="D191" s="22" t="s">
        <v>724</v>
      </c>
      <c r="E191" s="13">
        <v>42677.733865740738</v>
      </c>
      <c r="F191" s="13">
        <v>42677.735150462962</v>
      </c>
      <c r="G191" s="7">
        <v>1</v>
      </c>
      <c r="H191" s="22" t="s">
        <v>386</v>
      </c>
      <c r="I191" s="13">
        <v>42677.747546296298</v>
      </c>
      <c r="J191" s="7">
        <v>0</v>
      </c>
      <c r="K191" s="112" t="str">
        <f t="shared" si="47"/>
        <v>4053/4054</v>
      </c>
      <c r="L191" s="22" t="str">
        <f>VLOOKUP(A191,'Trips&amp;Operators'!$C$1:$E$10000,3,FALSE)</f>
        <v>HELVIE</v>
      </c>
      <c r="M191" s="6">
        <f t="shared" si="48"/>
        <v>1.2395833335176576E-2</v>
      </c>
      <c r="N191" s="7">
        <f t="shared" si="65"/>
        <v>17.850000002654269</v>
      </c>
      <c r="O191" s="7"/>
      <c r="P191" s="7"/>
      <c r="Q191" s="23"/>
      <c r="R191" s="23"/>
      <c r="S191" s="35">
        <f t="shared" si="49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16:36:46-0600',mode:absolute,to:'2016-11-03 18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1" s="52" t="str">
        <f t="shared" si="52"/>
        <v>N</v>
      </c>
      <c r="X191" s="177">
        <f t="shared" si="64"/>
        <v>1</v>
      </c>
      <c r="Y191" s="67">
        <f t="shared" si="53"/>
        <v>5.8616999999999999</v>
      </c>
      <c r="Z191" s="67">
        <f t="shared" si="54"/>
        <v>7.6799999999999993E-2</v>
      </c>
      <c r="AA191" s="67">
        <f t="shared" si="55"/>
        <v>5.7848999999999995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6"/>
        <v>0834-03</v>
      </c>
      <c r="AE191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91" s="88" t="str">
        <f t="shared" si="58"/>
        <v>"C:\Program Files (x86)\AstroGrep\AstroGrep.exe" /spath="%USERPROFILE%\AppData\Local\Temp\OnboardLogs" /stypes="app*4054*20161103*" /stext=" 23:.+((SYSTEM_STATE.+slice.+state.+changed )|(ment ac)|(system.+state.+changed )|(\[timeout)|(PRM\|1\|D)|(kpr)|(kdp)|(\|lc)|(penalty))" /e /r /s</v>
      </c>
      <c r="AG191" s="1" t="str">
        <f t="shared" si="59"/>
        <v>NW</v>
      </c>
      <c r="AH191" s="92" t="str">
        <f t="shared" si="60"/>
        <v>"%USERPROFILE%\Documents\GitHub\eaglep3\Utilities\RefineRTDCRunTimes.py" --tripid 834-03 --locoid 4054 --swversion DE.1.0.8.0 --startMP 300:58617 --initTime 2016-11-03T17:36:46 --startdatetime 2016-11-03T17:38:37 --delay 1 --endMP 204:768 --enddatetime 2016-11-03T17:56:28 --enforcementcount 0 &gt;&gt;C:\Users\stu\Documents\GitHub\eaglep3-reporting\EC\2016-11-03-refined-times.txt</v>
      </c>
      <c r="AI191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{"issue":{"subject":"","project_id":79,"tracker_id":40,"status_id":1,"priority_id":2,"assigned_to_id":23,"start_date":"2016-11-03","description":"","custom_fields":[{"id":1,"name":"Subdivision","value":"NW"},{"id":4,"name":"Milepost","value":"0.0768"},{"id":17,"name":"Train ID","value":"834-03"},{"id":16,"name":"Locomotive ID","value":"4054"},{"id":130,"name":"Impact","value":""},{"id":150,"name":"Time of Event (Mountain Time)","value":"17:56:28"},{"id":151,"name":"Denver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577</v>
      </c>
      <c r="B192" s="7">
        <v>4011</v>
      </c>
      <c r="C192" s="22" t="s">
        <v>245</v>
      </c>
      <c r="D192" s="22" t="s">
        <v>340</v>
      </c>
      <c r="E192" s="13">
        <v>42677.728275462963</v>
      </c>
      <c r="F192" s="13">
        <v>42677.744004629632</v>
      </c>
      <c r="G192" s="7">
        <v>1</v>
      </c>
      <c r="H192" s="22" t="s">
        <v>392</v>
      </c>
      <c r="I192" s="13">
        <v>42677.753750000003</v>
      </c>
      <c r="J192" s="7">
        <v>0</v>
      </c>
      <c r="K192" s="112" t="str">
        <f t="shared" si="47"/>
        <v>4011/4012</v>
      </c>
      <c r="L192" s="22" t="str">
        <f>VLOOKUP(A192,'Trips&amp;Operators'!$C$1:$E$10000,3,FALSE)</f>
        <v>MAGEE</v>
      </c>
      <c r="M192" s="6">
        <f t="shared" si="48"/>
        <v>9.7453703710925765E-3</v>
      </c>
      <c r="N192" s="7">
        <f t="shared" si="65"/>
        <v>14.03333333437331</v>
      </c>
      <c r="O192" s="7"/>
      <c r="P192" s="7"/>
      <c r="Q192" s="23"/>
      <c r="R192" s="23"/>
      <c r="S192" s="35">
        <f t="shared" si="49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16:28:43-0600',mode:absolute,to:'2016-11-03 19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2" s="52" t="str">
        <f t="shared" si="52"/>
        <v>N</v>
      </c>
      <c r="X192" s="177">
        <f t="shared" si="64"/>
        <v>1</v>
      </c>
      <c r="Y192" s="67">
        <f t="shared" si="53"/>
        <v>9.6699999999999994E-2</v>
      </c>
      <c r="Z192" s="67">
        <f t="shared" si="54"/>
        <v>5.8936999999999999</v>
      </c>
      <c r="AA192" s="67">
        <f t="shared" si="55"/>
        <v>5.7969999999999997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6"/>
        <v>0835-03</v>
      </c>
      <c r="AE192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92" s="88" t="str">
        <f t="shared" si="58"/>
        <v>"C:\Program Files (x86)\AstroGrep\AstroGrep.exe" /spath="%USERPROFILE%\AppData\Local\Temp\OnboardLogs" /stypes="app*4011*20161104*" /stext=" 00:.+((SYSTEM_STATE.+slice.+state.+changed )|(ment ac)|(system.+state.+changed )|(\[timeout)|(PRM\|1\|D)|(kpr)|(kdp)|(\|lc)|(penalty))" /e /r /s</v>
      </c>
      <c r="AG192" s="1" t="str">
        <f t="shared" si="59"/>
        <v>NW</v>
      </c>
      <c r="AH192" s="92" t="str">
        <f t="shared" si="60"/>
        <v>"%USERPROFILE%\Documents\GitHub\eaglep3\Utilities\RefineRTDCRunTimes.py" --tripid 835-03 --locoid 4011 --swversion DE.1.0.8.0 --startMP 204:967 --initTime 2016-11-03T17:28:43 --startdatetime 2016-11-03T17:51:22 --delay 1 --endMP 300:58937 --enddatetime 2016-11-03T18:05:24 --enforcementcount 0 &gt;&gt;C:\Users\stu\Documents\GitHub\eaglep3-reporting\EC\2016-11-03-refined-times.txt</v>
      </c>
      <c r="AI192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{"issue":{"subject":"","project_id":79,"tracker_id":40,"status_id":1,"priority_id":2,"assigned_to_id":23,"start_date":"2016-11-03","description":"","custom_fields":[{"id":1,"name":"Subdivision","value":"NW"},{"id":4,"name":"Milepost","value":"5.8937"},{"id":17,"name":"Train ID","value":"835-03"},{"id":16,"name":"Locomotive ID","value":"4011"},{"id":130,"name":"Impact","value":""},{"id":150,"name":"Time of Event (Mountain Time)","value":"18:05:24"},{"id":151,"name":"Denver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440</v>
      </c>
      <c r="B193" s="7">
        <v>4012</v>
      </c>
      <c r="C193" s="22" t="s">
        <v>245</v>
      </c>
      <c r="D193" s="22" t="s">
        <v>729</v>
      </c>
      <c r="E193" s="13">
        <v>42677.754918981482</v>
      </c>
      <c r="F193" s="13">
        <v>42677.756469907406</v>
      </c>
      <c r="G193" s="7">
        <v>1</v>
      </c>
      <c r="H193" s="22" t="s">
        <v>759</v>
      </c>
      <c r="I193" s="13">
        <v>42677.769907407404</v>
      </c>
      <c r="J193" s="7">
        <v>0</v>
      </c>
      <c r="K193" s="112" t="str">
        <f t="shared" si="47"/>
        <v>4011/4012</v>
      </c>
      <c r="L193" s="22" t="str">
        <f>VLOOKUP(A193,'Trips&amp;Operators'!$C$1:$E$10000,3,FALSE)</f>
        <v>MAGEE</v>
      </c>
      <c r="M193" s="6">
        <f t="shared" si="48"/>
        <v>1.3437499997962732E-2</v>
      </c>
      <c r="N193" s="7">
        <f t="shared" si="65"/>
        <v>19.349999997066334</v>
      </c>
      <c r="O193" s="7"/>
      <c r="P193" s="7"/>
      <c r="Q193" s="23"/>
      <c r="R193" s="23"/>
      <c r="S193" s="35">
        <f t="shared" si="49"/>
        <v>1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17:07:05-0600',mode:absolute,to:'2016-11-03 19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3" s="52" t="str">
        <f t="shared" si="52"/>
        <v>N</v>
      </c>
      <c r="X193" s="177">
        <f t="shared" si="64"/>
        <v>1</v>
      </c>
      <c r="Y193" s="67">
        <f t="shared" si="53"/>
        <v>5.8619000000000003</v>
      </c>
      <c r="Z193" s="67">
        <f t="shared" si="54"/>
        <v>7.1900000000000006E-2</v>
      </c>
      <c r="AA193" s="67">
        <f t="shared" si="55"/>
        <v>5.79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6"/>
        <v>0836-03</v>
      </c>
      <c r="AE193" s="91" t="str">
        <f t="shared" si="57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193" s="88" t="str">
        <f t="shared" si="58"/>
        <v>"C:\Program Files (x86)\AstroGrep\AstroGrep.exe" /spath="%USERPROFILE%\AppData\Local\Temp\OnboardLogs" /stypes="app*4012*20161104*" /stext=" 00:.+((SYSTEM_STATE.+slice.+state.+changed )|(ment ac)|(system.+state.+changed )|(\[timeout)|(PRM\|1\|D)|(kpr)|(kdp)|(\|lc)|(penalty))" /e /r /s</v>
      </c>
      <c r="AG193" s="1" t="str">
        <f t="shared" si="59"/>
        <v>NW</v>
      </c>
      <c r="AH193" s="92" t="str">
        <f t="shared" si="60"/>
        <v>"%USERPROFILE%\Documents\GitHub\eaglep3\Utilities\RefineRTDCRunTimes.py" --tripid 836-03 --locoid 4012 --swversion DE.1.0.8.0 --startMP 300:58619 --initTime 2016-11-03T18:07:05 --startdatetime 2016-11-03T18:09:19 --delay 1 --endMP 204:719 --enddatetime 2016-11-03T18:28:40 --enforcementcount 0 &gt;&gt;C:\Users\stu\Documents\GitHub\eaglep3-reporting\EC\2016-11-03-refined-times.txt</v>
      </c>
      <c r="AI193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{"issue":{"subject":"","project_id":79,"tracker_id":40,"status_id":1,"priority_id":2,"assigned_to_id":23,"start_date":"2016-11-03","description":"","custom_fields":[{"id":1,"name":"Subdivision","value":"NW"},{"id":4,"name":"Milepost","value":"0.0719"},{"id":17,"name":"Train ID","value":"836-03"},{"id":16,"name":"Locomotive ID","value":"4012"},{"id":130,"name":"Impact","value":""},{"id":150,"name":"Time of Event (Mountain Time)","value":"18:28:40"},{"id":151,"name":"Denver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589</v>
      </c>
      <c r="B194" s="7">
        <v>4053</v>
      </c>
      <c r="C194" s="22" t="s">
        <v>245</v>
      </c>
      <c r="D194" s="22" t="s">
        <v>760</v>
      </c>
      <c r="E194" s="13">
        <v>42677.760694444441</v>
      </c>
      <c r="F194" s="13">
        <v>42677.764814814815</v>
      </c>
      <c r="G194" s="7">
        <v>1</v>
      </c>
      <c r="H194" s="22" t="s">
        <v>338</v>
      </c>
      <c r="I194" s="13">
        <v>42677.77447916667</v>
      </c>
      <c r="J194" s="7">
        <v>0</v>
      </c>
      <c r="K194" s="112" t="str">
        <f t="shared" si="47"/>
        <v>4053/4054</v>
      </c>
      <c r="L194" s="22" t="str">
        <f>VLOOKUP(A194,'Trips&amp;Operators'!$C$1:$E$10000,3,FALSE)</f>
        <v>HELVIE</v>
      </c>
      <c r="M194" s="6">
        <f t="shared" si="48"/>
        <v>9.6643518554628827E-3</v>
      </c>
      <c r="N194" s="7">
        <f t="shared" si="65"/>
        <v>13.916666671866551</v>
      </c>
      <c r="O194" s="7"/>
      <c r="P194" s="7"/>
      <c r="Q194" s="23"/>
      <c r="R194" s="23"/>
      <c r="S194" s="35">
        <f t="shared" si="49"/>
        <v>1</v>
      </c>
      <c r="T194" s="50" t="str">
        <f t="shared" si="5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17:15:24-0600',mode:absolute,to:'2016-11-03 19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4" s="52" t="str">
        <f t="shared" si="52"/>
        <v>N</v>
      </c>
      <c r="X194" s="177">
        <f t="shared" si="64"/>
        <v>1</v>
      </c>
      <c r="Y194" s="67">
        <f t="shared" si="53"/>
        <v>0.1048</v>
      </c>
      <c r="Z194" s="67">
        <f t="shared" si="54"/>
        <v>5.8930999999999996</v>
      </c>
      <c r="AA194" s="67">
        <f t="shared" si="55"/>
        <v>5.7882999999999996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6"/>
        <v>0837-03</v>
      </c>
      <c r="AE194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94" s="88" t="str">
        <f t="shared" si="58"/>
        <v>"C:\Program Files (x86)\AstroGrep\AstroGrep.exe" /spath="%USERPROFILE%\AppData\Local\Temp\OnboardLogs" /stypes="app*4053*20161104*" /stext=" 00:.+((SYSTEM_STATE.+slice.+state.+changed )|(ment ac)|(system.+state.+changed )|(\[timeout)|(PRM\|1\|D)|(kpr)|(kdp)|(\|lc)|(penalty))" /e /r /s</v>
      </c>
      <c r="AG194" s="1" t="str">
        <f t="shared" si="59"/>
        <v>NW</v>
      </c>
      <c r="AH194" s="92" t="str">
        <f t="shared" si="60"/>
        <v>"%USERPROFILE%\Documents\GitHub\eaglep3\Utilities\RefineRTDCRunTimes.py" --tripid 837-03 --locoid 4053 --swversion DE.1.0.8.0 --startMP 204:1048 --initTime 2016-11-03T18:15:24 --startdatetime 2016-11-03T18:21:20 --delay 1 --endMP 300:58931 --enddatetime 2016-11-03T18:35:15 --enforcementcount 0 &gt;&gt;C:\Users\stu\Documents\GitHub\eaglep3-reporting\EC\2016-11-03-refined-times.txt</v>
      </c>
      <c r="AI194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{"issue":{"subject":"","project_id":79,"tracker_id":40,"status_id":1,"priority_id":2,"assigned_to_id":23,"start_date":"2016-11-03","description":"","custom_fields":[{"id":1,"name":"Subdivision","value":"NW"},{"id":4,"name":"Milepost","value":"5.8931"},{"id":17,"name":"Train ID","value":"837-03"},{"id":16,"name":"Locomotive ID","value":"4053"},{"id":130,"name":"Impact","value":""},{"id":150,"name":"Time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594</v>
      </c>
      <c r="B195" s="7">
        <v>4054</v>
      </c>
      <c r="C195" s="22" t="s">
        <v>245</v>
      </c>
      <c r="D195" s="22" t="s">
        <v>263</v>
      </c>
      <c r="E195" s="13">
        <v>42677.775763888887</v>
      </c>
      <c r="F195" s="13">
        <v>42677.77820601852</v>
      </c>
      <c r="G195" s="7">
        <v>1</v>
      </c>
      <c r="H195" s="22" t="s">
        <v>641</v>
      </c>
      <c r="I195" s="13">
        <v>42677.788981481484</v>
      </c>
      <c r="J195" s="7">
        <v>0</v>
      </c>
      <c r="K195" s="112" t="str">
        <f t="shared" si="47"/>
        <v>4053/4054</v>
      </c>
      <c r="L195" s="22" t="str">
        <f>VLOOKUP(A195,'Trips&amp;Operators'!$C$1:$E$10000,3,FALSE)</f>
        <v>HELVIE</v>
      </c>
      <c r="M195" s="6">
        <f t="shared" si="48"/>
        <v>1.0775462964375038E-2</v>
      </c>
      <c r="N195" s="7">
        <f t="shared" si="65"/>
        <v>15.516666668700054</v>
      </c>
      <c r="O195" s="7"/>
      <c r="P195" s="7"/>
      <c r="Q195" s="23"/>
      <c r="R195" s="23"/>
      <c r="S195" s="35">
        <f t="shared" si="49"/>
        <v>1</v>
      </c>
      <c r="T195" s="50" t="str">
        <f t="shared" si="5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17:37:06-0600',mode:absolute,to:'2016-11-03 19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5" s="52" t="str">
        <f t="shared" si="52"/>
        <v>N</v>
      </c>
      <c r="X195" s="177">
        <f t="shared" si="64"/>
        <v>1</v>
      </c>
      <c r="Y195" s="67">
        <f t="shared" si="53"/>
        <v>5.8613</v>
      </c>
      <c r="Z195" s="67">
        <f t="shared" si="54"/>
        <v>7.6600000000000001E-2</v>
      </c>
      <c r="AA195" s="67">
        <f t="shared" si="55"/>
        <v>5.7847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6"/>
        <v>0838-03</v>
      </c>
      <c r="AE195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95" s="88" t="str">
        <f t="shared" si="58"/>
        <v>"C:\Program Files (x86)\AstroGrep\AstroGrep.exe" /spath="%USERPROFILE%\AppData\Local\Temp\OnboardLogs" /stypes="app*4054*20161104*" /stext=" 00:.+((SYSTEM_STATE.+slice.+state.+changed )|(ment ac)|(system.+state.+changed )|(\[timeout)|(PRM\|1\|D)|(kpr)|(kdp)|(\|lc)|(penalty))" /e /r /s</v>
      </c>
      <c r="AG195" s="1" t="str">
        <f t="shared" si="59"/>
        <v>NW</v>
      </c>
      <c r="AH195" s="92" t="str">
        <f t="shared" si="60"/>
        <v>"%USERPROFILE%\Documents\GitHub\eaglep3\Utilities\RefineRTDCRunTimes.py" --tripid 838-03 --locoid 4054 --swversion DE.1.0.8.0 --startMP 300:58613 --initTime 2016-11-03T18:37:06 --startdatetime 2016-11-03T18:40:37 --delay 1 --endMP 204:766 --enddatetime 2016-11-03T18:56:08 --enforcementcount 0 &gt;&gt;C:\Users\stu\Documents\GitHub\eaglep3-reporting\EC\2016-11-03-refined-times.txt</v>
      </c>
      <c r="AI195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{"issue":{"subject":"","project_id":79,"tracker_id":40,"status_id":1,"priority_id":2,"assigned_to_id":23,"start_date":"2016-11-03","description":"","custom_fields":[{"id":1,"name":"Subdivision","value":"NW"},{"id":4,"name":"Milepost","value":"0.0766"},{"id":17,"name":"Train ID","value":"838-03"},{"id":16,"name":"Locomotive ID","value":"4054"},{"id":130,"name":"Impact","value":""},{"id":150,"name":"Time of Event (Mountain Time)","value":"18:56:08"},{"id":151,"name":"Denver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595</v>
      </c>
      <c r="B196" s="7">
        <v>4011</v>
      </c>
      <c r="C196" s="22" t="s">
        <v>245</v>
      </c>
      <c r="D196" s="22" t="s">
        <v>761</v>
      </c>
      <c r="E196" s="13">
        <v>42677.781215277777</v>
      </c>
      <c r="F196" s="13">
        <v>42677.785578703704</v>
      </c>
      <c r="G196" s="7">
        <v>1</v>
      </c>
      <c r="H196" s="22" t="s">
        <v>392</v>
      </c>
      <c r="I196" s="13">
        <v>42677.794212962966</v>
      </c>
      <c r="J196" s="7">
        <v>0</v>
      </c>
      <c r="K196" s="112" t="str">
        <f t="shared" si="47"/>
        <v>4011/4012</v>
      </c>
      <c r="L196" s="22" t="str">
        <f>VLOOKUP(A196,'Trips&amp;Operators'!$C$1:$E$10000,3,FALSE)</f>
        <v>MAGEE</v>
      </c>
      <c r="M196" s="6">
        <f t="shared" si="48"/>
        <v>8.6342592621804215E-3</v>
      </c>
      <c r="N196" s="7">
        <f t="shared" si="65"/>
        <v>12.433333337539807</v>
      </c>
      <c r="O196" s="7"/>
      <c r="P196" s="7"/>
      <c r="Q196" s="23"/>
      <c r="R196" s="23"/>
      <c r="S196" s="35">
        <f t="shared" si="49"/>
        <v>1</v>
      </c>
      <c r="T196" s="50" t="str">
        <f t="shared" si="5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17:44:57-0600',mode:absolute,to:'2016-11-03 20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6" s="52" t="str">
        <f t="shared" si="52"/>
        <v>N</v>
      </c>
      <c r="X196" s="177">
        <f t="shared" si="64"/>
        <v>1</v>
      </c>
      <c r="Y196" s="67">
        <f t="shared" si="53"/>
        <v>0.10059999999999999</v>
      </c>
      <c r="Z196" s="67">
        <f t="shared" si="54"/>
        <v>5.8936999999999999</v>
      </c>
      <c r="AA196" s="67">
        <f t="shared" si="55"/>
        <v>5.7930999999999999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6"/>
        <v>0839-03</v>
      </c>
      <c r="AE196" s="91" t="str">
        <f t="shared" si="57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196" s="88" t="str">
        <f t="shared" si="58"/>
        <v>"C:\Program Files (x86)\AstroGrep\AstroGrep.exe" /spath="%USERPROFILE%\AppData\Local\Temp\OnboardLogs" /stypes="app*4011*20161104*" /stext=" 01:.+((SYSTEM_STATE.+slice.+state.+changed )|(ment ac)|(system.+state.+changed )|(\[timeout)|(PRM\|1\|D)|(kpr)|(kdp)|(\|lc)|(penalty))" /e /r /s</v>
      </c>
      <c r="AG196" s="1" t="str">
        <f t="shared" si="59"/>
        <v>NW</v>
      </c>
      <c r="AH196" s="92" t="str">
        <f t="shared" si="60"/>
        <v>"%USERPROFILE%\Documents\GitHub\eaglep3\Utilities\RefineRTDCRunTimes.py" --tripid 839-03 --locoid 4011 --swversion DE.1.0.8.0 --startMP 204:1006 --initTime 2016-11-03T18:44:57 --startdatetime 2016-11-03T18:51:14 --delay 1 --endMP 300:58937 --enddatetime 2016-11-03T19:03:40 --enforcementcount 0 &gt;&gt;C:\Users\stu\Documents\GitHub\eaglep3-reporting\EC\2016-11-03-refined-times.txt</v>
      </c>
      <c r="AI196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{"issue":{"subject":"","project_id":79,"tracker_id":40,"status_id":1,"priority_id":2,"assigned_to_id":23,"start_date":"2016-11-03","description":"","custom_fields":[{"id":1,"name":"Subdivision","value":"NW"},{"id":4,"name":"Milepost","value":"5.8937"},{"id":17,"name":"Train ID","value":"839-03"},{"id":16,"name":"Locomotive ID","value":"4011"},{"id":130,"name":"Impact","value":""},{"id":150,"name":"Time of Event (Mountain Time)","value":"19:03:40"},{"id":151,"name":"Denver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443</v>
      </c>
      <c r="B197" s="7">
        <v>4054</v>
      </c>
      <c r="C197" s="22" t="s">
        <v>245</v>
      </c>
      <c r="D197" s="22" t="s">
        <v>339</v>
      </c>
      <c r="E197" s="13">
        <v>42677.816967592589</v>
      </c>
      <c r="F197" s="13">
        <v>42677.818391203706</v>
      </c>
      <c r="G197" s="7">
        <v>0</v>
      </c>
      <c r="H197" s="22" t="s">
        <v>369</v>
      </c>
      <c r="I197" s="13">
        <v>42677.832326388889</v>
      </c>
      <c r="J197" s="7">
        <v>0</v>
      </c>
      <c r="K197" s="112" t="str">
        <f t="shared" si="47"/>
        <v>4053/4054</v>
      </c>
      <c r="L197" s="22" t="str">
        <f>VLOOKUP(A197,'Trips&amp;Operators'!$C$1:$E$10000,3,FALSE)</f>
        <v>HELVIE</v>
      </c>
      <c r="M197" s="6">
        <f t="shared" si="48"/>
        <v>1.3935185183072463E-2</v>
      </c>
      <c r="N197" s="7">
        <f t="shared" si="65"/>
        <v>20.066666663624346</v>
      </c>
      <c r="O197" s="7"/>
      <c r="P197" s="7"/>
      <c r="Q197" s="23"/>
      <c r="R197" s="23"/>
      <c r="S197" s="35">
        <f t="shared" si="49"/>
        <v>1</v>
      </c>
      <c r="T197" s="50" t="str">
        <f t="shared" si="5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18:36:26-0600',mode:absolute,to:'2016-11-03 20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2" t="str">
        <f t="shared" si="52"/>
        <v>N</v>
      </c>
      <c r="X197" s="177">
        <f t="shared" ref="X197:X228" si="66">VALUE(LEFT(AD197,4))-VALUE(LEFT(AD196,4))</f>
        <v>1</v>
      </c>
      <c r="Y197" s="67">
        <f t="shared" si="53"/>
        <v>5.8615000000000004</v>
      </c>
      <c r="Z197" s="67">
        <f t="shared" si="54"/>
        <v>7.5700000000000003E-2</v>
      </c>
      <c r="AA197" s="67">
        <f t="shared" si="55"/>
        <v>5.7858000000000001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6"/>
        <v>0840-03</v>
      </c>
      <c r="AE197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97" s="88" t="str">
        <f t="shared" si="58"/>
        <v>"C:\Program Files (x86)\AstroGrep\AstroGrep.exe" /spath="%USERPROFILE%\AppData\Local\Temp\OnboardLogs" /stypes="app*4054*20161104*" /stext=" 01:.+((SYSTEM_STATE.+slice.+state.+changed )|(ment ac)|(system.+state.+changed )|(\[timeout)|(PRM\|1\|D)|(kpr)|(kdp)|(\|lc)|(penalty))" /e /r /s</v>
      </c>
      <c r="AG197" s="1" t="str">
        <f t="shared" si="59"/>
        <v>NW</v>
      </c>
      <c r="AH197" s="92" t="str">
        <f t="shared" si="60"/>
        <v>"%USERPROFILE%\Documents\GitHub\eaglep3\Utilities\RefineRTDCRunTimes.py" --tripid 840-03 --locoid 4054 --swversion DE.1.0.8.0 --startMP 300:58615 --initTime 2016-11-03T19:36:26 --startdatetime 2016-11-03T19:38:29 --delay 0 --endMP 204:757 --enddatetime 2016-11-03T19:58:33 --enforcementcount 0 &gt;&gt;C:\Users\stu\Documents\GitHub\eaglep3-reporting\EC\2016-11-03-refined-times.txt</v>
      </c>
      <c r="AI197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{"issue":{"subject":"","project_id":79,"tracker_id":40,"status_id":1,"priority_id":2,"assigned_to_id":23,"start_date":"2016-11-03","description":"","custom_fields":[{"id":1,"name":"Subdivision","value":"NW"},{"id":4,"name":"Milepost","value":"0.0757"},{"id":17,"name":"Train ID","value":"840-03"},{"id":16,"name":"Locomotive ID","value":"4054"},{"id":130,"name":"Impact","value":""},{"id":150,"name":"Time of Event (Mountain Time)","value":"19:58:33"},{"id":151,"name":"Denver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600</v>
      </c>
      <c r="B198" s="7">
        <v>4053</v>
      </c>
      <c r="C198" s="22" t="s">
        <v>245</v>
      </c>
      <c r="D198" s="22" t="s">
        <v>762</v>
      </c>
      <c r="E198" s="13">
        <v>42677.804201388892</v>
      </c>
      <c r="F198" s="13">
        <v>42677.80709490741</v>
      </c>
      <c r="G198" s="7">
        <v>1</v>
      </c>
      <c r="H198" s="22" t="s">
        <v>338</v>
      </c>
      <c r="I198" s="13">
        <v>42677.815949074073</v>
      </c>
      <c r="J198" s="7">
        <v>0</v>
      </c>
      <c r="K198" s="112" t="str">
        <f t="shared" si="47"/>
        <v>4053/4054</v>
      </c>
      <c r="L198" s="22" t="str">
        <f>VLOOKUP(A198,'Trips&amp;Operators'!$C$1:$E$10000,3,FALSE)</f>
        <v>HELVIE</v>
      </c>
      <c r="M198" s="6">
        <f t="shared" si="48"/>
        <v>8.8541666627861559E-3</v>
      </c>
      <c r="N198" s="7">
        <f t="shared" si="65"/>
        <v>12.749999994412065</v>
      </c>
      <c r="O198" s="7"/>
      <c r="P198" s="7"/>
      <c r="Q198" s="23"/>
      <c r="R198" s="23"/>
      <c r="S198" s="35">
        <f t="shared" si="49"/>
        <v>1</v>
      </c>
      <c r="T198" s="50" t="str">
        <f t="shared" si="5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18:18:03-0600',mode:absolute,to:'2016-11-03 20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8" s="52" t="str">
        <f t="shared" si="52"/>
        <v>N</v>
      </c>
      <c r="X198" s="177">
        <f t="shared" si="66"/>
        <v>1</v>
      </c>
      <c r="Y198" s="67">
        <f t="shared" si="53"/>
        <v>0.10390000000000001</v>
      </c>
      <c r="Z198" s="67">
        <f t="shared" si="54"/>
        <v>5.8930999999999996</v>
      </c>
      <c r="AA198" s="67">
        <f t="shared" si="55"/>
        <v>5.7891999999999992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6"/>
        <v>0841-03</v>
      </c>
      <c r="AE198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198" s="88" t="str">
        <f t="shared" si="58"/>
        <v>"C:\Program Files (x86)\AstroGrep\AstroGrep.exe" /spath="%USERPROFILE%\AppData\Local\Temp\OnboardLogs" /stypes="app*4053*20161104*" /stext=" 01:.+((SYSTEM_STATE.+slice.+state.+changed )|(ment ac)|(system.+state.+changed )|(\[timeout)|(PRM\|1\|D)|(kpr)|(kdp)|(\|lc)|(penalty))" /e /r /s</v>
      </c>
      <c r="AG198" s="1" t="str">
        <f t="shared" si="59"/>
        <v>NW</v>
      </c>
      <c r="AH198" s="92" t="str">
        <f t="shared" si="60"/>
        <v>"%USERPROFILE%\Documents\GitHub\eaglep3\Utilities\RefineRTDCRunTimes.py" --tripid 841-03 --locoid 4053 --swversion DE.1.0.8.0 --startMP 204:1039 --initTime 2016-11-03T19:18:03 --startdatetime 2016-11-03T19:22:13 --delay 1 --endMP 300:58931 --enddatetime 2016-11-03T19:34:58 --enforcementcount 0 &gt;&gt;C:\Users\stu\Documents\GitHub\eaglep3-reporting\EC\2016-11-03-refined-times.txt</v>
      </c>
      <c r="AI198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{"issue":{"subject":"","project_id":79,"tracker_id":40,"status_id":1,"priority_id":2,"assigned_to_id":23,"start_date":"2016-11-03","description":"","custom_fields":[{"id":1,"name":"Subdivision","value":"NW"},{"id":4,"name":"Milepost","value":"5.8931"},{"id":17,"name":"Train ID","value":"841-03"},{"id":16,"name":"Locomotive ID","value":"4053"},{"id":130,"name":"Impact","value":""},{"id":150,"name":"Time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607</v>
      </c>
      <c r="B199" s="7">
        <v>4054</v>
      </c>
      <c r="C199" s="22" t="s">
        <v>245</v>
      </c>
      <c r="D199" s="22" t="s">
        <v>339</v>
      </c>
      <c r="E199" s="13">
        <v>42677.858020833337</v>
      </c>
      <c r="F199" s="13">
        <v>42677.859444444446</v>
      </c>
      <c r="G199" s="7">
        <v>1</v>
      </c>
      <c r="H199" s="22" t="s">
        <v>394</v>
      </c>
      <c r="I199" s="13">
        <v>42677.871006944442</v>
      </c>
      <c r="J199" s="7">
        <v>0</v>
      </c>
      <c r="K199" s="112" t="str">
        <f t="shared" si="47"/>
        <v>4053/4054</v>
      </c>
      <c r="L199" s="22" t="str">
        <f>VLOOKUP(A199,'Trips&amp;Operators'!$C$1:$E$10000,3,FALSE)</f>
        <v>HELVIE</v>
      </c>
      <c r="M199" s="6">
        <f t="shared" si="48"/>
        <v>1.1562499996216502E-2</v>
      </c>
      <c r="N199" s="7">
        <f t="shared" si="65"/>
        <v>16.649999994551763</v>
      </c>
      <c r="O199" s="7"/>
      <c r="P199" s="7"/>
      <c r="Q199" s="23"/>
      <c r="R199" s="23"/>
      <c r="S199" s="35">
        <f t="shared" si="49"/>
        <v>1</v>
      </c>
      <c r="T199" s="50" t="str">
        <f t="shared" si="5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19:35:33-0600',mode:absolute,to:'2016-11-03 21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9" s="52" t="str">
        <f t="shared" si="52"/>
        <v>N</v>
      </c>
      <c r="X199" s="177">
        <f t="shared" si="66"/>
        <v>1</v>
      </c>
      <c r="Y199" s="67">
        <f t="shared" si="53"/>
        <v>5.8615000000000004</v>
      </c>
      <c r="Z199" s="67">
        <f t="shared" si="54"/>
        <v>7.6100000000000001E-2</v>
      </c>
      <c r="AA199" s="67">
        <f t="shared" si="55"/>
        <v>5.7854000000000001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6"/>
        <v>0842-03</v>
      </c>
      <c r="AE199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199" s="88" t="str">
        <f t="shared" si="58"/>
        <v>"C:\Program Files (x86)\AstroGrep\AstroGrep.exe" /spath="%USERPROFILE%\AppData\Local\Temp\OnboardLogs" /stypes="app*4054*20161104*" /stext=" 02:.+((SYSTEM_STATE.+slice.+state.+changed )|(ment ac)|(system.+state.+changed )|(\[timeout)|(PRM\|1\|D)|(kpr)|(kdp)|(\|lc)|(penalty))" /e /r /s</v>
      </c>
      <c r="AG199" s="1" t="str">
        <f t="shared" si="59"/>
        <v>NW</v>
      </c>
      <c r="AH199" s="92" t="str">
        <f t="shared" si="60"/>
        <v>"%USERPROFILE%\Documents\GitHub\eaglep3\Utilities\RefineRTDCRunTimes.py" --tripid 842-03 --locoid 4054 --swversion DE.1.0.8.0 --startMP 300:58615 --initTime 2016-11-03T20:35:33 --startdatetime 2016-11-03T20:37:36 --delay 1 --endMP 204:761 --enddatetime 2016-11-03T20:54:15 --enforcementcount 0 &gt;&gt;C:\Users\stu\Documents\GitHub\eaglep3-reporting\EC\2016-11-03-refined-times.txt</v>
      </c>
      <c r="AI199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{"issue":{"subject":"","project_id":79,"tracker_id":40,"status_id":1,"priority_id":2,"assigned_to_id":23,"start_date":"2016-11-03","description":"","custom_fields":[{"id":1,"name":"Subdivision","value":"NW"},{"id":4,"name":"Milepost","value":"0.0761"},{"id":17,"name":"Train ID","value":"842-03"},{"id":16,"name":"Locomotive ID","value":"4054"},{"id":130,"name":"Impact","value":""},{"id":150,"name":"Time of Event (Mountain Time)","value":"20:54:15"},{"id":151,"name":"Denver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606</v>
      </c>
      <c r="B200" s="7">
        <v>4053</v>
      </c>
      <c r="C200" s="22" t="s">
        <v>245</v>
      </c>
      <c r="D200" s="22" t="s">
        <v>763</v>
      </c>
      <c r="E200" s="13">
        <v>42677.844537037039</v>
      </c>
      <c r="F200" s="13">
        <v>42677.848078703704</v>
      </c>
      <c r="G200" s="7">
        <v>1</v>
      </c>
      <c r="H200" s="22" t="s">
        <v>733</v>
      </c>
      <c r="I200" s="13">
        <v>42677.856736111113</v>
      </c>
      <c r="J200" s="7">
        <v>0</v>
      </c>
      <c r="K200" s="112" t="str">
        <f t="shared" si="47"/>
        <v>4053/4054</v>
      </c>
      <c r="L200" s="22" t="str">
        <f>VLOOKUP(A200,'Trips&amp;Operators'!$C$1:$E$10000,3,FALSE)</f>
        <v>HELVIE</v>
      </c>
      <c r="M200" s="6">
        <f t="shared" si="48"/>
        <v>8.6574074084637687E-3</v>
      </c>
      <c r="N200" s="7">
        <f t="shared" si="65"/>
        <v>12.466666668187827</v>
      </c>
      <c r="O200" s="7"/>
      <c r="P200" s="7"/>
      <c r="Q200" s="23"/>
      <c r="R200" s="23"/>
      <c r="S200" s="35">
        <f t="shared" si="49"/>
        <v>1</v>
      </c>
      <c r="T200" s="50" t="str">
        <f t="shared" si="5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19:16:08-0600',mode:absolute,to:'2016-11-03 21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52"/>
        <v>N</v>
      </c>
      <c r="X200" s="177">
        <f t="shared" si="66"/>
        <v>1</v>
      </c>
      <c r="Y200" s="67">
        <f t="shared" si="53"/>
        <v>0.1055</v>
      </c>
      <c r="Z200" s="67">
        <f t="shared" si="54"/>
        <v>5.8935000000000004</v>
      </c>
      <c r="AA200" s="67">
        <f t="shared" si="55"/>
        <v>5.7880000000000003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6"/>
        <v>0843-03</v>
      </c>
      <c r="AE200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200" s="88" t="str">
        <f t="shared" si="58"/>
        <v>"C:\Program Files (x86)\AstroGrep\AstroGrep.exe" /spath="%USERPROFILE%\AppData\Local\Temp\OnboardLogs" /stypes="app*4053*20161104*" /stext=" 02:.+((SYSTEM_STATE.+slice.+state.+changed )|(ment ac)|(system.+state.+changed )|(\[timeout)|(PRM\|1\|D)|(kpr)|(kdp)|(\|lc)|(penalty))" /e /r /s</v>
      </c>
      <c r="AG200" s="1" t="str">
        <f t="shared" si="59"/>
        <v>NW</v>
      </c>
      <c r="AH200" s="92" t="str">
        <f t="shared" si="60"/>
        <v>"%USERPROFILE%\Documents\GitHub\eaglep3\Utilities\RefineRTDCRunTimes.py" --tripid 843-03 --locoid 4053 --swversion DE.1.0.8.0 --startMP 204:1055 --initTime 2016-11-03T20:16:08 --startdatetime 2016-11-03T20:21:14 --delay 1 --endMP 300:58935 --enddatetime 2016-11-03T20:33:42 --enforcementcount 0 &gt;&gt;C:\Users\stu\Documents\GitHub\eaglep3-reporting\EC\2016-11-03-refined-times.txt</v>
      </c>
      <c r="AI200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{"issue":{"subject":"","project_id":79,"tracker_id":40,"status_id":1,"priority_id":2,"assigned_to_id":23,"start_date":"2016-11-03","description":"","custom_fields":[{"id":1,"name":"Subdivision","value":"NW"},{"id":4,"name":"Milepost","value":"5.8935"},{"id":17,"name":"Train ID","value":"843-03"},{"id":16,"name":"Locomotive ID","value":"4053"},{"id":130,"name":"Impact","value":""},{"id":150,"name":"Time of Event (Mountain Time)","value":"20:33:42"},{"id":151,"name":"Denver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612</v>
      </c>
      <c r="B201" s="7">
        <v>4054</v>
      </c>
      <c r="C201" s="22" t="s">
        <v>245</v>
      </c>
      <c r="D201" s="22" t="s">
        <v>764</v>
      </c>
      <c r="E201" s="13">
        <v>42677.901319444441</v>
      </c>
      <c r="F201" s="13">
        <v>42677.902650462966</v>
      </c>
      <c r="G201" s="7">
        <v>1</v>
      </c>
      <c r="H201" s="22" t="s">
        <v>765</v>
      </c>
      <c r="I201" s="13">
        <v>42677.913055555553</v>
      </c>
      <c r="J201" s="7">
        <v>0</v>
      </c>
      <c r="K201" s="112" t="str">
        <f t="shared" si="47"/>
        <v>4053/4054</v>
      </c>
      <c r="L201" s="22" t="str">
        <f>VLOOKUP(A201,'Trips&amp;Operators'!$C$1:$E$10000,3,FALSE)</f>
        <v>MAGEE</v>
      </c>
      <c r="M201" s="6">
        <f t="shared" si="48"/>
        <v>1.0405092587461695E-2</v>
      </c>
      <c r="N201" s="7">
        <f t="shared" si="65"/>
        <v>14.983333325944841</v>
      </c>
      <c r="O201" s="7"/>
      <c r="P201" s="7"/>
      <c r="Q201" s="23"/>
      <c r="R201" s="23"/>
      <c r="S201" s="35">
        <f t="shared" si="49"/>
        <v>1</v>
      </c>
      <c r="T201" s="50" t="str">
        <f t="shared" si="5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20:37:54-0600',mode:absolute,to:'2016-11-03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1" s="52" t="str">
        <f t="shared" si="52"/>
        <v>N</v>
      </c>
      <c r="X201" s="177">
        <f t="shared" si="66"/>
        <v>1</v>
      </c>
      <c r="Y201" s="67">
        <f t="shared" si="53"/>
        <v>5.8623000000000003</v>
      </c>
      <c r="Z201" s="67">
        <f t="shared" si="54"/>
        <v>6.5699999999999995E-2</v>
      </c>
      <c r="AA201" s="67">
        <f t="shared" si="55"/>
        <v>5.7966000000000006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6"/>
        <v>0844-03</v>
      </c>
      <c r="AE201" s="91" t="str">
        <f t="shared" si="57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201" s="88" t="str">
        <f t="shared" si="58"/>
        <v>"C:\Program Files (x86)\AstroGrep\AstroGrep.exe" /spath="%USERPROFILE%\AppData\Local\Temp\OnboardLogs" /stypes="app*4054*20161104*" /stext=" 03:.+((SYSTEM_STATE.+slice.+state.+changed )|(ment ac)|(system.+state.+changed )|(\[timeout)|(PRM\|1\|D)|(kpr)|(kdp)|(\|lc)|(penalty))" /e /r /s</v>
      </c>
      <c r="AG201" s="1" t="str">
        <f t="shared" si="59"/>
        <v>NW</v>
      </c>
      <c r="AH201" s="92" t="str">
        <f t="shared" si="60"/>
        <v>"%USERPROFILE%\Documents\GitHub\eaglep3\Utilities\RefineRTDCRunTimes.py" --tripid 844-03 --locoid 4054 --swversion DE.1.0.8.0 --startMP 300:58623 --initTime 2016-11-03T21:37:54 --startdatetime 2016-11-03T21:39:49 --delay 1 --endMP 204:657 --enddatetime 2016-11-03T21:54:48 --enforcementcount 0 &gt;&gt;C:\Users\stu\Documents\GitHub\eaglep3-reporting\EC\2016-11-03-refined-times.txt</v>
      </c>
      <c r="AI201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{"issue":{"subject":"","project_id":79,"tracker_id":40,"status_id":1,"priority_id":2,"assigned_to_id":23,"start_date":"2016-11-03","description":"","custom_fields":[{"id":1,"name":"Subdivision","value":"NW"},{"id":4,"name":"Milepost","value":"0.0657"},{"id":17,"name":"Train ID","value":"844-03"},{"id":16,"name":"Locomotive ID","value":"4054"},{"id":130,"name":"Impact","value":""},{"id":150,"name":"Time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610</v>
      </c>
      <c r="B202" s="7">
        <v>4053</v>
      </c>
      <c r="C202" s="22" t="s">
        <v>245</v>
      </c>
      <c r="D202" s="22" t="s">
        <v>755</v>
      </c>
      <c r="E202" s="13">
        <v>42677.873159722221</v>
      </c>
      <c r="F202" s="13">
        <v>42677.889745370368</v>
      </c>
      <c r="G202" s="7">
        <v>1</v>
      </c>
      <c r="H202" s="22" t="s">
        <v>750</v>
      </c>
      <c r="I202" s="13">
        <v>42677.900266203702</v>
      </c>
      <c r="J202" s="7">
        <v>0</v>
      </c>
      <c r="K202" s="112" t="str">
        <f t="shared" si="47"/>
        <v>4053/4054</v>
      </c>
      <c r="L202" s="22" t="str">
        <f>VLOOKUP(A202,'Trips&amp;Operators'!$C$1:$E$10000,3,FALSE)</f>
        <v>MAGEE</v>
      </c>
      <c r="M202" s="6">
        <f t="shared" si="48"/>
        <v>1.0520833333430346E-2</v>
      </c>
      <c r="N202" s="7">
        <f t="shared" ref="N202:N228" si="67">24*60*SUM($M202:$M202)</f>
        <v>15.150000000139698</v>
      </c>
      <c r="O202" s="7"/>
      <c r="P202" s="7"/>
      <c r="Q202" s="23"/>
      <c r="R202" s="23"/>
      <c r="S202" s="35">
        <f t="shared" si="49"/>
        <v>1</v>
      </c>
      <c r="T202" s="50" t="str">
        <f t="shared" si="5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19:57:21-0600',mode:absolute,to:'2016-11-03 22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2" s="52" t="str">
        <f t="shared" si="52"/>
        <v>N</v>
      </c>
      <c r="X202" s="177">
        <f t="shared" si="66"/>
        <v>1</v>
      </c>
      <c r="Y202" s="67">
        <f t="shared" si="53"/>
        <v>0.1046</v>
      </c>
      <c r="Z202" s="67">
        <f t="shared" si="54"/>
        <v>5.8929</v>
      </c>
      <c r="AA202" s="67">
        <f t="shared" si="55"/>
        <v>5.7883000000000004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6"/>
        <v>0845-03</v>
      </c>
      <c r="AE202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202" s="88" t="str">
        <f t="shared" si="58"/>
        <v>"C:\Program Files (x86)\AstroGrep\AstroGrep.exe" /spath="%USERPROFILE%\AppData\Local\Temp\OnboardLogs" /stypes="app*4053*20161104*" /stext=" 03:.+((SYSTEM_STATE.+slice.+state.+changed )|(ment ac)|(system.+state.+changed )|(\[timeout)|(PRM\|1\|D)|(kpr)|(kdp)|(\|lc)|(penalty))" /e /r /s</v>
      </c>
      <c r="AG202" s="1" t="str">
        <f t="shared" si="59"/>
        <v>NW</v>
      </c>
      <c r="AH202" s="92" t="str">
        <f t="shared" si="60"/>
        <v>"%USERPROFILE%\Documents\GitHub\eaglep3\Utilities\RefineRTDCRunTimes.py" --tripid 845-03 --locoid 4053 --swversion DE.1.0.8.0 --startMP 204:1046 --initTime 2016-11-03T20:57:21 --startdatetime 2016-11-03T21:21:14 --delay 1 --endMP 300:58929 --enddatetime 2016-11-03T21:36:23 --enforcementcount 0 &gt;&gt;C:\Users\stu\Documents\GitHub\eaglep3-reporting\EC\2016-11-03-refined-times.txt</v>
      </c>
      <c r="AI202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{"issue":{"subject":"","project_id":79,"tracker_id":40,"status_id":1,"priority_id":2,"assigned_to_id":23,"start_date":"2016-11-03","description":"","custom_fields":[{"id":1,"name":"Subdivision","value":"NW"},{"id":4,"name":"Milepost","value":"5.8929"},{"id":17,"name":"Train ID","value":"845-03"},{"id":16,"name":"Locomotive ID","value":"4053"},{"id":130,"name":"Impact","value":""},{"id":150,"name":"Time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446</v>
      </c>
      <c r="B203" s="7">
        <v>4053</v>
      </c>
      <c r="C203" s="22" t="s">
        <v>245</v>
      </c>
      <c r="D203" s="22" t="s">
        <v>766</v>
      </c>
      <c r="E203" s="13">
        <v>42677.914490740739</v>
      </c>
      <c r="F203" s="13">
        <v>42677.931435185186</v>
      </c>
      <c r="G203" s="7">
        <v>1</v>
      </c>
      <c r="H203" s="22" t="s">
        <v>767</v>
      </c>
      <c r="I203" s="13">
        <v>42677.941724537035</v>
      </c>
      <c r="J203" s="7">
        <v>0</v>
      </c>
      <c r="K203" s="112" t="str">
        <f t="shared" si="47"/>
        <v>4053/4054</v>
      </c>
      <c r="L203" s="22" t="str">
        <f>VLOOKUP(A203,'Trips&amp;Operators'!$C$1:$E$10000,3,FALSE)</f>
        <v>MAGEE</v>
      </c>
      <c r="M203" s="6">
        <f t="shared" si="48"/>
        <v>1.0289351848769002E-2</v>
      </c>
      <c r="N203" s="7">
        <f t="shared" si="67"/>
        <v>14.816666662227362</v>
      </c>
      <c r="O203" s="7"/>
      <c r="P203" s="7"/>
      <c r="Q203" s="23"/>
      <c r="R203" s="23"/>
      <c r="S203" s="35">
        <f t="shared" si="49"/>
        <v>1</v>
      </c>
      <c r="T203" s="50" t="str">
        <f t="shared" si="5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20:56:52-0600',mode:absolute,to:'2016-11-03 23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3" s="52" t="str">
        <f t="shared" si="52"/>
        <v>N</v>
      </c>
      <c r="X203" s="177">
        <f t="shared" si="66"/>
        <v>2</v>
      </c>
      <c r="Y203" s="67">
        <f t="shared" si="53"/>
        <v>9.4299999999999995E-2</v>
      </c>
      <c r="Z203" s="67">
        <f t="shared" si="54"/>
        <v>5.8916000000000004</v>
      </c>
      <c r="AA203" s="67">
        <f t="shared" si="55"/>
        <v>5.7973000000000008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6"/>
        <v>0847-03</v>
      </c>
      <c r="AE203" s="91" t="str">
        <f t="shared" si="57"/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AF203" s="88" t="str">
        <f t="shared" si="58"/>
        <v>"C:\Program Files (x86)\AstroGrep\AstroGrep.exe" /spath="%USERPROFILE%\AppData\Local\Temp\OnboardLogs" /stypes="app*4053*20161104*" /stext=" 04:.+((SYSTEM_STATE.+slice.+state.+changed )|(ment ac)|(system.+state.+changed )|(\[timeout)|(PRM\|1\|D)|(kpr)|(kdp)|(\|lc)|(penalty))" /e /r /s</v>
      </c>
      <c r="AG203" s="1" t="str">
        <f t="shared" si="59"/>
        <v>NW</v>
      </c>
      <c r="AH203" s="92" t="str">
        <f t="shared" si="60"/>
        <v>"%USERPROFILE%\Documents\GitHub\eaglep3\Utilities\RefineRTDCRunTimes.py" --tripid 847-03 --locoid 4053 --swversion DE.1.0.8.0 --startMP 204:943 --initTime 2016-11-03T21:56:52 --startdatetime 2016-11-03T22:21:16 --delay 1 --endMP 300:58916 --enddatetime 2016-11-03T22:36:05 --enforcementcount 0 &gt;&gt;C:\Users\stu\Documents\GitHub\eaglep3-reporting\EC\2016-11-03-refined-times.txt</v>
      </c>
      <c r="AI203" s="122" t="str">
        <f t="shared" si="61"/>
        <v>echo {"issue":{"subject":"","project_id":79,"tracker_id":40,"status_id":1,"priority_id":2,"assigned_to_id":23,"start_date":"2016-11-03","description":"","custom_fields":[{"id":1,"name":"Subdivision","value":"NW"},{"id":4,"name":"Milepost","value":"5.8916"},{"id":17,"name":"Train ID","value":"847-03"},{"id":16,"name":"Locomotive ID","value":"4053"},{"id":130,"name":"Impact","value":""},{"id":150,"name":"Time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451</v>
      </c>
      <c r="B204" s="7">
        <v>4039</v>
      </c>
      <c r="C204" s="22" t="s">
        <v>245</v>
      </c>
      <c r="D204" s="22" t="s">
        <v>701</v>
      </c>
      <c r="E204" s="13">
        <v>42677.121620370373</v>
      </c>
      <c r="F204" s="13">
        <v>42677.12295138889</v>
      </c>
      <c r="G204" s="7">
        <v>1</v>
      </c>
      <c r="H204" s="22" t="s">
        <v>204</v>
      </c>
      <c r="I204" s="13">
        <v>42677.130613425928</v>
      </c>
      <c r="J204" s="7">
        <v>0</v>
      </c>
      <c r="K204" s="112" t="str">
        <f t="shared" si="47"/>
        <v>4039/4040</v>
      </c>
      <c r="L204" s="22" t="str">
        <f>VLOOKUP(A204,'Trips&amp;Operators'!$C$1:$E$10000,3,FALSE)</f>
        <v>MAELZER</v>
      </c>
      <c r="M204" s="6">
        <f t="shared" si="48"/>
        <v>7.662037038244307E-3</v>
      </c>
      <c r="N204" s="7">
        <f t="shared" si="67"/>
        <v>11.033333335071802</v>
      </c>
      <c r="O204" s="7"/>
      <c r="P204" s="7"/>
      <c r="Q204" s="23"/>
      <c r="R204" s="23"/>
      <c r="S204" s="35">
        <f t="shared" si="49"/>
        <v>1</v>
      </c>
      <c r="T204" s="50" t="str">
        <f t="shared" si="5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https://search-rtdc-monitor-bjffxe2xuh6vdkpspy63sjmuny.us-east-1.es.amazonaws.com/_plugin/kibana/#/discover/Steve-Slow-Train-Analysis-(2080s-and-2083s)?_g=(refreshInterval:(display:Off,section:0,value:0),time:(from:'2016-11-03 01:55:08-0600',mode:absolute,to:'2016-11-03 04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4" s="52" t="str">
        <f t="shared" si="52"/>
        <v>Y</v>
      </c>
      <c r="X204" s="177">
        <f t="shared" si="66"/>
        <v>-545</v>
      </c>
      <c r="Y204" s="67">
        <f t="shared" si="53"/>
        <v>2.3174999999999999</v>
      </c>
      <c r="Z204" s="67">
        <f t="shared" si="54"/>
        <v>1.4500000000000001E-2</v>
      </c>
      <c r="AA204" s="67">
        <f t="shared" si="55"/>
        <v>2.3029999999999999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6"/>
        <v>0302-03</v>
      </c>
      <c r="AE204" s="91" t="str">
        <f t="shared" si="57"/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AF204" s="88" t="str">
        <f t="shared" si="58"/>
        <v>"C:\Program Files (x86)\AstroGrep\AstroGrep.exe" /spath="%USERPROFILE%\AppData\Local\Temp\OnboardLogs" /stypes="app*4039*20161103*" /stext=" 09:.+((SYSTEM_STATE.+slice.+state.+changed )|(ment ac)|(system.+state.+changed )|(\[timeout)|(PRM\|1\|D)|(kpr)|(kdp)|(\|lc)|(penalty))" /e /r /s</v>
      </c>
      <c r="AG204" s="1" t="str">
        <f t="shared" si="59"/>
        <v>Other</v>
      </c>
      <c r="AH204" s="92" t="str">
        <f t="shared" ref="AH204:AH228" si="6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302-03 --locoid 4039 --swversion DE.1.0.8.0 --startMP 300:23175 --initTime 2016-11-03T02:55:08 --startdatetime 2016-11-03T02:57:03 --delay 1 --endMP 204:145 --enddatetime 2016-11-03T03:08:05 --enforcementcount 0 &gt;&gt;C:\Users\stu\Documents\GitHub\eaglep3-reporting\EC\2016-11-03-refined-times.txt</v>
      </c>
      <c r="AI204" s="122" t="str">
        <f t="shared" ref="AI204:AI228" si="6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{"issue":{"subject":"","project_id":79,"tracker_id":40,"status_id":1,"priority_id":2,"assigned_to_id":23,"start_date":"2016-11-03","description":"","custom_fields":[{"id":1,"name":"Subdivision","value":"Other"},{"id":4,"name":"Milepost","value":"0.0145"},{"id":17,"name":"Train ID","value":"302-03"},{"id":16,"name":"Locomotive ID","value":"4039"},{"id":130,"name":"Impact","value":""},{"id":150,"name":"Time of Event (Mountain Time)","value":"03:08:05"},{"id":151,"name":"Denver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593</v>
      </c>
      <c r="B205" s="7">
        <v>4029</v>
      </c>
      <c r="C205" s="22" t="s">
        <v>245</v>
      </c>
      <c r="D205" s="22" t="s">
        <v>262</v>
      </c>
      <c r="E205" s="13">
        <v>42677.775752314818</v>
      </c>
      <c r="F205" s="13">
        <v>25568.708333333332</v>
      </c>
      <c r="G205" s="7">
        <v>1</v>
      </c>
      <c r="H205" s="22" t="s">
        <v>702</v>
      </c>
      <c r="I205" s="13">
        <v>25568.708333333332</v>
      </c>
      <c r="J205" s="7">
        <v>0</v>
      </c>
      <c r="K205" s="112" t="str">
        <f t="shared" ref="K205:K228" si="70">IF(ISEVEN(B205),(B205-1)&amp;"/"&amp;B205,B205&amp;"/"&amp;(B205+1))</f>
        <v>4029/4030</v>
      </c>
      <c r="L205" s="22" t="str">
        <f>VLOOKUP(A205,'Trips&amp;Operators'!$C$1:$E$10000,3,FALSE)</f>
        <v>LOPES</v>
      </c>
      <c r="M205" s="6">
        <f t="shared" ref="M205:M228" si="71">I205-F205</f>
        <v>0</v>
      </c>
      <c r="N205" s="7">
        <f t="shared" si="67"/>
        <v>0</v>
      </c>
      <c r="O205" s="7"/>
      <c r="P205" s="7"/>
      <c r="Q205" s="23"/>
      <c r="R205" s="23"/>
      <c r="S205" s="35">
        <f t="shared" ref="S205:S228" si="72">SUM(U205:U205)/IF(AG205="EC",12,1)</f>
        <v>1</v>
      </c>
      <c r="T205" s="50" t="str">
        <f t="shared" ref="T205:T228" si="73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8" si="74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https://search-rtdc-monitor-bjffxe2xuh6vdkpspy63sjmuny.us-east-1.es.amazonaws.com/_plugin/kibana/#/discover/Steve-Slow-Train-Analysis-(2080s-and-2083s)?_g=(refreshInterval:(display:Off,section:0,value:0),time:(from:'2016-11-03 17:37:05-0600',mode:absolute,to:'1969-12-31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5" s="52" t="str">
        <f t="shared" ref="W205:W228" si="75">IF(AA205&lt;IF(AG205="EC",23,5.65),"Y","N")</f>
        <v>Y</v>
      </c>
      <c r="X205" s="177">
        <f t="shared" si="66"/>
        <v>1</v>
      </c>
      <c r="Y205" s="67">
        <f t="shared" ref="Y205:Y228" si="76">RIGHT(D205,LEN(D205)-4)/10000</f>
        <v>4.4400000000000002E-2</v>
      </c>
      <c r="Z205" s="67">
        <f t="shared" ref="Z205:Z228" si="77">RIGHT(H205,LEN(H205)-4)/10000</f>
        <v>2.3296999999999999</v>
      </c>
      <c r="AA205" s="67">
        <f t="shared" ref="AA205:AA268" si="78">ABS(Z205-Y205)</f>
        <v>2.2852999999999999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28" si="79">IF(LEN(A205)=6,"0"&amp;A205,A205)</f>
        <v>0303-03</v>
      </c>
      <c r="AE205" s="91" t="str">
        <f t="shared" ref="AE205:AE228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5" s="88" t="str">
        <f t="shared" ref="AF205:AF228" si="8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05" s="1" t="str">
        <f t="shared" ref="AG205:AG228" si="82">IFERROR(IF(VALUE(LEFT(AD205,2))&lt;=2,"EC",IF(OR(VALUE(LEFT(AD205,2))=8,VALUE(LEFT(AD205,2))=18),"NW","Other")),"Other")</f>
        <v>Other</v>
      </c>
      <c r="AH205" s="92" t="str">
        <f t="shared" si="68"/>
        <v>"%USERPROFILE%\Documents\GitHub\eaglep3\Utilities\RefineRTDCRunTimes.py" --tripid 303-03 --locoid 4029 --swversion DE.1.0.8.0 --startMP 204:444 --initTime 2016-11-03T18:37:05 --startdatetime 1969-12-31T17:00:00 --delay 1 --endMP 300:23297 --enddatetime 1969-12-31T17:00:00 --enforcementcount 0 &gt;&gt;C:\Users\stu\Documents\GitHub\eaglep3-reporting\EC\2016-11-03-refined-times.txt</v>
      </c>
      <c r="AI205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ID","value":"303-03"},{"id":16,"name":"Locomotive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401</v>
      </c>
      <c r="B206" s="7">
        <v>4004</v>
      </c>
      <c r="C206" s="22" t="s">
        <v>245</v>
      </c>
      <c r="D206" s="22" t="s">
        <v>703</v>
      </c>
      <c r="E206" s="13">
        <v>42677.146990740737</v>
      </c>
      <c r="F206" s="13">
        <v>42677.148784722223</v>
      </c>
      <c r="G206" s="7">
        <v>2</v>
      </c>
      <c r="H206" s="22" t="s">
        <v>176</v>
      </c>
      <c r="I206" s="13">
        <v>42677.156747685185</v>
      </c>
      <c r="J206" s="7">
        <v>0</v>
      </c>
      <c r="K206" s="112" t="str">
        <f t="shared" si="70"/>
        <v>4003/4004</v>
      </c>
      <c r="L206" s="22" t="str">
        <f>VLOOKUP(A206,'Trips&amp;Operators'!$C$1:$E$10000,3,FALSE)</f>
        <v>RICHARDSON</v>
      </c>
      <c r="M206" s="6">
        <f t="shared" si="71"/>
        <v>7.962962961755693E-3</v>
      </c>
      <c r="N206" s="7">
        <f t="shared" si="67"/>
        <v>11.466666664928198</v>
      </c>
      <c r="O206" s="7"/>
      <c r="P206" s="7"/>
      <c r="Q206" s="23"/>
      <c r="R206" s="23"/>
      <c r="S206" s="35">
        <f t="shared" si="72"/>
        <v>1</v>
      </c>
      <c r="T206" s="50" t="str">
        <f t="shared" si="73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02:31:40-0600',mode:absolute,to:'2016-11-03 04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6" s="52" t="str">
        <f t="shared" si="75"/>
        <v>Y</v>
      </c>
      <c r="X206" s="177">
        <f t="shared" si="66"/>
        <v>1</v>
      </c>
      <c r="Y206" s="67">
        <f t="shared" si="76"/>
        <v>2.3130999999999999</v>
      </c>
      <c r="Z206" s="67">
        <f t="shared" si="77"/>
        <v>1.52E-2</v>
      </c>
      <c r="AA206" s="67">
        <f t="shared" si="78"/>
        <v>2.2978999999999998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79"/>
        <v>0304-03</v>
      </c>
      <c r="AE206" s="91" t="str">
        <f t="shared" si="80"/>
        <v>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 &amp; 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</v>
      </c>
      <c r="AF206" s="88" t="str">
        <f t="shared" si="81"/>
        <v>"C:\Program Files (x86)\AstroGrep\AstroGrep.exe" /spath="%USERPROFILE%\AppData\Local\Temp\OnboardLogs" /stypes="app*4004*20161103*" /stext=" 09:.+((SYSTEM_STATE.+slice.+state.+changed )|(ment ac)|(system.+state.+changed )|(\[timeout)|(PRM\|1\|D)|(kpr)|(kdp)|(\|lc)|(penalty))" /e /r /s</v>
      </c>
      <c r="AG206" s="1" t="str">
        <f t="shared" si="82"/>
        <v>Other</v>
      </c>
      <c r="AH206" s="92" t="str">
        <f t="shared" si="68"/>
        <v>"%USERPROFILE%\Documents\GitHub\eaglep3\Utilities\RefineRTDCRunTimes.py" --tripid 304-03 --locoid 4004 --swversion DE.1.0.8.0 --startMP 300:23131 --initTime 2016-11-03T03:31:40 --startdatetime 2016-11-03T03:34:15 --delay 2 --endMP 204:152 --enddatetime 2016-11-03T03:45:43 --enforcementcount 0 &gt;&gt;C:\Users\stu\Documents\GitHub\eaglep3-reporting\EC\2016-11-03-refined-times.txt</v>
      </c>
      <c r="AI206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{"issue":{"subject":"","project_id":79,"tracker_id":40,"status_id":1,"priority_id":2,"assigned_to_id":23,"start_date":"2016-11-03","description":"","custom_fields":[{"id":1,"name":"Subdivision","value":"Other"},{"id":4,"name":"Milepost","value":"0.0152"},{"id":17,"name":"Train ID","value":"304-03"},{"id":16,"name":"Locomotive ID","value":"4004"},{"id":130,"name":"Impact","value":""},{"id":150,"name":"Time of Event (Mountain Time)","value":"03:45:43"},{"id":151,"name":"Denver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599</v>
      </c>
      <c r="B207" s="7">
        <v>4040</v>
      </c>
      <c r="C207" s="22" t="s">
        <v>245</v>
      </c>
      <c r="D207" s="22" t="s">
        <v>209</v>
      </c>
      <c r="E207" s="13">
        <v>42677.798437500001</v>
      </c>
      <c r="F207" s="13">
        <v>25568.708333333332</v>
      </c>
      <c r="G207" s="7">
        <v>2</v>
      </c>
      <c r="H207" s="22" t="s">
        <v>704</v>
      </c>
      <c r="I207" s="13">
        <v>25568.708333333332</v>
      </c>
      <c r="J207" s="7">
        <v>0</v>
      </c>
      <c r="K207" s="112" t="str">
        <f t="shared" si="70"/>
        <v>4039/4040</v>
      </c>
      <c r="L207" s="22" t="str">
        <f>VLOOKUP(A207,'Trips&amp;Operators'!$C$1:$E$10000,3,FALSE)</f>
        <v>HILLS</v>
      </c>
      <c r="M207" s="6">
        <f t="shared" si="71"/>
        <v>0</v>
      </c>
      <c r="N207" s="7">
        <f t="shared" si="67"/>
        <v>0</v>
      </c>
      <c r="O207" s="7"/>
      <c r="P207" s="7"/>
      <c r="Q207" s="23"/>
      <c r="R207" s="23"/>
      <c r="S207" s="35">
        <f t="shared" si="72"/>
        <v>1</v>
      </c>
      <c r="T207" s="50" t="str">
        <f t="shared" si="73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18:09:45-0600',mode:absolute,to:'1969-12-31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75"/>
        <v>Y</v>
      </c>
      <c r="X207" s="177">
        <f t="shared" si="66"/>
        <v>1</v>
      </c>
      <c r="Y207" s="67">
        <f t="shared" si="76"/>
        <v>4.53E-2</v>
      </c>
      <c r="Z207" s="67">
        <f t="shared" si="77"/>
        <v>2.3311999999999999</v>
      </c>
      <c r="AA207" s="67">
        <f t="shared" si="78"/>
        <v>2.2858999999999998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79"/>
        <v>0305-03</v>
      </c>
      <c r="AE207" s="91" t="str">
        <f t="shared" si="8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7" s="88" t="str">
        <f t="shared" si="81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7" s="1" t="str">
        <f t="shared" si="82"/>
        <v>Other</v>
      </c>
      <c r="AH207" s="92" t="str">
        <f t="shared" si="68"/>
        <v>"%USERPROFILE%\Documents\GitHub\eaglep3\Utilities\RefineRTDCRunTimes.py" --tripid 305-03 --locoid 4040 --swversion DE.1.0.8.0 --startMP 204:453 --initTime 2016-11-03T19:09:45 --startdatetime 1969-12-31T17:00:00 --delay 2 --endMP 300:23312 --enddatetime 1969-12-31T17:00:00 --enforcementcount 0 &gt;&gt;C:\Users\stu\Documents\GitHub\eaglep3-reporting\EC\2016-11-03-refined-times.txt</v>
      </c>
      <c r="AI207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599</v>
      </c>
      <c r="B208" s="7">
        <v>4040</v>
      </c>
      <c r="C208" s="22" t="s">
        <v>245</v>
      </c>
      <c r="D208" s="22" t="s">
        <v>705</v>
      </c>
      <c r="E208" s="13">
        <v>42677.798437500001</v>
      </c>
      <c r="F208" s="13">
        <v>25568.708333333332</v>
      </c>
      <c r="G208" s="7">
        <v>10</v>
      </c>
      <c r="H208" s="22" t="s">
        <v>704</v>
      </c>
      <c r="I208" s="13">
        <v>25568.708333333332</v>
      </c>
      <c r="J208" s="7">
        <v>0</v>
      </c>
      <c r="K208" s="112" t="str">
        <f t="shared" si="70"/>
        <v>4039/4040</v>
      </c>
      <c r="L208" s="22" t="str">
        <f>VLOOKUP(A208,'Trips&amp;Operators'!$C$1:$E$10000,3,FALSE)</f>
        <v>HILLS</v>
      </c>
      <c r="M208" s="6">
        <f t="shared" si="71"/>
        <v>0</v>
      </c>
      <c r="N208" s="7">
        <f t="shared" si="67"/>
        <v>0</v>
      </c>
      <c r="O208" s="7"/>
      <c r="P208" s="7"/>
      <c r="Q208" s="23"/>
      <c r="R208" s="23"/>
      <c r="S208" s="35">
        <f t="shared" si="72"/>
        <v>0</v>
      </c>
      <c r="T208" s="50" t="str">
        <f t="shared" si="73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18:09:45-0600',mode:absolute,to:'1969-12-31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8" s="52" t="str">
        <f t="shared" si="75"/>
        <v>Y</v>
      </c>
      <c r="X208" s="177">
        <f t="shared" si="66"/>
        <v>0</v>
      </c>
      <c r="Y208" s="67">
        <f t="shared" si="76"/>
        <v>2.331</v>
      </c>
      <c r="Z208" s="67">
        <f t="shared" si="77"/>
        <v>2.3311999999999999</v>
      </c>
      <c r="AA208" s="67">
        <f t="shared" si="78"/>
        <v>1.9999999999997797E-4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79"/>
        <v>0305-03</v>
      </c>
      <c r="AE208" s="91" t="str">
        <f t="shared" si="8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8" s="88" t="str">
        <f t="shared" si="81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8" s="1" t="str">
        <f t="shared" si="82"/>
        <v>Other</v>
      </c>
      <c r="AH208" s="92" t="str">
        <f t="shared" si="68"/>
        <v>"%USERPROFILE%\Documents\GitHub\eaglep3\Utilities\RefineRTDCRunTimes.py" --tripid 305-03 --locoid 4040 --swversion DE.1.0.8.0 --startMP 300:23310 --initTime 2016-11-03T19:09:45 --startdatetime 1969-12-31T17:00:00 --delay 10 --endMP 300:23312 --enddatetime 1969-12-31T17:00:00 --enforcementcount 0 &gt;&gt;C:\Users\stu\Documents\GitHub\eaglep3-reporting\EC\2016-11-03-refined-times.txt</v>
      </c>
      <c r="AI20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454</v>
      </c>
      <c r="B209" s="7">
        <v>4041</v>
      </c>
      <c r="C209" s="22" t="s">
        <v>245</v>
      </c>
      <c r="D209" s="22" t="s">
        <v>706</v>
      </c>
      <c r="E209" s="13">
        <v>42677.162824074076</v>
      </c>
      <c r="F209" s="13">
        <v>42677.164479166669</v>
      </c>
      <c r="G209" s="7">
        <v>1</v>
      </c>
      <c r="H209" s="22" t="s">
        <v>678</v>
      </c>
      <c r="I209" s="13">
        <v>42677.170671296299</v>
      </c>
      <c r="J209" s="7">
        <v>0</v>
      </c>
      <c r="K209" s="112" t="str">
        <f t="shared" si="70"/>
        <v>4041/4042</v>
      </c>
      <c r="L209" s="22" t="str">
        <f>VLOOKUP(A209,'Trips&amp;Operators'!$C$1:$E$10000,3,FALSE)</f>
        <v>SANTIZO</v>
      </c>
      <c r="M209" s="6">
        <f t="shared" si="71"/>
        <v>6.1921296291984618E-3</v>
      </c>
      <c r="N209" s="7">
        <f t="shared" si="67"/>
        <v>8.916666666045785</v>
      </c>
      <c r="O209" s="7"/>
      <c r="P209" s="7"/>
      <c r="Q209" s="23"/>
      <c r="R209" s="23"/>
      <c r="S209" s="35">
        <f t="shared" si="72"/>
        <v>1</v>
      </c>
      <c r="T209" s="50" t="str">
        <f t="shared" si="73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02:54:28-0600',mode:absolute,to:'2016-11-03 05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9" s="52" t="str">
        <f t="shared" si="75"/>
        <v>Y</v>
      </c>
      <c r="X209" s="177">
        <f t="shared" si="66"/>
        <v>1</v>
      </c>
      <c r="Y209" s="67">
        <f t="shared" si="76"/>
        <v>2.1812</v>
      </c>
      <c r="Z209" s="67">
        <f t="shared" si="77"/>
        <v>1.29E-2</v>
      </c>
      <c r="AA209" s="67">
        <f t="shared" si="78"/>
        <v>2.1682999999999999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79"/>
        <v>0306-03</v>
      </c>
      <c r="AE209" s="91" t="str">
        <f t="shared" si="80"/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AF209" s="88" t="str">
        <f t="shared" si="81"/>
        <v>"C:\Program Files (x86)\AstroGrep\AstroGrep.exe" /spath="%USERPROFILE%\AppData\Local\Temp\OnboardLogs" /stypes="app*4041*20161103*" /stext=" 10:.+((SYSTEM_STATE.+slice.+state.+changed )|(ment ac)|(system.+state.+changed )|(\[timeout)|(PRM\|1\|D)|(kpr)|(kdp)|(\|lc)|(penalty))" /e /r /s</v>
      </c>
      <c r="AG209" s="1" t="str">
        <f t="shared" si="82"/>
        <v>Other</v>
      </c>
      <c r="AH209" s="92" t="str">
        <f t="shared" si="68"/>
        <v>"%USERPROFILE%\Documents\GitHub\eaglep3\Utilities\RefineRTDCRunTimes.py" --tripid 306-03 --locoid 4041 --swversion DE.1.0.8.0 --startMP 300:21812 --initTime 2016-11-03T03:54:28 --startdatetime 2016-11-03T03:56:51 --delay 1 --endMP 204:129 --enddatetime 2016-11-03T04:05:46 --enforcementcount 0 &gt;&gt;C:\Users\stu\Documents\GitHub\eaglep3-reporting\EC\2016-11-03-refined-times.txt</v>
      </c>
      <c r="AI209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{"issue":{"subject":"","project_id":79,"tracker_id":40,"status_id":1,"priority_id":2,"assigned_to_id":23,"start_date":"2016-11-03","description":"","custom_fields":[{"id":1,"name":"Subdivision","value":"Other"},{"id":4,"name":"Milepost","value":"0.0129"},{"id":17,"name":"Train ID","value":"306-03"},{"id":16,"name":"Locomotive ID","value":"4041"},{"id":130,"name":"Impact","value":""},{"id":150,"name":"Time of Event (Mountain Time)","value":"04:05:46"},{"id":151,"name":"Denver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602</v>
      </c>
      <c r="B210" s="7">
        <v>4042</v>
      </c>
      <c r="C210" s="22" t="s">
        <v>245</v>
      </c>
      <c r="D210" s="22" t="s">
        <v>332</v>
      </c>
      <c r="E210" s="13">
        <v>42677.817476851851</v>
      </c>
      <c r="F210" s="13">
        <v>25568.708333333332</v>
      </c>
      <c r="G210" s="7">
        <v>3</v>
      </c>
      <c r="H210" s="22" t="s">
        <v>704</v>
      </c>
      <c r="I210" s="13">
        <v>25568.708333333332</v>
      </c>
      <c r="J210" s="7">
        <v>0</v>
      </c>
      <c r="K210" s="112" t="str">
        <f t="shared" si="70"/>
        <v>4041/4042</v>
      </c>
      <c r="L210" s="22" t="str">
        <f>VLOOKUP(A210,'Trips&amp;Operators'!$C$1:$E$10000,3,FALSE)</f>
        <v>MACDONALD</v>
      </c>
      <c r="M210" s="6">
        <f t="shared" si="71"/>
        <v>0</v>
      </c>
      <c r="N210" s="7">
        <f t="shared" si="67"/>
        <v>0</v>
      </c>
      <c r="O210" s="7"/>
      <c r="P210" s="7"/>
      <c r="Q210" s="23"/>
      <c r="R210" s="23"/>
      <c r="S210" s="35">
        <f t="shared" si="72"/>
        <v>1</v>
      </c>
      <c r="T210" s="50" t="str">
        <f t="shared" si="73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18:37:10-0600',mode:absolute,to:'1969-12-31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0" s="52" t="str">
        <f t="shared" si="75"/>
        <v>Y</v>
      </c>
      <c r="X210" s="177">
        <f t="shared" si="66"/>
        <v>1</v>
      </c>
      <c r="Y210" s="67">
        <f t="shared" si="76"/>
        <v>4.6899999999999997E-2</v>
      </c>
      <c r="Z210" s="67">
        <f t="shared" si="77"/>
        <v>2.3311999999999999</v>
      </c>
      <c r="AA210" s="67">
        <f t="shared" si="78"/>
        <v>2.2843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79"/>
        <v>0307-03</v>
      </c>
      <c r="AE210" s="91" t="str">
        <f t="shared" si="8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0" s="88" t="str">
        <f t="shared" si="81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0" s="1" t="str">
        <f t="shared" si="82"/>
        <v>Other</v>
      </c>
      <c r="AH210" s="92" t="str">
        <f t="shared" si="68"/>
        <v>"%USERPROFILE%\Documents\GitHub\eaglep3\Utilities\RefineRTDCRunTimes.py" --tripid 307-03 --locoid 4042 --swversion DE.1.0.8.0 --startMP 204:469 --initTime 2016-11-03T19:37:10 --startdatetime 1969-12-31T17:00:00 --delay 3 --endMP 300:23312 --enddatetime 1969-12-31T17:00:00 --enforcementcount 0 &gt;&gt;C:\Users\stu\Documents\GitHub\eaglep3-reporting\EC\2016-11-03-refined-times.txt</v>
      </c>
      <c r="AI210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ID","value":"307-03"},{"id":16,"name":"Locomotive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456</v>
      </c>
      <c r="B211" s="7">
        <v>4026</v>
      </c>
      <c r="C211" s="22" t="s">
        <v>245</v>
      </c>
      <c r="D211" s="22" t="s">
        <v>707</v>
      </c>
      <c r="E211" s="13">
        <v>42677.166863425926</v>
      </c>
      <c r="F211" s="13">
        <v>42677.16814814815</v>
      </c>
      <c r="G211" s="7">
        <v>1</v>
      </c>
      <c r="H211" s="22" t="s">
        <v>204</v>
      </c>
      <c r="I211" s="13">
        <v>42677.175497685188</v>
      </c>
      <c r="J211" s="7">
        <v>0</v>
      </c>
      <c r="K211" s="112" t="str">
        <f t="shared" si="70"/>
        <v>4025/4026</v>
      </c>
      <c r="L211" s="22" t="str">
        <f>VLOOKUP(A211,'Trips&amp;Operators'!$C$1:$E$10000,3,FALSE)</f>
        <v>ISHMAEL</v>
      </c>
      <c r="M211" s="6">
        <f t="shared" si="71"/>
        <v>7.3495370379532687E-3</v>
      </c>
      <c r="N211" s="7">
        <f t="shared" si="67"/>
        <v>10.583333334652707</v>
      </c>
      <c r="O211" s="7"/>
      <c r="P211" s="7"/>
      <c r="Q211" s="23"/>
      <c r="R211" s="23"/>
      <c r="S211" s="35">
        <f t="shared" si="72"/>
        <v>1</v>
      </c>
      <c r="T211" s="50" t="str">
        <f t="shared" si="73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03:00:17-0600',mode:absolute,to:'2016-11-03 05:12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1" s="52" t="str">
        <f t="shared" si="75"/>
        <v>Y</v>
      </c>
      <c r="X211" s="177">
        <f t="shared" si="66"/>
        <v>1</v>
      </c>
      <c r="Y211" s="67">
        <f t="shared" si="76"/>
        <v>2.3441999999999998</v>
      </c>
      <c r="Z211" s="67">
        <f t="shared" si="77"/>
        <v>1.4500000000000001E-2</v>
      </c>
      <c r="AA211" s="67">
        <f t="shared" si="78"/>
        <v>2.3296999999999999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79"/>
        <v>0308-03</v>
      </c>
      <c r="AE211" s="91" t="str">
        <f t="shared" si="80"/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AF211" s="88" t="str">
        <f t="shared" si="81"/>
        <v>"C:\Program Files (x86)\AstroGrep\AstroGrep.exe" /spath="%USERPROFILE%\AppData\Local\Temp\OnboardLogs" /stypes="app*4026*20161103*" /stext=" 10:.+((SYSTEM_STATE.+slice.+state.+changed )|(ment ac)|(system.+state.+changed )|(\[timeout)|(PRM\|1\|D)|(kpr)|(kdp)|(\|lc)|(penalty))" /e /r /s</v>
      </c>
      <c r="AG211" s="1" t="str">
        <f t="shared" si="82"/>
        <v>Other</v>
      </c>
      <c r="AH211" s="92" t="str">
        <f t="shared" si="68"/>
        <v>"%USERPROFILE%\Documents\GitHub\eaglep3\Utilities\RefineRTDCRunTimes.py" --tripid 308-03 --locoid 4026 --swversion DE.1.0.8.0 --startMP 300:23442 --initTime 2016-11-03T04:00:17 --startdatetime 2016-11-03T04:02:08 --delay 1 --endMP 204:145 --enddatetime 2016-11-03T04:12:43 --enforcementcount 0 &gt;&gt;C:\Users\stu\Documents\GitHub\eaglep3-reporting\EC\2016-11-03-refined-times.txt</v>
      </c>
      <c r="AI211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{"issue":{"subject":"","project_id":79,"tracker_id":40,"status_id":1,"priority_id":2,"assigned_to_id":23,"start_date":"2016-11-03","description":"","custom_fields":[{"id":1,"name":"Subdivision","value":"Other"},{"id":4,"name":"Milepost","value":"0.0145"},{"id":17,"name":"Train ID","value":"308-03"},{"id":16,"name":"Locomotive ID","value":"4026"},{"id":130,"name":"Impact","value":""},{"id":150,"name":"Time of Event (Mountain Time)","value":"04:12:43"},{"id":151,"name":"Denver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625</v>
      </c>
      <c r="B212" s="7">
        <v>4031</v>
      </c>
      <c r="C212" s="22" t="s">
        <v>245</v>
      </c>
      <c r="D212" s="22" t="s">
        <v>250</v>
      </c>
      <c r="E212" s="13">
        <v>42678.029872685183</v>
      </c>
      <c r="F212" s="13">
        <v>42678.033483796295</v>
      </c>
      <c r="G212" s="7">
        <v>1</v>
      </c>
      <c r="H212" s="22" t="s">
        <v>708</v>
      </c>
      <c r="I212" s="13">
        <v>42678.039768518516</v>
      </c>
      <c r="J212" s="7">
        <v>0</v>
      </c>
      <c r="K212" s="112" t="str">
        <f t="shared" si="70"/>
        <v>4031/4032</v>
      </c>
      <c r="L212" s="22" t="str">
        <f>VLOOKUP(A212,'Trips&amp;Operators'!$C$1:$E$10000,3,FALSE)</f>
        <v>JOHNSON</v>
      </c>
      <c r="M212" s="6">
        <f t="shared" si="71"/>
        <v>6.284722221607808E-3</v>
      </c>
      <c r="N212" s="7">
        <f t="shared" si="67"/>
        <v>9.0499999991152436</v>
      </c>
      <c r="O212" s="7"/>
      <c r="P212" s="7"/>
      <c r="Q212" s="23"/>
      <c r="R212" s="23"/>
      <c r="S212" s="35">
        <f t="shared" si="72"/>
        <v>1</v>
      </c>
      <c r="T212" s="50" t="str">
        <f t="shared" si="7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23:43:01-0600',mode:absolute,to:'2016-11-04 01:57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2" s="52" t="str">
        <f t="shared" si="75"/>
        <v>Y</v>
      </c>
      <c r="X212" s="177">
        <f t="shared" si="66"/>
        <v>1</v>
      </c>
      <c r="Y212" s="67">
        <f t="shared" si="76"/>
        <v>4.58E-2</v>
      </c>
      <c r="Z212" s="67">
        <f t="shared" si="77"/>
        <v>2.2850000000000001</v>
      </c>
      <c r="AA212" s="67">
        <f t="shared" si="78"/>
        <v>2.2392000000000003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79"/>
        <v>0309-03</v>
      </c>
      <c r="AE212" s="91" t="str">
        <f t="shared" si="80"/>
        <v>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 &amp; aws s3 cp s3://rtdc.mdm.uploadarchive.raw/RTDC4031/ "%USERPROFILE%\AppData\Local\Temp\OnboardLogs"\RTDC4031\2016-11-05 --exclude "*" --recursive --include "*20161105*" &amp; "%USERPROFILE%\Documents\GitHub\mrs-test-scripts\Headless Mode &amp; Sideloading\WalkAndUnGZ.bat" "%USERPROFILE%\AppData\Local\Temp\OnboardLogs"\RTDC4031\2016-11-05</v>
      </c>
      <c r="AF212" s="88" t="str">
        <f t="shared" si="81"/>
        <v>"C:\Program Files (x86)\AstroGrep\AstroGrep.exe" /spath="%USERPROFILE%\AppData\Local\Temp\OnboardLogs" /stypes="app*4031*20161104*" /stext=" 06:.+((SYSTEM_STATE.+slice.+state.+changed )|(ment ac)|(system.+state.+changed )|(\[timeout)|(PRM\|1\|D)|(kpr)|(kdp)|(\|lc)|(penalty))" /e /r /s</v>
      </c>
      <c r="AG212" s="1" t="str">
        <f t="shared" si="82"/>
        <v>Other</v>
      </c>
      <c r="AH212" s="92" t="str">
        <f t="shared" si="68"/>
        <v>"%USERPROFILE%\Documents\GitHub\eaglep3\Utilities\RefineRTDCRunTimes.py" --tripid 309-03 --locoid 4031 --swversion DE.1.0.8.0 --startMP 204:458 --initTime 2016-11-04T00:43:01 --startdatetime 2016-11-04T00:48:13 --delay 1 --endMP 300:22850 --enddatetime 2016-11-04T00:57:16 --enforcementcount 0 &gt;&gt;C:\Users\stu\Documents\GitHub\eaglep3-reporting\EC\2016-11-03-refined-times.txt</v>
      </c>
      <c r="AI212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{"issue":{"subject":"","project_id":79,"tracker_id":40,"status_id":1,"priority_id":2,"assigned_to_id":23,"start_date":"2016-11-04","description":"","custom_fields":[{"id":1,"name":"Subdivision","value":"Other"},{"id":4,"name":"Milepost","value":"2.285"},{"id":17,"name":"Train ID","value":"309-03"},{"id":16,"name":"Locomotive ID","value":"4031"},{"id":130,"name":"Impact","value":""},{"id":150,"name":"Time of Event (Mountain Time)","value":"00:57:16"},{"id":151,"name":"Denver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629</v>
      </c>
      <c r="B213" s="7">
        <v>4016</v>
      </c>
      <c r="C213" s="22" t="s">
        <v>245</v>
      </c>
      <c r="D213" s="22" t="s">
        <v>686</v>
      </c>
      <c r="E213" s="13">
        <v>42678.066458333335</v>
      </c>
      <c r="F213" s="13">
        <v>25568.708333333332</v>
      </c>
      <c r="G213" s="7">
        <v>1</v>
      </c>
      <c r="H213" s="22" t="s">
        <v>384</v>
      </c>
      <c r="I213" s="13">
        <v>25568.708333333332</v>
      </c>
      <c r="J213" s="7">
        <v>0</v>
      </c>
      <c r="K213" s="112" t="str">
        <f t="shared" si="70"/>
        <v>4015/4016</v>
      </c>
      <c r="L213" s="22" t="str">
        <f>VLOOKUP(A213,'Trips&amp;Operators'!$C$1:$E$10000,3,FALSE)</f>
        <v>LEVIN</v>
      </c>
      <c r="M213" s="6">
        <f t="shared" si="71"/>
        <v>0</v>
      </c>
      <c r="N213" s="7">
        <f t="shared" si="67"/>
        <v>0</v>
      </c>
      <c r="O213" s="7"/>
      <c r="P213" s="7"/>
      <c r="Q213" s="23"/>
      <c r="R213" s="23"/>
      <c r="S213" s="35">
        <f t="shared" si="72"/>
        <v>1</v>
      </c>
      <c r="T213" s="50" t="str">
        <f t="shared" si="73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https://search-rtdc-monitor-bjffxe2xuh6vdkpspy63sjmuny.us-east-1.es.amazonaws.com/_plugin/kibana/#/discover/Steve-Slow-Train-Analysis-(2080s-and-2083s)?_g=(refreshInterval:(display:Off,section:0,value:0),time:(from:'2016-11-04 00:35:42-0600',mode:absolute,to:'1969-12-31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75"/>
        <v>Y</v>
      </c>
      <c r="X213" s="177">
        <f t="shared" si="66"/>
        <v>4</v>
      </c>
      <c r="Y213" s="67">
        <f t="shared" si="76"/>
        <v>4.3499999999999997E-2</v>
      </c>
      <c r="Z213" s="67">
        <f t="shared" si="77"/>
        <v>2.3302</v>
      </c>
      <c r="AA213" s="67">
        <f t="shared" si="78"/>
        <v>2.2867000000000002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79"/>
        <v>0313-03</v>
      </c>
      <c r="AE213" s="91" t="str">
        <f t="shared" si="80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81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3" s="1" t="str">
        <f t="shared" si="82"/>
        <v>Other</v>
      </c>
      <c r="AH213" s="92" t="str">
        <f t="shared" si="68"/>
        <v>"%USERPROFILE%\Documents\GitHub\eaglep3\Utilities\RefineRTDCRunTimes.py" --tripid 313-03 --locoid 4016 --swversion DE.1.0.8.0 --startMP 204:435 --initTime 2016-11-04T01:35:42 --startdatetime 1969-12-31T17:00:00 --delay 1 --endMP 300:23302 --enddatetime 1969-12-31T17:00:00 --enforcementcount 0 &gt;&gt;C:\Users\stu\Documents\GitHub\eaglep3-reporting\EC\2016-11-03-refined-times.txt</v>
      </c>
      <c r="AI21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ID","value":"313-03"},{"id":16,"name":"Locomotive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367</v>
      </c>
      <c r="B214" s="7">
        <v>4007</v>
      </c>
      <c r="C214" s="22" t="s">
        <v>245</v>
      </c>
      <c r="D214" s="22" t="s">
        <v>250</v>
      </c>
      <c r="E214" s="13">
        <v>42677.087719907409</v>
      </c>
      <c r="F214" s="13">
        <v>25568.708333333332</v>
      </c>
      <c r="G214" s="7">
        <v>1</v>
      </c>
      <c r="H214" s="22" t="s">
        <v>385</v>
      </c>
      <c r="I214" s="13">
        <v>25568.708333333332</v>
      </c>
      <c r="J214" s="7">
        <v>0</v>
      </c>
      <c r="K214" s="112" t="str">
        <f t="shared" si="70"/>
        <v>4007/4008</v>
      </c>
      <c r="L214" s="22" t="str">
        <f>VLOOKUP(A214,'Trips&amp;Operators'!$C$1:$E$10000,3,FALSE)</f>
        <v>CRAYTON</v>
      </c>
      <c r="M214" s="6">
        <f t="shared" si="71"/>
        <v>0</v>
      </c>
      <c r="N214" s="7">
        <f t="shared" si="67"/>
        <v>0</v>
      </c>
      <c r="O214" s="7"/>
      <c r="P214" s="7"/>
      <c r="Q214" s="23"/>
      <c r="R214" s="23"/>
      <c r="S214" s="35">
        <f t="shared" si="72"/>
        <v>1</v>
      </c>
      <c r="T214" s="50" t="str">
        <f t="shared" si="7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01:06:19-0600',mode:absolute,to:'1969-12-31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2" t="str">
        <f t="shared" si="75"/>
        <v>Y</v>
      </c>
      <c r="X214" s="177">
        <f t="shared" si="66"/>
        <v>2</v>
      </c>
      <c r="Y214" s="67">
        <f t="shared" si="76"/>
        <v>4.58E-2</v>
      </c>
      <c r="Z214" s="67">
        <f t="shared" si="77"/>
        <v>2.3128000000000002</v>
      </c>
      <c r="AA214" s="67">
        <f t="shared" si="78"/>
        <v>2.2670000000000003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79"/>
        <v>0315-02</v>
      </c>
      <c r="AE214" s="91" t="str">
        <f t="shared" si="80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4" s="88" t="str">
        <f t="shared" si="81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4" s="1" t="str">
        <f t="shared" si="82"/>
        <v>Other</v>
      </c>
      <c r="AH214" s="92" t="str">
        <f t="shared" si="68"/>
        <v>"%USERPROFILE%\Documents\GitHub\eaglep3\Utilities\RefineRTDCRunTimes.py" --tripid 315-02 --locoid 4007 --swversion DE.1.0.8.0 --startMP 204:458 --initTime 2016-11-03T02:06:19 --startdatetime 1969-12-31T17:00:00 --delay 1 --endMP 300:23128 --enddatetime 1969-12-31T17:00:00 --enforcementcount 0 &gt;&gt;C:\Users\stu\Documents\GitHub\eaglep3-reporting\EC\2016-11-03-refined-times.txt</v>
      </c>
      <c r="AI21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{"issue":{"subject":"","project_id":79,"tracker_id":40,"status_id":1,"priority_id":2,"assigned_to_id":23,"start_date":"1969-12-31","description":"","custom_fields":[{"id":1,"name":"Subdivision","value":"Other"},{"id":4,"name":"Milepost","value":"2.3128"},{"id":17,"name":"Train ID","value":"315-02"},{"id":16,"name":"Locomotive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465</v>
      </c>
      <c r="B215" s="7">
        <v>4011</v>
      </c>
      <c r="C215" s="22" t="s">
        <v>245</v>
      </c>
      <c r="D215" s="22" t="s">
        <v>768</v>
      </c>
      <c r="E215" s="13">
        <v>42677.206273148149</v>
      </c>
      <c r="F215" s="13">
        <v>42677.207314814812</v>
      </c>
      <c r="G215" s="7">
        <v>1</v>
      </c>
      <c r="H215" s="22" t="s">
        <v>769</v>
      </c>
      <c r="I215" s="13">
        <v>42677.212407407409</v>
      </c>
      <c r="J215" s="7">
        <v>0</v>
      </c>
      <c r="K215" s="112" t="str">
        <f t="shared" si="70"/>
        <v>4011/4012</v>
      </c>
      <c r="L215" s="22" t="str">
        <f>VLOOKUP(A215,'Trips&amp;Operators'!$C$1:$E$10000,3,FALSE)</f>
        <v>LALONDE</v>
      </c>
      <c r="M215" s="6">
        <f t="shared" si="71"/>
        <v>5.0925925970659591E-3</v>
      </c>
      <c r="N215" s="7">
        <f t="shared" si="67"/>
        <v>7.3333333397749811</v>
      </c>
      <c r="O215" s="7"/>
      <c r="P215" s="7"/>
      <c r="Q215" s="23"/>
      <c r="R215" s="23"/>
      <c r="S215" s="35">
        <f t="shared" si="72"/>
        <v>0</v>
      </c>
      <c r="T215" s="50" t="str">
        <f t="shared" si="73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03:57:02-0600',mode:absolute,to:'2016-11-03 06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75"/>
        <v>Y</v>
      </c>
      <c r="X215" s="177">
        <f t="shared" si="66"/>
        <v>586</v>
      </c>
      <c r="Y215" s="67">
        <f t="shared" si="76"/>
        <v>3.0116000000000001</v>
      </c>
      <c r="Z215" s="67">
        <f t="shared" si="77"/>
        <v>5.8909000000000002</v>
      </c>
      <c r="AA215" s="67">
        <f t="shared" si="78"/>
        <v>2.8793000000000002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79"/>
        <v>0901-03</v>
      </c>
      <c r="AE215" s="91" t="str">
        <f t="shared" si="80"/>
        <v>aws s3 cp s3://rtdc.mdm.uploadarchive.raw/RTDC4011/ "%USERPROFILE%\AppData\Local\Temp\OnboardLogs"\RTDC4011\2016-11-03 --exclude "*" --recursive --include "*20161103*" &amp; "%USERPROFILE%\Documents\GitHub\mrs-test-scripts\Headless Mode &amp; Sideloading\WalkAndUnGZ.bat" "%USERPROFILE%\AppData\Local\Temp\OnboardLogs"\RTDC4011\2016-11-03 &amp; 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</v>
      </c>
      <c r="AF215" s="88" t="str">
        <f t="shared" si="81"/>
        <v>"C:\Program Files (x86)\AstroGrep\AstroGrep.exe" /spath="%USERPROFILE%\AppData\Local\Temp\OnboardLogs" /stypes="app*4011*20161103*" /stext=" 11:.+((SYSTEM_STATE.+slice.+state.+changed )|(ment ac)|(system.+state.+changed )|(\[timeout)|(PRM\|1\|D)|(kpr)|(kdp)|(\|lc)|(penalty))" /e /r /s</v>
      </c>
      <c r="AG215" s="1" t="str">
        <f t="shared" si="82"/>
        <v>Other</v>
      </c>
      <c r="AH215" s="92" t="str">
        <f t="shared" si="68"/>
        <v>"%USERPROFILE%\Documents\GitHub\eaglep3\Utilities\RefineRTDCRunTimes.py" --tripid 901-03 --locoid 4011 --swversion DE.1.0.8.0 --startMP 300:30116 --initTime 2016-11-03T04:57:02 --startdatetime 2016-11-03T04:58:32 --delay 1 --endMP 300:58909 --enddatetime 2016-11-03T05:05:52 --enforcementcount 0 &gt;&gt;C:\Users\stu\Documents\GitHub\eaglep3-reporting\EC\2016-11-03-refined-times.txt</v>
      </c>
      <c r="AI215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{"issue":{"subject":"","project_id":79,"tracker_id":40,"status_id":1,"priority_id":2,"assigned_to_id":23,"start_date":"2016-11-03","description":"","custom_fields":[{"id":1,"name":"Subdivision","value":"Other"},{"id":4,"name":"Milepost","value":"5.8909"},{"id":17,"name":"Train ID","value":"901-03"},{"id":16,"name":"Locomotive ID","value":"4011"},{"id":130,"name":"Impact","value":""},{"id":150,"name":"Time of Event (Mountain Time)","value":"05:05:52"},{"id":151,"name":"Denver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404</v>
      </c>
      <c r="B216" s="7">
        <v>4054</v>
      </c>
      <c r="C216" s="22" t="s">
        <v>245</v>
      </c>
      <c r="D216" s="22" t="s">
        <v>770</v>
      </c>
      <c r="E216" s="13">
        <v>42677.246111111112</v>
      </c>
      <c r="F216" s="13">
        <v>42677.247719907406</v>
      </c>
      <c r="G216" s="7">
        <v>1</v>
      </c>
      <c r="H216" s="22" t="s">
        <v>393</v>
      </c>
      <c r="I216" s="13">
        <v>42677.252291666664</v>
      </c>
      <c r="J216" s="7">
        <v>0</v>
      </c>
      <c r="K216" s="112" t="str">
        <f t="shared" si="70"/>
        <v>4053/4054</v>
      </c>
      <c r="L216" s="22" t="str">
        <f>VLOOKUP(A216,'Trips&amp;Operators'!$C$1:$E$10000,3,FALSE)</f>
        <v>DAVIDSON</v>
      </c>
      <c r="M216" s="6">
        <f t="shared" si="71"/>
        <v>4.5717592583969235E-3</v>
      </c>
      <c r="N216" s="7">
        <f t="shared" si="67"/>
        <v>6.5833333320915699</v>
      </c>
      <c r="O216" s="7"/>
      <c r="P216" s="7"/>
      <c r="Q216" s="23"/>
      <c r="R216" s="23"/>
      <c r="S216" s="35">
        <f t="shared" si="72"/>
        <v>1</v>
      </c>
      <c r="T216" s="50" t="str">
        <f t="shared" si="73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04:54:24-0600',mode:absolute,to:'2016-11-03 07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52" t="str">
        <f t="shared" si="75"/>
        <v>Y</v>
      </c>
      <c r="X216" s="177">
        <f t="shared" si="66"/>
        <v>1</v>
      </c>
      <c r="Y216" s="67">
        <f t="shared" si="76"/>
        <v>2.218</v>
      </c>
      <c r="Z216" s="67">
        <f t="shared" si="77"/>
        <v>6.9900000000000004E-2</v>
      </c>
      <c r="AA216" s="67">
        <f t="shared" si="78"/>
        <v>2.1480999999999999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79"/>
        <v>0902-03</v>
      </c>
      <c r="AE216" s="91" t="str">
        <f t="shared" si="80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216" s="88" t="str">
        <f t="shared" si="81"/>
        <v>"C:\Program Files (x86)\AstroGrep\AstroGrep.exe" /spath="%USERPROFILE%\AppData\Local\Temp\OnboardLogs" /stypes="app*4054*20161103*" /stext=" 12:.+((SYSTEM_STATE.+slice.+state.+changed )|(ment ac)|(system.+state.+changed )|(\[timeout)|(PRM\|1\|D)|(kpr)|(kdp)|(\|lc)|(penalty))" /e /r /s</v>
      </c>
      <c r="AG216" s="1" t="str">
        <f t="shared" si="82"/>
        <v>Other</v>
      </c>
      <c r="AH216" s="92" t="str">
        <f t="shared" si="68"/>
        <v>"%USERPROFILE%\Documents\GitHub\eaglep3\Utilities\RefineRTDCRunTimes.py" --tripid 902-03 --locoid 4054 --swversion DE.1.0.8.0 --startMP 300:22180 --initTime 2016-11-03T05:54:24 --startdatetime 2016-11-03T05:56:43 --delay 1 --endMP 204:699 --enddatetime 2016-11-03T06:03:18 --enforcementcount 0 &gt;&gt;C:\Users\stu\Documents\GitHub\eaglep3-reporting\EC\2016-11-03-refined-times.txt</v>
      </c>
      <c r="AI216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{"issue":{"subject":"","project_id":79,"tracker_id":40,"status_id":1,"priority_id":2,"assigned_to_id":23,"start_date":"2016-11-03","description":"","custom_fields":[{"id":1,"name":"Subdivision","value":"Other"},{"id":4,"name":"Milepost","value":"0.0699"},{"id":17,"name":"Train ID","value":"902-03"},{"id":16,"name":"Locomotive ID","value":"4054"},{"id":130,"name":"Impact","value":""},{"id":150,"name":"Time of Event (Mountain Time)","value":"06:03:18"},{"id":151,"name":"Denver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496</v>
      </c>
      <c r="B217" s="7">
        <v>4011</v>
      </c>
      <c r="C217" s="22" t="s">
        <v>245</v>
      </c>
      <c r="D217" s="22" t="s">
        <v>771</v>
      </c>
      <c r="E217" s="13">
        <v>42677.352407407408</v>
      </c>
      <c r="F217" s="13">
        <v>25568.708333333332</v>
      </c>
      <c r="G217" s="7">
        <v>1</v>
      </c>
      <c r="H217" s="22" t="s">
        <v>772</v>
      </c>
      <c r="I217" s="13">
        <v>25568.708333333332</v>
      </c>
      <c r="J217" s="7">
        <v>0</v>
      </c>
      <c r="K217" s="112" t="str">
        <f t="shared" si="70"/>
        <v>4011/4012</v>
      </c>
      <c r="L217" s="22" t="str">
        <f>VLOOKUP(A217,'Trips&amp;Operators'!$C$1:$E$10000,3,FALSE)</f>
        <v>LALONDE</v>
      </c>
      <c r="M217" s="6">
        <f t="shared" si="71"/>
        <v>0</v>
      </c>
      <c r="N217" s="7">
        <f t="shared" si="67"/>
        <v>0</v>
      </c>
      <c r="O217" s="7"/>
      <c r="P217" s="7"/>
      <c r="Q217" s="23"/>
      <c r="R217" s="23"/>
      <c r="S217" s="35">
        <f t="shared" si="72"/>
        <v>1</v>
      </c>
      <c r="T217" s="50" t="str">
        <f t="shared" si="73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07:27:28-0600',mode:absolute,to:'1969-12-31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 t="shared" si="75"/>
        <v>Y</v>
      </c>
      <c r="X217" s="177">
        <f t="shared" si="66"/>
        <v>1</v>
      </c>
      <c r="Y217" s="67">
        <f t="shared" si="76"/>
        <v>4.4999999999999998E-2</v>
      </c>
      <c r="Z217" s="67">
        <f t="shared" si="77"/>
        <v>2.4237000000000002</v>
      </c>
      <c r="AA217" s="67">
        <f t="shared" si="78"/>
        <v>2.3787000000000003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79"/>
        <v>0903-03</v>
      </c>
      <c r="AE217" s="91" t="str">
        <f t="shared" si="80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7" s="88" t="str">
        <f t="shared" si="81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7" s="1" t="str">
        <f t="shared" si="82"/>
        <v>Other</v>
      </c>
      <c r="AH217" s="92" t="str">
        <f t="shared" si="68"/>
        <v>"%USERPROFILE%\Documents\GitHub\eaglep3\Utilities\RefineRTDCRunTimes.py" --tripid 903-03 --locoid 4011 --swversion DE.1.0.8.0 --startMP 204:450 --initTime 2016-11-03T08:27:28 --startdatetime 1969-12-31T17:00:00 --delay 1 --endMP 300:24237 --enddatetime 1969-12-31T17:00:00 --enforcementcount 0 &gt;&gt;C:\Users\stu\Documents\GitHub\eaglep3-reporting\EC\2016-11-03-refined-times.txt</v>
      </c>
      <c r="AI217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{"issue":{"subject":"","project_id":79,"tracker_id":40,"status_id":1,"priority_id":2,"assigned_to_id":23,"start_date":"1969-12-31","description":"","custom_fields":[{"id":1,"name":"Subdivision","value":"Other"},{"id":4,"name":"Milepost","value":"2.4237"},{"id":17,"name":"Train ID","value":"903-03"},{"id":16,"name":"Locomotive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557</v>
      </c>
      <c r="B218" s="7">
        <v>4012</v>
      </c>
      <c r="C218" s="22" t="s">
        <v>245</v>
      </c>
      <c r="D218" s="22" t="s">
        <v>773</v>
      </c>
      <c r="E218" s="13">
        <v>42677.637013888889</v>
      </c>
      <c r="F218" s="13">
        <v>42677.640069444446</v>
      </c>
      <c r="G218" s="7">
        <v>4</v>
      </c>
      <c r="H218" s="22" t="s">
        <v>774</v>
      </c>
      <c r="I218" s="13">
        <v>42677.645578703705</v>
      </c>
      <c r="J218" s="7">
        <v>0</v>
      </c>
      <c r="K218" s="112" t="str">
        <f t="shared" si="70"/>
        <v>4011/4012</v>
      </c>
      <c r="L218" s="22" t="str">
        <f>VLOOKUP(A218,'Trips&amp;Operators'!$C$1:$E$10000,3,FALSE)</f>
        <v>MAGEE</v>
      </c>
      <c r="M218" s="6">
        <f t="shared" si="71"/>
        <v>5.5092592592700385E-3</v>
      </c>
      <c r="N218" s="7">
        <f t="shared" si="67"/>
        <v>7.9333333333488554</v>
      </c>
      <c r="O218" s="7"/>
      <c r="P218" s="7"/>
      <c r="Q218" s="23"/>
      <c r="R218" s="23"/>
      <c r="S218" s="35">
        <f t="shared" si="72"/>
        <v>1</v>
      </c>
      <c r="T218" s="50" t="str">
        <f t="shared" si="73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14:17:18-0600',mode:absolute,to:'2016-11-03 16:29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8" s="52" t="str">
        <f t="shared" si="75"/>
        <v>Y</v>
      </c>
      <c r="X218" s="177">
        <f t="shared" si="66"/>
        <v>1</v>
      </c>
      <c r="Y218" s="67">
        <f t="shared" si="76"/>
        <v>2.3475999999999999</v>
      </c>
      <c r="Z218" s="67">
        <f t="shared" si="77"/>
        <v>6.4899999999999999E-2</v>
      </c>
      <c r="AA218" s="67">
        <f t="shared" si="78"/>
        <v>2.2826999999999997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79"/>
        <v>0904-03</v>
      </c>
      <c r="AE218" s="91" t="str">
        <f t="shared" si="80"/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AF218" s="88" t="str">
        <f t="shared" si="81"/>
        <v>"C:\Program Files (x86)\AstroGrep\AstroGrep.exe" /spath="%USERPROFILE%\AppData\Local\Temp\OnboardLogs" /stypes="app*4012*20161103*" /stext=" 21:.+((SYSTEM_STATE.+slice.+state.+changed )|(ment ac)|(system.+state.+changed )|(\[timeout)|(PRM\|1\|D)|(kpr)|(kdp)|(\|lc)|(penalty))" /e /r /s</v>
      </c>
      <c r="AG218" s="1" t="str">
        <f t="shared" si="82"/>
        <v>Other</v>
      </c>
      <c r="AH218" s="92" t="str">
        <f t="shared" si="68"/>
        <v>"%USERPROFILE%\Documents\GitHub\eaglep3\Utilities\RefineRTDCRunTimes.py" --tripid 904-03 --locoid 4012 --swversion DE.1.0.8.0 --startMP 300:23476 --initTime 2016-11-03T15:17:18 --startdatetime 2016-11-03T15:21:42 --delay 4 --endMP 204:649 --enddatetime 2016-11-03T15:29:38 --enforcementcount 0 &gt;&gt;C:\Users\stu\Documents\GitHub\eaglep3-reporting\EC\2016-11-03-refined-times.txt</v>
      </c>
      <c r="AI218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{"issue":{"subject":"","project_id":79,"tracker_id":40,"status_id":1,"priority_id":2,"assigned_to_id":23,"start_date":"2016-11-03","description":"","custom_fields":[{"id":1,"name":"Subdivision","value":"Other"},{"id":4,"name":"Milepost","value":"0.0649"},{"id":17,"name":"Train ID","value":"904-03"},{"id":16,"name":"Locomotive ID","value":"4012"},{"id":130,"name":"Impact","value":""},{"id":150,"name":"Time of Event (Mountain Time)","value":"15:29:38"},{"id":151,"name":"Denver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597</v>
      </c>
      <c r="B219" s="7">
        <v>4012</v>
      </c>
      <c r="C219" s="22" t="s">
        <v>245</v>
      </c>
      <c r="D219" s="22" t="s">
        <v>729</v>
      </c>
      <c r="E219" s="13">
        <v>42677.795185185183</v>
      </c>
      <c r="F219" s="13">
        <v>25568.708333333332</v>
      </c>
      <c r="G219" s="7">
        <v>0</v>
      </c>
      <c r="H219" s="22" t="s">
        <v>775</v>
      </c>
      <c r="I219" s="13">
        <v>25568.708333333332</v>
      </c>
      <c r="J219" s="7">
        <v>0</v>
      </c>
      <c r="K219" s="112" t="str">
        <f t="shared" si="70"/>
        <v>4011/4012</v>
      </c>
      <c r="L219" s="22" t="str">
        <f>VLOOKUP(A219,'Trips&amp;Operators'!$C$1:$E$10000,3,FALSE)</f>
        <v>MAGEE</v>
      </c>
      <c r="M219" s="6">
        <f t="shared" si="71"/>
        <v>0</v>
      </c>
      <c r="N219" s="7">
        <f t="shared" si="67"/>
        <v>0</v>
      </c>
      <c r="O219" s="7"/>
      <c r="P219" s="7"/>
      <c r="Q219" s="23"/>
      <c r="R219" s="23"/>
      <c r="S219" s="35">
        <f t="shared" si="72"/>
        <v>0</v>
      </c>
      <c r="T219" s="50" t="str">
        <f t="shared" si="73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18:05:04-0600',mode:absolute,to:'1969-12-31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 t="shared" si="75"/>
        <v>Y</v>
      </c>
      <c r="X219" s="177">
        <f t="shared" si="66"/>
        <v>2</v>
      </c>
      <c r="Y219" s="67">
        <f t="shared" si="76"/>
        <v>5.8619000000000003</v>
      </c>
      <c r="Z219" s="67">
        <f t="shared" si="77"/>
        <v>2.8784000000000001</v>
      </c>
      <c r="AA219" s="67">
        <f t="shared" si="78"/>
        <v>2.9835000000000003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79"/>
        <v>0906-03</v>
      </c>
      <c r="AE219" s="91" t="str">
        <f t="shared" si="80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9" s="88" t="str">
        <f t="shared" si="81"/>
        <v>"C:\Program Files (x86)\AstroGrep\AstroGrep.exe" /spath="%USERPROFILE%\AppData\Local\Temp\OnboardLogs" /stypes="app*4012*19691231*" /stext=" 23:.+((SYSTEM_STATE.+slice.+state.+changed )|(ment ac)|(system.+state.+changed )|(\[timeout)|(PRM\|1\|D)|(kpr)|(kdp)|(\|lc)|(penalty))" /e /r /s</v>
      </c>
      <c r="AG219" s="1" t="str">
        <f t="shared" si="82"/>
        <v>Other</v>
      </c>
      <c r="AH219" s="92" t="str">
        <f t="shared" si="68"/>
        <v>"%USERPROFILE%\Documents\GitHub\eaglep3\Utilities\RefineRTDCRunTimes.py" --tripid 906-03 --locoid 4012 --swversion DE.1.0.8.0 --startMP 300:58619 --initTime 2016-11-03T19:05:04 --startdatetime 1969-12-31T17:00:00 --delay 0 --endMP 300:28784 --enddatetime 1969-12-31T17:00:00 --enforcementcount 0 &gt;&gt;C:\Users\stu\Documents\GitHub\eaglep3-reporting\EC\2016-11-03-refined-times.txt</v>
      </c>
      <c r="AI219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{"issue":{"subject":"","project_id":79,"tracker_id":40,"status_id":1,"priority_id":2,"assigned_to_id":23,"start_date":"1969-12-31","description":"","custom_fields":[{"id":1,"name":"Subdivision","value":"Other"},{"id":4,"name":"Milepost","value":"2.8784"},{"id":17,"name":"Train ID","value":"906-03"},{"id":16,"name":"Locomotive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447</v>
      </c>
      <c r="B220" s="7">
        <v>4054</v>
      </c>
      <c r="C220" s="22" t="s">
        <v>245</v>
      </c>
      <c r="D220" s="22" t="s">
        <v>776</v>
      </c>
      <c r="E220" s="13">
        <v>42677.943854166668</v>
      </c>
      <c r="F220" s="13">
        <v>42677.945393518516</v>
      </c>
      <c r="G220" s="7">
        <v>1</v>
      </c>
      <c r="H220" s="22" t="s">
        <v>777</v>
      </c>
      <c r="I220" s="13">
        <v>42677.950694444444</v>
      </c>
      <c r="J220" s="7">
        <v>0</v>
      </c>
      <c r="K220" s="112" t="str">
        <f t="shared" si="70"/>
        <v>4053/4054</v>
      </c>
      <c r="L220" s="22" t="str">
        <f>VLOOKUP(A220,'Trips&amp;Operators'!$C$1:$E$10000,3,FALSE)</f>
        <v>MAGEE</v>
      </c>
      <c r="M220" s="6">
        <f t="shared" si="71"/>
        <v>5.3009259281679988E-3</v>
      </c>
      <c r="N220" s="7">
        <f t="shared" si="67"/>
        <v>7.6333333365619183</v>
      </c>
      <c r="O220" s="7"/>
      <c r="P220" s="7"/>
      <c r="Q220" s="23"/>
      <c r="R220" s="23"/>
      <c r="S220" s="35">
        <f t="shared" si="72"/>
        <v>0</v>
      </c>
      <c r="T220" s="50" t="str">
        <f t="shared" si="73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21:39:09-0600',mode:absolute,to:'2016-11-03 23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 t="shared" si="75"/>
        <v>Y</v>
      </c>
      <c r="X220" s="177">
        <f t="shared" si="66"/>
        <v>2</v>
      </c>
      <c r="Y220" s="67">
        <f t="shared" si="76"/>
        <v>5.8601999999999999</v>
      </c>
      <c r="Z220" s="67">
        <f t="shared" si="77"/>
        <v>2.1524000000000001</v>
      </c>
      <c r="AA220" s="67">
        <f t="shared" si="78"/>
        <v>3.7077999999999998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79"/>
        <v>0908-03</v>
      </c>
      <c r="AE220" s="91" t="str">
        <f t="shared" si="80"/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AF220" s="88" t="str">
        <f t="shared" si="81"/>
        <v>"C:\Program Files (x86)\AstroGrep\AstroGrep.exe" /spath="%USERPROFILE%\AppData\Local\Temp\OnboardLogs" /stypes="app*4054*20161104*" /stext=" 04:.+((SYSTEM_STATE.+slice.+state.+changed )|(ment ac)|(system.+state.+changed )|(\[timeout)|(PRM\|1\|D)|(kpr)|(kdp)|(\|lc)|(penalty))" /e /r /s</v>
      </c>
      <c r="AG220" s="1" t="str">
        <f t="shared" si="82"/>
        <v>Other</v>
      </c>
      <c r="AH220" s="92" t="str">
        <f t="shared" si="68"/>
        <v>"%USERPROFILE%\Documents\GitHub\eaglep3\Utilities\RefineRTDCRunTimes.py" --tripid 908-03 --locoid 4054 --swversion DE.1.0.8.0 --startMP 300:58602 --initTime 2016-11-03T22:39:09 --startdatetime 2016-11-03T22:41:22 --delay 1 --endMP 300:21524 --enddatetime 2016-11-03T22:49:00 --enforcementcount 0 &gt;&gt;C:\Users\stu\Documents\GitHub\eaglep3-reporting\EC\2016-11-03-refined-times.txt</v>
      </c>
      <c r="AI220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{"issue":{"subject":"","project_id":79,"tracker_id":40,"status_id":1,"priority_id":2,"assigned_to_id":23,"start_date":"2016-11-03","description":"","custom_fields":[{"id":1,"name":"Subdivision","value":"Other"},{"id":4,"name":"Milepost","value":"2.1524"},{"id":17,"name":"Train ID","value":"908-03"},{"id":16,"name":"Locomotive ID","value":"4054"},{"id":130,"name":"Impact","value":""},{"id":150,"name":"Time of Event (Mountain Time)","value":"22:49:00"},{"id":151,"name":"Denver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416</v>
      </c>
      <c r="B221" s="7">
        <v>4001</v>
      </c>
      <c r="C221" s="22" t="s">
        <v>245</v>
      </c>
      <c r="D221" s="22" t="s">
        <v>709</v>
      </c>
      <c r="E221" s="13">
        <v>42677.439768518518</v>
      </c>
      <c r="F221" s="13">
        <v>42677.441250000003</v>
      </c>
      <c r="G221" s="7">
        <v>1</v>
      </c>
      <c r="H221" s="22" t="s">
        <v>710</v>
      </c>
      <c r="I221" s="13">
        <v>42677.446828703702</v>
      </c>
      <c r="J221" s="7">
        <v>0</v>
      </c>
      <c r="K221" s="112" t="str">
        <f t="shared" si="70"/>
        <v>4001/4002</v>
      </c>
      <c r="L221" s="22" t="str">
        <f>VLOOKUP(A221,'Trips&amp;Operators'!$C$1:$E$10000,3,FALSE)</f>
        <v>PUGH</v>
      </c>
      <c r="M221" s="6">
        <f t="shared" si="71"/>
        <v>5.5787036981200799E-3</v>
      </c>
      <c r="N221" s="7">
        <f t="shared" si="67"/>
        <v>8.0333333252929151</v>
      </c>
      <c r="O221" s="7"/>
      <c r="P221" s="7"/>
      <c r="Q221" s="23"/>
      <c r="R221" s="23"/>
      <c r="S221" s="35">
        <f t="shared" si="72"/>
        <v>0</v>
      </c>
      <c r="T221" s="50" t="e">
        <f t="shared" si="73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09:33:16-0600',mode:absolute,to:'2016-11-03 11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1" s="52" t="str">
        <f t="shared" si="75"/>
        <v>Y</v>
      </c>
      <c r="X221" s="177" t="e">
        <f t="shared" si="66"/>
        <v>#VALUE!</v>
      </c>
      <c r="Y221" s="67">
        <f t="shared" si="76"/>
        <v>2.3271000000000002</v>
      </c>
      <c r="Z221" s="67">
        <f t="shared" si="77"/>
        <v>9.7000000000000003E-3</v>
      </c>
      <c r="AA221" s="67">
        <f t="shared" si="78"/>
        <v>2.3174000000000001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79"/>
        <v>50-03</v>
      </c>
      <c r="AE221" s="91" t="str">
        <f t="shared" si="80"/>
        <v>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 &amp; aws s3 cp s3://rtdc.mdm.uploadarchive.raw/RTDC4001/ "%USERPROFILE%\AppData\Local\Temp\OnboardLogs"\RTDC4001\2016-11-04 --exclude "*" --recursive --include "*20161104*" &amp; "%USERPROFILE%\Documents\GitHub\mrs-test-scripts\Headless Mode &amp; Sideloading\WalkAndUnGZ.bat" "%USERPROFILE%\AppData\Local\Temp\OnboardLogs"\RTDC4001\2016-11-04</v>
      </c>
      <c r="AF221" s="88" t="str">
        <f t="shared" si="81"/>
        <v>"C:\Program Files (x86)\AstroGrep\AstroGrep.exe" /spath="%USERPROFILE%\AppData\Local\Temp\OnboardLogs" /stypes="app*4001*20161103*" /stext=" 16:.+((SYSTEM_STATE.+slice.+state.+changed )|(ment ac)|(system.+state.+changed )|(\[timeout)|(PRM\|1\|D)|(kpr)|(kdp)|(\|lc)|(penalty))" /e /r /s</v>
      </c>
      <c r="AG221" s="1" t="str">
        <f t="shared" si="82"/>
        <v>Other</v>
      </c>
      <c r="AH221" s="92" t="str">
        <f t="shared" si="68"/>
        <v>"%USERPROFILE%\Documents\GitHub\eaglep3\Utilities\RefineRTDCRunTimes.py" --tripid 50-03 --locoid 4001 --swversion DE.1.0.8.0 --startMP 300:23271 --initTime 2016-11-03T10:33:16 --startdatetime 2016-11-03T10:35:24 --delay 1 --endMP 204:97 --enddatetime 2016-11-03T10:43:26 --enforcementcount 0 &gt;&gt;C:\Users\stu\Documents\GitHub\eaglep3-reporting\EC\2016-11-03-refined-times.txt</v>
      </c>
      <c r="AI221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{"issue":{"subject":"","project_id":79,"tracker_id":40,"status_id":1,"priority_id":2,"assigned_to_id":23,"start_date":"2016-11-03","description":"","custom_fields":[{"id":1,"name":"Subdivision","value":"Other"},{"id":4,"name":"Milepost","value":"0.0097"},{"id":17,"name":"Train ID","value":"50-03"},{"id":16,"name":"Locomotive ID","value":"4001"},{"id":130,"name":"Impact","value":""},{"id":150,"name":"Time of Event (Mountain Time)","value":"10:43:26"},{"id":151,"name":"Denver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418</v>
      </c>
      <c r="B222" s="7">
        <v>4021</v>
      </c>
      <c r="C222" s="22" t="s">
        <v>245</v>
      </c>
      <c r="D222" s="22" t="s">
        <v>711</v>
      </c>
      <c r="E222" s="13">
        <v>42677.455821759257</v>
      </c>
      <c r="F222" s="13">
        <v>42677.457245370373</v>
      </c>
      <c r="G222" s="7">
        <v>1</v>
      </c>
      <c r="H222" s="22" t="s">
        <v>712</v>
      </c>
      <c r="I222" s="13">
        <v>42677.465312499997</v>
      </c>
      <c r="J222" s="7">
        <v>0</v>
      </c>
      <c r="K222" s="112" t="str">
        <f t="shared" si="70"/>
        <v>4021/4022</v>
      </c>
      <c r="L222" s="22" t="str">
        <f>VLOOKUP(A222,'Trips&amp;Operators'!$C$1:$E$10000,3,FALSE)</f>
        <v>HOLCOMB</v>
      </c>
      <c r="M222" s="6">
        <f t="shared" si="71"/>
        <v>8.067129623668734E-3</v>
      </c>
      <c r="N222" s="7">
        <f t="shared" si="67"/>
        <v>11.616666658082977</v>
      </c>
      <c r="O222" s="7"/>
      <c r="P222" s="7"/>
      <c r="Q222" s="23"/>
      <c r="R222" s="23"/>
      <c r="S222" s="35">
        <f t="shared" si="72"/>
        <v>0</v>
      </c>
      <c r="T222" s="50" t="e">
        <f t="shared" si="73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09:56:23-0600',mode:absolute,to:'2016-11-03 12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2" s="52" t="str">
        <f t="shared" si="75"/>
        <v>Y</v>
      </c>
      <c r="X222" s="177" t="e">
        <f t="shared" si="66"/>
        <v>#VALUE!</v>
      </c>
      <c r="Y222" s="67">
        <f t="shared" si="76"/>
        <v>2.1930000000000001</v>
      </c>
      <c r="Z222" s="67">
        <f t="shared" si="77"/>
        <v>8.9300000000000004E-2</v>
      </c>
      <c r="AA222" s="67">
        <f t="shared" si="78"/>
        <v>2.1036999999999999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79"/>
        <v>52-03</v>
      </c>
      <c r="AE222" s="91" t="str">
        <f t="shared" si="80"/>
        <v>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 &amp; 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</v>
      </c>
      <c r="AF222" s="88" t="str">
        <f t="shared" si="81"/>
        <v>"C:\Program Files (x86)\AstroGrep\AstroGrep.exe" /spath="%USERPROFILE%\AppData\Local\Temp\OnboardLogs" /stypes="app*4021*20161103*" /stext=" 17:.+((SYSTEM_STATE.+slice.+state.+changed )|(ment ac)|(system.+state.+changed )|(\[timeout)|(PRM\|1\|D)|(kpr)|(kdp)|(\|lc)|(penalty))" /e /r /s</v>
      </c>
      <c r="AG222" s="1" t="str">
        <f t="shared" si="82"/>
        <v>Other</v>
      </c>
      <c r="AH222" s="92" t="str">
        <f t="shared" si="68"/>
        <v>"%USERPROFILE%\Documents\GitHub\eaglep3\Utilities\RefineRTDCRunTimes.py" --tripid 52-03 --locoid 4021 --swversion DE.1.0.8.0 --startMP 300:21930 --initTime 2016-11-03T10:56:23 --startdatetime 2016-11-03T10:58:26 --delay 1 --endMP 204:893 --enddatetime 2016-11-03T11:10:03 --enforcementcount 0 &gt;&gt;C:\Users\stu\Documents\GitHub\eaglep3-reporting\EC\2016-11-03-refined-times.txt</v>
      </c>
      <c r="AI222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{"issue":{"subject":"","project_id":79,"tracker_id":40,"status_id":1,"priority_id":2,"assigned_to_id":23,"start_date":"2016-11-03","description":"","custom_fields":[{"id":1,"name":"Subdivision","value":"Other"},{"id":4,"name":"Milepost","value":"0.0893"},{"id":17,"name":"Train ID","value":"52-03"},{"id":16,"name":"Locomotive ID","value":"4021"},{"id":130,"name":"Impact","value":""},{"id":150,"name":"Time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521</v>
      </c>
      <c r="B223" s="7">
        <v>4002</v>
      </c>
      <c r="C223" s="22" t="s">
        <v>245</v>
      </c>
      <c r="D223" s="22" t="s">
        <v>713</v>
      </c>
      <c r="E223" s="13">
        <v>42677.465833333335</v>
      </c>
      <c r="F223" s="13">
        <v>42677.468692129631</v>
      </c>
      <c r="G223" s="7">
        <v>3</v>
      </c>
      <c r="H223" s="22" t="s">
        <v>714</v>
      </c>
      <c r="I223" s="13">
        <v>42677.469050925924</v>
      </c>
      <c r="J223" s="7">
        <v>0</v>
      </c>
      <c r="K223" s="112" t="str">
        <f t="shared" si="70"/>
        <v>4001/4002</v>
      </c>
      <c r="L223" s="22" t="str">
        <f>VLOOKUP(A223,'Trips&amp;Operators'!$C$1:$E$10000,3,FALSE)</f>
        <v>GRASTON</v>
      </c>
      <c r="M223" s="6">
        <f t="shared" si="71"/>
        <v>3.5879629285773262E-4</v>
      </c>
      <c r="N223" s="7">
        <f t="shared" si="67"/>
        <v>0.51666666171513498</v>
      </c>
      <c r="O223" s="7"/>
      <c r="P223" s="7"/>
      <c r="Q223" s="23"/>
      <c r="R223" s="23"/>
      <c r="S223" s="35">
        <f t="shared" si="72"/>
        <v>0</v>
      </c>
      <c r="T223" s="50" t="e">
        <f t="shared" si="73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10:10:48-0600',mode:absolute,to:'2016-11-03 12:15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3" s="52" t="str">
        <f t="shared" si="75"/>
        <v>Y</v>
      </c>
      <c r="X223" s="177" t="e">
        <f t="shared" si="66"/>
        <v>#VALUE!</v>
      </c>
      <c r="Y223" s="67">
        <f t="shared" si="76"/>
        <v>4.2099999999999999E-2</v>
      </c>
      <c r="Z223" s="67">
        <f t="shared" si="77"/>
        <v>0.15570000000000001</v>
      </c>
      <c r="AA223" s="67">
        <f t="shared" si="78"/>
        <v>0.11360000000000001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79"/>
        <v>53-03</v>
      </c>
      <c r="AE223" s="91" t="str">
        <f t="shared" si="80"/>
        <v>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 &amp; aws s3 cp s3://rtdc.mdm.uploadarchive.raw/RTDC4002/ "%USERPROFILE%\AppData\Local\Temp\OnboardLogs"\RTDC4002\2016-11-04 --exclude "*" --recursive --include "*20161104*" &amp; "%USERPROFILE%\Documents\GitHub\mrs-test-scripts\Headless Mode &amp; Sideloading\WalkAndUnGZ.bat" "%USERPROFILE%\AppData\Local\Temp\OnboardLogs"\RTDC4002\2016-11-04</v>
      </c>
      <c r="AF223" s="88" t="str">
        <f t="shared" si="81"/>
        <v>"C:\Program Files (x86)\AstroGrep\AstroGrep.exe" /spath="%USERPROFILE%\AppData\Local\Temp\OnboardLogs" /stypes="app*4002*20161103*" /stext=" 17:.+((SYSTEM_STATE.+slice.+state.+changed )|(ment ac)|(system.+state.+changed )|(\[timeout)|(PRM\|1\|D)|(kpr)|(kdp)|(\|lc)|(penalty))" /e /r /s</v>
      </c>
      <c r="AG223" s="1" t="str">
        <f t="shared" si="82"/>
        <v>Other</v>
      </c>
      <c r="AH223" s="92" t="str">
        <f t="shared" si="68"/>
        <v>"%USERPROFILE%\Documents\GitHub\eaglep3\Utilities\RefineRTDCRunTimes.py" --tripid 53-03 --locoid 4002 --swversion DE.1.0.8.0 --startMP 204:421 --initTime 2016-11-03T11:10:48 --startdatetime 2016-11-03T11:14:55 --delay 3 --endMP 204:1557 --enddatetime 2016-11-03T11:15:26 --enforcementcount 0 &gt;&gt;C:\Users\stu\Documents\GitHub\eaglep3-reporting\EC\2016-11-03-refined-times.txt</v>
      </c>
      <c r="AI223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{"issue":{"subject":"","project_id":79,"tracker_id":40,"status_id":1,"priority_id":2,"assigned_to_id":23,"start_date":"2016-11-03","description":"","custom_fields":[{"id":1,"name":"Subdivision","value":"Other"},{"id":4,"name":"Milepost","value":"0.1557"},{"id":17,"name":"Train ID","value":"53-03"},{"id":16,"name":"Locomotive ID","value":"4002"},{"id":130,"name":"Impact","value":""},{"id":150,"name":"Time of Event (Mountain Time)","value":"11:15:26"},{"id":151,"name":"Denver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528</v>
      </c>
      <c r="B224" s="7">
        <v>4022</v>
      </c>
      <c r="C224" s="22" t="s">
        <v>245</v>
      </c>
      <c r="D224" s="22" t="s">
        <v>715</v>
      </c>
      <c r="E224" s="13">
        <v>42677.490219907406</v>
      </c>
      <c r="F224" s="13">
        <v>42677.497627314813</v>
      </c>
      <c r="G224" s="7">
        <v>1</v>
      </c>
      <c r="H224" s="22" t="s">
        <v>716</v>
      </c>
      <c r="I224" s="13">
        <v>42677.503194444442</v>
      </c>
      <c r="J224" s="7">
        <v>0</v>
      </c>
      <c r="K224" s="112" t="str">
        <f t="shared" si="70"/>
        <v>4021/4022</v>
      </c>
      <c r="L224" s="22" t="str">
        <f>VLOOKUP(A224,'Trips&amp;Operators'!$C$1:$E$10000,3,FALSE)</f>
        <v>ISHMAEL</v>
      </c>
      <c r="M224" s="6">
        <f t="shared" si="71"/>
        <v>5.5671296286163852E-3</v>
      </c>
      <c r="N224" s="7">
        <f t="shared" si="67"/>
        <v>8.0166666652075946</v>
      </c>
      <c r="O224" s="7"/>
      <c r="P224" s="7"/>
      <c r="Q224" s="23"/>
      <c r="R224" s="23"/>
      <c r="S224" s="35">
        <f t="shared" si="72"/>
        <v>0</v>
      </c>
      <c r="T224" s="50" t="e">
        <f t="shared" si="73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10:45:55-0600',mode:absolute,to:'2016-11-03 13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4" s="52" t="str">
        <f t="shared" si="75"/>
        <v>Y</v>
      </c>
      <c r="X224" s="177" t="e">
        <f t="shared" si="66"/>
        <v>#VALUE!</v>
      </c>
      <c r="Y224" s="67">
        <f t="shared" si="76"/>
        <v>0.12089999999999999</v>
      </c>
      <c r="Z224" s="67">
        <f t="shared" si="77"/>
        <v>2.4211999999999998</v>
      </c>
      <c r="AA224" s="67">
        <f t="shared" si="78"/>
        <v>2.3003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79"/>
        <v>55-03</v>
      </c>
      <c r="AE224" s="91" t="str">
        <f t="shared" si="80"/>
        <v>aws s3 cp s3://rtdc.mdm.uploadarchive.raw/RTDC4022/ "%USERPROFILE%\AppData\Local\Temp\OnboardLogs"\RTDC4022\2016-11-03 --exclude "*" --recursive --include "*20161103*" &amp; "%USERPROFILE%\Documents\GitHub\mrs-test-scripts\Headless Mode &amp; Sideloading\WalkAndUnGZ.bat" "%USERPROFILE%\AppData\Local\Temp\OnboardLogs"\RTDC4022\2016-11-03 &amp; 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</v>
      </c>
      <c r="AF224" s="88" t="str">
        <f t="shared" si="81"/>
        <v>"C:\Program Files (x86)\AstroGrep\AstroGrep.exe" /spath="%USERPROFILE%\AppData\Local\Temp\OnboardLogs" /stypes="app*4022*20161103*" /stext=" 18:.+((SYSTEM_STATE.+slice.+state.+changed )|(ment ac)|(system.+state.+changed )|(\[timeout)|(PRM\|1\|D)|(kpr)|(kdp)|(\|lc)|(penalty))" /e /r /s</v>
      </c>
      <c r="AG224" s="1" t="str">
        <f t="shared" si="82"/>
        <v>Other</v>
      </c>
      <c r="AH224" s="92" t="str">
        <f t="shared" si="68"/>
        <v>"%USERPROFILE%\Documents\GitHub\eaglep3\Utilities\RefineRTDCRunTimes.py" --tripid 55-03 --locoid 4022 --swversion DE.1.0.8.0 --startMP 204:1209 --initTime 2016-11-03T11:45:55 --startdatetime 2016-11-03T11:56:35 --delay 1 --endMP 300:24212 --enddatetime 2016-11-03T12:04:36 --enforcementcount 0 &gt;&gt;C:\Users\stu\Documents\GitHub\eaglep3-reporting\EC\2016-11-03-refined-times.txt</v>
      </c>
      <c r="AI224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{"issue":{"subject":"","project_id":79,"tracker_id":40,"status_id":1,"priority_id":2,"assigned_to_id":23,"start_date":"2016-11-03","description":"","custom_fields":[{"id":1,"name":"Subdivision","value":"Other"},{"id":4,"name":"Milepost","value":"2.4212"},{"id":17,"name":"Train ID","value":"55-03"},{"id":16,"name":"Locomotive ID","value":"4022"},{"id":130,"name":"Impact","value":""},{"id":150,"name":"Time of Event (Mountain Time)","value":"12:04:36"},{"id":151,"name":"Denver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434</v>
      </c>
      <c r="B225" s="7">
        <v>4021</v>
      </c>
      <c r="C225" s="22" t="s">
        <v>245</v>
      </c>
      <c r="D225" s="22" t="s">
        <v>717</v>
      </c>
      <c r="E225" s="13">
        <v>42677.716423611113</v>
      </c>
      <c r="F225" s="13">
        <v>42677.717766203707</v>
      </c>
      <c r="G225" s="7">
        <v>1</v>
      </c>
      <c r="H225" s="22" t="s">
        <v>718</v>
      </c>
      <c r="I225" s="13">
        <v>42677.72415509259</v>
      </c>
      <c r="J225" s="7">
        <v>0</v>
      </c>
      <c r="K225" s="112" t="str">
        <f t="shared" si="70"/>
        <v>4021/4022</v>
      </c>
      <c r="L225" s="22" t="str">
        <f>VLOOKUP(A225,'Trips&amp;Operators'!$C$1:$E$10000,3,FALSE)</f>
        <v>CRAYTON</v>
      </c>
      <c r="M225" s="6">
        <f t="shared" si="71"/>
        <v>6.388888883520849E-3</v>
      </c>
      <c r="N225" s="7">
        <f t="shared" si="67"/>
        <v>9.1999999922700226</v>
      </c>
      <c r="O225" s="7"/>
      <c r="P225" s="7"/>
      <c r="Q225" s="23"/>
      <c r="R225" s="23"/>
      <c r="S225" s="35">
        <f t="shared" si="72"/>
        <v>0</v>
      </c>
      <c r="T225" s="50" t="e">
        <f t="shared" si="7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16:11:39-0600',mode:absolute,to:'2016-11-03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5" s="52" t="str">
        <f t="shared" si="75"/>
        <v>Y</v>
      </c>
      <c r="X225" s="177" t="e">
        <f t="shared" si="66"/>
        <v>#VALUE!</v>
      </c>
      <c r="Y225" s="67">
        <f t="shared" si="76"/>
        <v>2.3582000000000001</v>
      </c>
      <c r="Z225" s="67">
        <f t="shared" si="77"/>
        <v>1.84E-2</v>
      </c>
      <c r="AA225" s="67">
        <f t="shared" si="78"/>
        <v>2.3397999999999999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79"/>
        <v>56-03</v>
      </c>
      <c r="AE225" s="91" t="str">
        <f t="shared" si="80"/>
        <v>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 &amp; 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</v>
      </c>
      <c r="AF225" s="88" t="str">
        <f t="shared" si="81"/>
        <v>"C:\Program Files (x86)\AstroGrep\AstroGrep.exe" /spath="%USERPROFILE%\AppData\Local\Temp\OnboardLogs" /stypes="app*4021*20161103*" /stext=" 23:.+((SYSTEM_STATE.+slice.+state.+changed )|(ment ac)|(system.+state.+changed )|(\[timeout)|(PRM\|1\|D)|(kpr)|(kdp)|(\|lc)|(penalty))" /e /r /s</v>
      </c>
      <c r="AG225" s="1" t="str">
        <f t="shared" si="82"/>
        <v>Other</v>
      </c>
      <c r="AH225" s="92" t="str">
        <f t="shared" si="68"/>
        <v>"%USERPROFILE%\Documents\GitHub\eaglep3\Utilities\RefineRTDCRunTimes.py" --tripid 56-03 --locoid 4021 --swversion DE.1.0.8.0 --startMP 300:23582 --initTime 2016-11-03T17:11:39 --startdatetime 2016-11-03T17:13:35 --delay 1 --endMP 204:184 --enddatetime 2016-11-03T17:22:47 --enforcementcount 0 &gt;&gt;C:\Users\stu\Documents\GitHub\eaglep3-reporting\EC\2016-11-03-refined-times.txt</v>
      </c>
      <c r="AI225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{"issue":{"subject":"","project_id":79,"tracker_id":40,"status_id":1,"priority_id":2,"assigned_to_id":23,"start_date":"2016-11-03","description":"","custom_fields":[{"id":1,"name":"Subdivision","value":"Other"},{"id":4,"name":"Milepost","value":"0.0184"},{"id":17,"name":"Train ID","value":"56-03"},{"id":16,"name":"Locomotive ID","value":"4021"},{"id":130,"name":"Impact","value":""},{"id":150,"name":"Time of Event (Mountain Time)","value":"17:22:47"},{"id":151,"name":"Denver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588</v>
      </c>
      <c r="B226" s="7">
        <v>4022</v>
      </c>
      <c r="C226" s="22" t="s">
        <v>245</v>
      </c>
      <c r="D226" s="22" t="s">
        <v>375</v>
      </c>
      <c r="E226" s="13">
        <v>42677.758229166669</v>
      </c>
      <c r="F226" s="13">
        <v>25568.708333333332</v>
      </c>
      <c r="G226" s="7">
        <v>1</v>
      </c>
      <c r="H226" s="22" t="s">
        <v>383</v>
      </c>
      <c r="I226" s="13">
        <v>25568.708333333332</v>
      </c>
      <c r="J226" s="7">
        <v>0</v>
      </c>
      <c r="K226" s="112" t="str">
        <f t="shared" si="70"/>
        <v>4021/4022</v>
      </c>
      <c r="L226" s="22" t="str">
        <f>VLOOKUP(A226,'Trips&amp;Operators'!$C$1:$E$10000,3,FALSE)</f>
        <v>SHOOK</v>
      </c>
      <c r="M226" s="6">
        <f t="shared" si="71"/>
        <v>0</v>
      </c>
      <c r="N226" s="7">
        <f t="shared" si="67"/>
        <v>0</v>
      </c>
      <c r="O226" s="7"/>
      <c r="P226" s="7"/>
      <c r="Q226" s="23"/>
      <c r="R226" s="23"/>
      <c r="S226" s="35">
        <f t="shared" si="72"/>
        <v>0</v>
      </c>
      <c r="T226" s="50" t="e">
        <f t="shared" si="7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17:11:51-0600',mode:absolute,to:'1969-12-31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6" s="52" t="str">
        <f t="shared" si="75"/>
        <v>Y</v>
      </c>
      <c r="X226" s="177" t="e">
        <f t="shared" si="66"/>
        <v>#VALUE!</v>
      </c>
      <c r="Y226" s="67">
        <f t="shared" si="76"/>
        <v>4.7100000000000003E-2</v>
      </c>
      <c r="Z226" s="67">
        <f t="shared" si="77"/>
        <v>2.3300999999999998</v>
      </c>
      <c r="AA226" s="67">
        <f t="shared" si="78"/>
        <v>2.2829999999999999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79"/>
        <v>57-03</v>
      </c>
      <c r="AE226" s="91" t="str">
        <f t="shared" si="80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6" s="88" t="str">
        <f t="shared" si="81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26" s="1" t="str">
        <f t="shared" si="82"/>
        <v>Other</v>
      </c>
      <c r="AH226" s="92" t="str">
        <f t="shared" si="68"/>
        <v>"%USERPROFILE%\Documents\GitHub\eaglep3\Utilities\RefineRTDCRunTimes.py" --tripid 57-03 --locoid 4022 --swversion DE.1.0.8.0 --startMP 204:471 --initTime 2016-11-03T18:11:51 --startdatetime 1969-12-31T17:00:00 --delay 1 --endMP 300:23301 --enddatetime 1969-12-31T17:00:00 --enforcementcount 0 &gt;&gt;C:\Users\stu\Documents\GitHub\eaglep3-reporting\EC\2016-11-03-refined-times.txt</v>
      </c>
      <c r="AI22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ID","value":"57-03"},{"id":16,"name":"Locomotive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614</v>
      </c>
      <c r="B227" s="7">
        <v>4002</v>
      </c>
      <c r="C227" s="22" t="s">
        <v>245</v>
      </c>
      <c r="D227" s="22" t="s">
        <v>719</v>
      </c>
      <c r="E227" s="13">
        <v>42677.908703703702</v>
      </c>
      <c r="F227" s="13">
        <v>42677.913576388892</v>
      </c>
      <c r="G227" s="7">
        <v>4</v>
      </c>
      <c r="H227" s="22" t="s">
        <v>720</v>
      </c>
      <c r="I227" s="13">
        <v>42677.919305555559</v>
      </c>
      <c r="J227" s="7">
        <v>0</v>
      </c>
      <c r="K227" s="112" t="str">
        <f t="shared" si="70"/>
        <v>4001/4002</v>
      </c>
      <c r="L227" s="22" t="str">
        <f>VLOOKUP(A227,'Trips&amp;Operators'!$C$1:$E$10000,3,FALSE)</f>
        <v>PINCURA</v>
      </c>
      <c r="M227" s="6">
        <f t="shared" si="71"/>
        <v>5.7291666671517305E-3</v>
      </c>
      <c r="N227" s="7">
        <f t="shared" si="67"/>
        <v>8.2500000006984919</v>
      </c>
      <c r="O227" s="7"/>
      <c r="P227" s="7"/>
      <c r="Q227" s="23"/>
      <c r="R227" s="23"/>
      <c r="S227" s="35">
        <f t="shared" si="72"/>
        <v>0</v>
      </c>
      <c r="T227" s="50" t="e">
        <f t="shared" si="73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20:48:32-0600',mode:absolute,to:'2016-11-03 23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7" s="52" t="str">
        <f t="shared" si="75"/>
        <v>Y</v>
      </c>
      <c r="X227" s="177" t="e">
        <f t="shared" si="66"/>
        <v>#VALUE!</v>
      </c>
      <c r="Y227" s="67">
        <f t="shared" si="76"/>
        <v>0.1144</v>
      </c>
      <c r="Z227" s="67">
        <f t="shared" si="77"/>
        <v>2.3313999999999999</v>
      </c>
      <c r="AA227" s="67">
        <f t="shared" si="78"/>
        <v>2.2170000000000001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79"/>
        <v>63-03</v>
      </c>
      <c r="AE227" s="91" t="str">
        <f t="shared" si="80"/>
        <v>aws s3 cp s3://rtdc.mdm.uploadarchive.raw/RTDC4002/ "%USERPROFILE%\AppData\Local\Temp\OnboardLogs"\RTDC4002\2016-11-03 --exclude "*" --recursive --include "*20161103*" &amp; "%USERPROFILE%\Documents\GitHub\mrs-test-scripts\Headless Mode &amp; Sideloading\WalkAndUnGZ.bat" "%USERPROFILE%\AppData\Local\Temp\OnboardLogs"\RTDC4002\2016-11-03 &amp; aws s3 cp s3://rtdc.mdm.uploadarchive.raw/RTDC4002/ "%USERPROFILE%\AppData\Local\Temp\OnboardLogs"\RTDC4002\2016-11-04 --exclude "*" --recursive --include "*20161104*" &amp; "%USERPROFILE%\Documents\GitHub\mrs-test-scripts\Headless Mode &amp; Sideloading\WalkAndUnGZ.bat" "%USERPROFILE%\AppData\Local\Temp\OnboardLogs"\RTDC4002\2016-11-04</v>
      </c>
      <c r="AF227" s="88" t="str">
        <f t="shared" si="81"/>
        <v>"C:\Program Files (x86)\AstroGrep\AstroGrep.exe" /spath="%USERPROFILE%\AppData\Local\Temp\OnboardLogs" /stypes="app*4002*20161104*" /stext=" 04:.+((SYSTEM_STATE.+slice.+state.+changed )|(ment ac)|(system.+state.+changed )|(\[timeout)|(PRM\|1\|D)|(kpr)|(kdp)|(\|lc)|(penalty))" /e /r /s</v>
      </c>
      <c r="AG227" s="1" t="str">
        <f t="shared" si="82"/>
        <v>Other</v>
      </c>
      <c r="AH227" s="92" t="str">
        <f t="shared" si="68"/>
        <v>"%USERPROFILE%\Documents\GitHub\eaglep3\Utilities\RefineRTDCRunTimes.py" --tripid 63-03 --locoid 4002 --swversion DE.1.0.8.0 --startMP 204:1144 --initTime 2016-11-03T21:48:32 --startdatetime 2016-11-03T21:55:33 --delay 4 --endMP 300:23314 --enddatetime 2016-11-03T22:03:48 --enforcementcount 0 &gt;&gt;C:\Users\stu\Documents\GitHub\eaglep3-reporting\EC\2016-11-03-refined-times.txt</v>
      </c>
      <c r="AI227" s="122" t="str">
        <f t="shared" si="69"/>
        <v>echo {"issue":{"subject":"","project_id":79,"tracker_id":40,"status_id":1,"priority_id":2,"assigned_to_id":23,"start_date":"2016-11-03","description":"","custom_fields":[{"id":1,"name":"Subdivision","value":"Other"},{"id":4,"name":"Milepost","value":"2.3314"},{"id":17,"name":"Train ID","value":"63-03"},{"id":16,"name":"Locomotive ID","value":"4002"},{"id":130,"name":"Impact","value":""},{"id":150,"name":"Time of Event (Mountain Time)","value":"22:03:48"},{"id":151,"name":"Denver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438</v>
      </c>
      <c r="B228" s="7">
        <v>4003</v>
      </c>
      <c r="C228" s="22" t="s">
        <v>245</v>
      </c>
      <c r="D228" s="22" t="s">
        <v>377</v>
      </c>
      <c r="E228" s="13">
        <v>42677.748668981483</v>
      </c>
      <c r="F228" s="13">
        <v>25568.708333333332</v>
      </c>
      <c r="G228" s="7">
        <v>1</v>
      </c>
      <c r="H228" s="22" t="s">
        <v>721</v>
      </c>
      <c r="I228" s="13">
        <v>25568.708333333332</v>
      </c>
      <c r="J228" s="7">
        <v>0</v>
      </c>
      <c r="K228" s="112" t="str">
        <f t="shared" si="70"/>
        <v>4003/4004</v>
      </c>
      <c r="L228" s="22" t="str">
        <f>VLOOKUP(A228,'Trips&amp;Operators'!$C$1:$E$10000,3,FALSE)</f>
        <v>PUGH</v>
      </c>
      <c r="M228" s="6">
        <f t="shared" si="71"/>
        <v>0</v>
      </c>
      <c r="N228" s="7">
        <f t="shared" si="67"/>
        <v>0</v>
      </c>
      <c r="O228" s="7"/>
      <c r="P228" s="7"/>
      <c r="Q228" s="23"/>
      <c r="R228" s="23"/>
      <c r="S228" s="35">
        <f t="shared" si="72"/>
        <v>0</v>
      </c>
      <c r="T228" s="50" t="e">
        <f t="shared" si="73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https://search-rtdc-monitor-bjffxe2xuh6vdkpspy63sjmuny.us-east-1.es.amazonaws.com/_plugin/kibana/#/discover/Steve-Slow-Train-Analysis-(2080s-and-2083s)?_g=(refreshInterval:(display:Off,section:0,value:0),time:(from:'2016-11-03 16:58:05-0600',mode:absolute,to:'1969-12-31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8" s="52" t="str">
        <f t="shared" si="75"/>
        <v>Y</v>
      </c>
      <c r="X228" s="177" t="e">
        <f t="shared" si="66"/>
        <v>#VALUE!</v>
      </c>
      <c r="Y228" s="67">
        <f t="shared" si="76"/>
        <v>0.1484</v>
      </c>
      <c r="Z228" s="67">
        <f t="shared" si="77"/>
        <v>2.3308</v>
      </c>
      <c r="AA228" s="67">
        <f t="shared" si="78"/>
        <v>2.1823999999999999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79"/>
        <v>71-03</v>
      </c>
      <c r="AE228" s="91" t="str">
        <f t="shared" si="80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8" s="88" t="str">
        <f t="shared" si="81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28" s="1" t="str">
        <f t="shared" si="82"/>
        <v>Other</v>
      </c>
      <c r="AH228" s="92" t="str">
        <f t="shared" si="68"/>
        <v>"%USERPROFILE%\Documents\GitHub\eaglep3\Utilities\RefineRTDCRunTimes.py" --tripid 71-03 --locoid 4003 --swversion DE.1.0.8.0 --startMP 204:1484 --initTime 2016-11-03T17:58:05 --startdatetime 1969-12-31T17:00:00 --delay 1 --endMP 300:23308 --enddatetime 1969-12-31T17:00:00 --enforcementcount 0 &gt;&gt;C:\Users\stu\Documents\GitHub\eaglep3-reporting\EC\2016-11-03-refined-times.txt</v>
      </c>
      <c r="AI22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ID","value":"71-03"},{"id":16,"name":"Locomotive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</sheetData>
  <autoFilter ref="A12:AG263">
    <sortState ref="A13:AG265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64:X1048576 W13:X228">
    <cfRule type="cellIs" dxfId="10" priority="344" operator="equal">
      <formula>"Y"</formula>
    </cfRule>
  </conditionalFormatting>
  <conditionalFormatting sqref="X264:X1048576 X13:X228">
    <cfRule type="cellIs" dxfId="9" priority="327" operator="greaterThan">
      <formula>1</formula>
    </cfRule>
  </conditionalFormatting>
  <conditionalFormatting sqref="X264:X1048576 X12:X228">
    <cfRule type="cellIs" dxfId="8" priority="324" operator="equal">
      <formula>0</formula>
    </cfRule>
  </conditionalFormatting>
  <conditionalFormatting sqref="A13:S22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R7" sqref="R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5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49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- 2016-11-03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42677.601458333331</v>
      </c>
      <c r="B7" s="31" t="s">
        <v>246</v>
      </c>
      <c r="C7" s="31" t="s">
        <v>425</v>
      </c>
      <c r="D7" s="31" t="s">
        <v>98</v>
      </c>
      <c r="E7" s="31" t="s">
        <v>426</v>
      </c>
      <c r="F7" s="47">
        <v>790</v>
      </c>
      <c r="G7" s="47">
        <v>841</v>
      </c>
      <c r="H7" s="47">
        <v>140849</v>
      </c>
      <c r="I7" s="47">
        <v>145031</v>
      </c>
      <c r="J7" s="31" t="s">
        <v>217</v>
      </c>
      <c r="K7" s="47">
        <v>110617</v>
      </c>
      <c r="L7" s="157" t="s">
        <v>50</v>
      </c>
      <c r="M7" s="158">
        <f t="shared" ref="M7:M38" si="0">CONVERT((I7-K7)/10000,"mi","ft")*IF(L7="Increasing Mileposts (1)",-1,1)</f>
        <v>-18170.592000000001</v>
      </c>
      <c r="N7" s="159" t="str">
        <f>VLOOKUP(C7,'Trips&amp;Operators'!$C$1:$E$99999,3,FALSE)</f>
        <v>ADANE</v>
      </c>
      <c r="O7" s="184" t="s">
        <v>215</v>
      </c>
      <c r="P7" s="160" t="s">
        <v>343</v>
      </c>
      <c r="Q7" s="31"/>
      <c r="R7" s="100" t="str">
        <f>VLOOKUP(C7,'Train Runs'!$A$13:$AE$10007,31,0)</f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S7" s="103" t="str">
        <f>VLOOKUP(C7,'Train Runs'!$A$13:$AE$10007,22,0)</f>
        <v>https://search-rtdc-monitor-bjffxe2xuh6vdkpspy63sjmuny.us-east-1.es.amazonaws.com/_plugin/kibana/#/discover/Steve-Slow-Train-Analysis-(2080s-and-2083s)?_g=(refreshInterval:(display:Off,section:0,value:0),time:(from:'2016-11-03 12:54:54-0600',mode:absolute,to:'2016-11-03 15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/stypes="*4040*201611032*" /stext=" 20:.+((SYSTEM_STATE.+slice.+state.+changed )|(ment ac)|(system.+state.+changed )|(\[timeout)|(PRM\|1\|D)|(kpr)|(kdp)|(\|lc)|(penalty))" /e /r /s</v>
      </c>
      <c r="U7" s="9" t="str">
        <f t="shared" ref="U7:U38" si="2">MID(B7,13,4)</f>
        <v>4040</v>
      </c>
      <c r="V7" s="36">
        <f t="shared" ref="V7:V38" si="3">A7+6/24</f>
        <v>42677.851458333331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-03","description":"","custom_fields":[{"id":1,"name":"Subdivision","value":"EC"},{"id":4,"name":"Milepost","value":"11.0617"},{"id":17,"name":"Train ID","value":"183-03"},{"id":16,"name":"Locomotive ID","value":"4040"},{"id":130,"name":"Impact","value":""},{"id":150,"name":"Time of Event (Mountain Time)","value":"14:26:06"},{"id":151,"name":"Denver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"%USERPROFILE%\AppData\Local\Temp\OnboardLogs"\RTDC4040\*4040*201611032* | grep -SE "((Enforcement Ac)|(PRM))" -</v>
      </c>
    </row>
    <row r="8" spans="1:29" s="1" customFormat="1" x14ac:dyDescent="0.25">
      <c r="A8" s="36">
        <v>42677.58152777778</v>
      </c>
      <c r="B8" s="31" t="s">
        <v>251</v>
      </c>
      <c r="C8" s="31" t="s">
        <v>423</v>
      </c>
      <c r="D8" s="31" t="s">
        <v>98</v>
      </c>
      <c r="E8" s="31" t="s">
        <v>154</v>
      </c>
      <c r="F8" s="47">
        <v>190</v>
      </c>
      <c r="G8" s="47">
        <v>241</v>
      </c>
      <c r="H8" s="47">
        <v>27037</v>
      </c>
      <c r="I8" s="47">
        <v>26616</v>
      </c>
      <c r="J8" s="31" t="s">
        <v>153</v>
      </c>
      <c r="K8" s="47">
        <v>27350</v>
      </c>
      <c r="L8" s="157" t="s">
        <v>51</v>
      </c>
      <c r="M8" s="158">
        <f t="shared" si="0"/>
        <v>-387.55200000000002</v>
      </c>
      <c r="N8" s="159" t="str">
        <f>VLOOKUP(C8,'Trips&amp;Operators'!$C$1:$E$99999,3,FALSE)</f>
        <v>MACDONALD</v>
      </c>
      <c r="O8" s="184" t="s">
        <v>215</v>
      </c>
      <c r="P8" s="160" t="s">
        <v>793</v>
      </c>
      <c r="Q8" s="31"/>
      <c r="R8" s="100" t="str">
        <f>VLOOKUP(C8,'Train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8" s="103" t="str">
        <f>VLOOKUP(C8,'Train Runs'!$A$13:$AE$10007,22,0)</f>
        <v>https://search-rtdc-monitor-bjffxe2xuh6vdkpspy63sjmuny.us-east-1.es.amazonaws.com/_plugin/kibana/#/discover/Steve-Slow-Train-Analysis-(2080s-and-2083s)?_g=(refreshInterval:(display:Off,section:0,value:0),time:(from:'2016-11-03 12:21:41-0600',mode:absolute,to:'2016-11-03 15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8" s="105" t="str">
        <f t="shared" si="1"/>
        <v>"C:\Program Files (x86)\AstroGrep\AstroGrep.exe" /spath="%USERPROFILE%\AppData\Local\Temp\OnboardLogs" /stypes="*4013*201611031*" /stext=" 19:.+((SYSTEM_STATE.+slice.+state.+changed )|(ment ac)|(system.+state.+changed )|(\[timeout)|(PRM\|1\|D)|(kpr)|(kdp)|(\|lc)|(penalty))" /e /r /s</v>
      </c>
      <c r="U8" s="9" t="str">
        <f t="shared" si="2"/>
        <v>4013</v>
      </c>
      <c r="V8" s="36">
        <f t="shared" si="3"/>
        <v>42677.83152777778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arrival","project_id":79,"tracker_id":40,"status_id":1,"priority_id":2,"assigned_to_id":23,"start_date":"2016-11-03","description":"","custom_fields":[{"id":1,"name":"Subdivision","value":"EC"},{"id":4,"name":"Milepost","value":"2.735"},{"id":17,"name":"Train ID","value":"172-03"},{"id":16,"name":"Locomotive ID","value":"4013"},{"id":130,"name":"Impact","value":""},{"id":150,"name":"Time of Event (Mountain Time)","value":"13:57:24"},{"id":151,"name":"Denver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"%USERPROFILE%\AppData\Local\Temp\OnboardLogs"\RTDC4013\*4013*201611031* | grep -SE "((Enforcement Ac)|(PRM))" -</v>
      </c>
    </row>
    <row r="9" spans="1:29" s="1" customFormat="1" x14ac:dyDescent="0.25">
      <c r="A9" s="36">
        <v>42677.728414351855</v>
      </c>
      <c r="B9" s="31" t="s">
        <v>251</v>
      </c>
      <c r="C9" s="31" t="s">
        <v>435</v>
      </c>
      <c r="D9" s="31" t="s">
        <v>98</v>
      </c>
      <c r="E9" s="31" t="s">
        <v>154</v>
      </c>
      <c r="F9" s="47">
        <v>190</v>
      </c>
      <c r="G9" s="47">
        <v>244</v>
      </c>
      <c r="H9" s="47">
        <v>26979</v>
      </c>
      <c r="I9" s="47">
        <v>26330</v>
      </c>
      <c r="J9" s="31" t="s">
        <v>153</v>
      </c>
      <c r="K9" s="47">
        <v>27350</v>
      </c>
      <c r="L9" s="157" t="s">
        <v>51</v>
      </c>
      <c r="M9" s="158">
        <f t="shared" si="0"/>
        <v>-538.55999999999995</v>
      </c>
      <c r="N9" s="159" t="str">
        <f>VLOOKUP(C9,'Trips&amp;Operators'!$C$1:$E$99999,3,FALSE)</f>
        <v>MACDONALD</v>
      </c>
      <c r="O9" s="184" t="s">
        <v>215</v>
      </c>
      <c r="P9" s="160" t="s">
        <v>793</v>
      </c>
      <c r="Q9" s="31"/>
      <c r="R9" s="100" t="str">
        <f>VLOOKUP(C9,'Train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9" s="103" t="str">
        <f>VLOOKUP(C9,'Train Runs'!$A$13:$AE$10007,22,0)</f>
        <v>https://search-rtdc-monitor-bjffxe2xuh6vdkpspy63sjmuny.us-east-1.es.amazonaws.com/_plugin/kibana/#/discover/Steve-Slow-Train-Analysis-(2080s-and-2083s)?_g=(refreshInterval:(display:Off,section:0,value:0),time:(from:'2016-11-03 15:48:03-0600',mode:absolute,to:'2016-11-03 18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/stypes="*4013*201611032*" /stext=" 23:.+((SYSTEM_STATE.+slice.+state.+changed )|(ment ac)|(system.+state.+changed )|(\[timeout)|(PRM\|1\|D)|(kpr)|(kdp)|(\|lc)|(penalty))" /e /r /s</v>
      </c>
      <c r="U9" s="9" t="str">
        <f t="shared" si="2"/>
        <v>4013</v>
      </c>
      <c r="V9" s="36">
        <f t="shared" si="3"/>
        <v>42677.978414351855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arrival","project_id":79,"tracker_id":40,"status_id":1,"priority_id":2,"assigned_to_id":23,"start_date":"2016-11-03","description":"","custom_fields":[{"id":1,"name":"Subdivision","value":"EC"},{"id":4,"name":"Milepost","value":"2.735"},{"id":17,"name":"Train ID","value":"200-03"},{"id":16,"name":"Locomotive ID","value":"4013"},{"id":130,"name":"Impact","value":""},{"id":150,"name":"Time of Event (Mountain Time)","value":"17:28:55"},{"id":151,"name":"Denver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"%USERPROFILE%\AppData\Local\Temp\OnboardLogs"\RTDC4013\*4013*201611032* | grep -SE "((Enforcement Ac)|(PRM))" -</v>
      </c>
    </row>
    <row r="10" spans="1:29" s="1" customFormat="1" x14ac:dyDescent="0.25">
      <c r="A10" s="36">
        <v>42677.507696759261</v>
      </c>
      <c r="B10" s="31" t="s">
        <v>251</v>
      </c>
      <c r="C10" s="31" t="s">
        <v>420</v>
      </c>
      <c r="D10" s="31" t="s">
        <v>49</v>
      </c>
      <c r="E10" s="31" t="s">
        <v>154</v>
      </c>
      <c r="F10" s="47">
        <v>0</v>
      </c>
      <c r="G10" s="47">
        <v>286</v>
      </c>
      <c r="H10" s="47">
        <v>33617</v>
      </c>
      <c r="I10" s="47">
        <v>33175</v>
      </c>
      <c r="J10" s="31" t="s">
        <v>153</v>
      </c>
      <c r="K10" s="47">
        <v>33257</v>
      </c>
      <c r="L10" s="157" t="s">
        <v>51</v>
      </c>
      <c r="M10" s="158">
        <f t="shared" si="0"/>
        <v>-43.296000000000006</v>
      </c>
      <c r="N10" s="159" t="str">
        <f>VLOOKUP(C10,'Trips&amp;Operators'!$C$1:$E$99999,3,FALSE)</f>
        <v>PERKINS</v>
      </c>
      <c r="O10" s="184" t="s">
        <v>215</v>
      </c>
      <c r="P10" s="160" t="s">
        <v>793</v>
      </c>
      <c r="Q10" s="31"/>
      <c r="R10" s="100" t="str">
        <f>VLOOKUP(C10,'Train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10" s="103" t="str">
        <f>VLOOKUP(C10,'Train Runs'!$A$13:$AE$10007,22,0)</f>
        <v>https://search-rtdc-monitor-bjffxe2xuh6vdkpspy63sjmuny.us-east-1.es.amazonaws.com/_plugin/kibana/#/discover/Steve-Slow-Train-Analysis-(2080s-and-2083s)?_g=(refreshInterval:(display:Off,section:0,value:0),time:(from:'2016-11-03 10:32:24-0600',mode:absolute,to:'2016-11-03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0" s="105" t="str">
        <f t="shared" si="1"/>
        <v>"C:\Program Files (x86)\AstroGrep\AstroGrep.exe" /spath="%USERPROFILE%\AppData\Local\Temp\OnboardLogs" /stypes="*4013*201611031*" /stext=" 18:.+((SYSTEM_STATE.+slice.+state.+changed )|(ment ac)|(system.+state.+changed )|(\[timeout)|(PRM\|1\|D)|(kpr)|(kdp)|(\|lc)|(penalty))" /e /r /s</v>
      </c>
      <c r="U10" s="9" t="str">
        <f t="shared" si="2"/>
        <v>4013</v>
      </c>
      <c r="V10" s="36">
        <f t="shared" si="3"/>
        <v>42677.757696759261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arrival","project_id":79,"tracker_id":40,"status_id":1,"priority_id":2,"assigned_to_id":23,"start_date":"2016-11-03","description":"","custom_fields":[{"id":1,"name":"Subdivision","value":"EC"},{"id":4,"name":"Milepost","value":"3.3257"},{"id":17,"name":"Train ID","value":"158-03"},{"id":16,"name":"Locomotive ID","value":"4013"},{"id":130,"name":"Impact","value":""},{"id":150,"name":"Time of Event (Mountain Time)","value":"12:11:05"},{"id":151,"name":"Denver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"%USERPROFILE%\AppData\Local\Temp\OnboardLogs"\RTDC4013\*4013*201611031* | grep -SE "((Enforcement Ac)|(PRM))" -</v>
      </c>
    </row>
    <row r="11" spans="1:29" s="1" customFormat="1" x14ac:dyDescent="0.25">
      <c r="A11" s="36">
        <v>42677.348912037036</v>
      </c>
      <c r="B11" s="31" t="s">
        <v>279</v>
      </c>
      <c r="C11" s="31" t="s">
        <v>409</v>
      </c>
      <c r="D11" s="31" t="s">
        <v>49</v>
      </c>
      <c r="E11" s="31" t="s">
        <v>154</v>
      </c>
      <c r="F11" s="47">
        <v>0</v>
      </c>
      <c r="G11" s="47">
        <v>656</v>
      </c>
      <c r="H11" s="47">
        <v>44214</v>
      </c>
      <c r="I11" s="47">
        <v>41675</v>
      </c>
      <c r="J11" s="31" t="s">
        <v>153</v>
      </c>
      <c r="K11" s="47">
        <v>42961</v>
      </c>
      <c r="L11" s="157" t="s">
        <v>51</v>
      </c>
      <c r="M11" s="158">
        <f t="shared" si="0"/>
        <v>-679.00799999999992</v>
      </c>
      <c r="N11" s="159" t="str">
        <f>VLOOKUP(C11,'Trips&amp;Operators'!$C$1:$E$99999,3,FALSE)</f>
        <v>LOZA</v>
      </c>
      <c r="O11" s="184" t="s">
        <v>215</v>
      </c>
      <c r="P11" s="160" t="s">
        <v>793</v>
      </c>
      <c r="Q11" s="31"/>
      <c r="R11" s="100" t="str">
        <f>VLOOKUP(C11,'Train Runs'!$A$13:$AE$10007,31,0)</f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S11" s="103" t="str">
        <f>VLOOKUP(C11,'Train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06:46:49-0600',mode:absolute,to:'2016-11-03 09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 t="shared" si="1"/>
        <v>"C:\Program Files (x86)\AstroGrep\AstroGrep.exe" /spath="%USERPROFILE%\AppData\Local\Temp\OnboardLogs" /stypes="*4039*201611031*" /stext=" 14:.+((SYSTEM_STATE.+slice.+state.+changed )|(ment ac)|(system.+state.+changed )|(\[timeout)|(PRM\|1\|D)|(kpr)|(kdp)|(\|lc)|(penalty))" /e /r /s</v>
      </c>
      <c r="U11" s="9" t="str">
        <f t="shared" si="2"/>
        <v>4039</v>
      </c>
      <c r="V11" s="36">
        <f t="shared" si="3"/>
        <v>42677.598912037036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arrival","project_id":79,"tracker_id":40,"status_id":1,"priority_id":2,"assigned_to_id":23,"start_date":"2016-11-03","description":"","custom_fields":[{"id":1,"name":"Subdivision","value":"EC"},{"id":4,"name":"Milepost","value":"4.2961"},{"id":17,"name":"Train ID","value":"128-03"},{"id":16,"name":"Locomotive ID","value":"4039"},{"id":130,"name":"Impact","value":""},{"id":150,"name":"Time of Event (Mountain Time)","value":"08:22:26"},{"id":151,"name":"Denver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"%USERPROFILE%\AppData\Local\Temp\OnboardLogs"\RTDC4039\*4039*201611031* | grep -SE "((Enforcement Ac)|(PRM))" -</v>
      </c>
    </row>
    <row r="12" spans="1:29" s="1" customFormat="1" x14ac:dyDescent="0.25">
      <c r="A12" s="36">
        <v>42677.743344907409</v>
      </c>
      <c r="B12" s="31" t="s">
        <v>246</v>
      </c>
      <c r="C12" s="31" t="s">
        <v>436</v>
      </c>
      <c r="D12" s="31" t="s">
        <v>49</v>
      </c>
      <c r="E12" s="31" t="s">
        <v>154</v>
      </c>
      <c r="F12" s="47">
        <v>780</v>
      </c>
      <c r="G12" s="47">
        <v>834</v>
      </c>
      <c r="H12" s="47">
        <v>106829</v>
      </c>
      <c r="I12" s="47">
        <v>111060</v>
      </c>
      <c r="J12" s="31" t="s">
        <v>153</v>
      </c>
      <c r="K12" s="47">
        <v>108954</v>
      </c>
      <c r="L12" s="157" t="s">
        <v>50</v>
      </c>
      <c r="M12" s="158">
        <f t="shared" si="0"/>
        <v>-1111.9680000000001</v>
      </c>
      <c r="N12" s="159" t="str">
        <f>VLOOKUP(C12,'Trips&amp;Operators'!$C$1:$E$99999,3,FALSE)</f>
        <v>HILLS</v>
      </c>
      <c r="O12" s="184" t="s">
        <v>215</v>
      </c>
      <c r="P12" s="160" t="s">
        <v>793</v>
      </c>
      <c r="Q12" s="31"/>
      <c r="R12" s="100" t="str">
        <f>VLOOKUP(C12,'Train Runs'!$A$13:$AE$10007,31,0)</f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S12" s="103" t="str">
        <f>VLOOKUP(C12,'Train Runs'!$A$13:$AE$10007,22,0)</f>
        <v>https://search-rtdc-monitor-bjffxe2xuh6vdkpspy63sjmuny.us-east-1.es.amazonaws.com/_plugin/kibana/#/discover/Steve-Slow-Train-Analysis-(2080s-and-2083s)?_g=(refreshInterval:(display:Off,section:0,value:0),time:(from:'2016-11-03 16:22:00-0600',mode:absolute,to:'2016-11-03 19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2" s="105" t="str">
        <f t="shared" si="1"/>
        <v>"C:\Program Files (x86)\AstroGrep\AstroGrep.exe" /spath="%USERPROFILE%\AppData\Local\Temp\OnboardLogs" /stypes="*4040*201611032*" /stext=" 23:.+((SYSTEM_STATE.+slice.+state.+changed )|(ment ac)|(system.+state.+changed )|(\[timeout)|(PRM\|1\|D)|(kpr)|(kdp)|(\|lc)|(penalty))" /e /r /s</v>
      </c>
      <c r="U12" s="9" t="str">
        <f t="shared" si="2"/>
        <v>4040</v>
      </c>
      <c r="V12" s="36">
        <f t="shared" si="3"/>
        <v>42677.993344907409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arrival","project_id":79,"tracker_id":40,"status_id":1,"priority_id":2,"assigned_to_id":23,"start_date":"2016-11-03","description":"","custom_fields":[{"id":1,"name":"Subdivision","value":"EC"},{"id":4,"name":"Milepost","value":"10.8954"},{"id":17,"name":"Train ID","value":"211-03"},{"id":16,"name":"Locomotive ID","value":"4040"},{"id":130,"name":"Impact","value":""},{"id":150,"name":"Time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"%USERPROFILE%\AppData\Local\Temp\OnboardLogs"\RTDC4040\*4040*201611032* | grep -SE "((Enforcement Ac)|(PRM))" -</v>
      </c>
    </row>
    <row r="13" spans="1:29" s="1" customFormat="1" x14ac:dyDescent="0.25">
      <c r="A13" s="36">
        <v>42677.69935185185</v>
      </c>
      <c r="B13" s="31" t="s">
        <v>227</v>
      </c>
      <c r="C13" s="31" t="s">
        <v>433</v>
      </c>
      <c r="D13" s="31" t="s">
        <v>98</v>
      </c>
      <c r="E13" s="31" t="s">
        <v>216</v>
      </c>
      <c r="F13" s="47">
        <v>150</v>
      </c>
      <c r="G13" s="47">
        <v>200</v>
      </c>
      <c r="H13" s="47">
        <v>3854</v>
      </c>
      <c r="I13" s="47">
        <v>3608</v>
      </c>
      <c r="J13" s="31" t="s">
        <v>217</v>
      </c>
      <c r="K13" s="47">
        <v>4677</v>
      </c>
      <c r="L13" s="157" t="s">
        <v>51</v>
      </c>
      <c r="M13" s="158">
        <f t="shared" si="0"/>
        <v>-564.43200000000002</v>
      </c>
      <c r="N13" s="159" t="str">
        <f>VLOOKUP(C13,'Trips&amp;Operators'!$C$1:$E$99999,3,FALSE)</f>
        <v>LOPES</v>
      </c>
      <c r="O13" s="184" t="s">
        <v>215</v>
      </c>
      <c r="P13" s="160"/>
      <c r="Q13" s="31"/>
      <c r="R13" s="100" t="str">
        <f>VLOOKUP(C13,'Train Runs'!$A$13:$AE$10007,31,0)</f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S13" s="103" t="str">
        <f>VLOOKUP(C13,'Train Runs'!$A$13:$AE$10007,22,0)</f>
        <v>https://search-rtdc-monitor-bjffxe2xuh6vdkpspy63sjmuny.us-east-1.es.amazonaws.com/_plugin/kibana/#/discover/Steve-Slow-Train-Analysis-(2080s-and-2083s)?_g=(refreshInterval:(display:Off,section:0,value:0),time:(from:'2016-11-03 14:54:12-0600',mode:absolute,to:'2016-11-03 17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3" s="105" t="str">
        <f t="shared" si="1"/>
        <v>"C:\Program Files (x86)\AstroGrep\AstroGrep.exe" /spath="%USERPROFILE%\AppData\Local\Temp\OnboardLogs" /stypes="*4030*201611032*" /stext=" 22:.+((SYSTEM_STATE.+slice.+state.+changed )|(ment ac)|(system.+state.+changed )|(\[timeout)|(PRM\|1\|D)|(kpr)|(kdp)|(\|lc)|(penalty))" /e /r /s</v>
      </c>
      <c r="U13" s="9" t="str">
        <f t="shared" si="2"/>
        <v>4030</v>
      </c>
      <c r="V13" s="36">
        <f t="shared" si="3"/>
        <v>42677.94935185185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{"issue":{"subject":"","project_id":79,"tracker_id":40,"status_id":1,"priority_id":2,"assigned_to_id":23,"start_date":"2016-11-03","description":"","custom_fields":[{"id":1,"name":"Subdivision","value":"EC"},{"id":4,"name":"Milepost","value":"0.4677"},{"id":17,"name":"Train ID","value":"194-03"},{"id":16,"name":"Locomotive ID","value":"4030"},{"id":130,"name":"Impact","value":""},{"id":150,"name":"Time of Event (Mountain Time)","value":"16:47:04"},{"id":151,"name":"Denver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"%USERPROFILE%\AppData\Local\Temp\OnboardLogs"\RTDC4030\*4030*201611032* | grep -SE "((Enforcement Ac)|(PRM))" -</v>
      </c>
    </row>
    <row r="14" spans="1:29" s="1" customFormat="1" x14ac:dyDescent="0.25">
      <c r="A14" s="36">
        <v>42677.918124999997</v>
      </c>
      <c r="B14" s="31" t="s">
        <v>354</v>
      </c>
      <c r="C14" s="31" t="s">
        <v>445</v>
      </c>
      <c r="D14" s="31" t="s">
        <v>49</v>
      </c>
      <c r="E14" s="31" t="s">
        <v>216</v>
      </c>
      <c r="F14" s="47">
        <v>200</v>
      </c>
      <c r="G14" s="47">
        <v>267</v>
      </c>
      <c r="H14" s="47">
        <v>6220</v>
      </c>
      <c r="I14" s="47">
        <v>5642</v>
      </c>
      <c r="J14" s="31" t="s">
        <v>217</v>
      </c>
      <c r="K14" s="47">
        <v>5457</v>
      </c>
      <c r="L14" s="157" t="s">
        <v>51</v>
      </c>
      <c r="M14" s="158">
        <f t="shared" si="0"/>
        <v>97.68</v>
      </c>
      <c r="N14" s="159" t="str">
        <f>VLOOKUP(C14,'Trips&amp;Operators'!$C$1:$E$99999,3,FALSE)</f>
        <v>STAMBAUGH</v>
      </c>
      <c r="O14" s="184" t="s">
        <v>215</v>
      </c>
      <c r="P14" s="160"/>
      <c r="Q14" s="31"/>
      <c r="R14" s="100" t="str">
        <f>VLOOKUP(C14,'Train Runs'!$A$13:$AE$10007,31,0)</f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S14" s="103" t="str">
        <f>VLOOKUP(C14,'Train Runs'!$A$13:$AE$10007,22,0)</f>
        <v>https://search-rtdc-monitor-bjffxe2xuh6vdkpspy63sjmuny.us-east-1.es.amazonaws.com/_plugin/kibana/#/discover/Steve-Slow-Train-Analysis-(2080s-and-2083s)?_g=(refreshInterval:(display:Off,section:0,value:0),time:(from:'2016-11-03 20:10:41-0600',mode:absolute,to:'2016-11-03 23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/stypes="*4026*201611040*" /stext=" 04:.+((SYSTEM_STATE.+slice.+state.+changed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42678.168124999997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{"issue":{"subject":"","project_id":79,"tracker_id":40,"status_id":1,"priority_id":2,"assigned_to_id":23,"start_date":"2016-11-03","description":"","custom_fields":[{"id":1,"name":"Subdivision","value":"EC"},{"id":4,"name":"Milepost","value":"0.5457"},{"id":17,"name":"Train ID","value":"228-03"},{"id":16,"name":"Locomotive ID","value":"4026"},{"id":130,"name":"Impact","value":""},{"id":150,"name":"Time of Event (Mountain Time)","value":"22:02:06"},{"id":151,"name":"Denver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"%USERPROFILE%\AppData\Local\Temp\OnboardLogs"\RTDC4026\*4026*201611040* | grep -SE "((Enforcement Ac)|(PRM))" -</v>
      </c>
    </row>
    <row r="15" spans="1:29" s="1" customFormat="1" x14ac:dyDescent="0.25">
      <c r="A15" s="36">
        <v>42677.242650462962</v>
      </c>
      <c r="B15" s="31" t="s">
        <v>273</v>
      </c>
      <c r="C15" s="31" t="s">
        <v>403</v>
      </c>
      <c r="D15" s="31" t="s">
        <v>49</v>
      </c>
      <c r="E15" s="31" t="s">
        <v>216</v>
      </c>
      <c r="F15" s="47">
        <v>400</v>
      </c>
      <c r="G15" s="47">
        <v>503</v>
      </c>
      <c r="H15" s="47">
        <v>17060</v>
      </c>
      <c r="I15" s="47">
        <v>17967</v>
      </c>
      <c r="J15" s="31" t="s">
        <v>217</v>
      </c>
      <c r="K15" s="47">
        <v>17867</v>
      </c>
      <c r="L15" s="157" t="s">
        <v>50</v>
      </c>
      <c r="M15" s="158">
        <f t="shared" si="0"/>
        <v>-52.8</v>
      </c>
      <c r="N15" s="159" t="str">
        <f>VLOOKUP(C15,'Trips&amp;Operators'!$C$1:$E$99999,3,FALSE)</f>
        <v>RICHARDSON</v>
      </c>
      <c r="O15" s="184" t="s">
        <v>215</v>
      </c>
      <c r="P15" s="160"/>
      <c r="Q15" s="31"/>
      <c r="R15" s="100" t="str">
        <f>VLOOKUP(C15,'Train Runs'!$A$13:$AE$10007,31,0)</f>
        <v>aws s3 cp s3://rtdc.mdm.uploadarchive.raw/RTDC4003/ "%USERPROFILE%\AppData\Local\Temp\OnboardLogs"\RTDC4003\2016-11-03 --exclude "*" --recursive --include "*20161103*" &amp; "%USERPROFILE%\Documents\GitHub\mrs-test-scripts\Headless Mode &amp; Sideloading\WalkAndUnGZ.bat" "%USERPROFILE%\AppData\Local\Temp\OnboardLogs"\RTDC4003\2016-11-03 &amp; 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</v>
      </c>
      <c r="S15" s="103" t="str">
        <f>VLOOKUP(C15,'Train Runs'!$A$13:$AE$10007,22,0)</f>
        <v>https://search-rtdc-monitor-bjffxe2xuh6vdkpspy63sjmuny.us-east-1.es.amazonaws.com/_plugin/kibana/#/discover/Steve-Slow-Train-Analysis-(2080s-and-2083s)?_g=(refreshInterval:(display:Off,section:0,value:0),time:(from:'2016-11-03 04:32:41-0600',mode:absolute,to:'2016-11-03 07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5" s="105" t="str">
        <f t="shared" si="1"/>
        <v>"C:\Program Files (x86)\AstroGrep\AstroGrep.exe" /spath="%USERPROFILE%\AppData\Local\Temp\OnboardLogs" /stypes="*4003*201611031*" /stext=" 11:.+((SYSTEM_STATE.+slice.+state.+changed )|(ment ac)|(system.+state.+changed )|(\[timeout)|(PRM\|1\|D)|(kpr)|(kdp)|(\|lc)|(penalty))" /e /r /s</v>
      </c>
      <c r="U15" s="9" t="str">
        <f t="shared" si="2"/>
        <v>4003</v>
      </c>
      <c r="V15" s="36">
        <f t="shared" si="3"/>
        <v>42677.492650462962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{"issue":{"subject":"","project_id":79,"tracker_id":40,"status_id":1,"priority_id":2,"assigned_to_id":23,"start_date":"2016-11-03","description":"","custom_fields":[{"id":1,"name":"Subdivision","value":"EC"},{"id":4,"name":"Milepost","value":"1.7867"},{"id":17,"name":"Train ID","value":"117-03"},{"id":16,"name":"Locomotive ID","value":"4003"},{"id":130,"name":"Impact","value":""},{"id":150,"name":"Time of Event (Mountain Time)","value":"05:49:25"},{"id":151,"name":"Denver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"%USERPROFILE%\AppData\Local\Temp\OnboardLogs"\RTDC4003\*4003*201611031* | grep -SE "((Enforcement Ac)|(PRM))" -</v>
      </c>
    </row>
    <row r="16" spans="1:29" s="1" customFormat="1" x14ac:dyDescent="0.25">
      <c r="A16" s="36">
        <v>42677.342141203706</v>
      </c>
      <c r="B16" s="31" t="s">
        <v>280</v>
      </c>
      <c r="C16" s="31" t="s">
        <v>408</v>
      </c>
      <c r="D16" s="31" t="s">
        <v>49</v>
      </c>
      <c r="E16" s="31" t="s">
        <v>216</v>
      </c>
      <c r="F16" s="47">
        <v>300</v>
      </c>
      <c r="G16" s="47">
        <v>430</v>
      </c>
      <c r="H16" s="47">
        <v>23302</v>
      </c>
      <c r="I16" s="47">
        <v>21886</v>
      </c>
      <c r="J16" s="31" t="s">
        <v>217</v>
      </c>
      <c r="K16" s="47">
        <v>21848</v>
      </c>
      <c r="L16" s="157" t="s">
        <v>51</v>
      </c>
      <c r="M16" s="158">
        <f t="shared" si="0"/>
        <v>20.064</v>
      </c>
      <c r="N16" s="159" t="str">
        <f>VLOOKUP(C16,'Trips&amp;Operators'!$C$1:$E$99999,3,FALSE)</f>
        <v>STARKS</v>
      </c>
      <c r="O16" s="184" t="s">
        <v>215</v>
      </c>
      <c r="P16" s="160"/>
      <c r="Q16" s="31"/>
      <c r="R16" s="100" t="str">
        <f>VLOOKUP(C16,'Train Runs'!$A$13:$AE$10007,31,0)</f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S16" s="103" t="str">
        <f>VLOOKUP(C16,'Train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06:29:49-0600',mode:absolute,to:'2016-11-03 09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6" s="105" t="str">
        <f t="shared" si="1"/>
        <v>"C:\Program Files (x86)\AstroGrep\AstroGrep.exe" /spath="%USERPROFILE%\AppData\Local\Temp\OnboardLogs" /stypes="*4032*201611031*" /stext=" 14:.+((SYSTEM_STATE.+slice.+state.+changed )|(ment ac)|(system.+state.+changed )|(\[timeout)|(PRM\|1\|D)|(kpr)|(kdp)|(\|lc)|(penalty))" /e /r /s</v>
      </c>
      <c r="U16" s="9" t="str">
        <f t="shared" si="2"/>
        <v>4032</v>
      </c>
      <c r="V16" s="36">
        <f t="shared" si="3"/>
        <v>42677.592141203706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{"issue":{"subject":"","project_id":79,"tracker_id":40,"status_id":1,"priority_id":2,"assigned_to_id":23,"start_date":"2016-11-03","description":"","custom_fields":[{"id":1,"name":"Subdivision","value":"EC"},{"id":4,"name":"Milepost","value":"2.1848"},{"id":17,"name":"Train ID","value":"126-03"},{"id":16,"name":"Locomotive ID","value":"4032"},{"id":130,"name":"Impact","value":""},{"id":150,"name":"Time of Event (Mountain Time)","value":"08:12:41"},{"id":151,"name":"Denver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"%USERPROFILE%\AppData\Local\Temp\OnboardLogs"\RTDC4032\*4032*201611031* | grep -SE "((Enforcement Ac)|(PRM))" -</v>
      </c>
    </row>
    <row r="17" spans="1:30" s="1" customFormat="1" x14ac:dyDescent="0.25">
      <c r="A17" s="36">
        <v>42677.561574074076</v>
      </c>
      <c r="B17" s="31" t="s">
        <v>280</v>
      </c>
      <c r="C17" s="31" t="s">
        <v>421</v>
      </c>
      <c r="D17" s="31" t="s">
        <v>49</v>
      </c>
      <c r="E17" s="31" t="s">
        <v>216</v>
      </c>
      <c r="F17" s="47">
        <v>300</v>
      </c>
      <c r="G17" s="47">
        <v>417</v>
      </c>
      <c r="H17" s="47">
        <v>23248</v>
      </c>
      <c r="I17" s="47">
        <v>21957</v>
      </c>
      <c r="J17" s="31" t="s">
        <v>217</v>
      </c>
      <c r="K17" s="47">
        <v>21848</v>
      </c>
      <c r="L17" s="157" t="s">
        <v>51</v>
      </c>
      <c r="M17" s="158">
        <f t="shared" si="0"/>
        <v>57.552</v>
      </c>
      <c r="N17" s="159" t="str">
        <f>VLOOKUP(C17,'Trips&amp;Operators'!$C$1:$E$99999,3,FALSE)</f>
        <v>HILLS</v>
      </c>
      <c r="O17" s="184" t="s">
        <v>215</v>
      </c>
      <c r="P17" s="160"/>
      <c r="Q17" s="31"/>
      <c r="R17" s="100" t="str">
        <f>VLOOKUP(C17,'Train Runs'!$A$13:$AE$10007,31,0)</f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S17" s="103" t="str">
        <f>VLOOKUP(C17,'Train Runs'!$A$13:$AE$10007,22,0)</f>
        <v>https://search-rtdc-monitor-bjffxe2xuh6vdkpspy63sjmuny.us-east-1.es.amazonaws.com/_plugin/kibana/#/discover/Steve-Slow-Train-Analysis-(2080s-and-2083s)?_g=(refreshInterval:(display:Off,section:0,value:0),time:(from:'2016-11-03 11:41:32-0600',mode:absolute,to:'2016-11-03 14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/stypes="*4032*201611031*" /stext=" 19:.+((SYSTEM_STATE.+slice.+state.+changed )|(ment ac)|(system.+state.+changed )|(\[timeout)|(PRM\|1\|D)|(kpr)|(kdp)|(\|lc)|(penalty))" /e /r /s</v>
      </c>
      <c r="U17" s="9" t="str">
        <f t="shared" si="2"/>
        <v>4032</v>
      </c>
      <c r="V17" s="36">
        <f t="shared" si="3"/>
        <v>42677.811574074076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{"issue":{"subject":"","project_id":79,"tracker_id":40,"status_id":1,"priority_id":2,"assigned_to_id":23,"start_date":"2016-11-03","description":"","custom_fields":[{"id":1,"name":"Subdivision","value":"EC"},{"id":4,"name":"Milepost","value":"2.1848"},{"id":17,"name":"Train ID","value":"168-03"},{"id":16,"name":"Locomotive ID","value":"4032"},{"id":130,"name":"Impact","value":""},{"id":150,"name":"Time of Event (Mountain Time)","value":"13:28:40"},{"id":151,"name":"Denver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"%USERPROFILE%\AppData\Local\Temp\OnboardLogs"\RTDC4032\*4032*201611031* | grep -SE "((Enforcement Ac)|(PRM))" -</v>
      </c>
    </row>
    <row r="18" spans="1:30" s="1" customFormat="1" x14ac:dyDescent="0.25">
      <c r="A18" s="36">
        <v>42677.215983796297</v>
      </c>
      <c r="B18" s="31" t="s">
        <v>284</v>
      </c>
      <c r="C18" s="31" t="s">
        <v>402</v>
      </c>
      <c r="D18" s="31" t="s">
        <v>49</v>
      </c>
      <c r="E18" s="31" t="s">
        <v>216</v>
      </c>
      <c r="F18" s="47">
        <v>200</v>
      </c>
      <c r="G18" s="47">
        <v>267</v>
      </c>
      <c r="H18" s="47">
        <v>31347</v>
      </c>
      <c r="I18" s="47">
        <v>30806</v>
      </c>
      <c r="J18" s="31" t="s">
        <v>217</v>
      </c>
      <c r="K18" s="47">
        <v>30562</v>
      </c>
      <c r="L18" s="157" t="s">
        <v>51</v>
      </c>
      <c r="M18" s="158">
        <f t="shared" si="0"/>
        <v>128.83199999999999</v>
      </c>
      <c r="N18" s="159" t="str">
        <f>VLOOKUP(C18,'Trips&amp;Operators'!$C$1:$E$99999,3,FALSE)</f>
        <v>RICHARDSON</v>
      </c>
      <c r="O18" s="184" t="s">
        <v>215</v>
      </c>
      <c r="P18" s="160"/>
      <c r="Q18" s="31"/>
      <c r="R18" s="100" t="str">
        <f>VLOOKUP(C18,'Train Runs'!$A$13:$AE$10007,31,0)</f>
        <v>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 &amp; 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</v>
      </c>
      <c r="S18" s="103" t="str">
        <f>VLOOKUP(C18,'Train Runs'!$A$13:$AE$10007,22,0)</f>
        <v>https://search-rtdc-monitor-bjffxe2xuh6vdkpspy63sjmuny.us-east-1.es.amazonaws.com/_plugin/kibana/#/discover/Steve-Slow-Train-Analysis-(2080s-and-2083s)?_g=(refreshInterval:(display:Off,section:0,value:0),time:(from:'2016-11-03 03:34:56-0600',mode:absolute,to:'2016-11-03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8" s="105" t="str">
        <f t="shared" si="1"/>
        <v>"C:\Program Files (x86)\AstroGrep\AstroGrep.exe" /spath="%USERPROFILE%\AppData\Local\Temp\OnboardLogs" /stypes="*4004*201611031*" /stext=" 11:.+((SYSTEM_STATE.+slice.+state.+changed )|(ment ac)|(system.+state.+changed )|(\[timeout)|(PRM\|1\|D)|(kpr)|(kdp)|(\|lc)|(penalty))" /e /r /s</v>
      </c>
      <c r="U18" s="9" t="str">
        <f t="shared" si="2"/>
        <v>4004</v>
      </c>
      <c r="V18" s="36">
        <f t="shared" si="3"/>
        <v>42677.465983796297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{"issue":{"subject":"","project_id":79,"tracker_id":40,"status_id":1,"priority_id":2,"assigned_to_id":23,"start_date":"2016-11-03","description":"","custom_fields":[{"id":1,"name":"Subdivision","value":"EC"},{"id":4,"name":"Milepost","value":"3.0562"},{"id":17,"name":"Train ID","value":"104-03"},{"id":16,"name":"Locomotive ID","value":"4004"},{"id":130,"name":"Impact","value":""},{"id":150,"name":"Time of Event (Mountain Time)","value":"05:11:01"},{"id":151,"name":"Denver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"%USERPROFILE%\AppData\Local\Temp\OnboardLogs"\RTDC4004\*4004*201611031* | grep -SE "((Enforcement Ac)|(PRM))" -</v>
      </c>
    </row>
    <row r="19" spans="1:30" s="1" customFormat="1" x14ac:dyDescent="0.25">
      <c r="A19" s="36">
        <v>42677.352430555555</v>
      </c>
      <c r="B19" s="31" t="s">
        <v>251</v>
      </c>
      <c r="C19" s="31" t="s">
        <v>410</v>
      </c>
      <c r="D19" s="31" t="s">
        <v>49</v>
      </c>
      <c r="E19" s="31" t="s">
        <v>216</v>
      </c>
      <c r="F19" s="47">
        <v>400</v>
      </c>
      <c r="G19" s="47">
        <v>473</v>
      </c>
      <c r="H19" s="47">
        <v>120924</v>
      </c>
      <c r="I19" s="47">
        <v>119609</v>
      </c>
      <c r="J19" s="31" t="s">
        <v>217</v>
      </c>
      <c r="K19" s="47">
        <v>119716</v>
      </c>
      <c r="L19" s="157" t="s">
        <v>51</v>
      </c>
      <c r="M19" s="158">
        <f t="shared" si="0"/>
        <v>-56.496000000000002</v>
      </c>
      <c r="N19" s="159" t="str">
        <f>VLOOKUP(C19,'Trips&amp;Operators'!$C$1:$E$99999,3,FALSE)</f>
        <v>PERKINS</v>
      </c>
      <c r="O19" s="184" t="s">
        <v>215</v>
      </c>
      <c r="P19" s="160"/>
      <c r="Q19" s="31"/>
      <c r="R19" s="100" t="str">
        <f>VLOOKUP(C19,'Train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19" s="103" t="str">
        <f>VLOOKUP(C19,'Train Runs'!$A$13:$AE$10007,22,0)</f>
        <v>https://search-rtdc-monitor-bjffxe2xuh6vdkpspy63sjmuny.us-east-1.es.amazonaws.com/_plugin/kibana/#/discover/Steve-Slow-Train-Analysis-(2080s-and-2083s)?_g=(refreshInterval:(display:Off,section:0,value:0),time:(from:'2016-11-03 07:04:04-0600',mode:absolute,to:'2016-11-03 09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/stypes="*4013*201611031*" /stext=" 14:.+((SYSTEM_STATE.+slice.+state.+changed )|(ment ac)|(system.+state.+changed )|(\[timeout)|(PRM\|1\|D)|(kpr)|(kdp)|(\|lc)|(penalty))" /e /r /s</v>
      </c>
      <c r="U19" s="9" t="str">
        <f t="shared" si="2"/>
        <v>4013</v>
      </c>
      <c r="V19" s="36">
        <f t="shared" si="3"/>
        <v>42677.602430555555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{"issue":{"subject":"","project_id":79,"tracker_id":40,"status_id":1,"priority_id":2,"assigned_to_id":23,"start_date":"2016-11-03","description":"","custom_fields":[{"id":1,"name":"Subdivision","value":"EC"},{"id":4,"name":"Milepost","value":"11.9716"},{"id":17,"name":"Train ID","value":"130-03"},{"id":16,"name":"Locomotive ID","value":"4013"},{"id":130,"name":"Impact","value":""},{"id":150,"name":"Time of Event (Mountain Time)","value":"08:27:30"},{"id":151,"name":"Denver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"%USERPROFILE%\AppData\Local\Temp\OnboardLogs"\RTDC4013\*4013*201611031* | grep -SE "((Enforcement Ac)|(PRM))" -</v>
      </c>
    </row>
    <row r="20" spans="1:30" x14ac:dyDescent="0.25">
      <c r="A20" s="36">
        <v>42677.435729166667</v>
      </c>
      <c r="B20" s="31" t="s">
        <v>298</v>
      </c>
      <c r="C20" s="31" t="s">
        <v>414</v>
      </c>
      <c r="D20" s="31" t="s">
        <v>49</v>
      </c>
      <c r="E20" s="31" t="s">
        <v>216</v>
      </c>
      <c r="F20" s="47">
        <v>400</v>
      </c>
      <c r="G20" s="47">
        <v>464</v>
      </c>
      <c r="H20" s="47">
        <v>120780</v>
      </c>
      <c r="I20" s="47">
        <v>119244</v>
      </c>
      <c r="J20" s="31" t="s">
        <v>217</v>
      </c>
      <c r="K20" s="47">
        <v>119716</v>
      </c>
      <c r="L20" s="157" t="s">
        <v>51</v>
      </c>
      <c r="M20" s="158">
        <f t="shared" si="0"/>
        <v>-249.21600000000001</v>
      </c>
      <c r="N20" s="159" t="str">
        <f>VLOOKUP(C20,'Trips&amp;Operators'!$C$1:$E$99999,3,FALSE)</f>
        <v>RICHARDSON</v>
      </c>
      <c r="O20" s="184" t="s">
        <v>215</v>
      </c>
      <c r="P20" s="160"/>
      <c r="Q20" s="31"/>
      <c r="R20" s="100" t="str">
        <f>VLOOKUP(C20,'Train Runs'!$A$13:$AE$10007,31,0)</f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S20" s="103" t="str">
        <f>VLOOKUP(C20,'Train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09:00:38-0600',mode:absolute,to:'2016-11-03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0" s="105" t="str">
        <f t="shared" si="1"/>
        <v>"C:\Program Files (x86)\AstroGrep\AstroGrep.exe" /spath="%USERPROFILE%\AppData\Local\Temp\OnboardLogs" /stypes="*4041*201611031*" /stext=" 16:.+((SYSTEM_STATE.+slice.+state.+changed )|(ment ac)|(system.+state.+changed )|(\[timeout)|(PRM\|1\|D)|(kpr)|(kdp)|(\|lc)|(penalty))" /e /r /s</v>
      </c>
      <c r="U20" s="9" t="str">
        <f t="shared" si="2"/>
        <v>4041</v>
      </c>
      <c r="V20" s="36">
        <f t="shared" si="3"/>
        <v>42677.685729166667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{"issue":{"subject":"","project_id":79,"tracker_id":40,"status_id":1,"priority_id":2,"assigned_to_id":23,"start_date":"2016-11-03","description":"","custom_fields":[{"id":1,"name":"Subdivision","value":"EC"},{"id":4,"name":"Milepost","value":"11.9716"},{"id":17,"name":"Train ID","value":"146-03"},{"id":16,"name":"Locomotive ID","value":"4041"},{"id":130,"name":"Impact","value":""},{"id":150,"name":"Time of Event (Mountain Time)","value":"10:27:27"},{"id":151,"name":"Denver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"%USERPROFILE%\AppData\Local\Temp\OnboardLogs"\RTDC4041\*4041*201611031* | grep -SE "((Enforcement Ac)|(PRM))" -</v>
      </c>
      <c r="AD20" s="1"/>
    </row>
    <row r="21" spans="1:30" s="1" customFormat="1" x14ac:dyDescent="0.25">
      <c r="A21" s="36">
        <v>42677.355949074074</v>
      </c>
      <c r="B21" s="31" t="s">
        <v>346</v>
      </c>
      <c r="C21" s="31" t="s">
        <v>411</v>
      </c>
      <c r="D21" s="31" t="s">
        <v>98</v>
      </c>
      <c r="E21" s="31" t="s">
        <v>216</v>
      </c>
      <c r="F21" s="47">
        <v>600</v>
      </c>
      <c r="G21" s="47">
        <v>650</v>
      </c>
      <c r="H21" s="47">
        <v>189284</v>
      </c>
      <c r="I21" s="47">
        <v>191713</v>
      </c>
      <c r="J21" s="31" t="s">
        <v>217</v>
      </c>
      <c r="K21" s="47">
        <v>183829</v>
      </c>
      <c r="L21" s="157" t="s">
        <v>50</v>
      </c>
      <c r="M21" s="158">
        <f t="shared" si="0"/>
        <v>-4162.7520000000004</v>
      </c>
      <c r="N21" s="159" t="str">
        <f>VLOOKUP(C21,'Trips&amp;Operators'!$C$1:$E$99999,3,FALSE)</f>
        <v>WHITED</v>
      </c>
      <c r="O21" s="184" t="s">
        <v>215</v>
      </c>
      <c r="P21" s="160"/>
      <c r="Q21" s="31"/>
      <c r="R21" s="100" t="str">
        <f>VLOOKUP(C21,'Train Runs'!$A$13:$AE$10007,31,0)</f>
        <v>aws s3 cp s3://rtdc.mdm.uploadarchive.raw/RTDC4025/ "%USERPROFILE%\AppData\Local\Temp\OnboardLogs"\RTDC4025\2016-11-03 --exclude "*" --recursive --include "*20161103*" &amp; "%USERPROFILE%\Documents\GitHub\mrs-test-scripts\Headless Mode &amp; Sideloading\WalkAndUnGZ.bat" "%USERPROFILE%\AppData\Local\Temp\OnboardLogs"\RTDC4025\2016-11-03 &amp; aws s3 cp s3://rtdc.mdm.uploadarchive.raw/RTDC4025/ "%USERPROFILE%\AppData\Local\Temp\OnboardLogs"\RTDC4025\2016-11-04 --exclude "*" --recursive --include "*20161104*" &amp; "%USERPROFILE%\Documents\GitHub\mrs-test-scripts\Headless Mode &amp; Sideloading\WalkAndUnGZ.bat" "%USERPROFILE%\AppData\Local\Temp\OnboardLogs"\RTDC4025\2016-11-04</v>
      </c>
      <c r="S21" s="103" t="str">
        <f>VLOOKUP(C21,'Train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06:53:40-0600',mode:absolute,to:'2016-11-03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5" t="str">
        <f t="shared" si="1"/>
        <v>"C:\Program Files (x86)\AstroGrep\AstroGrep.exe" /spath="%USERPROFILE%\AppData\Local\Temp\OnboardLogs" /stypes="*4025*201611031*" /stext=" 14:.+((SYSTEM_STATE.+slice.+state.+changed )|(ment ac)|(system.+state.+changed )|(\[timeout)|(PRM\|1\|D)|(kpr)|(kdp)|(\|lc)|(penalty))" /e /r /s</v>
      </c>
      <c r="U21" s="9" t="str">
        <f t="shared" si="2"/>
        <v>4025</v>
      </c>
      <c r="V21" s="36">
        <f t="shared" si="3"/>
        <v>42677.605949074074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{"issue":{"subject":"","project_id":79,"tracker_id":40,"status_id":1,"priority_id":2,"assigned_to_id":23,"start_date":"2016-11-03","description":"","custom_fields":[{"id":1,"name":"Subdivision","value":"EC"},{"id":4,"name":"Milepost","value":"18.3829"},{"id":17,"name":"Train ID","value":"135-03"},{"id":16,"name":"Locomotive ID","value":"4025"},{"id":130,"name":"Impact","value":""},{"id":150,"name":"Time of Event (Mountain Time)","value":"08:32:34"},{"id":151,"name":"Denver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"%USERPROFILE%\AppData\Local\Temp\OnboardLogs"\RTDC4025\*4025*201611031* | grep -SE "((Enforcement Ac)|(PRM))" -</v>
      </c>
    </row>
    <row r="22" spans="1:30" x14ac:dyDescent="0.25">
      <c r="A22" s="36">
        <v>42677.981180555558</v>
      </c>
      <c r="B22" s="31" t="s">
        <v>354</v>
      </c>
      <c r="C22" s="31" t="s">
        <v>448</v>
      </c>
      <c r="D22" s="31" t="s">
        <v>49</v>
      </c>
      <c r="E22" s="31" t="s">
        <v>216</v>
      </c>
      <c r="F22" s="47">
        <v>750</v>
      </c>
      <c r="G22" s="47">
        <v>800</v>
      </c>
      <c r="H22" s="47">
        <v>201904</v>
      </c>
      <c r="I22" s="47">
        <v>197738</v>
      </c>
      <c r="J22" s="31" t="s">
        <v>217</v>
      </c>
      <c r="K22" s="47">
        <v>200464</v>
      </c>
      <c r="L22" s="157" t="s">
        <v>51</v>
      </c>
      <c r="M22" s="158">
        <f t="shared" si="0"/>
        <v>-1439.328</v>
      </c>
      <c r="N22" s="159" t="str">
        <f>VLOOKUP(C22,'Trips&amp;Operators'!$C$1:$E$99999,3,FALSE)</f>
        <v>STAMBAUGH</v>
      </c>
      <c r="O22" s="184" t="s">
        <v>215</v>
      </c>
      <c r="P22" s="160"/>
      <c r="Q22" s="31"/>
      <c r="R22" s="100" t="str">
        <f>VLOOKUP(C22,'Train Runs'!$A$13:$AE$10007,31,0)</f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S22" s="103" t="str">
        <f>VLOOKUP(C22,'Train Runs'!$A$13:$AE$10007,22,0)</f>
        <v>https://search-rtdc-monitor-bjffxe2xuh6vdkpspy63sjmuny.us-east-1.es.amazonaws.com/_plugin/kibana/#/discover/Steve-Slow-Train-Analysis-(2080s-and-2083s)?_g=(refreshInterval:(display:Off,section:0,value:0),time:(from:'2016-11-03 22:10:44-0600',mode:absolute,to:'2016-11-04 01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2" s="105" t="str">
        <f t="shared" si="1"/>
        <v>"C:\Program Files (x86)\AstroGrep\AstroGrep.exe" /spath="%USERPROFILE%\AppData\Local\Temp\OnboardLogs" /stypes="*4026*201611040*" /stext=" 05:.+((SYSTEM_STATE.+slice.+state.+changed )|(ment ac)|(system.+state.+changed )|(\[timeout)|(PRM\|1\|D)|(kpr)|(kdp)|(\|lc)|(penalty))" /e /r /s</v>
      </c>
      <c r="U22" s="9" t="str">
        <f t="shared" si="2"/>
        <v>4026</v>
      </c>
      <c r="V22" s="36">
        <f t="shared" si="3"/>
        <v>42678.231180555558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{"issue":{"subject":"","project_id":79,"tracker_id":40,"status_id":1,"priority_id":2,"assigned_to_id":23,"start_date":"2016-11-03","description":"","custom_fields":[{"id":1,"name":"Subdivision","value":"EC"},{"id":4,"name":"Milepost","value":"20.0464"},{"id":17,"name":"Train ID","value":"236-03"},{"id":16,"name":"Locomotive ID","value":"4026"},{"id":130,"name":"Impact","value":""},{"id":150,"name":"Time of Event (Mountain Time)","value":"23:32:54"},{"id":151,"name":"Denver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"%USERPROFILE%\AppData\Local\Temp\OnboardLogs"\RTDC4026\*4026*201611040* | grep -SE "((Enforcement Ac)|(PRM))" -</v>
      </c>
      <c r="AD22" s="1"/>
    </row>
    <row r="23" spans="1:30" x14ac:dyDescent="0.25">
      <c r="A23" s="36">
        <v>42677.377013888887</v>
      </c>
      <c r="B23" s="31" t="s">
        <v>344</v>
      </c>
      <c r="C23" s="31" t="s">
        <v>412</v>
      </c>
      <c r="D23" s="31" t="s">
        <v>49</v>
      </c>
      <c r="E23" s="31" t="s">
        <v>216</v>
      </c>
      <c r="F23" s="47">
        <v>350</v>
      </c>
      <c r="G23" s="47">
        <v>532</v>
      </c>
      <c r="H23" s="47">
        <v>222827</v>
      </c>
      <c r="I23" s="47">
        <v>224264</v>
      </c>
      <c r="J23" s="31" t="s">
        <v>217</v>
      </c>
      <c r="K23" s="47">
        <v>224578</v>
      </c>
      <c r="L23" s="157" t="s">
        <v>50</v>
      </c>
      <c r="M23" s="158">
        <f t="shared" si="0"/>
        <v>165.79199999999997</v>
      </c>
      <c r="N23" s="159" t="str">
        <f>VLOOKUP(C23,'Trips&amp;Operators'!$C$1:$E$99999,3,FALSE)</f>
        <v>STARKS</v>
      </c>
      <c r="O23" s="184" t="s">
        <v>215</v>
      </c>
      <c r="P23" s="160"/>
      <c r="Q23" s="31"/>
      <c r="R23" s="100" t="str">
        <f>VLOOKUP(C23,'Train Runs'!$A$13:$AE$10007,31,0)</f>
        <v>aws s3 cp s3://rtdc.mdm.uploadarchive.raw/RTDC4031/ "%USERPROFILE%\AppData\Local\Temp\OnboardLogs"\RTDC4031\2016-11-03 --exclude "*" --recursive --include "*20161103*" &amp; "%USERPROFILE%\Documents\GitHub\mrs-test-scripts\Headless Mode &amp; Sideloading\WalkAndUnGZ.bat" "%USERPROFILE%\AppData\Local\Temp\OnboardLogs"\RTDC4031\2016-11-03 &amp; aws s3 cp s3://rtdc.mdm.uploadarchive.raw/RTDC4031/ "%USERPROFILE%\AppData\Local\Temp\OnboardLogs"\RTDC4031\2016-11-04 --exclude "*" --recursive --include "*20161104*" &amp; "%USERPROFILE%\Documents\GitHub\mrs-test-scripts\Headless Mode &amp; Sideloading\WalkAndUnGZ.bat" "%USERPROFILE%\AppData\Local\Temp\OnboardLogs"\RTDC4031\2016-11-04</v>
      </c>
      <c r="S23" s="103" t="str">
        <f>VLOOKUP(C23,'Train Runs'!$A$13:$AE$10007,22,0)</f>
        <v>https://search-rtdc-monitor-bjffxe2xuh6vdkpspy63sjmuny.us-east-1.es.amazonaws.com/_plugin/kibana/#/discover/Steve-Slow-Train-Analysis-(2080s-and-2083s)?_g=(refreshInterval:(display:Off,section:0,value:0),time:(from:'2016-11-03 07:22:44-0600',mode:absolute,to:'2016-11-03 10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3" s="105" t="str">
        <f t="shared" si="1"/>
        <v>"C:\Program Files (x86)\AstroGrep\AstroGrep.exe" /spath="%USERPROFILE%\AppData\Local\Temp\OnboardLogs" /stypes="*4031*201611031*" /stext=" 15:.+((SYSTEM_STATE.+slice.+state.+changed )|(ment ac)|(system.+state.+changed )|(\[timeout)|(PRM\|1\|D)|(kpr)|(kdp)|(\|lc)|(penalty))" /e /r /s</v>
      </c>
      <c r="U23" s="9" t="str">
        <f t="shared" si="2"/>
        <v>4031</v>
      </c>
      <c r="V23" s="36">
        <f t="shared" si="3"/>
        <v>42677.627013888887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{"issue":{"subject":"","project_id":79,"tracker_id":40,"status_id":1,"priority_id":2,"assigned_to_id":23,"start_date":"2016-11-03","description":"","custom_fields":[{"id":1,"name":"Subdivision","value":"EC"},{"id":4,"name":"Milepost","value":"22.4578"},{"id":17,"name":"Train ID","value":"139-03"},{"id":16,"name":"Locomotive ID","value":"4031"},{"id":130,"name":"Impact","value":""},{"id":150,"name":"Time of Event (Mountain Time)","value":"09:02:54"},{"id":151,"name":"Denver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"%USERPROFILE%\AppData\Local\Temp\OnboardLogs"\RTDC4031\*4031*201611031* | grep -SE "((Enforcement Ac)|(PRM))" -</v>
      </c>
      <c r="AD23" s="1"/>
    </row>
    <row r="24" spans="1:30" x14ac:dyDescent="0.25">
      <c r="A24" s="36">
        <v>42677.312974537039</v>
      </c>
      <c r="B24" s="31" t="s">
        <v>227</v>
      </c>
      <c r="C24" s="31" t="s">
        <v>406</v>
      </c>
      <c r="D24" s="31" t="s">
        <v>98</v>
      </c>
      <c r="E24" s="31" t="s">
        <v>216</v>
      </c>
      <c r="F24" s="47">
        <v>350</v>
      </c>
      <c r="G24" s="47">
        <v>401</v>
      </c>
      <c r="H24" s="47">
        <v>225219</v>
      </c>
      <c r="I24" s="47">
        <v>223708</v>
      </c>
      <c r="J24" s="31" t="s">
        <v>217</v>
      </c>
      <c r="K24" s="47">
        <v>228668</v>
      </c>
      <c r="L24" s="157" t="s">
        <v>51</v>
      </c>
      <c r="M24" s="158">
        <f t="shared" si="0"/>
        <v>-2618.88</v>
      </c>
      <c r="N24" s="159" t="str">
        <f>VLOOKUP(C24,'Trips&amp;Operators'!$C$1:$E$99999,3,FALSE)</f>
        <v>NELSON</v>
      </c>
      <c r="O24" s="184" t="s">
        <v>215</v>
      </c>
      <c r="P24" s="160"/>
      <c r="Q24" s="31"/>
      <c r="R24" s="100" t="str">
        <f>VLOOKUP(C24,'Train Runs'!$A$13:$AE$10007,31,0)</f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S24" s="103" t="str">
        <f>VLOOKUP(C24,'Train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06:16:56-0600',mode:absolute,to:'2016-11-03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4" s="105" t="str">
        <f t="shared" si="1"/>
        <v>"C:\Program Files (x86)\AstroGrep\AstroGrep.exe" /spath="%USERPROFILE%\AppData\Local\Temp\OnboardLogs" /stypes="*4030*201611031*" /stext=" 13:.+((SYSTEM_STATE.+slice.+state.+changed )|(ment ac)|(system.+state.+changed )|(\[timeout)|(PRM\|1\|D)|(kpr)|(kdp)|(\|lc)|(penalty))" /e /r /s</v>
      </c>
      <c r="U24" s="9" t="str">
        <f t="shared" si="2"/>
        <v>4030</v>
      </c>
      <c r="V24" s="36">
        <f t="shared" si="3"/>
        <v>42677.562974537039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{"issue":{"subject":"","project_id":79,"tracker_id":40,"status_id":1,"priority_id":2,"assigned_to_id":23,"start_date":"2016-11-03","description":"","custom_fields":[{"id":1,"name":"Subdivision","value":"EC"},{"id":4,"name":"Milepost","value":"22.8668"},{"id":17,"name":"Train ID","value":"124-03"},{"id":16,"name":"Locomotive ID","value":"4030"},{"id":130,"name":"Impact","value":""},{"id":150,"name":"Time of Event (Mountain Time)","value":"07:30:41"},{"id":151,"name":"Denver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"%USERPROFILE%\AppData\Local\Temp\OnboardLogs"\RTDC4030\*4030*201611031* | grep -SE "((Enforcement Ac)|(PRM))" -</v>
      </c>
      <c r="AD24" s="1"/>
    </row>
    <row r="25" spans="1:30" ht="15" customHeight="1" x14ac:dyDescent="0.25">
      <c r="A25" s="36">
        <v>42677.617627314816</v>
      </c>
      <c r="B25" s="31" t="s">
        <v>252</v>
      </c>
      <c r="C25" s="31" t="s">
        <v>427</v>
      </c>
      <c r="D25" s="31" t="s">
        <v>49</v>
      </c>
      <c r="E25" s="31" t="s">
        <v>216</v>
      </c>
      <c r="F25" s="47">
        <v>150</v>
      </c>
      <c r="G25" s="47">
        <v>213</v>
      </c>
      <c r="H25" s="47">
        <v>229660</v>
      </c>
      <c r="I25" s="47">
        <v>229991</v>
      </c>
      <c r="J25" s="31" t="s">
        <v>217</v>
      </c>
      <c r="K25" s="47">
        <v>230436</v>
      </c>
      <c r="L25" s="157" t="s">
        <v>50</v>
      </c>
      <c r="M25" s="158">
        <f t="shared" si="0"/>
        <v>234.96</v>
      </c>
      <c r="N25" s="159" t="str">
        <f>VLOOKUP(C25,'Trips&amp;Operators'!$C$1:$E$99999,3,FALSE)</f>
        <v>MACDONALD</v>
      </c>
      <c r="O25" s="184" t="s">
        <v>215</v>
      </c>
      <c r="P25" s="160"/>
      <c r="Q25" s="31"/>
      <c r="R25" s="100" t="str">
        <f>VLOOKUP(C25,'Train Runs'!$A$13:$AE$10007,31,0)</f>
        <v>aws s3 cp s3://rtdc.mdm.uploadarchive.raw/RTDC4014/ "%USERPROFILE%\AppData\Local\Temp\OnboardLogs"\RTDC4014\2016-11-03 --exclude "*" --recursive --include "*20161103*" &amp; "%USERPROFILE%\Documents\GitHub\mrs-test-scripts\Headless Mode &amp; Sideloading\WalkAndUnGZ.bat" "%USERPROFILE%\AppData\Local\Temp\OnboardLogs"\RTDC4014\2016-11-03 &amp; aws s3 cp s3://rtdc.mdm.uploadarchive.raw/RTDC4014/ "%USERPROFILE%\AppData\Local\Temp\OnboardLogs"\RTDC4014\2016-11-04 --exclude "*" --recursive --include "*20161104*" &amp; "%USERPROFILE%\Documents\GitHub\mrs-test-scripts\Headless Mode &amp; Sideloading\WalkAndUnGZ.bat" "%USERPROFILE%\AppData\Local\Temp\OnboardLogs"\RTDC4014\2016-11-04</v>
      </c>
      <c r="S25" s="103" t="str">
        <f>VLOOKUP(C25,'Train Runs'!$A$13:$AE$10007,22,0)</f>
        <v>https://search-rtdc-monitor-bjffxe2xuh6vdkpspy63sjmuny.us-east-1.es.amazonaws.com/_plugin/kibana/#/discover/Steve-Slow-Train-Analysis-(2080s-and-2083s)?_g=(refreshInterval:(display:Off,section:0,value:0),time:(from:'2016-11-03 13:07:10-0600',mode:absolute,to:'2016-11-03 15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5" s="105" t="str">
        <f t="shared" si="1"/>
        <v>"C:\Program Files (x86)\AstroGrep\AstroGrep.exe" /spath="%USERPROFILE%\AppData\Local\Temp\OnboardLogs" /stypes="*4014*201611032*" /stext=" 20:.+((SYSTEM_STATE.+slice.+state.+changed )|(ment ac)|(system.+state.+changed )|(\[timeout)|(PRM\|1\|D)|(kpr)|(kdp)|(\|lc)|(penalty))" /e /r /s</v>
      </c>
      <c r="U25" s="9" t="str">
        <f t="shared" si="2"/>
        <v>4014</v>
      </c>
      <c r="V25" s="36">
        <f t="shared" si="3"/>
        <v>42677.867627314816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{"issue":{"subject":"","project_id":79,"tracker_id":40,"status_id":1,"priority_id":2,"assigned_to_id":23,"start_date":"2016-11-03","description":"","custom_fields":[{"id":1,"name":"Subdivision","value":"EC"},{"id":4,"name":"Milepost","value":"23.0436"},{"id":17,"name":"Train ID","value":"185-03"},{"id":16,"name":"Locomotive ID","value":"4014"},{"id":130,"name":"Impact","value":""},{"id":150,"name":"Time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"%USERPROFILE%\AppData\Local\Temp\OnboardLogs"\RTDC4014\*4014*201611032* | grep -SE "((Enforcement Ac)|(PRM))" -</v>
      </c>
      <c r="AD25" s="1"/>
    </row>
    <row r="26" spans="1:30" x14ac:dyDescent="0.25">
      <c r="A26" s="36">
        <v>42678.017997685187</v>
      </c>
      <c r="B26" s="31" t="s">
        <v>449</v>
      </c>
      <c r="C26" s="31" t="s">
        <v>450</v>
      </c>
      <c r="D26" s="31" t="s">
        <v>49</v>
      </c>
      <c r="E26" s="31" t="s">
        <v>218</v>
      </c>
      <c r="F26" s="47">
        <v>0</v>
      </c>
      <c r="G26" s="47">
        <v>413</v>
      </c>
      <c r="H26" s="47">
        <v>152702</v>
      </c>
      <c r="I26" s="47">
        <v>153881</v>
      </c>
      <c r="J26" s="31" t="s">
        <v>219</v>
      </c>
      <c r="K26" s="47">
        <v>155600</v>
      </c>
      <c r="L26" s="157" t="s">
        <v>50</v>
      </c>
      <c r="M26" s="158">
        <f t="shared" si="0"/>
        <v>907.63199999999995</v>
      </c>
      <c r="N26" s="159" t="str">
        <f>VLOOKUP(C26,'Trips&amp;Operators'!$C$1:$E$99999,3,FALSE)</f>
        <v>LEVIN</v>
      </c>
      <c r="O26" s="184" t="s">
        <v>215</v>
      </c>
      <c r="P26" s="160" t="s">
        <v>792</v>
      </c>
      <c r="Q26" s="31"/>
      <c r="R26" s="100" t="str">
        <f>VLOOKUP(C26,'Train Runs'!$A$13:$AE$10007,31,0)</f>
        <v>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 &amp; 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</v>
      </c>
      <c r="S26" s="103" t="str">
        <f>VLOOKUP(C26,'Train Runs'!$A$13:$AE$10007,22,0)</f>
        <v>https://search-rtdc-monitor-bjffxe2xuh6vdkpspy63sjmuny.us-east-1.es.amazonaws.com/_plugin/kibana/#/discover/Steve-Slow-Train-Analysis-(2080s-and-2083s)?_g=(refreshInterval:(display:Off,section:0,value:0),time:(from:'2016-11-03 22:54:34-0600',mode:absolute,to:'2016-11-04 01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6" s="105" t="str">
        <f t="shared" si="1"/>
        <v>"C:\Program Files (x86)\AstroGrep\AstroGrep.exe" /spath="%USERPROFILE%\AppData\Local\Temp\OnboardLogs" /stypes="*4016*201611040*" /stext=" 06:.+((SYSTEM_STATE.+slice.+state.+changed )|(ment ac)|(system.+state.+changed )|(\[timeout)|(PRM\|1\|D)|(kpr)|(kdp)|(\|lc)|(penalty))" /e /r /s</v>
      </c>
      <c r="U26" s="9" t="str">
        <f t="shared" si="2"/>
        <v>4016</v>
      </c>
      <c r="V26" s="36">
        <f t="shared" si="3"/>
        <v>42678.267997685187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{"issue":{"subject":"61st 2N STOP, cleared afterward","project_id":79,"tracker_id":40,"status_id":1,"priority_id":2,"assigned_to_id":23,"start_date":"2016-11-04","description":"","custom_fields":[{"id":1,"name":"Subdivision","value":"EC"},{"id":4,"name":"Milepost","value":"15.56"},{"id":17,"name":"Train ID","value":"241-03"},{"id":16,"name":"Locomotive ID","value":"4016"},{"id":130,"name":"Impact","value":""},{"id":150,"name":"Time of Event (Mountain Time)","value":"00:25:55"},{"id":151,"name":"Denver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"%USERPROFILE%\AppData\Local\Temp\OnboardLogs"\RTDC4016\*4016*201611040* | grep -SE "((Enforcement Ac)|(PRM))" -</v>
      </c>
      <c r="AD26" s="1"/>
    </row>
    <row r="27" spans="1:30" x14ac:dyDescent="0.25">
      <c r="A27" s="36">
        <v>42677.490729166668</v>
      </c>
      <c r="B27" s="31" t="s">
        <v>251</v>
      </c>
      <c r="C27" s="31" t="s">
        <v>420</v>
      </c>
      <c r="D27" s="31" t="s">
        <v>49</v>
      </c>
      <c r="E27" s="31" t="s">
        <v>218</v>
      </c>
      <c r="F27" s="47">
        <v>0</v>
      </c>
      <c r="G27" s="47">
        <v>372</v>
      </c>
      <c r="H27" s="47">
        <v>193887</v>
      </c>
      <c r="I27" s="47">
        <v>192863</v>
      </c>
      <c r="J27" s="31" t="s">
        <v>219</v>
      </c>
      <c r="K27" s="47">
        <v>191723</v>
      </c>
      <c r="L27" s="157" t="s">
        <v>51</v>
      </c>
      <c r="M27" s="158">
        <f t="shared" si="0"/>
        <v>601.91999999999996</v>
      </c>
      <c r="N27" s="159" t="str">
        <f>VLOOKUP(C27,'Trips&amp;Operators'!$C$1:$E$99999,3,FALSE)</f>
        <v>PERKINS</v>
      </c>
      <c r="O27" s="184" t="s">
        <v>215</v>
      </c>
      <c r="P27" s="160" t="s">
        <v>342</v>
      </c>
      <c r="Q27" s="31"/>
      <c r="R27" s="100" t="str">
        <f>VLOOKUP(C27,'Train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27" s="103" t="str">
        <f>VLOOKUP(C27,'Train Runs'!$A$13:$AE$10007,22,0)</f>
        <v>https://search-rtdc-monitor-bjffxe2xuh6vdkpspy63sjmuny.us-east-1.es.amazonaws.com/_plugin/kibana/#/discover/Steve-Slow-Train-Analysis-(2080s-and-2083s)?_g=(refreshInterval:(display:Off,section:0,value:0),time:(from:'2016-11-03 10:32:24-0600',mode:absolute,to:'2016-11-03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5" t="str">
        <f t="shared" si="1"/>
        <v>"C:\Program Files (x86)\AstroGrep\AstroGrep.exe" /spath="%USERPROFILE%\AppData\Local\Temp\OnboardLogs" /stypes="*4013*201611031*" /stext=" 17:.+((SYSTEM_STATE.+slice.+state.+changed )|(ment ac)|(system.+state.+changed )|(\[timeout)|(PRM\|1\|D)|(kpr)|(kdp)|(\|lc)|(penalty))" /e /r /s</v>
      </c>
      <c r="U27" s="9" t="str">
        <f t="shared" si="2"/>
        <v>4013</v>
      </c>
      <c r="V27" s="36">
        <f t="shared" si="3"/>
        <v>42677.740729166668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{"issue":{"subject":"Pena 4S STOP, cleared afterward","project_id":79,"tracker_id":40,"status_id":1,"priority_id":2,"assigned_to_id":23,"start_date":"2016-11-03","description":"","custom_fields":[{"id":1,"name":"Subdivision","value":"EC"},{"id":4,"name":"Milepost","value":"19.1723"},{"id":17,"name":"Train ID","value":"158-03"},{"id":16,"name":"Locomotive ID","value":"4013"},{"id":130,"name":"Impact","value":""},{"id":150,"name":"Time of Event (Mountain Time)","value":"11:46:39"},{"id":151,"name":"Denver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"%USERPROFILE%\AppData\Local\Temp\OnboardLogs"\RTDC4013\*4013*201611031* | grep -SE "((Enforcement Ac)|(PRM))" -</v>
      </c>
      <c r="AD27" s="1"/>
    </row>
    <row r="28" spans="1:30" x14ac:dyDescent="0.25">
      <c r="A28" s="36">
        <v>42677.668124999997</v>
      </c>
      <c r="B28" s="31" t="s">
        <v>354</v>
      </c>
      <c r="C28" s="31" t="s">
        <v>430</v>
      </c>
      <c r="D28" s="31" t="s">
        <v>49</v>
      </c>
      <c r="E28" s="31" t="s">
        <v>218</v>
      </c>
      <c r="F28" s="47">
        <v>0</v>
      </c>
      <c r="G28" s="47">
        <v>523</v>
      </c>
      <c r="H28" s="47">
        <v>194718</v>
      </c>
      <c r="I28" s="47">
        <v>193062</v>
      </c>
      <c r="J28" s="31" t="s">
        <v>219</v>
      </c>
      <c r="K28" s="47">
        <v>191723</v>
      </c>
      <c r="L28" s="157" t="s">
        <v>51</v>
      </c>
      <c r="M28" s="158">
        <f t="shared" si="0"/>
        <v>706.99199999999996</v>
      </c>
      <c r="N28" s="159" t="str">
        <f>VLOOKUP(C28,'Trips&amp;Operators'!$C$1:$E$99999,3,FALSE)</f>
        <v>HOLCOMB</v>
      </c>
      <c r="O28" s="184" t="s">
        <v>215</v>
      </c>
      <c r="P28" s="160" t="s">
        <v>342</v>
      </c>
      <c r="Q28" s="31"/>
      <c r="R28" s="100" t="str">
        <f>VLOOKUP(C28,'Train Runs'!$A$13:$AE$10007,31,0)</f>
        <v>aws s3 cp s3://rtdc.mdm.uploadarchive.raw/RTDC4026/ "%USERPROFILE%\AppData\Local\Temp\OnboardLogs"\RTDC4026\2016-11-03 --exclude "*" --recursive --include "*20161103*" &amp; "%USERPROFILE%\Documents\GitHub\mrs-test-scripts\Headless Mode &amp; Sideloading\WalkAndUnGZ.bat" "%USERPROFILE%\AppData\Local\Temp\OnboardLogs"\RTDC4026\2016-11-03 &amp; aws s3 cp s3://rtdc.mdm.uploadarchive.raw/RTDC4026/ "%USERPROFILE%\AppData\Local\Temp\OnboardLogs"\RTDC4026\2016-11-04 --exclude "*" --recursive --include "*20161104*" &amp; "%USERPROFILE%\Documents\GitHub\mrs-test-scripts\Headless Mode &amp; Sideloading\WalkAndUnGZ.bat" "%USERPROFILE%\AppData\Local\Temp\OnboardLogs"\RTDC4026\2016-11-04</v>
      </c>
      <c r="S28" s="103" t="str">
        <f>VLOOKUP(C28,'Train Runs'!$A$13:$AE$10007,22,0)</f>
        <v>https://search-rtdc-monitor-bjffxe2xuh6vdkpspy63sjmuny.us-east-1.es.amazonaws.com/_plugin/kibana/#/discover/Steve-Slow-Train-Analysis-(2080s-and-2083s)?_g=(refreshInterval:(display:Off,section:0,value:0),time:(from:'2016-11-03 14:38:54-0600',mode:absolute,to:'2016-11-03 17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/stypes="*4026*201611032*" /stext=" 22:.+((SYSTEM_STATE.+slice.+state.+changed )|(ment ac)|(system.+state.+changed )|(\[timeout)|(PRM\|1\|D)|(kpr)|(kdp)|(\|lc)|(penalty))" /e /r /s</v>
      </c>
      <c r="U28" s="9" t="str">
        <f t="shared" si="2"/>
        <v>4026</v>
      </c>
      <c r="V28" s="36">
        <f t="shared" si="3"/>
        <v>42677.918124999997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{"issue":{"subject":"Pena 4S STOP, cleared afterward","project_id":79,"tracker_id":40,"status_id":1,"priority_id":2,"assigned_to_id":23,"start_date":"2016-11-03","description":"","custom_fields":[{"id":1,"name":"Subdivision","value":"EC"},{"id":4,"name":"Milepost","value":"19.1723"},{"id":17,"name":"Train ID","value":"192-03"},{"id":16,"name":"Locomotive ID","value":"4026"},{"id":130,"name":"Impact","value":""},{"id":150,"name":"Time of Event (Mountain Time)","value":"16:02:06"},{"id":151,"name":"Denver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"%USERPROFILE%\AppData\Local\Temp\OnboardLogs"\RTDC4026\*4026*201611032* | grep -SE "((Enforcement Ac)|(PRM))" -</v>
      </c>
      <c r="AD28" s="1"/>
    </row>
    <row r="29" spans="1:30" x14ac:dyDescent="0.25">
      <c r="A29" s="36">
        <v>42677.346539351849</v>
      </c>
      <c r="B29" s="31" t="s">
        <v>280</v>
      </c>
      <c r="C29" s="31" t="s">
        <v>408</v>
      </c>
      <c r="D29" s="31" t="s">
        <v>49</v>
      </c>
      <c r="E29" s="31" t="s">
        <v>220</v>
      </c>
      <c r="F29" s="47">
        <v>0</v>
      </c>
      <c r="G29" s="47">
        <v>68</v>
      </c>
      <c r="H29" s="47">
        <v>205</v>
      </c>
      <c r="I29" s="47">
        <v>158</v>
      </c>
      <c r="J29" s="31" t="s">
        <v>221</v>
      </c>
      <c r="K29" s="47">
        <v>1</v>
      </c>
      <c r="L29" s="157" t="s">
        <v>51</v>
      </c>
      <c r="M29" s="158">
        <f t="shared" si="0"/>
        <v>82.895999999999987</v>
      </c>
      <c r="N29" s="159" t="str">
        <f>VLOOKUP(C29,'Trips&amp;Operators'!$C$1:$E$99999,3,FALSE)</f>
        <v>STARKS</v>
      </c>
      <c r="O29" s="184" t="s">
        <v>215</v>
      </c>
      <c r="P29" s="160"/>
      <c r="Q29" s="31"/>
      <c r="R29" s="100" t="str">
        <f>VLOOKUP(C29,'Train Runs'!$A$13:$AE$10007,31,0)</f>
        <v>aws s3 cp s3://rtdc.mdm.uploadarchive.raw/RTDC4032/ "%USERPROFILE%\AppData\Local\Temp\OnboardLogs"\RTDC4032\2016-11-03 --exclude "*" --recursive --include "*20161103*" &amp; "%USERPROFILE%\Documents\GitHub\mrs-test-scripts\Headless Mode &amp; Sideloading\WalkAndUnGZ.bat" "%USERPROFILE%\AppData\Local\Temp\OnboardLogs"\RTDC4032\2016-11-03 &amp; 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</v>
      </c>
      <c r="S29" s="103" t="str">
        <f>VLOOKUP(C29,'Train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06:29:49-0600',mode:absolute,to:'2016-11-03 09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9" s="105" t="str">
        <f t="shared" si="1"/>
        <v>"C:\Program Files (x86)\AstroGrep\AstroGrep.exe" /spath="%USERPROFILE%\AppData\Local\Temp\OnboardLogs" /stypes="*4032*201611031*" /stext=" 14:.+((SYSTEM_STATE.+slice.+state.+changed )|(ment ac)|(system.+state.+changed )|(\[timeout)|(PRM\|1\|D)|(kpr)|(kdp)|(\|lc)|(penalty))" /e /r /s</v>
      </c>
      <c r="U29" s="9" t="str">
        <f t="shared" si="2"/>
        <v>4032</v>
      </c>
      <c r="V29" s="36">
        <f t="shared" si="3"/>
        <v>42677.596539351849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ID","value":"126-03"},{"id":16,"name":"Locomotive ID","value":"4032"},{"id":130,"name":"Impact","value":""},{"id":150,"name":"Time of Event (Mountain Time)","value":"08:19:01"},{"id":151,"name":"Denver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"%USERPROFILE%\AppData\Local\Temp\OnboardLogs"\RTDC4032\*4032*201611031* | grep -SE "((Enforcement Ac)|(PRM))" -</v>
      </c>
      <c r="AD29" s="1"/>
    </row>
    <row r="30" spans="1:30" x14ac:dyDescent="0.25">
      <c r="A30" s="36">
        <v>42677.482685185183</v>
      </c>
      <c r="B30" s="31" t="s">
        <v>227</v>
      </c>
      <c r="C30" s="31" t="s">
        <v>419</v>
      </c>
      <c r="D30" s="31" t="s">
        <v>49</v>
      </c>
      <c r="E30" s="31" t="s">
        <v>220</v>
      </c>
      <c r="F30" s="47">
        <v>0</v>
      </c>
      <c r="G30" s="47">
        <v>46</v>
      </c>
      <c r="H30" s="47">
        <v>189</v>
      </c>
      <c r="I30" s="47">
        <v>138</v>
      </c>
      <c r="J30" s="31" t="s">
        <v>221</v>
      </c>
      <c r="K30" s="47">
        <v>1</v>
      </c>
      <c r="L30" s="157" t="s">
        <v>51</v>
      </c>
      <c r="M30" s="158">
        <f t="shared" si="0"/>
        <v>72.335999999999999</v>
      </c>
      <c r="N30" s="159" t="str">
        <f>VLOOKUP(C30,'Trips&amp;Operators'!$C$1:$E$99999,3,FALSE)</f>
        <v>NELSON</v>
      </c>
      <c r="O30" s="184" t="s">
        <v>215</v>
      </c>
      <c r="P30" s="160"/>
      <c r="Q30" s="31"/>
      <c r="R30" s="100" t="str">
        <f>VLOOKUP(C30,'Train Runs'!$A$13:$AE$10007,31,0)</f>
        <v>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 &amp; 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</v>
      </c>
      <c r="S30" s="103" t="str">
        <f>VLOOKUP(C30,'Train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09:52:45-0600',mode:absolute,to:'2016-11-03 12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5" t="str">
        <f t="shared" si="1"/>
        <v>"C:\Program Files (x86)\AstroGrep\AstroGrep.exe" /spath="%USERPROFILE%\AppData\Local\Temp\OnboardLogs" /stypes="*4030*201611031*" /stext=" 17:.+((SYSTEM_STATE.+slice.+state.+changed )|(ment ac)|(system.+state.+changed )|(\[timeout)|(PRM\|1\|D)|(kpr)|(kdp)|(\|lc)|(penalty))" /e /r /s</v>
      </c>
      <c r="U30" s="9" t="str">
        <f t="shared" si="2"/>
        <v>4030</v>
      </c>
      <c r="V30" s="36">
        <f t="shared" si="3"/>
        <v>42677.732685185183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ID","value":"152-03"},{"id":16,"name":"Locomotive ID","value":"4030"},{"id":130,"name":"Impact","value":""},{"id":150,"name":"Time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"%USERPROFILE%\AppData\Local\Temp\OnboardLogs"\RTDC4030\*4030*201611031* | grep -SE "((Enforcement Ac)|(PRM))" -</v>
      </c>
      <c r="AD30" s="1"/>
    </row>
    <row r="31" spans="1:30" ht="15" customHeight="1" x14ac:dyDescent="0.25">
      <c r="A31" s="36">
        <v>42677.514317129629</v>
      </c>
      <c r="B31" s="31" t="s">
        <v>251</v>
      </c>
      <c r="C31" s="31" t="s">
        <v>420</v>
      </c>
      <c r="D31" s="31" t="s">
        <v>49</v>
      </c>
      <c r="E31" s="31" t="s">
        <v>220</v>
      </c>
      <c r="F31" s="47">
        <v>0</v>
      </c>
      <c r="G31" s="47">
        <v>53</v>
      </c>
      <c r="H31" s="47">
        <v>176</v>
      </c>
      <c r="I31" s="47">
        <v>127</v>
      </c>
      <c r="J31" s="31" t="s">
        <v>221</v>
      </c>
      <c r="K31" s="47">
        <v>1</v>
      </c>
      <c r="L31" s="157" t="s">
        <v>51</v>
      </c>
      <c r="M31" s="158">
        <f t="shared" si="0"/>
        <v>66.528000000000006</v>
      </c>
      <c r="N31" s="159" t="str">
        <f>VLOOKUP(C31,'Trips&amp;Operators'!$C$1:$E$99999,3,FALSE)</f>
        <v>PERKINS</v>
      </c>
      <c r="O31" s="184" t="s">
        <v>215</v>
      </c>
      <c r="P31" s="160"/>
      <c r="Q31" s="31"/>
      <c r="R31" s="100" t="str">
        <f>VLOOKUP(C31,'Train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31" s="103" t="str">
        <f>VLOOKUP(C31,'Train Runs'!$A$13:$AE$10007,22,0)</f>
        <v>https://search-rtdc-monitor-bjffxe2xuh6vdkpspy63sjmuny.us-east-1.es.amazonaws.com/_plugin/kibana/#/discover/Steve-Slow-Train-Analysis-(2080s-and-2083s)?_g=(refreshInterval:(display:Off,section:0,value:0),time:(from:'2016-11-03 10:32:24-0600',mode:absolute,to:'2016-11-03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1" s="105" t="str">
        <f t="shared" si="1"/>
        <v>"C:\Program Files (x86)\AstroGrep\AstroGrep.exe" /spath="%USERPROFILE%\AppData\Local\Temp\OnboardLogs" /stypes="*4013*201611031*" /stext=" 18:.+((SYSTEM_STATE.+slice.+state.+changed )|(ment ac)|(system.+state.+changed )|(\[timeout)|(PRM\|1\|D)|(kpr)|(kdp)|(\|lc)|(penalty))" /e /r /s</v>
      </c>
      <c r="U31" s="9" t="str">
        <f t="shared" si="2"/>
        <v>4013</v>
      </c>
      <c r="V31" s="36">
        <f t="shared" si="3"/>
        <v>42677.764317129629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ID","value":"158-03"},{"id":16,"name":"Locomotive ID","value":"4013"},{"id":130,"name":"Impact","value":""},{"id":150,"name":"Time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"%USERPROFILE%\AppData\Local\Temp\OnboardLogs"\RTDC4013\*4013*201611031* | grep -SE "((Enforcement Ac)|(PRM))" -</v>
      </c>
      <c r="AD31" s="1"/>
    </row>
    <row r="32" spans="1:30" x14ac:dyDescent="0.25">
      <c r="A32" s="36">
        <v>42677.575416666667</v>
      </c>
      <c r="B32" s="31" t="s">
        <v>279</v>
      </c>
      <c r="C32" s="31" t="s">
        <v>422</v>
      </c>
      <c r="D32" s="31" t="s">
        <v>49</v>
      </c>
      <c r="E32" s="31" t="s">
        <v>220</v>
      </c>
      <c r="F32" s="47">
        <v>0</v>
      </c>
      <c r="G32" s="47">
        <v>66</v>
      </c>
      <c r="H32" s="47">
        <v>236</v>
      </c>
      <c r="I32" s="47">
        <v>167</v>
      </c>
      <c r="J32" s="31" t="s">
        <v>221</v>
      </c>
      <c r="K32" s="47">
        <v>1</v>
      </c>
      <c r="L32" s="157" t="s">
        <v>51</v>
      </c>
      <c r="M32" s="158">
        <f t="shared" si="0"/>
        <v>87.647999999999996</v>
      </c>
      <c r="N32" s="159" t="str">
        <f>VLOOKUP(C32,'Trips&amp;Operators'!$C$1:$E$99999,3,FALSE)</f>
        <v>ADANE</v>
      </c>
      <c r="O32" s="184" t="s">
        <v>215</v>
      </c>
      <c r="P32" s="160"/>
      <c r="Q32" s="31"/>
      <c r="R32" s="100" t="str">
        <f>VLOOKUP(C32,'Train Runs'!$A$13:$AE$10007,31,0)</f>
        <v>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 &amp; 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</v>
      </c>
      <c r="S32" s="103" t="str">
        <f>VLOOKUP(C32,'Train Runs'!$A$13:$AE$10007,22,0)</f>
        <v>https://search-rtdc-monitor-bjffxe2xuh6vdkpspy63sjmuny.us-east-1.es.amazonaws.com/_plugin/kibana/#/discover/Steve-Slow-Train-Analysis-(2080s-and-2083s)?_g=(refreshInterval:(display:Off,section:0,value:0),time:(from:'2016-11-03 11:59:05-0600',mode:absolute,to:'2016-11-03 14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/stypes="*4039*201611031*" /stext=" 19:.+((SYSTEM_STATE.+slice.+state.+changed )|(ment ac)|(system.+state.+changed )|(\[timeout)|(PRM\|1\|D)|(kpr)|(kdp)|(\|lc)|(penalty))" /e /r /s</v>
      </c>
      <c r="U32" s="9" t="str">
        <f t="shared" si="2"/>
        <v>4039</v>
      </c>
      <c r="V32" s="36">
        <f t="shared" si="3"/>
        <v>42677.825416666667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ID","value":"170-03"},{"id":16,"name":"Locomotive ID","value":"4039"},{"id":130,"name":"Impact","value":""},{"id":150,"name":"Time of Event (Mountain Time)","value":"13:48:36"},{"id":151,"name":"Denver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"%USERPROFILE%\AppData\Local\Temp\OnboardLogs"\RTDC4039\*4039*201611031* | grep -SE "((Enforcement Ac)|(PRM))" -</v>
      </c>
      <c r="AD32" s="1"/>
    </row>
    <row r="33" spans="1:30" ht="15" customHeight="1" x14ac:dyDescent="0.25">
      <c r="A33" s="36">
        <v>42677.596134259256</v>
      </c>
      <c r="B33" s="31" t="s">
        <v>298</v>
      </c>
      <c r="C33" s="31" t="s">
        <v>424</v>
      </c>
      <c r="D33" s="31" t="s">
        <v>49</v>
      </c>
      <c r="E33" s="31" t="s">
        <v>220</v>
      </c>
      <c r="F33" s="47">
        <v>0</v>
      </c>
      <c r="G33" s="47">
        <v>47</v>
      </c>
      <c r="H33" s="47">
        <v>143</v>
      </c>
      <c r="I33" s="47">
        <v>105</v>
      </c>
      <c r="J33" s="31" t="s">
        <v>221</v>
      </c>
      <c r="K33" s="47">
        <v>1</v>
      </c>
      <c r="L33" s="157" t="s">
        <v>51</v>
      </c>
      <c r="M33" s="158">
        <f t="shared" si="0"/>
        <v>54.911999999999999</v>
      </c>
      <c r="N33" s="159" t="str">
        <f>VLOOKUP(C33,'Trips&amp;Operators'!$C$1:$E$99999,3,FALSE)</f>
        <v>SAFIEF</v>
      </c>
      <c r="O33" s="184" t="s">
        <v>215</v>
      </c>
      <c r="P33" s="160"/>
      <c r="Q33" s="31"/>
      <c r="R33" s="100" t="str">
        <f>VLOOKUP(C33,'Train Runs'!$A$13:$AE$10007,31,0)</f>
        <v>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 &amp; 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</v>
      </c>
      <c r="S33" s="103" t="str">
        <f>VLOOKUP(C33,'Train Runs'!$A$13:$AE$10007,22,0)</f>
        <v>https://search-rtdc-monitor-bjffxe2xuh6vdkpspy63sjmuny.us-east-1.es.amazonaws.com/_plugin/kibana/#/discover/Steve-Slow-Train-Analysis-(2080s-and-2083s)?_g=(refreshInterval:(display:Off,section:0,value:0),time:(from:'2016-11-03 12:30:08-0600',mode:absolute,to:'2016-11-03 15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3" s="105" t="str">
        <f t="shared" si="1"/>
        <v>"C:\Program Files (x86)\AstroGrep\AstroGrep.exe" /spath="%USERPROFILE%\AppData\Local\Temp\OnboardLogs" /stypes="*4041*201611032*" /stext=" 20:.+((SYSTEM_STATE.+slice.+state.+changed )|(ment ac)|(system.+state.+changed )|(\[timeout)|(PRM\|1\|D)|(kpr)|(kdp)|(\|lc)|(penalty))" /e /r /s</v>
      </c>
      <c r="U33" s="9" t="str">
        <f t="shared" si="2"/>
        <v>4041</v>
      </c>
      <c r="V33" s="36">
        <f t="shared" si="3"/>
        <v>42677.846134259256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ID","value":"174-03"},{"id":16,"name":"Locomotive ID","value":"4041"},{"id":130,"name":"Impact","value":""},{"id":150,"name":"Time of Event (Mountain Time)","value":"14:18:26"},{"id":151,"name":"Denver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"%USERPROFILE%\AppData\Local\Temp\OnboardLogs"\RTDC4041\*4041*201611032* | grep -SE "((Enforcement Ac)|(PRM))" -</v>
      </c>
      <c r="AD33" s="1"/>
    </row>
    <row r="34" spans="1:30" x14ac:dyDescent="0.25">
      <c r="A34" s="36">
        <v>42677.825879629629</v>
      </c>
      <c r="B34" s="31" t="s">
        <v>441</v>
      </c>
      <c r="C34" s="31" t="s">
        <v>442</v>
      </c>
      <c r="D34" s="31" t="s">
        <v>49</v>
      </c>
      <c r="E34" s="31" t="s">
        <v>220</v>
      </c>
      <c r="F34" s="47">
        <v>0</v>
      </c>
      <c r="G34" s="47">
        <v>51</v>
      </c>
      <c r="H34" s="47">
        <v>167</v>
      </c>
      <c r="I34" s="47">
        <v>130</v>
      </c>
      <c r="J34" s="31" t="s">
        <v>221</v>
      </c>
      <c r="K34" s="47">
        <v>1</v>
      </c>
      <c r="L34" s="157" t="s">
        <v>51</v>
      </c>
      <c r="M34" s="158">
        <f t="shared" si="0"/>
        <v>68.111999999999995</v>
      </c>
      <c r="N34" s="159" t="str">
        <f>VLOOKUP(C34,'Trips&amp;Operators'!$C$1:$E$99999,3,FALSE)</f>
        <v>LEVIN</v>
      </c>
      <c r="O34" s="184" t="s">
        <v>215</v>
      </c>
      <c r="P34" s="160"/>
      <c r="Q34" s="31"/>
      <c r="R34" s="100" t="str">
        <f>VLOOKUP(C34,'Train Runs'!$A$13:$AE$10007,31,0)</f>
        <v>aws s3 cp s3://rtdc.mdm.uploadarchive.raw/RTDC4015/ "%USERPROFILE%\AppData\Local\Temp\OnboardLogs"\RTDC4015\2016-11-03 --exclude "*" --recursive --include "*20161103*" &amp; "%USERPROFILE%\Documents\GitHub\mrs-test-scripts\Headless Mode &amp; Sideloading\WalkAndUnGZ.bat" "%USERPROFILE%\AppData\Local\Temp\OnboardLogs"\RTDC4015\2016-11-03 &amp; 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</v>
      </c>
      <c r="S34" s="103" t="str">
        <f>VLOOKUP(C34,'Train Runs'!$A$13:$AE$10007,22,0)</f>
        <v>https://search-rtdc-monitor-bjffxe2xuh6vdkpspy63sjmuny.us-east-1.es.amazonaws.com/_plugin/kibana/#/discover/Steve-Slow-Train-Analysis-(2080s-and-2083s)?_g=(refreshInterval:(display:Off,section:0,value:0),time:(from:'2016-11-03 17:55:22-0600',mode:absolute,to:'2016-11-03 20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4" s="105" t="str">
        <f t="shared" si="1"/>
        <v>"C:\Program Files (x86)\AstroGrep\AstroGrep.exe" /spath="%USERPROFILE%\AppData\Local\Temp\OnboardLogs" /stypes="*4015*201611040*" /stext=" 01:.+((SYSTEM_STATE.+slice.+state.+changed )|(ment ac)|(system.+state.+changed )|(\[timeout)|(PRM\|1\|D)|(kpr)|(kdp)|(\|lc)|(penalty))" /e /r /s</v>
      </c>
      <c r="U34" s="9" t="str">
        <f t="shared" si="2"/>
        <v>4015</v>
      </c>
      <c r="V34" s="36">
        <f t="shared" si="3"/>
        <v>42678.075879629629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ID","value":"218-03"},{"id":16,"name":"Locomotive ID","value":"4015"},{"id":130,"name":"Impact","value":""},{"id":150,"name":"Time of Event (Mountain Time)","value":"19:49:16"},{"id":151,"name":"Denver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"%USERPROFILE%\AppData\Local\Temp\OnboardLogs"\RTDC4015\*4015*201611040* | grep -SE "((Enforcement Ac)|(PRM))" -</v>
      </c>
      <c r="AD34" s="1"/>
    </row>
    <row r="35" spans="1:30" x14ac:dyDescent="0.25">
      <c r="A35" s="36">
        <v>42677.877951388888</v>
      </c>
      <c r="B35" s="31" t="s">
        <v>251</v>
      </c>
      <c r="C35" s="31" t="s">
        <v>444</v>
      </c>
      <c r="D35" s="31" t="s">
        <v>49</v>
      </c>
      <c r="E35" s="31" t="s">
        <v>220</v>
      </c>
      <c r="F35" s="47">
        <v>0</v>
      </c>
      <c r="G35" s="47">
        <v>44</v>
      </c>
      <c r="H35" s="47">
        <v>150</v>
      </c>
      <c r="I35" s="47">
        <v>110</v>
      </c>
      <c r="J35" s="31" t="s">
        <v>221</v>
      </c>
      <c r="K35" s="47">
        <v>1</v>
      </c>
      <c r="L35" s="157" t="s">
        <v>51</v>
      </c>
      <c r="M35" s="158">
        <f t="shared" si="0"/>
        <v>57.552</v>
      </c>
      <c r="N35" s="159" t="str">
        <f>VLOOKUP(C35,'Trips&amp;Operators'!$C$1:$E$99999,3,FALSE)</f>
        <v>CRAYTON</v>
      </c>
      <c r="O35" s="184" t="s">
        <v>215</v>
      </c>
      <c r="P35" s="160"/>
      <c r="Q35" s="31"/>
      <c r="R35" s="100" t="str">
        <f>VLOOKUP(C35,'Train Runs'!$A$13:$AE$10007,31,0)</f>
        <v>aws s3 cp s3://rtdc.mdm.uploadarchive.raw/RTDC4013/ "%USERPROFILE%\AppData\Local\Temp\OnboardLogs"\RTDC4013\2016-11-03 --exclude "*" --recursive --include "*20161103*" &amp; "%USERPROFILE%\Documents\GitHub\mrs-test-scripts\Headless Mode &amp; Sideloading\WalkAndUnGZ.bat" "%USERPROFILE%\AppData\Local\Temp\OnboardLogs"\RTDC4013\2016-11-03 &amp; aws s3 cp s3://rtdc.mdm.uploadarchive.raw/RTDC4013/ "%USERPROFILE%\AppData\Local\Temp\OnboardLogs"\RTDC4013\2016-11-04 --exclude "*" --recursive --include "*20161104*" &amp; "%USERPROFILE%\Documents\GitHub\mrs-test-scripts\Headless Mode &amp; Sideloading\WalkAndUnGZ.bat" "%USERPROFILE%\AppData\Local\Temp\OnboardLogs"\RTDC4013\2016-11-04</v>
      </c>
      <c r="S35" s="103" t="str">
        <f>VLOOKUP(C35,'Train Runs'!$A$13:$AE$10007,22,0)</f>
        <v>https://search-rtdc-monitor-bjffxe2xuh6vdkpspy63sjmuny.us-east-1.es.amazonaws.com/_plugin/kibana/#/discover/Steve-Slow-Train-Analysis-(2080s-and-2083s)?_g=(refreshInterval:(display:Off,section:0,value:0),time:(from:'2016-11-03 19:15:54-0600',mode:absolute,to:'2016-11-03 22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5" s="105" t="str">
        <f t="shared" si="1"/>
        <v>"C:\Program Files (x86)\AstroGrep\AstroGrep.exe" /spath="%USERPROFILE%\AppData\Local\Temp\OnboardLogs" /stypes="*4013*201611040*" /stext=" 03:.+((SYSTEM_STATE.+slice.+state.+changed )|(ment ac)|(system.+state.+changed )|(\[timeout)|(PRM\|1\|D)|(kpr)|(kdp)|(\|lc)|(penalty))" /e /r /s</v>
      </c>
      <c r="U35" s="9" t="str">
        <f t="shared" si="2"/>
        <v>4013</v>
      </c>
      <c r="V35" s="36">
        <f t="shared" si="3"/>
        <v>42678.127951388888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{"issue":{"subject":"","project_id":79,"tracker_id":40,"status_id":1,"priority_id":2,"assigned_to_id":23,"start_date":"2016-11-03","description":"","custom_fields":[{"id":1,"name":"Subdivision","value":"EC"},{"id":4,"name":"Milepost","value":"0.0001"},{"id":17,"name":"Train ID","value":"224-03"},{"id":16,"name":"Locomotive ID","value":"4013"},{"id":130,"name":"Impact","value":""},{"id":150,"name":"Time of Event (Mountain Time)","value":"21:04:15"},{"id":151,"name":"Denver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"%USERPROFILE%\AppData\Local\Temp\OnboardLogs"\RTDC4013\*4013*201611040* | grep -SE "((Enforcement Ac)|(PRM))" -</v>
      </c>
      <c r="AD35" s="1"/>
    </row>
    <row r="36" spans="1:30" x14ac:dyDescent="0.25">
      <c r="A36" s="36">
        <v>42677.44253472222</v>
      </c>
      <c r="B36" s="31" t="s">
        <v>226</v>
      </c>
      <c r="C36" s="31" t="s">
        <v>415</v>
      </c>
      <c r="D36" s="31" t="s">
        <v>49</v>
      </c>
      <c r="E36" s="31" t="s">
        <v>220</v>
      </c>
      <c r="F36" s="47">
        <v>0</v>
      </c>
      <c r="G36" s="47">
        <v>111</v>
      </c>
      <c r="H36" s="47">
        <v>233023</v>
      </c>
      <c r="I36" s="47">
        <v>233155</v>
      </c>
      <c r="J36" s="31" t="s">
        <v>221</v>
      </c>
      <c r="K36" s="47">
        <v>233491</v>
      </c>
      <c r="L36" s="157" t="s">
        <v>50</v>
      </c>
      <c r="M36" s="158">
        <f t="shared" si="0"/>
        <v>177.40799999999999</v>
      </c>
      <c r="N36" s="159" t="str">
        <f>VLOOKUP(C36,'Trips&amp;Operators'!$C$1:$E$99999,3,FALSE)</f>
        <v>NELSON</v>
      </c>
      <c r="O36" s="184" t="s">
        <v>215</v>
      </c>
      <c r="P36" s="160"/>
      <c r="Q36" s="31"/>
      <c r="R36" s="100" t="str">
        <f>VLOOKUP(C36,'Train Runs'!$A$13:$AE$10007,31,0)</f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S36" s="103" t="str">
        <f>VLOOKUP(C36,'Train Runs'!$A$13:$AE$10007,22,0)</f>
        <v>https://search-rtdc-monitor-bjffxe2xuh6vdkpspy63sjmuny.us-east-1.es.amazonaws.com/_plugin/kibana/#/discover/Steve-Slow-Train-Analysis-(2080s-and-2083s)?_g=(refreshInterval:(display:Off,section:0,value:0),time:(from:'2016-11-03 08:54:22-0600',mode:absolute,to:'2016-11-03 11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/stypes="*4029*201611031*" /stext=" 16:.+((SYSTEM_STATE.+slice.+state.+changed )|(ment ac)|(system.+state.+changed )|(\[timeout)|(PRM\|1\|D)|(kpr)|(kdp)|(\|lc)|(penalty))" /e /r /s</v>
      </c>
      <c r="U36" s="9" t="str">
        <f t="shared" si="2"/>
        <v>4029</v>
      </c>
      <c r="V36" s="36">
        <f t="shared" si="3"/>
        <v>42677.69253472222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{"issue":{"subject":"","project_id":79,"tracker_id":40,"status_id":1,"priority_id":2,"assigned_to_id":23,"start_date":"2016-11-03","description":"","custom_fields":[{"id":1,"name":"Subdivision","value":"EC"},{"id":4,"name":"Milepost","value":"23.3491"},{"id":17,"name":"Train ID","value":"151-03"},{"id":16,"name":"Locomotive ID","value":"4029"},{"id":130,"name":"Impact","value":""},{"id":150,"name":"Time of Event (Mountain Time)","value":"10:37:15"},{"id":151,"name":"Denver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"%USERPROFILE%\AppData\Local\Temp\OnboardLogs"\RTDC4029\*4029*201611031* | grep -SE "((Enforcement Ac)|(PRM))" -</v>
      </c>
      <c r="AD36" s="1"/>
    </row>
    <row r="37" spans="1:30" x14ac:dyDescent="0.25">
      <c r="A37" s="36">
        <v>42677.661157407405</v>
      </c>
      <c r="B37" s="31" t="s">
        <v>226</v>
      </c>
      <c r="C37" s="31" t="s">
        <v>428</v>
      </c>
      <c r="D37" s="31" t="s">
        <v>49</v>
      </c>
      <c r="E37" s="31" t="s">
        <v>220</v>
      </c>
      <c r="F37" s="47">
        <v>0</v>
      </c>
      <c r="G37" s="47">
        <v>48</v>
      </c>
      <c r="H37" s="47">
        <v>233298</v>
      </c>
      <c r="I37" s="47">
        <v>233349</v>
      </c>
      <c r="J37" s="31" t="s">
        <v>221</v>
      </c>
      <c r="K37" s="47">
        <v>233491</v>
      </c>
      <c r="L37" s="157" t="s">
        <v>50</v>
      </c>
      <c r="M37" s="158">
        <f t="shared" si="0"/>
        <v>74.975999999999999</v>
      </c>
      <c r="N37" s="159" t="str">
        <f>VLOOKUP(C37,'Trips&amp;Operators'!$C$1:$E$99999,3,FALSE)</f>
        <v>LOPES</v>
      </c>
      <c r="O37" s="184" t="s">
        <v>215</v>
      </c>
      <c r="P37" s="160"/>
      <c r="Q37" s="31"/>
      <c r="R37" s="100" t="str">
        <f>VLOOKUP(C37,'Train Runs'!$A$13:$AE$10007,31,0)</f>
        <v>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 &amp; 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</v>
      </c>
      <c r="S37" s="103" t="str">
        <f>VLOOKUP(C37,'Train Runs'!$A$13:$AE$10007,22,0)</f>
        <v>https://search-rtdc-monitor-bjffxe2xuh6vdkpspy63sjmuny.us-east-1.es.amazonaws.com/_plugin/kibana/#/discover/Steve-Slow-Train-Analysis-(2080s-and-2083s)?_g=(refreshInterval:(display:Off,section:0,value:0),time:(from:'2016-11-03 14:05:31-0600',mode:absolute,to:'2016-11-03 16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/stypes="*4029*201611032*" /stext=" 21:.+((SYSTEM_STATE.+slice.+state.+changed )|(ment ac)|(system.+state.+changed )|(\[timeout)|(PRM\|1\|D)|(kpr)|(kdp)|(\|lc)|(penalty))" /e /r /s</v>
      </c>
      <c r="U37" s="9" t="str">
        <f t="shared" si="2"/>
        <v>4029</v>
      </c>
      <c r="V37" s="36">
        <f t="shared" si="3"/>
        <v>42677.911157407405</v>
      </c>
      <c r="W37" s="50" t="str">
        <f t="shared" si="4"/>
        <v>EC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{"issue":{"subject":"","project_id":79,"tracker_id":40,"status_id":1,"priority_id":2,"assigned_to_id":23,"start_date":"2016-11-03","description":"","custom_fields":[{"id":1,"name":"Subdivision","value":"EC"},{"id":4,"name":"Milepost","value":"23.3491"},{"id":17,"name":"Train ID","value":"193-03"},{"id":16,"name":"Locomotive ID","value":"4029"},{"id":130,"name":"Impact","value":""},{"id":150,"name":"Time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"%USERPROFILE%\AppData\Local\Temp\OnboardLogs"\RTDC4029\*4029*201611032* | grep -SE "((Enforcement Ac)|(PRM))" -</v>
      </c>
      <c r="AD37" s="1"/>
    </row>
    <row r="38" spans="1:30" x14ac:dyDescent="0.25">
      <c r="A38" s="36">
        <v>42677.754699074074</v>
      </c>
      <c r="B38" s="31" t="s">
        <v>246</v>
      </c>
      <c r="C38" s="31" t="s">
        <v>436</v>
      </c>
      <c r="D38" s="31" t="s">
        <v>49</v>
      </c>
      <c r="E38" s="31" t="s">
        <v>220</v>
      </c>
      <c r="F38" s="47">
        <v>0</v>
      </c>
      <c r="G38" s="47">
        <v>125</v>
      </c>
      <c r="H38" s="47">
        <v>232896</v>
      </c>
      <c r="I38" s="47">
        <v>233057</v>
      </c>
      <c r="J38" s="31" t="s">
        <v>221</v>
      </c>
      <c r="K38" s="47">
        <v>233491</v>
      </c>
      <c r="L38" s="157" t="s">
        <v>50</v>
      </c>
      <c r="M38" s="158">
        <f t="shared" si="0"/>
        <v>229.15199999999999</v>
      </c>
      <c r="N38" s="159" t="str">
        <f>VLOOKUP(C38,'Trips&amp;Operators'!$C$1:$E$99999,3,FALSE)</f>
        <v>HILLS</v>
      </c>
      <c r="O38" s="184" t="s">
        <v>215</v>
      </c>
      <c r="P38" s="160"/>
      <c r="Q38" s="31"/>
      <c r="R38" s="100" t="str">
        <f>VLOOKUP(C38,'Train Runs'!$A$13:$AE$10007,31,0)</f>
        <v>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 &amp; aws s3 cp s3://rtdc.mdm.uploadarchive.raw/RTDC4040/ "%USERPROFILE%\AppData\Local\Temp\OnboardLogs"\RTDC4040\2016-11-04 --exclude "*" --recursive --include "*20161104*" &amp; "%USERPROFILE%\Documents\GitHub\mrs-test-scripts\Headless Mode &amp; Sideloading\WalkAndUnGZ.bat" "%USERPROFILE%\AppData\Local\Temp\OnboardLogs"\RTDC4040\2016-11-04</v>
      </c>
      <c r="S38" s="103" t="str">
        <f>VLOOKUP(C38,'Train Runs'!$A$13:$AE$10007,22,0)</f>
        <v>https://search-rtdc-monitor-bjffxe2xuh6vdkpspy63sjmuny.us-east-1.es.amazonaws.com/_plugin/kibana/#/discover/Steve-Slow-Train-Analysis-(2080s-and-2083s)?_g=(refreshInterval:(display:Off,section:0,value:0),time:(from:'2016-11-03 16:22:00-0600',mode:absolute,to:'2016-11-03 19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/stypes="*4040*201611040*" /stext=" 00:.+((SYSTEM_STATE.+slice.+state.+changed )|(ment ac)|(system.+state.+changed )|(\[timeout)|(PRM\|1\|D)|(kpr)|(kdp)|(\|lc)|(penalty))" /e /r /s</v>
      </c>
      <c r="U38" s="9" t="str">
        <f t="shared" si="2"/>
        <v>4040</v>
      </c>
      <c r="V38" s="36">
        <f t="shared" si="3"/>
        <v>42678.004699074074</v>
      </c>
      <c r="W38" s="50" t="str">
        <f t="shared" si="4"/>
        <v>EC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{"issue":{"subject":"","project_id":79,"tracker_id":40,"status_id":1,"priority_id":2,"assigned_to_id":23,"start_date":"2016-11-03","description":"","custom_fields":[{"id":1,"name":"Subdivision","value":"EC"},{"id":4,"name":"Milepost","value":"23.3491"},{"id":17,"name":"Train ID","value":"211-03"},{"id":16,"name":"Locomotive ID","value":"4040"},{"id":130,"name":"Impact","value":""},{"id":150,"name":"Time of Event (Mountain Time)","value":"18:06:46"},{"id":151,"name":"Denver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"%USERPROFILE%\AppData\Local\Temp\OnboardLogs"\RTDC4040\*4040*201611040* | grep -SE "((Enforcement Ac)|(PRM))" -</v>
      </c>
      <c r="AD38" s="1"/>
    </row>
    <row r="39" spans="1:30" x14ac:dyDescent="0.25">
      <c r="A39" s="36">
        <v>42677.743738425925</v>
      </c>
      <c r="B39" s="31" t="s">
        <v>348</v>
      </c>
      <c r="C39" s="31" t="s">
        <v>437</v>
      </c>
      <c r="D39" s="31" t="s">
        <v>49</v>
      </c>
      <c r="E39" s="31" t="s">
        <v>154</v>
      </c>
      <c r="F39" s="47">
        <v>300</v>
      </c>
      <c r="G39" s="47">
        <v>470</v>
      </c>
      <c r="H39" s="47">
        <v>17762</v>
      </c>
      <c r="I39" s="47">
        <v>15941</v>
      </c>
      <c r="J39" s="31" t="s">
        <v>153</v>
      </c>
      <c r="K39" s="47">
        <v>15777</v>
      </c>
      <c r="L39" s="157" t="s">
        <v>51</v>
      </c>
      <c r="M39" s="158">
        <f t="shared" ref="M39:M70" si="8">CONVERT((I39-K39)/10000,"mi","ft")*IF(L39="Increasing Mileposts (1)",-1,1)</f>
        <v>86.592000000000013</v>
      </c>
      <c r="N39" s="159" t="str">
        <f>VLOOKUP(C39,'Trips&amp;Operators'!$C$1:$E$99999,3,FALSE)</f>
        <v>HELVIE</v>
      </c>
      <c r="O39" s="184" t="s">
        <v>281</v>
      </c>
      <c r="P39" s="160" t="s">
        <v>795</v>
      </c>
      <c r="Q39" s="31"/>
      <c r="R39" s="100" t="str">
        <f>VLOOKUP(C39,'Train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39" s="103" t="str">
        <f>VLOOKUP(C39,'Train Runs'!$A$13:$AE$10007,22,0)</f>
        <v>https://search-rtdc-monitor-bjffxe2xuh6vdkpspy63sjmuny.us-east-1.es.amazonaws.com/_plugin/kibana/#/discover/Steve-Slow-Train-Analysis-(2080s-and-2083s)?_g=(refreshInterval:(display:Off,section:0,value:0),time:(from:'2016-11-03 16:36:46-0600',mode:absolute,to:'2016-11-03 18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/stypes="*4054*201611032*" /stext=" 23:.+((SYSTEM_STATE.+slice.+state.+changed )|(ment ac)|(system.+state.+changed )|(\[timeout)|(PRM\|1\|D)|(kpr)|(kdp)|(\|lc)|(penalty))" /e /r /s</v>
      </c>
      <c r="U39" s="9" t="str">
        <f t="shared" ref="U39:U60" si="10">MID(B39,13,4)</f>
        <v>4054</v>
      </c>
      <c r="V39" s="36">
        <f t="shared" ref="V39:V60" si="11">A39+6/24</f>
        <v>42677.993738425925</v>
      </c>
      <c r="W39" s="50" t="str">
        <f t="shared" ref="W39:W60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60" si="13">IF(AND(E39="TRACK WARRANT AUTHORITY",G39&lt;10),"OMIT","KEEP")</f>
        <v>KEEP</v>
      </c>
      <c r="Y39" s="122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 - 41st station","project_id":79,"tracker_id":40,"status_id":1,"priority_id":2,"assigned_to_id":23,"start_date":"2016-11-03","description":"","custom_fields":[{"id":1,"name":"Subdivision","value":"NW"},{"id":4,"name":"Milepost","value":"1.5777"},{"id":17,"name":"Train ID","value":"834-03"},{"id":16,"name":"Locomotive ID","value":"4054"},{"id":130,"name":"Impact","value":""},{"id":150,"name":"Time of Event (Mountain Time)","value":"17:50:59"},{"id":151,"name":"Denver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ref="AC39:AC60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"%USERPROFILE%\AppData\Local\Temp\OnboardLogs"\RTDC4054\*4054*201611032* | grep -SE "((Enforcement Ac)|(PRM))" -</v>
      </c>
      <c r="AD39" s="1"/>
    </row>
    <row r="40" spans="1:30" x14ac:dyDescent="0.25">
      <c r="A40" s="36">
        <v>42677.827557870369</v>
      </c>
      <c r="B40" s="31" t="s">
        <v>348</v>
      </c>
      <c r="C40" s="31" t="s">
        <v>443</v>
      </c>
      <c r="D40" s="31" t="s">
        <v>49</v>
      </c>
      <c r="E40" s="31" t="s">
        <v>154</v>
      </c>
      <c r="F40" s="47">
        <v>310</v>
      </c>
      <c r="G40" s="47">
        <v>458</v>
      </c>
      <c r="H40" s="47">
        <v>17495</v>
      </c>
      <c r="I40" s="47">
        <v>16003</v>
      </c>
      <c r="J40" s="31" t="s">
        <v>153</v>
      </c>
      <c r="K40" s="47">
        <v>15777</v>
      </c>
      <c r="L40" s="157" t="s">
        <v>51</v>
      </c>
      <c r="M40" s="158">
        <f t="shared" si="8"/>
        <v>119.328</v>
      </c>
      <c r="N40" s="159" t="str">
        <f>VLOOKUP(C40,'Trips&amp;Operators'!$C$1:$E$99999,3,FALSE)</f>
        <v>HELVIE</v>
      </c>
      <c r="O40" s="184" t="s">
        <v>281</v>
      </c>
      <c r="P40" s="160" t="s">
        <v>795</v>
      </c>
      <c r="Q40" s="31"/>
      <c r="R40" s="100" t="str">
        <f>VLOOKUP(C40,'Train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0" s="103" t="str">
        <f>VLOOKUP(C40,'Train Runs'!$A$13:$AE$10007,22,0)</f>
        <v>https://search-rtdc-monitor-bjffxe2xuh6vdkpspy63sjmuny.us-east-1.es.amazonaws.com/_plugin/kibana/#/discover/Steve-Slow-Train-Analysis-(2080s-and-2083s)?_g=(refreshInterval:(display:Off,section:0,value:0),time:(from:'2016-11-03 18:36:26-0600',mode:absolute,to:'2016-11-03 20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0" s="105" t="str">
        <f t="shared" si="9"/>
        <v>"C:\Program Files (x86)\AstroGrep\AstroGrep.exe" /spath="%USERPROFILE%\AppData\Local\Temp\OnboardLogs" /stypes="*4054*201611040*" /stext=" 01:.+((SYSTEM_STATE.+slice.+state.+changed )|(ment ac)|(system.+state.+changed )|(\[timeout)|(PRM\|1\|D)|(kpr)|(kdp)|(\|lc)|(penalty))" /e /r /s</v>
      </c>
      <c r="U40" s="9" t="str">
        <f t="shared" si="10"/>
        <v>4054</v>
      </c>
      <c r="V40" s="36">
        <f t="shared" si="11"/>
        <v>42678.077557870369</v>
      </c>
      <c r="W40" s="50" t="str">
        <f t="shared" si="12"/>
        <v>NW</v>
      </c>
      <c r="X40" s="50" t="str">
        <f t="shared" si="13"/>
        <v>KEEP</v>
      </c>
      <c r="Y40" s="122" t="str">
        <f t="shared" si="14"/>
        <v>echo {"issue":{"subject":"Early arrival - 41st station","project_id":79,"tracker_id":40,"status_id":1,"priority_id":2,"assigned_to_id":23,"start_date":"2016-11-03","description":"","custom_fields":[{"id":1,"name":"Subdivision","value":"NW"},{"id":4,"name":"Milepost","value":"1.5777"},{"id":17,"name":"Train ID","value":"840-03"},{"id":16,"name":"Locomotive ID","value":"4054"},{"id":130,"name":"Impact","value":""},{"id":150,"name":"Time of Event (Mountain Time)","value":"19:51:41"},{"id":151,"name":"Denver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15"/>
        <v>grep -hSE -A100 "Enforcement Action" "%USERPROFILE%\AppData\Local\Temp\OnboardLogs"\RTDC4054\*4054*201611040* | grep -SE "((Enforcement Ac)|(PRM))" -</v>
      </c>
      <c r="AD40" s="1"/>
    </row>
    <row r="41" spans="1:30" x14ac:dyDescent="0.25">
      <c r="A41" s="36">
        <v>42677.448136574072</v>
      </c>
      <c r="B41" s="31" t="s">
        <v>348</v>
      </c>
      <c r="C41" s="31" t="s">
        <v>417</v>
      </c>
      <c r="D41" s="31" t="s">
        <v>98</v>
      </c>
      <c r="E41" s="31" t="s">
        <v>216</v>
      </c>
      <c r="F41" s="47">
        <v>150</v>
      </c>
      <c r="G41" s="47">
        <v>203</v>
      </c>
      <c r="H41" s="47">
        <v>56900</v>
      </c>
      <c r="I41" s="47">
        <v>56589</v>
      </c>
      <c r="J41" s="31" t="s">
        <v>217</v>
      </c>
      <c r="K41" s="47">
        <v>59050</v>
      </c>
      <c r="L41" s="157" t="s">
        <v>51</v>
      </c>
      <c r="M41" s="158">
        <f t="shared" si="8"/>
        <v>-1299.4079999999999</v>
      </c>
      <c r="N41" s="159" t="str">
        <f>VLOOKUP(C41,'Trips&amp;Operators'!$C$1:$E$99999,3,FALSE)</f>
        <v>WHITED</v>
      </c>
      <c r="O41" s="184" t="s">
        <v>215</v>
      </c>
      <c r="P41" s="160"/>
      <c r="Q41" s="31"/>
      <c r="R41" s="100" t="str">
        <f>VLOOKUP(C41,'Train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1" s="103" t="str">
        <f>VLOOKUP(C41,'Train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09:39:58-0600',mode:absolute,to:'2016-11-03 12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 t="shared" si="9"/>
        <v>"C:\Program Files (x86)\AstroGrep\AstroGrep.exe" /spath="%USERPROFILE%\AppData\Local\Temp\OnboardLogs" /stypes="*4054*201611031*" /stext=" 16:.+((SYSTEM_STATE.+slice.+state.+changed )|(ment ac)|(system.+state.+changed )|(\[timeout)|(PRM\|1\|D)|(kpr)|(kdp)|(\|lc)|(penalty))" /e /r /s</v>
      </c>
      <c r="U41" s="9" t="str">
        <f t="shared" si="10"/>
        <v>4054</v>
      </c>
      <c r="V41" s="36">
        <f t="shared" si="11"/>
        <v>42677.698136574072</v>
      </c>
      <c r="W41" s="50" t="str">
        <f t="shared" si="12"/>
        <v>NW</v>
      </c>
      <c r="X41" s="50" t="str">
        <f t="shared" si="13"/>
        <v>KEEP</v>
      </c>
      <c r="Y41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{"issue":{"subject":"","project_id":79,"tracker_id":40,"status_id":1,"priority_id":2,"assigned_to_id":23,"start_date":"2016-11-03","description":"","custom_fields":[{"id":1,"name":"Subdivision","value":"NW"},{"id":4,"name":"Milepost","value":"5.905"},{"id":17,"name":"Train ID","value":"816-03"},{"id":16,"name":"Locomotive ID","value":"4054"},{"id":130,"name":"Impact","value":""},{"id":150,"name":"Time of Event (Mountain Time)","value":"10:45:19"},{"id":151,"name":"Denver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15"/>
        <v>grep -hSE -A100 "Enforcement Action" "%USERPROFILE%\AppData\Local\Temp\OnboardLogs"\RTDC4054\*4054*201611031* | grep -SE "((Enforcement Ac)|(PRM))" -</v>
      </c>
      <c r="AD41" s="1"/>
    </row>
    <row r="42" spans="1:30" x14ac:dyDescent="0.25">
      <c r="A42" s="36">
        <v>42677.661736111113</v>
      </c>
      <c r="B42" s="31" t="s">
        <v>348</v>
      </c>
      <c r="C42" s="31" t="s">
        <v>429</v>
      </c>
      <c r="D42" s="31" t="s">
        <v>49</v>
      </c>
      <c r="E42" s="31" t="s">
        <v>218</v>
      </c>
      <c r="F42" s="47">
        <v>0</v>
      </c>
      <c r="G42" s="47">
        <v>153</v>
      </c>
      <c r="H42" s="47">
        <v>5308</v>
      </c>
      <c r="I42" s="47">
        <v>5136</v>
      </c>
      <c r="J42" s="31" t="s">
        <v>219</v>
      </c>
      <c r="K42" s="47">
        <v>4790</v>
      </c>
      <c r="L42" s="157" t="s">
        <v>51</v>
      </c>
      <c r="M42" s="158">
        <f t="shared" si="8"/>
        <v>182.68799999999999</v>
      </c>
      <c r="N42" s="159" t="str">
        <f>VLOOKUP(C42,'Trips&amp;Operators'!$C$1:$E$99999,3,FALSE)</f>
        <v>HELVIE</v>
      </c>
      <c r="O42" s="184" t="s">
        <v>215</v>
      </c>
      <c r="P42" s="160" t="s">
        <v>794</v>
      </c>
      <c r="Q42" s="31"/>
      <c r="R42" s="100" t="str">
        <f>VLOOKUP(C42,'Train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2" s="103" t="str">
        <f>VLOOKUP(C42,'Train Runs'!$A$13:$AE$10007,22,0)</f>
        <v>https://search-rtdc-monitor-bjffxe2xuh6vdkpspy63sjmuny.us-east-1.es.amazonaws.com/_plugin/kibana/#/discover/Steve-Slow-Train-Analysis-(2080s-and-2083s)?_g=(refreshInterval:(display:Off,section:0,value:0),time:(from:'2016-11-03 14:35:26-0600',mode:absolute,to:'2016-11-03 16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2" s="105" t="str">
        <f t="shared" si="9"/>
        <v>"C:\Program Files (x86)\AstroGrep\AstroGrep.exe" /spath="%USERPROFILE%\AppData\Local\Temp\OnboardLogs" /stypes="*4054*201611032*" /stext=" 21:.+((SYSTEM_STATE.+slice.+state.+changed )|(ment ac)|(system.+state.+changed )|(\[timeout)|(PRM\|1\|D)|(kpr)|(kdp)|(\|lc)|(penalty))" /e /r /s</v>
      </c>
      <c r="U42" s="9" t="str">
        <f t="shared" si="10"/>
        <v>4054</v>
      </c>
      <c r="V42" s="36">
        <f t="shared" si="11"/>
        <v>42677.911736111113</v>
      </c>
      <c r="W42" s="50" t="str">
        <f t="shared" si="12"/>
        <v>NW</v>
      </c>
      <c r="X42" s="50" t="str">
        <f t="shared" si="13"/>
        <v>KEEP</v>
      </c>
      <c r="Y42" s="122" t="str">
        <f t="shared" si="14"/>
        <v>echo {"issue":{"subject":"DUS 28S STOP, cleared afterward","project_id":79,"tracker_id":40,"status_id":1,"priority_id":2,"assigned_to_id":23,"start_date":"2016-11-03","description":"","custom_fields":[{"id":1,"name":"Subdivision","value":"NW"},{"id":4,"name":"Milepost","value":"0.479"},{"id":17,"name":"Train ID","value":"826-03"},{"id":16,"name":"Locomotive ID","value":"4054"},{"id":130,"name":"Impact","value":""},{"id":150,"name":"Time of Event (Mountain Time)","value":"15:52:54"},{"id":151,"name":"Denver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15"/>
        <v>grep -hSE -A100 "Enforcement Action" "%USERPROFILE%\AppData\Local\Temp\OnboardLogs"\RTDC4054\*4054*201611032* | grep -SE "((Enforcement Ac)|(PRM))" -</v>
      </c>
      <c r="AD42" s="1"/>
    </row>
    <row r="43" spans="1:30" x14ac:dyDescent="0.25">
      <c r="A43" s="36">
        <v>42677.682673611111</v>
      </c>
      <c r="B43" s="31" t="s">
        <v>431</v>
      </c>
      <c r="C43" s="31" t="s">
        <v>432</v>
      </c>
      <c r="D43" s="31" t="s">
        <v>49</v>
      </c>
      <c r="E43" s="31" t="s">
        <v>218</v>
      </c>
      <c r="F43" s="47">
        <v>0</v>
      </c>
      <c r="G43" s="47">
        <v>142</v>
      </c>
      <c r="H43" s="47">
        <v>5228</v>
      </c>
      <c r="I43" s="47">
        <v>5082</v>
      </c>
      <c r="J43" s="31" t="s">
        <v>219</v>
      </c>
      <c r="K43" s="47">
        <v>4790</v>
      </c>
      <c r="L43" s="157" t="s">
        <v>51</v>
      </c>
      <c r="M43" s="158">
        <f t="shared" si="8"/>
        <v>154.17599999999999</v>
      </c>
      <c r="N43" s="159" t="str">
        <f>VLOOKUP(C43,'Trips&amp;Operators'!$C$1:$E$99999,3,FALSE)</f>
        <v>MAGEE</v>
      </c>
      <c r="O43" s="184" t="s">
        <v>215</v>
      </c>
      <c r="P43" s="160" t="s">
        <v>794</v>
      </c>
      <c r="Q43" s="31"/>
      <c r="R43" s="100" t="str">
        <f>VLOOKUP(C43,'Train Runs'!$A$13:$AE$10007,31,0)</f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S43" s="103" t="str">
        <f>VLOOKUP(C43,'Train Runs'!$A$13:$AE$10007,22,0)</f>
        <v>https://search-rtdc-monitor-bjffxe2xuh6vdkpspy63sjmuny.us-east-1.es.amazonaws.com/_plugin/kibana/#/discover/Steve-Slow-Train-Analysis-(2080s-and-2083s)?_g=(refreshInterval:(display:Off,section:0,value:0),time:(from:'2016-11-03 15:05:35-0600',mode:absolute,to:'2016-11-03 17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3" s="105" t="str">
        <f t="shared" si="9"/>
        <v>"C:\Program Files (x86)\AstroGrep\AstroGrep.exe" /spath="%USERPROFILE%\AppData\Local\Temp\OnboardLogs" /stypes="*4012*201611032*" /stext=" 22:.+((SYSTEM_STATE.+slice.+state.+changed )|(ment ac)|(system.+state.+changed )|(\[timeout)|(PRM\|1\|D)|(kpr)|(kdp)|(\|lc)|(penalty))" /e /r /s</v>
      </c>
      <c r="U43" s="9" t="str">
        <f t="shared" si="10"/>
        <v>4012</v>
      </c>
      <c r="V43" s="36">
        <f t="shared" si="11"/>
        <v>42677.932673611111</v>
      </c>
      <c r="W43" s="50" t="str">
        <f t="shared" si="12"/>
        <v>NW</v>
      </c>
      <c r="X43" s="50" t="str">
        <f t="shared" si="13"/>
        <v>KEEP</v>
      </c>
      <c r="Y43" s="122" t="str">
        <f t="shared" si="14"/>
        <v>echo {"issue":{"subject":"DUS 28S STOP, cleared afterward","project_id":79,"tracker_id":40,"status_id":1,"priority_id":2,"assigned_to_id":23,"start_date":"2016-11-03","description":"","custom_fields":[{"id":1,"name":"Subdivision","value":"NW"},{"id":4,"name":"Milepost","value":"0.479"},{"id":17,"name":"Train ID","value":"828-03"},{"id":16,"name":"Locomotive ID","value":"4012"},{"id":130,"name":"Impact","value":""},{"id":150,"name":"Time of Event (Mountain Time)","value":"16:23:03"},{"id":151,"name":"Denver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15"/>
        <v>grep -hSE -A100 "Enforcement Action" "%USERPROFILE%\AppData\Local\Temp\OnboardLogs"\RTDC4012\*4012*201611032* | grep -SE "((Enforcement Ac)|(PRM))" -</v>
      </c>
      <c r="AD43" s="1"/>
    </row>
    <row r="44" spans="1:30" x14ac:dyDescent="0.25">
      <c r="A44" s="36">
        <v>42677.326655092591</v>
      </c>
      <c r="B44" s="31" t="s">
        <v>348</v>
      </c>
      <c r="C44" s="31" t="s">
        <v>407</v>
      </c>
      <c r="D44" s="31" t="s">
        <v>98</v>
      </c>
      <c r="E44" s="31" t="s">
        <v>218</v>
      </c>
      <c r="F44" s="47">
        <v>0</v>
      </c>
      <c r="G44" s="47">
        <v>10</v>
      </c>
      <c r="H44" s="47">
        <v>26166</v>
      </c>
      <c r="I44" s="47">
        <v>26113</v>
      </c>
      <c r="J44" s="31" t="s">
        <v>219</v>
      </c>
      <c r="K44" s="47">
        <v>27253</v>
      </c>
      <c r="L44" s="157" t="s">
        <v>51</v>
      </c>
      <c r="M44" s="158">
        <f t="shared" si="8"/>
        <v>-601.91999999999996</v>
      </c>
      <c r="N44" s="159" t="str">
        <f>VLOOKUP(C44,'Trips&amp;Operators'!$C$1:$E$99999,3,FALSE)</f>
        <v>DAVIDSON</v>
      </c>
      <c r="O44" s="184" t="s">
        <v>281</v>
      </c>
      <c r="P44" s="160" t="s">
        <v>791</v>
      </c>
      <c r="Q44" s="31"/>
      <c r="R44" s="100" t="str">
        <f>VLOOKUP(C44,'Train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4" s="103" t="str">
        <f>VLOOKUP(C44,'Train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06:36:31-0600',mode:absolute,to:'2016-11-03 08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4" s="105" t="str">
        <f t="shared" si="9"/>
        <v>"C:\Program Files (x86)\AstroGrep\AstroGrep.exe" /spath="%USERPROFILE%\AppData\Local\Temp\OnboardLogs" /stypes="*4054*201611031*" /stext=" 13:.+((SYSTEM_STATE.+slice.+state.+changed )|(ment ac)|(system.+state.+changed )|(\[timeout)|(PRM\|1\|D)|(kpr)|(kdp)|(\|lc)|(penalty))" /e /r /s</v>
      </c>
      <c r="U44" s="9" t="str">
        <f t="shared" si="10"/>
        <v>4054</v>
      </c>
      <c r="V44" s="36">
        <f t="shared" si="11"/>
        <v>42677.576655092591</v>
      </c>
      <c r="W44" s="50" t="str">
        <f t="shared" si="12"/>
        <v>NW</v>
      </c>
      <c r="X44" s="50" t="str">
        <f t="shared" si="13"/>
        <v>KEEP</v>
      </c>
      <c r="Y44" s="122" t="str">
        <f t="shared" si="14"/>
        <v>echo {"issue":{"subject":"NW0333RH switch failure","project_id":79,"tracker_id":40,"status_id":1,"priority_id":2,"assigned_to_id":23,"start_date":"2016-11-03","description":"","custom_fields":[{"id":1,"name":"Subdivision","value":"NW"},{"id":4,"name":"Milepost","value":"2.7253"},{"id":17,"name":"Train ID","value":"808-03"},{"id":16,"name":"Locomotive ID","value":"4054"},{"id":130,"name":"Impact","value":""},{"id":150,"name":"Time of Event (Mountain Time)","value":"07:50:23"},{"id":151,"name":"Denver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15"/>
        <v>grep -hSE -A100 "Enforcement Action" "%USERPROFILE%\AppData\Local\Temp\OnboardLogs"\RTDC4054\*4054*201611031* | grep -SE "((Enforcement Ac)|(PRM))" -</v>
      </c>
      <c r="AD44" s="1"/>
    </row>
    <row r="45" spans="1:30" x14ac:dyDescent="0.25">
      <c r="A45" s="36">
        <v>42677.325949074075</v>
      </c>
      <c r="B45" s="31" t="s">
        <v>348</v>
      </c>
      <c r="C45" s="31" t="s">
        <v>407</v>
      </c>
      <c r="D45" s="31" t="s">
        <v>49</v>
      </c>
      <c r="E45" s="31" t="s">
        <v>300</v>
      </c>
      <c r="F45" s="47">
        <v>0</v>
      </c>
      <c r="G45" s="47">
        <v>502</v>
      </c>
      <c r="H45" s="47">
        <v>27939</v>
      </c>
      <c r="I45" s="47">
        <v>26160</v>
      </c>
      <c r="J45" s="31" t="s">
        <v>301</v>
      </c>
      <c r="K45" s="47">
        <v>27253</v>
      </c>
      <c r="L45" s="157" t="s">
        <v>51</v>
      </c>
      <c r="M45" s="158">
        <f t="shared" si="8"/>
        <v>-577.10400000000004</v>
      </c>
      <c r="N45" s="159" t="str">
        <f>VLOOKUP(C45,'Trips&amp;Operators'!$C$1:$E$99999,3,FALSE)</f>
        <v>DAVIDSON</v>
      </c>
      <c r="O45" s="184" t="s">
        <v>281</v>
      </c>
      <c r="P45" s="160" t="s">
        <v>791</v>
      </c>
      <c r="Q45" s="31"/>
      <c r="R45" s="100" t="str">
        <f>VLOOKUP(C45,'Train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5" s="103" t="str">
        <f>VLOOKUP(C45,'Train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06:36:31-0600',mode:absolute,to:'2016-11-03 08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5" s="105" t="str">
        <f t="shared" si="9"/>
        <v>"C:\Program Files (x86)\AstroGrep\AstroGrep.exe" /spath="%USERPROFILE%\AppData\Local\Temp\OnboardLogs" /stypes="*4054*201611031*" /stext=" 13:.+((SYSTEM_STATE.+slice.+state.+changed )|(ment ac)|(system.+state.+changed )|(\[timeout)|(PRM\|1\|D)|(kpr)|(kdp)|(\|lc)|(penalty))" /e /r /s</v>
      </c>
      <c r="U45" s="9" t="str">
        <f t="shared" si="10"/>
        <v>4054</v>
      </c>
      <c r="V45" s="36">
        <f t="shared" si="11"/>
        <v>42677.575949074075</v>
      </c>
      <c r="W45" s="50" t="str">
        <f t="shared" si="12"/>
        <v>NW</v>
      </c>
      <c r="X45" s="50" t="str">
        <f t="shared" si="13"/>
        <v>KEEP</v>
      </c>
      <c r="Y45" s="122" t="str">
        <f t="shared" si="14"/>
        <v>echo {"issue":{"subject":"NW0333RH switch failure","project_id":79,"tracker_id":40,"status_id":1,"priority_id":2,"assigned_to_id":23,"start_date":"2016-11-03","description":"","custom_fields":[{"id":1,"name":"Subdivision","value":"NW"},{"id":4,"name":"Milepost","value":"2.7253"},{"id":17,"name":"Train ID","value":"808-03"},{"id":16,"name":"Locomotive ID","value":"4054"},{"id":130,"name":"Impact","value":""},{"id":150,"name":"Time of Event (Mountain Time)","value":"07:49:22"},{"id":151,"name":"Denver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15"/>
        <v>grep -hSE -A100 "Enforcement Action" "%USERPROFILE%\AppData\Local\Temp\OnboardLogs"\RTDC4054\*4054*201611031* | grep -SE "((Enforcement Ac)|(PRM))" -</v>
      </c>
      <c r="AD45" s="1"/>
    </row>
    <row r="46" spans="1:30" x14ac:dyDescent="0.25">
      <c r="A46" s="36">
        <v>42677.324756944443</v>
      </c>
      <c r="B46" s="31" t="s">
        <v>348</v>
      </c>
      <c r="C46" s="31" t="s">
        <v>407</v>
      </c>
      <c r="D46" s="31" t="s">
        <v>49</v>
      </c>
      <c r="E46" s="31" t="s">
        <v>300</v>
      </c>
      <c r="F46" s="47">
        <v>0</v>
      </c>
      <c r="G46" s="47">
        <v>325</v>
      </c>
      <c r="H46" s="47">
        <v>32015</v>
      </c>
      <c r="I46" s="47">
        <v>30813</v>
      </c>
      <c r="J46" s="31" t="s">
        <v>301</v>
      </c>
      <c r="K46" s="47">
        <v>30521</v>
      </c>
      <c r="L46" s="157" t="s">
        <v>51</v>
      </c>
      <c r="M46" s="158">
        <f t="shared" si="8"/>
        <v>154.17599999999999</v>
      </c>
      <c r="N46" s="159" t="str">
        <f>VLOOKUP(C46,'Trips&amp;Operators'!$C$1:$E$99999,3,FALSE)</f>
        <v>DAVIDSON</v>
      </c>
      <c r="O46" s="184" t="s">
        <v>281</v>
      </c>
      <c r="P46" s="160" t="s">
        <v>791</v>
      </c>
      <c r="Q46" s="31"/>
      <c r="R46" s="100" t="str">
        <f>VLOOKUP(C46,'Train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6" s="103" t="str">
        <f>VLOOKUP(C46,'Train Runs'!$A$13:$AE$10007,22,0)</f>
        <v>https://search-rtdc-monitor-bjffxe2xuh6vdkpspy63sjmuny.us-east-1.es.amazonaws.com/_plugin/kibana/#/discover/Steve-Slow-Train-Analysis-(2080s-and-2083s)?_g=(refreshInterval:(display:Off,section:0,value:0),time:(from:'2016-11-03 06:36:31-0600',mode:absolute,to:'2016-11-03 08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6" s="105" t="str">
        <f t="shared" si="9"/>
        <v>"C:\Program Files (x86)\AstroGrep\AstroGrep.exe" /spath="%USERPROFILE%\AppData\Local\Temp\OnboardLogs" /stypes="*4054*201611031*" /stext=" 13:.+((SYSTEM_STATE.+slice.+state.+changed )|(ment ac)|(system.+state.+changed )|(\[timeout)|(PRM\|1\|D)|(kpr)|(kdp)|(\|lc)|(penalty))" /e /r /s</v>
      </c>
      <c r="U46" s="9" t="str">
        <f t="shared" si="10"/>
        <v>4054</v>
      </c>
      <c r="V46" s="36">
        <f t="shared" si="11"/>
        <v>42677.574756944443</v>
      </c>
      <c r="W46" s="50" t="str">
        <f t="shared" si="12"/>
        <v>NW</v>
      </c>
      <c r="X46" s="50" t="str">
        <f t="shared" si="13"/>
        <v>KEEP</v>
      </c>
      <c r="Y46" s="122" t="str">
        <f t="shared" si="14"/>
        <v>echo {"issue":{"subject":"NW0333RH switch failure","project_id":79,"tracker_id":40,"status_id":1,"priority_id":2,"assigned_to_id":23,"start_date":"2016-11-03","description":"","custom_fields":[{"id":1,"name":"Subdivision","value":"NW"},{"id":4,"name":"Milepost","value":"3.0521"},{"id":17,"name":"Train ID","value":"808-03"},{"id":16,"name":"Locomotive ID","value":"4054"},{"id":130,"name":"Impact","value":""},{"id":150,"name":"Time of Event (Mountain Time)","value":"07:47:39"},{"id":151,"name":"Denver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15"/>
        <v>grep -hSE -A100 "Enforcement Action" "%USERPROFILE%\AppData\Local\Temp\OnboardLogs"\RTDC4054\*4054*201611031* | grep -SE "((Enforcement Ac)|(PRM))" -</v>
      </c>
      <c r="AD46" s="1"/>
    </row>
    <row r="47" spans="1:30" x14ac:dyDescent="0.25">
      <c r="A47" s="36">
        <v>42677.290324074071</v>
      </c>
      <c r="B47" s="31" t="s">
        <v>348</v>
      </c>
      <c r="C47" s="31" t="s">
        <v>405</v>
      </c>
      <c r="D47" s="31" t="s">
        <v>49</v>
      </c>
      <c r="E47" s="31" t="s">
        <v>220</v>
      </c>
      <c r="F47" s="47">
        <v>0</v>
      </c>
      <c r="G47" s="47">
        <v>50</v>
      </c>
      <c r="H47" s="47">
        <v>762</v>
      </c>
      <c r="I47" s="47">
        <v>717</v>
      </c>
      <c r="J47" s="31" t="s">
        <v>221</v>
      </c>
      <c r="K47" s="47">
        <v>575</v>
      </c>
      <c r="L47" s="157" t="s">
        <v>51</v>
      </c>
      <c r="M47" s="158">
        <f t="shared" si="8"/>
        <v>74.975999999999999</v>
      </c>
      <c r="N47" s="159" t="str">
        <f>VLOOKUP(C47,'Trips&amp;Operators'!$C$1:$E$99999,3,FALSE)</f>
        <v>DAVIDSON</v>
      </c>
      <c r="O47" s="184" t="s">
        <v>215</v>
      </c>
      <c r="P47" s="160"/>
      <c r="Q47" s="31"/>
      <c r="R47" s="100" t="str">
        <f>VLOOKUP(C47,'Train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7" s="103" t="str">
        <f>VLOOKUP(C47,'Train Runs'!$A$13:$AE$10007,22,0)</f>
        <v>https://search-rtdc-monitor-bjffxe2xuh6vdkpspy63sjmuny.us-east-1.es.amazonaws.com/_plugin/kibana/#/discover/Steve-Slow-Train-Analysis-(2080s-and-2083s)?_g=(refreshInterval:(display:Off,section:0,value:0),time:(from:'2016-11-03 05:42:58-0600',mode:absolute,to:'2016-11-03 07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7" s="105" t="str">
        <f t="shared" si="9"/>
        <v>"C:\Program Files (x86)\AstroGrep\AstroGrep.exe" /spath="%USERPROFILE%\AppData\Local\Temp\OnboardLogs" /stypes="*4054*201611031*" /stext=" 12:.+((SYSTEM_STATE.+slice.+state.+changed )|(ment ac)|(system.+state.+changed )|(\[timeout)|(PRM\|1\|D)|(kpr)|(kdp)|(\|lc)|(penalty))" /e /r /s</v>
      </c>
      <c r="U47" s="9" t="str">
        <f t="shared" si="10"/>
        <v>4054</v>
      </c>
      <c r="V47" s="36">
        <f t="shared" si="11"/>
        <v>42677.540324074071</v>
      </c>
      <c r="W47" s="50" t="str">
        <f t="shared" si="12"/>
        <v>NW</v>
      </c>
      <c r="X47" s="50" t="str">
        <f t="shared" si="13"/>
        <v>KEEP</v>
      </c>
      <c r="Y47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{"issue":{"subject":"","project_id":79,"tracker_id":40,"status_id":1,"priority_id":2,"assigned_to_id":23,"start_date":"2016-11-03","description":"","custom_fields":[{"id":1,"name":"Subdivision","value":"NW"},{"id":4,"name":"Milepost","value":"0.0575"},{"id":17,"name":"Train ID","value":"804-03"},{"id":16,"name":"Locomotive ID","value":"4054"},{"id":130,"name":"Impact","value":""},{"id":150,"name":"Time of Event (Mountain Time)","value":"06:58:04"},{"id":151,"name":"Denver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15"/>
        <v>grep -hSE -A100 "Enforcement Action" "%USERPROFILE%\AppData\Local\Temp\OnboardLogs"\RTDC4054\*4054*201611031* | grep -SE "((Enforcement Ac)|(PRM))" -</v>
      </c>
      <c r="AD47" s="1"/>
    </row>
    <row r="48" spans="1:30" x14ac:dyDescent="0.25">
      <c r="A48" s="36">
        <v>42677.413240740738</v>
      </c>
      <c r="B48" s="31" t="s">
        <v>348</v>
      </c>
      <c r="C48" s="31" t="s">
        <v>413</v>
      </c>
      <c r="D48" s="31" t="s">
        <v>49</v>
      </c>
      <c r="E48" s="31" t="s">
        <v>220</v>
      </c>
      <c r="F48" s="47">
        <v>0</v>
      </c>
      <c r="G48" s="47">
        <v>64</v>
      </c>
      <c r="H48" s="47">
        <v>817</v>
      </c>
      <c r="I48" s="47">
        <v>759</v>
      </c>
      <c r="J48" s="31" t="s">
        <v>221</v>
      </c>
      <c r="K48" s="47">
        <v>575</v>
      </c>
      <c r="L48" s="157" t="s">
        <v>51</v>
      </c>
      <c r="M48" s="158">
        <f t="shared" si="8"/>
        <v>97.152000000000001</v>
      </c>
      <c r="N48" s="159" t="str">
        <f>VLOOKUP(C48,'Trips&amp;Operators'!$C$1:$E$99999,3,FALSE)</f>
        <v>DAVIDSON</v>
      </c>
      <c r="O48" s="184" t="s">
        <v>215</v>
      </c>
      <c r="P48" s="160"/>
      <c r="Q48" s="31"/>
      <c r="R48" s="100" t="str">
        <f>VLOOKUP(C48,'Train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48" s="103" t="str">
        <f>VLOOKUP(C48,'Train Runs'!$A$13:$AE$10007,22,0)</f>
        <v>https://search-rtdc-monitor-bjffxe2xuh6vdkpspy63sjmuny.us-east-1.es.amazonaws.com/_plugin/kibana/#/discover/Steve-Slow-Train-Analysis-(2080s-and-2083s)?_g=(refreshInterval:(display:Off,section:0,value:0),time:(from:'2016-11-03 08:37:18-0600',mode:absolute,to:'2016-11-03 10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8" s="105" t="str">
        <f t="shared" si="9"/>
        <v>"C:\Program Files (x86)\AstroGrep\AstroGrep.exe" /spath="%USERPROFILE%\AppData\Local\Temp\OnboardLogs" /stypes="*4054*201611031*" /stext=" 15:.+((SYSTEM_STATE.+slice.+state.+changed )|(ment ac)|(system.+state.+changed )|(\[timeout)|(PRM\|1\|D)|(kpr)|(kdp)|(\|lc)|(penalty))" /e /r /s</v>
      </c>
      <c r="U48" s="9" t="str">
        <f t="shared" si="10"/>
        <v>4054</v>
      </c>
      <c r="V48" s="36">
        <f t="shared" si="11"/>
        <v>42677.663240740738</v>
      </c>
      <c r="W48" s="50" t="str">
        <f t="shared" si="12"/>
        <v>NW</v>
      </c>
      <c r="X48" s="50" t="str">
        <f t="shared" si="13"/>
        <v>KEEP</v>
      </c>
      <c r="Y48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{"issue":{"subject":"","project_id":79,"tracker_id":40,"status_id":1,"priority_id":2,"assigned_to_id":23,"start_date":"2016-11-03","description":"","custom_fields":[{"id":1,"name":"Subdivision","value":"NW"},{"id":4,"name":"Milepost","value":"0.0575"},{"id":17,"name":"Train ID","value":"814-03"},{"id":16,"name":"Locomotive ID","value":"4054"},{"id":130,"name":"Impact","value":""},{"id":150,"name":"Time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15"/>
        <v>grep -hSE -A100 "Enforcement Action" "%USERPROFILE%\AppData\Local\Temp\OnboardLogs"\RTDC4054\*4054*201611031* | grep -SE "((Enforcement Ac)|(PRM))" -</v>
      </c>
      <c r="AD48" s="1"/>
    </row>
    <row r="49" spans="1:30" x14ac:dyDescent="0.25">
      <c r="A49" s="36">
        <v>42677.684374999997</v>
      </c>
      <c r="B49" s="31" t="s">
        <v>431</v>
      </c>
      <c r="C49" s="31" t="s">
        <v>432</v>
      </c>
      <c r="D49" s="31" t="s">
        <v>49</v>
      </c>
      <c r="E49" s="31" t="s">
        <v>220</v>
      </c>
      <c r="F49" s="47">
        <v>0</v>
      </c>
      <c r="G49" s="47">
        <v>46</v>
      </c>
      <c r="H49" s="47">
        <v>736</v>
      </c>
      <c r="I49" s="47">
        <v>682</v>
      </c>
      <c r="J49" s="31" t="s">
        <v>221</v>
      </c>
      <c r="K49" s="47">
        <v>575</v>
      </c>
      <c r="L49" s="157" t="s">
        <v>51</v>
      </c>
      <c r="M49" s="158">
        <f t="shared" si="8"/>
        <v>56.496000000000002</v>
      </c>
      <c r="N49" s="159" t="str">
        <f>VLOOKUP(C49,'Trips&amp;Operators'!$C$1:$E$99999,3,FALSE)</f>
        <v>MAGEE</v>
      </c>
      <c r="O49" s="184" t="s">
        <v>215</v>
      </c>
      <c r="P49" s="160"/>
      <c r="Q49" s="31"/>
      <c r="R49" s="100" t="str">
        <f>VLOOKUP(C49,'Train Runs'!$A$13:$AE$10007,31,0)</f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S49" s="103" t="str">
        <f>VLOOKUP(C49,'Train Runs'!$A$13:$AE$10007,22,0)</f>
        <v>https://search-rtdc-monitor-bjffxe2xuh6vdkpspy63sjmuny.us-east-1.es.amazonaws.com/_plugin/kibana/#/discover/Steve-Slow-Train-Analysis-(2080s-and-2083s)?_g=(refreshInterval:(display:Off,section:0,value:0),time:(from:'2016-11-03 15:05:35-0600',mode:absolute,to:'2016-11-03 17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9" s="105" t="str">
        <f t="shared" si="9"/>
        <v>"C:\Program Files (x86)\AstroGrep\AstroGrep.exe" /spath="%USERPROFILE%\AppData\Local\Temp\OnboardLogs" /stypes="*4012*201611032*" /stext=" 22:.+((SYSTEM_STATE.+slice.+state.+changed )|(ment ac)|(system.+state.+changed )|(\[timeout)|(PRM\|1\|D)|(kpr)|(kdp)|(\|lc)|(penalty))" /e /r /s</v>
      </c>
      <c r="U49" s="9" t="str">
        <f t="shared" si="10"/>
        <v>4012</v>
      </c>
      <c r="V49" s="36">
        <f t="shared" si="11"/>
        <v>42677.934374999997</v>
      </c>
      <c r="W49" s="50" t="str">
        <f t="shared" si="12"/>
        <v>NW</v>
      </c>
      <c r="X49" s="50" t="str">
        <f t="shared" si="13"/>
        <v>KEEP</v>
      </c>
      <c r="Y49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{"issue":{"subject":"","project_id":79,"tracker_id":40,"status_id":1,"priority_id":2,"assigned_to_id":23,"start_date":"2016-11-03","description":"","custom_fields":[{"id":1,"name":"Subdivision","value":"NW"},{"id":4,"name":"Milepost","value":"0.0575"},{"id":17,"name":"Train ID","value":"828-03"},{"id":16,"name":"Locomotive ID","value":"4012"},{"id":130,"name":"Impact","value":""},{"id":150,"name":"Time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15"/>
        <v>grep -hSE -A100 "Enforcement Action" "%USERPROFILE%\AppData\Local\Temp\OnboardLogs"\RTDC4012\*4012*201611032* | grep -SE "((Enforcement Ac)|(PRM))" -</v>
      </c>
      <c r="AD49" s="1"/>
    </row>
    <row r="50" spans="1:30" x14ac:dyDescent="0.25">
      <c r="A50" s="36">
        <v>42677.769895833335</v>
      </c>
      <c r="B50" s="31" t="s">
        <v>431</v>
      </c>
      <c r="C50" s="31" t="s">
        <v>440</v>
      </c>
      <c r="D50" s="31" t="s">
        <v>49</v>
      </c>
      <c r="E50" s="31" t="s">
        <v>220</v>
      </c>
      <c r="F50" s="47">
        <v>0</v>
      </c>
      <c r="G50" s="47">
        <v>46</v>
      </c>
      <c r="H50" s="47">
        <v>729</v>
      </c>
      <c r="I50" s="47">
        <v>703</v>
      </c>
      <c r="J50" s="31" t="s">
        <v>221</v>
      </c>
      <c r="K50" s="47">
        <v>575</v>
      </c>
      <c r="L50" s="157" t="s">
        <v>51</v>
      </c>
      <c r="M50" s="158">
        <f t="shared" si="8"/>
        <v>67.584000000000003</v>
      </c>
      <c r="N50" s="159" t="str">
        <f>VLOOKUP(C50,'Trips&amp;Operators'!$C$1:$E$99999,3,FALSE)</f>
        <v>MAGEE</v>
      </c>
      <c r="O50" s="184" t="s">
        <v>215</v>
      </c>
      <c r="P50" s="160"/>
      <c r="Q50" s="31"/>
      <c r="R50" s="100" t="str">
        <f>VLOOKUP(C50,'Train Runs'!$A$13:$AE$10007,31,0)</f>
        <v>aws s3 cp s3://rtdc.mdm.uploadarchive.raw/RTDC4012/ "%USERPROFILE%\AppData\Local\Temp\OnboardLogs"\RTDC4012\2016-11-03 --exclude "*" --recursive --include "*20161103*" &amp; "%USERPROFILE%\Documents\GitHub\mrs-test-scripts\Headless Mode &amp; Sideloading\WalkAndUnGZ.bat" "%USERPROFILE%\AppData\Local\Temp\OnboardLogs"\RTDC4012\2016-11-03 &amp; 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</v>
      </c>
      <c r="S50" s="103" t="str">
        <f>VLOOKUP(C50,'Train Runs'!$A$13:$AE$10007,22,0)</f>
        <v>https://search-rtdc-monitor-bjffxe2xuh6vdkpspy63sjmuny.us-east-1.es.amazonaws.com/_plugin/kibana/#/discover/Steve-Slow-Train-Analysis-(2080s-and-2083s)?_g=(refreshInterval:(display:Off,section:0,value:0),time:(from:'2016-11-03 17:07:05-0600',mode:absolute,to:'2016-11-03 19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50" s="105" t="str">
        <f t="shared" si="9"/>
        <v>"C:\Program Files (x86)\AstroGrep\AstroGrep.exe" /spath="%USERPROFILE%\AppData\Local\Temp\OnboardLogs" /stypes="*4012*201611040*" /stext=" 00:.+((SYSTEM_STATE.+slice.+state.+changed )|(ment ac)|(system.+state.+changed )|(\[timeout)|(PRM\|1\|D)|(kpr)|(kdp)|(\|lc)|(penalty))" /e /r /s</v>
      </c>
      <c r="U50" s="9" t="str">
        <f t="shared" si="10"/>
        <v>4012</v>
      </c>
      <c r="V50" s="36">
        <f t="shared" si="11"/>
        <v>42678.019895833335</v>
      </c>
      <c r="W50" s="50" t="str">
        <f t="shared" si="12"/>
        <v>NW</v>
      </c>
      <c r="X50" s="50" t="str">
        <f t="shared" si="13"/>
        <v>KEEP</v>
      </c>
      <c r="Y50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{"issue":{"subject":"","project_id":79,"tracker_id":40,"status_id":1,"priority_id":2,"assigned_to_id":23,"start_date":"2016-11-03","description":"","custom_fields":[{"id":1,"name":"Subdivision","value":"NW"},{"id":4,"name":"Milepost","value":"0.0575"},{"id":17,"name":"Train ID","value":"836-03"},{"id":16,"name":"Locomotive ID","value":"4012"},{"id":130,"name":"Impact","value":""},{"id":150,"name":"Time of Event (Mountain Time)","value":"18:28:39"},{"id":151,"name":"Denver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15"/>
        <v>grep -hSE -A100 "Enforcement Action" "%USERPROFILE%\AppData\Local\Temp\OnboardLogs"\RTDC4012\*4012*201611040* | grep -SE "((Enforcement Ac)|(PRM))" -</v>
      </c>
      <c r="AD50" s="1"/>
    </row>
    <row r="51" spans="1:30" x14ac:dyDescent="0.25">
      <c r="A51" s="36">
        <v>42677.941712962966</v>
      </c>
      <c r="B51" s="31" t="s">
        <v>352</v>
      </c>
      <c r="C51" s="31" t="s">
        <v>446</v>
      </c>
      <c r="D51" s="31" t="s">
        <v>49</v>
      </c>
      <c r="E51" s="31" t="s">
        <v>220</v>
      </c>
      <c r="F51" s="47">
        <v>0</v>
      </c>
      <c r="G51" s="47">
        <v>145</v>
      </c>
      <c r="H51" s="47">
        <v>58443</v>
      </c>
      <c r="I51" s="47">
        <v>58617</v>
      </c>
      <c r="J51" s="31" t="s">
        <v>221</v>
      </c>
      <c r="K51" s="47">
        <v>59048</v>
      </c>
      <c r="L51" s="157" t="s">
        <v>50</v>
      </c>
      <c r="M51" s="158">
        <f t="shared" si="8"/>
        <v>227.56800000000001</v>
      </c>
      <c r="N51" s="159" t="str">
        <f>VLOOKUP(C51,'Trips&amp;Operators'!$C$1:$E$99999,3,FALSE)</f>
        <v>MAGEE</v>
      </c>
      <c r="O51" s="184" t="s">
        <v>215</v>
      </c>
      <c r="P51" s="160"/>
      <c r="Q51" s="31"/>
      <c r="R51" s="100" t="str">
        <f>VLOOKUP(C51,'Train Runs'!$A$13:$AE$10007,31,0)</f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S51" s="103" t="str">
        <f>VLOOKUP(C51,'Train Runs'!$A$13:$AE$10007,22,0)</f>
        <v>https://search-rtdc-monitor-bjffxe2xuh6vdkpspy63sjmuny.us-east-1.es.amazonaws.com/_plugin/kibana/#/discover/Steve-Slow-Train-Analysis-(2080s-and-2083s)?_g=(refreshInterval:(display:Off,section:0,value:0),time:(from:'2016-11-03 20:56:52-0600',mode:absolute,to:'2016-11-03 23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1" s="105" t="str">
        <f t="shared" si="9"/>
        <v>"C:\Program Files (x86)\AstroGrep\AstroGrep.exe" /spath="%USERPROFILE%\AppData\Local\Temp\OnboardLogs" /stypes="*4053*201611040*" /stext=" 04:.+((SYSTEM_STATE.+slice.+state.+changed )|(ment ac)|(system.+state.+changed )|(\[timeout)|(PRM\|1\|D)|(kpr)|(kdp)|(\|lc)|(penalty))" /e /r /s</v>
      </c>
      <c r="U51" s="9" t="str">
        <f t="shared" si="10"/>
        <v>4053</v>
      </c>
      <c r="V51" s="36">
        <f t="shared" si="11"/>
        <v>42678.191712962966</v>
      </c>
      <c r="W51" s="50" t="str">
        <f t="shared" si="12"/>
        <v>NW</v>
      </c>
      <c r="X51" s="50" t="str">
        <f t="shared" si="13"/>
        <v>KEEP</v>
      </c>
      <c r="Y51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{"issue":{"subject":"","project_id":79,"tracker_id":40,"status_id":1,"priority_id":2,"assigned_to_id":23,"start_date":"2016-11-03","description":"","custom_fields":[{"id":1,"name":"Subdivision","value":"NW"},{"id":4,"name":"Milepost","value":"5.9048"},{"id":17,"name":"Train ID","value":"847-03"},{"id":16,"name":"Locomotive ID","value":"4053"},{"id":130,"name":"Impact","value":""},{"id":150,"name":"Time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 t="shared" si="15"/>
        <v>grep -hSE -A100 "Enforcement Action" "%USERPROFILE%\AppData\Local\Temp\OnboardLogs"\RTDC4053\*4053*201611040* | grep -SE "((Enforcement Ac)|(PRM))" -</v>
      </c>
      <c r="AD51" s="1"/>
    </row>
    <row r="52" spans="1:30" x14ac:dyDescent="0.25">
      <c r="A52" s="36">
        <v>42677.942303240743</v>
      </c>
      <c r="B52" s="31" t="s">
        <v>352</v>
      </c>
      <c r="C52" s="31" t="s">
        <v>446</v>
      </c>
      <c r="D52" s="31" t="s">
        <v>49</v>
      </c>
      <c r="E52" s="31" t="s">
        <v>220</v>
      </c>
      <c r="F52" s="47">
        <v>0</v>
      </c>
      <c r="G52" s="47">
        <v>54</v>
      </c>
      <c r="H52" s="47">
        <v>58854</v>
      </c>
      <c r="I52" s="47">
        <v>58903</v>
      </c>
      <c r="J52" s="31" t="s">
        <v>221</v>
      </c>
      <c r="K52" s="47">
        <v>59048</v>
      </c>
      <c r="L52" s="157" t="s">
        <v>50</v>
      </c>
      <c r="M52" s="158">
        <f t="shared" si="8"/>
        <v>76.56</v>
      </c>
      <c r="N52" s="159" t="str">
        <f>VLOOKUP(C52,'Trips&amp;Operators'!$C$1:$E$99999,3,FALSE)</f>
        <v>MAGEE</v>
      </c>
      <c r="O52" s="184" t="s">
        <v>215</v>
      </c>
      <c r="P52" s="160"/>
      <c r="Q52" s="31"/>
      <c r="R52" s="100" t="str">
        <f>VLOOKUP(C52,'Train Runs'!$A$13:$AE$10007,31,0)</f>
        <v>aws s3 cp s3://rtdc.mdm.uploadarchive.raw/RTDC4053/ "%USERPROFILE%\AppData\Local\Temp\OnboardLogs"\RTDC4053\2016-11-03 --exclude "*" --recursive --include "*20161103*" &amp; "%USERPROFILE%\Documents\GitHub\mrs-test-scripts\Headless Mode &amp; Sideloading\WalkAndUnGZ.bat" "%USERPROFILE%\AppData\Local\Temp\OnboardLogs"\RTDC4053\2016-11-03 &amp; 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</v>
      </c>
      <c r="S52" s="103" t="str">
        <f>VLOOKUP(C52,'Train Runs'!$A$13:$AE$10007,22,0)</f>
        <v>https://search-rtdc-monitor-bjffxe2xuh6vdkpspy63sjmuny.us-east-1.es.amazonaws.com/_plugin/kibana/#/discover/Steve-Slow-Train-Analysis-(2080s-and-2083s)?_g=(refreshInterval:(display:Off,section:0,value:0),time:(from:'2016-11-03 20:56:52-0600',mode:absolute,to:'2016-11-03 23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2" s="105" t="str">
        <f t="shared" si="9"/>
        <v>"C:\Program Files (x86)\AstroGrep\AstroGrep.exe" /spath="%USERPROFILE%\AppData\Local\Temp\OnboardLogs" /stypes="*4053*201611040*" /stext=" 04:.+((SYSTEM_STATE.+slice.+state.+changed )|(ment ac)|(system.+state.+changed )|(\[timeout)|(PRM\|1\|D)|(kpr)|(kdp)|(\|lc)|(penalty))" /e /r /s</v>
      </c>
      <c r="U52" s="9" t="str">
        <f t="shared" si="10"/>
        <v>4053</v>
      </c>
      <c r="V52" s="36">
        <f t="shared" si="11"/>
        <v>42678.192303240743</v>
      </c>
      <c r="W52" s="50" t="str">
        <f t="shared" si="12"/>
        <v>NW</v>
      </c>
      <c r="X52" s="50" t="str">
        <f t="shared" si="13"/>
        <v>KEEP</v>
      </c>
      <c r="Y52" s="122" t="str">
        <f t="shared" si="14"/>
        <v>echo {"issue":{"subject":"","project_id":79,"tracker_id":40,"status_id":1,"priority_id":2,"assigned_to_id":23,"start_date":"2016-11-03","description":"","custom_fields":[{"id":1,"name":"Subdivision","value":"NW"},{"id":4,"name":"Milepost","value":"5.9048"},{"id":17,"name":"Train ID","value":"847-03"},{"id":16,"name":"Locomotive ID","value":"4053"},{"id":130,"name":"Impact","value":""},{"id":150,"name":"Time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 t="shared" si="15"/>
        <v>grep -hSE -A100 "Enforcement Action" "%USERPROFILE%\AppData\Local\Temp\OnboardLogs"\RTDC4053\*4053*201611040* | grep -SE "((Enforcement Ac)|(PRM))" -</v>
      </c>
      <c r="AD52" s="1"/>
    </row>
    <row r="53" spans="1:30" x14ac:dyDescent="0.25">
      <c r="A53" s="36">
        <v>42677.445092592592</v>
      </c>
      <c r="B53" s="31" t="s">
        <v>238</v>
      </c>
      <c r="C53" s="31" t="s">
        <v>416</v>
      </c>
      <c r="D53" s="31" t="s">
        <v>49</v>
      </c>
      <c r="E53" s="31" t="s">
        <v>216</v>
      </c>
      <c r="F53" s="47">
        <v>200</v>
      </c>
      <c r="G53" s="47">
        <v>307</v>
      </c>
      <c r="H53" s="47">
        <v>7174</v>
      </c>
      <c r="I53" s="47">
        <v>5093</v>
      </c>
      <c r="J53" s="31" t="s">
        <v>217</v>
      </c>
      <c r="K53" s="47">
        <v>5782</v>
      </c>
      <c r="L53" s="157" t="s">
        <v>51</v>
      </c>
      <c r="M53" s="158">
        <f t="shared" si="8"/>
        <v>-363.79199999999997</v>
      </c>
      <c r="N53" s="159" t="str">
        <f>VLOOKUP(C53,'Trips&amp;Operators'!$C$1:$E$99999,3,FALSE)</f>
        <v>PUGH</v>
      </c>
      <c r="O53" s="184" t="s">
        <v>215</v>
      </c>
      <c r="P53" s="160"/>
      <c r="Q53" s="31"/>
      <c r="R53" s="100" t="str">
        <f>VLOOKUP(C53,'Train Runs'!$A$13:$AE$10007,31,0)</f>
        <v>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 &amp; aws s3 cp s3://rtdc.mdm.uploadarchive.raw/RTDC4001/ "%USERPROFILE%\AppData\Local\Temp\OnboardLogs"\RTDC4001\2016-11-04 --exclude "*" --recursive --include "*20161104*" &amp; "%USERPROFILE%\Documents\GitHub\mrs-test-scripts\Headless Mode &amp; Sideloading\WalkAndUnGZ.bat" "%USERPROFILE%\AppData\Local\Temp\OnboardLogs"\RTDC4001\2016-11-04</v>
      </c>
      <c r="S53" s="103" t="str">
        <f>VLOOKUP(C53,'Train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09:33:16-0600',mode:absolute,to:'2016-11-03 11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53" s="105" t="str">
        <f t="shared" si="9"/>
        <v>"C:\Program Files (x86)\AstroGrep\AstroGrep.exe" /spath="%USERPROFILE%\AppData\Local\Temp\OnboardLogs" /stypes="*4001*201611031*" /stext=" 16:.+((SYSTEM_STATE.+slice.+state.+changed )|(ment ac)|(system.+state.+changed )|(\[timeout)|(PRM\|1\|D)|(kpr)|(kdp)|(\|lc)|(penalty))" /e /r /s</v>
      </c>
      <c r="U53" s="9" t="str">
        <f t="shared" si="10"/>
        <v>4001</v>
      </c>
      <c r="V53" s="36">
        <f t="shared" si="11"/>
        <v>42677.695092592592</v>
      </c>
      <c r="W53" s="50" t="str">
        <f t="shared" si="12"/>
        <v>Other</v>
      </c>
      <c r="X53" s="50" t="str">
        <f t="shared" si="13"/>
        <v>KEEP</v>
      </c>
      <c r="Y53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{"issue":{"subject":"","project_id":79,"tracker_id":40,"status_id":1,"priority_id":2,"assigned_to_id":23,"start_date":"2016-11-03","description":"","custom_fields":[{"id":1,"name":"Subdivision","value":"Other"},{"id":4,"name":"Milepost","value":"0.5782"},{"id":17,"name":"Train ID","value":"50-03"},{"id":16,"name":"Locomotive ID","value":"4001"},{"id":130,"name":"Impact","value":""},{"id":150,"name":"Time of Event (Mountain Time)","value":"10:40:56"},{"id":151,"name":"Denver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41" t="str">
        <f t="shared" si="15"/>
        <v>grep -hSE -A100 "Enforcement Action" "%USERPROFILE%\AppData\Local\Temp\OnboardLogs"\RTDC4001\*4001*201611031* | grep -SE "((Enforcement Ac)|(PRM))" -</v>
      </c>
      <c r="AD53" s="1"/>
    </row>
    <row r="54" spans="1:30" x14ac:dyDescent="0.25">
      <c r="A54" s="36">
        <v>42677.945937500001</v>
      </c>
      <c r="B54" s="31" t="s">
        <v>348</v>
      </c>
      <c r="C54" s="31" t="s">
        <v>447</v>
      </c>
      <c r="D54" s="31" t="s">
        <v>98</v>
      </c>
      <c r="E54" s="31" t="s">
        <v>216</v>
      </c>
      <c r="F54" s="47">
        <v>150</v>
      </c>
      <c r="G54" s="47">
        <v>202</v>
      </c>
      <c r="H54" s="47">
        <v>56718</v>
      </c>
      <c r="I54" s="47">
        <v>56310</v>
      </c>
      <c r="J54" s="31" t="s">
        <v>217</v>
      </c>
      <c r="K54" s="47">
        <v>59050</v>
      </c>
      <c r="L54" s="157" t="s">
        <v>51</v>
      </c>
      <c r="M54" s="158">
        <f t="shared" si="8"/>
        <v>-1446.72</v>
      </c>
      <c r="N54" s="159" t="str">
        <f>VLOOKUP(C54,'Trips&amp;Operators'!$C$1:$E$99999,3,FALSE)</f>
        <v>MAGEE</v>
      </c>
      <c r="O54" s="184" t="s">
        <v>215</v>
      </c>
      <c r="P54" s="160"/>
      <c r="Q54" s="31"/>
      <c r="R54" s="100" t="str">
        <f>VLOOKUP(C54,'Train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54" s="103" t="str">
        <f>VLOOKUP(C54,'Train Runs'!$A$13:$AE$10007,22,0)</f>
        <v>https://search-rtdc-monitor-bjffxe2xuh6vdkpspy63sjmuny.us-east-1.es.amazonaws.com/_plugin/kibana/#/discover/Steve-Slow-Train-Analysis-(2080s-and-2083s)?_g=(refreshInterval:(display:Off,section:0,value:0),time:(from:'2016-11-03 21:39:09-0600',mode:absolute,to:'2016-11-03 23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54" s="105" t="str">
        <f t="shared" si="9"/>
        <v>"C:\Program Files (x86)\AstroGrep\AstroGrep.exe" /spath="%USERPROFILE%\AppData\Local\Temp\OnboardLogs" /stypes="*4054*201611040*" /stext=" 04:.+((SYSTEM_STATE.+slice.+state.+changed )|(ment ac)|(system.+state.+changed )|(\[timeout)|(PRM\|1\|D)|(kpr)|(kdp)|(\|lc)|(penalty))" /e /r /s</v>
      </c>
      <c r="U54" s="9" t="str">
        <f t="shared" si="10"/>
        <v>4054</v>
      </c>
      <c r="V54" s="36">
        <f t="shared" si="11"/>
        <v>42678.195937500001</v>
      </c>
      <c r="W54" s="50" t="str">
        <f t="shared" si="12"/>
        <v>Other</v>
      </c>
      <c r="X54" s="50" t="str">
        <f t="shared" si="13"/>
        <v>KEEP</v>
      </c>
      <c r="Y54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{"issue":{"subject":"","project_id":79,"tracker_id":40,"status_id":1,"priority_id":2,"assigned_to_id":23,"start_date":"2016-11-03","description":"","custom_fields":[{"id":1,"name":"Subdivision","value":"Other"},{"id":4,"name":"Milepost","value":"5.905"},{"id":17,"name":"Train ID","value":"908-03"},{"id":16,"name":"Locomotive ID","value":"4054"},{"id":130,"name":"Impact","value":""},{"id":150,"name":"Time of Event (Mountain Time)","value":"22:42:09"},{"id":151,"name":"Denver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41" t="str">
        <f t="shared" si="15"/>
        <v>grep -hSE -A100 "Enforcement Action" "%USERPROFILE%\AppData\Local\Temp\OnboardLogs"\RTDC4054\*4054*201611040* | grep -SE "((Enforcement Ac)|(PRM))" -</v>
      </c>
      <c r="AD54" s="1"/>
    </row>
    <row r="55" spans="1:30" x14ac:dyDescent="0.25">
      <c r="A55" s="36">
        <v>42677.151956018519</v>
      </c>
      <c r="B55" s="31" t="s">
        <v>284</v>
      </c>
      <c r="C55" s="31" t="s">
        <v>401</v>
      </c>
      <c r="D55" s="31" t="s">
        <v>49</v>
      </c>
      <c r="E55" s="31" t="s">
        <v>218</v>
      </c>
      <c r="F55" s="47">
        <v>0</v>
      </c>
      <c r="G55" s="47">
        <v>105</v>
      </c>
      <c r="H55" s="47">
        <v>11042</v>
      </c>
      <c r="I55" s="47">
        <v>10875</v>
      </c>
      <c r="J55" s="31" t="s">
        <v>219</v>
      </c>
      <c r="K55" s="47">
        <v>11016</v>
      </c>
      <c r="L55" s="157" t="s">
        <v>51</v>
      </c>
      <c r="M55" s="158">
        <f t="shared" si="8"/>
        <v>-74.447999999999993</v>
      </c>
      <c r="N55" s="159" t="str">
        <f>VLOOKUP(C55,'Trips&amp;Operators'!$C$1:$E$99999,3,FALSE)</f>
        <v>RICHARDSON</v>
      </c>
      <c r="O55" s="184" t="s">
        <v>215</v>
      </c>
      <c r="P55" s="160"/>
      <c r="Q55" s="31"/>
      <c r="R55" s="100" t="str">
        <f>VLOOKUP(C55,'Train Runs'!$A$13:$AE$10007,31,0)</f>
        <v>aws s3 cp s3://rtdc.mdm.uploadarchive.raw/RTDC4004/ "%USERPROFILE%\AppData\Local\Temp\OnboardLogs"\RTDC4004\2016-11-03 --exclude "*" --recursive --include "*20161103*" &amp; "%USERPROFILE%\Documents\GitHub\mrs-test-scripts\Headless Mode &amp; Sideloading\WalkAndUnGZ.bat" "%USERPROFILE%\AppData\Local\Temp\OnboardLogs"\RTDC4004\2016-11-03 &amp; 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</v>
      </c>
      <c r="S55" s="103" t="str">
        <f>VLOOKUP(C55,'Train Runs'!$A$13:$AE$10007,22,0)</f>
        <v>https://search-rtdc-monitor-bjffxe2xuh6vdkpspy63sjmuny.us-east-1.es.amazonaws.com/_plugin/kibana/#/discover/Steve-Slow-Train-Analysis-(2080s-and-2083s)?_g=(refreshInterval:(display:Off,section:0,value:0),time:(from:'2016-11-03 02:31:40-0600',mode:absolute,to:'2016-11-03 04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5" s="105" t="str">
        <f t="shared" si="9"/>
        <v>"C:\Program Files (x86)\AstroGrep\AstroGrep.exe" /spath="%USERPROFILE%\AppData\Local\Temp\OnboardLogs" /stypes="*4004*201611030*" /stext=" 09:.+((SYSTEM_STATE.+slice.+state.+changed )|(ment ac)|(system.+state.+changed )|(\[timeout)|(PRM\|1\|D)|(kpr)|(kdp)|(\|lc)|(penalty))" /e /r /s</v>
      </c>
      <c r="U55" s="9" t="str">
        <f t="shared" si="10"/>
        <v>4004</v>
      </c>
      <c r="V55" s="36">
        <f t="shared" si="11"/>
        <v>42677.401956018519</v>
      </c>
      <c r="W55" s="50" t="str">
        <f t="shared" si="12"/>
        <v>Other</v>
      </c>
      <c r="X55" s="50" t="str">
        <f t="shared" si="13"/>
        <v>KEEP</v>
      </c>
      <c r="Y55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{"issue":{"subject":"","project_id":79,"tracker_id":40,"status_id":1,"priority_id":2,"assigned_to_id":23,"start_date":"2016-11-03","description":"","custom_fields":[{"id":1,"name":"Subdivision","value":"Other"},{"id":4,"name":"Milepost","value":"1.1016"},{"id":17,"name":"Train ID","value":"304-03"},{"id":16,"name":"Locomotive ID","value":"4004"},{"id":130,"name":"Impact","value":""},{"id":150,"name":"Time of Event (Mountain Time)","value":"03:38:49"},{"id":151,"name":"Denver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41" t="str">
        <f t="shared" si="15"/>
        <v>grep -hSE -A100 "Enforcement Action" "%USERPROFILE%\AppData\Local\Temp\OnboardLogs"\RTDC4004\*4004*201611030* | grep -SE "((Enforcement Ac)|(PRM))" -</v>
      </c>
      <c r="AD55" s="1"/>
    </row>
    <row r="56" spans="1:30" x14ac:dyDescent="0.25">
      <c r="A56" s="36">
        <v>42677.760694444441</v>
      </c>
      <c r="B56" s="31" t="s">
        <v>273</v>
      </c>
      <c r="C56" s="31" t="s">
        <v>438</v>
      </c>
      <c r="D56" s="31" t="s">
        <v>98</v>
      </c>
      <c r="E56" s="31" t="s">
        <v>439</v>
      </c>
      <c r="F56" s="47">
        <v>100</v>
      </c>
      <c r="G56" s="47">
        <v>152</v>
      </c>
      <c r="H56" s="47">
        <v>11558</v>
      </c>
      <c r="I56" s="47">
        <v>11817</v>
      </c>
      <c r="J56" s="31" t="s">
        <v>153</v>
      </c>
      <c r="K56" s="47">
        <v>10701</v>
      </c>
      <c r="L56" s="157" t="s">
        <v>50</v>
      </c>
      <c r="M56" s="158">
        <f t="shared" si="8"/>
        <v>-589.24800000000005</v>
      </c>
      <c r="N56" s="159" t="str">
        <f>VLOOKUP(C56,'Trips&amp;Operators'!$C$1:$E$99999,3,FALSE)</f>
        <v>PUGH</v>
      </c>
      <c r="O56" s="184" t="s">
        <v>215</v>
      </c>
      <c r="P56" s="160"/>
      <c r="Q56" s="31"/>
      <c r="R56" s="100" t="str">
        <f>VLOOKUP(C56,'Train Runs'!$A$13:$AE$10007,31,0)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S56" s="103" t="str">
        <f>VLOOKUP(C56,'Train Runs'!$A$13:$AE$10007,22,0)</f>
        <v>https://search-rtdc-monitor-bjffxe2xuh6vdkpspy63sjmuny.us-east-1.es.amazonaws.com/_plugin/kibana/#/discover/Steve-Slow-Train-Analysis-(2080s-and-2083s)?_g=(refreshInterval:(display:Off,section:0,value:0),time:(from:'2016-11-03 16:58:05-0600',mode:absolute,to:'1969-12-31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6" s="105" t="str">
        <f t="shared" si="9"/>
        <v>"C:\Program Files (x86)\AstroGrep\AstroGrep.exe" /spath="%USERPROFILE%\AppData\Local\Temp\OnboardLogs" /stypes="*4003*201611040*" /stext=" 00:.+((SYSTEM_STATE.+slice.+state.+changed )|(ment ac)|(system.+state.+changed )|(\[timeout)|(PRM\|1\|D)|(kpr)|(kdp)|(\|lc)|(penalty))" /e /r /s</v>
      </c>
      <c r="U56" s="9" t="str">
        <f t="shared" si="10"/>
        <v>4003</v>
      </c>
      <c r="V56" s="36">
        <f t="shared" si="11"/>
        <v>42678.010694444441</v>
      </c>
      <c r="W56" s="50" t="str">
        <f t="shared" si="12"/>
        <v>Other</v>
      </c>
      <c r="X56" s="50" t="str">
        <f t="shared" si="13"/>
        <v>KEEP</v>
      </c>
      <c r="Y56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{"issue":{"subject":"","project_id":79,"tracker_id":40,"status_id":1,"priority_id":2,"assigned_to_id":23,"start_date":"2016-11-03","description":"","custom_fields":[{"id":1,"name":"Subdivision","value":"Other"},{"id":4,"name":"Milepost","value":"1.0701"},{"id":17,"name":"Train ID","value":"71-03"},{"id":16,"name":"Locomotive ID","value":"4003"},{"id":130,"name":"Impact","value":""},{"id":150,"name":"Time of Event (Mountain Time)","value":"18:15:24"},{"id":151,"name":"Denver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41" t="str">
        <f t="shared" si="15"/>
        <v>grep -hSE -A100 "Enforcement Action" "%USERPROFILE%\AppData\Local\Temp\OnboardLogs"\RTDC4003\*4003*201611040* | grep -SE "((Enforcement Ac)|(PRM))" -</v>
      </c>
      <c r="AD56" s="1"/>
    </row>
    <row r="57" spans="1:30" x14ac:dyDescent="0.25">
      <c r="A57" s="36">
        <v>42677.446828703702</v>
      </c>
      <c r="B57" s="31" t="s">
        <v>238</v>
      </c>
      <c r="C57" s="31" t="s">
        <v>416</v>
      </c>
      <c r="D57" s="31" t="s">
        <v>49</v>
      </c>
      <c r="E57" s="31" t="s">
        <v>220</v>
      </c>
      <c r="F57" s="47">
        <v>0</v>
      </c>
      <c r="G57" s="47">
        <v>42</v>
      </c>
      <c r="H57" s="47">
        <v>100</v>
      </c>
      <c r="I57" s="47">
        <v>68</v>
      </c>
      <c r="J57" s="31" t="s">
        <v>221</v>
      </c>
      <c r="K57" s="47">
        <v>1</v>
      </c>
      <c r="L57" s="157" t="s">
        <v>51</v>
      </c>
      <c r="M57" s="158">
        <f t="shared" si="8"/>
        <v>35.375999999999998</v>
      </c>
      <c r="N57" s="159" t="str">
        <f>VLOOKUP(C57,'Trips&amp;Operators'!$C$1:$E$99999,3,FALSE)</f>
        <v>PUGH</v>
      </c>
      <c r="O57" s="184" t="s">
        <v>215</v>
      </c>
      <c r="P57" s="160"/>
      <c r="Q57" s="31"/>
      <c r="R57" s="100" t="str">
        <f>VLOOKUP(C57,'Train Runs'!$A$13:$AE$10007,31,0)</f>
        <v>aws s3 cp s3://rtdc.mdm.uploadarchive.raw/RTDC4001/ "%USERPROFILE%\AppData\Local\Temp\OnboardLogs"\RTDC4001\2016-11-03 --exclude "*" --recursive --include "*20161103*" &amp; "%USERPROFILE%\Documents\GitHub\mrs-test-scripts\Headless Mode &amp; Sideloading\WalkAndUnGZ.bat" "%USERPROFILE%\AppData\Local\Temp\OnboardLogs"\RTDC4001\2016-11-03 &amp; aws s3 cp s3://rtdc.mdm.uploadarchive.raw/RTDC4001/ "%USERPROFILE%\AppData\Local\Temp\OnboardLogs"\RTDC4001\2016-11-04 --exclude "*" --recursive --include "*20161104*" &amp; "%USERPROFILE%\Documents\GitHub\mrs-test-scripts\Headless Mode &amp; Sideloading\WalkAndUnGZ.bat" "%USERPROFILE%\AppData\Local\Temp\OnboardLogs"\RTDC4001\2016-11-04</v>
      </c>
      <c r="S57" s="103" t="str">
        <f>VLOOKUP(C57,'Train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09:33:16-0600',mode:absolute,to:'2016-11-03 11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57" s="105" t="str">
        <f t="shared" si="9"/>
        <v>"C:\Program Files (x86)\AstroGrep\AstroGrep.exe" /spath="%USERPROFILE%\AppData\Local\Temp\OnboardLogs" /stypes="*4001*201611031*" /stext=" 16:.+((SYSTEM_STATE.+slice.+state.+changed )|(ment ac)|(system.+state.+changed )|(\[timeout)|(PRM\|1\|D)|(kpr)|(kdp)|(\|lc)|(penalty))" /e /r /s</v>
      </c>
      <c r="U57" s="9" t="str">
        <f t="shared" si="10"/>
        <v>4001</v>
      </c>
      <c r="V57" s="36">
        <f t="shared" si="11"/>
        <v>42677.696828703702</v>
      </c>
      <c r="W57" s="50" t="str">
        <f t="shared" si="12"/>
        <v>Other</v>
      </c>
      <c r="X57" s="50" t="str">
        <f t="shared" si="13"/>
        <v>KEEP</v>
      </c>
      <c r="Y57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{"issue":{"subject":"","project_id":79,"tracker_id":40,"status_id":1,"priority_id":2,"assigned_to_id":23,"start_date":"2016-11-03","description":"","custom_fields":[{"id":1,"name":"Subdivision","value":"Other"},{"id":4,"name":"Milepost","value":"0.0001"},{"id":17,"name":"Train ID","value":"50-03"},{"id":16,"name":"Locomotive ID","value":"4001"},{"id":130,"name":"Impact","value":""},{"id":150,"name":"Time of Event (Mountain Time)","value":"10:43:26"},{"id":151,"name":"Denver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41" t="str">
        <f t="shared" si="15"/>
        <v>grep -hSE -A100 "Enforcement Action" "%USERPROFILE%\AppData\Local\Temp\OnboardLogs"\RTDC4001\*4001*201611031* | grep -SE "((Enforcement Ac)|(PRM))" -</v>
      </c>
      <c r="AD57" s="1"/>
    </row>
    <row r="58" spans="1:30" x14ac:dyDescent="0.25">
      <c r="A58" s="36">
        <v>42677.72415509259</v>
      </c>
      <c r="B58" s="31" t="s">
        <v>236</v>
      </c>
      <c r="C58" s="31" t="s">
        <v>434</v>
      </c>
      <c r="D58" s="31" t="s">
        <v>49</v>
      </c>
      <c r="E58" s="31" t="s">
        <v>220</v>
      </c>
      <c r="F58" s="47">
        <v>0</v>
      </c>
      <c r="G58" s="47">
        <v>51</v>
      </c>
      <c r="H58" s="47">
        <v>205</v>
      </c>
      <c r="I58" s="47">
        <v>153</v>
      </c>
      <c r="J58" s="31" t="s">
        <v>221</v>
      </c>
      <c r="K58" s="47">
        <v>1</v>
      </c>
      <c r="L58" s="157" t="s">
        <v>51</v>
      </c>
      <c r="M58" s="158">
        <f t="shared" si="8"/>
        <v>80.256</v>
      </c>
      <c r="N58" s="159" t="str">
        <f>VLOOKUP(C58,'Trips&amp;Operators'!$C$1:$E$99999,3,FALSE)</f>
        <v>CRAYTON</v>
      </c>
      <c r="O58" s="184" t="s">
        <v>215</v>
      </c>
      <c r="P58" s="160"/>
      <c r="Q58" s="31"/>
      <c r="R58" s="100" t="str">
        <f>VLOOKUP(C58,'Train Runs'!$A$13:$AE$10007,31,0)</f>
        <v>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 &amp; 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</v>
      </c>
      <c r="S58" s="103" t="str">
        <f>VLOOKUP(C58,'Train Runs'!$A$13:$AE$10007,22,0)</f>
        <v>https://search-rtdc-monitor-bjffxe2xuh6vdkpspy63sjmuny.us-east-1.es.amazonaws.com/_plugin/kibana/#/discover/Steve-Slow-Train-Analysis-(2080s-and-2083s)?_g=(refreshInterval:(display:Off,section:0,value:0),time:(from:'2016-11-03 16:11:39-0600',mode:absolute,to:'2016-11-03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58" s="105" t="str">
        <f t="shared" si="9"/>
        <v>"C:\Program Files (x86)\AstroGrep\AstroGrep.exe" /spath="%USERPROFILE%\AppData\Local\Temp\OnboardLogs" /stypes="*4021*201611032*" /stext=" 23:.+((SYSTEM_STATE.+slice.+state.+changed )|(ment ac)|(system.+state.+changed )|(\[timeout)|(PRM\|1\|D)|(kpr)|(kdp)|(\|lc)|(penalty))" /e /r /s</v>
      </c>
      <c r="U58" s="9" t="str">
        <f t="shared" si="10"/>
        <v>4021</v>
      </c>
      <c r="V58" s="36">
        <f t="shared" si="11"/>
        <v>42677.97415509259</v>
      </c>
      <c r="W58" s="50" t="str">
        <f t="shared" si="12"/>
        <v>Other</v>
      </c>
      <c r="X58" s="50" t="str">
        <f t="shared" si="13"/>
        <v>KEEP</v>
      </c>
      <c r="Y58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{"issue":{"subject":"","project_id":79,"tracker_id":40,"status_id":1,"priority_id":2,"assigned_to_id":23,"start_date":"2016-11-03","description":"","custom_fields":[{"id":1,"name":"Subdivision","value":"Other"},{"id":4,"name":"Milepost","value":"0.0001"},{"id":17,"name":"Train ID","value":"56-03"},{"id":16,"name":"Locomotive ID","value":"4021"},{"id":130,"name":"Impact","value":""},{"id":150,"name":"Time of Event (Mountain Time)","value":"17:22:47"},{"id":151,"name":"Denver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41" t="str">
        <f t="shared" si="15"/>
        <v>grep -hSE -A100 "Enforcement Action" "%USERPROFILE%\AppData\Local\Temp\OnboardLogs"\RTDC4021\*4021*201611032* | grep -SE "((Enforcement Ac)|(PRM))" -</v>
      </c>
      <c r="AD58" s="1"/>
    </row>
    <row r="59" spans="1:30" x14ac:dyDescent="0.25">
      <c r="A59" s="36">
        <v>42677.252291666664</v>
      </c>
      <c r="B59" s="31" t="s">
        <v>348</v>
      </c>
      <c r="C59" s="31" t="s">
        <v>404</v>
      </c>
      <c r="D59" s="31" t="s">
        <v>49</v>
      </c>
      <c r="E59" s="31" t="s">
        <v>220</v>
      </c>
      <c r="F59" s="47">
        <v>0</v>
      </c>
      <c r="G59" s="47">
        <v>155</v>
      </c>
      <c r="H59" s="47">
        <v>1564</v>
      </c>
      <c r="I59" s="47">
        <v>1392</v>
      </c>
      <c r="J59" s="31" t="s">
        <v>221</v>
      </c>
      <c r="K59" s="47">
        <v>575</v>
      </c>
      <c r="L59" s="157" t="s">
        <v>51</v>
      </c>
      <c r="M59" s="158">
        <f t="shared" si="8"/>
        <v>431.37599999999998</v>
      </c>
      <c r="N59" s="159" t="str">
        <f>VLOOKUP(C59,'Trips&amp;Operators'!$C$1:$E$99999,3,FALSE)</f>
        <v>DAVIDSON</v>
      </c>
      <c r="O59" s="184" t="s">
        <v>215</v>
      </c>
      <c r="P59" s="160"/>
      <c r="Q59" s="31"/>
      <c r="R59" s="100" t="str">
        <f>VLOOKUP(C59,'Train Runs'!$A$13:$AE$10007,31,0)</f>
        <v>aws s3 cp s3://rtdc.mdm.uploadarchive.raw/RTDC4054/ "%USERPROFILE%\AppData\Local\Temp\OnboardLogs"\RTDC4054\2016-11-03 --exclude "*" --recursive --include "*20161103*" &amp; "%USERPROFILE%\Documents\GitHub\mrs-test-scripts\Headless Mode &amp; Sideloading\WalkAndUnGZ.bat" "%USERPROFILE%\AppData\Local\Temp\OnboardLogs"\RTDC4054\2016-11-03 &amp; 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</v>
      </c>
      <c r="S59" s="103" t="str">
        <f>VLOOKUP(C59,'Train Runs'!$A$13:$AE$10007,22,0)</f>
        <v>https://search-rtdc-monitor-bjffxe2xuh6vdkpspy63sjmuny.us-east-1.es.amazonaws.com/_plugin/kibana/#/discover/Steve-Slow-Train-Analysis-(2080s-and-2083s)?_g=(refreshInterval:(display:Off,section:0,value:0),time:(from:'2016-11-03 04:54:24-0600',mode:absolute,to:'2016-11-03 07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59" s="105" t="str">
        <f t="shared" si="9"/>
        <v>"C:\Program Files (x86)\AstroGrep\AstroGrep.exe" /spath="%USERPROFILE%\AppData\Local\Temp\OnboardLogs" /stypes="*4054*201611031*" /stext=" 12:.+((SYSTEM_STATE.+slice.+state.+changed )|(ment ac)|(system.+state.+changed )|(\[timeout)|(PRM\|1\|D)|(kpr)|(kdp)|(\|lc)|(penalty))" /e /r /s</v>
      </c>
      <c r="U59" s="9" t="str">
        <f t="shared" si="10"/>
        <v>4054</v>
      </c>
      <c r="V59" s="36">
        <f t="shared" si="11"/>
        <v>42677.502291666664</v>
      </c>
      <c r="W59" s="50" t="str">
        <f t="shared" si="12"/>
        <v>Other</v>
      </c>
      <c r="X59" s="50" t="str">
        <f t="shared" si="13"/>
        <v>KEEP</v>
      </c>
      <c r="Y59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{"issue":{"subject":"","project_id":79,"tracker_id":40,"status_id":1,"priority_id":2,"assigned_to_id":23,"start_date":"2016-11-03","description":"","custom_fields":[{"id":1,"name":"Subdivision","value":"Other"},{"id":4,"name":"Milepost","value":"0.0575"},{"id":17,"name":"Train ID","value":"902-03"},{"id":16,"name":"Locomotive ID","value":"4054"},{"id":130,"name":"Impact","value":""},{"id":150,"name":"Time of Event (Mountain Time)","value":"06:03:18"},{"id":151,"name":"Denver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41" t="str">
        <f t="shared" si="15"/>
        <v>grep -hSE -A100 "Enforcement Action" "%USERPROFILE%\AppData\Local\Temp\OnboardLogs"\RTDC4054\*4054*201611031* | grep -SE "((Enforcement Ac)|(PRM))" -</v>
      </c>
      <c r="AD59" s="1"/>
    </row>
    <row r="60" spans="1:30" x14ac:dyDescent="0.25">
      <c r="A60" s="36">
        <v>42677.465312499997</v>
      </c>
      <c r="B60" s="31" t="s">
        <v>236</v>
      </c>
      <c r="C60" s="31" t="s">
        <v>418</v>
      </c>
      <c r="D60" s="31" t="s">
        <v>49</v>
      </c>
      <c r="E60" s="31" t="s">
        <v>220</v>
      </c>
      <c r="F60" s="47">
        <v>0</v>
      </c>
      <c r="G60" s="47">
        <v>17</v>
      </c>
      <c r="H60" s="47">
        <v>891</v>
      </c>
      <c r="I60" s="47">
        <v>861</v>
      </c>
      <c r="J60" s="31" t="s">
        <v>221</v>
      </c>
      <c r="K60" s="47">
        <v>826</v>
      </c>
      <c r="L60" s="157" t="s">
        <v>51</v>
      </c>
      <c r="M60" s="158">
        <f t="shared" si="8"/>
        <v>18.48</v>
      </c>
      <c r="N60" s="159" t="str">
        <f>VLOOKUP(C60,'Trips&amp;Operators'!$C$1:$E$99999,3,FALSE)</f>
        <v>HOLCOMB</v>
      </c>
      <c r="O60" s="184" t="s">
        <v>215</v>
      </c>
      <c r="P60" s="160"/>
      <c r="Q60" s="31"/>
      <c r="R60" s="100" t="str">
        <f>VLOOKUP(C60,'Train Runs'!$A$13:$AE$10007,31,0)</f>
        <v>aws s3 cp s3://rtdc.mdm.uploadarchive.raw/RTDC4021/ "%USERPROFILE%\AppData\Local\Temp\OnboardLogs"\RTDC4021\2016-11-03 --exclude "*" --recursive --include "*20161103*" &amp; "%USERPROFILE%\Documents\GitHub\mrs-test-scripts\Headless Mode &amp; Sideloading\WalkAndUnGZ.bat" "%USERPROFILE%\AppData\Local\Temp\OnboardLogs"\RTDC4021\2016-11-03 &amp; 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</v>
      </c>
      <c r="S60" s="103" t="str">
        <f>VLOOKUP(C60,'Train Runs'!$A$13:$AE$10007,22,0)</f>
        <v>https://search-rtdc-monitor-bjffxe2xuh6vdkpspy63sjmuny.us-east-1.es.amazonaws.com/_plugin/kibana/#/discover/Steve-Slow-Train-Analysis-(2080s-and-2083s)?_g=(refreshInterval:(display:Off,section:0,value:0),time:(from:'2016-11-03 09:56:23-0600',mode:absolute,to:'2016-11-03 12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0" s="105" t="str">
        <f t="shared" si="9"/>
        <v>"C:\Program Files (x86)\AstroGrep\AstroGrep.exe" /spath="%USERPROFILE%\AppData\Local\Temp\OnboardLogs" /stypes="*4021*201611031*" /stext=" 17:.+((SYSTEM_STATE.+slice.+state.+changed )|(ment ac)|(system.+state.+changed )|(\[timeout)|(PRM\|1\|D)|(kpr)|(kdp)|(\|lc)|(penalty))" /e /r /s</v>
      </c>
      <c r="U60" s="9" t="str">
        <f t="shared" si="10"/>
        <v>4021</v>
      </c>
      <c r="V60" s="36">
        <f t="shared" si="11"/>
        <v>42677.715312499997</v>
      </c>
      <c r="W60" s="50" t="str">
        <f t="shared" si="12"/>
        <v>Other</v>
      </c>
      <c r="X60" s="50" t="str">
        <f t="shared" si="13"/>
        <v>KEEP</v>
      </c>
      <c r="Y60" s="122" t="str">
        <f t="shared" si="14"/>
        <v>echo {"issue":{"subject":"","project_id":79,"tracker_id":40,"status_id":1,"priority_id":2,"assigned_to_id":23,"start_date":"2016-11-03","description":"","custom_fields":[{"id":1,"name":"Subdivision","value":"Other"},{"id":4,"name":"Milepost","value":"0.0826"},{"id":17,"name":"Train ID","value":"52-03"},{"id":16,"name":"Locomotive ID","value":"4021"},{"id":130,"name":"Impact","value":""},{"id":150,"name":"Time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41" t="str">
        <f t="shared" si="15"/>
        <v>grep -hSE -A100 "Enforcement Action" "%USERPROFILE%\AppData\Local\Temp\OnboardLogs"\RTDC4021\*4021*201611031* | grep -SE "((Enforcement Ac)|(PRM))" -</v>
      </c>
      <c r="AD60" s="1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60">
      <sortCondition ref="W7:W60"/>
      <sortCondition ref="E7:E60"/>
      <sortCondition ref="K7:K60"/>
      <sortCondition ref="F7:F60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O7:O60">
    <cfRule type="cellIs" dxfId="1" priority="21" operator="equal">
      <formula>"Y"</formula>
    </cfRule>
  </conditionalFormatting>
  <conditionalFormatting sqref="A7:P60">
    <cfRule type="expression" dxfId="0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2016-11-03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-03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3" s="31" t="e">
        <f>VLOOKUP(B3,'Train Runs'!$A$13:$A$100004,1,FALSE)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-03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4" s="31" t="e">
        <f>VLOOKUP(B4,'Train Runs'!$A$13:$A$100004,1,FALSE)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-03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5" s="31" t="e">
        <f>VLOOKUP(B5,'Train Runs'!$A$13:$A$100004,1,FALSE)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-03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6" s="31" t="e">
        <f>VLOOKUP(B6,'Train Runs'!$A$13:$A$100004,1,FALSE)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-03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7" s="31" t="e">
        <f>VLOOKUP(B7,'Train Runs'!$A$13:$A$100004,1,FALSE)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-03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8" s="31" t="e">
        <f>VLOOKUP(B8,'Train Runs'!$A$13:$A$100004,1,FALSE)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-03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9" s="31" t="e">
        <f>VLOOKUP(B9,'Train Runs'!$A$13:$A$100004,1,FALSE)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-03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0" s="31" t="e">
        <f>VLOOKUP(B10,'Train Runs'!$A$13:$A$100004,1,FALSE)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-03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1" s="31" t="e">
        <f>VLOOKUP(B11,'Train Runs'!$A$13:$A$100004,1,FALSE)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-03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2" s="31" t="e">
        <f>VLOOKUP(B12,'Train Runs'!$A$13:$A$100004,1,FALSE)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-03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3" s="31" t="e">
        <f>VLOOKUP(B13,'Train Runs'!$A$13:$A$100004,1,FALSE)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42677.031666666669</v>
      </c>
      <c r="B2" s="21" t="s">
        <v>190</v>
      </c>
      <c r="C2" s="21" t="s">
        <v>363</v>
      </c>
      <c r="D2" s="21">
        <v>2000000</v>
      </c>
      <c r="E2" s="21" t="s">
        <v>306</v>
      </c>
      <c r="F2" s="21" t="str">
        <f t="shared" ref="F2:F65" si="0">B2</f>
        <v>rtdc.l.rtdc.4009:itc</v>
      </c>
      <c r="G2" s="8">
        <f t="shared" ref="G2:G65" si="1">A2</f>
        <v>42677.031666666669</v>
      </c>
    </row>
    <row r="3" spans="1:7" x14ac:dyDescent="0.25">
      <c r="A3" s="8">
        <v>42677.036238425928</v>
      </c>
      <c r="B3" s="21" t="s">
        <v>231</v>
      </c>
      <c r="C3" s="21" t="s">
        <v>364</v>
      </c>
      <c r="D3" s="21">
        <v>1300000</v>
      </c>
      <c r="E3" s="21" t="s">
        <v>113</v>
      </c>
      <c r="F3" s="21" t="str">
        <f t="shared" si="0"/>
        <v>rtdc.l.rtdc.4037:itc</v>
      </c>
      <c r="G3" s="8">
        <f t="shared" si="1"/>
        <v>42677.036238425928</v>
      </c>
    </row>
    <row r="4" spans="1:7" x14ac:dyDescent="0.25">
      <c r="A4" s="8">
        <v>42677.046249999999</v>
      </c>
      <c r="B4" s="21" t="s">
        <v>347</v>
      </c>
      <c r="C4" s="21" t="s">
        <v>365</v>
      </c>
      <c r="D4" s="21">
        <v>2610000</v>
      </c>
      <c r="E4" s="21" t="s">
        <v>362</v>
      </c>
      <c r="F4" s="21" t="str">
        <f t="shared" si="0"/>
        <v>rtdc.l.rtdc.4018:itc</v>
      </c>
      <c r="G4" s="8">
        <f t="shared" si="1"/>
        <v>42677.046249999999</v>
      </c>
    </row>
    <row r="5" spans="1:7" x14ac:dyDescent="0.25">
      <c r="A5" s="8">
        <v>42677.05505787037</v>
      </c>
      <c r="B5" s="21" t="s">
        <v>299</v>
      </c>
      <c r="C5" s="21" t="s">
        <v>349</v>
      </c>
      <c r="D5" s="21">
        <v>2250000</v>
      </c>
      <c r="E5" s="21" t="s">
        <v>272</v>
      </c>
      <c r="F5" s="21" t="str">
        <f t="shared" si="0"/>
        <v>rtdc.l.rtdc.4008:itc</v>
      </c>
      <c r="G5" s="8">
        <f t="shared" si="1"/>
        <v>42677.05505787037</v>
      </c>
    </row>
    <row r="6" spans="1:7" x14ac:dyDescent="0.25">
      <c r="A6" s="8">
        <v>42677.066481481481</v>
      </c>
      <c r="B6" s="21" t="s">
        <v>247</v>
      </c>
      <c r="C6" s="21" t="s">
        <v>366</v>
      </c>
      <c r="D6" s="21">
        <v>1300000</v>
      </c>
      <c r="E6" s="21" t="s">
        <v>113</v>
      </c>
      <c r="F6" s="21" t="str">
        <f t="shared" si="0"/>
        <v>rtdc.l.rtdc.4038:itc</v>
      </c>
      <c r="G6" s="8">
        <f t="shared" si="1"/>
        <v>42677.066481481481</v>
      </c>
    </row>
    <row r="7" spans="1:7" x14ac:dyDescent="0.25">
      <c r="A7" s="8">
        <v>42677.088136574072</v>
      </c>
      <c r="B7" s="21" t="s">
        <v>193</v>
      </c>
      <c r="C7" s="21" t="s">
        <v>367</v>
      </c>
      <c r="D7" s="21">
        <v>2250000</v>
      </c>
      <c r="E7" s="21" t="s">
        <v>272</v>
      </c>
      <c r="F7" s="21" t="str">
        <f t="shared" si="0"/>
        <v>rtdc.l.rtdc.4007:itc</v>
      </c>
      <c r="G7" s="8">
        <f t="shared" si="1"/>
        <v>42677.088136574072</v>
      </c>
    </row>
    <row r="8" spans="1:7" x14ac:dyDescent="0.25">
      <c r="A8" s="8">
        <v>42677.121990740743</v>
      </c>
      <c r="B8" s="21" t="s">
        <v>279</v>
      </c>
      <c r="C8" s="21" t="s">
        <v>451</v>
      </c>
      <c r="D8" s="21">
        <v>2010000</v>
      </c>
      <c r="E8" s="21" t="s">
        <v>350</v>
      </c>
      <c r="F8" s="21" t="str">
        <f t="shared" si="0"/>
        <v>rtdc.l.rtdc.4039:itc</v>
      </c>
      <c r="G8" s="8">
        <f t="shared" si="1"/>
        <v>42677.121990740743</v>
      </c>
    </row>
    <row r="9" spans="1:7" ht="15.75" thickBot="1" x14ac:dyDescent="0.3">
      <c r="A9" s="25">
        <v>42677.133576388886</v>
      </c>
      <c r="B9" s="21" t="s">
        <v>344</v>
      </c>
      <c r="C9" s="21" t="s">
        <v>452</v>
      </c>
      <c r="D9" s="21">
        <v>2010000</v>
      </c>
      <c r="E9" s="21" t="s">
        <v>350</v>
      </c>
      <c r="F9" s="21" t="str">
        <f t="shared" si="0"/>
        <v>rtdc.l.rtdc.4031:itc</v>
      </c>
      <c r="G9" s="8">
        <f t="shared" si="1"/>
        <v>42677.133576388886</v>
      </c>
    </row>
    <row r="10" spans="1:7" x14ac:dyDescent="0.25">
      <c r="A10" s="8">
        <v>42677.147800925923</v>
      </c>
      <c r="B10" s="21" t="s">
        <v>284</v>
      </c>
      <c r="C10" s="21" t="s">
        <v>401</v>
      </c>
      <c r="D10" s="21">
        <v>2380000</v>
      </c>
      <c r="E10" s="21" t="s">
        <v>304</v>
      </c>
      <c r="F10" s="21" t="str">
        <f t="shared" si="0"/>
        <v>rtdc.l.rtdc.4004:itc</v>
      </c>
      <c r="G10" s="8">
        <f t="shared" si="1"/>
        <v>42677.147800925923</v>
      </c>
    </row>
    <row r="11" spans="1:7" x14ac:dyDescent="0.25">
      <c r="A11" s="8">
        <v>42677.159537037034</v>
      </c>
      <c r="B11" s="21" t="s">
        <v>252</v>
      </c>
      <c r="C11" s="21" t="s">
        <v>453</v>
      </c>
      <c r="D11" s="21">
        <v>2380000</v>
      </c>
      <c r="E11" s="21" t="s">
        <v>304</v>
      </c>
      <c r="F11" s="21" t="str">
        <f t="shared" si="0"/>
        <v>rtdc.l.rtdc.4014:itc</v>
      </c>
      <c r="G11" s="8">
        <f t="shared" si="1"/>
        <v>42677.159537037034</v>
      </c>
    </row>
    <row r="12" spans="1:7" x14ac:dyDescent="0.25">
      <c r="A12" s="8">
        <v>42677.163472222222</v>
      </c>
      <c r="B12" s="21" t="s">
        <v>298</v>
      </c>
      <c r="C12" s="21" t="s">
        <v>454</v>
      </c>
      <c r="D12" s="21">
        <v>1360000</v>
      </c>
      <c r="E12" s="21" t="s">
        <v>351</v>
      </c>
      <c r="F12" s="21" t="str">
        <f t="shared" si="0"/>
        <v>rtdc.l.rtdc.4041:itc</v>
      </c>
      <c r="G12" s="8">
        <f t="shared" si="1"/>
        <v>42677.163472222222</v>
      </c>
    </row>
    <row r="13" spans="1:7" x14ac:dyDescent="0.25">
      <c r="A13" s="8">
        <v>42677.167025462964</v>
      </c>
      <c r="B13" s="21" t="s">
        <v>279</v>
      </c>
      <c r="C13" s="21" t="s">
        <v>455</v>
      </c>
      <c r="D13" s="21">
        <v>2010000</v>
      </c>
      <c r="E13" s="21" t="s">
        <v>350</v>
      </c>
      <c r="F13" s="21" t="str">
        <f t="shared" si="0"/>
        <v>rtdc.l.rtdc.4039:itc</v>
      </c>
      <c r="G13" s="8">
        <f t="shared" si="1"/>
        <v>42677.167025462964</v>
      </c>
    </row>
    <row r="14" spans="1:7" x14ac:dyDescent="0.25">
      <c r="A14" s="8">
        <v>42677.167326388888</v>
      </c>
      <c r="B14" s="21" t="s">
        <v>354</v>
      </c>
      <c r="C14" s="21" t="s">
        <v>456</v>
      </c>
      <c r="D14" s="21">
        <v>2100000</v>
      </c>
      <c r="E14" s="21" t="s">
        <v>457</v>
      </c>
      <c r="F14" s="21" t="str">
        <f t="shared" si="0"/>
        <v>rtdc.l.rtdc.4026:itc</v>
      </c>
      <c r="G14" s="8">
        <f t="shared" si="1"/>
        <v>42677.167326388888</v>
      </c>
    </row>
    <row r="15" spans="1:7" x14ac:dyDescent="0.25">
      <c r="A15" s="8">
        <v>42677.173796296294</v>
      </c>
      <c r="B15" s="21" t="s">
        <v>449</v>
      </c>
      <c r="C15" s="21" t="s">
        <v>458</v>
      </c>
      <c r="D15" s="21">
        <v>1360000</v>
      </c>
      <c r="E15" s="21" t="s">
        <v>351</v>
      </c>
      <c r="F15" s="21" t="str">
        <f t="shared" si="0"/>
        <v>rtdc.l.rtdc.4016:itc</v>
      </c>
      <c r="G15" s="8">
        <f t="shared" si="1"/>
        <v>42677.173796296294</v>
      </c>
    </row>
    <row r="16" spans="1:7" x14ac:dyDescent="0.25">
      <c r="A16" s="8">
        <v>42677.177997685183</v>
      </c>
      <c r="B16" s="21" t="s">
        <v>346</v>
      </c>
      <c r="C16" s="21" t="s">
        <v>459</v>
      </c>
      <c r="D16" s="21">
        <v>2100000</v>
      </c>
      <c r="E16" s="21" t="s">
        <v>457</v>
      </c>
      <c r="F16" s="21" t="str">
        <f t="shared" si="0"/>
        <v>rtdc.l.rtdc.4025:itc</v>
      </c>
      <c r="G16" s="8">
        <f t="shared" si="1"/>
        <v>42677.177997685183</v>
      </c>
    </row>
    <row r="17" spans="1:7" x14ac:dyDescent="0.25">
      <c r="A17" s="8">
        <v>42677.180081018516</v>
      </c>
      <c r="B17" s="21" t="s">
        <v>227</v>
      </c>
      <c r="C17" s="21" t="s">
        <v>460</v>
      </c>
      <c r="D17" s="21">
        <v>2450000</v>
      </c>
      <c r="E17" s="21" t="s">
        <v>461</v>
      </c>
      <c r="F17" s="21" t="str">
        <f t="shared" si="0"/>
        <v>rtdc.l.rtdc.4030:itc</v>
      </c>
      <c r="G17" s="8">
        <f t="shared" si="1"/>
        <v>42677.180081018516</v>
      </c>
    </row>
    <row r="18" spans="1:7" x14ac:dyDescent="0.25">
      <c r="A18" s="8">
        <v>42677.191759259258</v>
      </c>
      <c r="B18" s="21" t="s">
        <v>284</v>
      </c>
      <c r="C18" s="21" t="s">
        <v>402</v>
      </c>
      <c r="D18" s="21">
        <v>2380000</v>
      </c>
      <c r="E18" s="21" t="s">
        <v>304</v>
      </c>
      <c r="F18" s="21" t="str">
        <f t="shared" si="0"/>
        <v>rtdc.l.rtdc.4004:itc</v>
      </c>
      <c r="G18" s="8">
        <f t="shared" si="1"/>
        <v>42677.191759259258</v>
      </c>
    </row>
    <row r="19" spans="1:7" x14ac:dyDescent="0.25">
      <c r="A19" s="8">
        <v>42677.19734953704</v>
      </c>
      <c r="B19" s="21" t="s">
        <v>226</v>
      </c>
      <c r="C19" s="21" t="s">
        <v>462</v>
      </c>
      <c r="D19" s="21">
        <v>2450000</v>
      </c>
      <c r="E19" s="21" t="s">
        <v>461</v>
      </c>
      <c r="F19" s="21" t="str">
        <f t="shared" si="0"/>
        <v>rtdc.l.rtdc.4029:itc</v>
      </c>
      <c r="G19" s="8">
        <f t="shared" si="1"/>
        <v>42677.19734953704</v>
      </c>
    </row>
    <row r="20" spans="1:7" x14ac:dyDescent="0.25">
      <c r="A20" s="8">
        <v>42677.204363425924</v>
      </c>
      <c r="B20" s="21" t="s">
        <v>344</v>
      </c>
      <c r="C20" s="21" t="s">
        <v>463</v>
      </c>
      <c r="D20" s="21">
        <v>1110000</v>
      </c>
      <c r="E20" s="21" t="s">
        <v>271</v>
      </c>
      <c r="F20" s="21" t="str">
        <f t="shared" si="0"/>
        <v>rtdc.l.rtdc.4031:itc</v>
      </c>
      <c r="G20" s="8">
        <f t="shared" si="1"/>
        <v>42677.204363425924</v>
      </c>
    </row>
    <row r="21" spans="1:7" x14ac:dyDescent="0.25">
      <c r="A21" s="8">
        <v>42677.20453703704</v>
      </c>
      <c r="B21" s="21" t="s">
        <v>298</v>
      </c>
      <c r="C21" s="21" t="s">
        <v>464</v>
      </c>
      <c r="D21" s="21">
        <v>1360000</v>
      </c>
      <c r="E21" s="21" t="s">
        <v>351</v>
      </c>
      <c r="F21" s="21" t="str">
        <f t="shared" si="0"/>
        <v>rtdc.l.rtdc.4041:itc</v>
      </c>
      <c r="G21" s="8">
        <f t="shared" si="1"/>
        <v>42677.20453703704</v>
      </c>
    </row>
    <row r="22" spans="1:7" x14ac:dyDescent="0.25">
      <c r="A22" s="27">
        <v>42677.206736111111</v>
      </c>
      <c r="B22" s="21" t="s">
        <v>234</v>
      </c>
      <c r="C22" s="21" t="s">
        <v>465</v>
      </c>
      <c r="D22" s="21">
        <v>2530000</v>
      </c>
      <c r="E22" s="21" t="s">
        <v>283</v>
      </c>
      <c r="F22" s="21" t="str">
        <f t="shared" si="0"/>
        <v>rtdc.l.rtdc.4011:itc</v>
      </c>
      <c r="G22" s="8">
        <f t="shared" si="1"/>
        <v>42677.206736111111</v>
      </c>
    </row>
    <row r="23" spans="1:7" x14ac:dyDescent="0.25">
      <c r="A23" s="8">
        <v>42677.209293981483</v>
      </c>
      <c r="B23" s="21" t="s">
        <v>246</v>
      </c>
      <c r="C23" s="21" t="s">
        <v>466</v>
      </c>
      <c r="D23" s="21">
        <v>2010000</v>
      </c>
      <c r="E23" s="21" t="s">
        <v>350</v>
      </c>
      <c r="F23" s="21" t="str">
        <f t="shared" si="0"/>
        <v>rtdc.l.rtdc.4040:itc</v>
      </c>
      <c r="G23" s="8">
        <f t="shared" si="1"/>
        <v>42677.209293981483</v>
      </c>
    </row>
    <row r="24" spans="1:7" x14ac:dyDescent="0.25">
      <c r="A24" s="8">
        <v>42677.214699074073</v>
      </c>
      <c r="B24" s="21" t="s">
        <v>431</v>
      </c>
      <c r="C24" s="21" t="s">
        <v>467</v>
      </c>
      <c r="D24" s="21">
        <v>2530000</v>
      </c>
      <c r="E24" s="21" t="s">
        <v>283</v>
      </c>
      <c r="F24" s="21" t="str">
        <f t="shared" si="0"/>
        <v>rtdc.l.rtdc.4012:itc</v>
      </c>
      <c r="G24" s="8">
        <f t="shared" si="1"/>
        <v>42677.214699074073</v>
      </c>
    </row>
    <row r="25" spans="1:7" x14ac:dyDescent="0.25">
      <c r="A25" s="8">
        <v>42677.22078703704</v>
      </c>
      <c r="B25" s="21" t="s">
        <v>354</v>
      </c>
      <c r="C25" s="21" t="s">
        <v>468</v>
      </c>
      <c r="D25" s="21">
        <v>2100000</v>
      </c>
      <c r="E25" s="21" t="s">
        <v>457</v>
      </c>
      <c r="F25" s="21" t="str">
        <f t="shared" si="0"/>
        <v>rtdc.l.rtdc.4026:itc</v>
      </c>
      <c r="G25" s="8">
        <f t="shared" si="1"/>
        <v>42677.22078703704</v>
      </c>
    </row>
    <row r="26" spans="1:7" x14ac:dyDescent="0.25">
      <c r="A26" s="8">
        <v>42677.224861111114</v>
      </c>
      <c r="B26" s="21" t="s">
        <v>252</v>
      </c>
      <c r="C26" s="21" t="s">
        <v>469</v>
      </c>
      <c r="D26" s="21">
        <v>2620000</v>
      </c>
      <c r="E26" s="21" t="s">
        <v>353</v>
      </c>
      <c r="F26" s="21" t="str">
        <f t="shared" si="0"/>
        <v>rtdc.l.rtdc.4014:itc</v>
      </c>
      <c r="G26" s="8">
        <f t="shared" si="1"/>
        <v>42677.224861111114</v>
      </c>
    </row>
    <row r="27" spans="1:7" x14ac:dyDescent="0.25">
      <c r="A27" s="8">
        <v>42677.231840277775</v>
      </c>
      <c r="B27" s="21" t="s">
        <v>273</v>
      </c>
      <c r="C27" s="21" t="s">
        <v>403</v>
      </c>
      <c r="D27" s="21">
        <v>2380000</v>
      </c>
      <c r="E27" s="21" t="s">
        <v>304</v>
      </c>
      <c r="F27" s="21" t="str">
        <f t="shared" si="0"/>
        <v>rtdc.l.rtdc.4003:itc</v>
      </c>
      <c r="G27" s="8">
        <f t="shared" si="1"/>
        <v>42677.231840277775</v>
      </c>
    </row>
    <row r="28" spans="1:7" x14ac:dyDescent="0.25">
      <c r="A28" s="8">
        <v>42677.242881944447</v>
      </c>
      <c r="B28" s="21" t="s">
        <v>234</v>
      </c>
      <c r="C28" s="21" t="s">
        <v>470</v>
      </c>
      <c r="D28" s="21">
        <v>2530000</v>
      </c>
      <c r="E28" s="21" t="s">
        <v>283</v>
      </c>
      <c r="F28" s="21" t="str">
        <f t="shared" si="0"/>
        <v>rtdc.l.rtdc.4011:itc</v>
      </c>
      <c r="G28" s="8">
        <f t="shared" si="1"/>
        <v>42677.242881944447</v>
      </c>
    </row>
    <row r="29" spans="1:7" x14ac:dyDescent="0.25">
      <c r="A29" s="8">
        <v>42677.246157407404</v>
      </c>
      <c r="B29" s="21" t="s">
        <v>449</v>
      </c>
      <c r="C29" s="21" t="s">
        <v>471</v>
      </c>
      <c r="D29" s="21">
        <v>1360000</v>
      </c>
      <c r="E29" s="21" t="s">
        <v>351</v>
      </c>
      <c r="F29" s="21" t="str">
        <f t="shared" si="0"/>
        <v>rtdc.l.rtdc.4016:itc</v>
      </c>
      <c r="G29" s="8">
        <f t="shared" si="1"/>
        <v>42677.246157407404</v>
      </c>
    </row>
    <row r="30" spans="1:7" x14ac:dyDescent="0.25">
      <c r="A30" s="8">
        <v>42677.246249999997</v>
      </c>
      <c r="B30" s="21" t="s">
        <v>280</v>
      </c>
      <c r="C30" s="21" t="s">
        <v>472</v>
      </c>
      <c r="D30" s="21">
        <v>1110000</v>
      </c>
      <c r="E30" s="21" t="s">
        <v>271</v>
      </c>
      <c r="F30" s="21" t="str">
        <f t="shared" si="0"/>
        <v>rtdc.l.rtdc.4032:itc</v>
      </c>
      <c r="G30" s="8">
        <f t="shared" si="1"/>
        <v>42677.246249999997</v>
      </c>
    </row>
    <row r="31" spans="1:7" x14ac:dyDescent="0.25">
      <c r="A31" s="8">
        <v>42677.246863425928</v>
      </c>
      <c r="B31" s="21" t="s">
        <v>348</v>
      </c>
      <c r="C31" s="21" t="s">
        <v>404</v>
      </c>
      <c r="D31" s="21">
        <v>2600000</v>
      </c>
      <c r="E31" s="21" t="s">
        <v>355</v>
      </c>
      <c r="F31" s="21" t="str">
        <f t="shared" si="0"/>
        <v>rtdc.l.rtdc.4054:itc</v>
      </c>
      <c r="G31" s="8">
        <f t="shared" si="1"/>
        <v>42677.246863425928</v>
      </c>
    </row>
    <row r="32" spans="1:7" x14ac:dyDescent="0.25">
      <c r="A32" s="8">
        <v>42677.252824074072</v>
      </c>
      <c r="B32" s="21" t="s">
        <v>279</v>
      </c>
      <c r="C32" s="21" t="s">
        <v>473</v>
      </c>
      <c r="D32" s="21">
        <v>2010000</v>
      </c>
      <c r="E32" s="21" t="s">
        <v>350</v>
      </c>
      <c r="F32" s="21" t="str">
        <f t="shared" si="0"/>
        <v>rtdc.l.rtdc.4039:itc</v>
      </c>
      <c r="G32" s="8">
        <f t="shared" si="1"/>
        <v>42677.252824074072</v>
      </c>
    </row>
    <row r="33" spans="1:7" x14ac:dyDescent="0.25">
      <c r="A33" s="8">
        <v>42677.254837962966</v>
      </c>
      <c r="B33" s="21" t="s">
        <v>346</v>
      </c>
      <c r="C33" s="21" t="s">
        <v>474</v>
      </c>
      <c r="D33" s="21">
        <v>2100000</v>
      </c>
      <c r="E33" s="21" t="s">
        <v>457</v>
      </c>
      <c r="F33" s="21" t="str">
        <f t="shared" si="0"/>
        <v>rtdc.l.rtdc.4025:itc</v>
      </c>
      <c r="G33" s="8">
        <f t="shared" si="1"/>
        <v>42677.254837962966</v>
      </c>
    </row>
    <row r="34" spans="1:7" x14ac:dyDescent="0.25">
      <c r="A34" s="8">
        <v>42677.254895833335</v>
      </c>
      <c r="B34" s="21" t="s">
        <v>431</v>
      </c>
      <c r="C34" s="21" t="s">
        <v>475</v>
      </c>
      <c r="D34" s="21">
        <v>2530000</v>
      </c>
      <c r="E34" s="21" t="s">
        <v>283</v>
      </c>
      <c r="F34" s="21" t="str">
        <f t="shared" si="0"/>
        <v>rtdc.l.rtdc.4012:itc</v>
      </c>
      <c r="G34" s="8">
        <f t="shared" si="1"/>
        <v>42677.254895833335</v>
      </c>
    </row>
    <row r="35" spans="1:7" x14ac:dyDescent="0.25">
      <c r="A35" s="8">
        <v>42677.256550925929</v>
      </c>
      <c r="B35" s="21" t="s">
        <v>352</v>
      </c>
      <c r="C35" s="21" t="s">
        <v>476</v>
      </c>
      <c r="D35" s="21">
        <v>2600000</v>
      </c>
      <c r="E35" s="21" t="s">
        <v>355</v>
      </c>
      <c r="F35" s="21" t="str">
        <f t="shared" si="0"/>
        <v>rtdc.l.rtdc.4053:itc</v>
      </c>
      <c r="G35" s="8">
        <f t="shared" si="1"/>
        <v>42677.256550925929</v>
      </c>
    </row>
    <row r="36" spans="1:7" x14ac:dyDescent="0.25">
      <c r="A36" s="8">
        <v>42677.257233796299</v>
      </c>
      <c r="B36" s="21" t="s">
        <v>251</v>
      </c>
      <c r="C36" s="21" t="s">
        <v>477</v>
      </c>
      <c r="D36" s="21">
        <v>2620000</v>
      </c>
      <c r="E36" s="21" t="s">
        <v>353</v>
      </c>
      <c r="F36" s="21" t="str">
        <f t="shared" si="0"/>
        <v>rtdc.l.rtdc.4013:itc</v>
      </c>
      <c r="G36" s="8">
        <f t="shared" si="1"/>
        <v>42677.257233796299</v>
      </c>
    </row>
    <row r="37" spans="1:7" x14ac:dyDescent="0.25">
      <c r="A37" s="8">
        <v>42677.26935185185</v>
      </c>
      <c r="B37" s="21" t="s">
        <v>226</v>
      </c>
      <c r="C37" s="21" t="s">
        <v>478</v>
      </c>
      <c r="D37" s="21">
        <v>2450000</v>
      </c>
      <c r="E37" s="21" t="s">
        <v>461</v>
      </c>
      <c r="F37" s="21" t="str">
        <f t="shared" si="0"/>
        <v>rtdc.l.rtdc.4029:itc</v>
      </c>
      <c r="G37" s="8">
        <f t="shared" si="1"/>
        <v>42677.26935185185</v>
      </c>
    </row>
    <row r="38" spans="1:7" x14ac:dyDescent="0.25">
      <c r="A38" s="8">
        <v>42677.270844907405</v>
      </c>
      <c r="B38" s="21" t="s">
        <v>226</v>
      </c>
      <c r="C38" s="21" t="s">
        <v>478</v>
      </c>
      <c r="D38" s="21">
        <v>2450000</v>
      </c>
      <c r="E38" s="21" t="s">
        <v>461</v>
      </c>
      <c r="F38" s="21" t="str">
        <f t="shared" si="0"/>
        <v>rtdc.l.rtdc.4029:itc</v>
      </c>
      <c r="G38" s="8">
        <f t="shared" si="1"/>
        <v>42677.270844907405</v>
      </c>
    </row>
    <row r="39" spans="1:7" x14ac:dyDescent="0.25">
      <c r="A39" s="8">
        <v>42677.271678240744</v>
      </c>
      <c r="B39" s="21" t="s">
        <v>284</v>
      </c>
      <c r="C39" s="21" t="s">
        <v>479</v>
      </c>
      <c r="D39" s="21">
        <v>2380000</v>
      </c>
      <c r="E39" s="21" t="s">
        <v>304</v>
      </c>
      <c r="F39" s="21" t="str">
        <f t="shared" si="0"/>
        <v>rtdc.l.rtdc.4004:itc</v>
      </c>
      <c r="G39" s="8">
        <f t="shared" si="1"/>
        <v>42677.271678240744</v>
      </c>
    </row>
    <row r="40" spans="1:7" x14ac:dyDescent="0.25">
      <c r="A40" s="8">
        <v>42677.275787037041</v>
      </c>
      <c r="B40" s="26" t="s">
        <v>348</v>
      </c>
      <c r="C40" s="21" t="s">
        <v>405</v>
      </c>
      <c r="D40" s="21">
        <v>2600000</v>
      </c>
      <c r="E40" s="21" t="s">
        <v>355</v>
      </c>
      <c r="F40" s="21" t="str">
        <f t="shared" si="0"/>
        <v>rtdc.l.rtdc.4054:itc</v>
      </c>
      <c r="G40" s="8">
        <f t="shared" si="1"/>
        <v>42677.275787037041</v>
      </c>
    </row>
    <row r="41" spans="1:7" x14ac:dyDescent="0.25">
      <c r="A41" s="8">
        <v>42677.277118055557</v>
      </c>
      <c r="B41" s="21" t="s">
        <v>441</v>
      </c>
      <c r="C41" s="21" t="s">
        <v>480</v>
      </c>
      <c r="D41" s="21">
        <v>1360000</v>
      </c>
      <c r="E41" s="21" t="s">
        <v>351</v>
      </c>
      <c r="F41" s="21" t="str">
        <f t="shared" si="0"/>
        <v>rtdc.l.rtdc.4015:itc</v>
      </c>
      <c r="G41" s="8">
        <f t="shared" si="1"/>
        <v>42677.277118055557</v>
      </c>
    </row>
    <row r="42" spans="1:7" x14ac:dyDescent="0.25">
      <c r="A42" s="8">
        <v>42677.277974537035</v>
      </c>
      <c r="B42" s="21" t="s">
        <v>284</v>
      </c>
      <c r="C42" s="21" t="s">
        <v>479</v>
      </c>
      <c r="D42" s="21">
        <v>2380000</v>
      </c>
      <c r="E42" s="21" t="s">
        <v>304</v>
      </c>
      <c r="F42" s="21" t="str">
        <f t="shared" si="0"/>
        <v>rtdc.l.rtdc.4004:itc</v>
      </c>
      <c r="G42" s="8">
        <f t="shared" si="1"/>
        <v>42677.277974537035</v>
      </c>
    </row>
    <row r="43" spans="1:7" x14ac:dyDescent="0.25">
      <c r="A43" s="8">
        <v>42677.279733796298</v>
      </c>
      <c r="B43" s="21" t="s">
        <v>344</v>
      </c>
      <c r="C43" s="21" t="s">
        <v>481</v>
      </c>
      <c r="D43" s="21">
        <v>1110000</v>
      </c>
      <c r="E43" s="21" t="s">
        <v>271</v>
      </c>
      <c r="F43" s="21" t="str">
        <f t="shared" si="0"/>
        <v>rtdc.l.rtdc.4031:itc</v>
      </c>
      <c r="G43" s="8">
        <f t="shared" si="1"/>
        <v>42677.279733796298</v>
      </c>
    </row>
    <row r="44" spans="1:7" x14ac:dyDescent="0.25">
      <c r="A44" s="8">
        <v>42677.280335648145</v>
      </c>
      <c r="B44" s="21" t="s">
        <v>348</v>
      </c>
      <c r="C44" s="21" t="s">
        <v>405</v>
      </c>
      <c r="D44" s="21">
        <v>2600000</v>
      </c>
      <c r="E44" s="21" t="s">
        <v>355</v>
      </c>
      <c r="F44" s="21" t="str">
        <f t="shared" si="0"/>
        <v>rtdc.l.rtdc.4054:itc</v>
      </c>
      <c r="G44" s="8">
        <f t="shared" si="1"/>
        <v>42677.280335648145</v>
      </c>
    </row>
    <row r="45" spans="1:7" x14ac:dyDescent="0.25">
      <c r="A45" s="8">
        <v>42677.284953703704</v>
      </c>
      <c r="B45" s="21" t="s">
        <v>234</v>
      </c>
      <c r="C45" s="21" t="s">
        <v>482</v>
      </c>
      <c r="D45" s="21">
        <v>2530000</v>
      </c>
      <c r="E45" s="21" t="s">
        <v>283</v>
      </c>
      <c r="F45" s="21" t="str">
        <f t="shared" si="0"/>
        <v>rtdc.l.rtdc.4011:itc</v>
      </c>
      <c r="G45" s="8">
        <f t="shared" si="1"/>
        <v>42677.284953703704</v>
      </c>
    </row>
    <row r="46" spans="1:7" x14ac:dyDescent="0.25">
      <c r="A46" s="8">
        <v>42677.289699074077</v>
      </c>
      <c r="B46" s="21" t="s">
        <v>246</v>
      </c>
      <c r="C46" s="21" t="s">
        <v>483</v>
      </c>
      <c r="D46" s="21">
        <v>890000</v>
      </c>
      <c r="E46" s="21" t="s">
        <v>359</v>
      </c>
      <c r="F46" s="21" t="str">
        <f t="shared" si="0"/>
        <v>rtdc.l.rtdc.4040:itc</v>
      </c>
      <c r="G46" s="8">
        <f t="shared" si="1"/>
        <v>42677.289699074077</v>
      </c>
    </row>
    <row r="47" spans="1:7" x14ac:dyDescent="0.25">
      <c r="A47" s="8">
        <v>42677.292905092596</v>
      </c>
      <c r="B47" s="21" t="s">
        <v>354</v>
      </c>
      <c r="C47" s="21" t="s">
        <v>484</v>
      </c>
      <c r="D47" s="21">
        <v>2100000</v>
      </c>
      <c r="E47" s="21" t="s">
        <v>457</v>
      </c>
      <c r="F47" s="21" t="str">
        <f t="shared" si="0"/>
        <v>rtdc.l.rtdc.4026:itc</v>
      </c>
      <c r="G47" s="8">
        <f t="shared" si="1"/>
        <v>42677.292905092596</v>
      </c>
    </row>
    <row r="48" spans="1:7" x14ac:dyDescent="0.25">
      <c r="A48" s="8">
        <v>42677.292974537035</v>
      </c>
      <c r="B48" s="21" t="s">
        <v>352</v>
      </c>
      <c r="C48" s="21" t="s">
        <v>476</v>
      </c>
      <c r="D48" s="21">
        <v>2600000</v>
      </c>
      <c r="E48" s="21" t="s">
        <v>355</v>
      </c>
      <c r="F48" s="21" t="str">
        <f t="shared" si="0"/>
        <v>rtdc.l.rtdc.4053:itc</v>
      </c>
      <c r="G48" s="8">
        <f t="shared" si="1"/>
        <v>42677.292974537035</v>
      </c>
    </row>
    <row r="49" spans="1:7" x14ac:dyDescent="0.25">
      <c r="A49" s="8">
        <v>42677.296990740739</v>
      </c>
      <c r="B49" s="21" t="s">
        <v>252</v>
      </c>
      <c r="C49" s="21" t="s">
        <v>485</v>
      </c>
      <c r="D49" s="21">
        <v>2620000</v>
      </c>
      <c r="E49" s="21" t="s">
        <v>353</v>
      </c>
      <c r="F49" s="21" t="str">
        <f t="shared" si="0"/>
        <v>rtdc.l.rtdc.4014:itc</v>
      </c>
      <c r="G49" s="8">
        <f t="shared" si="1"/>
        <v>42677.296990740739</v>
      </c>
    </row>
    <row r="50" spans="1:7" x14ac:dyDescent="0.25">
      <c r="A50" s="8">
        <v>42677.298495370371</v>
      </c>
      <c r="B50" s="21" t="s">
        <v>431</v>
      </c>
      <c r="C50" s="21" t="s">
        <v>486</v>
      </c>
      <c r="D50" s="21">
        <v>2530000</v>
      </c>
      <c r="E50" s="21" t="s">
        <v>283</v>
      </c>
      <c r="F50" s="21" t="str">
        <f t="shared" si="0"/>
        <v>rtdc.l.rtdc.4012:itc</v>
      </c>
      <c r="G50" s="8">
        <f t="shared" si="1"/>
        <v>42677.298495370371</v>
      </c>
    </row>
    <row r="51" spans="1:7" x14ac:dyDescent="0.25">
      <c r="A51" s="8">
        <v>42677.303912037038</v>
      </c>
      <c r="B51" s="21" t="s">
        <v>352</v>
      </c>
      <c r="C51" s="21" t="s">
        <v>487</v>
      </c>
      <c r="D51" s="21">
        <v>2600000</v>
      </c>
      <c r="E51" s="21" t="s">
        <v>355</v>
      </c>
      <c r="F51" s="21" t="str">
        <f t="shared" si="0"/>
        <v>rtdc.l.rtdc.4053:itc</v>
      </c>
      <c r="G51" s="8">
        <f t="shared" si="1"/>
        <v>42677.303912037038</v>
      </c>
    </row>
    <row r="52" spans="1:7" x14ac:dyDescent="0.25">
      <c r="A52" s="8">
        <v>42677.304097222222</v>
      </c>
      <c r="B52" s="21" t="s">
        <v>227</v>
      </c>
      <c r="C52" s="21" t="s">
        <v>406</v>
      </c>
      <c r="D52" s="21">
        <v>2450000</v>
      </c>
      <c r="E52" s="21" t="s">
        <v>461</v>
      </c>
      <c r="F52" s="21" t="str">
        <f t="shared" si="0"/>
        <v>rtdc.l.rtdc.4030:itc</v>
      </c>
      <c r="G52" s="8">
        <f t="shared" si="1"/>
        <v>42677.304097222222</v>
      </c>
    </row>
    <row r="53" spans="1:7" x14ac:dyDescent="0.25">
      <c r="A53" s="8">
        <v>42677.305312500001</v>
      </c>
      <c r="B53" s="21" t="s">
        <v>303</v>
      </c>
      <c r="C53" s="21" t="s">
        <v>488</v>
      </c>
      <c r="D53" s="21">
        <v>1340000</v>
      </c>
      <c r="E53" s="21" t="s">
        <v>358</v>
      </c>
      <c r="F53" s="21" t="str">
        <f t="shared" si="0"/>
        <v>rtdc.l.rtdc.4042:itc</v>
      </c>
      <c r="G53" s="8">
        <f t="shared" si="1"/>
        <v>42677.305312500001</v>
      </c>
    </row>
    <row r="54" spans="1:7" x14ac:dyDescent="0.25">
      <c r="A54" s="8">
        <v>42677.312303240738</v>
      </c>
      <c r="B54" s="21" t="s">
        <v>234</v>
      </c>
      <c r="C54" s="21" t="s">
        <v>489</v>
      </c>
      <c r="D54" s="21">
        <v>2530000</v>
      </c>
      <c r="E54" s="21" t="s">
        <v>283</v>
      </c>
      <c r="F54" s="21" t="str">
        <f t="shared" si="0"/>
        <v>rtdc.l.rtdc.4011:itc</v>
      </c>
      <c r="G54" s="8">
        <f t="shared" si="1"/>
        <v>42677.312303240738</v>
      </c>
    </row>
    <row r="55" spans="1:7" x14ac:dyDescent="0.25">
      <c r="A55" s="8">
        <v>42677.312777777777</v>
      </c>
      <c r="B55" s="21" t="s">
        <v>280</v>
      </c>
      <c r="C55" s="21" t="s">
        <v>408</v>
      </c>
      <c r="D55" s="21">
        <v>1110000</v>
      </c>
      <c r="E55" s="21" t="s">
        <v>271</v>
      </c>
      <c r="F55" s="21" t="str">
        <f t="shared" si="0"/>
        <v>rtdc.l.rtdc.4032:itc</v>
      </c>
      <c r="G55" s="8">
        <f t="shared" si="1"/>
        <v>42677.312777777777</v>
      </c>
    </row>
    <row r="56" spans="1:7" x14ac:dyDescent="0.25">
      <c r="A56" s="8">
        <v>42677.317557870374</v>
      </c>
      <c r="B56" s="21" t="s">
        <v>348</v>
      </c>
      <c r="C56" s="21" t="s">
        <v>407</v>
      </c>
      <c r="D56" s="21">
        <v>2600000</v>
      </c>
      <c r="E56" s="21" t="s">
        <v>355</v>
      </c>
      <c r="F56" s="21" t="str">
        <f t="shared" si="0"/>
        <v>rtdc.l.rtdc.4054:itc</v>
      </c>
      <c r="G56" s="8">
        <f t="shared" si="1"/>
        <v>42677.317557870374</v>
      </c>
    </row>
    <row r="57" spans="1:7" x14ac:dyDescent="0.25">
      <c r="A57" s="8">
        <v>42677.321238425924</v>
      </c>
      <c r="B57" s="21" t="s">
        <v>449</v>
      </c>
      <c r="C57" s="21" t="s">
        <v>490</v>
      </c>
      <c r="D57" s="21">
        <v>1360000</v>
      </c>
      <c r="E57" s="21" t="s">
        <v>351</v>
      </c>
      <c r="F57" s="21" t="str">
        <f t="shared" si="0"/>
        <v>rtdc.l.rtdc.4016:itc</v>
      </c>
      <c r="G57" s="8">
        <f t="shared" si="1"/>
        <v>42677.321238425924</v>
      </c>
    </row>
    <row r="58" spans="1:7" x14ac:dyDescent="0.25">
      <c r="A58" s="8">
        <v>42677.325300925928</v>
      </c>
      <c r="B58" s="21" t="s">
        <v>279</v>
      </c>
      <c r="C58" s="21" t="s">
        <v>409</v>
      </c>
      <c r="D58" s="21">
        <v>890000</v>
      </c>
      <c r="E58" s="21" t="s">
        <v>359</v>
      </c>
      <c r="F58" s="21" t="str">
        <f t="shared" si="0"/>
        <v>rtdc.l.rtdc.4039:itc</v>
      </c>
      <c r="G58" s="8">
        <f t="shared" si="1"/>
        <v>42677.325300925928</v>
      </c>
    </row>
    <row r="59" spans="1:7" x14ac:dyDescent="0.25">
      <c r="A59" s="8">
        <v>42677.329988425925</v>
      </c>
      <c r="B59" s="21" t="s">
        <v>346</v>
      </c>
      <c r="C59" s="21" t="s">
        <v>411</v>
      </c>
      <c r="D59" s="21">
        <v>2480000</v>
      </c>
      <c r="E59" s="21" t="s">
        <v>289</v>
      </c>
      <c r="F59" s="21" t="str">
        <f t="shared" si="0"/>
        <v>rtdc.l.rtdc.4025:itc</v>
      </c>
      <c r="G59" s="8">
        <f t="shared" si="1"/>
        <v>42677.329988425925</v>
      </c>
    </row>
    <row r="60" spans="1:7" x14ac:dyDescent="0.25">
      <c r="A60" s="8">
        <v>42677.336724537039</v>
      </c>
      <c r="B60" s="21" t="s">
        <v>352</v>
      </c>
      <c r="C60" s="21" t="s">
        <v>491</v>
      </c>
      <c r="D60" s="21">
        <v>2600000</v>
      </c>
      <c r="E60" s="21" t="s">
        <v>355</v>
      </c>
      <c r="F60" s="21" t="str">
        <f t="shared" si="0"/>
        <v>rtdc.l.rtdc.4053:itc</v>
      </c>
      <c r="G60" s="8">
        <f t="shared" si="1"/>
        <v>42677.336724537039</v>
      </c>
    </row>
    <row r="61" spans="1:7" x14ac:dyDescent="0.25">
      <c r="A61" s="8">
        <v>42677.336851851855</v>
      </c>
      <c r="B61" s="21" t="s">
        <v>251</v>
      </c>
      <c r="C61" s="21" t="s">
        <v>410</v>
      </c>
      <c r="D61" s="21">
        <v>2620000</v>
      </c>
      <c r="E61" s="21" t="s">
        <v>353</v>
      </c>
      <c r="F61" s="21" t="str">
        <f t="shared" si="0"/>
        <v>rtdc.l.rtdc.4013:itc</v>
      </c>
      <c r="G61" s="8">
        <f t="shared" si="1"/>
        <v>42677.336851851855</v>
      </c>
    </row>
    <row r="62" spans="1:7" x14ac:dyDescent="0.25">
      <c r="A62" s="8">
        <v>42677.337939814817</v>
      </c>
      <c r="B62" s="21" t="s">
        <v>431</v>
      </c>
      <c r="C62" s="21" t="s">
        <v>492</v>
      </c>
      <c r="D62" s="21">
        <v>2530000</v>
      </c>
      <c r="E62" s="21" t="s">
        <v>283</v>
      </c>
      <c r="F62" s="21" t="str">
        <f t="shared" si="0"/>
        <v>rtdc.l.rtdc.4012:itc</v>
      </c>
      <c r="G62" s="8">
        <f t="shared" si="1"/>
        <v>42677.337939814817</v>
      </c>
    </row>
    <row r="63" spans="1:7" x14ac:dyDescent="0.25">
      <c r="A63" s="8">
        <v>42677.341493055559</v>
      </c>
      <c r="B63" s="21" t="s">
        <v>298</v>
      </c>
      <c r="C63" s="21" t="s">
        <v>493</v>
      </c>
      <c r="D63" s="21">
        <v>1340000</v>
      </c>
      <c r="E63" s="21" t="s">
        <v>358</v>
      </c>
      <c r="F63" s="21" t="str">
        <f t="shared" si="0"/>
        <v>rtdc.l.rtdc.4041:itc</v>
      </c>
      <c r="G63" s="8">
        <f t="shared" si="1"/>
        <v>42677.341493055559</v>
      </c>
    </row>
    <row r="64" spans="1:7" x14ac:dyDescent="0.25">
      <c r="A64" s="27">
        <v>42677.343148148146</v>
      </c>
      <c r="B64" s="21" t="s">
        <v>226</v>
      </c>
      <c r="C64" s="21" t="s">
        <v>494</v>
      </c>
      <c r="D64" s="21">
        <v>2450000</v>
      </c>
      <c r="E64" s="21" t="s">
        <v>461</v>
      </c>
      <c r="F64" s="21" t="str">
        <f t="shared" si="0"/>
        <v>rtdc.l.rtdc.4029:itc</v>
      </c>
      <c r="G64" s="8">
        <f t="shared" si="1"/>
        <v>42677.343148148146</v>
      </c>
    </row>
    <row r="65" spans="1:7" x14ac:dyDescent="0.25">
      <c r="A65" s="8">
        <v>42677.349398148152</v>
      </c>
      <c r="B65" s="21" t="s">
        <v>441</v>
      </c>
      <c r="C65" s="21" t="s">
        <v>495</v>
      </c>
      <c r="D65" s="21">
        <v>1360000</v>
      </c>
      <c r="E65" s="21" t="s">
        <v>351</v>
      </c>
      <c r="F65" s="21" t="str">
        <f t="shared" si="0"/>
        <v>rtdc.l.rtdc.4015:itc</v>
      </c>
      <c r="G65" s="8">
        <f t="shared" si="1"/>
        <v>42677.349398148152</v>
      </c>
    </row>
    <row r="66" spans="1:7" x14ac:dyDescent="0.25">
      <c r="A66" s="8">
        <v>42677.34957175926</v>
      </c>
      <c r="B66" s="21" t="s">
        <v>344</v>
      </c>
      <c r="C66" s="21" t="s">
        <v>412</v>
      </c>
      <c r="D66" s="21">
        <v>1110000</v>
      </c>
      <c r="E66" s="21" t="s">
        <v>271</v>
      </c>
      <c r="F66" s="21" t="str">
        <f t="shared" ref="F66:F129" si="2">B66</f>
        <v>rtdc.l.rtdc.4031:itc</v>
      </c>
      <c r="G66" s="8">
        <f t="shared" ref="G66:G129" si="3">A66</f>
        <v>42677.34957175926</v>
      </c>
    </row>
    <row r="67" spans="1:7" x14ac:dyDescent="0.25">
      <c r="A67" s="8">
        <v>42677.352743055555</v>
      </c>
      <c r="B67" s="21" t="s">
        <v>234</v>
      </c>
      <c r="C67" s="21" t="s">
        <v>496</v>
      </c>
      <c r="D67" s="21">
        <v>2530000</v>
      </c>
      <c r="E67" s="21" t="s">
        <v>283</v>
      </c>
      <c r="F67" s="21" t="str">
        <f t="shared" si="2"/>
        <v>rtdc.l.rtdc.4011:itc</v>
      </c>
      <c r="G67" s="8">
        <f t="shared" si="3"/>
        <v>42677.352743055555</v>
      </c>
    </row>
    <row r="68" spans="1:7" x14ac:dyDescent="0.25">
      <c r="A68" s="8">
        <v>42677.359710648147</v>
      </c>
      <c r="B68" s="21" t="s">
        <v>348</v>
      </c>
      <c r="C68" s="21" t="s">
        <v>497</v>
      </c>
      <c r="D68" s="21">
        <v>2600000</v>
      </c>
      <c r="E68" s="21" t="s">
        <v>355</v>
      </c>
      <c r="F68" s="21" t="str">
        <f t="shared" si="2"/>
        <v>rtdc.l.rtdc.4054:itc</v>
      </c>
      <c r="G68" s="8">
        <f t="shared" si="3"/>
        <v>42677.359710648147</v>
      </c>
    </row>
    <row r="69" spans="1:7" x14ac:dyDescent="0.25">
      <c r="A69" s="8">
        <v>42677.361550925925</v>
      </c>
      <c r="B69" s="21" t="s">
        <v>246</v>
      </c>
      <c r="C69" s="21" t="s">
        <v>498</v>
      </c>
      <c r="D69" s="21">
        <v>890000</v>
      </c>
      <c r="E69" s="21" t="s">
        <v>359</v>
      </c>
      <c r="F69" s="21" t="str">
        <f t="shared" si="2"/>
        <v>rtdc.l.rtdc.4040:itc</v>
      </c>
      <c r="G69" s="8">
        <f t="shared" si="3"/>
        <v>42677.361550925925</v>
      </c>
    </row>
    <row r="70" spans="1:7" x14ac:dyDescent="0.25">
      <c r="A70" s="8">
        <v>42677.363680555558</v>
      </c>
      <c r="B70" s="21" t="s">
        <v>348</v>
      </c>
      <c r="C70" s="21" t="s">
        <v>497</v>
      </c>
      <c r="D70" s="21">
        <v>2600000</v>
      </c>
      <c r="E70" s="21" t="s">
        <v>355</v>
      </c>
      <c r="F70" s="21" t="str">
        <f t="shared" si="2"/>
        <v>rtdc.l.rtdc.4054:itc</v>
      </c>
      <c r="G70" s="8">
        <f t="shared" si="3"/>
        <v>42677.363680555558</v>
      </c>
    </row>
    <row r="71" spans="1:7" x14ac:dyDescent="0.25">
      <c r="A71" s="8">
        <v>42677.370706018519</v>
      </c>
      <c r="B71" s="21" t="s">
        <v>252</v>
      </c>
      <c r="C71" s="21" t="s">
        <v>499</v>
      </c>
      <c r="D71" s="21">
        <v>2620000</v>
      </c>
      <c r="E71" s="21" t="s">
        <v>353</v>
      </c>
      <c r="F71" s="21" t="str">
        <f t="shared" si="2"/>
        <v>rtdc.l.rtdc.4014:itc</v>
      </c>
      <c r="G71" s="8">
        <f t="shared" si="3"/>
        <v>42677.370706018519</v>
      </c>
    </row>
    <row r="72" spans="1:7" x14ac:dyDescent="0.25">
      <c r="A72" s="8">
        <v>42677.37122685185</v>
      </c>
      <c r="B72" s="21" t="s">
        <v>354</v>
      </c>
      <c r="C72" s="21" t="s">
        <v>500</v>
      </c>
      <c r="D72" s="21">
        <v>2480000</v>
      </c>
      <c r="E72" s="21" t="s">
        <v>289</v>
      </c>
      <c r="F72" s="21" t="str">
        <f t="shared" si="2"/>
        <v>rtdc.l.rtdc.4026:itc</v>
      </c>
      <c r="G72" s="8">
        <f t="shared" si="3"/>
        <v>42677.37122685185</v>
      </c>
    </row>
    <row r="73" spans="1:7" x14ac:dyDescent="0.25">
      <c r="A73" s="8">
        <v>42677.378645833334</v>
      </c>
      <c r="B73" s="21" t="s">
        <v>352</v>
      </c>
      <c r="C73" s="21" t="s">
        <v>501</v>
      </c>
      <c r="D73" s="21">
        <v>2600000</v>
      </c>
      <c r="E73" s="21" t="s">
        <v>355</v>
      </c>
      <c r="F73" s="21" t="str">
        <f t="shared" si="2"/>
        <v>rtdc.l.rtdc.4053:itc</v>
      </c>
      <c r="G73" s="8">
        <f t="shared" si="3"/>
        <v>42677.378645833334</v>
      </c>
    </row>
    <row r="74" spans="1:7" x14ac:dyDescent="0.25">
      <c r="A74" s="8">
        <v>42677.38175925926</v>
      </c>
      <c r="B74" s="21" t="s">
        <v>227</v>
      </c>
      <c r="C74" s="21" t="s">
        <v>502</v>
      </c>
      <c r="D74" s="21">
        <v>2450000</v>
      </c>
      <c r="E74" s="21" t="s">
        <v>461</v>
      </c>
      <c r="F74" s="21" t="str">
        <f t="shared" si="2"/>
        <v>rtdc.l.rtdc.4030:itc</v>
      </c>
      <c r="G74" s="8">
        <f t="shared" si="3"/>
        <v>42677.38175925926</v>
      </c>
    </row>
    <row r="75" spans="1:7" x14ac:dyDescent="0.25">
      <c r="A75" s="8">
        <v>42677.3830787037</v>
      </c>
      <c r="B75" s="21" t="s">
        <v>303</v>
      </c>
      <c r="C75" s="21" t="s">
        <v>503</v>
      </c>
      <c r="D75" s="21">
        <v>2380000</v>
      </c>
      <c r="E75" s="21" t="s">
        <v>304</v>
      </c>
      <c r="F75" s="21" t="str">
        <f t="shared" si="2"/>
        <v>rtdc.l.rtdc.4042:itc</v>
      </c>
      <c r="G75" s="8">
        <f t="shared" si="3"/>
        <v>42677.3830787037</v>
      </c>
    </row>
    <row r="76" spans="1:7" x14ac:dyDescent="0.25">
      <c r="A76" s="8">
        <v>42677.390127314815</v>
      </c>
      <c r="B76" s="21" t="s">
        <v>280</v>
      </c>
      <c r="C76" s="21" t="s">
        <v>504</v>
      </c>
      <c r="D76" s="21">
        <v>1110000</v>
      </c>
      <c r="E76" s="21" t="s">
        <v>271</v>
      </c>
      <c r="F76" s="21" t="str">
        <f t="shared" si="2"/>
        <v>rtdc.l.rtdc.4032:itc</v>
      </c>
      <c r="G76" s="8">
        <f t="shared" si="3"/>
        <v>42677.390127314815</v>
      </c>
    </row>
    <row r="77" spans="1:7" x14ac:dyDescent="0.25">
      <c r="A77" s="8">
        <v>42677.392488425925</v>
      </c>
      <c r="B77" s="21" t="s">
        <v>449</v>
      </c>
      <c r="C77" s="21" t="s">
        <v>505</v>
      </c>
      <c r="D77" s="21">
        <v>2470000</v>
      </c>
      <c r="E77" s="21" t="s">
        <v>288</v>
      </c>
      <c r="F77" s="21" t="str">
        <f t="shared" si="2"/>
        <v>rtdc.l.rtdc.4016:itc</v>
      </c>
      <c r="G77" s="8">
        <f t="shared" si="3"/>
        <v>42677.392488425925</v>
      </c>
    </row>
    <row r="78" spans="1:7" x14ac:dyDescent="0.25">
      <c r="A78" s="8">
        <v>42677.401273148149</v>
      </c>
      <c r="B78" s="21" t="s">
        <v>279</v>
      </c>
      <c r="C78" s="21" t="s">
        <v>506</v>
      </c>
      <c r="D78" s="21">
        <v>890000</v>
      </c>
      <c r="E78" s="21" t="s">
        <v>359</v>
      </c>
      <c r="F78" s="21" t="str">
        <f t="shared" si="2"/>
        <v>rtdc.l.rtdc.4039:itc</v>
      </c>
      <c r="G78" s="8">
        <f t="shared" si="3"/>
        <v>42677.401273148149</v>
      </c>
    </row>
    <row r="79" spans="1:7" x14ac:dyDescent="0.25">
      <c r="A79" s="8">
        <v>42677.401620370372</v>
      </c>
      <c r="B79" s="21" t="s">
        <v>348</v>
      </c>
      <c r="C79" s="21" t="s">
        <v>413</v>
      </c>
      <c r="D79" s="21">
        <v>2600000</v>
      </c>
      <c r="E79" s="21" t="s">
        <v>355</v>
      </c>
      <c r="F79" s="21" t="str">
        <f t="shared" si="2"/>
        <v>rtdc.l.rtdc.4054:itc</v>
      </c>
      <c r="G79" s="8">
        <f t="shared" si="3"/>
        <v>42677.401620370372</v>
      </c>
    </row>
    <row r="80" spans="1:7" x14ac:dyDescent="0.25">
      <c r="A80" s="8">
        <v>42677.403703703705</v>
      </c>
      <c r="B80" s="21" t="s">
        <v>346</v>
      </c>
      <c r="C80" s="21" t="s">
        <v>507</v>
      </c>
      <c r="D80" s="21">
        <v>2100000</v>
      </c>
      <c r="E80" s="21" t="s">
        <v>457</v>
      </c>
      <c r="F80" s="21" t="str">
        <f t="shared" si="2"/>
        <v>rtdc.l.rtdc.4025:itc</v>
      </c>
      <c r="G80" s="8">
        <f t="shared" si="3"/>
        <v>42677.403703703705</v>
      </c>
    </row>
    <row r="81" spans="1:7" x14ac:dyDescent="0.25">
      <c r="A81" s="8">
        <v>42677.40729166667</v>
      </c>
      <c r="B81" s="21" t="s">
        <v>251</v>
      </c>
      <c r="C81" s="21" t="s">
        <v>508</v>
      </c>
      <c r="D81" s="21">
        <v>2620000</v>
      </c>
      <c r="E81" s="21" t="s">
        <v>353</v>
      </c>
      <c r="F81" s="21" t="str">
        <f t="shared" si="2"/>
        <v>rtdc.l.rtdc.4013:itc</v>
      </c>
      <c r="G81" s="8">
        <f t="shared" si="3"/>
        <v>42677.40729166667</v>
      </c>
    </row>
    <row r="82" spans="1:7" x14ac:dyDescent="0.25">
      <c r="A82" s="8">
        <v>42677.408807870372</v>
      </c>
      <c r="B82" s="21" t="s">
        <v>251</v>
      </c>
      <c r="C82" s="21" t="s">
        <v>508</v>
      </c>
      <c r="D82" s="21">
        <v>2620000</v>
      </c>
      <c r="E82" s="21" t="s">
        <v>353</v>
      </c>
      <c r="F82" s="21" t="str">
        <f t="shared" si="2"/>
        <v>rtdc.l.rtdc.4013:itc</v>
      </c>
      <c r="G82" s="8">
        <f t="shared" si="3"/>
        <v>42677.408807870372</v>
      </c>
    </row>
    <row r="83" spans="1:7" x14ac:dyDescent="0.25">
      <c r="A83" s="8">
        <v>42677.413124999999</v>
      </c>
      <c r="B83" s="21" t="s">
        <v>226</v>
      </c>
      <c r="C83" s="21" t="s">
        <v>415</v>
      </c>
      <c r="D83" s="21">
        <v>2450000</v>
      </c>
      <c r="E83" s="21" t="s">
        <v>461</v>
      </c>
      <c r="F83" s="21" t="str">
        <f t="shared" si="2"/>
        <v>rtdc.l.rtdc.4029:itc</v>
      </c>
      <c r="G83" s="8">
        <f t="shared" si="3"/>
        <v>42677.413124999999</v>
      </c>
    </row>
    <row r="84" spans="1:7" x14ac:dyDescent="0.25">
      <c r="A84" s="8">
        <v>42677.41777777778</v>
      </c>
      <c r="B84" s="21" t="s">
        <v>298</v>
      </c>
      <c r="C84" s="21" t="s">
        <v>414</v>
      </c>
      <c r="D84" s="21">
        <v>2380000</v>
      </c>
      <c r="E84" s="21" t="s">
        <v>304</v>
      </c>
      <c r="F84" s="21" t="str">
        <f t="shared" si="2"/>
        <v>rtdc.l.rtdc.4041:itc</v>
      </c>
      <c r="G84" s="8">
        <f t="shared" si="3"/>
        <v>42677.41777777778</v>
      </c>
    </row>
    <row r="85" spans="1:7" x14ac:dyDescent="0.25">
      <c r="A85" s="8">
        <v>42677.423530092594</v>
      </c>
      <c r="B85" s="21" t="s">
        <v>344</v>
      </c>
      <c r="C85" s="21" t="s">
        <v>509</v>
      </c>
      <c r="D85" s="21">
        <v>150000</v>
      </c>
      <c r="E85" s="21" t="s">
        <v>510</v>
      </c>
      <c r="F85" s="21" t="str">
        <f t="shared" si="2"/>
        <v>rtdc.l.rtdc.4031:itc</v>
      </c>
      <c r="G85" s="8">
        <f t="shared" si="3"/>
        <v>42677.423530092594</v>
      </c>
    </row>
    <row r="86" spans="1:7" x14ac:dyDescent="0.25">
      <c r="A86" s="8">
        <v>42677.425439814811</v>
      </c>
      <c r="B86" s="21" t="s">
        <v>441</v>
      </c>
      <c r="C86" s="21" t="s">
        <v>511</v>
      </c>
      <c r="D86" s="21">
        <v>2470000</v>
      </c>
      <c r="E86" s="21" t="s">
        <v>288</v>
      </c>
      <c r="F86" s="21" t="str">
        <f t="shared" si="2"/>
        <v>rtdc.l.rtdc.4015:itc</v>
      </c>
      <c r="G86" s="8">
        <f t="shared" si="3"/>
        <v>42677.425439814811</v>
      </c>
    </row>
    <row r="87" spans="1:7" x14ac:dyDescent="0.25">
      <c r="A87" s="8">
        <v>42677.428541666668</v>
      </c>
      <c r="B87" s="21" t="s">
        <v>352</v>
      </c>
      <c r="C87" s="21" t="s">
        <v>512</v>
      </c>
      <c r="D87" s="21">
        <v>2480000</v>
      </c>
      <c r="E87" s="21" t="s">
        <v>289</v>
      </c>
      <c r="F87" s="21" t="str">
        <f t="shared" si="2"/>
        <v>rtdc.l.rtdc.4053:itc</v>
      </c>
      <c r="G87" s="8">
        <f t="shared" si="3"/>
        <v>42677.428541666668</v>
      </c>
    </row>
    <row r="88" spans="1:7" x14ac:dyDescent="0.25">
      <c r="A88" s="8">
        <v>42677.435902777775</v>
      </c>
      <c r="B88" s="21" t="s">
        <v>246</v>
      </c>
      <c r="C88" s="21" t="s">
        <v>513</v>
      </c>
      <c r="D88" s="21">
        <v>890000</v>
      </c>
      <c r="E88" s="21" t="s">
        <v>359</v>
      </c>
      <c r="F88" s="21" t="str">
        <f t="shared" si="2"/>
        <v>rtdc.l.rtdc.4040:itc</v>
      </c>
      <c r="G88" s="8">
        <f t="shared" si="3"/>
        <v>42677.435902777775</v>
      </c>
    </row>
    <row r="89" spans="1:7" x14ac:dyDescent="0.25">
      <c r="A89" s="8">
        <v>42677.437939814816</v>
      </c>
      <c r="B89" s="21" t="s">
        <v>354</v>
      </c>
      <c r="C89" s="21" t="s">
        <v>514</v>
      </c>
      <c r="D89" s="21">
        <v>2100000</v>
      </c>
      <c r="E89" s="21" t="s">
        <v>457</v>
      </c>
      <c r="F89" s="21" t="str">
        <f t="shared" si="2"/>
        <v>rtdc.l.rtdc.4026:itc</v>
      </c>
      <c r="G89" s="8">
        <f t="shared" si="3"/>
        <v>42677.437939814816</v>
      </c>
    </row>
    <row r="90" spans="1:7" x14ac:dyDescent="0.25">
      <c r="A90" s="8">
        <v>42677.440243055556</v>
      </c>
      <c r="B90" s="21" t="s">
        <v>238</v>
      </c>
      <c r="C90" s="21" t="s">
        <v>416</v>
      </c>
      <c r="D90" s="21">
        <v>120000</v>
      </c>
      <c r="E90" s="21" t="s">
        <v>515</v>
      </c>
      <c r="F90" s="21" t="str">
        <f t="shared" si="2"/>
        <v>rtdc.l.rtdc.4001:itc</v>
      </c>
      <c r="G90" s="8">
        <f t="shared" si="3"/>
        <v>42677.440243055556</v>
      </c>
    </row>
    <row r="91" spans="1:7" x14ac:dyDescent="0.25">
      <c r="A91" s="8">
        <v>42677.441678240742</v>
      </c>
      <c r="B91" s="21" t="s">
        <v>252</v>
      </c>
      <c r="C91" s="21" t="s">
        <v>516</v>
      </c>
      <c r="D91" s="21">
        <v>2620000</v>
      </c>
      <c r="E91" s="21" t="s">
        <v>353</v>
      </c>
      <c r="F91" s="21" t="str">
        <f t="shared" si="2"/>
        <v>rtdc.l.rtdc.4014:itc</v>
      </c>
      <c r="G91" s="8">
        <f t="shared" si="3"/>
        <v>42677.441678240742</v>
      </c>
    </row>
    <row r="92" spans="1:7" x14ac:dyDescent="0.25">
      <c r="A92" s="8">
        <v>42677.4450462963</v>
      </c>
      <c r="B92" s="21" t="s">
        <v>348</v>
      </c>
      <c r="C92" s="21" t="s">
        <v>417</v>
      </c>
      <c r="D92" s="21">
        <v>2480000</v>
      </c>
      <c r="E92" s="21" t="s">
        <v>289</v>
      </c>
      <c r="F92" s="21" t="str">
        <f t="shared" si="2"/>
        <v>rtdc.l.rtdc.4054:itc</v>
      </c>
      <c r="G92" s="8">
        <f t="shared" si="3"/>
        <v>42677.4450462963</v>
      </c>
    </row>
    <row r="93" spans="1:7" x14ac:dyDescent="0.25">
      <c r="A93" s="8">
        <v>42677.453773148147</v>
      </c>
      <c r="B93" s="21" t="s">
        <v>227</v>
      </c>
      <c r="C93" s="21" t="s">
        <v>419</v>
      </c>
      <c r="D93" s="21">
        <v>2450000</v>
      </c>
      <c r="E93" s="21" t="s">
        <v>461</v>
      </c>
      <c r="F93" s="21" t="str">
        <f t="shared" si="2"/>
        <v>rtdc.l.rtdc.4030:itc</v>
      </c>
      <c r="G93" s="8">
        <f t="shared" si="3"/>
        <v>42677.453773148147</v>
      </c>
    </row>
    <row r="94" spans="1:7" x14ac:dyDescent="0.25">
      <c r="A94" s="8">
        <v>42677.454155092593</v>
      </c>
      <c r="B94" s="21" t="s">
        <v>303</v>
      </c>
      <c r="C94" s="21" t="s">
        <v>517</v>
      </c>
      <c r="D94" s="21">
        <v>2630000</v>
      </c>
      <c r="E94" s="21" t="s">
        <v>357</v>
      </c>
      <c r="F94" s="21" t="str">
        <f t="shared" si="2"/>
        <v>rtdc.l.rtdc.4042:itc</v>
      </c>
      <c r="G94" s="8">
        <f t="shared" si="3"/>
        <v>42677.454155092593</v>
      </c>
    </row>
    <row r="95" spans="1:7" x14ac:dyDescent="0.25">
      <c r="A95" s="8">
        <v>42677.456261574072</v>
      </c>
      <c r="B95" s="21" t="s">
        <v>236</v>
      </c>
      <c r="C95" s="21" t="s">
        <v>418</v>
      </c>
      <c r="D95" s="21">
        <v>2420000</v>
      </c>
      <c r="E95" s="21" t="s">
        <v>285</v>
      </c>
      <c r="F95" s="21" t="str">
        <f t="shared" si="2"/>
        <v>rtdc.l.rtdc.4021:itc</v>
      </c>
      <c r="G95" s="8">
        <f t="shared" si="3"/>
        <v>42677.456261574072</v>
      </c>
    </row>
    <row r="96" spans="1:7" x14ac:dyDescent="0.25">
      <c r="A96" s="8">
        <v>42677.460740740738</v>
      </c>
      <c r="B96" s="21" t="s">
        <v>280</v>
      </c>
      <c r="C96" s="21" t="s">
        <v>518</v>
      </c>
      <c r="D96" s="21">
        <v>150000</v>
      </c>
      <c r="E96" s="21" t="s">
        <v>510</v>
      </c>
      <c r="F96" s="21" t="str">
        <f t="shared" si="2"/>
        <v>rtdc.l.rtdc.4032:itc</v>
      </c>
      <c r="G96" s="8">
        <f t="shared" si="3"/>
        <v>42677.460740740738</v>
      </c>
    </row>
    <row r="97" spans="1:7" x14ac:dyDescent="0.25">
      <c r="A97" s="8">
        <v>42677.46371527778</v>
      </c>
      <c r="B97" s="21" t="s">
        <v>449</v>
      </c>
      <c r="C97" s="21" t="s">
        <v>519</v>
      </c>
      <c r="D97" s="21">
        <v>2020000</v>
      </c>
      <c r="E97" s="21" t="s">
        <v>520</v>
      </c>
      <c r="F97" s="21" t="str">
        <f t="shared" si="2"/>
        <v>rtdc.l.rtdc.4016:itc</v>
      </c>
      <c r="G97" s="8">
        <f t="shared" si="3"/>
        <v>42677.46371527778</v>
      </c>
    </row>
    <row r="98" spans="1:7" x14ac:dyDescent="0.25">
      <c r="A98" s="8">
        <v>42677.467812499999</v>
      </c>
      <c r="B98" s="21" t="s">
        <v>237</v>
      </c>
      <c r="C98" s="21" t="s">
        <v>521</v>
      </c>
      <c r="D98" s="21">
        <v>1240000</v>
      </c>
      <c r="E98" s="21" t="s">
        <v>356</v>
      </c>
      <c r="F98" s="21" t="str">
        <f t="shared" si="2"/>
        <v>rtdc.l.rtdc.4002:itc</v>
      </c>
      <c r="G98" s="8">
        <f t="shared" si="3"/>
        <v>42677.467812499999</v>
      </c>
    </row>
    <row r="99" spans="1:7" x14ac:dyDescent="0.25">
      <c r="A99" s="8">
        <v>42677.468159722222</v>
      </c>
      <c r="B99" s="21" t="s">
        <v>352</v>
      </c>
      <c r="C99" s="21" t="s">
        <v>522</v>
      </c>
      <c r="D99" s="21">
        <v>2470000</v>
      </c>
      <c r="E99" s="21" t="s">
        <v>288</v>
      </c>
      <c r="F99" s="21" t="str">
        <f t="shared" si="2"/>
        <v>rtdc.l.rtdc.4053:itc</v>
      </c>
      <c r="G99" s="8">
        <f t="shared" si="3"/>
        <v>42677.468159722222</v>
      </c>
    </row>
    <row r="100" spans="1:7" x14ac:dyDescent="0.25">
      <c r="A100" s="8">
        <v>42677.470763888887</v>
      </c>
      <c r="B100" s="21" t="s">
        <v>279</v>
      </c>
      <c r="C100" s="21" t="s">
        <v>523</v>
      </c>
      <c r="D100" s="21">
        <v>890000</v>
      </c>
      <c r="E100" s="21" t="s">
        <v>359</v>
      </c>
      <c r="F100" s="21" t="str">
        <f t="shared" si="2"/>
        <v>rtdc.l.rtdc.4039:itc</v>
      </c>
      <c r="G100" s="8">
        <f t="shared" si="3"/>
        <v>42677.470763888887</v>
      </c>
    </row>
    <row r="101" spans="1:7" x14ac:dyDescent="0.25">
      <c r="A101" s="8">
        <v>42677.474930555552</v>
      </c>
      <c r="B101" s="21" t="s">
        <v>346</v>
      </c>
      <c r="C101" s="21" t="s">
        <v>524</v>
      </c>
      <c r="D101" s="21">
        <v>2420000</v>
      </c>
      <c r="E101" s="21" t="s">
        <v>285</v>
      </c>
      <c r="F101" s="21" t="str">
        <f t="shared" si="2"/>
        <v>rtdc.l.rtdc.4025:itc</v>
      </c>
      <c r="G101" s="8">
        <f t="shared" si="3"/>
        <v>42677.474930555552</v>
      </c>
    </row>
    <row r="102" spans="1:7" x14ac:dyDescent="0.25">
      <c r="A102" s="8">
        <v>42677.481249999997</v>
      </c>
      <c r="B102" s="21" t="s">
        <v>251</v>
      </c>
      <c r="C102" s="21" t="s">
        <v>420</v>
      </c>
      <c r="D102" s="21">
        <v>2620000</v>
      </c>
      <c r="E102" s="21" t="s">
        <v>353</v>
      </c>
      <c r="F102" s="21" t="str">
        <f t="shared" si="2"/>
        <v>rtdc.l.rtdc.4013:itc</v>
      </c>
      <c r="G102" s="8">
        <f t="shared" si="3"/>
        <v>42677.481249999997</v>
      </c>
    </row>
    <row r="103" spans="1:7" x14ac:dyDescent="0.25">
      <c r="A103" s="8">
        <v>42677.485601851855</v>
      </c>
      <c r="B103" s="21" t="s">
        <v>348</v>
      </c>
      <c r="C103" s="21" t="s">
        <v>525</v>
      </c>
      <c r="D103" s="21">
        <v>2470000</v>
      </c>
      <c r="E103" s="21" t="s">
        <v>288</v>
      </c>
      <c r="F103" s="21" t="str">
        <f t="shared" si="2"/>
        <v>rtdc.l.rtdc.4054:itc</v>
      </c>
      <c r="G103" s="8">
        <f t="shared" si="3"/>
        <v>42677.485601851855</v>
      </c>
    </row>
    <row r="104" spans="1:7" x14ac:dyDescent="0.25">
      <c r="A104" s="8">
        <v>42677.487210648149</v>
      </c>
      <c r="B104" s="21" t="s">
        <v>226</v>
      </c>
      <c r="C104" s="21" t="s">
        <v>526</v>
      </c>
      <c r="D104" s="21">
        <v>2440000</v>
      </c>
      <c r="E104" s="21" t="s">
        <v>305</v>
      </c>
      <c r="F104" s="21" t="str">
        <f t="shared" si="2"/>
        <v>rtdc.l.rtdc.4029:itc</v>
      </c>
      <c r="G104" s="8">
        <f t="shared" si="3"/>
        <v>42677.487210648149</v>
      </c>
    </row>
    <row r="105" spans="1:7" x14ac:dyDescent="0.25">
      <c r="A105" s="8">
        <v>42677.48940972222</v>
      </c>
      <c r="B105" s="21" t="s">
        <v>298</v>
      </c>
      <c r="C105" s="21" t="s">
        <v>527</v>
      </c>
      <c r="D105" s="21">
        <v>2630000</v>
      </c>
      <c r="E105" s="21" t="s">
        <v>357</v>
      </c>
      <c r="F105" s="21" t="str">
        <f t="shared" si="2"/>
        <v>rtdc.l.rtdc.4041:itc</v>
      </c>
      <c r="G105" s="8">
        <f t="shared" si="3"/>
        <v>42677.48940972222</v>
      </c>
    </row>
    <row r="106" spans="1:7" x14ac:dyDescent="0.25">
      <c r="A106" s="8">
        <v>42677.490023148152</v>
      </c>
      <c r="B106" s="21" t="s">
        <v>253</v>
      </c>
      <c r="C106" s="21" t="s">
        <v>528</v>
      </c>
      <c r="D106" s="21">
        <v>2100000</v>
      </c>
      <c r="E106" s="21" t="s">
        <v>457</v>
      </c>
      <c r="F106" s="21" t="str">
        <f t="shared" si="2"/>
        <v>rtdc.l.rtdc.4022:itc</v>
      </c>
      <c r="G106" s="8">
        <f t="shared" si="3"/>
        <v>42677.490023148152</v>
      </c>
    </row>
    <row r="107" spans="1:7" x14ac:dyDescent="0.25">
      <c r="A107" s="8">
        <v>42677.490659722222</v>
      </c>
      <c r="B107" s="21" t="s">
        <v>253</v>
      </c>
      <c r="C107" s="21" t="s">
        <v>528</v>
      </c>
      <c r="D107" s="21">
        <v>2100000</v>
      </c>
      <c r="E107" s="21" t="s">
        <v>457</v>
      </c>
      <c r="F107" s="21" t="str">
        <f t="shared" si="2"/>
        <v>rtdc.l.rtdc.4022:itc</v>
      </c>
      <c r="G107" s="8">
        <f t="shared" si="3"/>
        <v>42677.490659722222</v>
      </c>
    </row>
    <row r="108" spans="1:7" x14ac:dyDescent="0.25">
      <c r="A108" s="8">
        <v>42677.494942129626</v>
      </c>
      <c r="B108" s="21" t="s">
        <v>344</v>
      </c>
      <c r="C108" s="21" t="s">
        <v>529</v>
      </c>
      <c r="D108" s="21">
        <v>2220000</v>
      </c>
      <c r="E108" s="21" t="s">
        <v>361</v>
      </c>
      <c r="F108" s="21" t="str">
        <f t="shared" si="2"/>
        <v>rtdc.l.rtdc.4031:itc</v>
      </c>
      <c r="G108" s="8">
        <f t="shared" si="3"/>
        <v>42677.494942129626</v>
      </c>
    </row>
    <row r="109" spans="1:7" x14ac:dyDescent="0.25">
      <c r="A109" s="8">
        <v>42677.503159722219</v>
      </c>
      <c r="B109" s="21" t="s">
        <v>441</v>
      </c>
      <c r="C109" s="21" t="s">
        <v>530</v>
      </c>
      <c r="D109" s="21">
        <v>2020000</v>
      </c>
      <c r="E109" s="21" t="s">
        <v>520</v>
      </c>
      <c r="F109" s="21" t="str">
        <f t="shared" si="2"/>
        <v>rtdc.l.rtdc.4015:itc</v>
      </c>
      <c r="G109" s="8">
        <f t="shared" si="3"/>
        <v>42677.503159722219</v>
      </c>
    </row>
    <row r="110" spans="1:7" x14ac:dyDescent="0.25">
      <c r="A110" s="8">
        <v>42677.503171296295</v>
      </c>
      <c r="B110" s="21" t="s">
        <v>352</v>
      </c>
      <c r="C110" s="21" t="s">
        <v>531</v>
      </c>
      <c r="D110" s="21">
        <v>2600000</v>
      </c>
      <c r="E110" s="21" t="s">
        <v>355</v>
      </c>
      <c r="F110" s="21" t="str">
        <f t="shared" si="2"/>
        <v>rtdc.l.rtdc.4053:itc</v>
      </c>
      <c r="G110" s="8">
        <f t="shared" si="3"/>
        <v>42677.503171296295</v>
      </c>
    </row>
    <row r="111" spans="1:7" x14ac:dyDescent="0.25">
      <c r="A111" s="8">
        <v>42677.507870370369</v>
      </c>
      <c r="B111" s="21" t="s">
        <v>246</v>
      </c>
      <c r="C111" s="21" t="s">
        <v>532</v>
      </c>
      <c r="D111" s="21">
        <v>1820000</v>
      </c>
      <c r="E111" s="21" t="s">
        <v>360</v>
      </c>
      <c r="F111" s="21" t="str">
        <f t="shared" si="2"/>
        <v>rtdc.l.rtdc.4040:itc</v>
      </c>
      <c r="G111" s="8">
        <f t="shared" si="3"/>
        <v>42677.507870370369</v>
      </c>
    </row>
    <row r="112" spans="1:7" x14ac:dyDescent="0.25">
      <c r="A112" s="8">
        <v>42677.514236111114</v>
      </c>
      <c r="B112" s="21" t="s">
        <v>354</v>
      </c>
      <c r="C112" s="21" t="s">
        <v>533</v>
      </c>
      <c r="D112" s="21">
        <v>2420000</v>
      </c>
      <c r="E112" s="21" t="s">
        <v>285</v>
      </c>
      <c r="F112" s="21" t="str">
        <f t="shared" si="2"/>
        <v>rtdc.l.rtdc.4026:itc</v>
      </c>
      <c r="G112" s="8">
        <f t="shared" si="3"/>
        <v>42677.514236111114</v>
      </c>
    </row>
    <row r="113" spans="1:7" x14ac:dyDescent="0.25">
      <c r="A113" s="8">
        <v>42677.517916666664</v>
      </c>
      <c r="B113" s="21" t="s">
        <v>227</v>
      </c>
      <c r="C113" s="21" t="s">
        <v>534</v>
      </c>
      <c r="D113" s="21">
        <v>2440000</v>
      </c>
      <c r="E113" s="21" t="s">
        <v>305</v>
      </c>
      <c r="F113" s="21" t="str">
        <f t="shared" si="2"/>
        <v>rtdc.l.rtdc.4030:itc</v>
      </c>
      <c r="G113" s="8">
        <f t="shared" si="3"/>
        <v>42677.517916666664</v>
      </c>
    </row>
    <row r="114" spans="1:7" x14ac:dyDescent="0.25">
      <c r="A114" s="8">
        <v>42677.518043981479</v>
      </c>
      <c r="B114" s="21" t="s">
        <v>252</v>
      </c>
      <c r="C114" s="21" t="s">
        <v>535</v>
      </c>
      <c r="D114" s="21">
        <v>2560000</v>
      </c>
      <c r="E114" s="21" t="s">
        <v>282</v>
      </c>
      <c r="F114" s="21" t="str">
        <f t="shared" si="2"/>
        <v>rtdc.l.rtdc.4014:itc</v>
      </c>
      <c r="G114" s="8">
        <f t="shared" si="3"/>
        <v>42677.518043981479</v>
      </c>
    </row>
    <row r="115" spans="1:7" x14ac:dyDescent="0.25">
      <c r="A115" s="8">
        <v>42677.525636574072</v>
      </c>
      <c r="B115" s="21" t="s">
        <v>303</v>
      </c>
      <c r="C115" s="21" t="s">
        <v>536</v>
      </c>
      <c r="D115" s="21">
        <v>2630000</v>
      </c>
      <c r="E115" s="21" t="s">
        <v>357</v>
      </c>
      <c r="F115" s="21" t="str">
        <f t="shared" si="2"/>
        <v>rtdc.l.rtdc.4042:itc</v>
      </c>
      <c r="G115" s="8">
        <f t="shared" si="3"/>
        <v>42677.525636574072</v>
      </c>
    </row>
    <row r="116" spans="1:7" x14ac:dyDescent="0.25">
      <c r="A116" s="8">
        <v>42677.527708333335</v>
      </c>
      <c r="B116" s="21" t="s">
        <v>348</v>
      </c>
      <c r="C116" s="21" t="s">
        <v>537</v>
      </c>
      <c r="D116" s="21">
        <v>2600000</v>
      </c>
      <c r="E116" s="21" t="s">
        <v>355</v>
      </c>
      <c r="F116" s="21" t="str">
        <f t="shared" si="2"/>
        <v>rtdc.l.rtdc.4054:itc</v>
      </c>
      <c r="G116" s="8">
        <f t="shared" si="3"/>
        <v>42677.527708333335</v>
      </c>
    </row>
    <row r="117" spans="1:7" x14ac:dyDescent="0.25">
      <c r="A117" s="8">
        <v>42677.529432870368</v>
      </c>
      <c r="B117" s="21" t="s">
        <v>280</v>
      </c>
      <c r="C117" s="21" t="s">
        <v>421</v>
      </c>
      <c r="D117" s="21">
        <v>2220000</v>
      </c>
      <c r="E117" s="21" t="s">
        <v>361</v>
      </c>
      <c r="F117" s="21" t="str">
        <f t="shared" si="2"/>
        <v>rtdc.l.rtdc.4032:itc</v>
      </c>
      <c r="G117" s="8">
        <f t="shared" si="3"/>
        <v>42677.529432870368</v>
      </c>
    </row>
    <row r="118" spans="1:7" x14ac:dyDescent="0.25">
      <c r="A118" s="8">
        <v>42677.537893518522</v>
      </c>
      <c r="B118" s="21" t="s">
        <v>449</v>
      </c>
      <c r="C118" s="21" t="s">
        <v>538</v>
      </c>
      <c r="D118" s="21">
        <v>2020000</v>
      </c>
      <c r="E118" s="21" t="s">
        <v>520</v>
      </c>
      <c r="F118" s="21" t="str">
        <f t="shared" si="2"/>
        <v>rtdc.l.rtdc.4016:itc</v>
      </c>
      <c r="G118" s="8">
        <f t="shared" si="3"/>
        <v>42677.537893518522</v>
      </c>
    </row>
    <row r="119" spans="1:7" x14ac:dyDescent="0.25">
      <c r="A119" s="8">
        <v>42677.541724537034</v>
      </c>
      <c r="B119" s="21" t="s">
        <v>279</v>
      </c>
      <c r="C119" s="21" t="s">
        <v>422</v>
      </c>
      <c r="D119" s="21">
        <v>1820000</v>
      </c>
      <c r="E119" s="21" t="s">
        <v>360</v>
      </c>
      <c r="F119" s="21" t="str">
        <f t="shared" si="2"/>
        <v>rtdc.l.rtdc.4039:itc</v>
      </c>
      <c r="G119" s="8">
        <f t="shared" si="3"/>
        <v>42677.541724537034</v>
      </c>
    </row>
    <row r="120" spans="1:7" x14ac:dyDescent="0.25">
      <c r="A120" s="8">
        <v>42677.549363425926</v>
      </c>
      <c r="B120" s="21" t="s">
        <v>346</v>
      </c>
      <c r="C120" s="21" t="s">
        <v>539</v>
      </c>
      <c r="D120" s="21">
        <v>2420000</v>
      </c>
      <c r="E120" s="21" t="s">
        <v>285</v>
      </c>
      <c r="F120" s="21" t="str">
        <f t="shared" si="2"/>
        <v>rtdc.l.rtdc.4025:itc</v>
      </c>
      <c r="G120" s="8">
        <f t="shared" si="3"/>
        <v>42677.549363425926</v>
      </c>
    </row>
    <row r="121" spans="1:7" x14ac:dyDescent="0.25">
      <c r="A121" s="8">
        <v>42677.551226851851</v>
      </c>
      <c r="B121" s="21" t="s">
        <v>352</v>
      </c>
      <c r="C121" s="21" t="s">
        <v>540</v>
      </c>
      <c r="D121" s="21">
        <v>1540000</v>
      </c>
      <c r="E121" s="21" t="s">
        <v>286</v>
      </c>
      <c r="F121" s="21" t="str">
        <f t="shared" si="2"/>
        <v>rtdc.l.rtdc.4053:itc</v>
      </c>
      <c r="G121" s="8">
        <f t="shared" si="3"/>
        <v>42677.551226851851</v>
      </c>
    </row>
    <row r="122" spans="1:7" x14ac:dyDescent="0.25">
      <c r="A122" s="8">
        <v>42677.556932870371</v>
      </c>
      <c r="B122" s="26" t="s">
        <v>226</v>
      </c>
      <c r="C122" s="21" t="s">
        <v>541</v>
      </c>
      <c r="D122" s="21">
        <v>2440000</v>
      </c>
      <c r="E122" s="21" t="s">
        <v>305</v>
      </c>
      <c r="F122" s="21" t="str">
        <f t="shared" si="2"/>
        <v>rtdc.l.rtdc.4029:itc</v>
      </c>
      <c r="G122" s="8">
        <f t="shared" si="3"/>
        <v>42677.556932870371</v>
      </c>
    </row>
    <row r="123" spans="1:7" x14ac:dyDescent="0.25">
      <c r="A123" s="8">
        <v>42677.55777777778</v>
      </c>
      <c r="B123" s="21" t="s">
        <v>251</v>
      </c>
      <c r="C123" s="21" t="s">
        <v>423</v>
      </c>
      <c r="D123" s="21">
        <v>2560000</v>
      </c>
      <c r="E123" s="21" t="s">
        <v>282</v>
      </c>
      <c r="F123" s="21" t="str">
        <f t="shared" si="2"/>
        <v>rtdc.l.rtdc.4013:itc</v>
      </c>
      <c r="G123" s="8">
        <f t="shared" si="3"/>
        <v>42677.55777777778</v>
      </c>
    </row>
    <row r="124" spans="1:7" x14ac:dyDescent="0.25">
      <c r="A124" s="8">
        <v>42677.563090277778</v>
      </c>
      <c r="B124" s="21" t="s">
        <v>298</v>
      </c>
      <c r="C124" s="21" t="s">
        <v>424</v>
      </c>
      <c r="D124" s="21">
        <v>2630000</v>
      </c>
      <c r="E124" s="21" t="s">
        <v>357</v>
      </c>
      <c r="F124" s="21" t="str">
        <f t="shared" si="2"/>
        <v>rtdc.l.rtdc.4041:itc</v>
      </c>
      <c r="G124" s="8">
        <f t="shared" si="3"/>
        <v>42677.563090277778</v>
      </c>
    </row>
    <row r="125" spans="1:7" x14ac:dyDescent="0.25">
      <c r="A125" s="8">
        <v>42677.567442129628</v>
      </c>
      <c r="B125" s="21" t="s">
        <v>348</v>
      </c>
      <c r="C125" s="21" t="s">
        <v>542</v>
      </c>
      <c r="D125" s="21">
        <v>1540000</v>
      </c>
      <c r="E125" s="21" t="s">
        <v>286</v>
      </c>
      <c r="F125" s="21" t="str">
        <f t="shared" si="2"/>
        <v>rtdc.l.rtdc.4054:itc</v>
      </c>
      <c r="G125" s="8">
        <f t="shared" si="3"/>
        <v>42677.567442129628</v>
      </c>
    </row>
    <row r="126" spans="1:7" x14ac:dyDescent="0.25">
      <c r="A126" s="8">
        <v>42677.56795138889</v>
      </c>
      <c r="B126" s="21" t="s">
        <v>344</v>
      </c>
      <c r="C126" s="21" t="s">
        <v>543</v>
      </c>
      <c r="D126" s="21">
        <v>2220000</v>
      </c>
      <c r="E126" s="21" t="s">
        <v>361</v>
      </c>
      <c r="F126" s="21" t="str">
        <f t="shared" si="2"/>
        <v>rtdc.l.rtdc.4031:itc</v>
      </c>
      <c r="G126" s="8">
        <f t="shared" si="3"/>
        <v>42677.56795138889</v>
      </c>
    </row>
    <row r="127" spans="1:7" x14ac:dyDescent="0.25">
      <c r="A127" s="8">
        <v>42677.575208333335</v>
      </c>
      <c r="B127" s="21" t="s">
        <v>441</v>
      </c>
      <c r="C127" s="21" t="s">
        <v>544</v>
      </c>
      <c r="D127" s="21">
        <v>2020000</v>
      </c>
      <c r="E127" s="21" t="s">
        <v>520</v>
      </c>
      <c r="F127" s="21" t="str">
        <f t="shared" si="2"/>
        <v>rtdc.l.rtdc.4015:itc</v>
      </c>
      <c r="G127" s="8">
        <f t="shared" si="3"/>
        <v>42677.575208333335</v>
      </c>
    </row>
    <row r="128" spans="1:7" x14ac:dyDescent="0.25">
      <c r="A128" s="8">
        <v>42677.580312500002</v>
      </c>
      <c r="B128" s="21" t="s">
        <v>246</v>
      </c>
      <c r="C128" s="21" t="s">
        <v>425</v>
      </c>
      <c r="D128" s="21">
        <v>1820000</v>
      </c>
      <c r="E128" s="21" t="s">
        <v>360</v>
      </c>
      <c r="F128" s="21" t="str">
        <f t="shared" si="2"/>
        <v>rtdc.l.rtdc.4040:itc</v>
      </c>
      <c r="G128" s="8">
        <f t="shared" si="3"/>
        <v>42677.580312500002</v>
      </c>
    </row>
    <row r="129" spans="1:7" x14ac:dyDescent="0.25">
      <c r="A129" s="8">
        <v>42677.588831018518</v>
      </c>
      <c r="B129" s="21" t="s">
        <v>252</v>
      </c>
      <c r="C129" s="21" t="s">
        <v>427</v>
      </c>
      <c r="D129" s="21">
        <v>2560000</v>
      </c>
      <c r="E129" s="21" t="s">
        <v>282</v>
      </c>
      <c r="F129" s="21" t="str">
        <f t="shared" si="2"/>
        <v>rtdc.l.rtdc.4014:itc</v>
      </c>
      <c r="G129" s="8">
        <f t="shared" si="3"/>
        <v>42677.588831018518</v>
      </c>
    </row>
    <row r="130" spans="1:7" x14ac:dyDescent="0.25">
      <c r="A130" s="8">
        <v>42677.588912037034</v>
      </c>
      <c r="B130" s="21" t="s">
        <v>354</v>
      </c>
      <c r="C130" s="21" t="s">
        <v>545</v>
      </c>
      <c r="D130" s="21">
        <v>2420000</v>
      </c>
      <c r="E130" s="21" t="s">
        <v>285</v>
      </c>
      <c r="F130" s="21" t="str">
        <f t="shared" ref="F130:F193" si="4">B130</f>
        <v>rtdc.l.rtdc.4026:itc</v>
      </c>
      <c r="G130" s="8">
        <f t="shared" ref="G130:G193" si="5">A130</f>
        <v>42677.588912037034</v>
      </c>
    </row>
    <row r="131" spans="1:7" x14ac:dyDescent="0.25">
      <c r="A131" s="8">
        <v>42677.590937499997</v>
      </c>
      <c r="B131" s="21" t="s">
        <v>352</v>
      </c>
      <c r="C131" s="21" t="s">
        <v>546</v>
      </c>
      <c r="D131" s="21">
        <v>890000</v>
      </c>
      <c r="E131" s="21" t="s">
        <v>359</v>
      </c>
      <c r="F131" s="21" t="str">
        <f t="shared" si="4"/>
        <v>rtdc.l.rtdc.4053:itc</v>
      </c>
      <c r="G131" s="8">
        <f t="shared" si="5"/>
        <v>42677.590937499997</v>
      </c>
    </row>
    <row r="132" spans="1:7" x14ac:dyDescent="0.25">
      <c r="A132" s="8">
        <v>42677.591215277775</v>
      </c>
      <c r="B132" s="21" t="s">
        <v>227</v>
      </c>
      <c r="C132" s="21" t="s">
        <v>547</v>
      </c>
      <c r="D132" s="21">
        <v>2440000</v>
      </c>
      <c r="E132" s="21" t="s">
        <v>305</v>
      </c>
      <c r="F132" s="21" t="str">
        <f t="shared" si="4"/>
        <v>rtdc.l.rtdc.4030:itc</v>
      </c>
      <c r="G132" s="8">
        <f t="shared" si="5"/>
        <v>42677.591215277775</v>
      </c>
    </row>
    <row r="133" spans="1:7" x14ac:dyDescent="0.25">
      <c r="A133" s="8">
        <v>42677.597731481481</v>
      </c>
      <c r="B133" s="21" t="s">
        <v>303</v>
      </c>
      <c r="C133" s="21" t="s">
        <v>548</v>
      </c>
      <c r="D133" s="21">
        <v>2630000</v>
      </c>
      <c r="E133" s="21" t="s">
        <v>357</v>
      </c>
      <c r="F133" s="21" t="str">
        <f t="shared" si="4"/>
        <v>rtdc.l.rtdc.4042:itc</v>
      </c>
      <c r="G133" s="8">
        <f t="shared" si="5"/>
        <v>42677.597731481481</v>
      </c>
    </row>
    <row r="134" spans="1:7" x14ac:dyDescent="0.25">
      <c r="A134" s="8">
        <v>42677.599224537036</v>
      </c>
      <c r="B134" s="21" t="s">
        <v>280</v>
      </c>
      <c r="C134" s="21" t="s">
        <v>549</v>
      </c>
      <c r="D134" s="21">
        <v>2220000</v>
      </c>
      <c r="E134" s="21" t="s">
        <v>361</v>
      </c>
      <c r="F134" s="21" t="str">
        <f t="shared" si="4"/>
        <v>rtdc.l.rtdc.4032:itc</v>
      </c>
      <c r="G134" s="8">
        <f t="shared" si="5"/>
        <v>42677.599224537036</v>
      </c>
    </row>
    <row r="135" spans="1:7" x14ac:dyDescent="0.25">
      <c r="A135" s="8">
        <v>42677.609027777777</v>
      </c>
      <c r="B135" s="21" t="s">
        <v>449</v>
      </c>
      <c r="C135" s="21" t="s">
        <v>550</v>
      </c>
      <c r="D135" s="21">
        <v>2020000</v>
      </c>
      <c r="E135" s="21" t="s">
        <v>520</v>
      </c>
      <c r="F135" s="21" t="str">
        <f t="shared" si="4"/>
        <v>rtdc.l.rtdc.4016:itc</v>
      </c>
      <c r="G135" s="8">
        <f t="shared" si="5"/>
        <v>42677.609027777777</v>
      </c>
    </row>
    <row r="136" spans="1:7" x14ac:dyDescent="0.25">
      <c r="A136" s="8">
        <v>42677.610405092593</v>
      </c>
      <c r="B136" s="21" t="s">
        <v>348</v>
      </c>
      <c r="C136" s="21" t="s">
        <v>551</v>
      </c>
      <c r="D136" s="21">
        <v>890000</v>
      </c>
      <c r="E136" s="21" t="s">
        <v>359</v>
      </c>
      <c r="F136" s="21" t="str">
        <f t="shared" si="4"/>
        <v>rtdc.l.rtdc.4054:itc</v>
      </c>
      <c r="G136" s="8">
        <f t="shared" si="5"/>
        <v>42677.610405092593</v>
      </c>
    </row>
    <row r="137" spans="1:7" x14ac:dyDescent="0.25">
      <c r="A137" s="8">
        <v>42677.611435185187</v>
      </c>
      <c r="B137" s="21" t="s">
        <v>279</v>
      </c>
      <c r="C137" s="21" t="s">
        <v>552</v>
      </c>
      <c r="D137" s="21">
        <v>1820000</v>
      </c>
      <c r="E137" s="21" t="s">
        <v>360</v>
      </c>
      <c r="F137" s="21" t="str">
        <f t="shared" si="4"/>
        <v>rtdc.l.rtdc.4039:itc</v>
      </c>
      <c r="G137" s="8">
        <f t="shared" si="5"/>
        <v>42677.611435185187</v>
      </c>
    </row>
    <row r="138" spans="1:7" x14ac:dyDescent="0.25">
      <c r="A138" s="8">
        <v>42677.620173611111</v>
      </c>
      <c r="B138" s="21" t="s">
        <v>346</v>
      </c>
      <c r="C138" s="21" t="s">
        <v>553</v>
      </c>
      <c r="D138" s="21">
        <v>2420000</v>
      </c>
      <c r="E138" s="21" t="s">
        <v>285</v>
      </c>
      <c r="F138" s="21" t="str">
        <f t="shared" si="4"/>
        <v>rtdc.l.rtdc.4025:itc</v>
      </c>
      <c r="G138" s="8">
        <f t="shared" si="5"/>
        <v>42677.620173611111</v>
      </c>
    </row>
    <row r="139" spans="1:7" x14ac:dyDescent="0.25">
      <c r="A139" s="8">
        <v>42677.627743055556</v>
      </c>
      <c r="B139" s="21" t="s">
        <v>251</v>
      </c>
      <c r="C139" s="21" t="s">
        <v>554</v>
      </c>
      <c r="D139" s="21">
        <v>2560000</v>
      </c>
      <c r="E139" s="21" t="s">
        <v>282</v>
      </c>
      <c r="F139" s="21" t="str">
        <f t="shared" si="4"/>
        <v>rtdc.l.rtdc.4013:itc</v>
      </c>
      <c r="G139" s="8">
        <f t="shared" si="5"/>
        <v>42677.627743055556</v>
      </c>
    </row>
    <row r="140" spans="1:7" x14ac:dyDescent="0.25">
      <c r="A140" s="8">
        <v>42677.629236111112</v>
      </c>
      <c r="B140" s="21" t="s">
        <v>226</v>
      </c>
      <c r="C140" s="21" t="s">
        <v>428</v>
      </c>
      <c r="D140" s="21">
        <v>2440000</v>
      </c>
      <c r="E140" s="21" t="s">
        <v>305</v>
      </c>
      <c r="F140" s="21" t="str">
        <f t="shared" si="4"/>
        <v>rtdc.l.rtdc.4029:itc</v>
      </c>
      <c r="G140" s="8">
        <f t="shared" si="5"/>
        <v>42677.629236111112</v>
      </c>
    </row>
    <row r="141" spans="1:7" x14ac:dyDescent="0.25">
      <c r="A141" s="8">
        <v>42677.633819444447</v>
      </c>
      <c r="B141" s="21" t="s">
        <v>298</v>
      </c>
      <c r="C141" s="21" t="s">
        <v>555</v>
      </c>
      <c r="D141" s="21">
        <v>2630000</v>
      </c>
      <c r="E141" s="21" t="s">
        <v>357</v>
      </c>
      <c r="F141" s="21" t="str">
        <f t="shared" si="4"/>
        <v>rtdc.l.rtdc.4041:itc</v>
      </c>
      <c r="G141" s="8">
        <f t="shared" si="5"/>
        <v>42677.633819444447</v>
      </c>
    </row>
    <row r="142" spans="1:7" x14ac:dyDescent="0.25">
      <c r="A142" s="8">
        <v>42677.636805555558</v>
      </c>
      <c r="B142" s="21" t="s">
        <v>352</v>
      </c>
      <c r="C142" s="21" t="s">
        <v>556</v>
      </c>
      <c r="D142" s="21">
        <v>1540000</v>
      </c>
      <c r="E142" s="21" t="s">
        <v>286</v>
      </c>
      <c r="F142" s="21" t="str">
        <f t="shared" si="4"/>
        <v>rtdc.l.rtdc.4053:itc</v>
      </c>
      <c r="G142" s="8">
        <f t="shared" si="5"/>
        <v>42677.636805555558</v>
      </c>
    </row>
    <row r="143" spans="1:7" x14ac:dyDescent="0.25">
      <c r="A143" s="8">
        <v>42677.637708333335</v>
      </c>
      <c r="B143" s="21" t="s">
        <v>431</v>
      </c>
      <c r="C143" s="21" t="s">
        <v>557</v>
      </c>
      <c r="D143" s="21">
        <v>2610000</v>
      </c>
      <c r="E143" s="21" t="s">
        <v>362</v>
      </c>
      <c r="F143" s="21" t="str">
        <f t="shared" si="4"/>
        <v>rtdc.l.rtdc.4012:itc</v>
      </c>
      <c r="G143" s="8">
        <f t="shared" si="5"/>
        <v>42677.637708333335</v>
      </c>
    </row>
    <row r="144" spans="1:7" x14ac:dyDescent="0.25">
      <c r="A144" s="8">
        <v>42677.640520833331</v>
      </c>
      <c r="B144" s="21" t="s">
        <v>344</v>
      </c>
      <c r="C144" s="21" t="s">
        <v>558</v>
      </c>
      <c r="D144" s="21">
        <v>2220000</v>
      </c>
      <c r="E144" s="21" t="s">
        <v>361</v>
      </c>
      <c r="F144" s="21" t="str">
        <f t="shared" si="4"/>
        <v>rtdc.l.rtdc.4031:itc</v>
      </c>
      <c r="G144" s="8">
        <f t="shared" si="5"/>
        <v>42677.640520833331</v>
      </c>
    </row>
    <row r="145" spans="1:7" x14ac:dyDescent="0.25">
      <c r="A145" s="8">
        <v>42677.646956018521</v>
      </c>
      <c r="B145" s="21" t="s">
        <v>441</v>
      </c>
      <c r="C145" s="21" t="s">
        <v>559</v>
      </c>
      <c r="D145" s="21">
        <v>2020000</v>
      </c>
      <c r="E145" s="21" t="s">
        <v>520</v>
      </c>
      <c r="F145" s="21" t="str">
        <f t="shared" si="4"/>
        <v>rtdc.l.rtdc.4015:itc</v>
      </c>
      <c r="G145" s="8">
        <f t="shared" si="5"/>
        <v>42677.646956018521</v>
      </c>
    </row>
    <row r="146" spans="1:7" x14ac:dyDescent="0.25">
      <c r="A146" s="8">
        <v>42677.650104166663</v>
      </c>
      <c r="B146" s="21" t="s">
        <v>348</v>
      </c>
      <c r="C146" s="21" t="s">
        <v>429</v>
      </c>
      <c r="D146" s="21">
        <v>1540000</v>
      </c>
      <c r="E146" s="21" t="s">
        <v>286</v>
      </c>
      <c r="F146" s="21" t="str">
        <f t="shared" si="4"/>
        <v>rtdc.l.rtdc.4054:itc</v>
      </c>
      <c r="G146" s="8">
        <f t="shared" si="5"/>
        <v>42677.650104166663</v>
      </c>
    </row>
    <row r="147" spans="1:7" x14ac:dyDescent="0.25">
      <c r="A147" s="8">
        <v>42677.652349537035</v>
      </c>
      <c r="B147" s="21" t="s">
        <v>354</v>
      </c>
      <c r="C147" s="21" t="s">
        <v>430</v>
      </c>
      <c r="D147" s="21">
        <v>2420000</v>
      </c>
      <c r="E147" s="21" t="s">
        <v>285</v>
      </c>
      <c r="F147" s="21" t="str">
        <f t="shared" si="4"/>
        <v>rtdc.l.rtdc.4026:itc</v>
      </c>
      <c r="G147" s="8">
        <f t="shared" si="5"/>
        <v>42677.652349537035</v>
      </c>
    </row>
    <row r="148" spans="1:7" x14ac:dyDescent="0.25">
      <c r="A148" s="8">
        <v>42677.653379629628</v>
      </c>
      <c r="B148" s="21" t="s">
        <v>246</v>
      </c>
      <c r="C148" s="21" t="s">
        <v>560</v>
      </c>
      <c r="D148" s="21">
        <v>1820000</v>
      </c>
      <c r="E148" s="21" t="s">
        <v>360</v>
      </c>
      <c r="F148" s="21" t="str">
        <f t="shared" si="4"/>
        <v>rtdc.l.rtdc.4040:itc</v>
      </c>
      <c r="G148" s="8">
        <f t="shared" si="5"/>
        <v>42677.653379629628</v>
      </c>
    </row>
    <row r="149" spans="1:7" x14ac:dyDescent="0.25">
      <c r="A149" s="8">
        <v>42677.657673611109</v>
      </c>
      <c r="B149" s="21" t="s">
        <v>234</v>
      </c>
      <c r="C149" s="21" t="s">
        <v>561</v>
      </c>
      <c r="D149" s="21">
        <v>2610000</v>
      </c>
      <c r="E149" s="21" t="s">
        <v>362</v>
      </c>
      <c r="F149" s="21" t="str">
        <f t="shared" si="4"/>
        <v>rtdc.l.rtdc.4011:itc</v>
      </c>
      <c r="G149" s="8">
        <f t="shared" si="5"/>
        <v>42677.657673611109</v>
      </c>
    </row>
    <row r="150" spans="1:7" x14ac:dyDescent="0.25">
      <c r="A150" s="8">
        <v>42677.663414351853</v>
      </c>
      <c r="B150" s="21" t="s">
        <v>227</v>
      </c>
      <c r="C150" s="21" t="s">
        <v>433</v>
      </c>
      <c r="D150" s="21">
        <v>2440000</v>
      </c>
      <c r="E150" s="21" t="s">
        <v>305</v>
      </c>
      <c r="F150" s="21" t="str">
        <f t="shared" si="4"/>
        <v>rtdc.l.rtdc.4030:itc</v>
      </c>
      <c r="G150" s="8">
        <f t="shared" si="5"/>
        <v>42677.663414351853</v>
      </c>
    </row>
    <row r="151" spans="1:7" x14ac:dyDescent="0.25">
      <c r="A151" s="8">
        <v>42677.664270833331</v>
      </c>
      <c r="B151" s="21" t="s">
        <v>252</v>
      </c>
      <c r="C151" s="21" t="s">
        <v>562</v>
      </c>
      <c r="D151" s="21">
        <v>2560000</v>
      </c>
      <c r="E151" s="21" t="s">
        <v>282</v>
      </c>
      <c r="F151" s="21" t="str">
        <f t="shared" si="4"/>
        <v>rtdc.l.rtdc.4014:itc</v>
      </c>
      <c r="G151" s="8">
        <f t="shared" si="5"/>
        <v>42677.664270833331</v>
      </c>
    </row>
    <row r="152" spans="1:7" x14ac:dyDescent="0.25">
      <c r="A152" s="8">
        <v>42677.670960648145</v>
      </c>
      <c r="B152" s="21" t="s">
        <v>431</v>
      </c>
      <c r="C152" s="21" t="s">
        <v>432</v>
      </c>
      <c r="D152" s="21">
        <v>2610000</v>
      </c>
      <c r="E152" s="21" t="s">
        <v>362</v>
      </c>
      <c r="F152" s="21" t="str">
        <f t="shared" si="4"/>
        <v>rtdc.l.rtdc.4012:itc</v>
      </c>
      <c r="G152" s="8">
        <f t="shared" si="5"/>
        <v>42677.670960648145</v>
      </c>
    </row>
    <row r="153" spans="1:7" x14ac:dyDescent="0.25">
      <c r="A153" s="8">
        <v>42677.671423611115</v>
      </c>
      <c r="B153" s="21" t="s">
        <v>303</v>
      </c>
      <c r="C153" s="21" t="s">
        <v>563</v>
      </c>
      <c r="D153" s="21">
        <v>2630000</v>
      </c>
      <c r="E153" s="21" t="s">
        <v>357</v>
      </c>
      <c r="F153" s="21" t="str">
        <f t="shared" si="4"/>
        <v>rtdc.l.rtdc.4042:itc</v>
      </c>
      <c r="G153" s="8">
        <f t="shared" si="5"/>
        <v>42677.671423611115</v>
      </c>
    </row>
    <row r="154" spans="1:7" x14ac:dyDescent="0.25">
      <c r="A154" s="8">
        <v>42677.67391203704</v>
      </c>
      <c r="B154" s="21" t="s">
        <v>280</v>
      </c>
      <c r="C154" s="21" t="s">
        <v>564</v>
      </c>
      <c r="D154" s="21">
        <v>2220000</v>
      </c>
      <c r="E154" s="21" t="s">
        <v>361</v>
      </c>
      <c r="F154" s="21" t="str">
        <f t="shared" si="4"/>
        <v>rtdc.l.rtdc.4032:itc</v>
      </c>
      <c r="G154" s="8">
        <f t="shared" si="5"/>
        <v>42677.67391203704</v>
      </c>
    </row>
    <row r="155" spans="1:7" x14ac:dyDescent="0.25">
      <c r="A155" s="8">
        <v>42677.67900462963</v>
      </c>
      <c r="B155" s="21" t="s">
        <v>352</v>
      </c>
      <c r="C155" s="21" t="s">
        <v>565</v>
      </c>
      <c r="D155" s="21">
        <v>1540000</v>
      </c>
      <c r="E155" s="21" t="s">
        <v>286</v>
      </c>
      <c r="F155" s="21" t="str">
        <f t="shared" si="4"/>
        <v>rtdc.l.rtdc.4053:itc</v>
      </c>
      <c r="G155" s="8">
        <f t="shared" si="5"/>
        <v>42677.67900462963</v>
      </c>
    </row>
    <row r="156" spans="1:7" x14ac:dyDescent="0.25">
      <c r="A156" s="8">
        <v>42677.683032407411</v>
      </c>
      <c r="B156" s="21" t="s">
        <v>449</v>
      </c>
      <c r="C156" s="21" t="s">
        <v>566</v>
      </c>
      <c r="D156" s="21">
        <v>2020000</v>
      </c>
      <c r="E156" s="21" t="s">
        <v>520</v>
      </c>
      <c r="F156" s="21" t="str">
        <f t="shared" si="4"/>
        <v>rtdc.l.rtdc.4016:itc</v>
      </c>
      <c r="G156" s="8">
        <f t="shared" si="5"/>
        <v>42677.683032407411</v>
      </c>
    </row>
    <row r="157" spans="1:7" x14ac:dyDescent="0.25">
      <c r="A157" s="8">
        <v>42677.683715277781</v>
      </c>
      <c r="B157" s="21" t="s">
        <v>279</v>
      </c>
      <c r="C157" s="21" t="s">
        <v>567</v>
      </c>
      <c r="D157" s="21">
        <v>1820000</v>
      </c>
      <c r="E157" s="21" t="s">
        <v>360</v>
      </c>
      <c r="F157" s="21" t="str">
        <f t="shared" si="4"/>
        <v>rtdc.l.rtdc.4039:itc</v>
      </c>
      <c r="G157" s="8">
        <f t="shared" si="5"/>
        <v>42677.683715277781</v>
      </c>
    </row>
    <row r="158" spans="1:7" x14ac:dyDescent="0.25">
      <c r="A158" s="8">
        <v>42677.691990740743</v>
      </c>
      <c r="B158" s="21" t="s">
        <v>348</v>
      </c>
      <c r="C158" s="21" t="s">
        <v>568</v>
      </c>
      <c r="D158" s="21">
        <v>1540000</v>
      </c>
      <c r="E158" s="21" t="s">
        <v>286</v>
      </c>
      <c r="F158" s="21" t="str">
        <f t="shared" si="4"/>
        <v>rtdc.l.rtdc.4054:itc</v>
      </c>
      <c r="G158" s="8">
        <f t="shared" si="5"/>
        <v>42677.691990740743</v>
      </c>
    </row>
    <row r="159" spans="1:7" x14ac:dyDescent="0.25">
      <c r="A159" s="8">
        <v>42677.694872685184</v>
      </c>
      <c r="B159" s="21" t="s">
        <v>346</v>
      </c>
      <c r="C159" s="21" t="s">
        <v>569</v>
      </c>
      <c r="D159" s="21">
        <v>2420000</v>
      </c>
      <c r="E159" s="21" t="s">
        <v>285</v>
      </c>
      <c r="F159" s="21" t="str">
        <f t="shared" si="4"/>
        <v>rtdc.l.rtdc.4025:itc</v>
      </c>
      <c r="G159" s="8">
        <f t="shared" si="5"/>
        <v>42677.694872685184</v>
      </c>
    </row>
    <row r="160" spans="1:7" x14ac:dyDescent="0.25">
      <c r="A160" s="8">
        <v>42677.696331018517</v>
      </c>
      <c r="B160" s="21" t="s">
        <v>234</v>
      </c>
      <c r="C160" s="21" t="s">
        <v>570</v>
      </c>
      <c r="D160" s="21">
        <v>2610000</v>
      </c>
      <c r="E160" s="21" t="s">
        <v>362</v>
      </c>
      <c r="F160" s="21" t="str">
        <f t="shared" si="4"/>
        <v>rtdc.l.rtdc.4011:itc</v>
      </c>
      <c r="G160" s="8">
        <f t="shared" si="5"/>
        <v>42677.696331018517</v>
      </c>
    </row>
    <row r="161" spans="1:7" x14ac:dyDescent="0.25">
      <c r="A161" s="8">
        <v>42677.700694444444</v>
      </c>
      <c r="B161" s="21" t="s">
        <v>251</v>
      </c>
      <c r="C161" s="21" t="s">
        <v>435</v>
      </c>
      <c r="D161" s="21">
        <v>2560000</v>
      </c>
      <c r="E161" s="21" t="s">
        <v>282</v>
      </c>
      <c r="F161" s="21" t="str">
        <f t="shared" si="4"/>
        <v>rtdc.l.rtdc.4013:itc</v>
      </c>
      <c r="G161" s="8">
        <f t="shared" si="5"/>
        <v>42677.700694444444</v>
      </c>
    </row>
    <row r="162" spans="1:7" x14ac:dyDescent="0.25">
      <c r="A162" s="8">
        <v>42677.702731481484</v>
      </c>
      <c r="B162" s="21" t="s">
        <v>226</v>
      </c>
      <c r="C162" s="21" t="s">
        <v>571</v>
      </c>
      <c r="D162" s="21">
        <v>2440000</v>
      </c>
      <c r="E162" s="21" t="s">
        <v>305</v>
      </c>
      <c r="F162" s="21" t="str">
        <f t="shared" si="4"/>
        <v>rtdc.l.rtdc.4029:itc</v>
      </c>
      <c r="G162" s="8">
        <f t="shared" si="5"/>
        <v>42677.702731481484</v>
      </c>
    </row>
    <row r="163" spans="1:7" x14ac:dyDescent="0.25">
      <c r="A163" s="8">
        <v>42677.707812499997</v>
      </c>
      <c r="B163" s="21" t="s">
        <v>298</v>
      </c>
      <c r="C163" s="21" t="s">
        <v>572</v>
      </c>
      <c r="D163" s="21">
        <v>2630000</v>
      </c>
      <c r="E163" s="21" t="s">
        <v>357</v>
      </c>
      <c r="F163" s="21" t="str">
        <f t="shared" si="4"/>
        <v>rtdc.l.rtdc.4041:itc</v>
      </c>
      <c r="G163" s="8">
        <f t="shared" si="5"/>
        <v>42677.707812499997</v>
      </c>
    </row>
    <row r="164" spans="1:7" x14ac:dyDescent="0.25">
      <c r="A164" s="8">
        <v>42677.713414351849</v>
      </c>
      <c r="B164" s="21" t="s">
        <v>431</v>
      </c>
      <c r="C164" s="21" t="s">
        <v>573</v>
      </c>
      <c r="D164" s="21">
        <v>2610000</v>
      </c>
      <c r="E164" s="21" t="s">
        <v>362</v>
      </c>
      <c r="F164" s="21" t="str">
        <f t="shared" si="4"/>
        <v>rtdc.l.rtdc.4012:itc</v>
      </c>
      <c r="G164" s="8">
        <f t="shared" si="5"/>
        <v>42677.713414351849</v>
      </c>
    </row>
    <row r="165" spans="1:7" x14ac:dyDescent="0.25">
      <c r="A165" s="8">
        <v>42677.716921296298</v>
      </c>
      <c r="B165" s="21" t="s">
        <v>236</v>
      </c>
      <c r="C165" s="21" t="s">
        <v>434</v>
      </c>
      <c r="D165" s="21">
        <v>2250000</v>
      </c>
      <c r="E165" s="21" t="s">
        <v>272</v>
      </c>
      <c r="F165" s="21" t="str">
        <f t="shared" si="4"/>
        <v>rtdc.l.rtdc.4021:itc</v>
      </c>
      <c r="G165" s="8">
        <f t="shared" si="5"/>
        <v>42677.716921296298</v>
      </c>
    </row>
    <row r="166" spans="1:7" x14ac:dyDescent="0.25">
      <c r="A166" s="8">
        <v>42677.717106481483</v>
      </c>
      <c r="B166" s="21" t="s">
        <v>344</v>
      </c>
      <c r="C166" s="21" t="s">
        <v>574</v>
      </c>
      <c r="D166" s="21">
        <v>2430000</v>
      </c>
      <c r="E166" s="21" t="s">
        <v>287</v>
      </c>
      <c r="F166" s="21" t="str">
        <f t="shared" si="4"/>
        <v>rtdc.l.rtdc.4031:itc</v>
      </c>
      <c r="G166" s="8">
        <f t="shared" si="5"/>
        <v>42677.717106481483</v>
      </c>
    </row>
    <row r="167" spans="1:7" x14ac:dyDescent="0.25">
      <c r="A167" s="8">
        <v>42677.720277777778</v>
      </c>
      <c r="B167" s="21" t="s">
        <v>352</v>
      </c>
      <c r="C167" s="21" t="s">
        <v>575</v>
      </c>
      <c r="D167" s="21">
        <v>1540000</v>
      </c>
      <c r="E167" s="21" t="s">
        <v>286</v>
      </c>
      <c r="F167" s="21" t="str">
        <f t="shared" si="4"/>
        <v>rtdc.l.rtdc.4053:itc</v>
      </c>
      <c r="G167" s="8">
        <f t="shared" si="5"/>
        <v>42677.720277777778</v>
      </c>
    </row>
    <row r="168" spans="1:7" x14ac:dyDescent="0.25">
      <c r="A168" s="8">
        <v>42677.721006944441</v>
      </c>
      <c r="B168" s="21" t="s">
        <v>441</v>
      </c>
      <c r="C168" s="21" t="s">
        <v>576</v>
      </c>
      <c r="D168" s="21">
        <v>2020000</v>
      </c>
      <c r="E168" s="21" t="s">
        <v>520</v>
      </c>
      <c r="F168" s="21" t="str">
        <f t="shared" si="4"/>
        <v>rtdc.l.rtdc.4015:itc</v>
      </c>
      <c r="G168" s="8">
        <f t="shared" si="5"/>
        <v>42677.721006944441</v>
      </c>
    </row>
    <row r="169" spans="1:7" x14ac:dyDescent="0.25">
      <c r="A169" s="8">
        <v>42677.724120370367</v>
      </c>
      <c r="B169" s="21" t="s">
        <v>246</v>
      </c>
      <c r="C169" s="21" t="s">
        <v>436</v>
      </c>
      <c r="D169" s="21">
        <v>2220000</v>
      </c>
      <c r="E169" s="21" t="s">
        <v>361</v>
      </c>
      <c r="F169" s="21" t="str">
        <f t="shared" si="4"/>
        <v>rtdc.l.rtdc.4040:itc</v>
      </c>
      <c r="G169" s="8">
        <f t="shared" si="5"/>
        <v>42677.724120370367</v>
      </c>
    </row>
    <row r="170" spans="1:7" x14ac:dyDescent="0.25">
      <c r="A170" s="8">
        <v>42677.728981481479</v>
      </c>
      <c r="B170" s="21" t="s">
        <v>234</v>
      </c>
      <c r="C170" s="21" t="s">
        <v>577</v>
      </c>
      <c r="D170" s="21">
        <v>2610000</v>
      </c>
      <c r="E170" s="21" t="s">
        <v>362</v>
      </c>
      <c r="F170" s="21" t="str">
        <f t="shared" si="4"/>
        <v>rtdc.l.rtdc.4011:itc</v>
      </c>
      <c r="G170" s="8">
        <f t="shared" si="5"/>
        <v>42677.728981481479</v>
      </c>
    </row>
    <row r="171" spans="1:7" x14ac:dyDescent="0.25">
      <c r="A171" s="8">
        <v>42677.733229166668</v>
      </c>
      <c r="B171" s="21" t="s">
        <v>354</v>
      </c>
      <c r="C171" s="21" t="s">
        <v>578</v>
      </c>
      <c r="D171" s="21">
        <v>2420000</v>
      </c>
      <c r="E171" s="21" t="s">
        <v>285</v>
      </c>
      <c r="F171" s="21" t="str">
        <f t="shared" si="4"/>
        <v>rtdc.l.rtdc.4026:itc</v>
      </c>
      <c r="G171" s="8">
        <f t="shared" si="5"/>
        <v>42677.733229166668</v>
      </c>
    </row>
    <row r="172" spans="1:7" x14ac:dyDescent="0.25">
      <c r="A172" s="8">
        <v>42677.734212962961</v>
      </c>
      <c r="B172" s="21" t="s">
        <v>348</v>
      </c>
      <c r="C172" s="21" t="s">
        <v>437</v>
      </c>
      <c r="D172" s="21">
        <v>1540000</v>
      </c>
      <c r="E172" s="21" t="s">
        <v>286</v>
      </c>
      <c r="F172" s="21" t="str">
        <f t="shared" si="4"/>
        <v>rtdc.l.rtdc.4054:itc</v>
      </c>
      <c r="G172" s="8">
        <f t="shared" si="5"/>
        <v>42677.734212962961</v>
      </c>
    </row>
    <row r="173" spans="1:7" x14ac:dyDescent="0.25">
      <c r="A173" s="8">
        <v>42677.7343287037</v>
      </c>
      <c r="B173" s="21" t="s">
        <v>227</v>
      </c>
      <c r="C173" s="21" t="s">
        <v>579</v>
      </c>
      <c r="D173" s="21">
        <v>2440000</v>
      </c>
      <c r="E173" s="21" t="s">
        <v>305</v>
      </c>
      <c r="F173" s="21" t="str">
        <f t="shared" si="4"/>
        <v>rtdc.l.rtdc.4030:itc</v>
      </c>
      <c r="G173" s="8">
        <f t="shared" si="5"/>
        <v>42677.7343287037</v>
      </c>
    </row>
    <row r="174" spans="1:7" x14ac:dyDescent="0.25">
      <c r="A174" s="8">
        <v>42677.736354166664</v>
      </c>
      <c r="B174" s="21" t="s">
        <v>252</v>
      </c>
      <c r="C174" s="21" t="s">
        <v>580</v>
      </c>
      <c r="D174" s="21">
        <v>2250000</v>
      </c>
      <c r="E174" s="21" t="s">
        <v>272</v>
      </c>
      <c r="F174" s="21" t="str">
        <f t="shared" si="4"/>
        <v>rtdc.l.rtdc.4014:itc</v>
      </c>
      <c r="G174" s="8">
        <f t="shared" si="5"/>
        <v>42677.736354166664</v>
      </c>
    </row>
    <row r="175" spans="1:7" x14ac:dyDescent="0.25">
      <c r="A175" s="8">
        <v>42677.738888888889</v>
      </c>
      <c r="B175" s="21" t="s">
        <v>238</v>
      </c>
      <c r="C175" s="21" t="s">
        <v>581</v>
      </c>
      <c r="D175" s="21">
        <v>1300000</v>
      </c>
      <c r="E175" s="21" t="s">
        <v>113</v>
      </c>
      <c r="F175" s="21" t="str">
        <f t="shared" si="4"/>
        <v>rtdc.l.rtdc.4001:itc</v>
      </c>
      <c r="G175" s="8">
        <f t="shared" si="5"/>
        <v>42677.738888888889</v>
      </c>
    </row>
    <row r="176" spans="1:7" x14ac:dyDescent="0.25">
      <c r="A176" s="8">
        <v>42677.746122685188</v>
      </c>
      <c r="B176" s="21" t="s">
        <v>303</v>
      </c>
      <c r="C176" s="21" t="s">
        <v>582</v>
      </c>
      <c r="D176" s="21">
        <v>2560000</v>
      </c>
      <c r="E176" s="21" t="s">
        <v>282</v>
      </c>
      <c r="F176" s="21" t="str">
        <f t="shared" si="4"/>
        <v>rtdc.l.rtdc.4042:itc</v>
      </c>
      <c r="G176" s="8">
        <f t="shared" si="5"/>
        <v>42677.746122685188</v>
      </c>
    </row>
    <row r="177" spans="1:7" x14ac:dyDescent="0.25">
      <c r="A177" s="8">
        <v>42677.747118055559</v>
      </c>
      <c r="B177" s="21" t="s">
        <v>303</v>
      </c>
      <c r="C177" s="21" t="s">
        <v>582</v>
      </c>
      <c r="D177" s="21">
        <v>2560000</v>
      </c>
      <c r="E177" s="21" t="s">
        <v>282</v>
      </c>
      <c r="F177" s="21" t="str">
        <f t="shared" si="4"/>
        <v>rtdc.l.rtdc.4042:itc</v>
      </c>
      <c r="G177" s="8">
        <f t="shared" si="5"/>
        <v>42677.747118055559</v>
      </c>
    </row>
    <row r="178" spans="1:7" x14ac:dyDescent="0.25">
      <c r="A178" s="8">
        <v>42677.748101851852</v>
      </c>
      <c r="B178" s="21" t="s">
        <v>303</v>
      </c>
      <c r="C178" s="21" t="s">
        <v>582</v>
      </c>
      <c r="D178" s="21">
        <v>2560000</v>
      </c>
      <c r="E178" s="21" t="s">
        <v>282</v>
      </c>
      <c r="F178" s="21" t="str">
        <f t="shared" si="4"/>
        <v>rtdc.l.rtdc.4042:itc</v>
      </c>
      <c r="G178" s="8">
        <f t="shared" si="5"/>
        <v>42677.748101851852</v>
      </c>
    </row>
    <row r="179" spans="1:7" x14ac:dyDescent="0.25">
      <c r="A179" s="8">
        <v>42677.748726851853</v>
      </c>
      <c r="B179" s="21" t="s">
        <v>303</v>
      </c>
      <c r="C179" s="21" t="s">
        <v>583</v>
      </c>
      <c r="D179" s="21">
        <v>2560000</v>
      </c>
      <c r="E179" s="21" t="s">
        <v>282</v>
      </c>
      <c r="F179" s="21" t="str">
        <f t="shared" si="4"/>
        <v>rtdc.l.rtdc.4042:itc</v>
      </c>
      <c r="G179" s="8">
        <f t="shared" si="5"/>
        <v>42677.748726851853</v>
      </c>
    </row>
    <row r="180" spans="1:7" x14ac:dyDescent="0.25">
      <c r="A180" s="8">
        <v>42677.748784722222</v>
      </c>
      <c r="B180" s="21" t="s">
        <v>345</v>
      </c>
      <c r="C180" s="21" t="s">
        <v>584</v>
      </c>
      <c r="D180" s="21">
        <v>2350000</v>
      </c>
      <c r="E180" s="21" t="s">
        <v>585</v>
      </c>
      <c r="F180" s="21" t="str">
        <f t="shared" si="4"/>
        <v>rtdc.l.rtdc.4017:itc</v>
      </c>
      <c r="G180" s="8">
        <f t="shared" si="5"/>
        <v>42677.748784722222</v>
      </c>
    </row>
    <row r="181" spans="1:7" x14ac:dyDescent="0.25">
      <c r="A181" s="8">
        <v>42677.749236111114</v>
      </c>
      <c r="B181" s="21" t="s">
        <v>273</v>
      </c>
      <c r="C181" s="21" t="s">
        <v>438</v>
      </c>
      <c r="D181" s="21">
        <v>120000</v>
      </c>
      <c r="E181" s="21" t="s">
        <v>515</v>
      </c>
      <c r="F181" s="21" t="str">
        <f t="shared" si="4"/>
        <v>rtdc.l.rtdc.4003:itc</v>
      </c>
      <c r="G181" s="8">
        <f t="shared" si="5"/>
        <v>42677.749236111114</v>
      </c>
    </row>
    <row r="182" spans="1:7" x14ac:dyDescent="0.25">
      <c r="A182" s="8">
        <v>42677.749768518515</v>
      </c>
      <c r="B182" s="21" t="s">
        <v>345</v>
      </c>
      <c r="C182" s="21" t="s">
        <v>584</v>
      </c>
      <c r="D182" s="21">
        <v>2350000</v>
      </c>
      <c r="E182" s="21" t="s">
        <v>585</v>
      </c>
      <c r="F182" s="21" t="str">
        <f t="shared" si="4"/>
        <v>rtdc.l.rtdc.4017:itc</v>
      </c>
      <c r="G182" s="8">
        <f t="shared" si="5"/>
        <v>42677.749768518515</v>
      </c>
    </row>
    <row r="183" spans="1:7" x14ac:dyDescent="0.25">
      <c r="A183" s="8">
        <v>42677.752881944441</v>
      </c>
      <c r="B183" s="21" t="s">
        <v>280</v>
      </c>
      <c r="C183" s="21" t="s">
        <v>586</v>
      </c>
      <c r="D183" s="21">
        <v>2430000</v>
      </c>
      <c r="E183" s="21" t="s">
        <v>287</v>
      </c>
      <c r="F183" s="21" t="str">
        <f t="shared" si="4"/>
        <v>rtdc.l.rtdc.4032:itc</v>
      </c>
      <c r="G183" s="8">
        <f t="shared" si="5"/>
        <v>42677.752881944441</v>
      </c>
    </row>
    <row r="184" spans="1:7" x14ac:dyDescent="0.25">
      <c r="A184" s="8">
        <v>42677.755335648151</v>
      </c>
      <c r="B184" s="21" t="s">
        <v>431</v>
      </c>
      <c r="C184" s="21" t="s">
        <v>440</v>
      </c>
      <c r="D184" s="21">
        <v>2610000</v>
      </c>
      <c r="E184" s="21" t="s">
        <v>362</v>
      </c>
      <c r="F184" s="21" t="str">
        <f t="shared" si="4"/>
        <v>rtdc.l.rtdc.4012:itc</v>
      </c>
      <c r="G184" s="8">
        <f t="shared" si="5"/>
        <v>42677.755335648151</v>
      </c>
    </row>
    <row r="185" spans="1:7" x14ac:dyDescent="0.25">
      <c r="A185" s="8">
        <v>42677.755914351852</v>
      </c>
      <c r="B185" s="21" t="s">
        <v>449</v>
      </c>
      <c r="C185" s="21" t="s">
        <v>587</v>
      </c>
      <c r="D185" s="21">
        <v>1300000</v>
      </c>
      <c r="E185" s="21" t="s">
        <v>113</v>
      </c>
      <c r="F185" s="21" t="str">
        <f t="shared" si="4"/>
        <v>rtdc.l.rtdc.4016:itc</v>
      </c>
      <c r="G185" s="8">
        <f t="shared" si="5"/>
        <v>42677.755914351852</v>
      </c>
    </row>
    <row r="186" spans="1:7" x14ac:dyDescent="0.25">
      <c r="A186" s="8">
        <v>42677.758622685185</v>
      </c>
      <c r="B186" s="21" t="s">
        <v>253</v>
      </c>
      <c r="C186" s="21" t="s">
        <v>588</v>
      </c>
      <c r="D186" s="21">
        <v>2020000</v>
      </c>
      <c r="E186" s="21" t="s">
        <v>520</v>
      </c>
      <c r="F186" s="21" t="str">
        <f t="shared" si="4"/>
        <v>rtdc.l.rtdc.4022:itc</v>
      </c>
      <c r="G186" s="8">
        <f t="shared" si="5"/>
        <v>42677.758622685185</v>
      </c>
    </row>
    <row r="187" spans="1:7" x14ac:dyDescent="0.25">
      <c r="A187" s="8">
        <v>42677.761122685188</v>
      </c>
      <c r="B187" s="21" t="s">
        <v>352</v>
      </c>
      <c r="C187" s="21" t="s">
        <v>589</v>
      </c>
      <c r="D187" s="21">
        <v>1540000</v>
      </c>
      <c r="E187" s="21" t="s">
        <v>286</v>
      </c>
      <c r="F187" s="21" t="str">
        <f t="shared" si="4"/>
        <v>rtdc.l.rtdc.4053:itc</v>
      </c>
      <c r="G187" s="8">
        <f t="shared" si="5"/>
        <v>42677.761122685188</v>
      </c>
    </row>
    <row r="188" spans="1:7" x14ac:dyDescent="0.25">
      <c r="A188" s="8">
        <v>42677.762569444443</v>
      </c>
      <c r="B188" s="21" t="s">
        <v>279</v>
      </c>
      <c r="C188" s="21" t="s">
        <v>590</v>
      </c>
      <c r="D188" s="21">
        <v>2220000</v>
      </c>
      <c r="E188" s="21" t="s">
        <v>361</v>
      </c>
      <c r="F188" s="21" t="str">
        <f t="shared" si="4"/>
        <v>rtdc.l.rtdc.4039:itc</v>
      </c>
      <c r="G188" s="8">
        <f t="shared" si="5"/>
        <v>42677.762569444443</v>
      </c>
    </row>
    <row r="189" spans="1:7" x14ac:dyDescent="0.25">
      <c r="A189" s="8">
        <v>42677.770648148151</v>
      </c>
      <c r="B189" s="21" t="s">
        <v>346</v>
      </c>
      <c r="C189" s="21" t="s">
        <v>591</v>
      </c>
      <c r="D189" s="21">
        <v>2000000</v>
      </c>
      <c r="E189" s="21" t="s">
        <v>306</v>
      </c>
      <c r="F189" s="21" t="str">
        <f t="shared" si="4"/>
        <v>rtdc.l.rtdc.4025:itc</v>
      </c>
      <c r="G189" s="8">
        <f t="shared" si="5"/>
        <v>42677.770648148151</v>
      </c>
    </row>
    <row r="190" spans="1:7" x14ac:dyDescent="0.25">
      <c r="A190" s="8">
        <v>42677.77134259259</v>
      </c>
      <c r="B190" s="21" t="s">
        <v>251</v>
      </c>
      <c r="C190" s="21" t="s">
        <v>592</v>
      </c>
      <c r="D190" s="21">
        <v>2250000</v>
      </c>
      <c r="E190" s="21" t="s">
        <v>272</v>
      </c>
      <c r="F190" s="21" t="str">
        <f t="shared" si="4"/>
        <v>rtdc.l.rtdc.4013:itc</v>
      </c>
      <c r="G190" s="8">
        <f t="shared" si="5"/>
        <v>42677.77134259259</v>
      </c>
    </row>
    <row r="191" spans="1:7" x14ac:dyDescent="0.25">
      <c r="A191" s="8">
        <v>42677.776053240741</v>
      </c>
      <c r="B191" s="21" t="s">
        <v>226</v>
      </c>
      <c r="C191" s="21" t="s">
        <v>593</v>
      </c>
      <c r="D191" s="21">
        <v>2440000</v>
      </c>
      <c r="E191" s="21" t="s">
        <v>305</v>
      </c>
      <c r="F191" s="21" t="str">
        <f t="shared" si="4"/>
        <v>rtdc.l.rtdc.4029:itc</v>
      </c>
      <c r="G191" s="8">
        <f t="shared" si="5"/>
        <v>42677.776053240741</v>
      </c>
    </row>
    <row r="192" spans="1:7" x14ac:dyDescent="0.25">
      <c r="A192" s="8">
        <v>42677.776550925926</v>
      </c>
      <c r="B192" s="21" t="s">
        <v>347</v>
      </c>
      <c r="C192" s="21" t="s">
        <v>584</v>
      </c>
      <c r="D192" s="21">
        <v>2350000</v>
      </c>
      <c r="E192" s="21" t="s">
        <v>585</v>
      </c>
      <c r="F192" s="21" t="str">
        <f t="shared" si="4"/>
        <v>rtdc.l.rtdc.4018:itc</v>
      </c>
      <c r="G192" s="8">
        <f t="shared" si="5"/>
        <v>42677.776550925926</v>
      </c>
    </row>
    <row r="193" spans="1:7" x14ac:dyDescent="0.25">
      <c r="A193" s="8">
        <v>42677.776574074072</v>
      </c>
      <c r="B193" s="21" t="s">
        <v>348</v>
      </c>
      <c r="C193" s="21" t="s">
        <v>594</v>
      </c>
      <c r="D193" s="21">
        <v>1540000</v>
      </c>
      <c r="E193" s="21" t="s">
        <v>286</v>
      </c>
      <c r="F193" s="21" t="str">
        <f t="shared" si="4"/>
        <v>rtdc.l.rtdc.4054:itc</v>
      </c>
      <c r="G193" s="8">
        <f t="shared" si="5"/>
        <v>42677.776574074072</v>
      </c>
    </row>
    <row r="194" spans="1:7" x14ac:dyDescent="0.25">
      <c r="A194" s="8">
        <v>42677.781666666669</v>
      </c>
      <c r="B194" s="21" t="s">
        <v>234</v>
      </c>
      <c r="C194" s="21" t="s">
        <v>595</v>
      </c>
      <c r="D194" s="21">
        <v>2610000</v>
      </c>
      <c r="E194" s="21" t="s">
        <v>362</v>
      </c>
      <c r="F194" s="21" t="str">
        <f t="shared" ref="F194:F235" si="6">B194</f>
        <v>rtdc.l.rtdc.4011:itc</v>
      </c>
      <c r="G194" s="8">
        <f t="shared" ref="G194:G235" si="7">A194</f>
        <v>42677.781666666669</v>
      </c>
    </row>
    <row r="195" spans="1:7" x14ac:dyDescent="0.25">
      <c r="A195" s="8">
        <v>42677.785462962966</v>
      </c>
      <c r="B195" s="21" t="s">
        <v>298</v>
      </c>
      <c r="C195" s="21" t="s">
        <v>582</v>
      </c>
      <c r="D195" s="21">
        <v>2560000</v>
      </c>
      <c r="E195" s="21" t="s">
        <v>282</v>
      </c>
      <c r="F195" s="21" t="str">
        <f t="shared" si="6"/>
        <v>rtdc.l.rtdc.4041:itc</v>
      </c>
      <c r="G195" s="8">
        <f t="shared" si="7"/>
        <v>42677.785462962966</v>
      </c>
    </row>
    <row r="196" spans="1:7" x14ac:dyDescent="0.25">
      <c r="A196" s="8">
        <v>42677.786493055559</v>
      </c>
      <c r="B196" s="21" t="s">
        <v>344</v>
      </c>
      <c r="C196" s="21" t="s">
        <v>596</v>
      </c>
      <c r="D196" s="21">
        <v>2430000</v>
      </c>
      <c r="E196" s="21" t="s">
        <v>287</v>
      </c>
      <c r="F196" s="21" t="str">
        <f t="shared" si="6"/>
        <v>rtdc.l.rtdc.4031:itc</v>
      </c>
      <c r="G196" s="8">
        <f t="shared" si="7"/>
        <v>42677.786493055559</v>
      </c>
    </row>
    <row r="197" spans="1:7" x14ac:dyDescent="0.25">
      <c r="A197" s="8">
        <v>42677.789236111108</v>
      </c>
      <c r="B197" s="21" t="s">
        <v>441</v>
      </c>
      <c r="C197" s="21" t="s">
        <v>442</v>
      </c>
      <c r="D197" s="21">
        <v>1300000</v>
      </c>
      <c r="E197" s="21" t="s">
        <v>113</v>
      </c>
      <c r="F197" s="21" t="str">
        <f t="shared" si="6"/>
        <v>rtdc.l.rtdc.4015:itc</v>
      </c>
      <c r="G197" s="8">
        <f t="shared" si="7"/>
        <v>42677.789236111108</v>
      </c>
    </row>
    <row r="198" spans="1:7" x14ac:dyDescent="0.25">
      <c r="A198" s="8">
        <v>42677.79546296296</v>
      </c>
      <c r="B198" s="21" t="s">
        <v>431</v>
      </c>
      <c r="C198" s="21" t="s">
        <v>597</v>
      </c>
      <c r="D198" s="21">
        <v>2610000</v>
      </c>
      <c r="E198" s="21" t="s">
        <v>362</v>
      </c>
      <c r="F198" s="21" t="str">
        <f t="shared" si="6"/>
        <v>rtdc.l.rtdc.4012:itc</v>
      </c>
      <c r="G198" s="8">
        <f t="shared" si="7"/>
        <v>42677.79546296296</v>
      </c>
    </row>
    <row r="199" spans="1:7" x14ac:dyDescent="0.25">
      <c r="A199" s="8">
        <v>42677.798414351855</v>
      </c>
      <c r="B199" s="21" t="s">
        <v>354</v>
      </c>
      <c r="C199" s="21" t="s">
        <v>598</v>
      </c>
      <c r="D199" s="21">
        <v>2000000</v>
      </c>
      <c r="E199" s="21" t="s">
        <v>306</v>
      </c>
      <c r="F199" s="21" t="str">
        <f t="shared" si="6"/>
        <v>rtdc.l.rtdc.4026:itc</v>
      </c>
      <c r="G199" s="8">
        <f t="shared" si="7"/>
        <v>42677.798414351855</v>
      </c>
    </row>
    <row r="200" spans="1:7" x14ac:dyDescent="0.25">
      <c r="A200" s="8">
        <v>42677.799513888887</v>
      </c>
      <c r="B200" s="21" t="s">
        <v>246</v>
      </c>
      <c r="C200" s="21" t="s">
        <v>599</v>
      </c>
      <c r="D200" s="21">
        <v>2220000</v>
      </c>
      <c r="E200" s="21" t="s">
        <v>361</v>
      </c>
      <c r="F200" s="21" t="str">
        <f t="shared" si="6"/>
        <v>rtdc.l.rtdc.4040:itc</v>
      </c>
      <c r="G200" s="8">
        <f t="shared" si="7"/>
        <v>42677.799513888887</v>
      </c>
    </row>
    <row r="201" spans="1:7" x14ac:dyDescent="0.25">
      <c r="A201" s="8">
        <v>42677.804490740738</v>
      </c>
      <c r="B201" s="21" t="s">
        <v>352</v>
      </c>
      <c r="C201" s="21" t="s">
        <v>600</v>
      </c>
      <c r="D201" s="21">
        <v>1540000</v>
      </c>
      <c r="E201" s="21" t="s">
        <v>286</v>
      </c>
      <c r="F201" s="21" t="str">
        <f t="shared" si="6"/>
        <v>rtdc.l.rtdc.4053:itc</v>
      </c>
      <c r="G201" s="8">
        <f t="shared" si="7"/>
        <v>42677.804490740738</v>
      </c>
    </row>
    <row r="202" spans="1:7" x14ac:dyDescent="0.25">
      <c r="A202" s="27">
        <v>42677.807395833333</v>
      </c>
      <c r="B202" s="21" t="s">
        <v>252</v>
      </c>
      <c r="C202" s="21" t="s">
        <v>601</v>
      </c>
      <c r="D202" s="21">
        <v>2250000</v>
      </c>
      <c r="E202" s="21" t="s">
        <v>272</v>
      </c>
      <c r="F202" s="21" t="str">
        <f t="shared" si="6"/>
        <v>rtdc.l.rtdc.4014:itc</v>
      </c>
      <c r="G202" s="8">
        <f t="shared" si="7"/>
        <v>42677.807395833333</v>
      </c>
    </row>
    <row r="203" spans="1:7" x14ac:dyDescent="0.25">
      <c r="A203" s="8">
        <v>42677.817314814813</v>
      </c>
      <c r="B203" s="21" t="s">
        <v>348</v>
      </c>
      <c r="C203" s="21" t="s">
        <v>443</v>
      </c>
      <c r="D203" s="21">
        <v>1540000</v>
      </c>
      <c r="E203" s="21" t="s">
        <v>286</v>
      </c>
      <c r="F203" s="21" t="str">
        <f t="shared" si="6"/>
        <v>rtdc.l.rtdc.4054:itc</v>
      </c>
      <c r="G203" s="8">
        <f t="shared" si="7"/>
        <v>42677.817314814813</v>
      </c>
    </row>
    <row r="204" spans="1:7" x14ac:dyDescent="0.25">
      <c r="A204" s="8">
        <v>42677.817789351851</v>
      </c>
      <c r="B204" s="21" t="s">
        <v>303</v>
      </c>
      <c r="C204" s="21" t="s">
        <v>602</v>
      </c>
      <c r="D204" s="21">
        <v>2560000</v>
      </c>
      <c r="E204" s="21" t="s">
        <v>282</v>
      </c>
      <c r="F204" s="21" t="str">
        <f t="shared" si="6"/>
        <v>rtdc.l.rtdc.4042:itc</v>
      </c>
      <c r="G204" s="8">
        <f t="shared" si="7"/>
        <v>42677.817789351851</v>
      </c>
    </row>
    <row r="205" spans="1:7" x14ac:dyDescent="0.25">
      <c r="A205" s="8">
        <v>42677.825856481482</v>
      </c>
      <c r="B205" s="21" t="s">
        <v>280</v>
      </c>
      <c r="C205" s="21" t="s">
        <v>603</v>
      </c>
      <c r="D205" s="21">
        <v>2430000</v>
      </c>
      <c r="E205" s="21" t="s">
        <v>287</v>
      </c>
      <c r="F205" s="21" t="str">
        <f t="shared" si="6"/>
        <v>rtdc.l.rtdc.4032:itc</v>
      </c>
      <c r="G205" s="8">
        <f t="shared" si="7"/>
        <v>42677.825856481482</v>
      </c>
    </row>
    <row r="206" spans="1:7" x14ac:dyDescent="0.25">
      <c r="A206" s="8">
        <v>42677.828032407408</v>
      </c>
      <c r="B206" s="21" t="s">
        <v>449</v>
      </c>
      <c r="C206" s="21" t="s">
        <v>604</v>
      </c>
      <c r="D206" s="21">
        <v>1300000</v>
      </c>
      <c r="E206" s="21" t="s">
        <v>113</v>
      </c>
      <c r="F206" s="21" t="str">
        <f t="shared" si="6"/>
        <v>rtdc.l.rtdc.4016:itc</v>
      </c>
      <c r="G206" s="8">
        <f t="shared" si="7"/>
        <v>42677.828032407408</v>
      </c>
    </row>
    <row r="207" spans="1:7" x14ac:dyDescent="0.25">
      <c r="A207" s="8">
        <v>42677.842106481483</v>
      </c>
      <c r="B207" s="21" t="s">
        <v>346</v>
      </c>
      <c r="C207" s="21" t="s">
        <v>605</v>
      </c>
      <c r="D207" s="21">
        <v>2000000</v>
      </c>
      <c r="E207" s="21" t="s">
        <v>306</v>
      </c>
      <c r="F207" s="21" t="str">
        <f t="shared" si="6"/>
        <v>rtdc.l.rtdc.4025:itc</v>
      </c>
      <c r="G207" s="8">
        <f t="shared" si="7"/>
        <v>42677.842106481483</v>
      </c>
    </row>
    <row r="208" spans="1:7" x14ac:dyDescent="0.25">
      <c r="A208" s="8">
        <v>42677.844942129632</v>
      </c>
      <c r="B208" s="21" t="s">
        <v>251</v>
      </c>
      <c r="C208" s="21" t="s">
        <v>444</v>
      </c>
      <c r="D208" s="21">
        <v>2250000</v>
      </c>
      <c r="E208" s="21" t="s">
        <v>272</v>
      </c>
      <c r="F208" s="21" t="str">
        <f t="shared" si="6"/>
        <v>rtdc.l.rtdc.4013:itc</v>
      </c>
      <c r="G208" s="8">
        <f t="shared" si="7"/>
        <v>42677.844942129632</v>
      </c>
    </row>
    <row r="209" spans="1:7" x14ac:dyDescent="0.25">
      <c r="A209" s="8">
        <v>42677.845000000001</v>
      </c>
      <c r="B209" s="21" t="s">
        <v>352</v>
      </c>
      <c r="C209" s="21" t="s">
        <v>606</v>
      </c>
      <c r="D209" s="21">
        <v>1540000</v>
      </c>
      <c r="E209" s="21" t="s">
        <v>286</v>
      </c>
      <c r="F209" s="21" t="str">
        <f t="shared" si="6"/>
        <v>rtdc.l.rtdc.4053:itc</v>
      </c>
      <c r="G209" s="8">
        <f t="shared" si="7"/>
        <v>42677.845000000001</v>
      </c>
    </row>
    <row r="210" spans="1:7" x14ac:dyDescent="0.25">
      <c r="A210" s="8">
        <v>42677.858344907407</v>
      </c>
      <c r="B210" s="21" t="s">
        <v>348</v>
      </c>
      <c r="C210" s="21" t="s">
        <v>607</v>
      </c>
      <c r="D210" s="21">
        <v>1540000</v>
      </c>
      <c r="E210" s="21" t="s">
        <v>286</v>
      </c>
      <c r="F210" s="21" t="str">
        <f t="shared" si="6"/>
        <v>rtdc.l.rtdc.4054:itc</v>
      </c>
      <c r="G210" s="8">
        <f t="shared" si="7"/>
        <v>42677.858344907407</v>
      </c>
    </row>
    <row r="211" spans="1:7" x14ac:dyDescent="0.25">
      <c r="A211" s="8">
        <v>42677.870474537034</v>
      </c>
      <c r="B211" s="21" t="s">
        <v>344</v>
      </c>
      <c r="C211" s="21" t="s">
        <v>608</v>
      </c>
      <c r="D211" s="21">
        <v>2430000</v>
      </c>
      <c r="E211" s="21" t="s">
        <v>287</v>
      </c>
      <c r="F211" s="21" t="str">
        <f t="shared" si="6"/>
        <v>rtdc.l.rtdc.4031:itc</v>
      </c>
      <c r="G211" s="8">
        <f t="shared" si="7"/>
        <v>42677.870474537034</v>
      </c>
    </row>
    <row r="212" spans="1:7" x14ac:dyDescent="0.25">
      <c r="A212" s="8">
        <v>42677.871678240743</v>
      </c>
      <c r="B212" s="21" t="s">
        <v>441</v>
      </c>
      <c r="C212" s="21" t="s">
        <v>609</v>
      </c>
      <c r="D212" s="21">
        <v>1300000</v>
      </c>
      <c r="E212" s="21" t="s">
        <v>113</v>
      </c>
      <c r="F212" s="21" t="str">
        <f t="shared" si="6"/>
        <v>rtdc.l.rtdc.4015:itc</v>
      </c>
      <c r="G212" s="8">
        <f t="shared" si="7"/>
        <v>42677.871678240743</v>
      </c>
    </row>
    <row r="213" spans="1:7" x14ac:dyDescent="0.25">
      <c r="A213" s="8">
        <v>42677.873888888891</v>
      </c>
      <c r="B213" s="21" t="s">
        <v>352</v>
      </c>
      <c r="C213" s="21" t="s">
        <v>610</v>
      </c>
      <c r="D213" s="21">
        <v>2610000</v>
      </c>
      <c r="E213" s="21" t="s">
        <v>362</v>
      </c>
      <c r="F213" s="21" t="str">
        <f t="shared" si="6"/>
        <v>rtdc.l.rtdc.4053:itc</v>
      </c>
      <c r="G213" s="8">
        <f t="shared" si="7"/>
        <v>42677.873888888891</v>
      </c>
    </row>
    <row r="214" spans="1:7" x14ac:dyDescent="0.25">
      <c r="A214" s="8">
        <v>42677.881516203706</v>
      </c>
      <c r="B214" s="21" t="s">
        <v>252</v>
      </c>
      <c r="C214" s="21" t="s">
        <v>611</v>
      </c>
      <c r="D214" s="21">
        <v>2250000</v>
      </c>
      <c r="E214" s="21" t="s">
        <v>272</v>
      </c>
      <c r="F214" s="21" t="str">
        <f t="shared" si="6"/>
        <v>rtdc.l.rtdc.4014:itc</v>
      </c>
      <c r="G214" s="8">
        <f t="shared" si="7"/>
        <v>42677.881516203706</v>
      </c>
    </row>
    <row r="215" spans="1:7" x14ac:dyDescent="0.25">
      <c r="A215" s="8">
        <v>42677.882939814815</v>
      </c>
      <c r="B215" s="21" t="s">
        <v>354</v>
      </c>
      <c r="C215" s="21" t="s">
        <v>445</v>
      </c>
      <c r="D215" s="21">
        <v>2000000</v>
      </c>
      <c r="E215" s="21" t="s">
        <v>306</v>
      </c>
      <c r="F215" s="21" t="str">
        <f t="shared" si="6"/>
        <v>rtdc.l.rtdc.4026:itc</v>
      </c>
      <c r="G215" s="8">
        <f t="shared" si="7"/>
        <v>42677.882939814815</v>
      </c>
    </row>
    <row r="216" spans="1:7" x14ac:dyDescent="0.25">
      <c r="A216" s="8">
        <v>42677.901724537034</v>
      </c>
      <c r="B216" s="21" t="s">
        <v>348</v>
      </c>
      <c r="C216" s="21" t="s">
        <v>612</v>
      </c>
      <c r="D216" s="21">
        <v>2610000</v>
      </c>
      <c r="E216" s="21" t="s">
        <v>362</v>
      </c>
      <c r="F216" s="21" t="str">
        <f t="shared" si="6"/>
        <v>rtdc.l.rtdc.4054:itc</v>
      </c>
      <c r="G216" s="8">
        <f t="shared" si="7"/>
        <v>42677.901724537034</v>
      </c>
    </row>
    <row r="217" spans="1:7" x14ac:dyDescent="0.25">
      <c r="A217" s="8">
        <v>42677.909641203703</v>
      </c>
      <c r="B217" s="21" t="s">
        <v>280</v>
      </c>
      <c r="C217" s="21" t="s">
        <v>613</v>
      </c>
      <c r="D217" s="21">
        <v>2430000</v>
      </c>
      <c r="E217" s="21" t="s">
        <v>287</v>
      </c>
      <c r="F217" s="21" t="str">
        <f t="shared" si="6"/>
        <v>rtdc.l.rtdc.4032:itc</v>
      </c>
      <c r="G217" s="8">
        <f t="shared" si="7"/>
        <v>42677.909641203703</v>
      </c>
    </row>
    <row r="218" spans="1:7" x14ac:dyDescent="0.25">
      <c r="A218" s="8">
        <v>42677.911215277774</v>
      </c>
      <c r="B218" s="21" t="s">
        <v>237</v>
      </c>
      <c r="C218" s="21" t="s">
        <v>614</v>
      </c>
      <c r="D218" s="21">
        <v>110000</v>
      </c>
      <c r="E218" s="21" t="s">
        <v>615</v>
      </c>
      <c r="F218" s="21" t="str">
        <f t="shared" si="6"/>
        <v>rtdc.l.rtdc.4002:itc</v>
      </c>
      <c r="G218" s="8">
        <f t="shared" si="7"/>
        <v>42677.911215277774</v>
      </c>
    </row>
    <row r="219" spans="1:7" x14ac:dyDescent="0.25">
      <c r="A219" s="8">
        <v>42677.913842592592</v>
      </c>
      <c r="B219" s="21" t="s">
        <v>449</v>
      </c>
      <c r="C219" s="21" t="s">
        <v>616</v>
      </c>
      <c r="D219" s="21">
        <v>1300000</v>
      </c>
      <c r="E219" s="21" t="s">
        <v>113</v>
      </c>
      <c r="F219" s="21" t="str">
        <f t="shared" si="6"/>
        <v>rtdc.l.rtdc.4016:itc</v>
      </c>
      <c r="G219" s="8">
        <f t="shared" si="7"/>
        <v>42677.913842592592</v>
      </c>
    </row>
    <row r="220" spans="1:7" x14ac:dyDescent="0.25">
      <c r="A220" s="8">
        <v>42677.914942129632</v>
      </c>
      <c r="B220" s="21" t="s">
        <v>352</v>
      </c>
      <c r="C220" s="21" t="s">
        <v>446</v>
      </c>
      <c r="D220" s="21">
        <v>2610000</v>
      </c>
      <c r="E220" s="21" t="s">
        <v>362</v>
      </c>
      <c r="F220" s="21" t="str">
        <f t="shared" si="6"/>
        <v>rtdc.l.rtdc.4053:itc</v>
      </c>
      <c r="G220" s="8">
        <f t="shared" si="7"/>
        <v>42677.914942129632</v>
      </c>
    </row>
    <row r="221" spans="1:7" x14ac:dyDescent="0.25">
      <c r="A221" s="8">
        <v>42677.923576388886</v>
      </c>
      <c r="B221" s="21" t="s">
        <v>251</v>
      </c>
      <c r="C221" s="21" t="s">
        <v>617</v>
      </c>
      <c r="D221" s="21">
        <v>2250000</v>
      </c>
      <c r="E221" s="21" t="s">
        <v>272</v>
      </c>
      <c r="F221" s="21" t="str">
        <f t="shared" si="6"/>
        <v>rtdc.l.rtdc.4013:itc</v>
      </c>
      <c r="G221" s="8">
        <f t="shared" si="7"/>
        <v>42677.923576388886</v>
      </c>
    </row>
    <row r="222" spans="1:7" x14ac:dyDescent="0.25">
      <c r="A222" s="8">
        <v>42677.924525462964</v>
      </c>
      <c r="B222" s="21" t="s">
        <v>346</v>
      </c>
      <c r="C222" s="21" t="s">
        <v>618</v>
      </c>
      <c r="D222" s="21">
        <v>2000000</v>
      </c>
      <c r="E222" s="21" t="s">
        <v>306</v>
      </c>
      <c r="F222" s="21" t="str">
        <f t="shared" si="6"/>
        <v>rtdc.l.rtdc.4025:itc</v>
      </c>
      <c r="G222" s="8">
        <f t="shared" si="7"/>
        <v>42677.924525462964</v>
      </c>
    </row>
    <row r="223" spans="1:7" x14ac:dyDescent="0.25">
      <c r="A223" s="8">
        <v>42677.944212962961</v>
      </c>
      <c r="B223" s="21" t="s">
        <v>348</v>
      </c>
      <c r="C223" s="21" t="s">
        <v>447</v>
      </c>
      <c r="D223" s="21">
        <v>2610000</v>
      </c>
      <c r="E223" s="21" t="s">
        <v>362</v>
      </c>
      <c r="F223" s="21" t="str">
        <f t="shared" si="6"/>
        <v>rtdc.l.rtdc.4054:itc</v>
      </c>
      <c r="G223" s="8">
        <f t="shared" si="7"/>
        <v>42677.944212962961</v>
      </c>
    </row>
    <row r="224" spans="1:7" x14ac:dyDescent="0.25">
      <c r="A224" s="8">
        <v>42677.95239583333</v>
      </c>
      <c r="B224" t="s">
        <v>344</v>
      </c>
      <c r="C224" t="s">
        <v>619</v>
      </c>
      <c r="D224">
        <v>2430000</v>
      </c>
      <c r="E224" t="s">
        <v>287</v>
      </c>
      <c r="F224" s="21" t="str">
        <f t="shared" si="6"/>
        <v>rtdc.l.rtdc.4031:itc</v>
      </c>
      <c r="G224" s="8">
        <f t="shared" si="7"/>
        <v>42677.95239583333</v>
      </c>
    </row>
    <row r="225" spans="1:7" x14ac:dyDescent="0.25">
      <c r="A225" s="8">
        <v>42677.952743055554</v>
      </c>
      <c r="B225" t="s">
        <v>441</v>
      </c>
      <c r="C225" t="s">
        <v>620</v>
      </c>
      <c r="D225">
        <v>1300000</v>
      </c>
      <c r="E225" t="s">
        <v>113</v>
      </c>
      <c r="F225" s="21" t="str">
        <f t="shared" si="6"/>
        <v>rtdc.l.rtdc.4015:itc</v>
      </c>
      <c r="G225" s="8">
        <f t="shared" si="7"/>
        <v>42677.952743055554</v>
      </c>
    </row>
    <row r="226" spans="1:7" x14ac:dyDescent="0.25">
      <c r="A226" s="8">
        <v>42677.966261574074</v>
      </c>
      <c r="B226" t="s">
        <v>354</v>
      </c>
      <c r="C226" t="s">
        <v>448</v>
      </c>
      <c r="D226">
        <v>2000000</v>
      </c>
      <c r="E226" t="s">
        <v>306</v>
      </c>
      <c r="F226" s="21" t="str">
        <f t="shared" si="6"/>
        <v>rtdc.l.rtdc.4026:itc</v>
      </c>
      <c r="G226" s="8">
        <f t="shared" si="7"/>
        <v>42677.966261574074</v>
      </c>
    </row>
    <row r="227" spans="1:7" x14ac:dyDescent="0.25">
      <c r="A227" s="8">
        <v>42677.973078703704</v>
      </c>
      <c r="B227" t="s">
        <v>252</v>
      </c>
      <c r="C227" t="s">
        <v>621</v>
      </c>
      <c r="D227">
        <v>2250000</v>
      </c>
      <c r="E227" t="s">
        <v>272</v>
      </c>
      <c r="F227" s="21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280</v>
      </c>
      <c r="C228" t="s">
        <v>622</v>
      </c>
      <c r="D228">
        <v>2430000</v>
      </c>
      <c r="E228" t="s">
        <v>287</v>
      </c>
      <c r="F228" s="21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449</v>
      </c>
      <c r="C229" t="s">
        <v>450</v>
      </c>
      <c r="D229">
        <v>1300000</v>
      </c>
      <c r="E229" t="s">
        <v>113</v>
      </c>
      <c r="F229" s="21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346</v>
      </c>
      <c r="C230" t="s">
        <v>623</v>
      </c>
      <c r="D230">
        <v>2000000</v>
      </c>
      <c r="E230" t="s">
        <v>306</v>
      </c>
      <c r="F230" s="21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251</v>
      </c>
      <c r="C231" t="s">
        <v>624</v>
      </c>
      <c r="D231">
        <v>2250000</v>
      </c>
      <c r="E231" t="s">
        <v>272</v>
      </c>
      <c r="F231" s="21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344</v>
      </c>
      <c r="C232" t="s">
        <v>625</v>
      </c>
      <c r="D232">
        <v>2430000</v>
      </c>
      <c r="E232" t="s">
        <v>287</v>
      </c>
      <c r="F232" s="21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344</v>
      </c>
      <c r="C233" t="s">
        <v>625</v>
      </c>
      <c r="D233">
        <v>2430000</v>
      </c>
      <c r="E233" t="s">
        <v>287</v>
      </c>
      <c r="F233" s="21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441</v>
      </c>
      <c r="C234" t="s">
        <v>626</v>
      </c>
      <c r="D234">
        <v>1300000</v>
      </c>
      <c r="E234" t="s">
        <v>113</v>
      </c>
      <c r="F234" s="21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252</v>
      </c>
      <c r="C235" t="s">
        <v>627</v>
      </c>
      <c r="D235">
        <v>2250000</v>
      </c>
      <c r="E235" t="s">
        <v>272</v>
      </c>
      <c r="F235" s="21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252</v>
      </c>
      <c r="C236" t="s">
        <v>627</v>
      </c>
      <c r="D236">
        <v>2250000</v>
      </c>
      <c r="E236" t="s">
        <v>272</v>
      </c>
      <c r="F236" s="21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252</v>
      </c>
      <c r="C237" t="s">
        <v>627</v>
      </c>
      <c r="D237">
        <v>2250000</v>
      </c>
      <c r="E237" t="s">
        <v>272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354</v>
      </c>
      <c r="C238" t="s">
        <v>628</v>
      </c>
      <c r="D238">
        <v>2000000</v>
      </c>
      <c r="E238" t="s">
        <v>306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449</v>
      </c>
      <c r="C239" t="s">
        <v>629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346</v>
      </c>
      <c r="C240" t="s">
        <v>630</v>
      </c>
      <c r="D240">
        <v>2000000</v>
      </c>
      <c r="E240" t="s">
        <v>306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299</v>
      </c>
      <c r="C241" t="s">
        <v>349</v>
      </c>
      <c r="D241">
        <v>2250000</v>
      </c>
      <c r="E241" t="s">
        <v>272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247</v>
      </c>
      <c r="C242" t="s">
        <v>366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193</v>
      </c>
      <c r="C243" t="s">
        <v>367</v>
      </c>
      <c r="D243">
        <v>2250000</v>
      </c>
      <c r="E243" t="s">
        <v>272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236</v>
      </c>
      <c r="C244" t="s">
        <v>308</v>
      </c>
      <c r="D244">
        <v>2430000</v>
      </c>
      <c r="E244" t="s">
        <v>287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273</v>
      </c>
      <c r="C245" t="s">
        <v>307</v>
      </c>
      <c r="D245">
        <v>2000000</v>
      </c>
      <c r="E245" t="s">
        <v>306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227</v>
      </c>
      <c r="C246" t="s">
        <v>309</v>
      </c>
      <c r="D246">
        <v>2250000</v>
      </c>
      <c r="E246" t="s">
        <v>272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246</v>
      </c>
      <c r="C247" t="s">
        <v>310</v>
      </c>
      <c r="D247">
        <v>1800000</v>
      </c>
      <c r="E247" t="s">
        <v>265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284</v>
      </c>
      <c r="C248" t="s">
        <v>311</v>
      </c>
      <c r="D248">
        <v>2000000</v>
      </c>
      <c r="E248" t="s">
        <v>306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298</v>
      </c>
      <c r="C249" t="s">
        <v>312</v>
      </c>
      <c r="D249">
        <v>2480000</v>
      </c>
      <c r="E249" t="s">
        <v>289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253</v>
      </c>
      <c r="C250" t="s">
        <v>313</v>
      </c>
      <c r="D250">
        <v>2430000</v>
      </c>
      <c r="E250" t="s">
        <v>287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226</v>
      </c>
      <c r="C251" t="s">
        <v>314</v>
      </c>
      <c r="D251">
        <v>2250000</v>
      </c>
      <c r="E251" t="s">
        <v>272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279</v>
      </c>
      <c r="C252" t="s">
        <v>315</v>
      </c>
      <c r="D252">
        <v>1800000</v>
      </c>
      <c r="E252" t="s">
        <v>265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303</v>
      </c>
      <c r="C253" t="s">
        <v>316</v>
      </c>
      <c r="D253">
        <v>2480000</v>
      </c>
      <c r="E253" t="s">
        <v>289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236</v>
      </c>
      <c r="C254" t="s">
        <v>317</v>
      </c>
      <c r="D254">
        <v>2430000</v>
      </c>
      <c r="E254" t="s">
        <v>287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227</v>
      </c>
      <c r="C255" t="s">
        <v>318</v>
      </c>
      <c r="D255">
        <v>2250000</v>
      </c>
      <c r="E255" t="s">
        <v>272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246</v>
      </c>
      <c r="C256" t="s">
        <v>319</v>
      </c>
      <c r="D256">
        <v>1800000</v>
      </c>
      <c r="E256" t="s">
        <v>265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253</v>
      </c>
      <c r="C257" t="s">
        <v>320</v>
      </c>
      <c r="D257">
        <v>2430000</v>
      </c>
      <c r="E257" t="s">
        <v>287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298</v>
      </c>
      <c r="C258" t="s">
        <v>321</v>
      </c>
      <c r="D258">
        <v>2480000</v>
      </c>
      <c r="E258" t="s">
        <v>289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226</v>
      </c>
      <c r="C259" t="s">
        <v>302</v>
      </c>
      <c r="D259">
        <v>2250000</v>
      </c>
      <c r="E259" t="s">
        <v>272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279</v>
      </c>
      <c r="C260" t="s">
        <v>322</v>
      </c>
      <c r="D260">
        <v>1800000</v>
      </c>
      <c r="E260" t="s">
        <v>265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303</v>
      </c>
      <c r="C261" t="s">
        <v>323</v>
      </c>
      <c r="D261">
        <v>2480000</v>
      </c>
      <c r="E261" t="s">
        <v>289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246</v>
      </c>
      <c r="C262" t="s">
        <v>324</v>
      </c>
      <c r="D262">
        <v>1800000</v>
      </c>
      <c r="E262" t="s">
        <v>265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44.12</v>
      </c>
      <c r="B2" s="169">
        <v>0</v>
      </c>
      <c r="C2" s="169">
        <v>33.450000000000003</v>
      </c>
      <c r="D2" s="8">
        <v>42677</v>
      </c>
      <c r="E2" s="169">
        <v>0.63</v>
      </c>
      <c r="F2" s="169" t="s">
        <v>274</v>
      </c>
      <c r="G2" s="169">
        <v>275.13</v>
      </c>
      <c r="H2" s="169">
        <v>0</v>
      </c>
      <c r="I2" s="169">
        <v>0</v>
      </c>
      <c r="J2" s="169">
        <v>1027.95</v>
      </c>
      <c r="K2" s="169" t="s">
        <v>275</v>
      </c>
      <c r="L2" s="169">
        <v>45.19</v>
      </c>
      <c r="M2" s="169">
        <v>1478152800</v>
      </c>
      <c r="N2" s="169">
        <v>7.45</v>
      </c>
      <c r="O2" s="169">
        <v>205</v>
      </c>
      <c r="P2" s="169">
        <v>3.11</v>
      </c>
      <c r="Q2"/>
    </row>
    <row r="3" spans="1:17" x14ac:dyDescent="0.25">
      <c r="A3" s="169">
        <v>41.94</v>
      </c>
      <c r="B3" s="169">
        <v>0</v>
      </c>
      <c r="C3" s="169">
        <v>32.21</v>
      </c>
      <c r="D3" s="8">
        <v>42677.041666666664</v>
      </c>
      <c r="E3" s="169">
        <v>0.65</v>
      </c>
      <c r="F3" s="169" t="s">
        <v>274</v>
      </c>
      <c r="G3" s="169">
        <v>274.26</v>
      </c>
      <c r="H3" s="169">
        <v>0</v>
      </c>
      <c r="I3" s="169">
        <v>0</v>
      </c>
      <c r="J3" s="169">
        <v>1028.56</v>
      </c>
      <c r="K3" s="169" t="s">
        <v>275</v>
      </c>
      <c r="L3" s="169">
        <v>43.18</v>
      </c>
      <c r="M3" s="169">
        <v>1478156400</v>
      </c>
      <c r="N3" s="169">
        <v>9.98</v>
      </c>
      <c r="O3" s="169">
        <v>201</v>
      </c>
      <c r="P3" s="169">
        <v>3.02</v>
      </c>
      <c r="Q3"/>
    </row>
    <row r="4" spans="1:17" x14ac:dyDescent="0.25">
      <c r="A4" s="169">
        <v>41.84</v>
      </c>
      <c r="B4" s="169">
        <v>0</v>
      </c>
      <c r="C4" s="169">
        <v>31.89</v>
      </c>
      <c r="D4" s="8">
        <v>42677.083333333336</v>
      </c>
      <c r="E4" s="169">
        <v>0.68</v>
      </c>
      <c r="F4" s="169" t="s">
        <v>274</v>
      </c>
      <c r="G4" s="169">
        <v>273.39999999999998</v>
      </c>
      <c r="H4" s="169">
        <v>0</v>
      </c>
      <c r="I4" s="169">
        <v>0</v>
      </c>
      <c r="J4" s="169">
        <v>1029.0899999999999</v>
      </c>
      <c r="K4" s="169" t="s">
        <v>275</v>
      </c>
      <c r="L4" s="169">
        <v>41.84</v>
      </c>
      <c r="M4" s="169">
        <v>1478160000</v>
      </c>
      <c r="N4" s="169">
        <v>7.59</v>
      </c>
      <c r="O4" s="169">
        <v>182</v>
      </c>
      <c r="P4" s="169">
        <v>1.97</v>
      </c>
      <c r="Q4"/>
    </row>
    <row r="5" spans="1:17" x14ac:dyDescent="0.25">
      <c r="A5" s="169">
        <v>38.58</v>
      </c>
      <c r="B5" s="169">
        <v>0</v>
      </c>
      <c r="C5" s="169">
        <v>30.58</v>
      </c>
      <c r="D5" s="8">
        <v>42677.125</v>
      </c>
      <c r="E5" s="169">
        <v>0.68</v>
      </c>
      <c r="F5" s="169" t="s">
        <v>274</v>
      </c>
      <c r="G5" s="169">
        <v>272.52999999999997</v>
      </c>
      <c r="H5" s="169">
        <v>0</v>
      </c>
      <c r="I5" s="169">
        <v>0</v>
      </c>
      <c r="J5" s="169">
        <v>1029.55</v>
      </c>
      <c r="K5" s="169" t="s">
        <v>275</v>
      </c>
      <c r="L5" s="169">
        <v>40.19</v>
      </c>
      <c r="M5" s="169">
        <v>1478163600</v>
      </c>
      <c r="N5" s="169">
        <v>9.9700000000000006</v>
      </c>
      <c r="O5" s="169">
        <v>247</v>
      </c>
      <c r="P5" s="169">
        <v>3</v>
      </c>
      <c r="Q5"/>
    </row>
    <row r="6" spans="1:17" x14ac:dyDescent="0.25">
      <c r="A6" s="169">
        <v>39.909999999999997</v>
      </c>
      <c r="B6" s="169">
        <v>0</v>
      </c>
      <c r="C6" s="169">
        <v>30.6</v>
      </c>
      <c r="D6" s="8">
        <v>42677.166666666664</v>
      </c>
      <c r="E6" s="169">
        <v>0.69</v>
      </c>
      <c r="F6" s="169" t="s">
        <v>274</v>
      </c>
      <c r="G6" s="169">
        <v>270.54000000000002</v>
      </c>
      <c r="H6" s="169">
        <v>0</v>
      </c>
      <c r="I6" s="169">
        <v>0</v>
      </c>
      <c r="J6" s="169">
        <v>1029.67</v>
      </c>
      <c r="K6" s="169" t="s">
        <v>275</v>
      </c>
      <c r="L6" s="169">
        <v>39.909999999999997</v>
      </c>
      <c r="M6" s="169">
        <v>1478167200</v>
      </c>
      <c r="N6" s="169">
        <v>6.57</v>
      </c>
      <c r="O6" s="169">
        <v>260</v>
      </c>
      <c r="P6" s="169">
        <v>2.54</v>
      </c>
      <c r="Q6"/>
    </row>
    <row r="7" spans="1:17" x14ac:dyDescent="0.25">
      <c r="A7" s="169">
        <v>38.380000000000003</v>
      </c>
      <c r="B7" s="169">
        <v>0</v>
      </c>
      <c r="C7" s="169">
        <v>30.22</v>
      </c>
      <c r="D7" s="8">
        <v>42677.208333333336</v>
      </c>
      <c r="E7" s="169">
        <v>0.72</v>
      </c>
      <c r="F7" s="169" t="s">
        <v>274</v>
      </c>
      <c r="G7" s="169">
        <v>268.16000000000003</v>
      </c>
      <c r="H7" s="169">
        <v>0</v>
      </c>
      <c r="I7" s="169">
        <v>0</v>
      </c>
      <c r="J7" s="169">
        <v>1029.6300000000001</v>
      </c>
      <c r="K7" s="169" t="s">
        <v>275</v>
      </c>
      <c r="L7" s="169">
        <v>38.380000000000003</v>
      </c>
      <c r="M7" s="169">
        <v>1478170800</v>
      </c>
      <c r="N7" s="169">
        <v>6.97</v>
      </c>
      <c r="O7" s="169">
        <v>262</v>
      </c>
      <c r="P7" s="169">
        <v>2.91</v>
      </c>
      <c r="Q7"/>
    </row>
    <row r="8" spans="1:17" x14ac:dyDescent="0.25">
      <c r="A8" s="169">
        <v>37.83</v>
      </c>
      <c r="B8" s="169">
        <v>0</v>
      </c>
      <c r="C8" s="169">
        <v>29.87</v>
      </c>
      <c r="D8" s="8">
        <v>42677.25</v>
      </c>
      <c r="E8" s="169">
        <v>0.73</v>
      </c>
      <c r="F8" s="169" t="s">
        <v>274</v>
      </c>
      <c r="G8" s="169">
        <v>266.43</v>
      </c>
      <c r="H8" s="169">
        <v>0</v>
      </c>
      <c r="I8" s="169">
        <v>0</v>
      </c>
      <c r="J8" s="169">
        <v>1029.6400000000001</v>
      </c>
      <c r="K8" s="169" t="s">
        <v>275</v>
      </c>
      <c r="L8" s="169">
        <v>37.83</v>
      </c>
      <c r="M8" s="169">
        <v>1478174400</v>
      </c>
      <c r="N8" s="169">
        <v>6.91</v>
      </c>
      <c r="O8" s="169">
        <v>258</v>
      </c>
      <c r="P8" s="169">
        <v>1.28</v>
      </c>
      <c r="Q8"/>
    </row>
    <row r="9" spans="1:17" x14ac:dyDescent="0.25">
      <c r="A9" s="169">
        <v>34.79</v>
      </c>
      <c r="B9" s="169">
        <v>0</v>
      </c>
      <c r="C9" s="169">
        <v>29.72</v>
      </c>
      <c r="D9" s="8">
        <v>42677.291666666664</v>
      </c>
      <c r="E9" s="169">
        <v>0.74</v>
      </c>
      <c r="F9" s="169" t="s">
        <v>274</v>
      </c>
      <c r="G9" s="169">
        <v>265.92</v>
      </c>
      <c r="H9" s="169">
        <v>0</v>
      </c>
      <c r="I9" s="169">
        <v>0</v>
      </c>
      <c r="J9" s="169">
        <v>1029.99</v>
      </c>
      <c r="K9" s="169" t="s">
        <v>275</v>
      </c>
      <c r="L9" s="169">
        <v>37.36</v>
      </c>
      <c r="M9" s="169">
        <v>1478178000</v>
      </c>
      <c r="N9" s="169">
        <v>5.72</v>
      </c>
      <c r="O9" s="169">
        <v>244</v>
      </c>
      <c r="P9" s="169">
        <v>3.51</v>
      </c>
      <c r="Q9"/>
    </row>
    <row r="10" spans="1:17" x14ac:dyDescent="0.25">
      <c r="A10" s="169">
        <v>36.119999999999997</v>
      </c>
      <c r="B10" s="169">
        <v>0.05</v>
      </c>
      <c r="C10" s="169">
        <v>30.66</v>
      </c>
      <c r="D10" s="8">
        <v>42677.333333333336</v>
      </c>
      <c r="E10" s="169">
        <v>0.74</v>
      </c>
      <c r="F10" s="169" t="s">
        <v>368</v>
      </c>
      <c r="G10" s="169">
        <v>266.06</v>
      </c>
      <c r="H10" s="169">
        <v>0</v>
      </c>
      <c r="I10" s="169">
        <v>0</v>
      </c>
      <c r="J10" s="169">
        <v>1030.4000000000001</v>
      </c>
      <c r="K10" s="169" t="s">
        <v>275</v>
      </c>
      <c r="L10" s="169">
        <v>38.36</v>
      </c>
      <c r="M10" s="169">
        <v>1478181600</v>
      </c>
      <c r="N10" s="169">
        <v>5.08</v>
      </c>
      <c r="O10" s="169">
        <v>243</v>
      </c>
      <c r="P10" s="169">
        <v>3.34</v>
      </c>
      <c r="Q10"/>
    </row>
    <row r="11" spans="1:17" x14ac:dyDescent="0.25">
      <c r="A11" s="169">
        <v>42.87</v>
      </c>
      <c r="B11" s="169">
        <v>0.06</v>
      </c>
      <c r="C11" s="169">
        <v>34.15</v>
      </c>
      <c r="D11" s="8">
        <v>42677.375</v>
      </c>
      <c r="E11" s="169">
        <v>0.71</v>
      </c>
      <c r="F11" s="169" t="s">
        <v>368</v>
      </c>
      <c r="G11" s="169">
        <v>266.17</v>
      </c>
      <c r="H11" s="169">
        <v>0</v>
      </c>
      <c r="I11" s="169">
        <v>0</v>
      </c>
      <c r="J11" s="169">
        <v>1030.3800000000001</v>
      </c>
      <c r="K11" s="169" t="s">
        <v>275</v>
      </c>
      <c r="L11" s="169">
        <v>42.87</v>
      </c>
      <c r="M11" s="169">
        <v>1478185200</v>
      </c>
      <c r="N11" s="169">
        <v>4.8899999999999997</v>
      </c>
      <c r="O11" s="169">
        <v>241</v>
      </c>
      <c r="P11" s="169">
        <v>2.15</v>
      </c>
      <c r="Q11"/>
    </row>
    <row r="12" spans="1:17" x14ac:dyDescent="0.25">
      <c r="A12" s="169">
        <v>49.81</v>
      </c>
      <c r="B12" s="169">
        <v>0.06</v>
      </c>
      <c r="C12" s="169">
        <v>35.01</v>
      </c>
      <c r="D12" s="8">
        <v>42677.416666666664</v>
      </c>
      <c r="E12" s="169">
        <v>0.56999999999999995</v>
      </c>
      <c r="F12" s="169" t="s">
        <v>368</v>
      </c>
      <c r="G12" s="169">
        <v>265.98</v>
      </c>
      <c r="H12" s="169">
        <v>0</v>
      </c>
      <c r="I12" s="169">
        <v>0</v>
      </c>
      <c r="J12" s="169">
        <v>1029.6300000000001</v>
      </c>
      <c r="K12" s="169" t="s">
        <v>275</v>
      </c>
      <c r="L12" s="169">
        <v>49.81</v>
      </c>
      <c r="M12" s="169">
        <v>1478188800</v>
      </c>
      <c r="N12" s="169">
        <v>4.8</v>
      </c>
      <c r="O12" s="169">
        <v>226</v>
      </c>
      <c r="P12" s="169">
        <v>2.5</v>
      </c>
      <c r="Q12"/>
    </row>
    <row r="13" spans="1:17" x14ac:dyDescent="0.25">
      <c r="A13" s="169">
        <v>56.51</v>
      </c>
      <c r="B13" s="169">
        <v>0.05</v>
      </c>
      <c r="C13" s="169">
        <v>33.83</v>
      </c>
      <c r="D13" s="8">
        <v>42677.458333333336</v>
      </c>
      <c r="E13" s="169">
        <v>0.42</v>
      </c>
      <c r="F13" s="169" t="s">
        <v>368</v>
      </c>
      <c r="G13" s="169">
        <v>265.76</v>
      </c>
      <c r="H13" s="169">
        <v>0</v>
      </c>
      <c r="I13" s="169">
        <v>0</v>
      </c>
      <c r="J13" s="169">
        <v>1028.4100000000001</v>
      </c>
      <c r="K13" s="169" t="s">
        <v>275</v>
      </c>
      <c r="L13" s="169">
        <v>56.51</v>
      </c>
      <c r="M13" s="169">
        <v>1478192400</v>
      </c>
      <c r="N13" s="169">
        <v>4.7699999999999996</v>
      </c>
      <c r="O13" s="169">
        <v>221</v>
      </c>
      <c r="P13" s="169">
        <v>1.59</v>
      </c>
      <c r="Q13"/>
    </row>
    <row r="14" spans="1:17" x14ac:dyDescent="0.25">
      <c r="A14" s="169">
        <v>60.42</v>
      </c>
      <c r="B14" s="169">
        <v>0.05</v>
      </c>
      <c r="C14" s="169">
        <v>32.67</v>
      </c>
      <c r="D14" s="8">
        <v>42677.5</v>
      </c>
      <c r="E14" s="169">
        <v>0.35</v>
      </c>
      <c r="F14" s="169" t="s">
        <v>368</v>
      </c>
      <c r="G14" s="169">
        <v>265.57</v>
      </c>
      <c r="H14" s="169">
        <v>0</v>
      </c>
      <c r="I14" s="169">
        <v>0</v>
      </c>
      <c r="J14" s="169">
        <v>1027.32</v>
      </c>
      <c r="K14" s="169" t="s">
        <v>275</v>
      </c>
      <c r="L14" s="169">
        <v>60.42</v>
      </c>
      <c r="M14" s="169">
        <v>1478196000</v>
      </c>
      <c r="N14" s="169">
        <v>4.78</v>
      </c>
      <c r="O14" s="169">
        <v>141</v>
      </c>
      <c r="P14" s="169">
        <v>1.08</v>
      </c>
      <c r="Q14"/>
    </row>
    <row r="15" spans="1:17" x14ac:dyDescent="0.25">
      <c r="A15" s="169">
        <v>65.17</v>
      </c>
      <c r="B15" s="169">
        <v>0.06</v>
      </c>
      <c r="C15" s="169">
        <v>29.54</v>
      </c>
      <c r="D15" s="8">
        <v>42677.541666666664</v>
      </c>
      <c r="E15" s="169">
        <v>0.26</v>
      </c>
      <c r="F15" s="169" t="s">
        <v>368</v>
      </c>
      <c r="G15" s="169">
        <v>265.51</v>
      </c>
      <c r="H15" s="169">
        <v>0</v>
      </c>
      <c r="I15" s="169">
        <v>0</v>
      </c>
      <c r="J15" s="169">
        <v>1026.76</v>
      </c>
      <c r="K15" s="169" t="s">
        <v>275</v>
      </c>
      <c r="L15" s="169">
        <v>65.17</v>
      </c>
      <c r="M15" s="169">
        <v>1478199600</v>
      </c>
      <c r="N15" s="169">
        <v>10</v>
      </c>
      <c r="O15" s="169">
        <v>76</v>
      </c>
      <c r="P15" s="169">
        <v>0.87</v>
      </c>
      <c r="Q15"/>
    </row>
    <row r="16" spans="1:17" x14ac:dyDescent="0.25">
      <c r="A16" s="169">
        <v>67.25</v>
      </c>
      <c r="B16" s="169">
        <v>0.13</v>
      </c>
      <c r="C16" s="169">
        <v>26.93</v>
      </c>
      <c r="D16" s="8">
        <v>42677.583333333336</v>
      </c>
      <c r="E16" s="169">
        <v>0.22</v>
      </c>
      <c r="F16" s="169" t="s">
        <v>368</v>
      </c>
      <c r="G16" s="169">
        <v>265.49</v>
      </c>
      <c r="H16" s="169">
        <v>0</v>
      </c>
      <c r="I16" s="169">
        <v>0</v>
      </c>
      <c r="J16" s="169">
        <v>1026.45</v>
      </c>
      <c r="K16" s="169" t="s">
        <v>275</v>
      </c>
      <c r="L16" s="169">
        <v>67.25</v>
      </c>
      <c r="M16" s="169">
        <v>1478203200</v>
      </c>
      <c r="N16" s="169">
        <v>10</v>
      </c>
      <c r="O16" s="169">
        <v>39</v>
      </c>
      <c r="P16" s="169">
        <v>1.86</v>
      </c>
      <c r="Q16"/>
    </row>
    <row r="17" spans="1:17" x14ac:dyDescent="0.25">
      <c r="A17" s="169">
        <v>69.42</v>
      </c>
      <c r="B17" s="169">
        <v>0.22</v>
      </c>
      <c r="C17" s="169">
        <v>26.13</v>
      </c>
      <c r="D17" s="8">
        <v>42677.625</v>
      </c>
      <c r="E17" s="169">
        <v>0.2</v>
      </c>
      <c r="F17" s="169" t="s">
        <v>368</v>
      </c>
      <c r="G17" s="169">
        <v>265.29000000000002</v>
      </c>
      <c r="H17" s="169">
        <v>0</v>
      </c>
      <c r="I17" s="169">
        <v>0</v>
      </c>
      <c r="J17" s="169">
        <v>1026.25</v>
      </c>
      <c r="K17" s="169" t="s">
        <v>275</v>
      </c>
      <c r="L17" s="169">
        <v>69.42</v>
      </c>
      <c r="M17" s="169">
        <v>1478206800</v>
      </c>
      <c r="N17" s="169">
        <v>4.8</v>
      </c>
      <c r="O17" s="169">
        <v>25</v>
      </c>
      <c r="P17" s="169">
        <v>3.64</v>
      </c>
      <c r="Q17"/>
    </row>
    <row r="18" spans="1:17" x14ac:dyDescent="0.25">
      <c r="A18" s="169">
        <v>67.52</v>
      </c>
      <c r="B18" s="169">
        <v>0.23</v>
      </c>
      <c r="C18" s="169">
        <v>21.86</v>
      </c>
      <c r="D18" s="8">
        <v>42677.666666666664</v>
      </c>
      <c r="E18" s="169">
        <v>0.17</v>
      </c>
      <c r="F18" s="169" t="s">
        <v>368</v>
      </c>
      <c r="G18" s="169">
        <v>264.76</v>
      </c>
      <c r="H18" s="169">
        <v>0</v>
      </c>
      <c r="I18" s="169">
        <v>0</v>
      </c>
      <c r="J18" s="169">
        <v>1026.17</v>
      </c>
      <c r="K18" s="169" t="s">
        <v>275</v>
      </c>
      <c r="L18" s="169">
        <v>67.52</v>
      </c>
      <c r="M18" s="169">
        <v>1478210400</v>
      </c>
      <c r="N18" s="169">
        <v>4.95</v>
      </c>
      <c r="O18" s="169">
        <v>32</v>
      </c>
      <c r="P18" s="169">
        <v>2.73</v>
      </c>
      <c r="Q18"/>
    </row>
    <row r="19" spans="1:17" x14ac:dyDescent="0.25">
      <c r="A19" s="169">
        <v>64.069999999999993</v>
      </c>
      <c r="B19" s="169">
        <v>0.27</v>
      </c>
      <c r="C19" s="169">
        <v>18.57</v>
      </c>
      <c r="D19" s="8">
        <v>42677.708333333336</v>
      </c>
      <c r="E19" s="169">
        <v>0.17</v>
      </c>
      <c r="F19" s="169" t="s">
        <v>256</v>
      </c>
      <c r="G19" s="169">
        <v>264.06</v>
      </c>
      <c r="H19" s="169">
        <v>0</v>
      </c>
      <c r="I19" s="169">
        <v>0</v>
      </c>
      <c r="J19" s="169">
        <v>1026.21</v>
      </c>
      <c r="K19" s="169" t="s">
        <v>255</v>
      </c>
      <c r="L19" s="169">
        <v>64.069999999999993</v>
      </c>
      <c r="M19" s="169">
        <v>1478214000</v>
      </c>
      <c r="N19" s="169">
        <v>5.0199999999999996</v>
      </c>
      <c r="O19" s="169">
        <v>22</v>
      </c>
      <c r="P19" s="169">
        <v>3.29</v>
      </c>
      <c r="Q19"/>
    </row>
    <row r="20" spans="1:17" x14ac:dyDescent="0.25">
      <c r="A20" s="169">
        <v>61</v>
      </c>
      <c r="B20" s="169">
        <v>0.21</v>
      </c>
      <c r="C20" s="169">
        <v>18.399999999999999</v>
      </c>
      <c r="D20" s="8">
        <v>42677.75</v>
      </c>
      <c r="E20" s="169">
        <v>0.19</v>
      </c>
      <c r="F20" s="169" t="s">
        <v>274</v>
      </c>
      <c r="G20" s="169">
        <v>263.36</v>
      </c>
      <c r="H20" s="169">
        <v>0</v>
      </c>
      <c r="I20" s="169">
        <v>0</v>
      </c>
      <c r="J20" s="169">
        <v>1026.42</v>
      </c>
      <c r="K20" s="169" t="s">
        <v>275</v>
      </c>
      <c r="L20" s="169">
        <v>61</v>
      </c>
      <c r="M20" s="169">
        <v>1478217600</v>
      </c>
      <c r="N20" s="169">
        <v>5.34</v>
      </c>
      <c r="O20" s="169">
        <v>27</v>
      </c>
      <c r="P20" s="169">
        <v>2.54</v>
      </c>
      <c r="Q20"/>
    </row>
    <row r="21" spans="1:17" x14ac:dyDescent="0.25">
      <c r="A21" s="169">
        <v>55.8</v>
      </c>
      <c r="B21" s="169">
        <v>0</v>
      </c>
      <c r="C21" s="169">
        <v>19.829999999999998</v>
      </c>
      <c r="D21" s="8">
        <v>42677.791666666664</v>
      </c>
      <c r="E21" s="169">
        <v>0.24</v>
      </c>
      <c r="F21" s="169" t="s">
        <v>274</v>
      </c>
      <c r="G21" s="169">
        <v>262.85000000000002</v>
      </c>
      <c r="H21" s="169">
        <v>0</v>
      </c>
      <c r="I21" s="169">
        <v>0</v>
      </c>
      <c r="J21" s="169">
        <v>1026.82</v>
      </c>
      <c r="K21" s="169" t="s">
        <v>275</v>
      </c>
      <c r="L21" s="169">
        <v>55.8</v>
      </c>
      <c r="M21" s="169">
        <v>1478221200</v>
      </c>
      <c r="N21" s="169">
        <v>5.89</v>
      </c>
      <c r="O21" s="169">
        <v>34</v>
      </c>
      <c r="P21" s="169">
        <v>1.06</v>
      </c>
      <c r="Q21"/>
    </row>
    <row r="22" spans="1:17" x14ac:dyDescent="0.25">
      <c r="A22" s="169">
        <v>52.96</v>
      </c>
      <c r="B22" s="169">
        <v>0</v>
      </c>
      <c r="C22" s="169">
        <v>20.97</v>
      </c>
      <c r="D22" s="8">
        <v>42677.833333333336</v>
      </c>
      <c r="E22" s="169">
        <v>0.28000000000000003</v>
      </c>
      <c r="F22" s="169" t="s">
        <v>274</v>
      </c>
      <c r="G22" s="169">
        <v>262.33999999999997</v>
      </c>
      <c r="H22" s="169">
        <v>0</v>
      </c>
      <c r="I22" s="169">
        <v>0</v>
      </c>
      <c r="J22" s="169">
        <v>1027.47</v>
      </c>
      <c r="K22" s="169" t="s">
        <v>275</v>
      </c>
      <c r="L22" s="169">
        <v>52.96</v>
      </c>
      <c r="M22" s="169">
        <v>1478224800</v>
      </c>
      <c r="N22" s="169">
        <v>6.79</v>
      </c>
      <c r="O22" s="169">
        <v>237</v>
      </c>
      <c r="P22" s="169">
        <v>1.43</v>
      </c>
      <c r="Q22"/>
    </row>
    <row r="23" spans="1:17" x14ac:dyDescent="0.25">
      <c r="A23" s="169">
        <v>49.29</v>
      </c>
      <c r="B23" s="169">
        <v>0</v>
      </c>
      <c r="C23" s="169">
        <v>21.24</v>
      </c>
      <c r="D23" s="8">
        <v>42677.875</v>
      </c>
      <c r="E23" s="169">
        <v>0.33</v>
      </c>
      <c r="F23" s="169" t="s">
        <v>274</v>
      </c>
      <c r="G23" s="169">
        <v>261.54000000000002</v>
      </c>
      <c r="H23" s="169">
        <v>0</v>
      </c>
      <c r="I23" s="169">
        <v>0</v>
      </c>
      <c r="J23" s="169">
        <v>1028.1400000000001</v>
      </c>
      <c r="K23" s="169" t="s">
        <v>275</v>
      </c>
      <c r="L23" s="169">
        <v>49.29</v>
      </c>
      <c r="M23" s="169">
        <v>1478228400</v>
      </c>
      <c r="N23" s="169">
        <v>7.53</v>
      </c>
      <c r="O23" s="169">
        <v>238</v>
      </c>
      <c r="P23" s="169">
        <v>1.97</v>
      </c>
      <c r="Q23"/>
    </row>
    <row r="24" spans="1:17" x14ac:dyDescent="0.25">
      <c r="A24" s="169">
        <v>47.64</v>
      </c>
      <c r="B24" s="169">
        <v>0</v>
      </c>
      <c r="C24" s="169">
        <v>22.36</v>
      </c>
      <c r="D24" s="8">
        <v>42677.916666666664</v>
      </c>
      <c r="E24" s="169">
        <v>0.37</v>
      </c>
      <c r="F24" s="169" t="s">
        <v>274</v>
      </c>
      <c r="G24" s="169">
        <v>260.20999999999998</v>
      </c>
      <c r="H24" s="169">
        <v>0</v>
      </c>
      <c r="I24" s="169">
        <v>0</v>
      </c>
      <c r="J24" s="169">
        <v>1028.75</v>
      </c>
      <c r="K24" s="169" t="s">
        <v>275</v>
      </c>
      <c r="L24" s="169">
        <v>47.64</v>
      </c>
      <c r="M24" s="169">
        <v>1478232000</v>
      </c>
      <c r="N24" s="169">
        <v>6.43</v>
      </c>
      <c r="O24" s="169">
        <v>246</v>
      </c>
      <c r="P24" s="169">
        <v>1.84</v>
      </c>
      <c r="Q24"/>
    </row>
    <row r="25" spans="1:17" x14ac:dyDescent="0.25">
      <c r="A25" s="169">
        <v>45.13</v>
      </c>
      <c r="B25" s="169">
        <v>0</v>
      </c>
      <c r="C25" s="169">
        <v>22.79</v>
      </c>
      <c r="D25" s="8">
        <v>42677.958333333336</v>
      </c>
      <c r="E25" s="169">
        <v>0.41</v>
      </c>
      <c r="F25" s="169" t="s">
        <v>274</v>
      </c>
      <c r="G25" s="169">
        <v>258.58999999999997</v>
      </c>
      <c r="H25" s="169">
        <v>0</v>
      </c>
      <c r="I25" s="169">
        <v>0</v>
      </c>
      <c r="J25" s="169">
        <v>1029.3399999999999</v>
      </c>
      <c r="K25" s="169" t="s">
        <v>275</v>
      </c>
      <c r="L25" s="169">
        <v>45.13</v>
      </c>
      <c r="M25" s="169">
        <v>1478235600</v>
      </c>
      <c r="N25" s="169">
        <v>6.37</v>
      </c>
      <c r="O25" s="169">
        <v>242</v>
      </c>
      <c r="P25" s="169">
        <v>2.33</v>
      </c>
      <c r="Q25"/>
    </row>
    <row r="26" spans="1:17" x14ac:dyDescent="0.25">
      <c r="A26" s="169">
        <v>43.86</v>
      </c>
      <c r="B26" s="169">
        <v>0.02</v>
      </c>
      <c r="C26" s="169">
        <v>21.78</v>
      </c>
      <c r="D26" s="8">
        <v>42678</v>
      </c>
      <c r="E26" s="169">
        <v>0.41</v>
      </c>
      <c r="F26" s="169" t="s">
        <v>274</v>
      </c>
      <c r="G26" s="169">
        <v>257.12</v>
      </c>
      <c r="H26" s="169">
        <v>0</v>
      </c>
      <c r="I26" s="169">
        <v>0</v>
      </c>
      <c r="J26" s="169">
        <v>1029.8399999999999</v>
      </c>
      <c r="K26" s="169" t="s">
        <v>275</v>
      </c>
      <c r="L26" s="169">
        <v>43.86</v>
      </c>
      <c r="M26" s="169">
        <v>1478239200</v>
      </c>
      <c r="N26" s="169">
        <v>6.82</v>
      </c>
      <c r="O26" s="169">
        <v>240</v>
      </c>
      <c r="P26" s="169">
        <v>2.42</v>
      </c>
      <c r="Q26"/>
    </row>
    <row r="27" spans="1:17" x14ac:dyDescent="0.25">
      <c r="A27" s="169">
        <v>42.3</v>
      </c>
      <c r="B27" s="169">
        <v>0.17</v>
      </c>
      <c r="C27" s="169">
        <v>22.41</v>
      </c>
      <c r="D27" s="8">
        <v>42678.041666666664</v>
      </c>
      <c r="E27" s="169">
        <v>0.45</v>
      </c>
      <c r="F27" s="169" t="s">
        <v>274</v>
      </c>
      <c r="G27" s="169">
        <v>256.13</v>
      </c>
      <c r="H27" s="169">
        <v>0</v>
      </c>
      <c r="I27" s="169">
        <v>0</v>
      </c>
      <c r="J27" s="169">
        <v>1030.05</v>
      </c>
      <c r="K27" s="169" t="s">
        <v>275</v>
      </c>
      <c r="L27" s="169">
        <v>42.3</v>
      </c>
      <c r="M27" s="169">
        <v>1478242800</v>
      </c>
      <c r="N27" s="169">
        <v>7.34</v>
      </c>
      <c r="O27" s="169">
        <v>222</v>
      </c>
      <c r="P27" s="169">
        <v>2.44</v>
      </c>
      <c r="Q27"/>
    </row>
    <row r="28" spans="1:17" x14ac:dyDescent="0.25">
      <c r="A28" s="169">
        <v>40.090000000000003</v>
      </c>
      <c r="B28" s="169">
        <v>0.17</v>
      </c>
      <c r="C28" s="169">
        <v>23.8</v>
      </c>
      <c r="D28" s="8">
        <v>42678.083333333336</v>
      </c>
      <c r="E28" s="169">
        <v>0.49</v>
      </c>
      <c r="F28" s="169" t="s">
        <v>274</v>
      </c>
      <c r="G28" s="169">
        <v>255.14</v>
      </c>
      <c r="H28" s="169">
        <v>0</v>
      </c>
      <c r="I28" s="169">
        <v>0</v>
      </c>
      <c r="J28" s="169">
        <v>1030.24</v>
      </c>
      <c r="K28" s="169" t="s">
        <v>275</v>
      </c>
      <c r="L28" s="169">
        <v>41.53</v>
      </c>
      <c r="M28" s="169">
        <v>1478246400</v>
      </c>
      <c r="N28" s="169">
        <v>6.89</v>
      </c>
      <c r="O28" s="169">
        <v>227</v>
      </c>
      <c r="P28" s="169">
        <v>3.01</v>
      </c>
      <c r="Q28"/>
    </row>
    <row r="29" spans="1:17" x14ac:dyDescent="0.25">
      <c r="A29" s="169">
        <v>41.02</v>
      </c>
      <c r="B29" s="169">
        <v>0.33</v>
      </c>
      <c r="C29" s="169">
        <v>24.06</v>
      </c>
      <c r="D29" s="8">
        <v>42678.125</v>
      </c>
      <c r="E29" s="169">
        <v>0.51</v>
      </c>
      <c r="F29" s="169" t="s">
        <v>254</v>
      </c>
      <c r="G29" s="169">
        <v>254.14</v>
      </c>
      <c r="H29" s="169">
        <v>0</v>
      </c>
      <c r="I29" s="169">
        <v>0</v>
      </c>
      <c r="J29" s="169">
        <v>1030.4100000000001</v>
      </c>
      <c r="K29" s="169" t="s">
        <v>255</v>
      </c>
      <c r="L29" s="169">
        <v>41.02</v>
      </c>
      <c r="M29" s="169">
        <v>1478250000</v>
      </c>
      <c r="N29" s="169">
        <v>4.83</v>
      </c>
      <c r="O29" s="169">
        <v>221</v>
      </c>
      <c r="P29" s="169">
        <v>2.66</v>
      </c>
      <c r="Q29"/>
    </row>
    <row r="31" spans="1:17" x14ac:dyDescent="0.25">
      <c r="A31" s="136" t="s">
        <v>222</v>
      </c>
    </row>
    <row r="33" spans="1:1" x14ac:dyDescent="0.25">
      <c r="A33" s="136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42677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224</v>
      </c>
      <c r="J17" s="33"/>
      <c r="K17" s="34"/>
      <c r="L17" s="34"/>
    </row>
    <row r="18" spans="3:13" x14ac:dyDescent="0.25">
      <c r="C18" t="s">
        <v>778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780</v>
      </c>
      <c r="J20" t="s">
        <v>87</v>
      </c>
      <c r="M20" s="68" t="s">
        <v>186</v>
      </c>
    </row>
    <row r="21" spans="3:13" x14ac:dyDescent="0.25">
      <c r="C21" t="s">
        <v>781</v>
      </c>
      <c r="J21" s="21" t="s">
        <v>90</v>
      </c>
      <c r="K21" s="21" t="s">
        <v>91</v>
      </c>
      <c r="M21" s="68" t="s">
        <v>188</v>
      </c>
    </row>
    <row r="22" spans="3:13" x14ac:dyDescent="0.25">
      <c r="C22" t="s">
        <v>782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783</v>
      </c>
      <c r="J23" s="29" t="s">
        <v>95</v>
      </c>
      <c r="K23" s="21"/>
      <c r="M23" s="69">
        <v>-6</v>
      </c>
    </row>
    <row r="24" spans="3:13" x14ac:dyDescent="0.25">
      <c r="C24" t="s">
        <v>784</v>
      </c>
      <c r="J24" s="21" t="s">
        <v>108</v>
      </c>
      <c r="K24" s="21"/>
      <c r="M24" s="68" t="s">
        <v>110</v>
      </c>
    </row>
    <row r="25" spans="3:13" x14ac:dyDescent="0.25">
      <c r="C25" t="s">
        <v>785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C:\Users\stu\Documents\GitHub\eaglep3-reporting\EC\2016-11-03-refined-times.txt</v>
      </c>
    </row>
    <row r="27" spans="3:13" x14ac:dyDescent="0.25">
      <c r="J27" t="s">
        <v>199</v>
      </c>
      <c r="M27" s="68" t="str">
        <f>"C:\Users\stu\Documents\GitHub\eaglep3-reporting\EC\"&amp;TEXT(A2,"YYYY-MM-DD")&amp;"-Enforcements.txt"</f>
        <v>C:\Users\stu\Documents\GitHub\eaglep3-reporting\EC\2016-11-03-Enforcements.txt</v>
      </c>
    </row>
    <row r="28" spans="3:13" x14ac:dyDescent="0.25">
      <c r="J28" t="s">
        <v>200</v>
      </c>
      <c r="M28" s="106" t="str">
        <f>"C:\Users\stu\Documents\GitHub\eaglep3-reporting\EC\"&amp;TEXT(A2,"YYYY-MM-DD")&amp;"-Runs-Refined.txt"</f>
        <v>C:\Users\stu\Documents\GitHub\eaglep3-reporting\EC\2016-11-03-Runs-Refined.txt</v>
      </c>
    </row>
    <row r="29" spans="3:13" x14ac:dyDescent="0.25">
      <c r="J29" t="s">
        <v>201</v>
      </c>
      <c r="M29" s="106" t="str">
        <f>"C:\Users\stu\Documents\GitHub\eaglep3-reporting\EC\"&amp;TEXT(A2,"YYYY-MM-DD")&amp;"-Trips.txt"</f>
        <v>C:\Users\stu\Documents\GitHub\eaglep3-reporting\EC\2016-11-03-Trips.txt</v>
      </c>
    </row>
    <row r="30" spans="3:13" x14ac:dyDescent="0.25">
      <c r="J30" t="s">
        <v>202</v>
      </c>
      <c r="M30" s="106" t="str">
        <f>"C:\Users\stu\Documents\GitHub\eaglep3-reporting\EC\"&amp;TEXT(A2,"YYYY-MM-DD")&amp;"-Weather.txt"</f>
        <v>C:\Users\stu\Documents\GitHub\eaglep3-reporting\EC\2016-11-03-Weather.txt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2016-11-04T16:12:06Z</dcterms:modified>
</cp:coreProperties>
</file>