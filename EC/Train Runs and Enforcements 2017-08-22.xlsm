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Trips'!$A$2:$J$33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6" i="1" l="1"/>
  <c r="P199" i="1" l="1"/>
  <c r="P114" i="1"/>
  <c r="P105" i="1"/>
  <c r="P100" i="1"/>
  <c r="P99" i="1"/>
  <c r="P83" i="1"/>
  <c r="P52" i="1"/>
  <c r="X42" i="1"/>
  <c r="X43" i="1"/>
  <c r="X44" i="1"/>
  <c r="X45" i="1"/>
  <c r="X46" i="1"/>
  <c r="K35" i="1"/>
  <c r="L35" i="1"/>
  <c r="M35" i="1"/>
  <c r="N35" i="1" s="1"/>
  <c r="V35" i="1"/>
  <c r="AA35" i="1"/>
  <c r="AB35" i="1"/>
  <c r="AC35" i="1"/>
  <c r="AD35" i="1"/>
  <c r="T35" i="1" s="1"/>
  <c r="AE35" i="1"/>
  <c r="AF35" i="1"/>
  <c r="AH35" i="1"/>
  <c r="AM35" i="1"/>
  <c r="AN35" i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AG35" i="1"/>
  <c r="AI35" i="1" l="1"/>
  <c r="U35" i="1"/>
  <c r="S35" i="1" s="1"/>
  <c r="W35" i="1"/>
  <c r="X3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X15" i="1"/>
  <c r="Y15" i="1"/>
  <c r="Z15" i="1"/>
  <c r="AA15" i="1"/>
  <c r="AB15" i="1"/>
  <c r="AC15" i="1"/>
  <c r="AD15" i="1"/>
  <c r="T15" i="1" s="1"/>
  <c r="AE15" i="1"/>
  <c r="R31" i="3" s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R10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R32" i="3" s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T38" i="1"/>
  <c r="V38" i="1"/>
  <c r="X38" i="1"/>
  <c r="Y38" i="1"/>
  <c r="Z38" i="1"/>
  <c r="AB38" i="1"/>
  <c r="AC38" i="1"/>
  <c r="AD38" i="1"/>
  <c r="AE38" i="1"/>
  <c r="R21" i="3" s="1"/>
  <c r="AF38" i="1"/>
  <c r="AH38" i="1"/>
  <c r="AM38" i="1"/>
  <c r="AN38" i="1"/>
  <c r="K39" i="1"/>
  <c r="L39" i="1"/>
  <c r="M39" i="1"/>
  <c r="N39" i="1"/>
  <c r="V39" i="1"/>
  <c r="S25" i="3" s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R33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R11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V53" i="1"/>
  <c r="X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/>
  <c r="V56" i="1"/>
  <c r="X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X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/>
  <c r="V58" i="1"/>
  <c r="S30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2" i="3" s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T65" i="1"/>
  <c r="V65" i="1"/>
  <c r="X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R27" i="3" s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R20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R15" i="3" s="1"/>
  <c r="AF76" i="1"/>
  <c r="AH76" i="1"/>
  <c r="AM76" i="1"/>
  <c r="AN76" i="1"/>
  <c r="K77" i="1"/>
  <c r="L77" i="1"/>
  <c r="M77" i="1"/>
  <c r="N77" i="1" s="1"/>
  <c r="V77" i="1"/>
  <c r="Y77" i="1"/>
  <c r="AA77" i="1" s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9" i="3" s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AA96" i="1" s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V99" i="1"/>
  <c r="Y99" i="1"/>
  <c r="AA99" i="1" s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V100" i="1"/>
  <c r="Y100" i="1"/>
  <c r="Z100" i="1"/>
  <c r="AA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T101" i="1"/>
  <c r="V101" i="1"/>
  <c r="Y101" i="1"/>
  <c r="Z101" i="1"/>
  <c r="AB101" i="1"/>
  <c r="AC101" i="1"/>
  <c r="AD101" i="1"/>
  <c r="X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AA103" i="1" s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T105" i="1"/>
  <c r="V105" i="1"/>
  <c r="X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R8" i="3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V115" i="1"/>
  <c r="Y115" i="1"/>
  <c r="Z115" i="1"/>
  <c r="AA115" i="1" s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/>
  <c r="V118" i="1"/>
  <c r="Y118" i="1"/>
  <c r="AA118" i="1" s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X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R7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X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/>
  <c r="V129" i="1"/>
  <c r="S36" i="3" s="1"/>
  <c r="Y129" i="1"/>
  <c r="AA129" i="1" s="1"/>
  <c r="Z129" i="1"/>
  <c r="AB129" i="1"/>
  <c r="AC129" i="1"/>
  <c r="AD129" i="1"/>
  <c r="X129" i="1" s="1"/>
  <c r="AE129" i="1"/>
  <c r="AF129" i="1"/>
  <c r="AH129" i="1"/>
  <c r="AM129" i="1"/>
  <c r="AN129" i="1"/>
  <c r="K130" i="1"/>
  <c r="L130" i="1"/>
  <c r="M130" i="1"/>
  <c r="N130" i="1" s="1"/>
  <c r="V130" i="1"/>
  <c r="X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X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S17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S29" i="3" s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T154" i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T162" i="1"/>
  <c r="V162" i="1"/>
  <c r="Y162" i="1"/>
  <c r="Z162" i="1"/>
  <c r="AB162" i="1"/>
  <c r="AC162" i="1"/>
  <c r="AD162" i="1"/>
  <c r="X162" i="1" s="1"/>
  <c r="AE162" i="1"/>
  <c r="AF162" i="1"/>
  <c r="AH162" i="1"/>
  <c r="AM162" i="1"/>
  <c r="AN162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R45" i="3" s="1"/>
  <c r="AF211" i="1"/>
  <c r="AH163" i="1"/>
  <c r="AM163" i="1"/>
  <c r="AN163" i="1"/>
  <c r="K212" i="1"/>
  <c r="L212" i="1"/>
  <c r="M212" i="1"/>
  <c r="N212" i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T218" i="1"/>
  <c r="V218" i="1"/>
  <c r="X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4" i="1"/>
  <c r="AM174" i="1"/>
  <c r="AN17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5" i="1"/>
  <c r="AM175" i="1"/>
  <c r="AN17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6" i="1"/>
  <c r="AM176" i="1"/>
  <c r="AN176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S47" i="3" s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T234" i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T235" i="1"/>
  <c r="V235" i="1"/>
  <c r="X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4" i="1"/>
  <c r="AM184" i="1"/>
  <c r="AN18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R41" i="3" s="1"/>
  <c r="AF164" i="1"/>
  <c r="AH186" i="1"/>
  <c r="AM186" i="1"/>
  <c r="AN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9" i="1"/>
  <c r="AM189" i="1"/>
  <c r="AN18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0" i="1"/>
  <c r="AM190" i="1"/>
  <c r="AN190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91" i="1"/>
  <c r="AM191" i="1"/>
  <c r="AN191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3" i="1"/>
  <c r="AM193" i="1"/>
  <c r="AN193" i="1"/>
  <c r="K172" i="1"/>
  <c r="L172" i="1"/>
  <c r="M172" i="1"/>
  <c r="N172" i="1" s="1"/>
  <c r="V172" i="1"/>
  <c r="S38" i="3" s="1"/>
  <c r="Y172" i="1"/>
  <c r="Z172" i="1"/>
  <c r="AB172" i="1"/>
  <c r="AC172" i="1"/>
  <c r="AD172" i="1"/>
  <c r="T172" i="1" s="1"/>
  <c r="AE172" i="1"/>
  <c r="AF172" i="1"/>
  <c r="AH194" i="1"/>
  <c r="AM194" i="1"/>
  <c r="AN194" i="1"/>
  <c r="K173" i="1"/>
  <c r="L173" i="1"/>
  <c r="M173" i="1"/>
  <c r="N173" i="1" s="1"/>
  <c r="V173" i="1"/>
  <c r="S39" i="3" s="1"/>
  <c r="Y173" i="1"/>
  <c r="Z173" i="1"/>
  <c r="AB173" i="1"/>
  <c r="AC173" i="1"/>
  <c r="AD173" i="1"/>
  <c r="AE173" i="1"/>
  <c r="R39" i="3" s="1"/>
  <c r="AF173" i="1"/>
  <c r="AH195" i="1"/>
  <c r="AM195" i="1"/>
  <c r="AN19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T177" i="1"/>
  <c r="V177" i="1"/>
  <c r="X177" i="1"/>
  <c r="Y177" i="1"/>
  <c r="Z177" i="1"/>
  <c r="AB177" i="1"/>
  <c r="AC177" i="1"/>
  <c r="AD177" i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V180" i="1"/>
  <c r="X180" i="1"/>
  <c r="Y180" i="1"/>
  <c r="Z180" i="1"/>
  <c r="AA180" i="1" s="1"/>
  <c r="AB180" i="1"/>
  <c r="AC180" i="1"/>
  <c r="AD180" i="1"/>
  <c r="T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K185" i="1"/>
  <c r="L185" i="1"/>
  <c r="M185" i="1"/>
  <c r="N185" i="1" s="1"/>
  <c r="T185" i="1"/>
  <c r="V185" i="1"/>
  <c r="X185" i="1"/>
  <c r="Y185" i="1"/>
  <c r="Z185" i="1"/>
  <c r="AB185" i="1"/>
  <c r="AC185" i="1"/>
  <c r="AD185" i="1"/>
  <c r="AE185" i="1"/>
  <c r="AF185" i="1"/>
  <c r="AH207" i="1"/>
  <c r="AM207" i="1"/>
  <c r="AN207" i="1"/>
  <c r="K186" i="1"/>
  <c r="L186" i="1"/>
  <c r="M186" i="1"/>
  <c r="N186" i="1" s="1"/>
  <c r="V186" i="1"/>
  <c r="S37" i="3" s="1"/>
  <c r="Y186" i="1"/>
  <c r="Z186" i="1"/>
  <c r="AA186" i="1" s="1"/>
  <c r="AB186" i="1"/>
  <c r="AC186" i="1"/>
  <c r="AD186" i="1"/>
  <c r="T186" i="1" s="1"/>
  <c r="AE186" i="1"/>
  <c r="AF186" i="1"/>
  <c r="AH208" i="1"/>
  <c r="AM208" i="1"/>
  <c r="AN208" i="1"/>
  <c r="K187" i="1"/>
  <c r="L187" i="1"/>
  <c r="M187" i="1"/>
  <c r="N187" i="1"/>
  <c r="V187" i="1"/>
  <c r="Y187" i="1"/>
  <c r="Z187" i="1"/>
  <c r="AA187" i="1"/>
  <c r="AB187" i="1"/>
  <c r="AC187" i="1"/>
  <c r="AD187" i="1"/>
  <c r="T187" i="1" s="1"/>
  <c r="AE187" i="1"/>
  <c r="AF187" i="1"/>
  <c r="AH209" i="1"/>
  <c r="AM209" i="1"/>
  <c r="AN209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K191" i="1"/>
  <c r="L191" i="1"/>
  <c r="M191" i="1"/>
  <c r="N191" i="1" s="1"/>
  <c r="V191" i="1"/>
  <c r="S43" i="3" s="1"/>
  <c r="Y191" i="1"/>
  <c r="Z191" i="1"/>
  <c r="AA191" i="1" s="1"/>
  <c r="AB191" i="1"/>
  <c r="AC191" i="1"/>
  <c r="AD191" i="1"/>
  <c r="T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AM220" i="1"/>
  <c r="AN220" i="1"/>
  <c r="K199" i="1"/>
  <c r="L199" i="1"/>
  <c r="M199" i="1"/>
  <c r="V199" i="1"/>
  <c r="S40" i="3" s="1"/>
  <c r="Y199" i="1"/>
  <c r="Z199" i="1"/>
  <c r="AB199" i="1"/>
  <c r="AC199" i="1"/>
  <c r="AD199" i="1"/>
  <c r="T199" i="1" s="1"/>
  <c r="AE199" i="1"/>
  <c r="R40" i="3" s="1"/>
  <c r="AF199" i="1"/>
  <c r="AH221" i="1"/>
  <c r="AM221" i="1"/>
  <c r="AN221" i="1"/>
  <c r="K200" i="1"/>
  <c r="L200" i="1"/>
  <c r="M200" i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27" i="1"/>
  <c r="AM227" i="1"/>
  <c r="AN22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8" i="1"/>
  <c r="AM228" i="1"/>
  <c r="AN22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9" i="1"/>
  <c r="AM229" i="1"/>
  <c r="AN229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230" i="1"/>
  <c r="AM230" i="1"/>
  <c r="AN230" i="1"/>
  <c r="K209" i="1"/>
  <c r="L209" i="1"/>
  <c r="M209" i="1"/>
  <c r="N209" i="1" s="1"/>
  <c r="T209" i="1"/>
  <c r="V209" i="1"/>
  <c r="Y209" i="1"/>
  <c r="Z209" i="1"/>
  <c r="AB209" i="1"/>
  <c r="AC209" i="1"/>
  <c r="AD209" i="1"/>
  <c r="AE209" i="1"/>
  <c r="AF209" i="1"/>
  <c r="AH231" i="1"/>
  <c r="AM231" i="1"/>
  <c r="AN23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32" i="1"/>
  <c r="AM232" i="1"/>
  <c r="AN23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3" i="1"/>
  <c r="AM233" i="1"/>
  <c r="AN23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4" i="1"/>
  <c r="AM234" i="1"/>
  <c r="AN234" i="1"/>
  <c r="K228" i="1"/>
  <c r="L228" i="1"/>
  <c r="M228" i="1"/>
  <c r="N228" i="1" s="1"/>
  <c r="T228" i="1"/>
  <c r="V228" i="1"/>
  <c r="X228" i="1"/>
  <c r="Y228" i="1"/>
  <c r="Z228" i="1"/>
  <c r="AB228" i="1"/>
  <c r="AC228" i="1"/>
  <c r="AD228" i="1"/>
  <c r="AE228" i="1"/>
  <c r="R46" i="3" s="1"/>
  <c r="AF228" i="1"/>
  <c r="AH235" i="1"/>
  <c r="AM235" i="1"/>
  <c r="AN235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36" i="1"/>
  <c r="AM236" i="1"/>
  <c r="AN236" i="1"/>
  <c r="K230" i="1"/>
  <c r="L230" i="1"/>
  <c r="M230" i="1"/>
  <c r="N230" i="1"/>
  <c r="V230" i="1"/>
  <c r="Y230" i="1"/>
  <c r="AA230" i="1" s="1"/>
  <c r="Z230" i="1"/>
  <c r="AB230" i="1"/>
  <c r="AC230" i="1"/>
  <c r="AD230" i="1"/>
  <c r="T230" i="1" s="1"/>
  <c r="AE230" i="1"/>
  <c r="AF230" i="1"/>
  <c r="AH237" i="1"/>
  <c r="AM237" i="1"/>
  <c r="AN237" i="1"/>
  <c r="M45" i="3"/>
  <c r="S45" i="3"/>
  <c r="U45" i="3"/>
  <c r="T45" i="3" s="1"/>
  <c r="V45" i="3"/>
  <c r="X45" i="3"/>
  <c r="M31" i="3"/>
  <c r="S31" i="3"/>
  <c r="U31" i="3"/>
  <c r="AD9" i="3" s="1"/>
  <c r="V31" i="3"/>
  <c r="X31" i="3"/>
  <c r="M41" i="3"/>
  <c r="S41" i="3"/>
  <c r="U41" i="3"/>
  <c r="AC41" i="3" s="1"/>
  <c r="V41" i="3"/>
  <c r="X41" i="3"/>
  <c r="M32" i="3"/>
  <c r="S32" i="3"/>
  <c r="U32" i="3"/>
  <c r="AC32" i="3" s="1"/>
  <c r="V32" i="3"/>
  <c r="X32" i="3"/>
  <c r="M10" i="3"/>
  <c r="S10" i="3"/>
  <c r="U10" i="3"/>
  <c r="T10" i="3" s="1"/>
  <c r="V10" i="3"/>
  <c r="X10" i="3"/>
  <c r="M25" i="3"/>
  <c r="R25" i="3"/>
  <c r="U25" i="3"/>
  <c r="V25" i="3"/>
  <c r="X25" i="3"/>
  <c r="M21" i="3"/>
  <c r="S21" i="3"/>
  <c r="U21" i="3"/>
  <c r="AC21" i="3" s="1"/>
  <c r="V21" i="3"/>
  <c r="X21" i="3"/>
  <c r="M33" i="3"/>
  <c r="S33" i="3"/>
  <c r="U33" i="3"/>
  <c r="AC33" i="3" s="1"/>
  <c r="V33" i="3"/>
  <c r="X33" i="3"/>
  <c r="M38" i="3"/>
  <c r="R38" i="3"/>
  <c r="U38" i="3"/>
  <c r="T38" i="3" s="1"/>
  <c r="V38" i="3"/>
  <c r="X38" i="3"/>
  <c r="M11" i="3"/>
  <c r="S11" i="3"/>
  <c r="U11" i="3"/>
  <c r="AE11" i="3" s="1"/>
  <c r="V11" i="3"/>
  <c r="X11" i="3"/>
  <c r="M14" i="3"/>
  <c r="S14" i="3"/>
  <c r="U14" i="3"/>
  <c r="AC14" i="3" s="1"/>
  <c r="V14" i="3"/>
  <c r="X14" i="3"/>
  <c r="M39" i="3"/>
  <c r="U39" i="3"/>
  <c r="AC39" i="3" s="1"/>
  <c r="V39" i="3"/>
  <c r="X39" i="3"/>
  <c r="M26" i="3"/>
  <c r="S26" i="3"/>
  <c r="U26" i="3"/>
  <c r="T26" i="3" s="1"/>
  <c r="V26" i="3"/>
  <c r="X26" i="3"/>
  <c r="M12" i="3"/>
  <c r="R12" i="3"/>
  <c r="U12" i="3"/>
  <c r="AD21" i="3" s="1"/>
  <c r="V12" i="3"/>
  <c r="X12" i="3"/>
  <c r="M30" i="3"/>
  <c r="R30" i="3"/>
  <c r="U30" i="3"/>
  <c r="AC30" i="3" s="1"/>
  <c r="V30" i="3"/>
  <c r="X30" i="3"/>
  <c r="M13" i="3"/>
  <c r="S13" i="3"/>
  <c r="U13" i="3"/>
  <c r="AC13" i="3" s="1"/>
  <c r="V13" i="3"/>
  <c r="X13" i="3"/>
  <c r="M20" i="3"/>
  <c r="S20" i="3"/>
  <c r="U20" i="3"/>
  <c r="T20" i="3" s="1"/>
  <c r="V20" i="3"/>
  <c r="X20" i="3"/>
  <c r="M27" i="3"/>
  <c r="S27" i="3"/>
  <c r="U27" i="3"/>
  <c r="AD25" i="3" s="1"/>
  <c r="V27" i="3"/>
  <c r="X27" i="3"/>
  <c r="M47" i="3"/>
  <c r="R47" i="3"/>
  <c r="U47" i="3"/>
  <c r="AC47" i="3" s="1"/>
  <c r="V47" i="3"/>
  <c r="X47" i="3"/>
  <c r="M15" i="3"/>
  <c r="S15" i="3"/>
  <c r="U15" i="3"/>
  <c r="AC15" i="3" s="1"/>
  <c r="V15" i="3"/>
  <c r="X15" i="3"/>
  <c r="M34" i="3"/>
  <c r="R34" i="3"/>
  <c r="S34" i="3"/>
  <c r="U34" i="3"/>
  <c r="T34" i="3" s="1"/>
  <c r="V34" i="3"/>
  <c r="X34" i="3"/>
  <c r="AD28" i="3"/>
  <c r="M28" i="3"/>
  <c r="R28" i="3"/>
  <c r="S28" i="3"/>
  <c r="U28" i="3"/>
  <c r="V28" i="3"/>
  <c r="X28" i="3"/>
  <c r="M35" i="3"/>
  <c r="R35" i="3"/>
  <c r="S35" i="3"/>
  <c r="U35" i="3"/>
  <c r="AC35" i="3" s="1"/>
  <c r="V35" i="3"/>
  <c r="X35" i="3"/>
  <c r="M19" i="3"/>
  <c r="R19" i="3"/>
  <c r="S19" i="3"/>
  <c r="U19" i="3"/>
  <c r="AC19" i="3" s="1"/>
  <c r="V19" i="3"/>
  <c r="X19" i="3"/>
  <c r="M37" i="3"/>
  <c r="R37" i="3"/>
  <c r="U37" i="3"/>
  <c r="T37" i="3" s="1"/>
  <c r="V37" i="3"/>
  <c r="X37" i="3"/>
  <c r="AD32" i="3"/>
  <c r="M22" i="3"/>
  <c r="S22" i="3"/>
  <c r="U22" i="3"/>
  <c r="V22" i="3"/>
  <c r="X22" i="3"/>
  <c r="M9" i="3"/>
  <c r="R9" i="3"/>
  <c r="U9" i="3"/>
  <c r="AC9" i="3" s="1"/>
  <c r="V9" i="3"/>
  <c r="X9" i="3"/>
  <c r="M23" i="3"/>
  <c r="S23" i="3"/>
  <c r="U23" i="3"/>
  <c r="AC23" i="3" s="1"/>
  <c r="V23" i="3"/>
  <c r="AE35" i="3" s="1"/>
  <c r="X23" i="3"/>
  <c r="M46" i="3"/>
  <c r="S46" i="3"/>
  <c r="U46" i="3"/>
  <c r="T46" i="3" s="1"/>
  <c r="V46" i="3"/>
  <c r="X46" i="3"/>
  <c r="M8" i="3"/>
  <c r="S8" i="3"/>
  <c r="U8" i="3"/>
  <c r="AD37" i="3" s="1"/>
  <c r="V8" i="3"/>
  <c r="X8" i="3"/>
  <c r="M42" i="3"/>
  <c r="U42" i="3"/>
  <c r="AC42" i="3" s="1"/>
  <c r="V42" i="3"/>
  <c r="X42" i="3"/>
  <c r="M24" i="3"/>
  <c r="R24" i="3"/>
  <c r="S24" i="3"/>
  <c r="U24" i="3"/>
  <c r="AC24" i="3" s="1"/>
  <c r="V24" i="3"/>
  <c r="X24" i="3"/>
  <c r="AE39" i="3"/>
  <c r="M43" i="3"/>
  <c r="U43" i="3"/>
  <c r="T43" i="3" s="1"/>
  <c r="V43" i="3"/>
  <c r="X43" i="3"/>
  <c r="AD40" i="3"/>
  <c r="M7" i="3"/>
  <c r="S7" i="3"/>
  <c r="U7" i="3"/>
  <c r="AD41" i="3" s="1"/>
  <c r="V7" i="3"/>
  <c r="X7" i="3"/>
  <c r="M36" i="3"/>
  <c r="R36" i="3"/>
  <c r="U36" i="3"/>
  <c r="AC36" i="3" s="1"/>
  <c r="V36" i="3"/>
  <c r="X36" i="3"/>
  <c r="M40" i="3"/>
  <c r="U40" i="3"/>
  <c r="AC40" i="3" s="1"/>
  <c r="V40" i="3"/>
  <c r="AE43" i="3" s="1"/>
  <c r="X40" i="3"/>
  <c r="M16" i="3"/>
  <c r="R16" i="3"/>
  <c r="S16" i="3"/>
  <c r="U16" i="3"/>
  <c r="T16" i="3" s="1"/>
  <c r="V16" i="3"/>
  <c r="X16" i="3"/>
  <c r="M17" i="3"/>
  <c r="R17" i="3"/>
  <c r="U17" i="3"/>
  <c r="AD45" i="3" s="1"/>
  <c r="V17" i="3"/>
  <c r="X17" i="3"/>
  <c r="M18" i="3"/>
  <c r="R18" i="3"/>
  <c r="S18" i="3"/>
  <c r="U18" i="3"/>
  <c r="AC18" i="3" s="1"/>
  <c r="V18" i="3"/>
  <c r="X18" i="3"/>
  <c r="M29" i="3"/>
  <c r="R29" i="3"/>
  <c r="U29" i="3"/>
  <c r="AC29" i="3" s="1"/>
  <c r="V29" i="3"/>
  <c r="X29" i="3"/>
  <c r="W25" i="3"/>
  <c r="W28" i="3"/>
  <c r="W17" i="3"/>
  <c r="W19" i="3"/>
  <c r="W43" i="3"/>
  <c r="W30" i="3"/>
  <c r="W42" i="3"/>
  <c r="W15" i="3"/>
  <c r="W38" i="3"/>
  <c r="W37" i="3"/>
  <c r="W11" i="3"/>
  <c r="W22" i="3"/>
  <c r="W32" i="3"/>
  <c r="W24" i="3"/>
  <c r="W41" i="3"/>
  <c r="W47" i="3"/>
  <c r="W36" i="3"/>
  <c r="W23" i="3"/>
  <c r="W26" i="3"/>
  <c r="W46" i="3"/>
  <c r="W31" i="3"/>
  <c r="W27" i="3"/>
  <c r="W7" i="3"/>
  <c r="W13" i="3"/>
  <c r="W29" i="3"/>
  <c r="W14" i="3"/>
  <c r="W9" i="3"/>
  <c r="W33" i="3"/>
  <c r="W10" i="3"/>
  <c r="W34" i="3"/>
  <c r="W12" i="3"/>
  <c r="W8" i="3"/>
  <c r="W39" i="3"/>
  <c r="W40" i="3"/>
  <c r="W21" i="3"/>
  <c r="W35" i="3"/>
  <c r="W18" i="3"/>
  <c r="W45" i="3"/>
  <c r="W20" i="3"/>
  <c r="W16" i="3"/>
  <c r="AG47" i="1"/>
  <c r="AG80" i="1"/>
  <c r="AG113" i="1"/>
  <c r="AG215" i="1"/>
  <c r="AG225" i="1"/>
  <c r="AG203" i="1"/>
  <c r="AG208" i="1"/>
  <c r="AG36" i="1"/>
  <c r="AG38" i="1"/>
  <c r="AG68" i="1"/>
  <c r="AG58" i="1"/>
  <c r="AG122" i="1"/>
  <c r="AG112" i="1"/>
  <c r="AG139" i="1"/>
  <c r="AG138" i="1"/>
  <c r="AG133" i="1"/>
  <c r="AG126" i="1"/>
  <c r="AG166" i="1"/>
  <c r="AG182" i="1"/>
  <c r="AG205" i="1"/>
  <c r="AG16" i="1"/>
  <c r="AG40" i="1"/>
  <c r="AG27" i="1"/>
  <c r="AG50" i="1"/>
  <c r="AG77" i="1"/>
  <c r="AG71" i="1"/>
  <c r="AG98" i="1"/>
  <c r="AG125" i="1"/>
  <c r="AG119" i="1"/>
  <c r="AG232" i="1"/>
  <c r="AG231" i="1"/>
  <c r="AG221" i="1"/>
  <c r="AG212" i="1"/>
  <c r="AG199" i="1"/>
  <c r="AG49" i="1"/>
  <c r="AG102" i="1"/>
  <c r="AG134" i="1"/>
  <c r="AG216" i="1"/>
  <c r="AG176" i="1"/>
  <c r="AG51" i="1"/>
  <c r="AG69" i="1"/>
  <c r="AG79" i="1"/>
  <c r="AG101" i="1"/>
  <c r="AG111" i="1"/>
  <c r="AG165" i="1"/>
  <c r="AG149" i="1"/>
  <c r="AG156" i="1"/>
  <c r="AG207" i="1"/>
  <c r="AG180" i="1"/>
  <c r="AG48" i="1"/>
  <c r="AG52" i="1"/>
  <c r="AG29" i="1"/>
  <c r="AG76" i="1"/>
  <c r="AG82" i="1"/>
  <c r="AG104" i="1"/>
  <c r="AG147" i="1"/>
  <c r="AG162" i="1"/>
  <c r="AG167" i="1"/>
  <c r="AG174" i="1"/>
  <c r="AG206" i="1"/>
  <c r="AG188" i="1"/>
  <c r="AG15" i="1"/>
  <c r="AG33" i="1"/>
  <c r="AG54" i="1"/>
  <c r="AG92" i="1"/>
  <c r="AG236" i="1"/>
  <c r="AG161" i="1"/>
  <c r="AG187" i="1"/>
  <c r="AG192" i="1"/>
  <c r="AG110" i="1"/>
  <c r="AG168" i="1"/>
  <c r="AG193" i="1"/>
  <c r="AG62" i="1"/>
  <c r="AG142" i="1"/>
  <c r="AG186" i="1"/>
  <c r="AG223" i="1"/>
  <c r="AG57" i="1"/>
  <c r="AG99" i="1"/>
  <c r="AG144" i="1"/>
  <c r="AG46" i="1"/>
  <c r="AG195" i="1"/>
  <c r="AG81" i="1"/>
  <c r="AG108" i="1"/>
  <c r="AG214" i="1"/>
  <c r="AG173" i="1"/>
  <c r="AG28" i="1"/>
  <c r="AG26" i="1"/>
  <c r="AG85" i="1"/>
  <c r="AG74" i="1"/>
  <c r="AG117" i="1"/>
  <c r="AG127" i="1"/>
  <c r="AG154" i="1"/>
  <c r="AG213" i="1"/>
  <c r="AG220" i="1"/>
  <c r="AG198" i="1"/>
  <c r="AG196" i="1"/>
  <c r="AG23" i="1"/>
  <c r="AG43" i="1"/>
  <c r="AG45" i="1"/>
  <c r="AG55" i="1"/>
  <c r="AG114" i="1"/>
  <c r="AG120" i="1"/>
  <c r="AG211" i="1"/>
  <c r="AG172" i="1"/>
  <c r="AG132" i="1"/>
  <c r="AG183" i="1"/>
  <c r="AG181" i="1"/>
  <c r="AG204" i="1"/>
  <c r="AG31" i="1"/>
  <c r="AG65" i="1"/>
  <c r="AG86" i="1"/>
  <c r="AG91" i="1"/>
  <c r="AG150" i="1"/>
  <c r="AG171" i="1"/>
  <c r="AG178" i="1"/>
  <c r="AG25" i="1"/>
  <c r="AG100" i="1"/>
  <c r="AG163" i="1"/>
  <c r="AG14" i="1"/>
  <c r="AG137" i="1"/>
  <c r="AG209" i="1"/>
  <c r="AG160" i="1"/>
  <c r="AG88" i="1"/>
  <c r="AG159" i="1"/>
  <c r="AG17" i="1"/>
  <c r="AG185" i="1"/>
  <c r="AG106" i="1"/>
  <c r="AG189" i="1"/>
  <c r="AG146" i="1"/>
  <c r="AG97" i="1"/>
  <c r="AG72" i="1"/>
  <c r="AG184" i="1"/>
  <c r="AG145" i="1"/>
  <c r="AG84" i="1"/>
  <c r="AG218" i="1"/>
  <c r="AG227" i="1"/>
  <c r="AG87" i="1"/>
  <c r="AG141" i="1"/>
  <c r="AG24" i="1"/>
  <c r="AG64" i="1"/>
  <c r="AG152" i="1"/>
  <c r="AG224" i="1"/>
  <c r="AG170" i="1"/>
  <c r="AG30" i="1"/>
  <c r="AG94" i="1"/>
  <c r="AG70" i="1"/>
  <c r="AG136" i="1"/>
  <c r="AG19" i="1"/>
  <c r="AG63" i="1"/>
  <c r="AG95" i="1"/>
  <c r="AG164" i="1"/>
  <c r="AG191" i="1"/>
  <c r="AG32" i="1"/>
  <c r="AG34" i="1"/>
  <c r="AG66" i="1"/>
  <c r="AG131" i="1"/>
  <c r="AG190" i="1"/>
  <c r="AG41" i="1"/>
  <c r="AG59" i="1"/>
  <c r="AG151" i="1"/>
  <c r="AG83" i="1"/>
  <c r="AG226" i="1"/>
  <c r="AG116" i="1"/>
  <c r="AG179" i="1"/>
  <c r="AG115" i="1"/>
  <c r="AG75" i="1"/>
  <c r="AG44" i="1"/>
  <c r="AG96" i="1"/>
  <c r="AG175" i="1"/>
  <c r="AG18" i="1"/>
  <c r="AG103" i="1"/>
  <c r="AG230" i="1"/>
  <c r="AG123" i="1"/>
  <c r="AG56" i="1"/>
  <c r="AG89" i="1"/>
  <c r="AG153" i="1"/>
  <c r="AG73" i="1"/>
  <c r="AG237" i="1"/>
  <c r="AG78" i="1"/>
  <c r="AG217" i="1"/>
  <c r="AG107" i="1"/>
  <c r="AG194" i="1"/>
  <c r="AG21" i="1"/>
  <c r="AG90" i="1"/>
  <c r="AG155" i="1"/>
  <c r="AG234" i="1"/>
  <c r="AG229" i="1"/>
  <c r="AG20" i="1"/>
  <c r="AG61" i="1"/>
  <c r="AG93" i="1"/>
  <c r="AG130" i="1"/>
  <c r="AG148" i="1"/>
  <c r="AG197" i="1"/>
  <c r="AG22" i="1"/>
  <c r="AG118" i="1"/>
  <c r="AG235" i="1"/>
  <c r="AG210" i="1"/>
  <c r="AG124" i="1"/>
  <c r="AG42" i="1"/>
  <c r="AG143" i="1"/>
  <c r="AG121" i="1"/>
  <c r="AG105" i="1"/>
  <c r="AG202" i="1"/>
  <c r="AG222" i="1"/>
  <c r="AG135" i="1"/>
  <c r="AG53" i="1"/>
  <c r="AG219" i="1"/>
  <c r="AG140" i="1"/>
  <c r="AG37" i="1"/>
  <c r="AG60" i="1"/>
  <c r="AG109" i="1"/>
  <c r="AG233" i="1"/>
  <c r="AG228" i="1"/>
  <c r="AG39" i="1"/>
  <c r="AG129" i="1"/>
  <c r="AG201" i="1"/>
  <c r="AG169" i="1"/>
  <c r="AG128" i="1"/>
  <c r="AG177" i="1"/>
  <c r="AG158" i="1"/>
  <c r="AG200" i="1"/>
  <c r="AG157" i="1"/>
  <c r="AG67" i="1"/>
  <c r="R43" i="3" l="1"/>
  <c r="R42" i="3"/>
  <c r="T153" i="1"/>
  <c r="X153" i="1"/>
  <c r="T96" i="1"/>
  <c r="X96" i="1"/>
  <c r="T40" i="1"/>
  <c r="X41" i="1"/>
  <c r="AA205" i="1"/>
  <c r="AA197" i="1"/>
  <c r="X168" i="1"/>
  <c r="AA164" i="1"/>
  <c r="X154" i="1"/>
  <c r="T137" i="1"/>
  <c r="X137" i="1"/>
  <c r="X214" i="1"/>
  <c r="T214" i="1"/>
  <c r="AA152" i="1"/>
  <c r="X97" i="1"/>
  <c r="T97" i="1"/>
  <c r="X138" i="1"/>
  <c r="T138" i="1"/>
  <c r="R23" i="3"/>
  <c r="R22" i="3"/>
  <c r="T63" i="1"/>
  <c r="X64" i="1"/>
  <c r="AA59" i="1"/>
  <c r="T19" i="1"/>
  <c r="X19" i="1"/>
  <c r="AA179" i="1"/>
  <c r="X161" i="1"/>
  <c r="AA226" i="1"/>
  <c r="X209" i="1"/>
  <c r="AA236" i="1"/>
  <c r="AA219" i="1"/>
  <c r="AA213" i="1"/>
  <c r="T36" i="1"/>
  <c r="X36" i="1"/>
  <c r="X29" i="1"/>
  <c r="T29" i="1"/>
  <c r="AA161" i="1"/>
  <c r="X112" i="1"/>
  <c r="T67" i="1"/>
  <c r="X68" i="1"/>
  <c r="AA227" i="1"/>
  <c r="AA210" i="1"/>
  <c r="AA200" i="1"/>
  <c r="AA176" i="1"/>
  <c r="AA234" i="1"/>
  <c r="AA225" i="1"/>
  <c r="AA217" i="1"/>
  <c r="AA215" i="1"/>
  <c r="AA160" i="1"/>
  <c r="X145" i="1"/>
  <c r="AA139" i="1"/>
  <c r="AA133" i="1"/>
  <c r="AA110" i="1"/>
  <c r="AA108" i="1"/>
  <c r="AA104" i="1"/>
  <c r="AA102" i="1"/>
  <c r="AA98" i="1"/>
  <c r="X92" i="1"/>
  <c r="AA72" i="1"/>
  <c r="AA64" i="1"/>
  <c r="AA62" i="1"/>
  <c r="AA60" i="1"/>
  <c r="AA44" i="1"/>
  <c r="AA25" i="1"/>
  <c r="AA20" i="1"/>
  <c r="X17" i="1"/>
  <c r="AA106" i="1"/>
  <c r="AA87" i="1"/>
  <c r="AA83" i="1"/>
  <c r="AA75" i="1"/>
  <c r="AA52" i="1"/>
  <c r="AA50" i="1"/>
  <c r="AA48" i="1"/>
  <c r="AA36" i="1"/>
  <c r="AA31" i="1"/>
  <c r="X20" i="1"/>
  <c r="AA16" i="1"/>
  <c r="R13" i="3"/>
  <c r="R26" i="3"/>
  <c r="R14" i="3"/>
  <c r="X115" i="1"/>
  <c r="X108" i="1"/>
  <c r="X90" i="1"/>
  <c r="X85" i="1"/>
  <c r="X80" i="1"/>
  <c r="T42" i="1"/>
  <c r="AA32" i="1"/>
  <c r="AA29" i="1"/>
  <c r="X28" i="1"/>
  <c r="AA24" i="1"/>
  <c r="AA23" i="1"/>
  <c r="AA21" i="1"/>
  <c r="T21" i="1"/>
  <c r="AA17" i="1"/>
  <c r="S42" i="3"/>
  <c r="X227" i="1"/>
  <c r="AA204" i="1"/>
  <c r="T201" i="1"/>
  <c r="U201" i="1" s="1"/>
  <c r="S201" i="1" s="1"/>
  <c r="AA196" i="1"/>
  <c r="AA195" i="1"/>
  <c r="T193" i="1"/>
  <c r="AA189" i="1"/>
  <c r="AA181" i="1"/>
  <c r="AA175" i="1"/>
  <c r="AA171" i="1"/>
  <c r="AA167" i="1"/>
  <c r="AA163" i="1"/>
  <c r="AA231" i="1"/>
  <c r="X157" i="1"/>
  <c r="AA153" i="1"/>
  <c r="AA150" i="1"/>
  <c r="T146" i="1"/>
  <c r="AA144" i="1"/>
  <c r="AA126" i="1"/>
  <c r="X120" i="1"/>
  <c r="AA116" i="1"/>
  <c r="AA114" i="1"/>
  <c r="X104" i="1"/>
  <c r="AA91" i="1"/>
  <c r="AA89" i="1"/>
  <c r="AA88" i="1"/>
  <c r="AA84" i="1"/>
  <c r="T81" i="1"/>
  <c r="AA79" i="1"/>
  <c r="X73" i="1"/>
  <c r="AA71" i="1"/>
  <c r="AA61" i="1"/>
  <c r="AA46" i="1"/>
  <c r="AA30" i="1"/>
  <c r="X27" i="1"/>
  <c r="X221" i="1"/>
  <c r="AA26" i="1"/>
  <c r="X25" i="1"/>
  <c r="X24" i="1"/>
  <c r="AA18" i="1"/>
  <c r="AA207" i="1"/>
  <c r="AA202" i="1"/>
  <c r="AA199" i="1"/>
  <c r="X196" i="1"/>
  <c r="AA194" i="1"/>
  <c r="X188" i="1"/>
  <c r="AA184" i="1"/>
  <c r="AA174" i="1"/>
  <c r="AA166" i="1"/>
  <c r="AA223" i="1"/>
  <c r="AA221" i="1"/>
  <c r="AA158" i="1"/>
  <c r="T157" i="1"/>
  <c r="AA147" i="1"/>
  <c r="AA141" i="1"/>
  <c r="AA137" i="1"/>
  <c r="X134" i="1"/>
  <c r="AA134" i="1"/>
  <c r="X127" i="1"/>
  <c r="AA122" i="1"/>
  <c r="AA111" i="1"/>
  <c r="X100" i="1"/>
  <c r="AA93" i="1"/>
  <c r="X89" i="1"/>
  <c r="AA85" i="1"/>
  <c r="X84" i="1"/>
  <c r="AA78" i="1"/>
  <c r="AA76" i="1"/>
  <c r="X69" i="1"/>
  <c r="AA67" i="1"/>
  <c r="AA56" i="1"/>
  <c r="AA49" i="1"/>
  <c r="X47" i="1"/>
  <c r="T17" i="1"/>
  <c r="X204" i="1"/>
  <c r="X208" i="1"/>
  <c r="T205" i="1"/>
  <c r="U205" i="1" s="1"/>
  <c r="S205" i="1" s="1"/>
  <c r="AA201" i="1"/>
  <c r="AA198" i="1"/>
  <c r="X197" i="1"/>
  <c r="X192" i="1"/>
  <c r="T189" i="1"/>
  <c r="AA185" i="1"/>
  <c r="AA182" i="1"/>
  <c r="X181" i="1"/>
  <c r="X176" i="1"/>
  <c r="AA173" i="1"/>
  <c r="X172" i="1"/>
  <c r="AA168" i="1"/>
  <c r="X167" i="1"/>
  <c r="T164" i="1"/>
  <c r="AA237" i="1"/>
  <c r="AA232" i="1"/>
  <c r="X231" i="1"/>
  <c r="X222" i="1"/>
  <c r="AA222" i="1"/>
  <c r="X163" i="1"/>
  <c r="T212" i="1"/>
  <c r="X213" i="1"/>
  <c r="T188" i="1"/>
  <c r="AA228" i="1"/>
  <c r="AA209" i="1"/>
  <c r="AA206" i="1"/>
  <c r="X200" i="1"/>
  <c r="AA193" i="1"/>
  <c r="AA190" i="1"/>
  <c r="X184" i="1"/>
  <c r="AA177" i="1"/>
  <c r="X174" i="1"/>
  <c r="AA172" i="1"/>
  <c r="AA170" i="1"/>
  <c r="AA165" i="1"/>
  <c r="AA235" i="1"/>
  <c r="X234" i="1"/>
  <c r="AA224" i="1"/>
  <c r="T222" i="1"/>
  <c r="X217" i="1"/>
  <c r="T158" i="1"/>
  <c r="X158" i="1"/>
  <c r="X171" i="1"/>
  <c r="X225" i="1"/>
  <c r="X149" i="1"/>
  <c r="AA218" i="1"/>
  <c r="T217" i="1"/>
  <c r="AA216" i="1"/>
  <c r="AA162" i="1"/>
  <c r="T161" i="1"/>
  <c r="AA159" i="1"/>
  <c r="AA156" i="1"/>
  <c r="T150" i="1"/>
  <c r="AA146" i="1"/>
  <c r="T145" i="1"/>
  <c r="AA143" i="1"/>
  <c r="X142" i="1"/>
  <c r="AA140" i="1"/>
  <c r="T134" i="1"/>
  <c r="AA130" i="1"/>
  <c r="T129" i="1"/>
  <c r="AA127" i="1"/>
  <c r="T127" i="1"/>
  <c r="AA125" i="1"/>
  <c r="AA124" i="1"/>
  <c r="T123" i="1"/>
  <c r="AA121" i="1"/>
  <c r="AA120" i="1"/>
  <c r="T119" i="1"/>
  <c r="T116" i="1"/>
  <c r="X111" i="1"/>
  <c r="AA105" i="1"/>
  <c r="AA101" i="1"/>
  <c r="AA97" i="1"/>
  <c r="AA94" i="1"/>
  <c r="T92" i="1"/>
  <c r="AA90" i="1"/>
  <c r="T90" i="1"/>
  <c r="X88" i="1"/>
  <c r="AA82" i="1"/>
  <c r="AA81" i="1"/>
  <c r="X77" i="1"/>
  <c r="X72" i="1"/>
  <c r="AA66" i="1"/>
  <c r="AA65" i="1"/>
  <c r="X61" i="1"/>
  <c r="X52" i="1"/>
  <c r="X49" i="1"/>
  <c r="T47" i="1"/>
  <c r="AA45" i="1"/>
  <c r="T44" i="1"/>
  <c r="X40" i="1"/>
  <c r="X37" i="1"/>
  <c r="X33" i="1"/>
  <c r="T31" i="1"/>
  <c r="T28" i="1"/>
  <c r="AA22" i="1"/>
  <c r="T20" i="1"/>
  <c r="U20" i="1" s="1"/>
  <c r="S20" i="1" s="1"/>
  <c r="T16" i="1"/>
  <c r="X141" i="1"/>
  <c r="AA95" i="1"/>
  <c r="X93" i="1"/>
  <c r="AA86" i="1"/>
  <c r="X76" i="1"/>
  <c r="AA70" i="1"/>
  <c r="X60" i="1"/>
  <c r="X51" i="1"/>
  <c r="X48" i="1"/>
  <c r="AA42" i="1"/>
  <c r="X32" i="1"/>
  <c r="AA14" i="1"/>
  <c r="AA220" i="1"/>
  <c r="AA214" i="1"/>
  <c r="AA212" i="1"/>
  <c r="AA154" i="1"/>
  <c r="AA151" i="1"/>
  <c r="AA148" i="1"/>
  <c r="AA138" i="1"/>
  <c r="AA135" i="1"/>
  <c r="AA132" i="1"/>
  <c r="AA113" i="1"/>
  <c r="AA112" i="1"/>
  <c r="AA109" i="1"/>
  <c r="AA107" i="1"/>
  <c r="AA74" i="1"/>
  <c r="AA73" i="1"/>
  <c r="AA58" i="1"/>
  <c r="AA57" i="1"/>
  <c r="AA54" i="1"/>
  <c r="AA53" i="1"/>
  <c r="AA39" i="1"/>
  <c r="AA38" i="1"/>
  <c r="AA33" i="1"/>
  <c r="AI234" i="1"/>
  <c r="U227" i="1"/>
  <c r="S227" i="1" s="1"/>
  <c r="AI230" i="1"/>
  <c r="U208" i="1"/>
  <c r="S208" i="1" s="1"/>
  <c r="AI226" i="1"/>
  <c r="U204" i="1"/>
  <c r="S204" i="1" s="1"/>
  <c r="AI222" i="1"/>
  <c r="U200" i="1"/>
  <c r="AI218" i="1"/>
  <c r="U196" i="1"/>
  <c r="S196" i="1" s="1"/>
  <c r="AI214" i="1"/>
  <c r="U192" i="1"/>
  <c r="S192" i="1" s="1"/>
  <c r="AI210" i="1"/>
  <c r="U188" i="1"/>
  <c r="S188" i="1" s="1"/>
  <c r="AI206" i="1"/>
  <c r="U184" i="1"/>
  <c r="S184" i="1" s="1"/>
  <c r="AI202" i="1"/>
  <c r="U180" i="1"/>
  <c r="S180" i="1" s="1"/>
  <c r="AI198" i="1"/>
  <c r="U176" i="1"/>
  <c r="S176" i="1" s="1"/>
  <c r="AI235" i="1"/>
  <c r="U228" i="1"/>
  <c r="S228" i="1" s="1"/>
  <c r="AI231" i="1"/>
  <c r="U209" i="1"/>
  <c r="S209" i="1" s="1"/>
  <c r="AI227" i="1"/>
  <c r="AI223" i="1"/>
  <c r="AI219" i="1"/>
  <c r="U197" i="1"/>
  <c r="S197" i="1" s="1"/>
  <c r="AI215" i="1"/>
  <c r="U193" i="1"/>
  <c r="S193" i="1" s="1"/>
  <c r="AI211" i="1"/>
  <c r="U189" i="1"/>
  <c r="S189" i="1" s="1"/>
  <c r="AI207" i="1"/>
  <c r="U185" i="1"/>
  <c r="S185" i="1" s="1"/>
  <c r="AI203" i="1"/>
  <c r="U181" i="1"/>
  <c r="S181" i="1" s="1"/>
  <c r="AI199" i="1"/>
  <c r="U177" i="1"/>
  <c r="S177" i="1" s="1"/>
  <c r="U229" i="1"/>
  <c r="S229" i="1" s="1"/>
  <c r="AI236" i="1"/>
  <c r="U210" i="1"/>
  <c r="S210" i="1" s="1"/>
  <c r="AI232" i="1"/>
  <c r="U206" i="1"/>
  <c r="S206" i="1" s="1"/>
  <c r="AI228" i="1"/>
  <c r="U202" i="1"/>
  <c r="S202" i="1" s="1"/>
  <c r="AI224" i="1"/>
  <c r="U198" i="1"/>
  <c r="S198" i="1" s="1"/>
  <c r="AI220" i="1"/>
  <c r="U194" i="1"/>
  <c r="S194" i="1" s="1"/>
  <c r="AI216" i="1"/>
  <c r="U190" i="1"/>
  <c r="S190" i="1" s="1"/>
  <c r="AI212" i="1"/>
  <c r="U186" i="1"/>
  <c r="S186" i="1" s="1"/>
  <c r="AI208" i="1"/>
  <c r="U182" i="1"/>
  <c r="S182" i="1" s="1"/>
  <c r="AI204" i="1"/>
  <c r="U178" i="1"/>
  <c r="S178" i="1" s="1"/>
  <c r="AI200" i="1"/>
  <c r="U230" i="1"/>
  <c r="S230" i="1" s="1"/>
  <c r="AI237" i="1"/>
  <c r="U226" i="1"/>
  <c r="S226" i="1" s="1"/>
  <c r="AI233" i="1"/>
  <c r="U207" i="1"/>
  <c r="S207" i="1" s="1"/>
  <c r="AI229" i="1"/>
  <c r="U203" i="1"/>
  <c r="S203" i="1" s="1"/>
  <c r="AI225" i="1"/>
  <c r="U199" i="1"/>
  <c r="S199" i="1" s="1"/>
  <c r="AI221" i="1"/>
  <c r="U195" i="1"/>
  <c r="S195" i="1" s="1"/>
  <c r="AI217" i="1"/>
  <c r="U191" i="1"/>
  <c r="S191" i="1" s="1"/>
  <c r="AI213" i="1"/>
  <c r="U187" i="1"/>
  <c r="S187" i="1" s="1"/>
  <c r="AI209" i="1"/>
  <c r="U183" i="1"/>
  <c r="S183" i="1" s="1"/>
  <c r="AI205" i="1"/>
  <c r="U179" i="1"/>
  <c r="S179" i="1" s="1"/>
  <c r="AI201" i="1"/>
  <c r="U175" i="1"/>
  <c r="S175" i="1" s="1"/>
  <c r="AI197" i="1"/>
  <c r="AI195" i="1"/>
  <c r="AI196" i="1"/>
  <c r="AI192" i="1"/>
  <c r="AI188" i="1"/>
  <c r="AI184" i="1"/>
  <c r="AI180" i="1"/>
  <c r="AI176" i="1"/>
  <c r="AI172" i="1"/>
  <c r="AI168" i="1"/>
  <c r="U216" i="1"/>
  <c r="S216" i="1" s="1"/>
  <c r="AI164" i="1"/>
  <c r="U212" i="1"/>
  <c r="S212" i="1" s="1"/>
  <c r="AI160" i="1"/>
  <c r="U160" i="1"/>
  <c r="S160" i="1" s="1"/>
  <c r="AI156" i="1"/>
  <c r="U156" i="1"/>
  <c r="S156" i="1" s="1"/>
  <c r="AI152" i="1"/>
  <c r="U152" i="1"/>
  <c r="S152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8" i="1"/>
  <c r="U128" i="1"/>
  <c r="S128" i="1" s="1"/>
  <c r="AI126" i="1"/>
  <c r="U171" i="1"/>
  <c r="S171" i="1" s="1"/>
  <c r="W171" i="1"/>
  <c r="AI193" i="1"/>
  <c r="AI189" i="1"/>
  <c r="U167" i="1"/>
  <c r="S167" i="1" s="1"/>
  <c r="AI185" i="1"/>
  <c r="U163" i="1"/>
  <c r="S163" i="1" s="1"/>
  <c r="AI181" i="1"/>
  <c r="U234" i="1"/>
  <c r="S234" i="1" s="1"/>
  <c r="AI177" i="1"/>
  <c r="U225" i="1"/>
  <c r="S225" i="1" s="1"/>
  <c r="AI173" i="1"/>
  <c r="U221" i="1"/>
  <c r="S221" i="1" s="1"/>
  <c r="AI169" i="1"/>
  <c r="U217" i="1"/>
  <c r="S217" i="1" s="1"/>
  <c r="AI165" i="1"/>
  <c r="U213" i="1"/>
  <c r="S213" i="1" s="1"/>
  <c r="AI161" i="1"/>
  <c r="U161" i="1"/>
  <c r="S161" i="1" s="1"/>
  <c r="AI157" i="1"/>
  <c r="U157" i="1"/>
  <c r="S157" i="1" s="1"/>
  <c r="AI153" i="1"/>
  <c r="U153" i="1"/>
  <c r="S153" i="1" s="1"/>
  <c r="S149" i="1"/>
  <c r="AI149" i="1"/>
  <c r="U149" i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29" i="1"/>
  <c r="U129" i="1"/>
  <c r="S129" i="1" s="1"/>
  <c r="U172" i="1"/>
  <c r="S172" i="1" s="1"/>
  <c r="AI194" i="1"/>
  <c r="U168" i="1"/>
  <c r="S168" i="1" s="1"/>
  <c r="AI190" i="1"/>
  <c r="U164" i="1"/>
  <c r="S164" i="1" s="1"/>
  <c r="AI186" i="1"/>
  <c r="U235" i="1"/>
  <c r="S235" i="1" s="1"/>
  <c r="AI182" i="1"/>
  <c r="U231" i="1"/>
  <c r="S231" i="1" s="1"/>
  <c r="AI178" i="1"/>
  <c r="U222" i="1"/>
  <c r="S222" i="1" s="1"/>
  <c r="AI174" i="1"/>
  <c r="U218" i="1"/>
  <c r="S218" i="1" s="1"/>
  <c r="AI170" i="1"/>
  <c r="U214" i="1"/>
  <c r="S214" i="1" s="1"/>
  <c r="AI166" i="1"/>
  <c r="U162" i="1"/>
  <c r="S162" i="1" s="1"/>
  <c r="AI162" i="1"/>
  <c r="U158" i="1"/>
  <c r="S158" i="1" s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 s="1"/>
  <c r="AI142" i="1"/>
  <c r="U138" i="1"/>
  <c r="S138" i="1" s="1"/>
  <c r="AI138" i="1"/>
  <c r="U134" i="1"/>
  <c r="S134" i="1" s="1"/>
  <c r="AI134" i="1"/>
  <c r="U130" i="1"/>
  <c r="S130" i="1" s="1"/>
  <c r="AI130" i="1"/>
  <c r="U169" i="1"/>
  <c r="S169" i="1" s="1"/>
  <c r="AI191" i="1"/>
  <c r="U165" i="1"/>
  <c r="S165" i="1" s="1"/>
  <c r="AI187" i="1"/>
  <c r="U236" i="1"/>
  <c r="S236" i="1" s="1"/>
  <c r="AI183" i="1"/>
  <c r="U232" i="1"/>
  <c r="S232" i="1" s="1"/>
  <c r="AI179" i="1"/>
  <c r="U223" i="1"/>
  <c r="S223" i="1" s="1"/>
  <c r="AI175" i="1"/>
  <c r="U219" i="1"/>
  <c r="S219" i="1" s="1"/>
  <c r="AI171" i="1"/>
  <c r="U215" i="1"/>
  <c r="S215" i="1" s="1"/>
  <c r="AI167" i="1"/>
  <c r="U211" i="1"/>
  <c r="S211" i="1" s="1"/>
  <c r="AI163" i="1"/>
  <c r="U159" i="1"/>
  <c r="S159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AI124" i="1"/>
  <c r="U124" i="1"/>
  <c r="S124" i="1" s="1"/>
  <c r="U127" i="1"/>
  <c r="S127" i="1" s="1"/>
  <c r="AI127" i="1"/>
  <c r="AI123" i="1"/>
  <c r="U123" i="1"/>
  <c r="S123" i="1" s="1"/>
  <c r="AI119" i="1"/>
  <c r="U119" i="1"/>
  <c r="S119" i="1" s="1"/>
  <c r="AI115" i="1"/>
  <c r="U115" i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125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AI101" i="1"/>
  <c r="U97" i="1"/>
  <c r="S97" i="1" s="1"/>
  <c r="AI97" i="1"/>
  <c r="U93" i="1"/>
  <c r="S93" i="1" s="1"/>
  <c r="AI93" i="1"/>
  <c r="U89" i="1"/>
  <c r="S89" i="1" s="1"/>
  <c r="AI89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87" i="1"/>
  <c r="S87" i="1" s="1"/>
  <c r="AI87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88" i="1"/>
  <c r="S88" i="1" s="1"/>
  <c r="AI88" i="1"/>
  <c r="U84" i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/>
  <c r="AI56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AI53" i="1"/>
  <c r="AI49" i="1"/>
  <c r="U49" i="1"/>
  <c r="S49" i="1" s="1"/>
  <c r="AI45" i="1"/>
  <c r="U45" i="1"/>
  <c r="S45" i="1" s="1"/>
  <c r="AI42" i="1"/>
  <c r="U42" i="1"/>
  <c r="S42" i="1" s="1"/>
  <c r="AI38" i="1"/>
  <c r="U38" i="1"/>
  <c r="S38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39" i="1"/>
  <c r="U39" i="1"/>
  <c r="S39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AI51" i="1"/>
  <c r="U47" i="1"/>
  <c r="S47" i="1" s="1"/>
  <c r="AI47" i="1"/>
  <c r="U43" i="1"/>
  <c r="S43" i="1" s="1"/>
  <c r="AI43" i="1"/>
  <c r="U40" i="1"/>
  <c r="S40" i="1" s="1"/>
  <c r="AI40" i="1"/>
  <c r="U36" i="1"/>
  <c r="S36" i="1" s="1"/>
  <c r="AI36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1" i="1"/>
  <c r="S41" i="1" s="1"/>
  <c r="AI41" i="1"/>
  <c r="U37" i="1"/>
  <c r="S37" i="1" s="1"/>
  <c r="AI37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230" i="1"/>
  <c r="W197" i="1"/>
  <c r="W201" i="1"/>
  <c r="W227" i="1"/>
  <c r="W208" i="1"/>
  <c r="W205" i="1"/>
  <c r="W203" i="1"/>
  <c r="W202" i="1"/>
  <c r="W192" i="1"/>
  <c r="W189" i="1"/>
  <c r="W187" i="1"/>
  <c r="W186" i="1"/>
  <c r="W176" i="1"/>
  <c r="W174" i="1"/>
  <c r="W229" i="1"/>
  <c r="W226" i="1"/>
  <c r="W228" i="1"/>
  <c r="W209" i="1"/>
  <c r="W207" i="1"/>
  <c r="W206" i="1"/>
  <c r="W196" i="1"/>
  <c r="W193" i="1"/>
  <c r="W191" i="1"/>
  <c r="W190" i="1"/>
  <c r="W180" i="1"/>
  <c r="W177" i="1"/>
  <c r="W175" i="1"/>
  <c r="W210" i="1"/>
  <c r="W200" i="1"/>
  <c r="W195" i="1"/>
  <c r="W194" i="1"/>
  <c r="W184" i="1"/>
  <c r="W181" i="1"/>
  <c r="W179" i="1"/>
  <c r="W178" i="1"/>
  <c r="W204" i="1"/>
  <c r="W199" i="1"/>
  <c r="W198" i="1"/>
  <c r="W188" i="1"/>
  <c r="W185" i="1"/>
  <c r="W183" i="1"/>
  <c r="W182" i="1"/>
  <c r="W173" i="1"/>
  <c r="X230" i="1"/>
  <c r="X226" i="1"/>
  <c r="X207" i="1"/>
  <c r="X203" i="1"/>
  <c r="X199" i="1"/>
  <c r="X195" i="1"/>
  <c r="X191" i="1"/>
  <c r="X187" i="1"/>
  <c r="X183" i="1"/>
  <c r="X179" i="1"/>
  <c r="X175" i="1"/>
  <c r="W169" i="1"/>
  <c r="W164" i="1"/>
  <c r="W234" i="1"/>
  <c r="W233" i="1"/>
  <c r="W223" i="1"/>
  <c r="W218" i="1"/>
  <c r="W216" i="1"/>
  <c r="W162" i="1"/>
  <c r="W159" i="1"/>
  <c r="W156" i="1"/>
  <c r="W149" i="1"/>
  <c r="W146" i="1"/>
  <c r="W143" i="1"/>
  <c r="W140" i="1"/>
  <c r="W133" i="1"/>
  <c r="W130" i="1"/>
  <c r="W127" i="1"/>
  <c r="T174" i="1"/>
  <c r="U174" i="1" s="1"/>
  <c r="S174" i="1" s="1"/>
  <c r="W170" i="1"/>
  <c r="W165" i="1"/>
  <c r="W235" i="1"/>
  <c r="W225" i="1"/>
  <c r="W224" i="1"/>
  <c r="W219" i="1"/>
  <c r="W213" i="1"/>
  <c r="W211" i="1"/>
  <c r="W160" i="1"/>
  <c r="W153" i="1"/>
  <c r="W150" i="1"/>
  <c r="W147" i="1"/>
  <c r="W144" i="1"/>
  <c r="W137" i="1"/>
  <c r="W134" i="1"/>
  <c r="W131" i="1"/>
  <c r="W128" i="1"/>
  <c r="W126" i="1"/>
  <c r="T173" i="1"/>
  <c r="U173" i="1" s="1"/>
  <c r="S173" i="1" s="1"/>
  <c r="X173" i="1"/>
  <c r="W167" i="1"/>
  <c r="W166" i="1"/>
  <c r="W236" i="1"/>
  <c r="W231" i="1"/>
  <c r="W221" i="1"/>
  <c r="W220" i="1"/>
  <c r="W214" i="1"/>
  <c r="W212" i="1"/>
  <c r="W157" i="1"/>
  <c r="W154" i="1"/>
  <c r="W151" i="1"/>
  <c r="W148" i="1"/>
  <c r="W141" i="1"/>
  <c r="W138" i="1"/>
  <c r="W135" i="1"/>
  <c r="W132" i="1"/>
  <c r="X229" i="1"/>
  <c r="X210" i="1"/>
  <c r="X206" i="1"/>
  <c r="X202" i="1"/>
  <c r="X198" i="1"/>
  <c r="X194" i="1"/>
  <c r="X190" i="1"/>
  <c r="X186" i="1"/>
  <c r="X182" i="1"/>
  <c r="X178" i="1"/>
  <c r="W172" i="1"/>
  <c r="W168" i="1"/>
  <c r="W163" i="1"/>
  <c r="W237" i="1"/>
  <c r="W232" i="1"/>
  <c r="W222" i="1"/>
  <c r="W217" i="1"/>
  <c r="W215" i="1"/>
  <c r="W161" i="1"/>
  <c r="W158" i="1"/>
  <c r="W155" i="1"/>
  <c r="W152" i="1"/>
  <c r="W145" i="1"/>
  <c r="W142" i="1"/>
  <c r="W139" i="1"/>
  <c r="W136" i="1"/>
  <c r="W129" i="1"/>
  <c r="X169" i="1"/>
  <c r="X165" i="1"/>
  <c r="X236" i="1"/>
  <c r="X232" i="1"/>
  <c r="X223" i="1"/>
  <c r="X219" i="1"/>
  <c r="X215" i="1"/>
  <c r="X211" i="1"/>
  <c r="X159" i="1"/>
  <c r="X155" i="1"/>
  <c r="X151" i="1"/>
  <c r="X147" i="1"/>
  <c r="X143" i="1"/>
  <c r="X139" i="1"/>
  <c r="X135" i="1"/>
  <c r="X131" i="1"/>
  <c r="W121" i="1"/>
  <c r="W120" i="1"/>
  <c r="W115" i="1"/>
  <c r="W108" i="1"/>
  <c r="W105" i="1"/>
  <c r="W101" i="1"/>
  <c r="W97" i="1"/>
  <c r="W94" i="1"/>
  <c r="W90" i="1"/>
  <c r="W89" i="1"/>
  <c r="X170" i="1"/>
  <c r="T170" i="1"/>
  <c r="U170" i="1" s="1"/>
  <c r="S170" i="1" s="1"/>
  <c r="X166" i="1"/>
  <c r="T166" i="1"/>
  <c r="U166" i="1" s="1"/>
  <c r="S166" i="1" s="1"/>
  <c r="X237" i="1"/>
  <c r="T237" i="1"/>
  <c r="U237" i="1" s="1"/>
  <c r="S237" i="1" s="1"/>
  <c r="X233" i="1"/>
  <c r="T233" i="1"/>
  <c r="U233" i="1" s="1"/>
  <c r="S233" i="1" s="1"/>
  <c r="X224" i="1"/>
  <c r="T224" i="1"/>
  <c r="U224" i="1" s="1"/>
  <c r="S224" i="1" s="1"/>
  <c r="X220" i="1"/>
  <c r="T220" i="1"/>
  <c r="U220" i="1" s="1"/>
  <c r="S220" i="1" s="1"/>
  <c r="X216" i="1"/>
  <c r="X212" i="1"/>
  <c r="X160" i="1"/>
  <c r="X156" i="1"/>
  <c r="X152" i="1"/>
  <c r="X148" i="1"/>
  <c r="X144" i="1"/>
  <c r="X140" i="1"/>
  <c r="X136" i="1"/>
  <c r="X132" i="1"/>
  <c r="X128" i="1"/>
  <c r="W125" i="1"/>
  <c r="W122" i="1"/>
  <c r="W118" i="1"/>
  <c r="W117" i="1"/>
  <c r="W116" i="1"/>
  <c r="W111" i="1"/>
  <c r="W106" i="1"/>
  <c r="W103" i="1"/>
  <c r="W102" i="1"/>
  <c r="W99" i="1"/>
  <c r="W98" i="1"/>
  <c r="W95" i="1"/>
  <c r="W91" i="1"/>
  <c r="T125" i="1"/>
  <c r="U125" i="1" s="1"/>
  <c r="S125" i="1" s="1"/>
  <c r="X125" i="1"/>
  <c r="W124" i="1"/>
  <c r="W123" i="1"/>
  <c r="W114" i="1"/>
  <c r="W113" i="1"/>
  <c r="W112" i="1"/>
  <c r="W109" i="1"/>
  <c r="W107" i="1"/>
  <c r="W93" i="1"/>
  <c r="T126" i="1"/>
  <c r="U126" i="1" s="1"/>
  <c r="S126" i="1" s="1"/>
  <c r="X126" i="1"/>
  <c r="W119" i="1"/>
  <c r="W110" i="1"/>
  <c r="W104" i="1"/>
  <c r="W100" i="1"/>
  <c r="W96" i="1"/>
  <c r="W92" i="1"/>
  <c r="X122" i="1"/>
  <c r="X118" i="1"/>
  <c r="X114" i="1"/>
  <c r="X110" i="1"/>
  <c r="X106" i="1"/>
  <c r="X102" i="1"/>
  <c r="X98" i="1"/>
  <c r="X94" i="1"/>
  <c r="W88" i="1"/>
  <c r="W84" i="1"/>
  <c r="W82" i="1"/>
  <c r="W81" i="1"/>
  <c r="W79" i="1"/>
  <c r="W68" i="1"/>
  <c r="W66" i="1"/>
  <c r="W65" i="1"/>
  <c r="W63" i="1"/>
  <c r="X107" i="1"/>
  <c r="X103" i="1"/>
  <c r="X99" i="1"/>
  <c r="X95" i="1"/>
  <c r="X91" i="1"/>
  <c r="W86" i="1"/>
  <c r="W85" i="1"/>
  <c r="W83" i="1"/>
  <c r="W72" i="1"/>
  <c r="W70" i="1"/>
  <c r="W69" i="1"/>
  <c r="W67" i="1"/>
  <c r="W56" i="1"/>
  <c r="W87" i="1"/>
  <c r="W76" i="1"/>
  <c r="W74" i="1"/>
  <c r="W73" i="1"/>
  <c r="W71" i="1"/>
  <c r="W60" i="1"/>
  <c r="W58" i="1"/>
  <c r="W57" i="1"/>
  <c r="W54" i="1"/>
  <c r="W53" i="1"/>
  <c r="X121" i="1"/>
  <c r="X117" i="1"/>
  <c r="X113" i="1"/>
  <c r="X109" i="1"/>
  <c r="W80" i="1"/>
  <c r="W78" i="1"/>
  <c r="W77" i="1"/>
  <c r="W75" i="1"/>
  <c r="W64" i="1"/>
  <c r="W62" i="1"/>
  <c r="W61" i="1"/>
  <c r="W59" i="1"/>
  <c r="W55" i="1"/>
  <c r="W52" i="1"/>
  <c r="W46" i="1"/>
  <c r="W45" i="1"/>
  <c r="W43" i="1"/>
  <c r="W41" i="1"/>
  <c r="W30" i="1"/>
  <c r="W27" i="1"/>
  <c r="W25" i="1"/>
  <c r="W24" i="1"/>
  <c r="W22" i="1"/>
  <c r="W19" i="1"/>
  <c r="W15" i="1"/>
  <c r="X86" i="1"/>
  <c r="X82" i="1"/>
  <c r="X78" i="1"/>
  <c r="X74" i="1"/>
  <c r="X70" i="1"/>
  <c r="X66" i="1"/>
  <c r="X62" i="1"/>
  <c r="X58" i="1"/>
  <c r="X54" i="1"/>
  <c r="W42" i="1"/>
  <c r="W40" i="1"/>
  <c r="W37" i="1"/>
  <c r="W26" i="1"/>
  <c r="W23" i="1"/>
  <c r="W18" i="1"/>
  <c r="W14" i="1"/>
  <c r="X87" i="1"/>
  <c r="X83" i="1"/>
  <c r="X79" i="1"/>
  <c r="X75" i="1"/>
  <c r="X71" i="1"/>
  <c r="X67" i="1"/>
  <c r="X63" i="1"/>
  <c r="X59" i="1"/>
  <c r="X55" i="1"/>
  <c r="W51" i="1"/>
  <c r="W48" i="1"/>
  <c r="W39" i="1"/>
  <c r="W38" i="1"/>
  <c r="W36" i="1"/>
  <c r="W33" i="1"/>
  <c r="W32" i="1"/>
  <c r="W50" i="1"/>
  <c r="W49" i="1"/>
  <c r="W47" i="1"/>
  <c r="W44" i="1"/>
  <c r="W34" i="1"/>
  <c r="W31" i="1"/>
  <c r="W29" i="1"/>
  <c r="W28" i="1"/>
  <c r="W21" i="1"/>
  <c r="W20" i="1"/>
  <c r="W17" i="1"/>
  <c r="W16" i="1"/>
  <c r="X50" i="1"/>
  <c r="X39" i="1"/>
  <c r="X34" i="1"/>
  <c r="X30" i="1"/>
  <c r="X26" i="1"/>
  <c r="X22" i="1"/>
  <c r="X18" i="1"/>
  <c r="X23" i="1"/>
  <c r="AE36" i="3"/>
  <c r="AE31" i="3"/>
  <c r="AE27" i="3"/>
  <c r="AE24" i="3"/>
  <c r="AD20" i="3"/>
  <c r="AE19" i="3"/>
  <c r="AE16" i="3"/>
  <c r="AD12" i="3"/>
  <c r="AD33" i="3"/>
  <c r="AE28" i="3"/>
  <c r="AD24" i="3"/>
  <c r="AE23" i="3"/>
  <c r="AE20" i="3"/>
  <c r="AD16" i="3"/>
  <c r="AE15" i="3"/>
  <c r="AE12" i="3"/>
  <c r="AD8" i="3"/>
  <c r="AD17" i="3"/>
  <c r="AE8" i="3"/>
  <c r="AE47" i="3"/>
  <c r="AC16" i="3"/>
  <c r="AE40" i="3"/>
  <c r="AD36" i="3"/>
  <c r="AD35" i="3"/>
  <c r="T23" i="3"/>
  <c r="AC22" i="3"/>
  <c r="AD29" i="3"/>
  <c r="AD13" i="3"/>
  <c r="AC45" i="3"/>
  <c r="AD27" i="3"/>
  <c r="AD23" i="3"/>
  <c r="T13" i="3"/>
  <c r="AD19" i="3"/>
  <c r="T39" i="3"/>
  <c r="AD15" i="3"/>
  <c r="T33" i="3"/>
  <c r="AD11" i="3"/>
  <c r="T32" i="3"/>
  <c r="AE22" i="3"/>
  <c r="T30" i="3"/>
  <c r="AE18" i="3"/>
  <c r="T14" i="3"/>
  <c r="AE14" i="3"/>
  <c r="T21" i="3"/>
  <c r="AE10" i="3"/>
  <c r="T41" i="3"/>
  <c r="AD39" i="3"/>
  <c r="T24" i="3"/>
  <c r="AC8" i="3"/>
  <c r="AC37" i="3"/>
  <c r="T15" i="3"/>
  <c r="AD43" i="3"/>
  <c r="T40" i="3"/>
  <c r="AC7" i="3"/>
  <c r="AC46" i="3"/>
  <c r="AE26" i="3"/>
  <c r="T47" i="3"/>
  <c r="AD47" i="3"/>
  <c r="T29" i="3"/>
  <c r="AC17" i="3"/>
  <c r="AC43" i="3"/>
  <c r="AE32" i="3"/>
  <c r="AD31" i="3"/>
  <c r="T19" i="3"/>
  <c r="AC34" i="3"/>
  <c r="AC20" i="3"/>
  <c r="AC26" i="3"/>
  <c r="AC38" i="3"/>
  <c r="AC10" i="3"/>
  <c r="Y16" i="3"/>
  <c r="Y46" i="3"/>
  <c r="Y37" i="3"/>
  <c r="Y34" i="3"/>
  <c r="Y20" i="3"/>
  <c r="Y26" i="3"/>
  <c r="Y38" i="3"/>
  <c r="Y10" i="3"/>
  <c r="Y45" i="3"/>
  <c r="Y23" i="3"/>
  <c r="Y15" i="3"/>
  <c r="Y33" i="3"/>
  <c r="Y18" i="3"/>
  <c r="Y36" i="3"/>
  <c r="Y42" i="3"/>
  <c r="Y9" i="3"/>
  <c r="Y35" i="3"/>
  <c r="Y47" i="3"/>
  <c r="Y30" i="3"/>
  <c r="Y14" i="3"/>
  <c r="Y21" i="3"/>
  <c r="Y41" i="3"/>
  <c r="Y43" i="3"/>
  <c r="Y29" i="3"/>
  <c r="Y40" i="3"/>
  <c r="Y24" i="3"/>
  <c r="Y19" i="3"/>
  <c r="Y13" i="3"/>
  <c r="Y39" i="3"/>
  <c r="Y32" i="3"/>
  <c r="Y17" i="3"/>
  <c r="Y7" i="3"/>
  <c r="Y8" i="3"/>
  <c r="Y22" i="3"/>
  <c r="Y28" i="3"/>
  <c r="Y27" i="3"/>
  <c r="Y12" i="3"/>
  <c r="Y11" i="3"/>
  <c r="Y25" i="3"/>
  <c r="Y31" i="3"/>
  <c r="AC28" i="3"/>
  <c r="AC27" i="3"/>
  <c r="AC12" i="3"/>
  <c r="AC11" i="3"/>
  <c r="AC25" i="3"/>
  <c r="AC31" i="3"/>
  <c r="AD46" i="3"/>
  <c r="AE45" i="3"/>
  <c r="T17" i="3"/>
  <c r="AD42" i="3"/>
  <c r="AE41" i="3"/>
  <c r="T7" i="3"/>
  <c r="AD38" i="3"/>
  <c r="AE37" i="3"/>
  <c r="T8" i="3"/>
  <c r="AD34" i="3"/>
  <c r="AE33" i="3"/>
  <c r="T22" i="3"/>
  <c r="AD30" i="3"/>
  <c r="AE29" i="3"/>
  <c r="T28" i="3"/>
  <c r="AD26" i="3"/>
  <c r="AE25" i="3"/>
  <c r="T27" i="3"/>
  <c r="AD22" i="3"/>
  <c r="AE21" i="3"/>
  <c r="T12" i="3"/>
  <c r="AD18" i="3"/>
  <c r="AE17" i="3"/>
  <c r="T11" i="3"/>
  <c r="AD14" i="3"/>
  <c r="AE13" i="3"/>
  <c r="T25" i="3"/>
  <c r="AD10" i="3"/>
  <c r="AE9" i="3"/>
  <c r="T31" i="3"/>
  <c r="AE46" i="3"/>
  <c r="T18" i="3"/>
  <c r="AE42" i="3"/>
  <c r="T36" i="3"/>
  <c r="AE38" i="3"/>
  <c r="T42" i="3"/>
  <c r="AE34" i="3"/>
  <c r="T9" i="3"/>
  <c r="AE30" i="3"/>
  <c r="T35" i="3"/>
  <c r="S44" i="3"/>
  <c r="M44" i="3"/>
  <c r="R44" i="3"/>
  <c r="U44" i="3"/>
  <c r="V44" i="3"/>
  <c r="X44" i="3"/>
  <c r="W44" i="3"/>
  <c r="T44" i="3" l="1"/>
  <c r="AD44" i="3"/>
  <c r="AE44" i="3"/>
  <c r="AC44" i="3"/>
  <c r="Y44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31" i="3" s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32" i="3" s="1"/>
  <c r="G32" i="4"/>
  <c r="G33" i="4"/>
  <c r="N10" i="3" s="1"/>
  <c r="G34" i="4"/>
  <c r="N41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25" i="3" s="1"/>
  <c r="G50" i="4"/>
  <c r="G51" i="4"/>
  <c r="N33" i="3" s="1"/>
  <c r="G52" i="4"/>
  <c r="G53" i="4"/>
  <c r="G54" i="4"/>
  <c r="G55" i="4"/>
  <c r="G56" i="4"/>
  <c r="G57" i="4"/>
  <c r="G58" i="4"/>
  <c r="N11" i="3" s="1"/>
  <c r="G59" i="4"/>
  <c r="N38" i="3" s="1"/>
  <c r="G60" i="4"/>
  <c r="G61" i="4"/>
  <c r="G62" i="4"/>
  <c r="G63" i="4"/>
  <c r="N39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30" i="3" s="1"/>
  <c r="G85" i="4"/>
  <c r="G86" i="4"/>
  <c r="G87" i="4"/>
  <c r="N12" i="3" s="1"/>
  <c r="G88" i="4"/>
  <c r="G89" i="4"/>
  <c r="G90" i="4"/>
  <c r="G91" i="4"/>
  <c r="G92" i="4"/>
  <c r="G93" i="4"/>
  <c r="G94" i="4"/>
  <c r="G95" i="4"/>
  <c r="G96" i="4"/>
  <c r="N27" i="3" s="1"/>
  <c r="G97" i="4"/>
  <c r="G98" i="4"/>
  <c r="G99" i="4"/>
  <c r="G100" i="4"/>
  <c r="G101" i="4"/>
  <c r="G102" i="4"/>
  <c r="G103" i="4"/>
  <c r="G104" i="4"/>
  <c r="G105" i="4"/>
  <c r="N47" i="3" s="1"/>
  <c r="G106" i="4"/>
  <c r="G107" i="4"/>
  <c r="G108" i="4"/>
  <c r="G109" i="4"/>
  <c r="G110" i="4"/>
  <c r="G111" i="4"/>
  <c r="G112" i="4"/>
  <c r="N15" i="3" s="1"/>
  <c r="G113" i="4"/>
  <c r="G114" i="4"/>
  <c r="G115" i="4"/>
  <c r="G116" i="4"/>
  <c r="N34" i="3" s="1"/>
  <c r="G117" i="4"/>
  <c r="G118" i="4"/>
  <c r="G119" i="4"/>
  <c r="G120" i="4"/>
  <c r="G121" i="4"/>
  <c r="N28" i="3" s="1"/>
  <c r="G122" i="4"/>
  <c r="G123" i="4"/>
  <c r="G124" i="4"/>
  <c r="G125" i="4"/>
  <c r="G126" i="4"/>
  <c r="G127" i="4"/>
  <c r="G128" i="4"/>
  <c r="N35" i="3" s="1"/>
  <c r="G129" i="4"/>
  <c r="N19" i="3" s="1"/>
  <c r="G130" i="4"/>
  <c r="G131" i="4"/>
  <c r="G132" i="4"/>
  <c r="G133" i="4"/>
  <c r="G134" i="4"/>
  <c r="G135" i="4"/>
  <c r="G136" i="4"/>
  <c r="N37" i="3" s="1"/>
  <c r="G137" i="4"/>
  <c r="G138" i="4"/>
  <c r="N9" i="3" s="1"/>
  <c r="G139" i="4"/>
  <c r="G140" i="4"/>
  <c r="G141" i="4"/>
  <c r="G142" i="4"/>
  <c r="G143" i="4"/>
  <c r="G144" i="4"/>
  <c r="G145" i="4"/>
  <c r="G146" i="4"/>
  <c r="G147" i="4"/>
  <c r="N46" i="3" s="1"/>
  <c r="G148" i="4"/>
  <c r="G149" i="4"/>
  <c r="G150" i="4"/>
  <c r="G151" i="4"/>
  <c r="G152" i="4"/>
  <c r="G153" i="4"/>
  <c r="G154" i="4"/>
  <c r="G155" i="4"/>
  <c r="N8" i="3" s="1"/>
  <c r="G156" i="4"/>
  <c r="G157" i="4"/>
  <c r="G158" i="4"/>
  <c r="G159" i="4"/>
  <c r="N24" i="3" s="1"/>
  <c r="G160" i="4"/>
  <c r="G161" i="4"/>
  <c r="G162" i="4"/>
  <c r="G163" i="4"/>
  <c r="G164" i="4"/>
  <c r="G165" i="4"/>
  <c r="G166" i="4"/>
  <c r="N7" i="3" s="1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36" i="3" s="1"/>
  <c r="G183" i="4"/>
  <c r="G184" i="4"/>
  <c r="G185" i="4"/>
  <c r="G186" i="4"/>
  <c r="G187" i="4"/>
  <c r="G188" i="4"/>
  <c r="G189" i="4"/>
  <c r="G190" i="4"/>
  <c r="N40" i="3" s="1"/>
  <c r="G191" i="4"/>
  <c r="G192" i="4"/>
  <c r="G193" i="4"/>
  <c r="G194" i="4"/>
  <c r="N16" i="3" s="1"/>
  <c r="G195" i="4"/>
  <c r="G196" i="4"/>
  <c r="G197" i="4"/>
  <c r="G198" i="4"/>
  <c r="G199" i="4"/>
  <c r="G200" i="4"/>
  <c r="G201" i="4"/>
  <c r="N17" i="3" s="1"/>
  <c r="G202" i="4"/>
  <c r="G203" i="4"/>
  <c r="G204" i="4"/>
  <c r="G205" i="4"/>
  <c r="G206" i="4"/>
  <c r="G207" i="4"/>
  <c r="G208" i="4"/>
  <c r="G209" i="4"/>
  <c r="G210" i="4"/>
  <c r="N18" i="3" s="1"/>
  <c r="G211" i="4"/>
  <c r="G212" i="4"/>
  <c r="G213" i="4"/>
  <c r="G214" i="4"/>
  <c r="G215" i="4"/>
  <c r="G216" i="4"/>
  <c r="N29" i="3" s="1"/>
  <c r="G217" i="4"/>
  <c r="G218" i="4"/>
  <c r="G219" i="4"/>
  <c r="G220" i="4"/>
  <c r="G221" i="4"/>
  <c r="G222" i="4"/>
  <c r="G223" i="4"/>
  <c r="G2" i="4"/>
  <c r="N42" i="3" l="1"/>
  <c r="N43" i="3"/>
  <c r="N20" i="3"/>
  <c r="N13" i="3"/>
  <c r="N45" i="3"/>
  <c r="N26" i="3"/>
  <c r="N21" i="3"/>
  <c r="N14" i="3"/>
  <c r="N22" i="3"/>
  <c r="N23" i="3"/>
  <c r="N4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<sst xmlns="http://schemas.openxmlformats.org/spreadsheetml/2006/main" count="2674" uniqueCount="1005">
  <si>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</si>
  <si>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</si>
  <si>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</si>
  <si>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</si>
  <si>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</si>
  <si>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</si>
  <si>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</si>
  <si>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</si>
  <si>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</si>
  <si>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</si>
  <si>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</si>
  <si>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</si>
  <si>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</si>
  <si>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</si>
  <si>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</si>
  <si>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</si>
  <si>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</si>
  <si>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</si>
  <si>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</si>
  <si>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</si>
  <si>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</si>
  <si>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</si>
  <si>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</si>
  <si>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</si>
  <si>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</si>
  <si>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</si>
  <si>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</si>
  <si>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</si>
  <si>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</si>
  <si>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</si>
  <si>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</si>
  <si>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</si>
  <si>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</si>
  <si>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</si>
  <si>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</si>
  <si>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</si>
  <si>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</si>
  <si>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</si>
  <si>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</si>
  <si>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</si>
  <si>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</si>
  <si>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</si>
  <si>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</si>
  <si>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</si>
  <si>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</si>
  <si>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</si>
  <si>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</si>
  <si>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</si>
  <si>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</si>
  <si>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</si>
  <si>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</si>
  <si>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</si>
  <si>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</si>
  <si>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</si>
  <si>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</si>
  <si>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</si>
  <si>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</si>
  <si>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</si>
  <si>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</si>
  <si>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</si>
  <si>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</si>
  <si>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</si>
  <si>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</si>
  <si>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</si>
  <si>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</si>
  <si>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</si>
  <si>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</si>
  <si>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</si>
  <si>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</si>
  <si>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</si>
  <si>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</si>
  <si>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</si>
  <si>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</si>
  <si>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</si>
  <si>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</si>
  <si>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</si>
  <si>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</si>
  <si>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</si>
  <si>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</si>
  <si>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</si>
  <si>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</si>
  <si>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</si>
  <si>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</si>
  <si>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</si>
  <si>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</si>
  <si>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</si>
  <si>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</si>
  <si>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</si>
  <si>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</si>
  <si>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</si>
  <si>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</si>
  <si>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</si>
  <si>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</si>
  <si>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</si>
  <si>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</si>
  <si>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</si>
  <si>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</si>
  <si>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</si>
  <si>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</si>
  <si>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</si>
  <si>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</si>
  <si>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</si>
  <si>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</si>
  <si>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</si>
  <si>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</si>
  <si>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</si>
  <si>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</si>
  <si>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</si>
  <si>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</si>
  <si>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</si>
  <si>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</si>
  <si>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</si>
  <si>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</si>
  <si>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</si>
  <si>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</si>
  <si>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</si>
  <si>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</si>
  <si>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</si>
  <si>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</si>
  <si>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</si>
  <si>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</si>
  <si>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</si>
  <si>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</si>
  <si>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</si>
  <si>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</si>
  <si>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</si>
  <si>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</si>
  <si>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</si>
  <si>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</si>
  <si>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</si>
  <si>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</si>
  <si>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</si>
  <si>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</si>
  <si>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</si>
  <si>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</si>
  <si>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</si>
  <si>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</si>
  <si>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</si>
  <si>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</si>
  <si>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</si>
  <si>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</si>
  <si>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</si>
  <si>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</si>
  <si>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</si>
  <si>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</si>
  <si>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</si>
  <si>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</si>
  <si>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</si>
  <si>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</si>
  <si>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</si>
  <si>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</si>
  <si>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</si>
  <si>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</si>
  <si>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</si>
  <si>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</si>
  <si>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</si>
  <si>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</si>
  <si>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</si>
  <si>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</si>
  <si>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</si>
  <si>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</si>
  <si>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</si>
  <si>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</si>
  <si>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</si>
  <si>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</si>
  <si>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</si>
  <si>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</si>
  <si>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</si>
  <si>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</si>
  <si>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</si>
  <si>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</si>
  <si>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</si>
  <si>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</si>
  <si>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</si>
  <si>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</si>
  <si>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</si>
  <si>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</si>
  <si>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</si>
  <si>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</si>
  <si>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</si>
  <si>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</si>
  <si>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</si>
  <si>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</si>
  <si>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</si>
  <si>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</si>
  <si>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</si>
  <si>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</si>
  <si>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</si>
  <si>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</si>
  <si>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</si>
  <si>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</si>
  <si>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</si>
  <si>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</si>
  <si>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</si>
  <si>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</si>
  <si>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</si>
  <si>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</si>
  <si>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</si>
  <si>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</si>
  <si>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</si>
  <si>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</si>
  <si>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</si>
  <si>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</si>
  <si>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</si>
  <si>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</si>
  <si>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</si>
  <si>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</si>
  <si>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</si>
  <si>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</si>
  <si>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</si>
  <si>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</si>
  <si>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</si>
  <si>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</si>
  <si>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</si>
  <si>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</si>
  <si>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</si>
  <si>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</si>
  <si>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</si>
  <si>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</si>
  <si>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</si>
  <si>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</si>
  <si>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</si>
  <si>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</si>
  <si>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</si>
  <si>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</si>
  <si>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</si>
  <si>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</si>
  <si>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</si>
  <si>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</si>
  <si>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</si>
  <si>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</si>
  <si>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</si>
  <si>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</si>
  <si>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</si>
  <si>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</si>
  <si>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</si>
  <si>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</si>
  <si>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</si>
  <si>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</si>
  <si>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</si>
  <si>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</si>
  <si>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</si>
  <si>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</si>
  <si>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</si>
  <si>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</si>
  <si>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</si>
  <si>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</si>
  <si>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</si>
  <si>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</si>
  <si>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</si>
  <si>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</si>
  <si>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</si>
  <si>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</si>
  <si>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</si>
  <si>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</si>
  <si>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</si>
  <si>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</si>
  <si>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</si>
  <si>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</si>
  <si>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</si>
  <si>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</si>
  <si>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</si>
  <si>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</si>
  <si>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</si>
  <si>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</si>
  <si>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</si>
  <si>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</si>
  <si>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</si>
  <si>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</si>
  <si>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</si>
  <si>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</si>
  <si>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</si>
  <si>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</si>
  <si>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</si>
  <si>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</si>
  <si>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</si>
  <si>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</si>
  <si>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</si>
  <si>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</si>
  <si>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</si>
  <si>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</si>
  <si>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</si>
  <si>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</si>
  <si>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</si>
  <si>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</si>
  <si>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</si>
  <si>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</si>
  <si>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</si>
  <si>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</si>
  <si>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</si>
  <si>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</si>
  <si>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</si>
  <si>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</si>
  <si>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</si>
  <si>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</si>
  <si>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</si>
  <si>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</si>
  <si>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</si>
  <si>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</si>
  <si>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</si>
  <si>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</si>
  <si>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</si>
  <si>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</si>
  <si>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</si>
  <si>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</si>
  <si>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</si>
  <si>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</si>
  <si>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</si>
  <si>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</si>
  <si>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</si>
  <si>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</si>
  <si>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</si>
  <si>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</si>
  <si>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</si>
  <si>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</si>
  <si>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</si>
  <si>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</si>
  <si>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</si>
  <si>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</si>
  <si>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</si>
  <si>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</si>
  <si>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</si>
  <si>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</si>
  <si>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</si>
  <si>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</si>
  <si>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</si>
  <si>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</si>
  <si>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</si>
  <si>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</si>
  <si>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</si>
  <si>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</si>
  <si>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</si>
  <si>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</si>
  <si>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</si>
  <si>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</si>
  <si>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</si>
  <si>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</si>
  <si>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</si>
  <si>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</si>
  <si>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</si>
  <si>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</si>
  <si>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</si>
  <si>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</si>
  <si>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</si>
  <si>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</si>
  <si>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</si>
  <si>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</si>
  <si>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</si>
  <si>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</si>
  <si>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</si>
  <si>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GUZMAN</t>
  </si>
  <si>
    <t>DANNY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</si>
  <si>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</si>
  <si>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</si>
  <si>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</si>
  <si>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</si>
  <si>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</si>
  <si>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</si>
  <si>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</si>
  <si>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</si>
  <si>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</si>
  <si>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</si>
  <si>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</si>
  <si>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</si>
  <si>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</si>
  <si>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</si>
  <si>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</si>
  <si>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</si>
  <si>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</si>
  <si>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</si>
  <si>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</si>
  <si>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</si>
  <si>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</si>
  <si>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</si>
  <si>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</si>
  <si>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</si>
  <si>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</si>
  <si>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</si>
  <si>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</si>
  <si>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</si>
  <si>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</si>
  <si>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</si>
  <si>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204:160</t>
  </si>
  <si>
    <t>204:163</t>
  </si>
  <si>
    <t>204:138</t>
  </si>
  <si>
    <t>204:442</t>
  </si>
  <si>
    <t>clear-day</t>
  </si>
  <si>
    <t>Clear</t>
  </si>
  <si>
    <t>clear-night</t>
  </si>
  <si>
    <t>rtdc.l.rtdc.4012:itc</t>
  </si>
  <si>
    <t>SWITCH UNKNOWN</t>
  </si>
  <si>
    <t>Track device (7)</t>
  </si>
  <si>
    <t>rtdc.l.rtdc.4011:itc</t>
  </si>
  <si>
    <t>MOSES</t>
  </si>
  <si>
    <t>BRADLEY</t>
  </si>
  <si>
    <t>204:444</t>
  </si>
  <si>
    <t>204:471</t>
  </si>
  <si>
    <t>204:466</t>
  </si>
  <si>
    <t>204:233293</t>
  </si>
  <si>
    <t>Early Arrival</t>
  </si>
  <si>
    <t>204:233308</t>
  </si>
  <si>
    <t>204:233302</t>
  </si>
  <si>
    <t>204:233291</t>
  </si>
  <si>
    <t>204:156</t>
  </si>
  <si>
    <t>204:232998</t>
  </si>
  <si>
    <t>204:172</t>
  </si>
  <si>
    <t>204:467</t>
  </si>
  <si>
    <t>204:435</t>
  </si>
  <si>
    <t>204:233321</t>
  </si>
  <si>
    <t>204:233282</t>
  </si>
  <si>
    <t>204:437</t>
  </si>
  <si>
    <t>300:58623</t>
  </si>
  <si>
    <t>204:232987</t>
  </si>
  <si>
    <t>204:233004</t>
  </si>
  <si>
    <t>204:440</t>
  </si>
  <si>
    <t>204:233036</t>
  </si>
  <si>
    <t>204:233314</t>
  </si>
  <si>
    <t>300:23308</t>
  </si>
  <si>
    <t>204:680</t>
  </si>
  <si>
    <t>204:972</t>
  </si>
  <si>
    <t>rtdc.l.rtdc.4027:itc</t>
  </si>
  <si>
    <t>rtdc.l.rtdc.4028:itc</t>
  </si>
  <si>
    <t>PERKINS</t>
  </si>
  <si>
    <t>DARREN</t>
  </si>
  <si>
    <t>204:233311</t>
  </si>
  <si>
    <t>204:233002</t>
  </si>
  <si>
    <t>204:233312</t>
  </si>
  <si>
    <t>204:233300</t>
  </si>
  <si>
    <t>204:134</t>
  </si>
  <si>
    <t>204:233055</t>
  </si>
  <si>
    <t>204:232985</t>
  </si>
  <si>
    <t>300:23312</t>
  </si>
  <si>
    <t>300:58929</t>
  </si>
  <si>
    <t>300:58611</t>
  </si>
  <si>
    <t>rtdc.l.rtdc.4054:itc</t>
  </si>
  <si>
    <t>rtdc.l.rtdc.4057:itc</t>
  </si>
  <si>
    <t>rtdc.l.rtdc.4058:itc</t>
  </si>
  <si>
    <t>LALONDE</t>
  </si>
  <si>
    <t>GREGORY</t>
  </si>
  <si>
    <t>MAELZER</t>
  </si>
  <si>
    <t>KURT</t>
  </si>
  <si>
    <t>NEWELL</t>
  </si>
  <si>
    <t>MACDONALD</t>
  </si>
  <si>
    <t>ROMERO</t>
  </si>
  <si>
    <t>CHAD</t>
  </si>
  <si>
    <t>THOMPSON</t>
  </si>
  <si>
    <t>LESTER</t>
  </si>
  <si>
    <t>BRUDER</t>
  </si>
  <si>
    <t>RICHARD</t>
  </si>
  <si>
    <t>204:233315</t>
  </si>
  <si>
    <t>204:129</t>
  </si>
  <si>
    <t>204:233028</t>
  </si>
  <si>
    <t>204:233088</t>
  </si>
  <si>
    <t>204:232981</t>
  </si>
  <si>
    <t>204:233344</t>
  </si>
  <si>
    <t>300:58948</t>
  </si>
  <si>
    <t>300:58937</t>
  </si>
  <si>
    <t>300:58931</t>
  </si>
  <si>
    <t>204:698</t>
  </si>
  <si>
    <t>204:682</t>
  </si>
  <si>
    <t>204:967</t>
  </si>
  <si>
    <t>204:233368</t>
  </si>
  <si>
    <t>204:233289</t>
  </si>
  <si>
    <t>rtdc.l.rtdc.4039:itc</t>
  </si>
  <si>
    <t>rtdc.l.rtdc.4042:itc</t>
  </si>
  <si>
    <t>rtdc.l.rtdc.4050:itc</t>
  </si>
  <si>
    <t>rtdc.l.rtdc.4009:itc</t>
  </si>
  <si>
    <t>rtdc.l.rtdc.4010:itc</t>
  </si>
  <si>
    <t>STARKS</t>
  </si>
  <si>
    <t>ANGELINA</t>
  </si>
  <si>
    <t>rtdc.l.rtdc.4040:itc</t>
  </si>
  <si>
    <t>LANGERAK</t>
  </si>
  <si>
    <t>WILLIAM</t>
  </si>
  <si>
    <t>DAVIDSON</t>
  </si>
  <si>
    <t>DAVID</t>
  </si>
  <si>
    <t>LOZA</t>
  </si>
  <si>
    <t>FIDEL</t>
  </si>
  <si>
    <t>BONDS</t>
  </si>
  <si>
    <t>REYNALDO</t>
  </si>
  <si>
    <t>GUNTHIER</t>
  </si>
  <si>
    <t>ERIC</t>
  </si>
  <si>
    <t>TOUSIGNAUT</t>
  </si>
  <si>
    <t>CARL</t>
  </si>
  <si>
    <t>LEVIN</t>
  </si>
  <si>
    <t>SCOTT</t>
  </si>
  <si>
    <t>BARRON</t>
  </si>
  <si>
    <t>PERLA</t>
  </si>
  <si>
    <t>rtdc.l.rtdc.4003:itc</t>
  </si>
  <si>
    <t>WEST</t>
  </si>
  <si>
    <t>BRYAN</t>
  </si>
  <si>
    <t>MAGEE</t>
  </si>
  <si>
    <t>KENYA</t>
  </si>
  <si>
    <t>307-21</t>
  </si>
  <si>
    <t>242-21</t>
  </si>
  <si>
    <t>309-21</t>
  </si>
  <si>
    <t>244-21</t>
  </si>
  <si>
    <t>311-21</t>
  </si>
  <si>
    <t>313-21</t>
  </si>
  <si>
    <t>300-22</t>
  </si>
  <si>
    <t>partly-cloudy-night</t>
  </si>
  <si>
    <t>Partly Cloudy</t>
  </si>
  <si>
    <t>204:169</t>
  </si>
  <si>
    <t>204:232977</t>
  </si>
  <si>
    <t>204:232965</t>
  </si>
  <si>
    <t>204:477</t>
  </si>
  <si>
    <t>204:232980</t>
  </si>
  <si>
    <t>204:233338</t>
  </si>
  <si>
    <t>204:233283</t>
  </si>
  <si>
    <t>204:170</t>
  </si>
  <si>
    <t>204:233286</t>
  </si>
  <si>
    <t>204:233304</t>
  </si>
  <si>
    <t>204:473</t>
  </si>
  <si>
    <t>204:233363</t>
  </si>
  <si>
    <t>204:165</t>
  </si>
  <si>
    <t>204:232979</t>
  </si>
  <si>
    <t>204:488</t>
  </si>
  <si>
    <t>204:136</t>
  </si>
  <si>
    <t>204:139</t>
  </si>
  <si>
    <t>204:233378</t>
  </si>
  <si>
    <t>204:233087</t>
  </si>
  <si>
    <t>204:233324</t>
  </si>
  <si>
    <t>204:233007</t>
  </si>
  <si>
    <t>204:233385</t>
  </si>
  <si>
    <t>204:232974</t>
  </si>
  <si>
    <t>204:123</t>
  </si>
  <si>
    <t>204:233053</t>
  </si>
  <si>
    <t>204:233397</t>
  </si>
  <si>
    <t>300:20273</t>
  </si>
  <si>
    <t>300:23299</t>
  </si>
  <si>
    <t>300:58626</t>
  </si>
  <si>
    <t>204:969</t>
  </si>
  <si>
    <t>204:990</t>
  </si>
  <si>
    <t>300:58933</t>
  </si>
  <si>
    <t>204:983</t>
  </si>
  <si>
    <t>300:58632</t>
  </si>
  <si>
    <t>204:1020</t>
  </si>
  <si>
    <t>300:58617</t>
  </si>
  <si>
    <t>300:58615</t>
  </si>
  <si>
    <t>300:58928</t>
  </si>
  <si>
    <t>300:58604</t>
  </si>
  <si>
    <t>300:58606</t>
  </si>
  <si>
    <t>300:58924</t>
  </si>
  <si>
    <t>204:981</t>
  </si>
  <si>
    <t>204:976</t>
  </si>
  <si>
    <t>300:58621</t>
  </si>
  <si>
    <t>300:58935</t>
  </si>
  <si>
    <t>204:974</t>
  </si>
  <si>
    <t>300:58640</t>
  </si>
  <si>
    <t>204:705</t>
  </si>
  <si>
    <t>204:1034</t>
  </si>
  <si>
    <t>204:736</t>
  </si>
  <si>
    <t>start /low /b %USERPROFILE%\Documents\GitHub\eaglep3\Utilities\DownloadLogsFromS3.py --loco 4009 --day 2017-08-22</t>
  </si>
  <si>
    <t>103-22</t>
  </si>
  <si>
    <t>rtdc.l.rtdc.4026:itc</t>
  </si>
  <si>
    <t>801-22</t>
  </si>
  <si>
    <t>115-22</t>
  </si>
  <si>
    <t>rtdc.l.rtdc.4005:itc</t>
  </si>
  <si>
    <t>110-22</t>
  </si>
  <si>
    <t>127-22</t>
  </si>
  <si>
    <t>rtdc.l.rtdc.4055:itc</t>
  </si>
  <si>
    <t>126-22</t>
  </si>
  <si>
    <t>129-22</t>
  </si>
  <si>
    <t>809-22</t>
  </si>
  <si>
    <t>133-22</t>
  </si>
  <si>
    <t>rtdc.l.rtdc.4025:itc</t>
  </si>
  <si>
    <t>810-22</t>
  </si>
  <si>
    <t>146-22</t>
  </si>
  <si>
    <t>144-22</t>
  </si>
  <si>
    <t>rtdc.l.rtdc.4056:itc</t>
  </si>
  <si>
    <t>155-22</t>
  </si>
  <si>
    <t>154-22</t>
  </si>
  <si>
    <t>rtdc.l.rtdc.4023:itc</t>
  </si>
  <si>
    <t>59-22</t>
  </si>
  <si>
    <t>162-22</t>
  </si>
  <si>
    <t>169-22</t>
  </si>
  <si>
    <t>168-22</t>
  </si>
  <si>
    <t>rtdc.l.rtdc.4004:itc</t>
  </si>
  <si>
    <t>179-22</t>
  </si>
  <si>
    <t>174-22</t>
  </si>
  <si>
    <t>rtdc.l.rtdc.4030:itc</t>
  </si>
  <si>
    <t>823-22</t>
  </si>
  <si>
    <t>189-22</t>
  </si>
  <si>
    <t>180-22</t>
  </si>
  <si>
    <t>904-22</t>
  </si>
  <si>
    <t>190-22</t>
  </si>
  <si>
    <t>828-22</t>
  </si>
  <si>
    <t>199-22</t>
  </si>
  <si>
    <t>203-22</t>
  </si>
  <si>
    <t>211-22</t>
  </si>
  <si>
    <t>836-22</t>
  </si>
  <si>
    <t>212-22</t>
  </si>
  <si>
    <t>rtdc.l.rtdc.4006:itc</t>
  </si>
  <si>
    <t>221-22</t>
  </si>
  <si>
    <t>225-22</t>
  </si>
  <si>
    <t>226-22</t>
  </si>
  <si>
    <t>101-22</t>
  </si>
  <si>
    <t>67-22</t>
  </si>
  <si>
    <t>SPECTOR</t>
  </si>
  <si>
    <t>302-22</t>
  </si>
  <si>
    <t>68-22</t>
  </si>
  <si>
    <t>304-22</t>
  </si>
  <si>
    <t>102-22</t>
  </si>
  <si>
    <t>306-22</t>
  </si>
  <si>
    <t>105-22</t>
  </si>
  <si>
    <t>107-22</t>
  </si>
  <si>
    <t>308-22</t>
  </si>
  <si>
    <t>104-22</t>
  </si>
  <si>
    <t>109-22</t>
  </si>
  <si>
    <t>901-22</t>
  </si>
  <si>
    <t>HELVIE</t>
  </si>
  <si>
    <t>ADAM</t>
  </si>
  <si>
    <t>rtdc.l.rtdc.4053:itc</t>
  </si>
  <si>
    <t>310-22</t>
  </si>
  <si>
    <t>111-22</t>
  </si>
  <si>
    <t>106-22</t>
  </si>
  <si>
    <t>800-22</t>
  </si>
  <si>
    <t>312-22</t>
  </si>
  <si>
    <t>108-22</t>
  </si>
  <si>
    <t>113-22</t>
  </si>
  <si>
    <t>rtdc.l.rtdc.4024:itc</t>
  </si>
  <si>
    <t>117-22</t>
  </si>
  <si>
    <t>112-22</t>
  </si>
  <si>
    <t>119-22</t>
  </si>
  <si>
    <t>121-22</t>
  </si>
  <si>
    <t>802-22</t>
  </si>
  <si>
    <t>114-22</t>
  </si>
  <si>
    <t>803-22</t>
  </si>
  <si>
    <t>116-22</t>
  </si>
  <si>
    <t>123-22</t>
  </si>
  <si>
    <t>118-22</t>
  </si>
  <si>
    <t>125-22</t>
  </si>
  <si>
    <t>rtdc.l.rtdc.4029:itc</t>
  </si>
  <si>
    <t>804-22</t>
  </si>
  <si>
    <t>805-22</t>
  </si>
  <si>
    <t>120-22</t>
  </si>
  <si>
    <t>122-22</t>
  </si>
  <si>
    <t>806-22</t>
  </si>
  <si>
    <t>131-22</t>
  </si>
  <si>
    <t>807-22</t>
  </si>
  <si>
    <t>124-22</t>
  </si>
  <si>
    <t>808-22</t>
  </si>
  <si>
    <t>128-22</t>
  </si>
  <si>
    <t>135-22</t>
  </si>
  <si>
    <t>130-22</t>
  </si>
  <si>
    <t>132-22</t>
  </si>
  <si>
    <t>811-22</t>
  </si>
  <si>
    <t>YANG</t>
  </si>
  <si>
    <t>JAN</t>
  </si>
  <si>
    <t>137-22</t>
  </si>
  <si>
    <t>139-22</t>
  </si>
  <si>
    <t>903-22</t>
  </si>
  <si>
    <t>134-22</t>
  </si>
  <si>
    <t>136-22</t>
  </si>
  <si>
    <t>812-22</t>
  </si>
  <si>
    <t>141-22</t>
  </si>
  <si>
    <t>143-22</t>
  </si>
  <si>
    <t>138-22</t>
  </si>
  <si>
    <t>145-22</t>
  </si>
  <si>
    <t>813-22</t>
  </si>
  <si>
    <t>140-22</t>
  </si>
  <si>
    <t>142-22</t>
  </si>
  <si>
    <t>147-22</t>
  </si>
  <si>
    <t>814-22</t>
  </si>
  <si>
    <t>149-22</t>
  </si>
  <si>
    <t>151-22</t>
  </si>
  <si>
    <t>SANTIZO</t>
  </si>
  <si>
    <t>D. EDY</t>
  </si>
  <si>
    <t>153-22</t>
  </si>
  <si>
    <t>815-22</t>
  </si>
  <si>
    <t>148-22</t>
  </si>
  <si>
    <t>150-22</t>
  </si>
  <si>
    <t>157-22</t>
  </si>
  <si>
    <t>DE LA ROSA</t>
  </si>
  <si>
    <t>ALEX</t>
  </si>
  <si>
    <t>816-22</t>
  </si>
  <si>
    <t>152-22</t>
  </si>
  <si>
    <t>159-22</t>
  </si>
  <si>
    <t>156-22</t>
  </si>
  <si>
    <t>817-22</t>
  </si>
  <si>
    <t>161-22</t>
  </si>
  <si>
    <t>STEWART</t>
  </si>
  <si>
    <t>163-22</t>
  </si>
  <si>
    <t>158-22</t>
  </si>
  <si>
    <t>818-22</t>
  </si>
  <si>
    <t>160-22</t>
  </si>
  <si>
    <t>165-22</t>
  </si>
  <si>
    <t>167-22</t>
  </si>
  <si>
    <t>164-22</t>
  </si>
  <si>
    <t>819-22</t>
  </si>
  <si>
    <t>171-22</t>
  </si>
  <si>
    <t>820-22</t>
  </si>
  <si>
    <t>166-22</t>
  </si>
  <si>
    <t>173-22</t>
  </si>
  <si>
    <t>MCREYNOLDS</t>
  </si>
  <si>
    <t>KYLE</t>
  </si>
  <si>
    <t>175-22</t>
  </si>
  <si>
    <t>170-22</t>
  </si>
  <si>
    <t>177-22</t>
  </si>
  <si>
    <t>821-22</t>
  </si>
  <si>
    <t>172-22</t>
  </si>
  <si>
    <t>822-22</t>
  </si>
  <si>
    <t>181-22</t>
  </si>
  <si>
    <t>176-22</t>
  </si>
  <si>
    <t>178-22</t>
  </si>
  <si>
    <t>183-22</t>
  </si>
  <si>
    <t>185-22</t>
  </si>
  <si>
    <t>187-22</t>
  </si>
  <si>
    <t>824-22</t>
  </si>
  <si>
    <t>182-22</t>
  </si>
  <si>
    <t>184-22</t>
  </si>
  <si>
    <t>191-22</t>
  </si>
  <si>
    <t>186-22</t>
  </si>
  <si>
    <t>188-22</t>
  </si>
  <si>
    <t>193-22</t>
  </si>
  <si>
    <t>825-22</t>
  </si>
  <si>
    <t>195-22</t>
  </si>
  <si>
    <t>827-22</t>
  </si>
  <si>
    <t>826-22</t>
  </si>
  <si>
    <t>192-22</t>
  </si>
  <si>
    <t>197-22</t>
  </si>
  <si>
    <t>194-22</t>
  </si>
  <si>
    <t>201-22</t>
  </si>
  <si>
    <t>829-22</t>
  </si>
  <si>
    <t>196-22</t>
  </si>
  <si>
    <t>STORY</t>
  </si>
  <si>
    <t>SAMANTHA</t>
  </si>
  <si>
    <t>830-22</t>
  </si>
  <si>
    <t>205-22</t>
  </si>
  <si>
    <t>198-22</t>
  </si>
  <si>
    <t>831-22</t>
  </si>
  <si>
    <t>200-22</t>
  </si>
  <si>
    <t>207-22</t>
  </si>
  <si>
    <t>75-22</t>
  </si>
  <si>
    <t>202-22</t>
  </si>
  <si>
    <t>832-22</t>
  </si>
  <si>
    <t>209-22</t>
  </si>
  <si>
    <t>833-22</t>
  </si>
  <si>
    <t>206-22</t>
  </si>
  <si>
    <t>204-22</t>
  </si>
  <si>
    <t>835-22</t>
  </si>
  <si>
    <t>834-22</t>
  </si>
  <si>
    <t>213-22</t>
  </si>
  <si>
    <t>rtdc.l.rtdc.4001:itc</t>
  </si>
  <si>
    <t>50-22</t>
  </si>
  <si>
    <t>SAFIEF</t>
  </si>
  <si>
    <t>AEIMEN</t>
  </si>
  <si>
    <t>208-22</t>
  </si>
  <si>
    <t>215-22</t>
  </si>
  <si>
    <t>210-22</t>
  </si>
  <si>
    <t>217-22</t>
  </si>
  <si>
    <t>FORTUNATO</t>
  </si>
  <si>
    <t>FRANK</t>
  </si>
  <si>
    <t>837-22</t>
  </si>
  <si>
    <t>219-22</t>
  </si>
  <si>
    <t>NELSON</t>
  </si>
  <si>
    <t>ARIANE</t>
  </si>
  <si>
    <t>214-22</t>
  </si>
  <si>
    <t>838-22</t>
  </si>
  <si>
    <t>301-22</t>
  </si>
  <si>
    <t>839-22</t>
  </si>
  <si>
    <t>216-22</t>
  </si>
  <si>
    <t>218-22</t>
  </si>
  <si>
    <t>906-22</t>
  </si>
  <si>
    <t>303-22</t>
  </si>
  <si>
    <t>841-22</t>
  </si>
  <si>
    <t>220-22</t>
  </si>
  <si>
    <t>223-22</t>
  </si>
  <si>
    <t>840-22</t>
  </si>
  <si>
    <t>305-22</t>
  </si>
  <si>
    <t>222-22</t>
  </si>
  <si>
    <t>227-22</t>
  </si>
  <si>
    <t>843-22</t>
  </si>
  <si>
    <t>224-22</t>
  </si>
  <si>
    <t>842-22</t>
  </si>
  <si>
    <t>229-22</t>
  </si>
  <si>
    <t>845-22</t>
  </si>
  <si>
    <t>228-22</t>
  </si>
  <si>
    <t>231-22</t>
  </si>
  <si>
    <t>844-22</t>
  </si>
  <si>
    <t>233-22</t>
  </si>
  <si>
    <t>230-22</t>
  </si>
  <si>
    <t>847-22</t>
  </si>
  <si>
    <t>232-22</t>
  </si>
  <si>
    <t>235-22</t>
  </si>
  <si>
    <t>908-22</t>
  </si>
  <si>
    <t>234-22</t>
  </si>
  <si>
    <t>237-22</t>
  </si>
  <si>
    <t>239-22</t>
  </si>
  <si>
    <t>236-22</t>
  </si>
  <si>
    <t>238-22</t>
  </si>
  <si>
    <t>241-22</t>
  </si>
  <si>
    <t>240-22</t>
  </si>
  <si>
    <t>243-22</t>
  </si>
  <si>
    <t>242-22</t>
  </si>
  <si>
    <t>307-22</t>
  </si>
  <si>
    <t>309-22</t>
  </si>
  <si>
    <t>244-22</t>
  </si>
  <si>
    <t>311-22</t>
  </si>
  <si>
    <t>313-22</t>
  </si>
  <si>
    <t>partly-cloudy-day</t>
  </si>
  <si>
    <t>204:701</t>
  </si>
  <si>
    <t>204:233274</t>
  </si>
  <si>
    <t>204:233082</t>
  </si>
  <si>
    <t>204:233306</t>
  </si>
  <si>
    <t>204:232993</t>
  </si>
  <si>
    <t>204:438</t>
  </si>
  <si>
    <t>204:469</t>
  </si>
  <si>
    <t>204:233287</t>
  </si>
  <si>
    <t>204:232972</t>
  </si>
  <si>
    <t>204:161</t>
  </si>
  <si>
    <t>204:232973</t>
  </si>
  <si>
    <t>204:232994</t>
  </si>
  <si>
    <t>204:233407</t>
  </si>
  <si>
    <t>204:919</t>
  </si>
  <si>
    <t>204:233327</t>
  </si>
  <si>
    <t>204:233021</t>
  </si>
  <si>
    <t>204:233000</t>
  </si>
  <si>
    <t>204:233017</t>
  </si>
  <si>
    <t>204:1492</t>
  </si>
  <si>
    <t>204:233305</t>
  </si>
  <si>
    <t>204:1295</t>
  </si>
  <si>
    <t>204:19132</t>
  </si>
  <si>
    <t>204:232969</t>
  </si>
  <si>
    <t>204:233370</t>
  </si>
  <si>
    <t>204:233092</t>
  </si>
  <si>
    <t>204:998</t>
  </si>
  <si>
    <t>204:233280</t>
  </si>
  <si>
    <t>204:232947</t>
  </si>
  <si>
    <t>204:167</t>
  </si>
  <si>
    <t>204:233268</t>
  </si>
  <si>
    <t>204:232955</t>
  </si>
  <si>
    <t>204:121</t>
  </si>
  <si>
    <t>204:233323</t>
  </si>
  <si>
    <t>204:1147</t>
  </si>
  <si>
    <t>204:233297</t>
  </si>
  <si>
    <t>204:233255</t>
  </si>
  <si>
    <t>204:232929</t>
  </si>
  <si>
    <t>204:232989</t>
  </si>
  <si>
    <t>204:233010</t>
  </si>
  <si>
    <t>204:233061</t>
  </si>
  <si>
    <t>204:233074</t>
  </si>
  <si>
    <t>204:504</t>
  </si>
  <si>
    <t>204:200</t>
  </si>
  <si>
    <t>204:37177</t>
  </si>
  <si>
    <t>204:233349</t>
  </si>
  <si>
    <t>204:498</t>
  </si>
  <si>
    <t>204:233328</t>
  </si>
  <si>
    <t>204:233298</t>
  </si>
  <si>
    <t>204:9475</t>
  </si>
  <si>
    <t>204:233098</t>
  </si>
  <si>
    <t>204:233403</t>
  </si>
  <si>
    <t>204:233097</t>
  </si>
  <si>
    <t>204:5503</t>
  </si>
  <si>
    <t>204:502</t>
  </si>
  <si>
    <t>204:4994</t>
  </si>
  <si>
    <t>204:233316</t>
  </si>
  <si>
    <t>204:154020</t>
  </si>
  <si>
    <t>204:19123</t>
  </si>
  <si>
    <t>204:233353</t>
  </si>
  <si>
    <t>204:2589</t>
  </si>
  <si>
    <t>204:6514</t>
  </si>
  <si>
    <t>204:10090</t>
  </si>
  <si>
    <t>204:2004</t>
  </si>
  <si>
    <t>204:5380</t>
  </si>
  <si>
    <t>204:19136</t>
  </si>
  <si>
    <t>204:233364</t>
  </si>
  <si>
    <t>204:1945</t>
  </si>
  <si>
    <t>204:3011</t>
  </si>
  <si>
    <t>204:233051</t>
  </si>
  <si>
    <t>204:9516</t>
  </si>
  <si>
    <t>204:4890</t>
  </si>
  <si>
    <t>204:233398</t>
  </si>
  <si>
    <t>204:233104</t>
  </si>
  <si>
    <t>204:5225</t>
  </si>
  <si>
    <t>204:233295</t>
  </si>
  <si>
    <t>204:232992</t>
  </si>
  <si>
    <t>204:127</t>
  </si>
  <si>
    <t>204:19121</t>
  </si>
  <si>
    <t>204:1133</t>
  </si>
  <si>
    <t>204:233345</t>
  </si>
  <si>
    <t>204:233048</t>
  </si>
  <si>
    <t>204:233400</t>
  </si>
  <si>
    <t>204:233435</t>
  </si>
  <si>
    <t>204:233119</t>
  </si>
  <si>
    <t>204:100</t>
  </si>
  <si>
    <t>204:233299</t>
  </si>
  <si>
    <t>204:489</t>
  </si>
  <si>
    <t>204:233412</t>
  </si>
  <si>
    <t>204:233040</t>
  </si>
  <si>
    <t>204:232976</t>
  </si>
  <si>
    <t>204:130</t>
  </si>
  <si>
    <t>204:233253</t>
  </si>
  <si>
    <t>204:232936</t>
  </si>
  <si>
    <t>204:233372</t>
  </si>
  <si>
    <t>204:233047</t>
  </si>
  <si>
    <t>204:218</t>
  </si>
  <si>
    <t>204:424</t>
  </si>
  <si>
    <t>204:233015</t>
  </si>
  <si>
    <t>204:8937</t>
  </si>
  <si>
    <t>204:233242</t>
  </si>
  <si>
    <t>204:232930</t>
  </si>
  <si>
    <t>204:233278</t>
  </si>
  <si>
    <t>204:232948</t>
  </si>
  <si>
    <t>204:148</t>
  </si>
  <si>
    <t>204:404</t>
  </si>
  <si>
    <t>300:23449</t>
  </si>
  <si>
    <t>300:23304</t>
  </si>
  <si>
    <t>300:19318</t>
  </si>
  <si>
    <t>204:684</t>
  </si>
  <si>
    <t>204:1016</t>
  </si>
  <si>
    <t>300:23470</t>
  </si>
  <si>
    <t>300:25122</t>
  </si>
  <si>
    <t>300:23495</t>
  </si>
  <si>
    <t>300:23317</t>
  </si>
  <si>
    <t>300:23527</t>
  </si>
  <si>
    <t>204:996</t>
  </si>
  <si>
    <t>300:5604</t>
  </si>
  <si>
    <t>204:934</t>
  </si>
  <si>
    <t>204:1160</t>
  </si>
  <si>
    <t>204:1242</t>
  </si>
  <si>
    <t>300:5908</t>
  </si>
  <si>
    <t>204:3556</t>
  </si>
  <si>
    <t>204:3209</t>
  </si>
  <si>
    <t>204:1167</t>
  </si>
  <si>
    <t>204:1164</t>
  </si>
  <si>
    <t>300:23316</t>
  </si>
  <si>
    <t>204:761</t>
  </si>
  <si>
    <t>204:1042</t>
  </si>
  <si>
    <t>300:58624</t>
  </si>
  <si>
    <t>204:754</t>
  </si>
  <si>
    <t>300:58609</t>
  </si>
  <si>
    <t>204:1041</t>
  </si>
  <si>
    <t>204:740</t>
  </si>
  <si>
    <t>204:678</t>
  </si>
  <si>
    <t>204:778</t>
  </si>
  <si>
    <t>204:985</t>
  </si>
  <si>
    <t>204:666</t>
  </si>
  <si>
    <t>204:971</t>
  </si>
  <si>
    <t>300:58950</t>
  </si>
  <si>
    <t>300:58638</t>
  </si>
  <si>
    <t>204:715</t>
  </si>
  <si>
    <t>300:8074</t>
  </si>
  <si>
    <t>204:729</t>
  </si>
  <si>
    <t>300:58958</t>
  </si>
  <si>
    <t>300:58961</t>
  </si>
  <si>
    <t>300:58660</t>
  </si>
  <si>
    <t>204:671</t>
  </si>
  <si>
    <t>300:58954</t>
  </si>
  <si>
    <t>300:58636</t>
  </si>
  <si>
    <t>204:722</t>
  </si>
  <si>
    <t>300:58980</t>
  </si>
  <si>
    <t>300:23709</t>
  </si>
  <si>
    <t>204:657</t>
  </si>
  <si>
    <t>300:58666</t>
  </si>
  <si>
    <t>300:23707</t>
  </si>
  <si>
    <t>204:1037</t>
  </si>
  <si>
    <t>300:58941</t>
  </si>
  <si>
    <t>204:738</t>
  </si>
  <si>
    <t>300:58939</t>
  </si>
  <si>
    <t>204:745</t>
  </si>
  <si>
    <t>204:1011</t>
  </si>
  <si>
    <t>204:1013</t>
  </si>
  <si>
    <t>300:58946</t>
  </si>
  <si>
    <t>300:58655</t>
  </si>
  <si>
    <t>204:687</t>
  </si>
  <si>
    <t>204:1018</t>
  </si>
  <si>
    <t>300:58973</t>
  </si>
  <si>
    <t>300:30070</t>
  </si>
  <si>
    <t>204:1062</t>
  </si>
  <si>
    <t>300:24256</t>
  </si>
  <si>
    <t>300:23423</t>
  </si>
  <si>
    <t>204:710</t>
  </si>
  <si>
    <t>300:28789</t>
  </si>
  <si>
    <t>start /low /b %USERPROFILE%\Documents\GitHub\eaglep3\Utilities\DownloadLogsFromS3.py --loco 4012 --day 2017-08-22</t>
  </si>
  <si>
    <t>start /low /b %USERPROFILE%\Documents\GitHub\eaglep3\Utilities\DownloadLogsFromS3.py --loco 4056 --day 2017-08-22</t>
  </si>
  <si>
    <t>start /low /b %USERPROFILE%\Documents\GitHub\eaglep3\Utilities\DownloadLogsFromS3.py --loco 4017 --day 2017-08-22</t>
  </si>
  <si>
    <t>start /low /b %USERPROFILE%\Documents\GitHub\eaglep3\Utilities\DownloadLogsFromS3.py --loco 4003 --day 2017-08-22</t>
  </si>
  <si>
    <t>start /low /b %USERPROFILE%\Documents\GitHub\eaglep3\Utilities\DownloadLogsFromS3.py --loco 4005 --day 2017-08-22</t>
  </si>
  <si>
    <t>start /low /b %USERPROFILE%\Documents\GitHub\eaglep3\Utilities\DownloadLogsFromS3.py --loco 4055 --day 2017-08-22</t>
  </si>
  <si>
    <t>start /low /b %USERPROFILE%\Documents\GitHub\eaglep3\Utilities\DownloadLogsFromS3.py --loco 4054 --day 2017-08-22</t>
  </si>
  <si>
    <t>start /low /b %USERPROFILE%\Documents\GitHub\eaglep3\Utilities\DownloadLogsFromS3.py --loco 4053 --day 2017-08-22</t>
  </si>
  <si>
    <t>start /low /b %USERPROFILE%\Documents\GitHub\eaglep3\Utilities\DownloadLogsFromS3.py --loco 4011 --day 2017-08-22</t>
  </si>
  <si>
    <t>start /low /b %USERPROFILE%\Documents\GitHub\eaglep3\Utilities\DownloadLogsFromS3.py --loco 4018 --day 2017-08-22</t>
  </si>
  <si>
    <t>start /low /b %USERPROFILE%\Documents\GitHub\eaglep3\Utilities\DownloadLogsFromS3.py --loco 4030 --day 2017-08-22</t>
  </si>
  <si>
    <t>start /low /b %USERPROFILE%\Documents\GitHub\eaglep3\Utilities\DownloadLogsFromS3.py --loco 4025 --day 2017-08-22</t>
  </si>
  <si>
    <t>start /low /b %USERPROFILE%\Documents\GitHub\eaglep3\Utilities\DownloadLogsFromS3.py --loco 4055 --day 2017-08-23</t>
  </si>
  <si>
    <t>start /low /b %USERPROFILE%\Documents\GitHub\eaglep3\Utilities\DownloadLogsFromS3.py --loco 4006 --day 2017-08-23</t>
  </si>
  <si>
    <t>start /low /b %USERPROFILE%\Documents\GitHub\eaglep3\Utilities\DownloadLogsFromS3.py --loco 4018 --day 2017-08-23</t>
  </si>
  <si>
    <t>start /low /b %USERPROFILE%\Documents\GitHub\eaglep3\Utilities\DownloadLogsFromS3.py --loco 4017 --day 2017-08-23</t>
  </si>
  <si>
    <t>start /low /b %USERPROFILE%\Documents\GitHub\eaglep3\Utilities\DownloadLogsFromS3.py --loco 4057 --day 2017-08-22</t>
  </si>
  <si>
    <t>start /low /b %USERPROFILE%\Documents\GitHub\eaglep3\Utilities\DownloadLogsFromS3.py --loco 4058 --day 2017-08-22</t>
  </si>
  <si>
    <t>start /low /b %USERPROFILE%\Documents\GitHub\eaglep3\Utilities\DownloadLogsFromS3.py --loco 4004 --day 2017-08-22</t>
  </si>
  <si>
    <t>start /low /b %USERPROFILE%\Documents\GitHub\eaglep3\Utilities\DownloadLogsFromS3.py --loco 4056 --day 2017-08-23</t>
  </si>
  <si>
    <t>start /low /b %USERPROFILE%\Documents\GitHub\eaglep3\Utilities\DownloadLogsFromS3.py --loco 4026 --day 2017-08-22</t>
  </si>
  <si>
    <t>start /low /b %USERPROFILE%\Documents\GitHub\eaglep3\Utilities\DownloadLogsFromS3.py --loco 4025 --day 2017-08-23</t>
  </si>
  <si>
    <t>Onboard in-route failure</t>
  </si>
  <si>
    <t>Wi-MAX data drop</t>
  </si>
  <si>
    <t>False occupancy at DUS</t>
  </si>
  <si>
    <t>Went active too close to signal</t>
  </si>
  <si>
    <t>Selected wrong track</t>
  </si>
  <si>
    <t>Overspeed</t>
  </si>
  <si>
    <t>Poor GPS at DUS (incident 52677)</t>
  </si>
  <si>
    <t>False occupancy at DUS; no red fence at Dahlia found (incident 52691)</t>
  </si>
  <si>
    <t>Early Arrival (incident 52712)</t>
  </si>
  <si>
    <t>Wi-MAX data drop observed, no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</si>
</sst>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topLeftCell="A88" workbookViewId="0">
      <selection activeCell="V111" sqref="V11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4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42969</v>
      </c>
      <c r="J2" s="58"/>
      <c r="K2" s="59"/>
      <c r="L2" s="177"/>
      <c r="M2" s="60" t="s">
        <v>8</v>
      </c>
      <c r="N2" s="61"/>
      <c r="O2" s="62"/>
      <c r="P2" s="2"/>
      <c r="R2" s="57">
        <f>Variables!$A$2</f>
        <v>42969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82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187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COUNTIFS($N$13:$N$9305,"&gt;0",$AG$13:$AG$9305,I1)</f>
        <v>138</v>
      </c>
      <c r="K5" s="39"/>
      <c r="L5" s="187"/>
      <c r="M5" s="40">
        <f>AVERAGEIFS($N$13:$N$9305,$AG$13:$AG$9305,I1)</f>
        <v>39.52572463791433</v>
      </c>
      <c r="N5" s="38">
        <f t="array" ref="N5">MIN(IF($AG$13:$AG$9305=I1,IF(ISNUMBER($N$13:$N$9305),IF($N$13:$N$9305&gt;0,$N$13:$N$9305))))</f>
        <v>33.599999996367842</v>
      </c>
      <c r="O5" s="3">
        <f t="array" ref="O5">MAX(IF($AG$13:$AG$9305=I1,IF(ISNUMBER($N$13:$N$9305),IF($N$13:$N$9305&gt;0,$N$13:$N$9305))))</f>
        <v>51.033333329251036</v>
      </c>
      <c r="P5" s="2"/>
      <c r="R5" s="166" t="s">
        <v>17</v>
      </c>
      <c r="S5" s="186">
        <f>COUNTIFS($N$13:$N$9305,"&gt;0",$AG$13:$AG$9305,R1)</f>
        <v>46</v>
      </c>
      <c r="T5" s="187"/>
      <c r="U5" s="187"/>
      <c r="V5" s="183">
        <f>AVERAGEIFS($N$13:$N$9305,$AG$13:$AG$9305,R1)</f>
        <v>14.503985508066682</v>
      </c>
      <c r="W5" s="184">
        <f t="array" ref="W5">MIN(IF($AG$13:$AG$9305=R1,IF(ISNUMBER($N$13:$N$9305),IF($N$13:$N$9305&gt;0,$N$13:$N$9305))))</f>
        <v>11.566666667349637</v>
      </c>
      <c r="X5" s="185">
        <f t="array" ref="X5">MAX(IF($AG$13:$AG$9305=R1,IF(ISNUMBER($N$13:$N$9305),IF($N$13:$N$9305&gt;0,$N$13:$N$9305))))</f>
        <v>19.833333338610828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COUNT($O$13:$O$127)</f>
        <v>0</v>
      </c>
      <c r="K6" s="39"/>
      <c r="L6" s="187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67" t="s">
        <v>43</v>
      </c>
      <c r="S6" s="186">
        <f>COUNT($O$13:$O$127)</f>
        <v>0</v>
      </c>
      <c r="T6" s="187"/>
      <c r="U6" s="187"/>
      <c r="V6" s="183">
        <f>IFERROR(AVERAGE($O$13:$O$127),0)</f>
        <v>0</v>
      </c>
      <c r="W6" s="184">
        <f>MIN($O$13:$O$127)</f>
        <v>0</v>
      </c>
      <c r="X6" s="185">
        <f>MAX($O$13:$O$127)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COUNTIFS($P$13:$P$9305,"&gt;0",$AG$13:$AG$9305,I1)</f>
        <v>6</v>
      </c>
      <c r="K7" s="39"/>
      <c r="L7" s="187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COUNTIFS($P$13:$P$9305,"&gt;0",$AG$13:$AG$9305,R1)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187"/>
      <c r="M8" s="40">
        <f>M5</f>
        <v>39.52572463791433</v>
      </c>
      <c r="N8" s="38">
        <f>N5</f>
        <v>33.599999996367842</v>
      </c>
      <c r="O8" s="3">
        <f>O5</f>
        <v>51.033333329251036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14.503985508066682</v>
      </c>
      <c r="W8" s="184">
        <f>W5</f>
        <v>11.566666667349637</v>
      </c>
      <c r="X8" s="185">
        <f>X5</f>
        <v>19.833333338610828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174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4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8" t="str">
        <f>"Eagle P3 System Performance - "&amp;TEXT(Variables!A2,"yyyy-mm-dd")</f>
        <v>Eagle P3 System Performance - 2017-08-22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11">
        <f>AVERAGE(S13:S102)</f>
        <v>0.98546511627906974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6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335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595</v>
      </c>
      <c r="B13" s="7">
        <v>4056</v>
      </c>
      <c r="C13" s="21" t="s">
        <v>198</v>
      </c>
      <c r="D13" s="21" t="s">
        <v>800</v>
      </c>
      <c r="E13" s="13">
        <v>42969.126562500001</v>
      </c>
      <c r="F13" s="13">
        <v>42969.135914351849</v>
      </c>
      <c r="G13" s="7">
        <v>1</v>
      </c>
      <c r="H13" s="21" t="s">
        <v>801</v>
      </c>
      <c r="I13" s="13">
        <v>42969.161643518521</v>
      </c>
      <c r="J13" s="7">
        <v>0</v>
      </c>
      <c r="K13" s="89" t="str">
        <f t="shared" ref="K13:K76" si="0">IF(ISEVEN(B13),(B13-1)&amp;"/"&amp;B13,B13&amp;"/"&amp;(B13+1))</f>
        <v>4055/4056</v>
      </c>
      <c r="L13" s="217" t="str">
        <f>VLOOKUP(A13,'Trips&amp;Operators'!$C$1:$G$99911,5,FALSE)</f>
        <v>STARKS ANGELINA</v>
      </c>
      <c r="M13" s="6">
        <f t="shared" ref="M13:M76" si="1">I13-F13</f>
        <v>2.5729166671226267E-2</v>
      </c>
      <c r="N13" s="7">
        <f t="shared" ref="N13:P76" si="2">24*60*SUM($M13:$M13)</f>
        <v>37.050000006565824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-22T02:02:15-0600',mode:absolute,to:'2017-08-22T04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7.0099999999999996E-2</v>
      </c>
      <c r="Z13" s="197">
        <f t="shared" ref="Z13:Z76" si="8">RIGHT(H13,LEN(H13)-4)/10000</f>
        <v>23.327400000000001</v>
      </c>
      <c r="AA13" s="197">
        <f t="shared" ref="AA13:AA76" si="9">ABS(Z13-Y13)</f>
        <v>23.257300000000001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/stypes="app*4056*20170822*"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4056 --swversion DE.1.0.9.0 --startMP 204:701 --initTime 2017-08-22T03:02:15 --startdatetime 2017-08-22T03:15:43 --delay 1 --endMP 204:233274 --enddatetime 2017-08-22T03:52:46 --enforcementcount 0 &gt;&gt;C:\Users\stu\Documents\GitHub\eaglep3-reporting\EC\2017-08-22-refined-times.txt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{"issue":{"subject":"","project_id":79,"tracker_id":40,"status_id":1,"priority_id":2,"assigned_to_id":23,"start_date":"2017-08-22","description":"","custom_fields":[{"id":1,"name":"Subdivision","value":"EC"},{"id":4,"name":"Milepost","value":"23.3274"},{"id":17,"name":"Train ID","value":"101-22"},{"id":16,"name":"Locomotive ID","value":"4056"},{"id":130,"name":"Impact","value":""},{"id":150,"name":"Time of Event (Mountain Time)","value":"03:52:46"},{"id":151,"name":"Denver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4056 --day 2017-08-22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09:52:46"},{"id":29,"name":"Sharepoint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601</v>
      </c>
      <c r="B14" s="7">
        <v>4055</v>
      </c>
      <c r="C14" s="21" t="s">
        <v>198</v>
      </c>
      <c r="D14" s="21" t="s">
        <v>514</v>
      </c>
      <c r="E14" s="13">
        <v>42969.162951388891</v>
      </c>
      <c r="F14" s="13">
        <v>42969.175208333334</v>
      </c>
      <c r="G14" s="7">
        <v>1</v>
      </c>
      <c r="H14" s="21" t="s">
        <v>347</v>
      </c>
      <c r="I14" s="13">
        <v>42969.204097222224</v>
      </c>
      <c r="J14" s="7">
        <v>0</v>
      </c>
      <c r="K14" s="89" t="str">
        <f t="shared" si="0"/>
        <v>4055/4056</v>
      </c>
      <c r="L14" s="217" t="str">
        <f>VLOOKUP(A14,'Trips&amp;Operators'!$C$1:$G$99911,5,FALSE)</f>
        <v>STARKS ANGELINA</v>
      </c>
      <c r="M14" s="6">
        <f t="shared" si="1"/>
        <v>2.8888888889923692E-2</v>
      </c>
      <c r="N14" s="7">
        <f t="shared" si="2"/>
        <v>41.600000001490116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-22T02:54:39-0600',mode:absolute,to:'2017-08-22T05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23.297899999999998</v>
      </c>
      <c r="Z14" s="197">
        <f t="shared" si="8"/>
        <v>1.47E-2</v>
      </c>
      <c r="AA14" s="197">
        <f t="shared" si="9"/>
        <v>23.283199999999997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10"/>
        <v>102</v>
      </c>
      <c r="AE14" s="77" t="str">
        <f t="shared" si="11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14" s="74" t="str">
        <f t="shared" si="12"/>
        <v>"C:\Program Files (x86)\AstroGrep\AstroGrep.exe" /e /r /s /spath="%USERPROFILE%\AppData\Local\Temp\OnboardLogs" /stypes="app*4055*20170822*"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4055 --swversion DE.1.0.9.0 --startMP 204:232979 --initTime 2017-08-22T03:54:39 --startdatetime 2017-08-22T04:12:18 --delay 1 --endMP 204:147 --enddatetime 2017-08-22T04:53:54 --enforcementcount 0 &gt;&gt;C:\Users\stu\Documents\GitHub\eaglep3-reporting\EC\2017-08-22-refined-times.txt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{"issue":{"subject":"","project_id":79,"tracker_id":40,"status_id":1,"priority_id":2,"assigned_to_id":23,"start_date":"2017-08-22","description":"","custom_fields":[{"id":1,"name":"Subdivision","value":"EC"},{"id":4,"name":"Milepost","value":"0.0147"},{"id":17,"name":"Train ID","value":"102-22"},{"id":16,"name":"Locomotive ID","value":"4055"},{"id":130,"name":"Impact","value":""},{"id":150,"name":"Time of Event (Mountain Time)","value":"04:53:54"},{"id":151,"name":"Denver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4055 --day 2017-08-22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552</v>
      </c>
      <c r="B15" s="7">
        <v>4058</v>
      </c>
      <c r="C15" s="21" t="s">
        <v>198</v>
      </c>
      <c r="D15" s="21" t="s">
        <v>385</v>
      </c>
      <c r="E15" s="13">
        <v>42969.153252314813</v>
      </c>
      <c r="F15" s="13">
        <v>42969.156956018516</v>
      </c>
      <c r="G15" s="7">
        <v>1</v>
      </c>
      <c r="H15" s="21" t="s">
        <v>526</v>
      </c>
      <c r="I15" s="13">
        <v>42969.182534722226</v>
      </c>
      <c r="J15" s="7">
        <v>0</v>
      </c>
      <c r="K15" s="89" t="str">
        <f t="shared" si="0"/>
        <v>4057/4058</v>
      </c>
      <c r="L15" s="217" t="str">
        <f>VLOOKUP(A15,'Trips&amp;Operators'!$C$1:$G$99911,5,FALSE)</f>
        <v>BONDS REYNALDO</v>
      </c>
      <c r="M15" s="6">
        <f t="shared" si="1"/>
        <v>2.5578703709470574E-2</v>
      </c>
      <c r="N15" s="7">
        <f t="shared" si="2"/>
        <v>36.833333341637626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-22T02:40:41-0600',mode:absolute,to:'2017-08-22T05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4.4200000000000003E-2</v>
      </c>
      <c r="Z15" s="197">
        <f t="shared" si="8"/>
        <v>23.339700000000001</v>
      </c>
      <c r="AA15" s="197">
        <f t="shared" si="9"/>
        <v>23.295500000000001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10"/>
        <v>103</v>
      </c>
      <c r="AE15" s="77" t="str">
        <f t="shared" si="11"/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AF15" s="74" t="str">
        <f t="shared" si="12"/>
        <v>"C:\Program Files (x86)\AstroGrep\AstroGrep.exe" /e /r /s /spath="%USERPROFILE%\AppData\Local\Temp\OnboardLogs" /stypes="app*4058*20170822*"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103-22 --locoid 4058 --swversion DE.1.0.9.0 --startMP 204:442 --initTime 2017-08-22T03:40:41 --startdatetime 2017-08-22T03:46:01 --delay 1 --endMP 204:233397 --enddatetime 2017-08-22T04:22:51 --enforcementcount 0 &gt;&gt;C:\Users\stu\Documents\GitHub\eaglep3-reporting\EC\2017-08-22-refined-times.txt</v>
      </c>
      <c r="AI15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{"issue":{"subject":"","project_id":79,"tracker_id":40,"status_id":1,"priority_id":2,"assigned_to_id":23,"start_date":"2017-08-22","description":"","custom_fields":[{"id":1,"name":"Subdivision","value":"EC"},{"id":4,"name":"Milepost","value":"23.3397"},{"id":17,"name":"Train ID","value":"103-22"},{"id":16,"name":"Locomotive ID","value":"4058"},{"id":130,"name":"Impact","value":""},{"id":150,"name":"Time of Event (Mountain Time)","value":"04:22:51"},{"id":151,"name":"Denver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4058 --day 2017-08-22</v>
      </c>
      <c r="AN15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606</v>
      </c>
      <c r="B16" s="7">
        <v>4057</v>
      </c>
      <c r="C16" s="21" t="s">
        <v>198</v>
      </c>
      <c r="D16" s="21" t="s">
        <v>802</v>
      </c>
      <c r="E16" s="13">
        <v>42969.19326388889</v>
      </c>
      <c r="F16" s="13">
        <v>42969.196134259262</v>
      </c>
      <c r="G16" s="7">
        <v>1</v>
      </c>
      <c r="H16" s="21" t="s">
        <v>339</v>
      </c>
      <c r="I16" s="13">
        <v>42969.223634259259</v>
      </c>
      <c r="J16" s="7">
        <v>0</v>
      </c>
      <c r="K16" s="89" t="str">
        <f t="shared" si="0"/>
        <v>4057/4058</v>
      </c>
      <c r="L16" s="217" t="str">
        <f>VLOOKUP(A16,'Trips&amp;Operators'!$C$1:$G$99911,5,FALSE)</f>
        <v>BONDS REYNALDO</v>
      </c>
      <c r="M16" s="6">
        <f t="shared" si="1"/>
        <v>2.749999999650754E-2</v>
      </c>
      <c r="N16" s="7">
        <f t="shared" si="2"/>
        <v>39.599999994970858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-22T03:38:18-0600',mode:absolute,to:'2017-08-22T06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23.308199999999999</v>
      </c>
      <c r="Z16" s="197">
        <f t="shared" si="8"/>
        <v>1.4999999999999999E-2</v>
      </c>
      <c r="AA16" s="197">
        <f t="shared" si="9"/>
        <v>23.293199999999999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10"/>
        <v>104</v>
      </c>
      <c r="AE16" s="77" t="str">
        <f t="shared" si="11"/>
        <v>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 &amp; 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</v>
      </c>
      <c r="AF16" s="74" t="str">
        <f t="shared" si="12"/>
        <v>"C:\Program Files (x86)\AstroGrep\AstroGrep.exe" /e /r /s /spath="%USERPROFILE%\AppData\Local\Temp\OnboardLogs" /stypes="app*4057*20170822*"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104-22 --locoid 4057 --swversion DE.1.0.9.0 --startMP 204:233082 --initTime 2017-08-22T04:38:18 --startdatetime 2017-08-22T04:42:26 --delay 1 --endMP 204:150 --enddatetime 2017-08-22T05:22:02 --enforcementcount 0 &gt;&gt;C:\Users\stu\Documents\GitHub\eaglep3-reporting\EC\2017-08-22-refined-times.txt</v>
      </c>
      <c r="AI1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{"issue":{"subject":"","project_id":79,"tracker_id":40,"status_id":1,"priority_id":2,"assigned_to_id":23,"start_date":"2017-08-22","description":"","custom_fields":[{"id":1,"name":"Subdivision","value":"EC"},{"id":4,"name":"Milepost","value":"0.015"},{"id":17,"name":"Train ID","value":"104-22"},{"id":16,"name":"Locomotive ID","value":"4057"},{"id":130,"name":"Impact","value":""},{"id":150,"name":"Time of Event (Mountain Time)","value":"05:22:02"},{"id":151,"name":"Denver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4057 --day 2017-08-22</v>
      </c>
      <c r="AN1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603</v>
      </c>
      <c r="B17" s="7">
        <v>4018</v>
      </c>
      <c r="C17" s="21" t="s">
        <v>198</v>
      </c>
      <c r="D17" s="21" t="s">
        <v>385</v>
      </c>
      <c r="E17" s="13">
        <v>42969.170138888891</v>
      </c>
      <c r="F17" s="13">
        <v>42969.177615740744</v>
      </c>
      <c r="G17" s="7">
        <v>1</v>
      </c>
      <c r="H17" s="21" t="s">
        <v>803</v>
      </c>
      <c r="I17" s="13">
        <v>42969.202997685185</v>
      </c>
      <c r="J17" s="7">
        <v>0</v>
      </c>
      <c r="K17" s="89" t="str">
        <f t="shared" si="0"/>
        <v>4017/4018</v>
      </c>
      <c r="L17" s="217" t="str">
        <f>VLOOKUP(A17,'Trips&amp;Operators'!$C$1:$G$99911,5,FALSE)</f>
        <v>MAELZER KURT</v>
      </c>
      <c r="M17" s="6">
        <f t="shared" si="1"/>
        <v>2.5381944440596271E-2</v>
      </c>
      <c r="N17" s="7">
        <f t="shared" si="2"/>
        <v>36.549999994458631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-22T03:05:00-0600',mode:absolute,to:'2017-08-22T05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4.4200000000000003E-2</v>
      </c>
      <c r="Z17" s="197">
        <f t="shared" si="8"/>
        <v>23.3306</v>
      </c>
      <c r="AA17" s="197">
        <f t="shared" si="9"/>
        <v>23.2864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10"/>
        <v>105</v>
      </c>
      <c r="AE17" s="77" t="str">
        <f t="shared" si="11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7" s="74" t="str">
        <f t="shared" si="12"/>
        <v>"C:\Program Files (x86)\AstroGrep\AstroGrep.exe" /e /r /s /spath="%USERPROFILE%\AppData\Local\Temp\OnboardLogs" /stypes="app*4018*20170822*"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105-22 --locoid 4018 --swversion DE.1.0.9.0 --startMP 204:442 --initTime 2017-08-22T04:05:00 --startdatetime 2017-08-22T04:15:46 --delay 1 --endMP 204:233306 --enddatetime 2017-08-22T04:52:19 --enforcementcount 0 &gt;&gt;C:\Users\stu\Documents\GitHub\eaglep3-reporting\EC\2017-08-22-refined-times.txt</v>
      </c>
      <c r="AI1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{"issue":{"subject":"","project_id":79,"tracker_id":40,"status_id":1,"priority_id":2,"assigned_to_id":23,"start_date":"2017-08-22","description":"","custom_fields":[{"id":1,"name":"Subdivision","value":"EC"},{"id":4,"name":"Milepost","value":"23.3306"},{"id":17,"name":"Train ID","value":"105-22"},{"id":16,"name":"Locomotive ID","value":"4018"},{"id":130,"name":"Impact","value":""},{"id":150,"name":"Time of Event (Mountain Time)","value":"04:52:19"},{"id":151,"name":"Denver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4018 --day 2017-08-22</v>
      </c>
      <c r="AN1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614</v>
      </c>
      <c r="B18" s="7">
        <v>4017</v>
      </c>
      <c r="C18" s="21" t="s">
        <v>198</v>
      </c>
      <c r="D18" s="21" t="s">
        <v>804</v>
      </c>
      <c r="E18" s="13">
        <v>42969.208333333336</v>
      </c>
      <c r="F18" s="13">
        <v>42969.216956018521</v>
      </c>
      <c r="G18" s="7">
        <v>1</v>
      </c>
      <c r="H18" s="21" t="s">
        <v>341</v>
      </c>
      <c r="I18" s="13">
        <v>42969.243263888886</v>
      </c>
      <c r="J18" s="7">
        <v>0</v>
      </c>
      <c r="K18" s="89" t="str">
        <f t="shared" si="0"/>
        <v>4017/4018</v>
      </c>
      <c r="L18" s="217" t="str">
        <f>VLOOKUP(A18,'Trips&amp;Operators'!$C$1:$G$99911,5,FALSE)</f>
        <v>MAELZER KURT</v>
      </c>
      <c r="M18" s="6">
        <f t="shared" si="1"/>
        <v>2.6307870364689734E-2</v>
      </c>
      <c r="N18" s="7">
        <f t="shared" si="2"/>
        <v>37.883333325153217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-22T04:00:00-0600',mode:absolute,to:'2017-08-22T06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23.299299999999999</v>
      </c>
      <c r="Z18" s="197">
        <f t="shared" si="8"/>
        <v>1.43E-2</v>
      </c>
      <c r="AA18" s="197">
        <f t="shared" si="9"/>
        <v>23.285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10"/>
        <v>106</v>
      </c>
      <c r="AE18" s="77" t="str">
        <f t="shared" si="11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18" s="74" t="str">
        <f t="shared" si="12"/>
        <v>"C:\Program Files (x86)\AstroGrep\AstroGrep.exe" /e /r /s /spath="%USERPROFILE%\AppData\Local\Temp\OnboardLogs" /stypes="app*4017*20170822*"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106-22 --locoid 4017 --swversion DE.1.0.9.0 --startMP 204:232993 --initTime 2017-08-22T05:00:00 --startdatetime 2017-08-22T05:12:25 --delay 1 --endMP 204:143 --enddatetime 2017-08-22T05:50:18 --enforcementcount 0 &gt;&gt;C:\Users\stu\Documents\GitHub\eaglep3-reporting\EC\2017-08-22-refined-times.txt</v>
      </c>
      <c r="AI18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{"issue":{"subject":"","project_id":79,"tracker_id":40,"status_id":1,"priority_id":2,"assigned_to_id":23,"start_date":"2017-08-22","description":"","custom_fields":[{"id":1,"name":"Subdivision","value":"EC"},{"id":4,"name":"Milepost","value":"0.0143"},{"id":17,"name":"Train ID","value":"106-22"},{"id":16,"name":"Locomotive ID","value":"4017"},{"id":130,"name":"Impact","value":""},{"id":150,"name":"Time of Event (Mountain Time)","value":"05:50:18"},{"id":151,"name":"Denver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4017 --day 2017-08-22</v>
      </c>
      <c r="AN18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604</v>
      </c>
      <c r="B19" s="7">
        <v>4010</v>
      </c>
      <c r="C19" s="21" t="s">
        <v>198</v>
      </c>
      <c r="D19" s="21" t="s">
        <v>805</v>
      </c>
      <c r="E19" s="13">
        <v>42969.177905092591</v>
      </c>
      <c r="F19" s="13">
        <v>42969.188125000001</v>
      </c>
      <c r="G19" s="7">
        <v>1</v>
      </c>
      <c r="H19" s="21" t="s">
        <v>520</v>
      </c>
      <c r="I19" s="13">
        <v>42969.212187500001</v>
      </c>
      <c r="J19" s="7">
        <v>0</v>
      </c>
      <c r="K19" s="89" t="str">
        <f t="shared" si="0"/>
        <v>4009/4010</v>
      </c>
      <c r="L19" s="217" t="str">
        <f>VLOOKUP(A19,'Trips&amp;Operators'!$C$1:$G$99911,5,FALSE)</f>
        <v>LALONDE GREGORY</v>
      </c>
      <c r="M19" s="6">
        <f t="shared" si="1"/>
        <v>2.4062500000582077E-2</v>
      </c>
      <c r="N19" s="7">
        <f t="shared" si="2"/>
        <v>34.65000000083819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-22T03:16:11-0600',mode:absolute,to:'2017-08-22T06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4.3799999999999999E-2</v>
      </c>
      <c r="Z19" s="197">
        <f t="shared" si="8"/>
        <v>23.3324</v>
      </c>
      <c r="AA19" s="197">
        <f t="shared" si="9"/>
        <v>23.288599999999999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10"/>
        <v>107</v>
      </c>
      <c r="AE19" s="77" t="str">
        <f t="shared" si="11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19" s="74" t="str">
        <f t="shared" si="12"/>
        <v>"C:\Program Files (x86)\AstroGrep\AstroGrep.exe" /e /r /s /spath="%USERPROFILE%\AppData\Local\Temp\OnboardLogs" /stypes="app*4010*20170822*"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107-22 --locoid 4010 --swversion DE.1.0.9.0 --startMP 204:438 --initTime 2017-08-22T04:16:11 --startdatetime 2017-08-22T04:30:54 --delay 1 --endMP 204:233324 --enddatetime 2017-08-22T05:05:33 --enforcementcount 0 &gt;&gt;C:\Users\stu\Documents\GitHub\eaglep3-reporting\EC\2017-08-22-refined-times.txt</v>
      </c>
      <c r="AI19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{"issue":{"subject":"","project_id":79,"tracker_id":40,"status_id":1,"priority_id":2,"assigned_to_id":23,"start_date":"2017-08-22","description":"","custom_fields":[{"id":1,"name":"Subdivision","value":"EC"},{"id":4,"name":"Milepost","value":"23.3324"},{"id":17,"name":"Train ID","value":"107-22"},{"id":16,"name":"Locomotive ID","value":"4010"},{"id":130,"name":"Impact","value":""},{"id":150,"name":"Time of Event (Mountain Time)","value":"05:05:33"},{"id":151,"name":"Denver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4010 --day 2017-08-22</v>
      </c>
      <c r="AN19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617</v>
      </c>
      <c r="B20" s="7">
        <v>4009</v>
      </c>
      <c r="C20" s="21" t="s">
        <v>198</v>
      </c>
      <c r="D20" s="21" t="s">
        <v>521</v>
      </c>
      <c r="E20" s="13">
        <v>42969.215671296297</v>
      </c>
      <c r="F20" s="13">
        <v>42969.227256944447</v>
      </c>
      <c r="G20" s="7">
        <v>1</v>
      </c>
      <c r="H20" s="21" t="s">
        <v>339</v>
      </c>
      <c r="I20" s="13">
        <v>42969.252881944441</v>
      </c>
      <c r="J20" s="7">
        <v>0</v>
      </c>
      <c r="K20" s="89" t="str">
        <f t="shared" si="0"/>
        <v>4009/4010</v>
      </c>
      <c r="L20" s="217" t="str">
        <f>VLOOKUP(A20,'Trips&amp;Operators'!$C$1:$G$99911,5,FALSE)</f>
        <v>LALONDE GREGORY</v>
      </c>
      <c r="M20" s="6">
        <f t="shared" si="1"/>
        <v>2.5624999994761311E-2</v>
      </c>
      <c r="N20" s="7">
        <f t="shared" si="2"/>
        <v>36.899999992456287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-22T04:10:34-0600',mode:absolute,to:'2017-08-22T07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23.300699999999999</v>
      </c>
      <c r="Z20" s="197">
        <f t="shared" si="8"/>
        <v>1.4999999999999999E-2</v>
      </c>
      <c r="AA20" s="197">
        <f t="shared" si="9"/>
        <v>23.285699999999999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10"/>
        <v>108</v>
      </c>
      <c r="AE20" s="77" t="str">
        <f t="shared" si="11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20" s="74" t="str">
        <f t="shared" si="12"/>
        <v>"C:\Program Files (x86)\AstroGrep\AstroGrep.exe" /e /r /s /spath="%USERPROFILE%\AppData\Local\Temp\OnboardLogs" /stypes="app*4009*20170822*"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108-22 --locoid 4009 --swversion DE.1.0.9.0 --startMP 204:233007 --initTime 2017-08-22T05:10:34 --startdatetime 2017-08-22T05:27:15 --delay 1 --endMP 204:150 --enddatetime 2017-08-22T06:04:09 --enforcementcount 0 &gt;&gt;C:\Users\stu\Documents\GitHub\eaglep3-reporting\EC\2017-08-22-refined-times.txt</v>
      </c>
      <c r="AI20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{"issue":{"subject":"","project_id":79,"tracker_id":40,"status_id":1,"priority_id":2,"assigned_to_id":23,"start_date":"2017-08-22","description":"","custom_fields":[{"id":1,"name":"Subdivision","value":"EC"},{"id":4,"name":"Milepost","value":"0.015"},{"id":17,"name":"Train ID","value":"108-22"},{"id":16,"name":"Locomotive ID","value":"4009"},{"id":130,"name":"Impact","value":""},{"id":150,"name":"Time of Event (Mountain Time)","value":"06:04:09"},{"id":151,"name":"Denver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4009 --day 2017-08-22</v>
      </c>
      <c r="AN20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607</v>
      </c>
      <c r="B21" s="7">
        <v>4006</v>
      </c>
      <c r="C21" s="21" t="s">
        <v>198</v>
      </c>
      <c r="D21" s="21" t="s">
        <v>806</v>
      </c>
      <c r="E21" s="13">
        <v>42969.193657407406</v>
      </c>
      <c r="F21" s="13">
        <v>42969.198506944442</v>
      </c>
      <c r="G21" s="7">
        <v>1</v>
      </c>
      <c r="H21" s="21" t="s">
        <v>807</v>
      </c>
      <c r="I21" s="13">
        <v>42969.22315972222</v>
      </c>
      <c r="J21" s="7">
        <v>0</v>
      </c>
      <c r="K21" s="89" t="str">
        <f t="shared" si="0"/>
        <v>4005/4006</v>
      </c>
      <c r="L21" s="217" t="str">
        <f>VLOOKUP(A21,'Trips&amp;Operators'!$C$1:$G$99911,5,FALSE)</f>
        <v>MACDONALD THOMAS</v>
      </c>
      <c r="M21" s="6">
        <f t="shared" si="1"/>
        <v>2.4652777778101154E-2</v>
      </c>
      <c r="N21" s="7">
        <f t="shared" si="2"/>
        <v>35.500000000465661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-22T03:38:52-0600',mode:absolute,to:'2017-08-22T06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4.6899999999999997E-2</v>
      </c>
      <c r="Z21" s="197">
        <f t="shared" si="8"/>
        <v>23.328700000000001</v>
      </c>
      <c r="AA21" s="197">
        <f t="shared" si="9"/>
        <v>23.2818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10"/>
        <v>109</v>
      </c>
      <c r="AE21" s="77" t="str">
        <f t="shared" si="11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21" s="74" t="str">
        <f t="shared" si="12"/>
        <v>"C:\Program Files (x86)\AstroGrep\AstroGrep.exe" /e /r /s /spath="%USERPROFILE%\AppData\Local\Temp\OnboardLogs" /stypes="app*4006*20170822*"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109-22 --locoid 4006 --swversion DE.1.0.9.0 --startMP 204:469 --initTime 2017-08-22T04:38:52 --startdatetime 2017-08-22T04:45:51 --delay 1 --endMP 204:233287 --enddatetime 2017-08-22T05:21:21 --enforcementcount 0 &gt;&gt;C:\Users\stu\Documents\GitHub\eaglep3-reporting\EC\2017-08-22-refined-times.txt</v>
      </c>
      <c r="AI21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{"issue":{"subject":"","project_id":79,"tracker_id":40,"status_id":1,"priority_id":2,"assigned_to_id":23,"start_date":"2017-08-22","description":"","custom_fields":[{"id":1,"name":"Subdivision","value":"EC"},{"id":4,"name":"Milepost","value":"23.3287"},{"id":17,"name":"Train ID","value":"109-22"},{"id":16,"name":"Locomotive ID","value":"4006"},{"id":130,"name":"Impact","value":""},{"id":150,"name":"Time of Event (Mountain Time)","value":"05:21:21"},{"id":151,"name":"Denver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4006 --day 2017-08-22</v>
      </c>
      <c r="AN21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557</v>
      </c>
      <c r="B22" s="7">
        <v>4005</v>
      </c>
      <c r="C22" s="21" t="s">
        <v>198</v>
      </c>
      <c r="D22" s="21" t="s">
        <v>808</v>
      </c>
      <c r="E22" s="13">
        <v>42969.230451388888</v>
      </c>
      <c r="F22" s="13">
        <v>42969.237754629627</v>
      </c>
      <c r="G22" s="7">
        <v>9</v>
      </c>
      <c r="H22" s="21" t="s">
        <v>809</v>
      </c>
      <c r="I22" s="13">
        <v>42969.265011574076</v>
      </c>
      <c r="J22" s="7">
        <v>0</v>
      </c>
      <c r="K22" s="89" t="str">
        <f t="shared" si="0"/>
        <v>4005/4006</v>
      </c>
      <c r="L22" s="217" t="str">
        <f>VLOOKUP(A22,'Trips&amp;Operators'!$C$1:$G$99911,5,FALSE)</f>
        <v>MACDONALD THOMAS</v>
      </c>
      <c r="M22" s="6">
        <f t="shared" si="1"/>
        <v>2.7256944449618459E-2</v>
      </c>
      <c r="N22" s="7">
        <f t="shared" si="2"/>
        <v>39.250000007450581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-22T04:31:51-0600',mode:absolute,to:'2017-08-22T07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23.2972</v>
      </c>
      <c r="Z22" s="197">
        <f t="shared" si="8"/>
        <v>1.61E-2</v>
      </c>
      <c r="AA22" s="197">
        <f t="shared" si="9"/>
        <v>23.281099999999999</v>
      </c>
      <c r="AB22" s="54" t="str">
        <f>VLOOKUP(A22,Enforcements!$C$7:$K$11,8,0)</f>
        <v>Bulletin (2)</v>
      </c>
      <c r="AC22" s="51" t="str">
        <f>VLOOKUP(A22,Enforcements!$C$7:$E$11,3,0)</f>
        <v>GRADE CROSSING</v>
      </c>
      <c r="AD22" s="206">
        <f t="shared" si="10"/>
        <v>110</v>
      </c>
      <c r="AE22" s="77" t="str">
        <f t="shared" si="11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22" s="74" t="str">
        <f t="shared" si="12"/>
        <v>"C:\Program Files (x86)\AstroGrep\AstroGrep.exe" /e /r /s /spath="%USERPROFILE%\AppData\Local\Temp\OnboardLogs" /stypes="app*4005*20170822*"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110-22 --locoid 4005 --swversion DE.1.0.9.0 --startMP 204:232972 --initTime 2017-08-22T05:31:51 --startdatetime 2017-08-22T05:42:22 --delay 9 --endMP 204:161 --enddatetime 2017-08-22T06:21:37 --enforcementcount 0 &gt;&gt;C:\Users\stu\Documents\GitHub\eaglep3-reporting\EC\2017-08-22-refined-times.txt</v>
      </c>
      <c r="AI22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{"issue":{"subject":"","project_id":79,"tracker_id":40,"status_id":1,"priority_id":2,"assigned_to_id":23,"start_date":"2017-08-22","description":"","custom_fields":[{"id":1,"name":"Subdivision","value":"EC"},{"id":4,"name":"Milepost","value":"0.0161"},{"id":17,"name":"Train ID","value":"110-22"},{"id":16,"name":"Locomotive ID","value":"4005"},{"id":130,"name":"Impact","value":""},{"id":150,"name":"Time of Event (Mountain Time)","value":"06:21:37"},{"id":151,"name":"Denver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4005 --day 2017-08-22</v>
      </c>
      <c r="AN22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613</v>
      </c>
      <c r="B23" s="7">
        <v>4056</v>
      </c>
      <c r="C23" s="21" t="s">
        <v>198</v>
      </c>
      <c r="D23" s="21" t="s">
        <v>397</v>
      </c>
      <c r="E23" s="13">
        <v>42969.206041666665</v>
      </c>
      <c r="F23" s="13">
        <v>42969.208854166667</v>
      </c>
      <c r="G23" s="7">
        <v>1</v>
      </c>
      <c r="H23" s="21" t="s">
        <v>409</v>
      </c>
      <c r="I23" s="13">
        <v>42969.235046296293</v>
      </c>
      <c r="J23" s="7">
        <v>0</v>
      </c>
      <c r="K23" s="89" t="str">
        <f t="shared" si="0"/>
        <v>4055/4056</v>
      </c>
      <c r="L23" s="217" t="str">
        <f>VLOOKUP(A23,'Trips&amp;Operators'!$C$1:$G$99911,5,FALSE)</f>
        <v>STARKS ANGELINA</v>
      </c>
      <c r="M23" s="6">
        <f t="shared" si="1"/>
        <v>2.619212962599704E-2</v>
      </c>
      <c r="N23" s="7">
        <f t="shared" si="2"/>
        <v>37.716666661435738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-22T03:56:42-0600',mode:absolute,to:'2017-08-22T06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4.6600000000000003E-2</v>
      </c>
      <c r="Z23" s="197">
        <f t="shared" si="8"/>
        <v>23.328199999999999</v>
      </c>
      <c r="AA23" s="197">
        <f t="shared" si="9"/>
        <v>23.281599999999997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10"/>
        <v>111</v>
      </c>
      <c r="AE23" s="77" t="str">
        <f t="shared" si="11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23" s="74" t="str">
        <f t="shared" si="12"/>
        <v>"C:\Program Files (x86)\AstroGrep\AstroGrep.exe" /e /r /s /spath="%USERPROFILE%\AppData\Local\Temp\OnboardLogs" /stypes="app*4056*20170822*"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111-22 --locoid 4056 --swversion DE.1.0.9.0 --startMP 204:466 --initTime 2017-08-22T04:56:42 --startdatetime 2017-08-22T05:00:45 --delay 1 --endMP 204:233282 --enddatetime 2017-08-22T05:38:28 --enforcementcount 0 &gt;&gt;C:\Users\stu\Documents\GitHub\eaglep3-reporting\EC\2017-08-22-refined-times.txt</v>
      </c>
      <c r="AI23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{"issue":{"subject":"","project_id":79,"tracker_id":40,"status_id":1,"priority_id":2,"assigned_to_id":23,"start_date":"2017-08-22","description":"","custom_fields":[{"id":1,"name":"Subdivision","value":"EC"},{"id":4,"name":"Milepost","value":"23.3282"},{"id":17,"name":"Train ID","value":"111-22"},{"id":16,"name":"Locomotive ID","value":"4056"},{"id":130,"name":"Impact","value":""},{"id":150,"name":"Time of Event (Mountain Time)","value":"05:38:28"},{"id":151,"name":"Denver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4056 --day 2017-08-22</v>
      </c>
      <c r="AN23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621</v>
      </c>
      <c r="B24" s="7">
        <v>4055</v>
      </c>
      <c r="C24" s="21" t="s">
        <v>198</v>
      </c>
      <c r="D24" s="21" t="s">
        <v>810</v>
      </c>
      <c r="E24" s="13">
        <v>42969.242164351854</v>
      </c>
      <c r="F24" s="13">
        <v>42969.248078703706</v>
      </c>
      <c r="G24" s="7">
        <v>2</v>
      </c>
      <c r="H24" s="21" t="s">
        <v>346</v>
      </c>
      <c r="I24" s="13">
        <v>42969.277083333334</v>
      </c>
      <c r="J24" s="7">
        <v>0</v>
      </c>
      <c r="K24" s="89" t="str">
        <f t="shared" si="0"/>
        <v>4055/4056</v>
      </c>
      <c r="L24" s="217" t="str">
        <f>VLOOKUP(A24,'Trips&amp;Operators'!$C$1:$G$99911,5,FALSE)</f>
        <v>STARKS ANGELINA</v>
      </c>
      <c r="M24" s="6">
        <f t="shared" si="1"/>
        <v>2.9004629628616385E-2</v>
      </c>
      <c r="N24" s="7">
        <f t="shared" si="2"/>
        <v>41.766666665207595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-22T04:48:43-0600',mode:absolute,to:'2017-08-22T07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23.2973</v>
      </c>
      <c r="Z24" s="197">
        <f t="shared" si="8"/>
        <v>1.41E-2</v>
      </c>
      <c r="AA24" s="197">
        <f t="shared" si="9"/>
        <v>23.283200000000001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10"/>
        <v>112</v>
      </c>
      <c r="AE24" s="77" t="str">
        <f t="shared" si="11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24" s="74" t="str">
        <f t="shared" si="12"/>
        <v>"C:\Program Files (x86)\AstroGrep\AstroGrep.exe" /e /r /s /spath="%USERPROFILE%\AppData\Local\Temp\OnboardLogs" /stypes="app*4055*20170822*"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112-22 --locoid 4055 --swversion DE.1.0.9.0 --startMP 204:232973 --initTime 2017-08-22T05:48:43 --startdatetime 2017-08-22T05:57:14 --delay 2 --endMP 204:141 --enddatetime 2017-08-22T06:39:00 --enforcementcount 0 &gt;&gt;C:\Users\stu\Documents\GitHub\eaglep3-reporting\EC\2017-08-22-refined-times.txt</v>
      </c>
      <c r="AI24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{"issue":{"subject":"","project_id":79,"tracker_id":40,"status_id":1,"priority_id":2,"assigned_to_id":23,"start_date":"2017-08-22","description":"","custom_fields":[{"id":1,"name":"Subdivision","value":"EC"},{"id":4,"name":"Milepost","value":"0.0141"},{"id":17,"name":"Train ID","value":"112-22"},{"id":16,"name":"Locomotive ID","value":"4055"},{"id":130,"name":"Impact","value":""},{"id":150,"name":"Time of Event (Mountain Time)","value":"06:39:00"},{"id":151,"name":"Denver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4055 --day 2017-08-22</v>
      </c>
      <c r="AN24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618</v>
      </c>
      <c r="B25" s="7">
        <v>4054</v>
      </c>
      <c r="C25" s="21" t="s">
        <v>198</v>
      </c>
      <c r="D25" s="21" t="s">
        <v>342</v>
      </c>
      <c r="E25" s="13">
        <v>42969.216134259259</v>
      </c>
      <c r="F25" s="13">
        <v>42969.219386574077</v>
      </c>
      <c r="G25" s="7">
        <v>1</v>
      </c>
      <c r="H25" s="21" t="s">
        <v>408</v>
      </c>
      <c r="I25" s="13">
        <v>42969.244074074071</v>
      </c>
      <c r="J25" s="7">
        <v>0</v>
      </c>
      <c r="K25" s="89" t="str">
        <f t="shared" si="0"/>
        <v>4053/4054</v>
      </c>
      <c r="L25" s="217" t="str">
        <f>VLOOKUP(A25,'Trips&amp;Operators'!$C$1:$G$99911,5,FALSE)</f>
        <v>LOZA FIDEL</v>
      </c>
      <c r="M25" s="6">
        <f t="shared" si="1"/>
        <v>2.4687499993888196E-2</v>
      </c>
      <c r="N25" s="7">
        <f t="shared" si="2"/>
        <v>35.549999991199002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-22T04:11:14-0600',mode:absolute,to:'2017-08-22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4.5100000000000001E-2</v>
      </c>
      <c r="Z25" s="197">
        <f t="shared" si="8"/>
        <v>23.332100000000001</v>
      </c>
      <c r="AA25" s="197">
        <f t="shared" si="9"/>
        <v>23.286999999999999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10"/>
        <v>113</v>
      </c>
      <c r="AE25" s="77" t="str">
        <f t="shared" si="11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25" s="74" t="str">
        <f t="shared" si="12"/>
        <v>"C:\Program Files (x86)\AstroGrep\AstroGrep.exe" /e /r /s /spath="%USERPROFILE%\AppData\Local\Temp\OnboardLogs" /stypes="app*4054*20170822*"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113-22 --locoid 4054 --swversion DE.1.0.9.0 --startMP 204:451 --initTime 2017-08-22T05:11:14 --startdatetime 2017-08-22T05:15:55 --delay 1 --endMP 204:233321 --enddatetime 2017-08-22T05:51:28 --enforcementcount 0 &gt;&gt;C:\Users\stu\Documents\GitHub\eaglep3-reporting\EC\2017-08-22-refined-times.txt</v>
      </c>
      <c r="AI25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{"issue":{"subject":"","project_id":79,"tracker_id":40,"status_id":1,"priority_id":2,"assigned_to_id":23,"start_date":"2017-08-22","description":"","custom_fields":[{"id":1,"name":"Subdivision","value":"EC"},{"id":4,"name":"Milepost","value":"23.3321"},{"id":17,"name":"Train ID","value":"113-22"},{"id":16,"name":"Locomotive ID","value":"4054"},{"id":130,"name":"Impact","value":""},{"id":150,"name":"Time of Event (Mountain Time)","value":"05:51:28"},{"id":151,"name":"Denver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4054 --day 2017-08-22</v>
      </c>
      <c r="AN25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625</v>
      </c>
      <c r="B26" s="7">
        <v>4053</v>
      </c>
      <c r="C26" s="21" t="s">
        <v>198</v>
      </c>
      <c r="D26" s="21" t="s">
        <v>811</v>
      </c>
      <c r="E26" s="13">
        <v>42969.255543981482</v>
      </c>
      <c r="F26" s="13">
        <v>42969.258530092593</v>
      </c>
      <c r="G26" s="7">
        <v>1</v>
      </c>
      <c r="H26" s="21" t="s">
        <v>339</v>
      </c>
      <c r="I26" s="13">
        <v>42969.286643518521</v>
      </c>
      <c r="J26" s="7">
        <v>0</v>
      </c>
      <c r="K26" s="89" t="str">
        <f t="shared" si="0"/>
        <v>4053/4054</v>
      </c>
      <c r="L26" s="217" t="str">
        <f>VLOOKUP(A26,'Trips&amp;Operators'!$C$1:$G$99911,5,FALSE)</f>
        <v>LOZA FIDEL</v>
      </c>
      <c r="M26" s="6">
        <f t="shared" si="1"/>
        <v>2.8113425927585922E-2</v>
      </c>
      <c r="N26" s="7">
        <f t="shared" si="2"/>
        <v>40.483333335723728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-22T05:07:59-0600',mode:absolute,to:'2017-08-22T07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23.299399999999999</v>
      </c>
      <c r="Z26" s="197">
        <f t="shared" si="8"/>
        <v>1.4999999999999999E-2</v>
      </c>
      <c r="AA26" s="197">
        <f t="shared" si="9"/>
        <v>23.284399999999998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10"/>
        <v>114</v>
      </c>
      <c r="AE26" s="77" t="str">
        <f t="shared" si="11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26" s="74" t="str">
        <f t="shared" si="12"/>
        <v>"C:\Program Files (x86)\AstroGrep\AstroGrep.exe" /e /r /s /spath="%USERPROFILE%\AppData\Local\Temp\OnboardLogs" /stypes="app*4053*20170822*"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114-22 --locoid 4053 --swversion DE.1.0.9.0 --startMP 204:232994 --initTime 2017-08-22T06:07:59 --startdatetime 2017-08-22T06:12:17 --delay 1 --endMP 204:150 --enddatetime 2017-08-22T06:52:46 --enforcementcount 0 &gt;&gt;C:\Users\stu\Documents\GitHub\eaglep3-reporting\EC\2017-08-22-refined-times.txt</v>
      </c>
      <c r="AI2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{"issue":{"subject":"","project_id":79,"tracker_id":40,"status_id":1,"priority_id":2,"assigned_to_id":23,"start_date":"2017-08-22","description":"","custom_fields":[{"id":1,"name":"Subdivision","value":"EC"},{"id":4,"name":"Milepost","value":"0.015"},{"id":17,"name":"Train ID","value":"114-22"},{"id":16,"name":"Locomotive ID","value":"4053"},{"id":130,"name":"Impact","value":""},{"id":150,"name":"Time of Event (Mountain Time)","value":"06:52:46"},{"id":151,"name":"Denver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4053 --day 2017-08-22</v>
      </c>
      <c r="AN2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555</v>
      </c>
      <c r="B27" s="7">
        <v>4058</v>
      </c>
      <c r="C27" s="21" t="s">
        <v>198</v>
      </c>
      <c r="D27" s="21" t="s">
        <v>352</v>
      </c>
      <c r="E27" s="13">
        <v>42969.22724537037</v>
      </c>
      <c r="F27" s="13">
        <v>42969.229733796295</v>
      </c>
      <c r="G27" s="7">
        <v>1</v>
      </c>
      <c r="H27" s="21" t="s">
        <v>812</v>
      </c>
      <c r="I27" s="13">
        <v>42969.254953703705</v>
      </c>
      <c r="J27" s="7">
        <v>0</v>
      </c>
      <c r="K27" s="89" t="str">
        <f t="shared" si="0"/>
        <v>4057/4058</v>
      </c>
      <c r="L27" s="217" t="str">
        <f>VLOOKUP(A27,'Trips&amp;Operators'!$C$1:$G$99911,5,FALSE)</f>
        <v>BONDS REYNALDO</v>
      </c>
      <c r="M27" s="6">
        <f t="shared" si="1"/>
        <v>2.5219907409336884E-2</v>
      </c>
      <c r="N27" s="7">
        <f t="shared" si="2"/>
        <v>36.316666669445112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-22T04:27:14-0600',mode:absolute,to:'2017-08-22T07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4.6199999999999998E-2</v>
      </c>
      <c r="Z27" s="197">
        <f t="shared" si="8"/>
        <v>23.340699999999998</v>
      </c>
      <c r="AA27" s="197">
        <f t="shared" si="9"/>
        <v>23.294499999999999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10"/>
        <v>115</v>
      </c>
      <c r="AE27" s="77" t="str">
        <f t="shared" si="11"/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AF27" s="74" t="str">
        <f t="shared" si="12"/>
        <v>"C:\Program Files (x86)\AstroGrep\AstroGrep.exe" /e /r /s /spath="%USERPROFILE%\AppData\Local\Temp\OnboardLogs" /stypes="app*4058*20170822*"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115-22 --locoid 4058 --swversion DE.1.0.9.0 --startMP 204:462 --initTime 2017-08-22T05:27:14 --startdatetime 2017-08-22T05:30:49 --delay 1 --endMP 204:233407 --enddatetime 2017-08-22T06:07:08 --enforcementcount 0 &gt;&gt;C:\Users\stu\Documents\GitHub\eaglep3-reporting\EC\2017-08-22-refined-times.txt</v>
      </c>
      <c r="AI2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{"issue":{"subject":"","project_id":79,"tracker_id":40,"status_id":1,"priority_id":2,"assigned_to_id":23,"start_date":"2017-08-22","description":"","custom_fields":[{"id":1,"name":"Subdivision","value":"EC"},{"id":4,"name":"Milepost","value":"23.3407"},{"id":17,"name":"Train ID","value":"115-22"},{"id":16,"name":"Locomotive ID","value":"4058"},{"id":130,"name":"Impact","value":""},{"id":150,"name":"Time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4058 --day 2017-08-22</v>
      </c>
      <c r="AN2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627</v>
      </c>
      <c r="B28" s="7">
        <v>4057</v>
      </c>
      <c r="C28" s="21" t="s">
        <v>198</v>
      </c>
      <c r="D28" s="21" t="s">
        <v>452</v>
      </c>
      <c r="E28" s="13">
        <v>42969.265127314815</v>
      </c>
      <c r="F28" s="13">
        <v>42969.268969907411</v>
      </c>
      <c r="G28" s="7">
        <v>1</v>
      </c>
      <c r="H28" s="21" t="s">
        <v>372</v>
      </c>
      <c r="I28" s="13">
        <v>42969.297175925924</v>
      </c>
      <c r="J28" s="7">
        <v>0</v>
      </c>
      <c r="K28" s="89" t="str">
        <f t="shared" si="0"/>
        <v>4057/4058</v>
      </c>
      <c r="L28" s="217" t="str">
        <f>VLOOKUP(A28,'Trips&amp;Operators'!$C$1:$G$99911,5,FALSE)</f>
        <v>BONDS REYNALDO</v>
      </c>
      <c r="M28" s="6">
        <f t="shared" si="1"/>
        <v>2.8206018512719311E-2</v>
      </c>
      <c r="N28" s="7">
        <f t="shared" si="2"/>
        <v>40.616666658315808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-22T05:21:47-0600',mode:absolute,to:'2017-08-22T08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23.308800000000002</v>
      </c>
      <c r="Z28" s="197">
        <f t="shared" si="8"/>
        <v>1.5800000000000002E-2</v>
      </c>
      <c r="AA28" s="197">
        <f t="shared" si="9"/>
        <v>23.293000000000003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10"/>
        <v>116</v>
      </c>
      <c r="AE28" s="77" t="str">
        <f t="shared" si="11"/>
        <v>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 &amp; 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</v>
      </c>
      <c r="AF28" s="74" t="str">
        <f t="shared" si="12"/>
        <v>"C:\Program Files (x86)\AstroGrep\AstroGrep.exe" /e /r /s /spath="%USERPROFILE%\AppData\Local\Temp\OnboardLogs" /stypes="app*4057*20170822*"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116-22 --locoid 4057 --swversion DE.1.0.9.0 --startMP 204:233088 --initTime 2017-08-22T06:21:47 --startdatetime 2017-08-22T06:27:19 --delay 1 --endMP 204:158 --enddatetime 2017-08-22T07:07:56 --enforcementcount 0 &gt;&gt;C:\Users\stu\Documents\GitHub\eaglep3-reporting\EC\2017-08-22-refined-times.txt</v>
      </c>
      <c r="AI28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{"issue":{"subject":"","project_id":79,"tracker_id":40,"status_id":1,"priority_id":2,"assigned_to_id":23,"start_date":"2017-08-22","description":"","custom_fields":[{"id":1,"name":"Subdivision","value":"EC"},{"id":4,"name":"Milepost","value":"0.0158"},{"id":17,"name":"Train ID","value":"116-22"},{"id":16,"name":"Locomotive ID","value":"4057"},{"id":130,"name":"Impact","value":""},{"id":150,"name":"Time of Event (Mountain Time)","value":"07:07:56"},{"id":151,"name":"Denver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4057 --day 2017-08-22</v>
      </c>
      <c r="AN28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620</v>
      </c>
      <c r="B29" s="7">
        <v>4024</v>
      </c>
      <c r="C29" s="21" t="s">
        <v>198</v>
      </c>
      <c r="D29" s="21" t="s">
        <v>374</v>
      </c>
      <c r="E29" s="13">
        <v>42969.231215277781</v>
      </c>
      <c r="F29" s="13">
        <v>42969.24015046296</v>
      </c>
      <c r="G29" s="7">
        <v>1</v>
      </c>
      <c r="H29" s="21" t="s">
        <v>510</v>
      </c>
      <c r="I29" s="13">
        <v>42969.266840277778</v>
      </c>
      <c r="J29" s="7">
        <v>0</v>
      </c>
      <c r="K29" s="89" t="str">
        <f t="shared" si="0"/>
        <v>4023/4024</v>
      </c>
      <c r="L29" s="217" t="str">
        <f>VLOOKUP(A29,'Trips&amp;Operators'!$C$1:$G$99911,5,FALSE)</f>
        <v>DAVIDSON DAVID</v>
      </c>
      <c r="M29" s="6">
        <f t="shared" si="1"/>
        <v>2.6689814818382729E-2</v>
      </c>
      <c r="N29" s="7">
        <f t="shared" si="2"/>
        <v>38.43333333847113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-22T04:32:57-0600',mode:absolute,to:'2017-08-22T07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4.5999999999999999E-2</v>
      </c>
      <c r="Z29" s="197">
        <f t="shared" si="8"/>
        <v>23.330400000000001</v>
      </c>
      <c r="AA29" s="197">
        <f t="shared" si="9"/>
        <v>23.284400000000002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10"/>
        <v>117</v>
      </c>
      <c r="AE29" s="77" t="str">
        <f t="shared" si="11"/>
        <v>aws s3 cp s3://rtdc.mdm.uploadarchive.raw/RTDC4024/ "%USERPROFILE%\AppData\Local\Temp\OnboardLogs"\RTDC4024\2017-08-22 --exclude "*" --recursive --include "*20170822*" &amp; "%USERPROFILE%\Documents\GitHub\mrs-test-scripts\Headless Mode &amp; Sideloading\WalkAndUnGZ.bat" "%USERPROFILE%\AppData\Local\Temp\OnboardLogs"\RTDC4024\2017-08-22 &amp; aws s3 cp s3://rtdc.mdm.uploadarchive.raw/RTDC4024/ "%USERPROFILE%\AppData\Local\Temp\OnboardLogs"\RTDC4024\2017-08-23 --exclude "*" --recursive --include "*20170823*" &amp; "%USERPROFILE%\Documents\GitHub\mrs-test-scripts\Headless Mode &amp; Sideloading\WalkAndUnGZ.bat" "%USERPROFILE%\AppData\Local\Temp\OnboardLogs"\RTDC4024\2017-08-23</v>
      </c>
      <c r="AF29" s="74" t="str">
        <f t="shared" si="12"/>
        <v>"C:\Program Files (x86)\AstroGrep\AstroGrep.exe" /e /r /s /spath="%USERPROFILE%\AppData\Local\Temp\OnboardLogs" /stypes="app*4024*20170822*"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117-22 --locoid 4024 --swversion DE.1.0.9.0 --startMP 204:460 --initTime 2017-08-22T05:32:57 --startdatetime 2017-08-22T05:45:49 --delay 1 --endMP 204:233304 --enddatetime 2017-08-22T06:24:15 --enforcementcount 0 &gt;&gt;C:\Users\stu\Documents\GitHub\eaglep3-reporting\EC\2017-08-22-refined-times.txt</v>
      </c>
      <c r="AI29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{"issue":{"subject":"","project_id":79,"tracker_id":40,"status_id":1,"priority_id":2,"assigned_to_id":23,"start_date":"2017-08-22","description":"","custom_fields":[{"id":1,"name":"Subdivision","value":"EC"},{"id":4,"name":"Milepost","value":"23.3304"},{"id":17,"name":"Train ID","value":"117-22"},{"id":16,"name":"Locomotive ID","value":"4024"},{"id":130,"name":"Impact","value":""},{"id":150,"name":"Time of Event (Mountain Time)","value":"06:24:15"},{"id":151,"name":"Denver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4024 --day 2017-08-22</v>
      </c>
      <c r="AN29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629</v>
      </c>
      <c r="B30" s="7">
        <v>4023</v>
      </c>
      <c r="C30" s="21" t="s">
        <v>198</v>
      </c>
      <c r="D30" s="21" t="s">
        <v>453</v>
      </c>
      <c r="E30" s="13">
        <v>42969.272731481484</v>
      </c>
      <c r="F30" s="13">
        <v>42969.279351851852</v>
      </c>
      <c r="G30" s="7">
        <v>1</v>
      </c>
      <c r="H30" s="21" t="s">
        <v>813</v>
      </c>
      <c r="I30" s="13">
        <v>42969.306817129633</v>
      </c>
      <c r="J30" s="7">
        <v>0</v>
      </c>
      <c r="K30" s="89" t="str">
        <f t="shared" si="0"/>
        <v>4023/4024</v>
      </c>
      <c r="L30" s="217" t="str">
        <f>VLOOKUP(A30,'Trips&amp;Operators'!$C$1:$G$99911,5,FALSE)</f>
        <v>DAVIDSON DAVID</v>
      </c>
      <c r="M30" s="6">
        <f t="shared" si="1"/>
        <v>2.7465277780720498E-2</v>
      </c>
      <c r="N30" s="7">
        <f t="shared" si="2"/>
        <v>39.550000004237518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-22T05:32:44-0600',mode:absolute,to:'2017-08-22T08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23.298100000000002</v>
      </c>
      <c r="Z30" s="197">
        <f t="shared" si="8"/>
        <v>9.1899999999999996E-2</v>
      </c>
      <c r="AA30" s="197">
        <f t="shared" si="9"/>
        <v>23.206200000000003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10"/>
        <v>118</v>
      </c>
      <c r="AE30" s="77" t="str">
        <f t="shared" si="11"/>
        <v>aws s3 cp s3://rtdc.mdm.uploadarchive.raw/RTDC4023/ "%USERPROFILE%\AppData\Local\Temp\OnboardLogs"\RTDC4023\2017-08-22 --exclude "*" --recursive --include "*20170822*" &amp; "%USERPROFILE%\Documents\GitHub\mrs-test-scripts\Headless Mode &amp; Sideloading\WalkAndUnGZ.bat" "%USERPROFILE%\AppData\Local\Temp\OnboardLogs"\RTDC4023\2017-08-22 &amp; aws s3 cp s3://rtdc.mdm.uploadarchive.raw/RTDC4023/ "%USERPROFILE%\AppData\Local\Temp\OnboardLogs"\RTDC4023\2017-08-23 --exclude "*" --recursive --include "*20170823*" &amp; "%USERPROFILE%\Documents\GitHub\mrs-test-scripts\Headless Mode &amp; Sideloading\WalkAndUnGZ.bat" "%USERPROFILE%\AppData\Local\Temp\OnboardLogs"\RTDC4023\2017-08-23</v>
      </c>
      <c r="AF30" s="74" t="str">
        <f t="shared" si="12"/>
        <v>"C:\Program Files (x86)\AstroGrep\AstroGrep.exe" /e /r /s /spath="%USERPROFILE%\AppData\Local\Temp\OnboardLogs" /stypes="app*4023*20170822*"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118-22 --locoid 4023 --swversion DE.1.0.9.0 --startMP 204:232981 --initTime 2017-08-22T06:32:44 --startdatetime 2017-08-22T06:42:16 --delay 1 --endMP 204:919 --enddatetime 2017-08-22T07:21:49 --enforcementcount 0 &gt;&gt;C:\Users\stu\Documents\GitHub\eaglep3-reporting\EC\2017-08-22-refined-times.txt</v>
      </c>
      <c r="AI30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{"issue":{"subject":"","project_id":79,"tracker_id":40,"status_id":1,"priority_id":2,"assigned_to_id":23,"start_date":"2017-08-22","description":"","custom_fields":[{"id":1,"name":"Subdivision","value":"EC"},{"id":4,"name":"Milepost","value":"0.0919"},{"id":17,"name":"Train ID","value":"118-22"},{"id":16,"name":"Locomotive ID","value":"4023"},{"id":130,"name":"Impact","value":""},{"id":150,"name":"Time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4023 --day 2017-08-22</v>
      </c>
      <c r="AN30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622</v>
      </c>
      <c r="B31" s="7">
        <v>4018</v>
      </c>
      <c r="C31" s="21" t="s">
        <v>198</v>
      </c>
      <c r="D31" s="21" t="s">
        <v>370</v>
      </c>
      <c r="E31" s="13">
        <v>42969.245405092595</v>
      </c>
      <c r="F31" s="13">
        <v>42969.250787037039</v>
      </c>
      <c r="G31" s="7">
        <v>1</v>
      </c>
      <c r="H31" s="21" t="s">
        <v>398</v>
      </c>
      <c r="I31" s="13">
        <v>42969.275254629632</v>
      </c>
      <c r="J31" s="7">
        <v>0</v>
      </c>
      <c r="K31" s="89" t="str">
        <f t="shared" si="0"/>
        <v>4017/4018</v>
      </c>
      <c r="L31" s="217" t="str">
        <f>VLOOKUP(A31,'Trips&amp;Operators'!$C$1:$G$99911,5,FALSE)</f>
        <v>MAELZER KURT</v>
      </c>
      <c r="M31" s="6">
        <f t="shared" si="1"/>
        <v>2.4467592593282461E-2</v>
      </c>
      <c r="N31" s="7">
        <f t="shared" si="2"/>
        <v>35.233333334326744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-22T04:53:23-0600',mode:absolute,to:'2017-08-22T07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4.58E-2</v>
      </c>
      <c r="Z31" s="197">
        <f t="shared" si="8"/>
        <v>23.3293</v>
      </c>
      <c r="AA31" s="197">
        <f t="shared" si="9"/>
        <v>23.2835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10"/>
        <v>119</v>
      </c>
      <c r="AE31" s="77" t="str">
        <f t="shared" si="11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31" s="74" t="str">
        <f t="shared" si="12"/>
        <v>"C:\Program Files (x86)\AstroGrep\AstroGrep.exe" /e /r /s /spath="%USERPROFILE%\AppData\Local\Temp\OnboardLogs" /stypes="app*4018*20170822*"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119-22 --locoid 4018 --swversion DE.1.0.9.0 --startMP 204:458 --initTime 2017-08-22T05:53:23 --startdatetime 2017-08-22T06:01:08 --delay 1 --endMP 204:233293 --enddatetime 2017-08-22T06:36:22 --enforcementcount 0 &gt;&gt;C:\Users\stu\Documents\GitHub\eaglep3-reporting\EC\2017-08-22-refined-times.txt</v>
      </c>
      <c r="AI31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{"issue":{"subject":"","project_id":79,"tracker_id":40,"status_id":1,"priority_id":2,"assigned_to_id":23,"start_date":"2017-08-22","description":"","custom_fields":[{"id":1,"name":"Subdivision","value":"EC"},{"id":4,"name":"Milepost","value":"23.3293"},{"id":17,"name":"Train ID","value":"119-22"},{"id":16,"name":"Locomotive ID","value":"4018"},{"id":130,"name":"Impact","value":""},{"id":150,"name":"Time of Event (Mountain Time)","value":"06:36:22"},{"id":151,"name":"Denver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4018 --day 2017-08-22</v>
      </c>
      <c r="AN31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634</v>
      </c>
      <c r="B32" s="7">
        <v>4017</v>
      </c>
      <c r="C32" s="21" t="s">
        <v>198</v>
      </c>
      <c r="D32" s="21" t="s">
        <v>502</v>
      </c>
      <c r="E32" s="13">
        <v>42969.283912037034</v>
      </c>
      <c r="F32" s="13">
        <v>42969.289814814816</v>
      </c>
      <c r="G32" s="7">
        <v>1</v>
      </c>
      <c r="H32" s="21" t="s">
        <v>450</v>
      </c>
      <c r="I32" s="13">
        <v>42969.317442129628</v>
      </c>
      <c r="J32" s="7">
        <v>0</v>
      </c>
      <c r="K32" s="89" t="str">
        <f t="shared" si="0"/>
        <v>4017/4018</v>
      </c>
      <c r="L32" s="217" t="str">
        <f>VLOOKUP(A32,'Trips&amp;Operators'!$C$1:$G$99911,5,FALSE)</f>
        <v>MAELZER KURT</v>
      </c>
      <c r="M32" s="6">
        <f t="shared" si="1"/>
        <v>2.7627314811979886E-2</v>
      </c>
      <c r="N32" s="7">
        <f t="shared" si="2"/>
        <v>39.783333329251036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-22T05:48:50-0600',mode:absolute,to:'2017-08-22T08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23.297699999999999</v>
      </c>
      <c r="Z32" s="197">
        <f t="shared" si="8"/>
        <v>1.29E-2</v>
      </c>
      <c r="AA32" s="197">
        <f t="shared" si="9"/>
        <v>23.284800000000001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10"/>
        <v>120</v>
      </c>
      <c r="AE32" s="77" t="str">
        <f t="shared" si="11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32" s="74" t="str">
        <f t="shared" si="12"/>
        <v>"C:\Program Files (x86)\AstroGrep\AstroGrep.exe" /e /r /s /spath="%USERPROFILE%\AppData\Local\Temp\OnboardLogs" /stypes="app*4017*20170822*"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120-22 --locoid 4017 --swversion DE.1.0.9.0 --startMP 204:232977 --initTime 2017-08-22T06:48:50 --startdatetime 2017-08-22T06:57:20 --delay 1 --endMP 204:129 --enddatetime 2017-08-22T07:37:07 --enforcementcount 0 &gt;&gt;C:\Users\stu\Documents\GitHub\eaglep3-reporting\EC\2017-08-22-refined-times.txt</v>
      </c>
      <c r="AI32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{"issue":{"subject":"","project_id":79,"tracker_id":40,"status_id":1,"priority_id":2,"assigned_to_id":23,"start_date":"2017-08-22","description":"","custom_fields":[{"id":1,"name":"Subdivision","value":"EC"},{"id":4,"name":"Milepost","value":"0.0129"},{"id":17,"name":"Train ID","value":"120-22"},{"id":16,"name":"Locomotive ID","value":"4017"},{"id":130,"name":"Impact","value":""},{"id":150,"name":"Time of Event (Mountain Time)","value":"07:37:07"},{"id":151,"name":"Denver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4017 --day 2017-08-22</v>
      </c>
      <c r="AN32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623</v>
      </c>
      <c r="B33" s="7">
        <v>4010</v>
      </c>
      <c r="C33" s="21" t="s">
        <v>198</v>
      </c>
      <c r="D33" s="21" t="s">
        <v>352</v>
      </c>
      <c r="E33" s="13">
        <v>42969.254837962966</v>
      </c>
      <c r="F33" s="13">
        <v>42969.260949074072</v>
      </c>
      <c r="G33" s="7">
        <v>1</v>
      </c>
      <c r="H33" s="21" t="s">
        <v>814</v>
      </c>
      <c r="I33" s="13">
        <v>42969.285254629627</v>
      </c>
      <c r="J33" s="7">
        <v>0</v>
      </c>
      <c r="K33" s="89" t="str">
        <f t="shared" si="0"/>
        <v>4009/4010</v>
      </c>
      <c r="L33" s="217" t="str">
        <f>VLOOKUP(A33,'Trips&amp;Operators'!$C$1:$G$99911,5,FALSE)</f>
        <v>LALONDE GREGORY</v>
      </c>
      <c r="M33" s="6">
        <f t="shared" si="1"/>
        <v>2.4305555554747116E-2</v>
      </c>
      <c r="N33" s="7">
        <f t="shared" si="2"/>
        <v>34.999999998835847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-22T05:06:58-0600',mode:absolute,to:'2017-08-22T07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4.6199999999999998E-2</v>
      </c>
      <c r="Z33" s="197">
        <f t="shared" si="8"/>
        <v>23.332699999999999</v>
      </c>
      <c r="AA33" s="197">
        <f t="shared" si="9"/>
        <v>23.2865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10"/>
        <v>121</v>
      </c>
      <c r="AE33" s="77" t="str">
        <f t="shared" si="11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33" s="74" t="str">
        <f t="shared" si="12"/>
        <v>"C:\Program Files (x86)\AstroGrep\AstroGrep.exe" /e /r /s /spath="%USERPROFILE%\AppData\Local\Temp\OnboardLogs" /stypes="app*4010*20170822*"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121-22 --locoid 4010 --swversion DE.1.0.9.0 --startMP 204:462 --initTime 2017-08-22T06:06:58 --startdatetime 2017-08-22T06:15:46 --delay 1 --endMP 204:233327 --enddatetime 2017-08-22T06:50:46 --enforcementcount 0 &gt;&gt;C:\Users\stu\Documents\GitHub\eaglep3-reporting\EC\2017-08-22-refined-times.txt</v>
      </c>
      <c r="AI33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{"issue":{"subject":"","project_id":79,"tracker_id":40,"status_id":1,"priority_id":2,"assigned_to_id":23,"start_date":"2017-08-22","description":"","custom_fields":[{"id":1,"name":"Subdivision","value":"EC"},{"id":4,"name":"Milepost","value":"23.3327"},{"id":17,"name":"Train ID","value":"121-22"},{"id":16,"name":"Locomotive ID","value":"4010"},{"id":130,"name":"Impact","value":""},{"id":150,"name":"Time of Event (Mountain Time)","value":"06:50:46"},{"id":151,"name":"Denver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4010 --day 2017-08-22</v>
      </c>
      <c r="AN33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635</v>
      </c>
      <c r="B34" s="7">
        <v>4009</v>
      </c>
      <c r="C34" s="21" t="s">
        <v>198</v>
      </c>
      <c r="D34" s="21" t="s">
        <v>815</v>
      </c>
      <c r="E34" s="13">
        <v>42969.28738425926</v>
      </c>
      <c r="F34" s="13">
        <v>42969.300173611111</v>
      </c>
      <c r="G34" s="7">
        <v>0</v>
      </c>
      <c r="H34" s="21" t="s">
        <v>341</v>
      </c>
      <c r="I34" s="13">
        <v>42969.329687500001</v>
      </c>
      <c r="J34" s="7">
        <v>0</v>
      </c>
      <c r="K34" s="89" t="str">
        <f t="shared" si="0"/>
        <v>4009/4010</v>
      </c>
      <c r="L34" s="217" t="str">
        <f>VLOOKUP(A34,'Trips&amp;Operators'!$C$1:$G$99911,5,FALSE)</f>
        <v>LALONDE GREGORY</v>
      </c>
      <c r="M34" s="6">
        <f t="shared" si="1"/>
        <v>2.9513888890505768E-2</v>
      </c>
      <c r="N34" s="7">
        <f t="shared" si="2"/>
        <v>42.500000002328306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-22T05:53:50-0600',mode:absolute,to:'2017-08-22T08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23.302099999999999</v>
      </c>
      <c r="Z34" s="197">
        <f t="shared" si="8"/>
        <v>1.43E-2</v>
      </c>
      <c r="AA34" s="197">
        <f t="shared" si="9"/>
        <v>23.287800000000001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10"/>
        <v>122</v>
      </c>
      <c r="AE34" s="77" t="str">
        <f t="shared" si="11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34" s="74" t="str">
        <f t="shared" si="12"/>
        <v>"C:\Program Files (x86)\AstroGrep\AstroGrep.exe" /e /r /s /spath="%USERPROFILE%\AppData\Local\Temp\OnboardLogs" /stypes="app*4009*20170822*"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122-22 --locoid 4009 --swversion DE.1.0.9.0 --startMP 204:233021 --initTime 2017-08-22T06:53:50 --startdatetime 2017-08-22T07:12:15 --delay 0 --endMP 204:143 --enddatetime 2017-08-22T07:54:45 --enforcementcount 0 &gt;&gt;C:\Users\stu\Documents\GitHub\eaglep3-reporting\EC\2017-08-22-refined-times.txt</v>
      </c>
      <c r="AI34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{"issue":{"subject":"","project_id":79,"tracker_id":40,"status_id":1,"priority_id":2,"assigned_to_id":23,"start_date":"2017-08-22","description":"","custom_fields":[{"id":1,"name":"Subdivision","value":"EC"},{"id":4,"name":"Milepost","value":"0.0143"},{"id":17,"name":"Train ID","value":"122-22"},{"id":16,"name":"Locomotive ID","value":"4009"},{"id":130,"name":"Impact","value":""},{"id":150,"name":"Time of Event (Mountain Time)","value":"07:54:45"},{"id":151,"name":"Denver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4009 --day 2017-08-22</v>
      </c>
      <c r="AN34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628</v>
      </c>
      <c r="B35" s="7">
        <v>4006</v>
      </c>
      <c r="C35" s="21" t="s">
        <v>198</v>
      </c>
      <c r="D35" s="21" t="s">
        <v>815</v>
      </c>
      <c r="E35" s="13">
        <v>42969.28738425926</v>
      </c>
      <c r="F35" s="13">
        <v>42969.271608796298</v>
      </c>
      <c r="G35" s="7">
        <v>0</v>
      </c>
      <c r="H35" s="21" t="s">
        <v>341</v>
      </c>
      <c r="I35" s="13">
        <v>42969.295659722222</v>
      </c>
      <c r="J35" s="7">
        <v>0</v>
      </c>
      <c r="K35" s="89" t="str">
        <f t="shared" ref="K35" si="22">IF(ISEVEN(B35),(B35-1)&amp;"/"&amp;B35,B35&amp;"/"&amp;(B35+1))</f>
        <v>4005/4006</v>
      </c>
      <c r="L35" s="217" t="str">
        <f>VLOOKUP(A35,'Trips&amp;Operators'!$C$1:$G$99911,5,FALSE)</f>
        <v>MACDONALD THOMAS</v>
      </c>
      <c r="M35" s="6">
        <f t="shared" ref="M35" si="23">I35-F35</f>
        <v>2.4050925923802424E-2</v>
      </c>
      <c r="N35" s="7">
        <f t="shared" si="2"/>
        <v>34.633333330275491</v>
      </c>
      <c r="O35" s="7"/>
      <c r="P35" s="7"/>
      <c r="Q35" s="22"/>
      <c r="R35" s="170"/>
      <c r="S35" s="213">
        <f t="shared" ref="S35" si="24">1/IF(AG35="EC",12,1)*SUM(U35:U35)</f>
        <v>1</v>
      </c>
      <c r="T35" s="195" t="str">
        <f t="shared" ref="T35" si="25"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ref="V35" si="26"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-22T05:53:50-0600',mode:absolute,to:'2017-08-22T08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97" t="str">
        <f>IF(AA35&lt;VLOOKUP(AG35,Variables!$AC$3:$AD$8,2,FALSE),"Y","N")</f>
        <v>N</v>
      </c>
      <c r="X35" s="197">
        <f t="shared" ref="X35:X36" si="27">VALUE(LEFT(AD35,4))-VALUE(LEFT(AD34,4))</f>
        <v>1</v>
      </c>
      <c r="Y35" s="197">
        <v>4.6199999999999998E-2</v>
      </c>
      <c r="Z35" s="197">
        <v>23.332699999999999</v>
      </c>
      <c r="AA35" s="197">
        <f t="shared" ref="AA35" si="28">ABS(Z35-Y35)</f>
        <v>23.2865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ref="AD35" si="29">VALUE(LEFT(A35,LEN(A35)-3))</f>
        <v>123</v>
      </c>
      <c r="AE35" s="77" t="str">
        <f t="shared" ref="AE35" si="30"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35" s="74" t="str">
        <f t="shared" ref="AF35" si="31"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/stypes="app*4006*20170822*" /stext=" 13:.+((SYSTEM_STATE.+slice.+state.+changed )|(ment ac)|(multiple cpu faults)|(system.+state.+changed )|(\[timeout)|(PRM\|1\|D)|(kpr)|(kdp)|(train st.+moving)|(\|lc)|(penalty))"</v>
      </c>
      <c r="AG35" s="209" t="str">
        <f t="shared" ref="AG35" si="32">DetSubdiv(A35)</f>
        <v>EC</v>
      </c>
      <c r="AH35" s="78" t="str">
        <f t="shared" ref="AH35" si="33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123-22 --locoid 4006 --swversion DE.1.0.9.0 --startMP 204:233021 --initTime 2017-08-22T06:53:50 --startdatetime 2017-08-22T06:31:07 --delay 0 --endMP 204:143 --enddatetime 2017-08-22T07:05:45 --enforcementcount 0 &gt;&gt;C:\Users\stu\Documents\GitHub\eaglep3-reporting\EC\2017-08-22-refined-times.txt</v>
      </c>
      <c r="AI35" s="96" t="str">
        <f t="shared" ref="AI35" si="34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{"issue":{"subject":"","project_id":79,"tracker_id":40,"status_id":1,"priority_id":2,"assigned_to_id":23,"start_date":"2017-08-22","description":"","custom_fields":[{"id":1,"name":"Subdivision","value":"EC"},{"id":4,"name":"Milepost","value":"23.3327"},{"id":17,"name":"Train ID","value":"123-22"},{"id":16,"name":"Locomotive ID","value":"4006"},{"id":130,"name":"Impact","value":""},{"id":150,"name":"Time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ref="AM35" si="35">"start /low /b "&amp;dls3logs&amp;" --loco "&amp;B35&amp;" --day "&amp;TEXT(F35,"YYYY-MM-DD")</f>
        <v>start /low /b %USERPROFILE%\Documents\GitHub\eaglep3\Utilities\DownloadLogsFromS3.py --loco 4006 --day 2017-08-22</v>
      </c>
      <c r="AN35" s="151" t="str">
        <f t="shared" ref="AN35" si="36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</row>
    <row r="36" spans="1:91" s="1" customFormat="1" x14ac:dyDescent="0.25">
      <c r="A36" s="32" t="s">
        <v>639</v>
      </c>
      <c r="B36" s="7">
        <v>4005</v>
      </c>
      <c r="C36" s="21" t="s">
        <v>198</v>
      </c>
      <c r="D36" s="21" t="s">
        <v>503</v>
      </c>
      <c r="E36" s="13">
        <v>42969.30773148148</v>
      </c>
      <c r="F36" s="13">
        <v>42969.311064814814</v>
      </c>
      <c r="G36" s="7">
        <v>1</v>
      </c>
      <c r="H36" s="21" t="s">
        <v>513</v>
      </c>
      <c r="I36" s="13">
        <v>42969.340590277781</v>
      </c>
      <c r="J36" s="7">
        <v>0</v>
      </c>
      <c r="K36" s="89" t="str">
        <f t="shared" si="0"/>
        <v>4005/4006</v>
      </c>
      <c r="L36" s="217" t="str">
        <f>VLOOKUP(A36,'Trips&amp;Operators'!$C$1:$G$99911,5,FALSE)</f>
        <v>MACDONALD THOMAS</v>
      </c>
      <c r="M36" s="6">
        <f t="shared" si="1"/>
        <v>2.9525462967285421E-2</v>
      </c>
      <c r="N36" s="7">
        <f t="shared" si="2"/>
        <v>42.516666672891006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-22T06:23:08-0600',mode:absolute,to:'2017-08-22T09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97" t="str">
        <f>IF(AA36&lt;VLOOKUP(AG36,Variables!$AC$3:$AD$8,2,FALSE),"Y","N")</f>
        <v>N</v>
      </c>
      <c r="X36" s="197">
        <f t="shared" si="27"/>
        <v>1</v>
      </c>
      <c r="Y36" s="197">
        <f t="shared" si="7"/>
        <v>23.296500000000002</v>
      </c>
      <c r="Z36" s="197">
        <f t="shared" si="8"/>
        <v>1.6500000000000001E-2</v>
      </c>
      <c r="AA36" s="197">
        <f t="shared" si="9"/>
        <v>23.28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10"/>
        <v>124</v>
      </c>
      <c r="AE36" s="77" t="str">
        <f t="shared" si="11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36" s="74" t="str">
        <f t="shared" si="12"/>
        <v>"C:\Program Files (x86)\AstroGrep\AstroGrep.exe" /e /r /s /spath="%USERPROFILE%\AppData\Local\Temp\OnboardLogs" /stypes="app*4005*20170822*"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124-22 --locoid 4005 --swversion DE.1.0.9.0 --startMP 204:232965 --initTime 2017-08-22T07:23:08 --startdatetime 2017-08-22T07:27:56 --delay 1 --endMP 204:165 --enddatetime 2017-08-22T08:10:27 --enforcementcount 0 &gt;&gt;C:\Users\stu\Documents\GitHub\eaglep3-reporting\EC\2017-08-22-refined-times.txt</v>
      </c>
      <c r="AI3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{"issue":{"subject":"","project_id":79,"tracker_id":40,"status_id":1,"priority_id":2,"assigned_to_id":23,"start_date":"2017-08-22","description":"","custom_fields":[{"id":1,"name":"Subdivision","value":"EC"},{"id":4,"name":"Milepost","value":"0.0165"},{"id":17,"name":"Train ID","value":"124-22"},{"id":16,"name":"Locomotive ID","value":"4005"},{"id":130,"name":"Impact","value":""},{"id":150,"name":"Time of Event (Mountain Time)","value":"08:10:27"},{"id":151,"name":"Denver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4005 --day 2017-08-22</v>
      </c>
      <c r="AN3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630</v>
      </c>
      <c r="B37" s="7">
        <v>4056</v>
      </c>
      <c r="C37" s="21" t="s">
        <v>198</v>
      </c>
      <c r="D37" s="21" t="s">
        <v>374</v>
      </c>
      <c r="E37" s="13">
        <v>42969.278645833336</v>
      </c>
      <c r="F37" s="13">
        <v>42969.282384259262</v>
      </c>
      <c r="G37" s="7">
        <v>1</v>
      </c>
      <c r="H37" s="21" t="s">
        <v>449</v>
      </c>
      <c r="I37" s="13">
        <v>42969.306921296295</v>
      </c>
      <c r="J37" s="7">
        <v>0</v>
      </c>
      <c r="K37" s="89" t="str">
        <f t="shared" si="0"/>
        <v>4055/4056</v>
      </c>
      <c r="L37" s="217" t="str">
        <f>VLOOKUP(A37,'Trips&amp;Operators'!$C$1:$G$99911,5,FALSE)</f>
        <v>STARKS ANGELINA</v>
      </c>
      <c r="M37" s="6">
        <f t="shared" si="1"/>
        <v>2.4537037032132503E-2</v>
      </c>
      <c r="N37" s="7">
        <f t="shared" si="2"/>
        <v>35.333333326270804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-22T05:41:15-0600',mode:absolute,to:'2017-08-22T08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4.5999999999999999E-2</v>
      </c>
      <c r="Z37" s="197">
        <f t="shared" si="8"/>
        <v>23.331499999999998</v>
      </c>
      <c r="AA37" s="197">
        <f t="shared" si="9"/>
        <v>23.285499999999999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10"/>
        <v>125</v>
      </c>
      <c r="AE37" s="77" t="str">
        <f t="shared" si="11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37" s="74" t="str">
        <f t="shared" si="12"/>
        <v>"C:\Program Files (x86)\AstroGrep\AstroGrep.exe" /e /r /s /spath="%USERPROFILE%\AppData\Local\Temp\OnboardLogs" /stypes="app*4056*20170822*"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125-22 --locoid 4056 --swversion DE.1.0.9.0 --startMP 204:460 --initTime 2017-08-22T06:41:15 --startdatetime 2017-08-22T06:46:38 --delay 1 --endMP 204:233315 --enddatetime 2017-08-22T07:21:58 --enforcementcount 0 &gt;&gt;C:\Users\stu\Documents\GitHub\eaglep3-reporting\EC\2017-08-22-refined-times.txt</v>
      </c>
      <c r="AI3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{"issue":{"subject":"","project_id":79,"tracker_id":40,"status_id":1,"priority_id":2,"assigned_to_id":23,"start_date":"2017-08-22","description":"","custom_fields":[{"id":1,"name":"Subdivision","value":"EC"},{"id":4,"name":"Milepost","value":"23.3315"},{"id":17,"name":"Train ID","value":"125-22"},{"id":16,"name":"Locomotive ID","value":"4056"},{"id":130,"name":"Impact","value":""},{"id":150,"name":"Time of Event (Mountain Time)","value":"07:21:58"},{"id":151,"name":"Denver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4056 --day 2017-08-22</v>
      </c>
      <c r="AN3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560</v>
      </c>
      <c r="B38" s="7">
        <v>4055</v>
      </c>
      <c r="C38" s="21" t="s">
        <v>198</v>
      </c>
      <c r="D38" s="21" t="s">
        <v>816</v>
      </c>
      <c r="E38" s="13">
        <v>42969.316527777781</v>
      </c>
      <c r="F38" s="13">
        <v>42969.32099537037</v>
      </c>
      <c r="G38" s="7">
        <v>1</v>
      </c>
      <c r="H38" s="21" t="s">
        <v>346</v>
      </c>
      <c r="I38" s="13">
        <v>42969.352210648147</v>
      </c>
      <c r="J38" s="7">
        <v>0</v>
      </c>
      <c r="K38" s="89" t="str">
        <f t="shared" si="0"/>
        <v>4055/4056</v>
      </c>
      <c r="L38" s="217" t="str">
        <f>VLOOKUP(A38,'Trips&amp;Operators'!$C$1:$G$99911,5,FALSE)</f>
        <v>STARKS ANGELINA</v>
      </c>
      <c r="M38" s="6">
        <f t="shared" si="1"/>
        <v>3.1215277776937E-2</v>
      </c>
      <c r="N38" s="7">
        <f t="shared" si="2"/>
        <v>44.949999998789281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-22T06:35:48-0600',mode:absolute,to:'2017-08-22T09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</v>
      </c>
      <c r="Z38" s="197">
        <f t="shared" si="8"/>
        <v>1.41E-2</v>
      </c>
      <c r="AA38" s="197">
        <f t="shared" si="9"/>
        <v>23.285900000000002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10"/>
        <v>126</v>
      </c>
      <c r="AE38" s="77" t="str">
        <f t="shared" si="11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38" s="74" t="str">
        <f t="shared" si="12"/>
        <v>"C:\Program Files (x86)\AstroGrep\AstroGrep.exe" /e /r /s /spath="%USERPROFILE%\AppData\Local\Temp\OnboardLogs" /stypes="app*4055*20170822*"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126-22 --locoid 4055 --swversion DE.1.0.9.0 --startMP 204:233000 --initTime 2017-08-22T07:35:48 --startdatetime 2017-08-22T07:42:14 --delay 1 --endMP 204:141 --enddatetime 2017-08-22T08:27:11 --enforcementcount 0 &gt;&gt;C:\Users\stu\Documents\GitHub\eaglep3-reporting\EC\2017-08-22-refined-times.txt</v>
      </c>
      <c r="AI38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{"issue":{"subject":"","project_id":79,"tracker_id":40,"status_id":1,"priority_id":2,"assigned_to_id":23,"start_date":"2017-08-22","description":"","custom_fields":[{"id":1,"name":"Subdivision","value":"EC"},{"id":4,"name":"Milepost","value":"0.0141"},{"id":17,"name":"Train ID","value":"126-22"},{"id":16,"name":"Locomotive ID","value":"4055"},{"id":130,"name":"Impact","value":""},{"id":150,"name":"Time of Event (Mountain Time)","value":"08:27:11"},{"id":151,"name":"Denver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4055 --day 2017-08-22</v>
      </c>
      <c r="AN38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558</v>
      </c>
      <c r="B39" s="7">
        <v>4054</v>
      </c>
      <c r="C39" s="21" t="s">
        <v>198</v>
      </c>
      <c r="D39" s="21" t="s">
        <v>352</v>
      </c>
      <c r="E39" s="13">
        <v>42969.289293981485</v>
      </c>
      <c r="F39" s="13">
        <v>42969.292326388888</v>
      </c>
      <c r="G39" s="7">
        <v>1</v>
      </c>
      <c r="H39" s="21" t="s">
        <v>520</v>
      </c>
      <c r="I39" s="13">
        <v>42969.317743055559</v>
      </c>
      <c r="J39" s="7">
        <v>0</v>
      </c>
      <c r="K39" s="89" t="str">
        <f t="shared" si="0"/>
        <v>4053/4054</v>
      </c>
      <c r="L39" s="217" t="str">
        <f>VLOOKUP(A39,'Trips&amp;Operators'!$C$1:$G$99911,5,FALSE)</f>
        <v>LOZA FIDEL</v>
      </c>
      <c r="M39" s="6">
        <f t="shared" si="1"/>
        <v>2.5416666670935228E-2</v>
      </c>
      <c r="N39" s="7">
        <f t="shared" si="2"/>
        <v>36.600000006146729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-22T05:56:35-0600',mode:absolute,to:'2017-08-22T08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4.6199999999999998E-2</v>
      </c>
      <c r="Z39" s="197">
        <f t="shared" si="8"/>
        <v>23.3324</v>
      </c>
      <c r="AA39" s="197">
        <f t="shared" si="9"/>
        <v>23.286200000000001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10"/>
        <v>127</v>
      </c>
      <c r="AE39" s="77" t="str">
        <f t="shared" si="11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39" s="74" t="str">
        <f t="shared" si="12"/>
        <v>"C:\Program Files (x86)\AstroGrep\AstroGrep.exe" /e /r /s /spath="%USERPROFILE%\AppData\Local\Temp\OnboardLogs" /stypes="app*4054*20170822*"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127-22 --locoid 4054 --swversion DE.1.0.9.0 --startMP 204:462 --initTime 2017-08-22T06:56:35 --startdatetime 2017-08-22T07:00:57 --delay 1 --endMP 204:233324 --enddatetime 2017-08-22T07:37:33 --enforcementcount 0 &gt;&gt;C:\Users\stu\Documents\GitHub\eaglep3-reporting\EC\2017-08-22-refined-times.txt</v>
      </c>
      <c r="AI39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{"issue":{"subject":"","project_id":79,"tracker_id":40,"status_id":1,"priority_id":2,"assigned_to_id":23,"start_date":"2017-08-22","description":"","custom_fields":[{"id":1,"name":"Subdivision","value":"EC"},{"id":4,"name":"Milepost","value":"23.3324"},{"id":17,"name":"Train ID","value":"127-22"},{"id":16,"name":"Locomotive ID","value":"4054"},{"id":130,"name":"Impact","value":""},{"id":150,"name":"Time of Event (Mountain Time)","value":"07:37:33"},{"id":151,"name":"Denver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4054 --day 2017-08-22</v>
      </c>
      <c r="AN39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641</v>
      </c>
      <c r="B40" s="7">
        <v>4053</v>
      </c>
      <c r="C40" s="21" t="s">
        <v>198</v>
      </c>
      <c r="D40" s="21" t="s">
        <v>816</v>
      </c>
      <c r="E40" s="13">
        <v>42969.327175925922</v>
      </c>
      <c r="F40" s="13">
        <v>42969.331458333334</v>
      </c>
      <c r="G40" s="7">
        <v>1</v>
      </c>
      <c r="H40" s="21" t="s">
        <v>403</v>
      </c>
      <c r="I40" s="13">
        <v>42969.364178240743</v>
      </c>
      <c r="J40" s="7">
        <v>0</v>
      </c>
      <c r="K40" s="89" t="str">
        <f t="shared" si="0"/>
        <v>4053/4054</v>
      </c>
      <c r="L40" s="217" t="str">
        <f>VLOOKUP(A40,'Trips&amp;Operators'!$C$1:$G$99911,5,FALSE)</f>
        <v>LOZA FIDEL</v>
      </c>
      <c r="M40" s="6">
        <f t="shared" si="1"/>
        <v>3.2719907409045845E-2</v>
      </c>
      <c r="N40" s="7">
        <f t="shared" si="2"/>
        <v>47.116666669026017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-22T06:51:08-0600',mode:absolute,to:'2017-08-22T09:44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</v>
      </c>
      <c r="Z40" s="197">
        <f t="shared" si="8"/>
        <v>1.5599999999999999E-2</v>
      </c>
      <c r="AA40" s="197">
        <f t="shared" si="9"/>
        <v>23.284400000000002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10"/>
        <v>128</v>
      </c>
      <c r="AE40" s="77" t="str">
        <f t="shared" si="11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40" s="74" t="str">
        <f t="shared" si="12"/>
        <v>"C:\Program Files (x86)\AstroGrep\AstroGrep.exe" /e /r /s /spath="%USERPROFILE%\AppData\Local\Temp\OnboardLogs" /stypes="app*4053*20170822*"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128-22 --locoid 4053 --swversion DE.1.0.9.0 --startMP 204:233000 --initTime 2017-08-22T07:51:08 --startdatetime 2017-08-22T07:57:18 --delay 1 --endMP 204:156 --enddatetime 2017-08-22T08:44:25 --enforcementcount 0 &gt;&gt;C:\Users\stu\Documents\GitHub\eaglep3-reporting\EC\2017-08-22-refined-times.txt</v>
      </c>
      <c r="AI40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{"issue":{"subject":"","project_id":79,"tracker_id":40,"status_id":1,"priority_id":2,"assigned_to_id":23,"start_date":"2017-08-22","description":"","custom_fields":[{"id":1,"name":"Subdivision","value":"EC"},{"id":4,"name":"Milepost","value":"0.0156"},{"id":17,"name":"Train ID","value":"128-22"},{"id":16,"name":"Locomotive ID","value":"4053"},{"id":130,"name":"Impact","value":""},{"id":150,"name":"Time of Event (Mountain Time)","value":"08:44:25"},{"id":151,"name":"Denver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4053 --day 2017-08-22</v>
      </c>
      <c r="AN40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14:44:25"},{"id":29,"name":"Sharepoint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561</v>
      </c>
      <c r="B41" s="7">
        <v>4058</v>
      </c>
      <c r="C41" s="21" t="s">
        <v>198</v>
      </c>
      <c r="D41" s="21" t="s">
        <v>345</v>
      </c>
      <c r="E41" s="13">
        <v>42969.300023148149</v>
      </c>
      <c r="F41" s="13">
        <v>42969.30263888889</v>
      </c>
      <c r="G41" s="7">
        <v>1</v>
      </c>
      <c r="H41" s="21" t="s">
        <v>461</v>
      </c>
      <c r="I41" s="13">
        <v>42969.328101851854</v>
      </c>
      <c r="J41" s="7">
        <v>0</v>
      </c>
      <c r="K41" s="89" t="str">
        <f t="shared" si="0"/>
        <v>4057/4058</v>
      </c>
      <c r="L41" s="217" t="str">
        <f>VLOOKUP(A41,'Trips&amp;Operators'!$C$1:$G$99911,5,FALSE)</f>
        <v>BONDS REYNALDO</v>
      </c>
      <c r="M41" s="6">
        <f t="shared" si="1"/>
        <v>2.5462962963501923E-2</v>
      </c>
      <c r="N41" s="7">
        <f t="shared" si="2"/>
        <v>36.666666667442769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-22T06:12:02-0600',mode:absolute,to:'2017-08-22T08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4.4699999999999997E-2</v>
      </c>
      <c r="Z41" s="197">
        <f t="shared" si="8"/>
        <v>23.3368</v>
      </c>
      <c r="AA41" s="197">
        <f t="shared" si="9"/>
        <v>23.292100000000001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10"/>
        <v>129</v>
      </c>
      <c r="AE41" s="77" t="str">
        <f t="shared" si="11"/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AF41" s="74" t="str">
        <f t="shared" si="12"/>
        <v>"C:\Program Files (x86)\AstroGrep\AstroGrep.exe" /e /r /s /spath="%USERPROFILE%\AppData\Local\Temp\OnboardLogs" /stypes="app*4058*20170822*"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129-22 --locoid 4058 --swversion DE.1.0.9.0 --startMP 204:447 --initTime 2017-08-22T07:12:02 --startdatetime 2017-08-22T07:15:48 --delay 1 --endMP 204:233368 --enddatetime 2017-08-22T07:52:28 --enforcementcount 0 &gt;&gt;C:\Users\stu\Documents\GitHub\eaglep3-reporting\EC\2017-08-22-refined-times.txt</v>
      </c>
      <c r="AI41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{"issue":{"subject":"","project_id":79,"tracker_id":40,"status_id":1,"priority_id":2,"assigned_to_id":23,"start_date":"2017-08-22","description":"","custom_fields":[{"id":1,"name":"Subdivision","value":"EC"},{"id":4,"name":"Milepost","value":"23.3368"},{"id":17,"name":"Train ID","value":"129-22"},{"id":16,"name":"Locomotive ID","value":"4058"},{"id":130,"name":"Impact","value":""},{"id":150,"name":"Time of Event (Mountain Time)","value":"07:52:28"},{"id":151,"name":"Denver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4058 --day 2017-08-22</v>
      </c>
      <c r="AN41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643</v>
      </c>
      <c r="B42" s="7">
        <v>4057</v>
      </c>
      <c r="C42" s="21" t="s">
        <v>198</v>
      </c>
      <c r="D42" s="21" t="s">
        <v>817</v>
      </c>
      <c r="E42" s="13">
        <v>42969.33766203704</v>
      </c>
      <c r="F42" s="13">
        <v>42969.341932870368</v>
      </c>
      <c r="G42" s="7">
        <v>1</v>
      </c>
      <c r="H42" s="21" t="s">
        <v>513</v>
      </c>
      <c r="I42" s="13">
        <v>42969.372569444444</v>
      </c>
      <c r="J42" s="7">
        <v>0</v>
      </c>
      <c r="K42" s="89" t="str">
        <f t="shared" si="0"/>
        <v>4057/4058</v>
      </c>
      <c r="L42" s="217" t="str">
        <f>VLOOKUP(A42,'Trips&amp;Operators'!$C$1:$G$99911,5,FALSE)</f>
        <v>BONDS REYNALDO</v>
      </c>
      <c r="M42" s="6">
        <f t="shared" si="1"/>
        <v>3.0636574076197576E-2</v>
      </c>
      <c r="N42" s="7">
        <f t="shared" si="2"/>
        <v>44.116666669724509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-22T07:06:14-0600',mode:absolute,to:'2017-08-22T09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23.3017</v>
      </c>
      <c r="Z42" s="197">
        <f t="shared" si="8"/>
        <v>1.6500000000000001E-2</v>
      </c>
      <c r="AA42" s="197">
        <f t="shared" si="9"/>
        <v>23.2852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10"/>
        <v>130</v>
      </c>
      <c r="AE42" s="77" t="str">
        <f t="shared" si="11"/>
        <v>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 &amp; 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</v>
      </c>
      <c r="AF42" s="74" t="str">
        <f t="shared" si="12"/>
        <v>"C:\Program Files (x86)\AstroGrep\AstroGrep.exe" /e /r /s /spath="%USERPROFILE%\AppData\Local\Temp\OnboardLogs" /stypes="app*4057*20170822*"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130-22 --locoid 4057 --swversion DE.1.0.9.0 --startMP 204:233017 --initTime 2017-08-22T08:06:14 --startdatetime 2017-08-22T08:12:23 --delay 1 --endMP 204:165 --enddatetime 2017-08-22T08:56:30 --enforcementcount 0 &gt;&gt;C:\Users\stu\Documents\GitHub\eaglep3-reporting\EC\2017-08-22-refined-times.txt</v>
      </c>
      <c r="AI42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{"issue":{"subject":"","project_id":79,"tracker_id":40,"status_id":1,"priority_id":2,"assigned_to_id":23,"start_date":"2017-08-22","description":"","custom_fields":[{"id":1,"name":"Subdivision","value":"EC"},{"id":4,"name":"Milepost","value":"0.0165"},{"id":17,"name":"Train ID","value":"130-22"},{"id":16,"name":"Locomotive ID","value":"4057"},{"id":130,"name":"Impact","value":""},{"id":150,"name":"Time of Event (Mountain Time)","value":"08:56:30"},{"id":151,"name":"Denver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4057 --day 2017-08-22</v>
      </c>
      <c r="AN42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637</v>
      </c>
      <c r="B43" s="7">
        <v>4012</v>
      </c>
      <c r="C43" s="21" t="s">
        <v>198</v>
      </c>
      <c r="D43" s="21" t="s">
        <v>818</v>
      </c>
      <c r="E43" s="13">
        <v>42969.309571759259</v>
      </c>
      <c r="F43" s="13">
        <v>42969.313206018516</v>
      </c>
      <c r="G43" s="7">
        <v>2</v>
      </c>
      <c r="H43" s="21" t="s">
        <v>819</v>
      </c>
      <c r="I43" s="13">
        <v>42969.337916666664</v>
      </c>
      <c r="J43" s="7">
        <v>0</v>
      </c>
      <c r="K43" s="89" t="str">
        <f t="shared" si="0"/>
        <v>4011/4012</v>
      </c>
      <c r="L43" s="217" t="str">
        <f>VLOOKUP(A43,'Trips&amp;Operators'!$C$1:$G$99911,5,FALSE)</f>
        <v>SPECTOR MICHAEL</v>
      </c>
      <c r="M43" s="6">
        <f t="shared" si="1"/>
        <v>2.47106481474475E-2</v>
      </c>
      <c r="N43" s="7">
        <f t="shared" si="2"/>
        <v>35.583333332324401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-22T06:25:47-0600',mode:absolute,to:'2017-08-22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0.1492</v>
      </c>
      <c r="Z43" s="197">
        <f t="shared" si="8"/>
        <v>23.330500000000001</v>
      </c>
      <c r="AA43" s="197">
        <f t="shared" si="9"/>
        <v>23.1813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10"/>
        <v>131</v>
      </c>
      <c r="AE43" s="77" t="str">
        <f t="shared" si="11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43" s="74" t="str">
        <f t="shared" si="12"/>
        <v>"C:\Program Files (x86)\AstroGrep\AstroGrep.exe" /e /r /s /spath="%USERPROFILE%\AppData\Local\Temp\OnboardLogs" /stypes="app*4012*20170822*"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131-22 --locoid 4012 --swversion DE.1.0.9.0 --startMP 204:1492 --initTime 2017-08-22T07:25:47 --startdatetime 2017-08-22T07:31:01 --delay 2 --endMP 204:233305 --enddatetime 2017-08-22T08:06:36 --enforcementcount 0 &gt;&gt;C:\Users\stu\Documents\GitHub\eaglep3-reporting\EC\2017-08-22-refined-times.txt</v>
      </c>
      <c r="AI43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{"issue":{"subject":"","project_id":79,"tracker_id":40,"status_id":1,"priority_id":2,"assigned_to_id":23,"start_date":"2017-08-22","description":"","custom_fields":[{"id":1,"name":"Subdivision","value":"EC"},{"id":4,"name":"Milepost","value":"23.3305"},{"id":17,"name":"Train ID","value":"131-22"},{"id":16,"name":"Locomotive ID","value":"4012"},{"id":130,"name":"Impact","value":""},{"id":150,"name":"Time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4012 --day 2017-08-22</v>
      </c>
      <c r="AN43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644</v>
      </c>
      <c r="B44" s="7">
        <v>4011</v>
      </c>
      <c r="C44" s="21" t="s">
        <v>198</v>
      </c>
      <c r="D44" s="21" t="s">
        <v>505</v>
      </c>
      <c r="E44" s="13">
        <v>42969.33935185185</v>
      </c>
      <c r="F44" s="13">
        <v>42969.35229166667</v>
      </c>
      <c r="G44" s="7">
        <v>1</v>
      </c>
      <c r="H44" s="21" t="s">
        <v>339</v>
      </c>
      <c r="I44" s="13">
        <v>42969.382337962961</v>
      </c>
      <c r="J44" s="7">
        <v>0</v>
      </c>
      <c r="K44" s="89" t="str">
        <f t="shared" si="0"/>
        <v>4011/4012</v>
      </c>
      <c r="L44" s="217" t="str">
        <f>VLOOKUP(A44,'Trips&amp;Operators'!$C$1:$G$99911,5,FALSE)</f>
        <v>DAVIDSON DAVID</v>
      </c>
      <c r="M44" s="6">
        <f t="shared" si="1"/>
        <v>3.0046296291402541E-2</v>
      </c>
      <c r="N44" s="7">
        <f t="shared" si="2"/>
        <v>43.266666659619659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-22T07:08:40-0600',mode:absolute,to:'2017-08-22T10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23.297999999999998</v>
      </c>
      <c r="Z44" s="197">
        <f t="shared" si="8"/>
        <v>1.4999999999999999E-2</v>
      </c>
      <c r="AA44" s="197">
        <f t="shared" si="9"/>
        <v>23.282999999999998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10"/>
        <v>132</v>
      </c>
      <c r="AE44" s="77" t="str">
        <f t="shared" si="11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44" s="74" t="str">
        <f t="shared" si="12"/>
        <v>"C:\Program Files (x86)\AstroGrep\AstroGrep.exe" /e /r /s /spath="%USERPROFILE%\AppData\Local\Temp\OnboardLogs" /stypes="app*4011*20170822*"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132-22 --locoid 4011 --swversion DE.1.0.9.0 --startMP 204:232980 --initTime 2017-08-22T08:08:40 --startdatetime 2017-08-22T08:27:18 --delay 1 --endMP 204:150 --enddatetime 2017-08-22T09:10:34 --enforcementcount 0 &gt;&gt;C:\Users\stu\Documents\GitHub\eaglep3-reporting\EC\2017-08-22-refined-times.txt</v>
      </c>
      <c r="AI44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{"issue":{"subject":"","project_id":79,"tracker_id":40,"status_id":1,"priority_id":2,"assigned_to_id":23,"start_date":"2017-08-22","description":"","custom_fields":[{"id":1,"name":"Subdivision","value":"EC"},{"id":4,"name":"Milepost","value":"0.015"},{"id":17,"name":"Train ID","value":"132-22"},{"id":16,"name":"Locomotive ID","value":"4011"},{"id":130,"name":"Impact","value":""},{"id":150,"name":"Time of Event (Mountain Time)","value":"09:10:34"},{"id":151,"name":"Denver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4011 --day 2017-08-22</v>
      </c>
      <c r="AN44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563</v>
      </c>
      <c r="B45" s="7">
        <v>4018</v>
      </c>
      <c r="C45" s="21" t="s">
        <v>198</v>
      </c>
      <c r="D45" s="21" t="s">
        <v>379</v>
      </c>
      <c r="E45" s="13">
        <v>42969.319872685184</v>
      </c>
      <c r="F45" s="13">
        <v>42969.323460648149</v>
      </c>
      <c r="G45" s="7">
        <v>1</v>
      </c>
      <c r="H45" s="21" t="s">
        <v>400</v>
      </c>
      <c r="I45" s="13">
        <v>42969.348865740743</v>
      </c>
      <c r="J45" s="7">
        <v>0</v>
      </c>
      <c r="K45" s="89" t="str">
        <f t="shared" si="0"/>
        <v>4017/4018</v>
      </c>
      <c r="L45" s="217" t="str">
        <f>VLOOKUP(A45,'Trips&amp;Operators'!$C$1:$G$99911,5,FALSE)</f>
        <v>MAELZER KURT</v>
      </c>
      <c r="M45" s="6">
        <f t="shared" si="1"/>
        <v>2.5405092594155576E-2</v>
      </c>
      <c r="N45" s="7">
        <f t="shared" si="2"/>
        <v>36.58333333558403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-22T06:40:37-0600',mode:absolute,to:'2017-08-22T09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4.6399999999999997E-2</v>
      </c>
      <c r="Z45" s="197">
        <f t="shared" si="8"/>
        <v>23.3308</v>
      </c>
      <c r="AA45" s="197">
        <f t="shared" si="9"/>
        <v>23.284400000000002</v>
      </c>
      <c r="AB45" s="54" t="str">
        <f>VLOOKUP(A45,Enforcements!$C$7:$K$11,8,0)</f>
        <v>Bulletin (2)</v>
      </c>
      <c r="AC45" s="51" t="str">
        <f>VLOOKUP(A45,Enforcements!$C$7:$E$11,3,0)</f>
        <v>GRADE CROSSING</v>
      </c>
      <c r="AD45" s="206">
        <f t="shared" si="10"/>
        <v>133</v>
      </c>
      <c r="AE45" s="77" t="str">
        <f t="shared" si="11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45" s="74" t="str">
        <f t="shared" si="12"/>
        <v>"C:\Program Files (x86)\AstroGrep\AstroGrep.exe" /e /r /s /spath="%USERPROFILE%\AppData\Local\Temp\OnboardLogs" /stypes="app*4018*20170822*"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133-22 --locoid 4018 --swversion DE.1.0.9.0 --startMP 204:464 --initTime 2017-08-22T07:40:37 --startdatetime 2017-08-22T07:45:47 --delay 1 --endMP 204:233308 --enddatetime 2017-08-22T08:22:22 --enforcementcount 0 &gt;&gt;C:\Users\stu\Documents\GitHub\eaglep3-reporting\EC\2017-08-22-refined-times.txt</v>
      </c>
      <c r="AI45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{"issue":{"subject":"","project_id":79,"tracker_id":40,"status_id":1,"priority_id":2,"assigned_to_id":23,"start_date":"2017-08-22","description":"","custom_fields":[{"id":1,"name":"Subdivision","value":"EC"},{"id":4,"name":"Milepost","value":"23.3308"},{"id":17,"name":"Train ID","value":"133-22"},{"id":16,"name":"Locomotive ID","value":"4018"},{"id":130,"name":"Impact","value":""},{"id":150,"name":"Time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4018 --day 2017-08-22</v>
      </c>
      <c r="AN45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651</v>
      </c>
      <c r="B46" s="7">
        <v>4017</v>
      </c>
      <c r="C46" s="21" t="s">
        <v>198</v>
      </c>
      <c r="D46" s="21" t="s">
        <v>425</v>
      </c>
      <c r="E46" s="13">
        <v>42969.353703703702</v>
      </c>
      <c r="F46" s="13">
        <v>42969.362696759257</v>
      </c>
      <c r="G46" s="7">
        <v>1</v>
      </c>
      <c r="H46" s="21" t="s">
        <v>450</v>
      </c>
      <c r="I46" s="13">
        <v>42969.393148148149</v>
      </c>
      <c r="J46" s="7">
        <v>0</v>
      </c>
      <c r="K46" s="89" t="str">
        <f t="shared" si="0"/>
        <v>4017/4018</v>
      </c>
      <c r="L46" s="217" t="str">
        <f>VLOOKUP(A46,'Trips&amp;Operators'!$C$1:$G$99911,5,FALSE)</f>
        <v>MAELZER KURT</v>
      </c>
      <c r="M46" s="6">
        <f t="shared" si="1"/>
        <v>3.0451388891378883E-2</v>
      </c>
      <c r="N46" s="7">
        <f t="shared" si="2"/>
        <v>43.850000003585592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-22T07:29:20-0600',mode:absolute,to:'2017-08-22T10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23.3002</v>
      </c>
      <c r="Z46" s="197">
        <f t="shared" si="8"/>
        <v>1.29E-2</v>
      </c>
      <c r="AA46" s="197">
        <f t="shared" si="9"/>
        <v>23.287300000000002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10"/>
        <v>134</v>
      </c>
      <c r="AE46" s="77" t="str">
        <f t="shared" si="11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46" s="74" t="str">
        <f t="shared" si="12"/>
        <v>"C:\Program Files (x86)\AstroGrep\AstroGrep.exe" /e /r /s /spath="%USERPROFILE%\AppData\Local\Temp\OnboardLogs" /stypes="app*4017*20170822*"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134-22 --locoid 4017 --swversion DE.1.0.9.0 --startMP 204:233002 --initTime 2017-08-22T08:29:20 --startdatetime 2017-08-22T08:42:17 --delay 1 --endMP 204:129 --enddatetime 2017-08-22T09:26:08 --enforcementcount 0 &gt;&gt;C:\Users\stu\Documents\GitHub\eaglep3-reporting\EC\2017-08-22-refined-times.txt</v>
      </c>
      <c r="AI4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{"issue":{"subject":"","project_id":79,"tracker_id":40,"status_id":1,"priority_id":2,"assigned_to_id":23,"start_date":"2017-08-22","description":"","custom_fields":[{"id":1,"name":"Subdivision","value":"EC"},{"id":4,"name":"Milepost","value":"0.0129"},{"id":17,"name":"Train ID","value":"134-22"},{"id":16,"name":"Locomotive ID","value":"4017"},{"id":130,"name":"Impact","value":""},{"id":150,"name":"Time of Event (Mountain Time)","value":"09:26:08"},{"id":151,"name":"Denver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4017 --day 2017-08-22</v>
      </c>
      <c r="AN4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642</v>
      </c>
      <c r="B47" s="7">
        <v>4010</v>
      </c>
      <c r="C47" s="21" t="s">
        <v>198</v>
      </c>
      <c r="D47" s="21" t="s">
        <v>805</v>
      </c>
      <c r="E47" s="13">
        <v>42969.331134259257</v>
      </c>
      <c r="F47" s="13">
        <v>42969.333865740744</v>
      </c>
      <c r="G47" s="7">
        <v>1</v>
      </c>
      <c r="H47" s="21" t="s">
        <v>462</v>
      </c>
      <c r="I47" s="13">
        <v>42969.357662037037</v>
      </c>
      <c r="J47" s="7">
        <v>0</v>
      </c>
      <c r="K47" s="89" t="str">
        <f t="shared" si="0"/>
        <v>4009/4010</v>
      </c>
      <c r="L47" s="217" t="str">
        <f>VLOOKUP(A47,'Trips&amp;Operators'!$C$1:$G$99911,5,FALSE)</f>
        <v>LALONDE GREGORY</v>
      </c>
      <c r="M47" s="6">
        <f t="shared" si="1"/>
        <v>2.3796296292857733E-2</v>
      </c>
      <c r="N47" s="7">
        <f t="shared" si="2"/>
        <v>34.266666661715135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-22T06:56:50-0600',mode:absolute,to:'2017-08-22T09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4.3799999999999999E-2</v>
      </c>
      <c r="Z47" s="197">
        <f t="shared" si="8"/>
        <v>23.328900000000001</v>
      </c>
      <c r="AA47" s="197">
        <f t="shared" si="9"/>
        <v>23.2851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10"/>
        <v>135</v>
      </c>
      <c r="AE47" s="77" t="str">
        <f t="shared" si="11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47" s="74" t="str">
        <f t="shared" si="12"/>
        <v>"C:\Program Files (x86)\AstroGrep\AstroGrep.exe" /e /r /s /spath="%USERPROFILE%\AppData\Local\Temp\OnboardLogs" /stypes="app*4010*20170822*"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135-22 --locoid 4010 --swversion DE.1.0.9.0 --startMP 204:438 --initTime 2017-08-22T07:56:50 --startdatetime 2017-08-22T08:00:46 --delay 1 --endMP 204:233289 --enddatetime 2017-08-22T08:35:02 --enforcementcount 0 &gt;&gt;C:\Users\stu\Documents\GitHub\eaglep3-reporting\EC\2017-08-22-refined-times.txt</v>
      </c>
      <c r="AI4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{"issue":{"subject":"","project_id":79,"tracker_id":40,"status_id":1,"priority_id":2,"assigned_to_id":23,"start_date":"2017-08-22","description":"","custom_fields":[{"id":1,"name":"Subdivision","value":"EC"},{"id":4,"name":"Milepost","value":"23.3289"},{"id":17,"name":"Train ID","value":"135-22"},{"id":16,"name":"Locomotive ID","value":"4010"},{"id":130,"name":"Impact","value":""},{"id":150,"name":"Time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4010 --day 2017-08-22</v>
      </c>
      <c r="AN4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652</v>
      </c>
      <c r="B48" s="7">
        <v>4009</v>
      </c>
      <c r="C48" s="21" t="s">
        <v>198</v>
      </c>
      <c r="D48" s="21" t="s">
        <v>816</v>
      </c>
      <c r="E48" s="13">
        <v>42969.358969907407</v>
      </c>
      <c r="F48" s="13">
        <v>42969.373171296298</v>
      </c>
      <c r="G48" s="7">
        <v>1</v>
      </c>
      <c r="H48" s="21" t="s">
        <v>513</v>
      </c>
      <c r="I48" s="13">
        <v>42969.403564814813</v>
      </c>
      <c r="J48" s="7">
        <v>0</v>
      </c>
      <c r="K48" s="89" t="str">
        <f t="shared" si="0"/>
        <v>4009/4010</v>
      </c>
      <c r="L48" s="217" t="str">
        <f>VLOOKUP(A48,'Trips&amp;Operators'!$C$1:$G$99911,5,FALSE)</f>
        <v>LALONDE GREGORY</v>
      </c>
      <c r="M48" s="6">
        <f t="shared" si="1"/>
        <v>3.0393518514756579E-2</v>
      </c>
      <c r="N48" s="7">
        <f t="shared" si="2"/>
        <v>43.766666661249474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-22T07:36:55-0600',mode:absolute,to:'2017-08-22T10:41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23.3</v>
      </c>
      <c r="Z48" s="197">
        <f t="shared" si="8"/>
        <v>1.6500000000000001E-2</v>
      </c>
      <c r="AA48" s="197">
        <f t="shared" si="9"/>
        <v>23.2835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10"/>
        <v>136</v>
      </c>
      <c r="AE48" s="77" t="str">
        <f t="shared" si="11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48" s="74" t="str">
        <f t="shared" si="12"/>
        <v>"C:\Program Files (x86)\AstroGrep\AstroGrep.exe" /e /r /s /spath="%USERPROFILE%\AppData\Local\Temp\OnboardLogs" /stypes="app*4009*20170822*"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136-22 --locoid 4009 --swversion DE.1.0.9.0 --startMP 204:233000 --initTime 2017-08-22T08:36:55 --startdatetime 2017-08-22T08:57:22 --delay 1 --endMP 204:165 --enddatetime 2017-08-22T09:41:08 --enforcementcount 0 &gt;&gt;C:\Users\stu\Documents\GitHub\eaglep3-reporting\EC\2017-08-22-refined-times.txt</v>
      </c>
      <c r="AI48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{"issue":{"subject":"","project_id":79,"tracker_id":40,"status_id":1,"priority_id":2,"assigned_to_id":23,"start_date":"2017-08-22","description":"","custom_fields":[{"id":1,"name":"Subdivision","value":"EC"},{"id":4,"name":"Milepost","value":"0.0165"},{"id":17,"name":"Train ID","value":"136-22"},{"id":16,"name":"Locomotive ID","value":"4009"},{"id":130,"name":"Impact","value":""},{"id":150,"name":"Time of Event (Mountain Time)","value":"09:41:08"},{"id":151,"name":"Denver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4009 --day 2017-08-22</v>
      </c>
      <c r="AN48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15:41:08"},{"id":29,"name":"Sharepoint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648</v>
      </c>
      <c r="B49" s="7">
        <v>4006</v>
      </c>
      <c r="C49" s="21" t="s">
        <v>198</v>
      </c>
      <c r="D49" s="21" t="s">
        <v>515</v>
      </c>
      <c r="E49" s="13">
        <v>42969.344085648147</v>
      </c>
      <c r="F49" s="13">
        <v>42969.345868055556</v>
      </c>
      <c r="G49" s="7">
        <v>1</v>
      </c>
      <c r="H49" s="21" t="s">
        <v>507</v>
      </c>
      <c r="I49" s="13">
        <v>42969.370972222219</v>
      </c>
      <c r="J49" s="7">
        <v>0</v>
      </c>
      <c r="K49" s="89" t="str">
        <f t="shared" si="0"/>
        <v>4005/4006</v>
      </c>
      <c r="L49" s="217" t="str">
        <f>VLOOKUP(A49,'Trips&amp;Operators'!$C$1:$G$99911,5,FALSE)</f>
        <v>MACDONALD THOMAS</v>
      </c>
      <c r="M49" s="6">
        <f t="shared" si="1"/>
        <v>2.5104166663368233E-2</v>
      </c>
      <c r="N49" s="7">
        <f t="shared" si="2"/>
        <v>36.149999995250255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-22T07:15:29-0600',mode:absolute,to:'2017-08-22T09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4.8800000000000003E-2</v>
      </c>
      <c r="Z49" s="197">
        <f t="shared" si="8"/>
        <v>23.328299999999999</v>
      </c>
      <c r="AA49" s="197">
        <f t="shared" si="9"/>
        <v>23.279499999999999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10"/>
        <v>137</v>
      </c>
      <c r="AE49" s="77" t="str">
        <f t="shared" si="11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49" s="74" t="str">
        <f t="shared" si="12"/>
        <v>"C:\Program Files (x86)\AstroGrep\AstroGrep.exe" /e /r /s /spath="%USERPROFILE%\AppData\Local\Temp\OnboardLogs" /stypes="app*4006*20170822*"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137-22 --locoid 4006 --swversion DE.1.0.9.0 --startMP 204:488 --initTime 2017-08-22T08:15:29 --startdatetime 2017-08-22T08:18:03 --delay 1 --endMP 204:233283 --enddatetime 2017-08-22T08:54:12 --enforcementcount 0 &gt;&gt;C:\Users\stu\Documents\GitHub\eaglep3-reporting\EC\2017-08-22-refined-times.txt</v>
      </c>
      <c r="AI49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{"issue":{"subject":"","project_id":79,"tracker_id":40,"status_id":1,"priority_id":2,"assigned_to_id":23,"start_date":"2017-08-22","description":"","custom_fields":[{"id":1,"name":"Subdivision","value":"EC"},{"id":4,"name":"Milepost","value":"23.3283"},{"id":17,"name":"Train ID","value":"137-22"},{"id":16,"name":"Locomotive ID","value":"4006"},{"id":130,"name":"Impact","value":""},{"id":150,"name":"Time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4006 --day 2017-08-22</v>
      </c>
      <c r="AN49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656</v>
      </c>
      <c r="B50" s="7">
        <v>4005</v>
      </c>
      <c r="C50" s="21" t="s">
        <v>198</v>
      </c>
      <c r="D50" s="21" t="s">
        <v>808</v>
      </c>
      <c r="E50" s="13">
        <v>42969.381631944445</v>
      </c>
      <c r="F50" s="13">
        <v>42969.38385416667</v>
      </c>
      <c r="G50" s="7">
        <v>1</v>
      </c>
      <c r="H50" s="21" t="s">
        <v>809</v>
      </c>
      <c r="I50" s="13">
        <v>42969.419293981482</v>
      </c>
      <c r="J50" s="7">
        <v>0</v>
      </c>
      <c r="K50" s="89" t="str">
        <f t="shared" si="0"/>
        <v>4005/4006</v>
      </c>
      <c r="L50" s="217" t="str">
        <f>VLOOKUP(A50,'Trips&amp;Operators'!$C$1:$G$99911,5,FALSE)</f>
        <v>MACDONALD THOMAS</v>
      </c>
      <c r="M50" s="6">
        <f t="shared" si="1"/>
        <v>3.5439814811979886E-2</v>
      </c>
      <c r="N50" s="7">
        <f t="shared" si="2"/>
        <v>51.033333329251036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-22T08:09:33-0600',mode:absolute,to:'2017-08-22T11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23.2972</v>
      </c>
      <c r="Z50" s="197">
        <f t="shared" si="8"/>
        <v>1.61E-2</v>
      </c>
      <c r="AA50" s="197">
        <f t="shared" si="9"/>
        <v>23.281099999999999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10"/>
        <v>138</v>
      </c>
      <c r="AE50" s="77" t="str">
        <f t="shared" si="11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50" s="74" t="str">
        <f t="shared" si="12"/>
        <v>"C:\Program Files (x86)\AstroGrep\AstroGrep.exe" /e /r /s /spath="%USERPROFILE%\AppData\Local\Temp\OnboardLogs" /stypes="app*4005*20170822*" /stext=" 16:.+((SYSTEM_STATE.+slice.+state.+changed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138-22 --locoid 4005 --swversion DE.1.0.9.0 --startMP 204:232972 --initTime 2017-08-22T09:09:33 --startdatetime 2017-08-22T09:12:45 --delay 1 --endMP 204:161 --enddatetime 2017-08-22T10:03:47 --enforcementcount 0 &gt;&gt;C:\Users\stu\Documents\GitHub\eaglep3-reporting\EC\2017-08-22-refined-times.txt</v>
      </c>
      <c r="AI50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{"issue":{"subject":"","project_id":79,"tracker_id":40,"status_id":1,"priority_id":2,"assigned_to_id":23,"start_date":"2017-08-22","description":"","custom_fields":[{"id":1,"name":"Subdivision","value":"EC"},{"id":4,"name":"Milepost","value":"0.0161"},{"id":17,"name":"Train ID","value":"138-22"},{"id":16,"name":"Locomotive ID","value":"4005"},{"id":130,"name":"Impact","value":""},{"id":150,"name":"Time of Event (Mountain Time)","value":"10:03:47"},{"id":151,"name":"Denver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4005 --day 2017-08-22</v>
      </c>
      <c r="AN50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649</v>
      </c>
      <c r="B51" s="7">
        <v>4056</v>
      </c>
      <c r="C51" s="21" t="s">
        <v>198</v>
      </c>
      <c r="D51" s="21" t="s">
        <v>820</v>
      </c>
      <c r="E51" s="13">
        <v>42969.354305555556</v>
      </c>
      <c r="F51" s="13">
        <v>42969.363738425927</v>
      </c>
      <c r="G51" s="7">
        <v>2</v>
      </c>
      <c r="H51" s="21" t="s">
        <v>409</v>
      </c>
      <c r="I51" s="13">
        <v>42969.384618055556</v>
      </c>
      <c r="J51" s="7">
        <v>0</v>
      </c>
      <c r="K51" s="89" t="str">
        <f t="shared" si="0"/>
        <v>4055/4056</v>
      </c>
      <c r="L51" s="217" t="str">
        <f>VLOOKUP(A51,'Trips&amp;Operators'!$C$1:$G$99911,5,FALSE)</f>
        <v>STARKS ANGELINA</v>
      </c>
      <c r="M51" s="6">
        <f t="shared" si="1"/>
        <v>2.0879629628325347E-2</v>
      </c>
      <c r="N51" s="7"/>
      <c r="O51" s="7"/>
      <c r="P51" s="7"/>
      <c r="Q51" s="22"/>
      <c r="R51" s="170"/>
      <c r="S51" s="213"/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-22T07:30:12-0600',mode:absolute,to:'2017-08-22T10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0.1295</v>
      </c>
      <c r="Z51" s="197">
        <f t="shared" si="8"/>
        <v>23.328199999999999</v>
      </c>
      <c r="AA51" s="197">
        <f t="shared" si="9"/>
        <v>23.198699999999999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10"/>
        <v>139</v>
      </c>
      <c r="AE51" s="77" t="str">
        <f t="shared" si="11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51" s="74" t="str">
        <f t="shared" si="12"/>
        <v>"C:\Program Files (x86)\AstroGrep\AstroGrep.exe" /e /r /s /spath="%USERPROFILE%\AppData\Local\Temp\OnboardLogs" /stypes="app*4056*20170822*"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139-22 --locoid 4056 --swversion DE.1.0.9.0 --startMP 204:1295 --initTime 2017-08-22T08:30:12 --startdatetime 2017-08-22T08:43:47 --delay 2 --endMP 204:233282 --enddatetime 2017-08-22T09:13:51 --enforcementcount 0 &gt;&gt;C:\Users\stu\Documents\GitHub\eaglep3-reporting\EC\2017-08-22-refined-times.txt</v>
      </c>
      <c r="AI51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{"issue":{"subject":"","project_id":79,"tracker_id":40,"status_id":1,"priority_id":2,"assigned_to_id":23,"start_date":"2017-08-22","description":"","custom_fields":[{"id":1,"name":"Subdivision","value":"EC"},{"id":4,"name":"Milepost","value":"23.3282"},{"id":17,"name":"Train ID","value":"139-22"},{"id":16,"name":"Locomotive ID","value":"4056"},{"id":130,"name":"Impact","value":""},{"id":150,"name":"Time of Event (Mountain Time)","value":"09:13:51"},{"id":151,"name":"Denver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4056 --day 2017-08-22</v>
      </c>
      <c r="AN51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649</v>
      </c>
      <c r="B52" s="7">
        <v>4056</v>
      </c>
      <c r="C52" s="21" t="s">
        <v>198</v>
      </c>
      <c r="D52" s="21" t="s">
        <v>821</v>
      </c>
      <c r="E52" s="13">
        <v>42969.36078703704</v>
      </c>
      <c r="F52" s="13">
        <v>42969.363738425927</v>
      </c>
      <c r="G52" s="7">
        <v>1</v>
      </c>
      <c r="H52" s="21" t="s">
        <v>409</v>
      </c>
      <c r="I52" s="13">
        <v>42969.384618055556</v>
      </c>
      <c r="J52" s="7">
        <v>0</v>
      </c>
      <c r="K52" s="89" t="str">
        <f t="shared" si="0"/>
        <v>4055/4056</v>
      </c>
      <c r="L52" s="217" t="str">
        <f>VLOOKUP(A52,'Trips&amp;Operators'!$C$1:$G$99911,5,FALSE)</f>
        <v>STARKS ANGELINA</v>
      </c>
      <c r="M52" s="6">
        <f t="shared" si="1"/>
        <v>2.0879629628325347E-2</v>
      </c>
      <c r="N52" s="7"/>
      <c r="O52" s="7"/>
      <c r="P52" s="7">
        <f t="shared" si="2"/>
        <v>30.066666664788499</v>
      </c>
      <c r="Q52" s="22"/>
      <c r="R52" s="170" t="s">
        <v>995</v>
      </c>
      <c r="S52" s="213">
        <f t="shared" si="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-22T07:39:32-0600',mode:absolute,to:'2017-08-22T10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2" s="197" t="str">
        <f>IF(AA52&lt;VLOOKUP(AG52,Variables!$AC$3:$AD$8,2,FALSE),"Y","N")</f>
        <v>Y</v>
      </c>
      <c r="X52" s="197">
        <f t="shared" si="6"/>
        <v>0</v>
      </c>
      <c r="Y52" s="197">
        <f t="shared" si="7"/>
        <v>1.9132</v>
      </c>
      <c r="Z52" s="197">
        <f t="shared" si="8"/>
        <v>23.328199999999999</v>
      </c>
      <c r="AA52" s="197">
        <f t="shared" si="9"/>
        <v>21.414999999999999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10"/>
        <v>139</v>
      </c>
      <c r="AE52" s="77" t="str">
        <f t="shared" si="11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52" s="74" t="str">
        <f t="shared" si="12"/>
        <v>"C:\Program Files (x86)\AstroGrep\AstroGrep.exe" /e /r /s /spath="%USERPROFILE%\AppData\Local\Temp\OnboardLogs" /stypes="app*4056*20170822*"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139-22 --locoid 4056 --swversion DE.1.0.9.0 --startMP 204:19132 --initTime 2017-08-22T08:39:32 --startdatetime 2017-08-22T08:43:47 --delay 1 --endMP 204:233282 --enddatetime 2017-08-22T09:13:51 --enforcementcount 0 &gt;&gt;C:\Users\stu\Documents\GitHub\eaglep3-reporting\EC\2017-08-22-refined-times.txt</v>
      </c>
      <c r="AI52" s="96" t="str">
        <f t="shared" si="19"/>
        <v>echo {"issue":{"subject":"Onboard in-route failure","project_id":79,"tracker_id":40,"status_id":1,"priority_id":2,"assigned_to_id":23,"start_date":"2017-08-22","description":"","custom_fields":[{"id":1,"name":"Subdivision","value":"EC"},{"id":4,"name":"Milepost","value":"23.3282"},{"id":17,"name":"Train ID","value":"139-22"},{"id":16,"name":"Locomotive ID","value":"4056"},{"id":130,"name":"Impact","value":""},{"id":150,"name":"Time of Event (Mountain Time)","value":"09:13:51"},{"id":151,"name":"Denver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4056 --day 2017-08-22</v>
      </c>
      <c r="AN52" s="151" t="str">
        <f t="shared" si="21"/>
        <v>echo {"issue":{"subject":"Onboard in-route failure","project_id":30,"tracker_id":4,"status_id":1,"priority_id":1,"assigned_to_id":10,"start_date":"2017-08-22","description":"","custom_fields":[{"id":30,"name":"Category","value":"Issue"},{"id":3,"name":"Functional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649</v>
      </c>
      <c r="B53" s="7">
        <v>4056</v>
      </c>
      <c r="C53" s="21" t="s">
        <v>198</v>
      </c>
      <c r="D53" s="21" t="s">
        <v>414</v>
      </c>
      <c r="E53" s="13">
        <v>42969.353125000001</v>
      </c>
      <c r="F53" s="13">
        <v>42969.363738425927</v>
      </c>
      <c r="G53" s="7">
        <v>2</v>
      </c>
      <c r="H53" s="21" t="s">
        <v>409</v>
      </c>
      <c r="I53" s="13">
        <v>42969.384618055556</v>
      </c>
      <c r="J53" s="7">
        <v>0</v>
      </c>
      <c r="K53" s="89" t="str">
        <f t="shared" si="0"/>
        <v>4055/4056</v>
      </c>
      <c r="L53" s="217" t="str">
        <f>VLOOKUP(A53,'Trips&amp;Operators'!$C$1:$G$99911,5,FALSE)</f>
        <v>STARKS ANGELINA</v>
      </c>
      <c r="M53" s="6">
        <f t="shared" si="1"/>
        <v>2.0879629628325347E-2</v>
      </c>
      <c r="N53" s="7"/>
      <c r="O53" s="7"/>
      <c r="P53" s="7"/>
      <c r="Q53" s="22"/>
      <c r="R53" s="170"/>
      <c r="S53" s="213"/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-22T07:28:30-0600',mode:absolute,to:'2017-08-22T10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197" t="str">
        <f>IF(AA53&lt;VLOOKUP(AG53,Variables!$AC$3:$AD$8,2,FALSE),"Y","N")</f>
        <v>N</v>
      </c>
      <c r="X53" s="197">
        <f t="shared" si="6"/>
        <v>0</v>
      </c>
      <c r="Y53" s="197">
        <f t="shared" si="7"/>
        <v>4.3999999999999997E-2</v>
      </c>
      <c r="Z53" s="197">
        <f t="shared" si="8"/>
        <v>23.328199999999999</v>
      </c>
      <c r="AA53" s="197">
        <f t="shared" si="9"/>
        <v>23.284199999999998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10"/>
        <v>139</v>
      </c>
      <c r="AE53" s="77" t="str">
        <f t="shared" si="11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53" s="74" t="str">
        <f t="shared" si="12"/>
        <v>"C:\Program Files (x86)\AstroGrep\AstroGrep.exe" /e /r /s /spath="%USERPROFILE%\AppData\Local\Temp\OnboardLogs" /stypes="app*4056*20170822*"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139-22 --locoid 4056 --swversion DE.1.0.9.0 --startMP 204:440 --initTime 2017-08-22T08:28:30 --startdatetime 2017-08-22T08:43:47 --delay 2 --endMP 204:233282 --enddatetime 2017-08-22T09:13:51 --enforcementcount 0 &gt;&gt;C:\Users\stu\Documents\GitHub\eaglep3-reporting\EC\2017-08-22-refined-times.txt</v>
      </c>
      <c r="AI53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{"issue":{"subject":"","project_id":79,"tracker_id":40,"status_id":1,"priority_id":2,"assigned_to_id":23,"start_date":"2017-08-22","description":"","custom_fields":[{"id":1,"name":"Subdivision","value":"EC"},{"id":4,"name":"Milepost","value":"23.3282"},{"id":17,"name":"Train ID","value":"139-22"},{"id":16,"name":"Locomotive ID","value":"4056"},{"id":130,"name":"Impact","value":""},{"id":150,"name":"Time of Event (Mountain Time)","value":"09:13:51"},{"id":151,"name":"Denver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4056 --day 2017-08-22</v>
      </c>
      <c r="AN53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659</v>
      </c>
      <c r="B54" s="7">
        <v>4055</v>
      </c>
      <c r="C54" s="21" t="s">
        <v>198</v>
      </c>
      <c r="D54" s="21" t="s">
        <v>822</v>
      </c>
      <c r="E54" s="13">
        <v>42969.391226851854</v>
      </c>
      <c r="F54" s="13">
        <v>42969.393923611111</v>
      </c>
      <c r="G54" s="7">
        <v>1</v>
      </c>
      <c r="H54" s="21" t="s">
        <v>347</v>
      </c>
      <c r="I54" s="13">
        <v>42969.428090277775</v>
      </c>
      <c r="J54" s="7">
        <v>0</v>
      </c>
      <c r="K54" s="89" t="str">
        <f t="shared" si="0"/>
        <v>4055/4056</v>
      </c>
      <c r="L54" s="217" t="str">
        <f>VLOOKUP(A54,'Trips&amp;Operators'!$C$1:$G$99911,5,FALSE)</f>
        <v>STARKS ANGELINA</v>
      </c>
      <c r="M54" s="6">
        <f t="shared" si="1"/>
        <v>3.4166666664532386E-2</v>
      </c>
      <c r="N54" s="7">
        <f t="shared" si="2"/>
        <v>49.199999996926636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-22T08:23:22-0600',mode:absolute,to:'2017-08-22T11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23.296900000000001</v>
      </c>
      <c r="Z54" s="197">
        <f t="shared" si="8"/>
        <v>1.47E-2</v>
      </c>
      <c r="AA54" s="197">
        <f t="shared" si="9"/>
        <v>23.2822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10"/>
        <v>140</v>
      </c>
      <c r="AE54" s="77" t="str">
        <f t="shared" si="11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54" s="74" t="str">
        <f t="shared" si="12"/>
        <v>"C:\Program Files (x86)\AstroGrep\AstroGrep.exe" /e /r /s /spath="%USERPROFILE%\AppData\Local\Temp\OnboardLogs" /stypes="app*4055*20170822*"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140-22 --locoid 4055 --swversion DE.1.0.9.0 --startMP 204:232969 --initTime 2017-08-22T09:23:22 --startdatetime 2017-08-22T09:27:15 --delay 1 --endMP 204:147 --enddatetime 2017-08-22T10:16:27 --enforcementcount 0 &gt;&gt;C:\Users\stu\Documents\GitHub\eaglep3-reporting\EC\2017-08-22-refined-times.txt</v>
      </c>
      <c r="AI54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{"issue":{"subject":"","project_id":79,"tracker_id":40,"status_id":1,"priority_id":2,"assigned_to_id":23,"start_date":"2017-08-22","description":"","custom_fields":[{"id":1,"name":"Subdivision","value":"EC"},{"id":4,"name":"Milepost","value":"0.0147"},{"id":17,"name":"Train ID","value":"140-22"},{"id":16,"name":"Locomotive ID","value":"4055"},{"id":130,"name":"Impact","value":""},{"id":150,"name":"Time of Event (Mountain Time)","value":"10:16:27"},{"id":151,"name":"Denver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4055 --day 2017-08-22</v>
      </c>
      <c r="AN54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16:16:27"},{"id":29,"name":"Sharepoint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654</v>
      </c>
      <c r="B55" s="7">
        <v>4054</v>
      </c>
      <c r="C55" s="21" t="s">
        <v>198</v>
      </c>
      <c r="D55" s="21" t="s">
        <v>345</v>
      </c>
      <c r="E55" s="13">
        <v>42969.364837962959</v>
      </c>
      <c r="F55" s="13">
        <v>42969.366122685184</v>
      </c>
      <c r="G55" s="7">
        <v>1</v>
      </c>
      <c r="H55" s="21" t="s">
        <v>398</v>
      </c>
      <c r="I55" s="13">
        <v>42969.391180555554</v>
      </c>
      <c r="J55" s="7">
        <v>0</v>
      </c>
      <c r="K55" s="89" t="str">
        <f t="shared" si="0"/>
        <v>4053/4054</v>
      </c>
      <c r="L55" s="217" t="str">
        <f>VLOOKUP(A55,'Trips&amp;Operators'!$C$1:$G$99911,5,FALSE)</f>
        <v>LOZA FIDEL</v>
      </c>
      <c r="M55" s="6">
        <f t="shared" si="1"/>
        <v>2.5057870370801538E-2</v>
      </c>
      <c r="N55" s="7">
        <f t="shared" si="2"/>
        <v>36.083333333954215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-22T07:45:22-0600',mode:absolute,to:'2017-08-22T10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4.4699999999999997E-2</v>
      </c>
      <c r="Z55" s="197">
        <f t="shared" si="8"/>
        <v>23.3293</v>
      </c>
      <c r="AA55" s="197">
        <f t="shared" si="9"/>
        <v>23.284600000000001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10"/>
        <v>141</v>
      </c>
      <c r="AE55" s="77" t="str">
        <f t="shared" si="11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55" s="74" t="str">
        <f t="shared" si="12"/>
        <v>"C:\Program Files (x86)\AstroGrep\AstroGrep.exe" /e /r /s /spath="%USERPROFILE%\AppData\Local\Temp\OnboardLogs" /stypes="app*4054*20170822*"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141-22 --locoid 4054 --swversion DE.1.0.9.0 --startMP 204:447 --initTime 2017-08-22T08:45:22 --startdatetime 2017-08-22T08:47:13 --delay 1 --endMP 204:233293 --enddatetime 2017-08-22T09:23:18 --enforcementcount 0 &gt;&gt;C:\Users\stu\Documents\GitHub\eaglep3-reporting\EC\2017-08-22-refined-times.txt</v>
      </c>
      <c r="AI55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{"issue":{"subject":"","project_id":79,"tracker_id":40,"status_id":1,"priority_id":2,"assigned_to_id":23,"start_date":"2017-08-22","description":"","custom_fields":[{"id":1,"name":"Subdivision","value":"EC"},{"id":4,"name":"Milepost","value":"23.3293"},{"id":17,"name":"Train ID","value":"141-22"},{"id":16,"name":"Locomotive ID","value":"4054"},{"id":130,"name":"Impact","value":""},{"id":150,"name":"Time of Event (Mountain Time)","value":"09:23:18"},{"id":151,"name":"Denver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4054 --day 2017-08-22</v>
      </c>
      <c r="AN55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660</v>
      </c>
      <c r="B56" s="7">
        <v>4053</v>
      </c>
      <c r="C56" s="21" t="s">
        <v>198</v>
      </c>
      <c r="D56" s="21" t="s">
        <v>804</v>
      </c>
      <c r="E56" s="13">
        <v>42969.393391203703</v>
      </c>
      <c r="F56" s="13">
        <v>42969.4065162037</v>
      </c>
      <c r="G56" s="7">
        <v>1</v>
      </c>
      <c r="H56" s="21" t="s">
        <v>347</v>
      </c>
      <c r="I56" s="13">
        <v>42969.434490740743</v>
      </c>
      <c r="J56" s="7">
        <v>0</v>
      </c>
      <c r="K56" s="89" t="str">
        <f t="shared" si="0"/>
        <v>4053/4054</v>
      </c>
      <c r="L56" s="217" t="str">
        <f>VLOOKUP(A56,'Trips&amp;Operators'!$C$1:$G$99911,5,FALSE)</f>
        <v>LOZA FIDEL</v>
      </c>
      <c r="M56" s="6">
        <f t="shared" si="1"/>
        <v>2.7974537042609882E-2</v>
      </c>
      <c r="N56" s="7">
        <f t="shared" si="2"/>
        <v>40.28333334135823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-22T08:26:29-0600',mode:absolute,to:'2017-08-22T11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23.299299999999999</v>
      </c>
      <c r="Z56" s="197">
        <f t="shared" si="8"/>
        <v>1.47E-2</v>
      </c>
      <c r="AA56" s="197">
        <f t="shared" si="9"/>
        <v>23.284599999999998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10"/>
        <v>142</v>
      </c>
      <c r="AE56" s="77" t="str">
        <f t="shared" si="11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56" s="74" t="str">
        <f t="shared" si="12"/>
        <v>"C:\Program Files (x86)\AstroGrep\AstroGrep.exe" /e /r /s /spath="%USERPROFILE%\AppData\Local\Temp\OnboardLogs" /stypes="app*4053*20170822*"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142-22 --locoid 4053 --swversion DE.1.0.9.0 --startMP 204:232993 --initTime 2017-08-22T09:26:29 --startdatetime 2017-08-22T09:45:23 --delay 1 --endMP 204:147 --enddatetime 2017-08-22T10:25:40 --enforcementcount 0 &gt;&gt;C:\Users\stu\Documents\GitHub\eaglep3-reporting\EC\2017-08-22-refined-times.txt</v>
      </c>
      <c r="AI5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{"issue":{"subject":"","project_id":79,"tracker_id":40,"status_id":1,"priority_id":2,"assigned_to_id":23,"start_date":"2017-08-22","description":"","custom_fields":[{"id":1,"name":"Subdivision","value":"EC"},{"id":4,"name":"Milepost","value":"0.0147"},{"id":17,"name":"Train ID","value":"142-22"},{"id":16,"name":"Locomotive ID","value":"4053"},{"id":130,"name":"Impact","value":""},{"id":150,"name":"Time of Event (Mountain Time)","value":"10:25:40"},{"id":151,"name":"Denver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4053 --day 2017-08-22</v>
      </c>
      <c r="AN5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655</v>
      </c>
      <c r="B57" s="7">
        <v>4058</v>
      </c>
      <c r="C57" s="21" t="s">
        <v>198</v>
      </c>
      <c r="D57" s="21" t="s">
        <v>395</v>
      </c>
      <c r="E57" s="13">
        <v>42969.373252314814</v>
      </c>
      <c r="F57" s="13">
        <v>42969.375659722224</v>
      </c>
      <c r="G57" s="7">
        <v>1</v>
      </c>
      <c r="H57" s="21" t="s">
        <v>823</v>
      </c>
      <c r="I57" s="13">
        <v>42969.409768518519</v>
      </c>
      <c r="J57" s="7">
        <v>0</v>
      </c>
      <c r="K57" s="89" t="str">
        <f t="shared" si="0"/>
        <v>4057/4058</v>
      </c>
      <c r="L57" s="217" t="str">
        <f>VLOOKUP(A57,'Trips&amp;Operators'!$C$1:$G$99911,5,FALSE)</f>
        <v>BONDS REYNALDO</v>
      </c>
      <c r="M57" s="6">
        <f t="shared" si="1"/>
        <v>3.4108796295186039E-2</v>
      </c>
      <c r="N57" s="7">
        <f t="shared" si="2"/>
        <v>49.116666665067896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-22T07:57:29-0600',mode:absolute,to:'2017-08-22T10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4.4400000000000002E-2</v>
      </c>
      <c r="Z57" s="197">
        <f t="shared" si="8"/>
        <v>23.337</v>
      </c>
      <c r="AA57" s="197">
        <f t="shared" si="9"/>
        <v>23.2926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10"/>
        <v>143</v>
      </c>
      <c r="AE57" s="77" t="str">
        <f t="shared" si="11"/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AF57" s="74" t="str">
        <f t="shared" si="12"/>
        <v>"C:\Program Files (x86)\AstroGrep\AstroGrep.exe" /e /r /s /spath="%USERPROFILE%\AppData\Local\Temp\OnboardLogs" /stypes="app*4058*20170822*"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143-22 --locoid 4058 --swversion DE.1.0.9.0 --startMP 204:444 --initTime 2017-08-22T08:57:29 --startdatetime 2017-08-22T09:00:57 --delay 1 --endMP 204:233370 --enddatetime 2017-08-22T09:50:04 --enforcementcount 0 &gt;&gt;C:\Users\stu\Documents\GitHub\eaglep3-reporting\EC\2017-08-22-refined-times.txt</v>
      </c>
      <c r="AI5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{"issue":{"subject":"","project_id":79,"tracker_id":40,"status_id":1,"priority_id":2,"assigned_to_id":23,"start_date":"2017-08-22","description":"","custom_fields":[{"id":1,"name":"Subdivision","value":"EC"},{"id":4,"name":"Milepost","value":"23.337"},{"id":17,"name":"Train ID","value":"143-22"},{"id":16,"name":"Locomotive ID","value":"4058"},{"id":130,"name":"Impact","value":""},{"id":150,"name":"Time of Event (Mountain Time)","value":"09:50:04"},{"id":151,"name":"Denver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4058 --day 2017-08-22</v>
      </c>
      <c r="AN5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567</v>
      </c>
      <c r="B58" s="7">
        <v>4057</v>
      </c>
      <c r="C58" s="21" t="s">
        <v>198</v>
      </c>
      <c r="D58" s="21" t="s">
        <v>824</v>
      </c>
      <c r="E58" s="13">
        <v>42969.413113425922</v>
      </c>
      <c r="F58" s="13">
        <v>42969.414918981478</v>
      </c>
      <c r="G58" s="7">
        <v>1</v>
      </c>
      <c r="H58" s="21" t="s">
        <v>825</v>
      </c>
      <c r="I58" s="13">
        <v>42969.448645833334</v>
      </c>
      <c r="J58" s="7">
        <v>0</v>
      </c>
      <c r="K58" s="89" t="str">
        <f t="shared" si="0"/>
        <v>4057/4058</v>
      </c>
      <c r="L58" s="217" t="str">
        <f>VLOOKUP(A58,'Trips&amp;Operators'!$C$1:$G$99911,5,FALSE)</f>
        <v>BONDS REYNALDO</v>
      </c>
      <c r="M58" s="6">
        <f t="shared" si="1"/>
        <v>3.3726851856044959E-2</v>
      </c>
      <c r="N58" s="7">
        <f t="shared" si="2"/>
        <v>48.566666672704741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-22T08:54:53-0600',mode:absolute,to:'2017-08-22T11:46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23.309200000000001</v>
      </c>
      <c r="Z58" s="197">
        <f t="shared" si="8"/>
        <v>9.98E-2</v>
      </c>
      <c r="AA58" s="197">
        <f t="shared" si="9"/>
        <v>23.209400000000002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10"/>
        <v>144</v>
      </c>
      <c r="AE58" s="77" t="str">
        <f t="shared" si="11"/>
        <v>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 &amp; 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</v>
      </c>
      <c r="AF58" s="74" t="str">
        <f t="shared" si="12"/>
        <v>"C:\Program Files (x86)\AstroGrep\AstroGrep.exe" /e /r /s /spath="%USERPROFILE%\AppData\Local\Temp\OnboardLogs" /stypes="app*4057*20170822*"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144-22 --locoid 4057 --swversion DE.1.0.9.0 --startMP 204:233092 --initTime 2017-08-22T09:54:53 --startdatetime 2017-08-22T09:57:29 --delay 1 --endMP 204:998 --enddatetime 2017-08-22T10:46:03 --enforcementcount 0 &gt;&gt;C:\Users\stu\Documents\GitHub\eaglep3-reporting\EC\2017-08-22-refined-times.txt</v>
      </c>
      <c r="AI58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{"issue":{"subject":"","project_id":79,"tracker_id":40,"status_id":1,"priority_id":2,"assigned_to_id":23,"start_date":"2017-08-22","description":"","custom_fields":[{"id":1,"name":"Subdivision","value":"EC"},{"id":4,"name":"Milepost","value":"0.0998"},{"id":17,"name":"Train ID","value":"144-22"},{"id":16,"name":"Locomotive ID","value":"4057"},{"id":130,"name":"Impact","value":""},{"id":150,"name":"Time of Event (Mountain Time)","value":"10:46:03"},{"id":151,"name":"Denver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4057 --day 2017-08-22</v>
      </c>
      <c r="AN58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16:46:03"},{"id":29,"name":"Sharepoint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657</v>
      </c>
      <c r="B59" s="7">
        <v>4012</v>
      </c>
      <c r="C59" s="21" t="s">
        <v>198</v>
      </c>
      <c r="D59" s="21" t="s">
        <v>385</v>
      </c>
      <c r="E59" s="13">
        <v>42969.384293981479</v>
      </c>
      <c r="F59" s="13">
        <v>42969.386689814812</v>
      </c>
      <c r="G59" s="7">
        <v>1</v>
      </c>
      <c r="H59" s="21" t="s">
        <v>826</v>
      </c>
      <c r="I59" s="13">
        <v>42969.421064814815</v>
      </c>
      <c r="J59" s="7">
        <v>0</v>
      </c>
      <c r="K59" s="89" t="str">
        <f t="shared" si="0"/>
        <v>4011/4012</v>
      </c>
      <c r="L59" s="217" t="str">
        <f>VLOOKUP(A59,'Trips&amp;Operators'!$C$1:$G$99911,5,FALSE)</f>
        <v>LANGERAK WILLIAM</v>
      </c>
      <c r="M59" s="6">
        <f t="shared" si="1"/>
        <v>3.4375000002910383E-2</v>
      </c>
      <c r="N59" s="7">
        <f t="shared" si="2"/>
        <v>49.500000004190952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-22T08:13:23-0600',mode:absolute,to:'2017-08-22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4.4200000000000003E-2</v>
      </c>
      <c r="Z59" s="197">
        <f t="shared" si="8"/>
        <v>23.327999999999999</v>
      </c>
      <c r="AA59" s="197">
        <f t="shared" si="9"/>
        <v>23.283799999999999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10"/>
        <v>145</v>
      </c>
      <c r="AE59" s="77" t="str">
        <f t="shared" si="11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59" s="74" t="str">
        <f t="shared" si="12"/>
        <v>"C:\Program Files (x86)\AstroGrep\AstroGrep.exe" /e /r /s /spath="%USERPROFILE%\AppData\Local\Temp\OnboardLogs" /stypes="app*4012*20170822*"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145-22 --locoid 4012 --swversion DE.1.0.9.0 --startMP 204:442 --initTime 2017-08-22T09:13:23 --startdatetime 2017-08-22T09:16:50 --delay 1 --endMP 204:233280 --enddatetime 2017-08-22T10:06:20 --enforcementcount 0 &gt;&gt;C:\Users\stu\Documents\GitHub\eaglep3-reporting\EC\2017-08-22-refined-times.txt</v>
      </c>
      <c r="AI59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{"issue":{"subject":"","project_id":79,"tracker_id":40,"status_id":1,"priority_id":2,"assigned_to_id":23,"start_date":"2017-08-22","description":"","custom_fields":[{"id":1,"name":"Subdivision","value":"EC"},{"id":4,"name":"Milepost","value":"23.328"},{"id":17,"name":"Train ID","value":"145-22"},{"id":16,"name":"Locomotive ID","value":"4012"},{"id":130,"name":"Impact","value":""},{"id":150,"name":"Time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4012 --day 2017-08-22</v>
      </c>
      <c r="AN59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566</v>
      </c>
      <c r="B60" s="7">
        <v>4011</v>
      </c>
      <c r="C60" s="21" t="s">
        <v>198</v>
      </c>
      <c r="D60" s="21" t="s">
        <v>827</v>
      </c>
      <c r="E60" s="13">
        <v>42969.423020833332</v>
      </c>
      <c r="F60" s="13">
        <v>42969.426157407404</v>
      </c>
      <c r="G60" s="7">
        <v>1</v>
      </c>
      <c r="H60" s="21" t="s">
        <v>828</v>
      </c>
      <c r="I60" s="13">
        <v>42969.457233796296</v>
      </c>
      <c r="J60" s="7">
        <v>0</v>
      </c>
      <c r="K60" s="89" t="str">
        <f t="shared" si="0"/>
        <v>4011/4012</v>
      </c>
      <c r="L60" s="217" t="str">
        <f>VLOOKUP(A60,'Trips&amp;Operators'!$C$1:$G$99911,5,FALSE)</f>
        <v>LANGERAK WILLIAM</v>
      </c>
      <c r="M60" s="6">
        <f t="shared" si="1"/>
        <v>3.107638889196096E-2</v>
      </c>
      <c r="N60" s="7">
        <f t="shared" si="2"/>
        <v>44.750000004423782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-22T09:09:09-0600',mode:absolute,to:'2017-08-22T11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23.294699999999999</v>
      </c>
      <c r="Z60" s="197">
        <f t="shared" si="8"/>
        <v>1.67E-2</v>
      </c>
      <c r="AA60" s="197">
        <f t="shared" si="9"/>
        <v>23.277999999999999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10"/>
        <v>146</v>
      </c>
      <c r="AE60" s="77" t="str">
        <f t="shared" si="11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60" s="74" t="str">
        <f t="shared" si="12"/>
        <v>"C:\Program Files (x86)\AstroGrep\AstroGrep.exe" /e /r /s /spath="%USERPROFILE%\AppData\Local\Temp\OnboardLogs" /stypes="app*4011*20170822*"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146-22 --locoid 4011 --swversion DE.1.0.9.0 --startMP 204:232947 --initTime 2017-08-22T10:09:09 --startdatetime 2017-08-22T10:13:40 --delay 1 --endMP 204:167 --enddatetime 2017-08-22T10:58:25 --enforcementcount 0 &gt;&gt;C:\Users\stu\Documents\GitHub\eaglep3-reporting\EC\2017-08-22-refined-times.txt</v>
      </c>
      <c r="AI60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{"issue":{"subject":"","project_id":79,"tracker_id":40,"status_id":1,"priority_id":2,"assigned_to_id":23,"start_date":"2017-08-22","description":"","custom_fields":[{"id":1,"name":"Subdivision","value":"EC"},{"id":4,"name":"Milepost","value":"0.0167"},{"id":17,"name":"Train ID","value":"146-22"},{"id":16,"name":"Locomotive ID","value":"4011"},{"id":130,"name":"Impact","value":""},{"id":150,"name":"Time of Event (Mountain Time)","value":"10:58:25"},{"id":151,"name":"Denver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4011 --day 2017-08-22</v>
      </c>
      <c r="AN60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661</v>
      </c>
      <c r="B61" s="7">
        <v>4018</v>
      </c>
      <c r="C61" s="21" t="s">
        <v>198</v>
      </c>
      <c r="D61" s="21" t="s">
        <v>374</v>
      </c>
      <c r="E61" s="13">
        <v>42969.394594907404</v>
      </c>
      <c r="F61" s="13">
        <v>42969.396493055552</v>
      </c>
      <c r="G61" s="7">
        <v>1</v>
      </c>
      <c r="H61" s="21" t="s">
        <v>829</v>
      </c>
      <c r="I61" s="13">
        <v>42969.425706018519</v>
      </c>
      <c r="J61" s="7">
        <v>0</v>
      </c>
      <c r="K61" s="89" t="str">
        <f t="shared" si="0"/>
        <v>4017/4018</v>
      </c>
      <c r="L61" s="217" t="str">
        <f>VLOOKUP(A61,'Trips&amp;Operators'!$C$1:$G$99911,5,FALSE)</f>
        <v>MAELZER KURT</v>
      </c>
      <c r="M61" s="6">
        <f t="shared" si="1"/>
        <v>2.9212962966994382E-2</v>
      </c>
      <c r="N61" s="7">
        <f t="shared" si="2"/>
        <v>42.066666672471911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-22T08:28:13-0600',mode:absolute,to:'2017-08-22T11:13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4.5999999999999999E-2</v>
      </c>
      <c r="Z61" s="197">
        <f t="shared" si="8"/>
        <v>23.326799999999999</v>
      </c>
      <c r="AA61" s="197">
        <f t="shared" si="9"/>
        <v>23.280799999999999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10"/>
        <v>147</v>
      </c>
      <c r="AE61" s="77" t="str">
        <f t="shared" si="11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61" s="74" t="str">
        <f t="shared" si="12"/>
        <v>"C:\Program Files (x86)\AstroGrep\AstroGrep.exe" /e /r /s /spath="%USERPROFILE%\AppData\Local\Temp\OnboardLogs" /stypes="app*4018*20170822*"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147-22 --locoid 4018 --swversion DE.1.0.9.0 --startMP 204:460 --initTime 2017-08-22T09:28:13 --startdatetime 2017-08-22T09:30:57 --delay 1 --endMP 204:233268 --enddatetime 2017-08-22T10:13:01 --enforcementcount 0 &gt;&gt;C:\Users\stu\Documents\GitHub\eaglep3-reporting\EC\2017-08-22-refined-times.txt</v>
      </c>
      <c r="AI61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{"issue":{"subject":"","project_id":79,"tracker_id":40,"status_id":1,"priority_id":2,"assigned_to_id":23,"start_date":"2017-08-22","description":"","custom_fields":[{"id":1,"name":"Subdivision","value":"EC"},{"id":4,"name":"Milepost","value":"23.3268"},{"id":17,"name":"Train ID","value":"147-22"},{"id":16,"name":"Locomotive ID","value":"4018"},{"id":130,"name":"Impact","value":""},{"id":150,"name":"Time of Event (Mountain Time)","value":"10:13:01"},{"id":151,"name":"Denver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4018 --day 2017-08-22</v>
      </c>
      <c r="AN61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16:13:01"},{"id":29,"name":"Sharepoint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669</v>
      </c>
      <c r="B62" s="7">
        <v>4017</v>
      </c>
      <c r="C62" s="21" t="s">
        <v>198</v>
      </c>
      <c r="D62" s="21" t="s">
        <v>830</v>
      </c>
      <c r="E62" s="13">
        <v>42969.429351851853</v>
      </c>
      <c r="F62" s="13">
        <v>42969.435682870368</v>
      </c>
      <c r="G62" s="7">
        <v>0</v>
      </c>
      <c r="H62" s="21" t="s">
        <v>831</v>
      </c>
      <c r="I62" s="13">
        <v>42969.466597222221</v>
      </c>
      <c r="J62" s="7">
        <v>0</v>
      </c>
      <c r="K62" s="89" t="str">
        <f t="shared" si="0"/>
        <v>4017/4018</v>
      </c>
      <c r="L62" s="217" t="str">
        <f>VLOOKUP(A62,'Trips&amp;Operators'!$C$1:$G$99911,5,FALSE)</f>
        <v>MAELZER KURT</v>
      </c>
      <c r="M62" s="6">
        <f t="shared" si="1"/>
        <v>3.0914351853425615E-2</v>
      </c>
      <c r="N62" s="7">
        <f t="shared" si="2"/>
        <v>44.516666668932885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-22T09:18:16-0600',mode:absolute,to:'2017-08-22T12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23.295500000000001</v>
      </c>
      <c r="Z62" s="197">
        <f t="shared" si="8"/>
        <v>1.21E-2</v>
      </c>
      <c r="AA62" s="197">
        <f t="shared" si="9"/>
        <v>23.2834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10"/>
        <v>148</v>
      </c>
      <c r="AE62" s="77" t="str">
        <f t="shared" si="11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62" s="74" t="str">
        <f t="shared" si="12"/>
        <v>"C:\Program Files (x86)\AstroGrep\AstroGrep.exe" /e /r /s /spath="%USERPROFILE%\AppData\Local\Temp\OnboardLogs" /stypes="app*4017*20170822*"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148-22 --locoid 4017 --swversion DE.1.0.9.0 --startMP 204:232955 --initTime 2017-08-22T10:18:16 --startdatetime 2017-08-22T10:27:23 --delay 0 --endMP 204:121 --enddatetime 2017-08-22T11:11:54 --enforcementcount 0 &gt;&gt;C:\Users\stu\Documents\GitHub\eaglep3-reporting\EC\2017-08-22-refined-times.txt</v>
      </c>
      <c r="AI62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{"issue":{"subject":"","project_id":79,"tracker_id":40,"status_id":1,"priority_id":2,"assigned_to_id":23,"start_date":"2017-08-22","description":"","custom_fields":[{"id":1,"name":"Subdivision","value":"EC"},{"id":4,"name":"Milepost","value":"0.0121"},{"id":17,"name":"Train ID","value":"148-22"},{"id":16,"name":"Locomotive ID","value":"4017"},{"id":130,"name":"Impact","value":""},{"id":150,"name":"Time of Event (Mountain Time)","value":"11:11:54"},{"id":151,"name":"Denver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4017 --day 2017-08-22</v>
      </c>
      <c r="AN62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663</v>
      </c>
      <c r="B63" s="7">
        <v>4010</v>
      </c>
      <c r="C63" s="21" t="s">
        <v>198</v>
      </c>
      <c r="D63" s="21" t="s">
        <v>407</v>
      </c>
      <c r="E63" s="13">
        <v>42969.404699074075</v>
      </c>
      <c r="F63" s="13">
        <v>42969.406759259262</v>
      </c>
      <c r="G63" s="7">
        <v>1</v>
      </c>
      <c r="H63" s="21" t="s">
        <v>832</v>
      </c>
      <c r="I63" s="13">
        <v>42969.433182870373</v>
      </c>
      <c r="J63" s="7">
        <v>0</v>
      </c>
      <c r="K63" s="89" t="str">
        <f t="shared" si="0"/>
        <v>4009/4010</v>
      </c>
      <c r="L63" s="217" t="str">
        <f>VLOOKUP(A63,'Trips&amp;Operators'!$C$1:$G$99911,5,FALSE)</f>
        <v>LALONDE GREGORY</v>
      </c>
      <c r="M63" s="6">
        <f t="shared" si="1"/>
        <v>2.6423611110658385E-2</v>
      </c>
      <c r="N63" s="7">
        <f t="shared" si="2"/>
        <v>38.049999999348074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-22T08:42:46-0600',mode:absolute,to:'2017-08-22T11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4.3499999999999997E-2</v>
      </c>
      <c r="Z63" s="197">
        <f t="shared" si="8"/>
        <v>23.3323</v>
      </c>
      <c r="AA63" s="197">
        <f t="shared" si="9"/>
        <v>23.288799999999998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10"/>
        <v>149</v>
      </c>
      <c r="AE63" s="77" t="str">
        <f t="shared" si="11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63" s="74" t="str">
        <f t="shared" si="12"/>
        <v>"C:\Program Files (x86)\AstroGrep\AstroGrep.exe" /e /r /s /spath="%USERPROFILE%\AppData\Local\Temp\OnboardLogs" /stypes="app*4010*20170822*"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149-22 --locoid 4010 --swversion DE.1.0.9.0 --startMP 204:435 --initTime 2017-08-22T09:42:46 --startdatetime 2017-08-22T09:45:44 --delay 1 --endMP 204:233323 --enddatetime 2017-08-22T10:23:47 --enforcementcount 0 &gt;&gt;C:\Users\stu\Documents\GitHub\eaglep3-reporting\EC\2017-08-22-refined-times.txt</v>
      </c>
      <c r="AI63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{"issue":{"subject":"","project_id":79,"tracker_id":40,"status_id":1,"priority_id":2,"assigned_to_id":23,"start_date":"2017-08-22","description":"","custom_fields":[{"id":1,"name":"Subdivision","value":"EC"},{"id":4,"name":"Milepost","value":"23.3323"},{"id":17,"name":"Train ID","value":"149-22"},{"id":16,"name":"Locomotive ID","value":"4010"},{"id":130,"name":"Impact","value":""},{"id":150,"name":"Time of Event (Mountain Time)","value":"10:23:47"},{"id":151,"name":"Denver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4010 --day 2017-08-22</v>
      </c>
      <c r="AN63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670</v>
      </c>
      <c r="B64" s="7">
        <v>4009</v>
      </c>
      <c r="C64" s="21" t="s">
        <v>198</v>
      </c>
      <c r="D64" s="21" t="s">
        <v>815</v>
      </c>
      <c r="E64" s="13">
        <v>42969.435428240744</v>
      </c>
      <c r="F64" s="13">
        <v>42969.446006944447</v>
      </c>
      <c r="G64" s="7">
        <v>1</v>
      </c>
      <c r="H64" s="21" t="s">
        <v>341</v>
      </c>
      <c r="I64" s="13">
        <v>42969.477812500001</v>
      </c>
      <c r="J64" s="7">
        <v>0</v>
      </c>
      <c r="K64" s="89" t="str">
        <f t="shared" si="0"/>
        <v>4009/4010</v>
      </c>
      <c r="L64" s="217" t="str">
        <f>VLOOKUP(A64,'Trips&amp;Operators'!$C$1:$G$99911,5,FALSE)</f>
        <v>LALONDE GREGORY</v>
      </c>
      <c r="M64" s="6">
        <f t="shared" si="1"/>
        <v>3.1805555554456078E-2</v>
      </c>
      <c r="N64" s="7">
        <f t="shared" si="2"/>
        <v>45.799999998416752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-22T09:27:01-0600',mode:absolute,to:'2017-08-22T12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23.302099999999999</v>
      </c>
      <c r="Z64" s="197">
        <f t="shared" si="8"/>
        <v>1.43E-2</v>
      </c>
      <c r="AA64" s="197">
        <f t="shared" si="9"/>
        <v>23.287800000000001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10"/>
        <v>150</v>
      </c>
      <c r="AE64" s="77" t="str">
        <f t="shared" si="11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64" s="74" t="str">
        <f t="shared" si="12"/>
        <v>"C:\Program Files (x86)\AstroGrep\AstroGrep.exe" /e /r /s /spath="%USERPROFILE%\AppData\Local\Temp\OnboardLogs" /stypes="app*4009*20170822*"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150-22 --locoid 4009 --swversion DE.1.0.9.0 --startMP 204:233021 --initTime 2017-08-22T10:27:01 --startdatetime 2017-08-22T10:42:15 --delay 1 --endMP 204:143 --enddatetime 2017-08-22T11:28:03 --enforcementcount 0 &gt;&gt;C:\Users\stu\Documents\GitHub\eaglep3-reporting\EC\2017-08-22-refined-times.txt</v>
      </c>
      <c r="AI64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{"issue":{"subject":"","project_id":79,"tracker_id":40,"status_id":1,"priority_id":2,"assigned_to_id":23,"start_date":"2017-08-22","description":"","custom_fields":[{"id":1,"name":"Subdivision","value":"EC"},{"id":4,"name":"Milepost","value":"0.0143"},{"id":17,"name":"Train ID","value":"150-22"},{"id":16,"name":"Locomotive ID","value":"4009"},{"id":130,"name":"Impact","value":""},{"id":150,"name":"Time of Event (Mountain Time)","value":"11:28:03"},{"id":151,"name":"Denver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4009 --day 2017-08-22</v>
      </c>
      <c r="AN64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664</v>
      </c>
      <c r="B65" s="7">
        <v>4004</v>
      </c>
      <c r="C65" s="21" t="s">
        <v>198</v>
      </c>
      <c r="D65" s="21" t="s">
        <v>833</v>
      </c>
      <c r="E65" s="13">
        <v>42969.413726851853</v>
      </c>
      <c r="F65" s="13">
        <v>42969.419456018521</v>
      </c>
      <c r="G65" s="7">
        <v>1</v>
      </c>
      <c r="H65" s="21" t="s">
        <v>426</v>
      </c>
      <c r="I65" s="13">
        <v>42969.443865740737</v>
      </c>
      <c r="J65" s="7">
        <v>0</v>
      </c>
      <c r="K65" s="89" t="str">
        <f t="shared" si="0"/>
        <v>4003/4004</v>
      </c>
      <c r="L65" s="217" t="str">
        <f>VLOOKUP(A65,'Trips&amp;Operators'!$C$1:$G$99911,5,FALSE)</f>
        <v>SANTIZO D. EDY</v>
      </c>
      <c r="M65" s="6">
        <f t="shared" si="1"/>
        <v>2.4409722216660157E-2</v>
      </c>
      <c r="N65" s="7">
        <f t="shared" si="2"/>
        <v>35.149999991990626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-22T08:55:46-0600',mode:absolute,to:'2017-08-22T11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0.1147</v>
      </c>
      <c r="Z65" s="197">
        <f t="shared" si="8"/>
        <v>23.331199999999999</v>
      </c>
      <c r="AA65" s="197">
        <f t="shared" si="9"/>
        <v>23.2165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10"/>
        <v>151</v>
      </c>
      <c r="AE65" s="77" t="str">
        <f t="shared" si="11"/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AF65" s="74" t="str">
        <f t="shared" si="12"/>
        <v>"C:\Program Files (x86)\AstroGrep\AstroGrep.exe" /e /r /s /spath="%USERPROFILE%\AppData\Local\Temp\OnboardLogs" /stypes="app*4004*20170822*"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151-22 --locoid 4004 --swversion DE.1.0.9.0 --startMP 204:1147 --initTime 2017-08-22T09:55:46 --startdatetime 2017-08-22T10:04:01 --delay 1 --endMP 204:233312 --enddatetime 2017-08-22T10:39:10 --enforcementcount 0 &gt;&gt;C:\Users\stu\Documents\GitHub\eaglep3-reporting\EC\2017-08-22-refined-times.txt</v>
      </c>
      <c r="AI65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{"issue":{"subject":"","project_id":79,"tracker_id":40,"status_id":1,"priority_id":2,"assigned_to_id":23,"start_date":"2017-08-22","description":"","custom_fields":[{"id":1,"name":"Subdivision","value":"EC"},{"id":4,"name":"Milepost","value":"23.3312"},{"id":17,"name":"Train ID","value":"151-22"},{"id":16,"name":"Locomotive ID","value":"4004"},{"id":130,"name":"Impact","value":""},{"id":150,"name":"Time of Event (Mountain Time)","value":"10:39:10"},{"id":151,"name":"Denver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4004 --day 2017-08-22</v>
      </c>
      <c r="AN65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675</v>
      </c>
      <c r="B66" s="7">
        <v>4003</v>
      </c>
      <c r="C66" s="21" t="s">
        <v>198</v>
      </c>
      <c r="D66" s="21" t="s">
        <v>505</v>
      </c>
      <c r="E66" s="13">
        <v>42969.445069444446</v>
      </c>
      <c r="F66" s="13">
        <v>42969.456446759257</v>
      </c>
      <c r="G66" s="7">
        <v>1</v>
      </c>
      <c r="H66" s="21" t="s">
        <v>341</v>
      </c>
      <c r="I66" s="13">
        <v>42969.487280092595</v>
      </c>
      <c r="J66" s="7">
        <v>0</v>
      </c>
      <c r="K66" s="89" t="str">
        <f t="shared" si="0"/>
        <v>4003/4004</v>
      </c>
      <c r="L66" s="217" t="str">
        <f>VLOOKUP(A66,'Trips&amp;Operators'!$C$1:$G$99911,5,FALSE)</f>
        <v>SANTIZO D. EDY</v>
      </c>
      <c r="M66" s="6">
        <f t="shared" si="1"/>
        <v>3.0833333337795921E-2</v>
      </c>
      <c r="N66" s="7">
        <f t="shared" si="2"/>
        <v>44.400000006426126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-22T09:40:54-0600',mode:absolute,to:'2017-08-22T12:41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23.297999999999998</v>
      </c>
      <c r="Z66" s="197">
        <f t="shared" si="8"/>
        <v>1.43E-2</v>
      </c>
      <c r="AA66" s="197">
        <f t="shared" si="9"/>
        <v>23.2837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10"/>
        <v>152</v>
      </c>
      <c r="AE66" s="77" t="str">
        <f t="shared" si="11"/>
        <v>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 &amp; aws s3 cp s3://rtdc.mdm.uploadarchive.raw/RTDC4003/ "%USERPROFILE%\AppData\Local\Temp\OnboardLogs"\RTDC4003\2017-08-23 --exclude "*" --recursive --include "*20170823*" &amp; "%USERPROFILE%\Documents\GitHub\mrs-test-scripts\Headless Mode &amp; Sideloading\WalkAndUnGZ.bat" "%USERPROFILE%\AppData\Local\Temp\OnboardLogs"\RTDC4003\2017-08-23</v>
      </c>
      <c r="AF66" s="74" t="str">
        <f t="shared" si="12"/>
        <v>"C:\Program Files (x86)\AstroGrep\AstroGrep.exe" /e /r /s /spath="%USERPROFILE%\AppData\Local\Temp\OnboardLogs" /stypes="app*4003*20170822*"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152-22 --locoid 4003 --swversion DE.1.0.9.0 --startMP 204:232980 --initTime 2017-08-22T10:40:54 --startdatetime 2017-08-22T10:57:17 --delay 1 --endMP 204:143 --enddatetime 2017-08-22T11:41:41 --enforcementcount 0 &gt;&gt;C:\Users\stu\Documents\GitHub\eaglep3-reporting\EC\2017-08-22-refined-times.txt</v>
      </c>
      <c r="AI6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{"issue":{"subject":"","project_id":79,"tracker_id":40,"status_id":1,"priority_id":2,"assigned_to_id":23,"start_date":"2017-08-22","description":"","custom_fields":[{"id":1,"name":"Subdivision","value":"EC"},{"id":4,"name":"Milepost","value":"0.0143"},{"id":17,"name":"Train ID","value":"152-22"},{"id":16,"name":"Locomotive ID","value":"4003"},{"id":130,"name":"Impact","value":""},{"id":150,"name":"Time of Event (Mountain Time)","value":"11:41:41"},{"id":151,"name":"Denver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4003 --day 2017-08-22</v>
      </c>
      <c r="AN6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17:41:41"},{"id":29,"name":"Sharepoint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667</v>
      </c>
      <c r="B67" s="7">
        <v>4006</v>
      </c>
      <c r="C67" s="21" t="s">
        <v>198</v>
      </c>
      <c r="D67" s="21" t="s">
        <v>407</v>
      </c>
      <c r="E67" s="13">
        <v>42969.422025462962</v>
      </c>
      <c r="F67" s="13">
        <v>42969.428020833337</v>
      </c>
      <c r="G67" s="7">
        <v>1</v>
      </c>
      <c r="H67" s="21" t="s">
        <v>834</v>
      </c>
      <c r="I67" s="13">
        <v>42969.453287037039</v>
      </c>
      <c r="J67" s="7">
        <v>0</v>
      </c>
      <c r="K67" s="89" t="str">
        <f t="shared" si="0"/>
        <v>4005/4006</v>
      </c>
      <c r="L67" s="217" t="str">
        <f>VLOOKUP(A67,'Trips&amp;Operators'!$C$1:$G$99911,5,FALSE)</f>
        <v>HELVIE ADAM</v>
      </c>
      <c r="M67" s="6">
        <f t="shared" si="1"/>
        <v>2.5266203701903578E-2</v>
      </c>
      <c r="N67" s="7">
        <f t="shared" si="2"/>
        <v>36.383333330741152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-22T09:07:43-0600',mode:absolute,to:'2017-08-22T11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4.3499999999999997E-2</v>
      </c>
      <c r="Z67" s="197">
        <f t="shared" si="8"/>
        <v>23.329699999999999</v>
      </c>
      <c r="AA67" s="197">
        <f t="shared" si="9"/>
        <v>23.286199999999997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10"/>
        <v>153</v>
      </c>
      <c r="AE67" s="77" t="str">
        <f t="shared" si="11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67" s="74" t="str">
        <f t="shared" si="12"/>
        <v>"C:\Program Files (x86)\AstroGrep\AstroGrep.exe" /e /r /s /spath="%USERPROFILE%\AppData\Local\Temp\OnboardLogs" /stypes="app*4006*20170822*" /stext=" 16:.+((SYSTEM_STATE.+slice.+state.+changed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153-22 --locoid 4006 --swversion DE.1.0.9.0 --startMP 204:435 --initTime 2017-08-22T10:07:43 --startdatetime 2017-08-22T10:16:21 --delay 1 --endMP 204:233297 --enddatetime 2017-08-22T10:52:44 --enforcementcount 0 &gt;&gt;C:\Users\stu\Documents\GitHub\eaglep3-reporting\EC\2017-08-22-refined-times.txt</v>
      </c>
      <c r="AI6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{"issue":{"subject":"","project_id":79,"tracker_id":40,"status_id":1,"priority_id":2,"assigned_to_id":23,"start_date":"2017-08-22","description":"","custom_fields":[{"id":1,"name":"Subdivision","value":"EC"},{"id":4,"name":"Milepost","value":"23.3297"},{"id":17,"name":"Train ID","value":"153-22"},{"id":16,"name":"Locomotive ID","value":"4006"},{"id":130,"name":"Impact","value":""},{"id":150,"name":"Time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4006 --day 2017-08-22</v>
      </c>
      <c r="AN6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570</v>
      </c>
      <c r="B68" s="7">
        <v>4005</v>
      </c>
      <c r="C68" s="21" t="s">
        <v>198</v>
      </c>
      <c r="D68" s="21" t="s">
        <v>453</v>
      </c>
      <c r="E68" s="13">
        <v>42969.464212962965</v>
      </c>
      <c r="F68" s="13">
        <v>42969.467187499999</v>
      </c>
      <c r="G68" s="7">
        <v>2</v>
      </c>
      <c r="H68" s="21" t="s">
        <v>383</v>
      </c>
      <c r="I68" s="13">
        <v>42969.497199074074</v>
      </c>
      <c r="J68" s="7">
        <v>0</v>
      </c>
      <c r="K68" s="89" t="str">
        <f t="shared" si="0"/>
        <v>4005/4006</v>
      </c>
      <c r="L68" s="217" t="str">
        <f>VLOOKUP(A68,'Trips&amp;Operators'!$C$1:$G$99911,5,FALSE)</f>
        <v>HELVIE ADAM</v>
      </c>
      <c r="M68" s="6">
        <f t="shared" si="1"/>
        <v>3.0011574075615499E-2</v>
      </c>
      <c r="N68" s="7">
        <f t="shared" si="2"/>
        <v>43.216666668886319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-22T10:08:28-0600',mode:absolute,to:'2017-08-22T12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23.298100000000002</v>
      </c>
      <c r="Z68" s="197">
        <f t="shared" si="8"/>
        <v>1.6299999999999999E-2</v>
      </c>
      <c r="AA68" s="197">
        <f t="shared" si="9"/>
        <v>23.2818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10"/>
        <v>154</v>
      </c>
      <c r="AE68" s="77" t="str">
        <f t="shared" si="11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68" s="74" t="str">
        <f t="shared" si="12"/>
        <v>"C:\Program Files (x86)\AstroGrep\AstroGrep.exe" /e /r /s /spath="%USERPROFILE%\AppData\Local\Temp\OnboardLogs" /stypes="app*4005*20170822*"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154-22 --locoid 4005 --swversion DE.1.0.9.0 --startMP 204:232981 --initTime 2017-08-22T11:08:28 --startdatetime 2017-08-22T11:12:45 --delay 2 --endMP 204:163 --enddatetime 2017-08-22T11:55:58 --enforcementcount 0 &gt;&gt;C:\Users\stu\Documents\GitHub\eaglep3-reporting\EC\2017-08-22-refined-times.txt</v>
      </c>
      <c r="AI68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{"issue":{"subject":"","project_id":79,"tracker_id":40,"status_id":1,"priority_id":2,"assigned_to_id":23,"start_date":"2017-08-22","description":"","custom_fields":[{"id":1,"name":"Subdivision","value":"EC"},{"id":4,"name":"Milepost","value":"0.0163"},{"id":17,"name":"Train ID","value":"154-22"},{"id":16,"name":"Locomotive ID","value":"4005"},{"id":130,"name":"Impact","value":""},{"id":150,"name":"Time of Event (Mountain Time)","value":"11:55:58"},{"id":151,"name":"Denver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4005 --day 2017-08-22</v>
      </c>
      <c r="AN68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569</v>
      </c>
      <c r="B69" s="7">
        <v>4056</v>
      </c>
      <c r="C69" s="21" t="s">
        <v>198</v>
      </c>
      <c r="D69" s="21" t="s">
        <v>395</v>
      </c>
      <c r="E69" s="13">
        <v>42969.429606481484</v>
      </c>
      <c r="F69" s="13">
        <v>42969.437997685185</v>
      </c>
      <c r="G69" s="7">
        <v>1</v>
      </c>
      <c r="H69" s="21" t="s">
        <v>835</v>
      </c>
      <c r="I69" s="13">
        <v>42969.464803240742</v>
      </c>
      <c r="J69" s="7">
        <v>0</v>
      </c>
      <c r="K69" s="89" t="str">
        <f t="shared" si="0"/>
        <v>4055/4056</v>
      </c>
      <c r="L69" s="217" t="str">
        <f>VLOOKUP(A69,'Trips&amp;Operators'!$C$1:$G$99911,5,FALSE)</f>
        <v>MACDONALD THOMAS</v>
      </c>
      <c r="M69" s="6">
        <f t="shared" si="1"/>
        <v>2.6805555557075422E-2</v>
      </c>
      <c r="N69" s="7">
        <f t="shared" si="2"/>
        <v>38.600000002188608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-22T09:18:38-0600',mode:absolute,to:'2017-08-22T12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4.4400000000000002E-2</v>
      </c>
      <c r="Z69" s="197">
        <f t="shared" si="8"/>
        <v>23.325500000000002</v>
      </c>
      <c r="AA69" s="197">
        <f t="shared" si="9"/>
        <v>23.281100000000002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10"/>
        <v>155</v>
      </c>
      <c r="AE69" s="77" t="str">
        <f t="shared" si="11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69" s="74" t="str">
        <f t="shared" si="12"/>
        <v>"C:\Program Files (x86)\AstroGrep\AstroGrep.exe" /e /r /s /spath="%USERPROFILE%\AppData\Local\Temp\OnboardLogs" /stypes="app*4056*20170822*"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155-22 --locoid 4056 --swversion DE.1.0.9.0 --startMP 204:444 --initTime 2017-08-22T10:18:38 --startdatetime 2017-08-22T10:30:43 --delay 1 --endMP 204:233255 --enddatetime 2017-08-22T11:09:19 --enforcementcount 0 &gt;&gt;C:\Users\stu\Documents\GitHub\eaglep3-reporting\EC\2017-08-22-refined-times.txt</v>
      </c>
      <c r="AI69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{"issue":{"subject":"","project_id":79,"tracker_id":40,"status_id":1,"priority_id":2,"assigned_to_id":23,"start_date":"2017-08-22","description":"","custom_fields":[{"id":1,"name":"Subdivision","value":"EC"},{"id":4,"name":"Milepost","value":"23.3255"},{"id":17,"name":"Train ID","value":"155-22"},{"id":16,"name":"Locomotive ID","value":"4056"},{"id":130,"name":"Impact","value":""},{"id":150,"name":"Time of Event (Mountain Time)","value":"11:09:19"},{"id":151,"name":"Denver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4056 --day 2017-08-22</v>
      </c>
      <c r="AN69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677</v>
      </c>
      <c r="B70" s="7">
        <v>4055</v>
      </c>
      <c r="C70" s="21" t="s">
        <v>198</v>
      </c>
      <c r="D70" s="21" t="s">
        <v>836</v>
      </c>
      <c r="E70" s="13">
        <v>42969.466157407405</v>
      </c>
      <c r="F70" s="13">
        <v>42969.477453703701</v>
      </c>
      <c r="G70" s="7">
        <v>13</v>
      </c>
      <c r="H70" s="21" t="s">
        <v>501</v>
      </c>
      <c r="I70" s="13">
        <v>42969.507337962961</v>
      </c>
      <c r="J70" s="7">
        <v>0</v>
      </c>
      <c r="K70" s="89" t="str">
        <f t="shared" si="0"/>
        <v>4055/4056</v>
      </c>
      <c r="L70" s="217" t="str">
        <f>VLOOKUP(A70,'Trips&amp;Operators'!$C$1:$G$99911,5,FALSE)</f>
        <v>MACDONALD THOMAS</v>
      </c>
      <c r="M70" s="6">
        <f t="shared" si="1"/>
        <v>2.9884259260143153E-2</v>
      </c>
      <c r="N70" s="7">
        <f t="shared" si="2"/>
        <v>43.033333334606141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-22T10:11:16-0600',mode:absolute,to:'2017-08-22T13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23.292899999999999</v>
      </c>
      <c r="Z70" s="197">
        <f t="shared" si="8"/>
        <v>1.6899999999999998E-2</v>
      </c>
      <c r="AA70" s="197">
        <f t="shared" si="9"/>
        <v>23.276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10"/>
        <v>156</v>
      </c>
      <c r="AE70" s="77" t="str">
        <f t="shared" si="11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70" s="74" t="str">
        <f t="shared" si="12"/>
        <v>"C:\Program Files (x86)\AstroGrep\AstroGrep.exe" /e /r /s /spath="%USERPROFILE%\AppData\Local\Temp\OnboardLogs" /stypes="app*4055*20170822*"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156-22 --locoid 4055 --swversion DE.1.0.9.0 --startMP 204:232929 --initTime 2017-08-22T11:11:16 --startdatetime 2017-08-22T11:27:32 --delay 13 --endMP 204:169 --enddatetime 2017-08-22T12:10:34 --enforcementcount 0 &gt;&gt;C:\Users\stu\Documents\GitHub\eaglep3-reporting\EC\2017-08-22-refined-times.txt</v>
      </c>
      <c r="AI70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{"issue":{"subject":"","project_id":79,"tracker_id":40,"status_id":1,"priority_id":2,"assigned_to_id":23,"start_date":"2017-08-22","description":"","custom_fields":[{"id":1,"name":"Subdivision","value":"EC"},{"id":4,"name":"Milepost","value":"0.0169"},{"id":17,"name":"Train ID","value":"156-22"},{"id":16,"name":"Locomotive ID","value":"4055"},{"id":130,"name":"Impact","value":""},{"id":150,"name":"Time of Event (Mountain Time)","value":"12:10:34"},{"id":151,"name":"Denver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4055 --day 2017-08-22</v>
      </c>
      <c r="AN70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671</v>
      </c>
      <c r="B71" s="7">
        <v>4054</v>
      </c>
      <c r="C71" s="21" t="s">
        <v>198</v>
      </c>
      <c r="D71" s="21" t="s">
        <v>410</v>
      </c>
      <c r="E71" s="13">
        <v>42969.439826388887</v>
      </c>
      <c r="F71" s="13">
        <v>42969.449178240742</v>
      </c>
      <c r="G71" s="7">
        <v>2</v>
      </c>
      <c r="H71" s="21" t="s">
        <v>401</v>
      </c>
      <c r="I71" s="13">
        <v>42969.473333333335</v>
      </c>
      <c r="J71" s="7">
        <v>0</v>
      </c>
      <c r="K71" s="89" t="str">
        <f t="shared" si="0"/>
        <v>4053/4054</v>
      </c>
      <c r="L71" s="217" t="str">
        <f>VLOOKUP(A71,'Trips&amp;Operators'!$C$1:$G$99911,5,FALSE)</f>
        <v>DE LA ROSA ALEX</v>
      </c>
      <c r="M71" s="6">
        <f t="shared" si="1"/>
        <v>2.4155092592991423E-2</v>
      </c>
      <c r="N71" s="7">
        <f t="shared" si="2"/>
        <v>34.783333333907649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-22T09:33:21-0600',mode:absolute,to:'2017-08-22T12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4.3700000000000003E-2</v>
      </c>
      <c r="Z71" s="197">
        <f t="shared" si="8"/>
        <v>23.330200000000001</v>
      </c>
      <c r="AA71" s="197">
        <f t="shared" si="9"/>
        <v>23.2865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10"/>
        <v>157</v>
      </c>
      <c r="AE71" s="77" t="str">
        <f t="shared" si="11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71" s="74" t="str">
        <f t="shared" si="12"/>
        <v>"C:\Program Files (x86)\AstroGrep\AstroGrep.exe" /e /r /s /spath="%USERPROFILE%\AppData\Local\Temp\OnboardLogs" /stypes="app*4054*20170822*"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157-22 --locoid 4054 --swversion DE.1.0.9.0 --startMP 204:437 --initTime 2017-08-22T10:33:21 --startdatetime 2017-08-22T10:46:49 --delay 2 --endMP 204:233302 --enddatetime 2017-08-22T11:21:36 --enforcementcount 0 &gt;&gt;C:\Users\stu\Documents\GitHub\eaglep3-reporting\EC\2017-08-22-refined-times.txt</v>
      </c>
      <c r="AI71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{"issue":{"subject":"","project_id":79,"tracker_id":40,"status_id":1,"priority_id":2,"assigned_to_id":23,"start_date":"2017-08-22","description":"","custom_fields":[{"id":1,"name":"Subdivision","value":"EC"},{"id":4,"name":"Milepost","value":"23.3302"},{"id":17,"name":"Train ID","value":"157-22"},{"id":16,"name":"Locomotive ID","value":"4054"},{"id":130,"name":"Impact","value":""},{"id":150,"name":"Time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4054 --day 2017-08-22</v>
      </c>
      <c r="AN71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682</v>
      </c>
      <c r="B72" s="7">
        <v>4053</v>
      </c>
      <c r="C72" s="21" t="s">
        <v>198</v>
      </c>
      <c r="D72" s="21" t="s">
        <v>837</v>
      </c>
      <c r="E72" s="13">
        <v>42969.481087962966</v>
      </c>
      <c r="F72" s="13">
        <v>42969.487835648149</v>
      </c>
      <c r="G72" s="7">
        <v>1</v>
      </c>
      <c r="H72" s="21" t="s">
        <v>373</v>
      </c>
      <c r="I72" s="13">
        <v>42969.519560185188</v>
      </c>
      <c r="J72" s="7">
        <v>0</v>
      </c>
      <c r="K72" s="89" t="str">
        <f t="shared" si="0"/>
        <v>4053/4054</v>
      </c>
      <c r="L72" s="217" t="str">
        <f>VLOOKUP(A72,'Trips&amp;Operators'!$C$1:$G$99911,5,FALSE)</f>
        <v>DE LA ROSA ALEX</v>
      </c>
      <c r="M72" s="6">
        <f t="shared" si="1"/>
        <v>3.1724537038826384E-2</v>
      </c>
      <c r="N72" s="7">
        <f t="shared" si="2"/>
        <v>45.683333335909992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-22T10:32:46-0600',mode:absolute,to:'2017-08-22T13:28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23.2989</v>
      </c>
      <c r="Z72" s="197">
        <f t="shared" si="8"/>
        <v>1.52E-2</v>
      </c>
      <c r="AA72" s="197">
        <f t="shared" si="9"/>
        <v>23.2837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10"/>
        <v>158</v>
      </c>
      <c r="AE72" s="77" t="str">
        <f t="shared" si="11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72" s="74" t="str">
        <f t="shared" si="12"/>
        <v>"C:\Program Files (x86)\AstroGrep\AstroGrep.exe" /e /r /s /spath="%USERPROFILE%\AppData\Local\Temp\OnboardLogs" /stypes="app*4053*20170822*"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158-22 --locoid 4053 --swversion DE.1.0.9.0 --startMP 204:232989 --initTime 2017-08-22T11:32:46 --startdatetime 2017-08-22T11:42:29 --delay 1 --endMP 204:152 --enddatetime 2017-08-22T12:28:10 --enforcementcount 0 &gt;&gt;C:\Users\stu\Documents\GitHub\eaglep3-reporting\EC\2017-08-22-refined-times.txt</v>
      </c>
      <c r="AI72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{"issue":{"subject":"","project_id":79,"tracker_id":40,"status_id":1,"priority_id":2,"assigned_to_id":23,"start_date":"2017-08-22","description":"","custom_fields":[{"id":1,"name":"Subdivision","value":"EC"},{"id":4,"name":"Milepost","value":"0.0152"},{"id":17,"name":"Train ID","value":"158-22"},{"id":16,"name":"Locomotive ID","value":"4053"},{"id":130,"name":"Impact","value":""},{"id":150,"name":"Time of Event (Mountain Time)","value":"12:28:10"},{"id":151,"name":"Denver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4053 --day 2017-08-22</v>
      </c>
      <c r="AN72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18:28:10"},{"id":29,"name":"Sharepoint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676</v>
      </c>
      <c r="B73" s="7">
        <v>4012</v>
      </c>
      <c r="C73" s="21" t="s">
        <v>198</v>
      </c>
      <c r="D73" s="21" t="s">
        <v>511</v>
      </c>
      <c r="E73" s="13">
        <v>42969.458912037036</v>
      </c>
      <c r="F73" s="13">
        <v>42969.460578703707</v>
      </c>
      <c r="G73" s="7">
        <v>1</v>
      </c>
      <c r="H73" s="21" t="s">
        <v>462</v>
      </c>
      <c r="I73" s="13">
        <v>42969.485381944447</v>
      </c>
      <c r="J73" s="7">
        <v>0</v>
      </c>
      <c r="K73" s="89" t="str">
        <f t="shared" si="0"/>
        <v>4011/4012</v>
      </c>
      <c r="L73" s="217" t="str">
        <f>VLOOKUP(A73,'Trips&amp;Operators'!$C$1:$G$99911,5,FALSE)</f>
        <v>DAVIDSON DAVID</v>
      </c>
      <c r="M73" s="6">
        <f t="shared" si="1"/>
        <v>2.4803240739856847E-2</v>
      </c>
      <c r="N73" s="7">
        <f t="shared" si="2"/>
        <v>35.716666665393859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-22T10:00:50-0600',mode:absolute,to:'2017-08-22T12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4.7300000000000002E-2</v>
      </c>
      <c r="Z73" s="197">
        <f t="shared" si="8"/>
        <v>23.328900000000001</v>
      </c>
      <c r="AA73" s="197">
        <f t="shared" si="9"/>
        <v>23.281600000000001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10"/>
        <v>159</v>
      </c>
      <c r="AE73" s="77" t="str">
        <f t="shared" si="11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73" s="74" t="str">
        <f t="shared" si="12"/>
        <v>"C:\Program Files (x86)\AstroGrep\AstroGrep.exe" /e /r /s /spath="%USERPROFILE%\AppData\Local\Temp\OnboardLogs" /stypes="app*4012*20170822*"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159-22 --locoid 4012 --swversion DE.1.0.9.0 --startMP 204:473 --initTime 2017-08-22T11:00:50 --startdatetime 2017-08-22T11:03:14 --delay 1 --endMP 204:233289 --enddatetime 2017-08-22T11:38:57 --enforcementcount 0 &gt;&gt;C:\Users\stu\Documents\GitHub\eaglep3-reporting\EC\2017-08-22-refined-times.txt</v>
      </c>
      <c r="AI73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{"issue":{"subject":"","project_id":79,"tracker_id":40,"status_id":1,"priority_id":2,"assigned_to_id":23,"start_date":"2017-08-22","description":"","custom_fields":[{"id":1,"name":"Subdivision","value":"EC"},{"id":4,"name":"Milepost","value":"23.3289"},{"id":17,"name":"Train ID","value":"159-22"},{"id":16,"name":"Locomotive ID","value":"4012"},{"id":130,"name":"Impact","value":""},{"id":150,"name":"Time of Event (Mountain Time)","value":"11:38:57"},{"id":151,"name":"Denver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4012 --day 2017-08-22</v>
      </c>
      <c r="AN73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684</v>
      </c>
      <c r="B74" s="7">
        <v>4011</v>
      </c>
      <c r="C74" s="21" t="s">
        <v>198</v>
      </c>
      <c r="D74" s="21" t="s">
        <v>502</v>
      </c>
      <c r="E74" s="13">
        <v>42969.48704861111</v>
      </c>
      <c r="F74" s="13">
        <v>42969.498101851852</v>
      </c>
      <c r="G74" s="7">
        <v>1</v>
      </c>
      <c r="H74" s="21" t="s">
        <v>346</v>
      </c>
      <c r="I74" s="13">
        <v>42969.5312037037</v>
      </c>
      <c r="J74" s="7">
        <v>0</v>
      </c>
      <c r="K74" s="89" t="str">
        <f t="shared" si="0"/>
        <v>4011/4012</v>
      </c>
      <c r="L74" s="217" t="str">
        <f>VLOOKUP(A74,'Trips&amp;Operators'!$C$1:$G$99911,5,FALSE)</f>
        <v>DAVIDSON DAVID</v>
      </c>
      <c r="M74" s="6">
        <f t="shared" si="1"/>
        <v>3.3101851848186925E-2</v>
      </c>
      <c r="N74" s="7">
        <f t="shared" si="2"/>
        <v>47.666666661389172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-22T10:41:21-0600',mode:absolute,to:'2017-08-22T13:44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23.297699999999999</v>
      </c>
      <c r="Z74" s="197">
        <f t="shared" si="8"/>
        <v>1.41E-2</v>
      </c>
      <c r="AA74" s="197">
        <f t="shared" si="9"/>
        <v>23.2836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10"/>
        <v>160</v>
      </c>
      <c r="AE74" s="77" t="str">
        <f t="shared" si="11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74" s="74" t="str">
        <f t="shared" si="12"/>
        <v>"C:\Program Files (x86)\AstroGrep\AstroGrep.exe" /e /r /s /spath="%USERPROFILE%\AppData\Local\Temp\OnboardLogs" /stypes="app*4011*20170822*"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160-22 --locoid 4011 --swversion DE.1.0.9.0 --startMP 204:232977 --initTime 2017-08-22T11:41:21 --startdatetime 2017-08-22T11:57:16 --delay 1 --endMP 204:141 --enddatetime 2017-08-22T12:44:56 --enforcementcount 0 &gt;&gt;C:\Users\stu\Documents\GitHub\eaglep3-reporting\EC\2017-08-22-refined-times.txt</v>
      </c>
      <c r="AI74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{"issue":{"subject":"","project_id":79,"tracker_id":40,"status_id":1,"priority_id":2,"assigned_to_id":23,"start_date":"2017-08-22","description":"","custom_fields":[{"id":1,"name":"Subdivision","value":"EC"},{"id":4,"name":"Milepost","value":"0.0141"},{"id":17,"name":"Train ID","value":"160-22"},{"id":16,"name":"Locomotive ID","value":"4011"},{"id":130,"name":"Impact","value":""},{"id":150,"name":"Time of Event (Mountain Time)","value":"12:44:56"},{"id":151,"name":"Denver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4011 --day 2017-08-22</v>
      </c>
      <c r="AN74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18:44:56"},{"id":29,"name":"Sharepoint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679</v>
      </c>
      <c r="B75" s="7">
        <v>4018</v>
      </c>
      <c r="C75" s="21" t="s">
        <v>198</v>
      </c>
      <c r="D75" s="21" t="s">
        <v>385</v>
      </c>
      <c r="E75" s="13">
        <v>42969.469710648147</v>
      </c>
      <c r="F75" s="13">
        <v>42969.508622685185</v>
      </c>
      <c r="G75" s="7">
        <v>2</v>
      </c>
      <c r="H75" s="21" t="s">
        <v>826</v>
      </c>
      <c r="I75" s="13">
        <v>42969.540914351855</v>
      </c>
      <c r="J75" s="7">
        <v>0</v>
      </c>
      <c r="K75" s="89" t="str">
        <f t="shared" si="0"/>
        <v>4017/4018</v>
      </c>
      <c r="L75" s="217" t="str">
        <f>VLOOKUP(A75,'Trips&amp;Operators'!$C$1:$G$99911,5,FALSE)</f>
        <v>STEWART MICHAEL</v>
      </c>
      <c r="M75" s="6">
        <f t="shared" si="1"/>
        <v>3.2291666670062114E-2</v>
      </c>
      <c r="N75" s="7">
        <f t="shared" si="2"/>
        <v>46.500000004889444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-22T10:16:23-0600',mode:absolute,to:'2017-08-22T13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4.4200000000000003E-2</v>
      </c>
      <c r="Z75" s="197">
        <f t="shared" si="8"/>
        <v>23.327999999999999</v>
      </c>
      <c r="AA75" s="197">
        <f t="shared" si="9"/>
        <v>23.283799999999999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10"/>
        <v>161</v>
      </c>
      <c r="AE75" s="77" t="str">
        <f t="shared" si="11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75" s="74" t="str">
        <f t="shared" si="12"/>
        <v>"C:\Program Files (x86)\AstroGrep\AstroGrep.exe" /e /r /s /spath="%USERPROFILE%\AppData\Local\Temp\OnboardLogs" /stypes="app*4018*20170822*"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161-22 --locoid 4018 --swversion DE.1.0.9.0 --startMP 204:442 --initTime 2017-08-22T11:16:23 --startdatetime 2017-08-22T12:12:25 --delay 2 --endMP 204:233280 --enddatetime 2017-08-22T12:58:55 --enforcementcount 0 &gt;&gt;C:\Users\stu\Documents\GitHub\eaglep3-reporting\EC\2017-08-22-refined-times.txt</v>
      </c>
      <c r="AI75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{"issue":{"subject":"","project_id":79,"tracker_id":40,"status_id":1,"priority_id":2,"assigned_to_id":23,"start_date":"2017-08-22","description":"","custom_fields":[{"id":1,"name":"Subdivision","value":"EC"},{"id":4,"name":"Milepost","value":"23.328"},{"id":17,"name":"Train ID","value":"161-22"},{"id":16,"name":"Locomotive ID","value":"4018"},{"id":130,"name":"Impact","value":""},{"id":150,"name":"Time of Event (Mountain Time)","value":"12:58:55"},{"id":151,"name":"Denver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4018 --day 2017-08-22</v>
      </c>
      <c r="AN75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573</v>
      </c>
      <c r="B76" s="7">
        <v>4017</v>
      </c>
      <c r="C76" s="21" t="s">
        <v>198</v>
      </c>
      <c r="D76" s="21" t="s">
        <v>838</v>
      </c>
      <c r="E76" s="13">
        <v>42969.50681712963</v>
      </c>
      <c r="F76" s="13">
        <v>42969.508622685185</v>
      </c>
      <c r="G76" s="7">
        <v>1</v>
      </c>
      <c r="H76" s="21" t="s">
        <v>340</v>
      </c>
      <c r="I76" s="13">
        <v>42969.540914351855</v>
      </c>
      <c r="J76" s="7">
        <v>0</v>
      </c>
      <c r="K76" s="89" t="str">
        <f t="shared" si="0"/>
        <v>4017/4018</v>
      </c>
      <c r="L76" s="217" t="str">
        <f>VLOOKUP(A76,'Trips&amp;Operators'!$C$1:$G$99911,5,FALSE)</f>
        <v>STEWART MICHAEL</v>
      </c>
      <c r="M76" s="6">
        <f t="shared" si="1"/>
        <v>3.2291666670062114E-2</v>
      </c>
      <c r="N76" s="7">
        <f t="shared" si="2"/>
        <v>46.500000004889444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-22T11:09:49-0600',mode:absolute,to:'2017-08-22T13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23.300999999999998</v>
      </c>
      <c r="Z76" s="197">
        <f t="shared" si="8"/>
        <v>1.49E-2</v>
      </c>
      <c r="AA76" s="197">
        <f t="shared" si="9"/>
        <v>23.286099999999998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10"/>
        <v>162</v>
      </c>
      <c r="AE76" s="77" t="str">
        <f t="shared" si="11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76" s="74" t="str">
        <f t="shared" si="12"/>
        <v>"C:\Program Files (x86)\AstroGrep\AstroGrep.exe" /e /r /s /spath="%USERPROFILE%\AppData\Local\Temp\OnboardLogs" /stypes="app*4017*20170822*"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162-22 --locoid 4017 --swversion DE.1.0.9.0 --startMP 204:233010 --initTime 2017-08-22T12:09:49 --startdatetime 2017-08-22T12:12:25 --delay 1 --endMP 204:149 --enddatetime 2017-08-22T12:58:55 --enforcementcount 0 &gt;&gt;C:\Users\stu\Documents\GitHub\eaglep3-reporting\EC\2017-08-22-refined-times.txt</v>
      </c>
      <c r="AI76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{"issue":{"subject":"","project_id":79,"tracker_id":40,"status_id":1,"priority_id":2,"assigned_to_id":23,"start_date":"2017-08-22","description":"","custom_fields":[{"id":1,"name":"Subdivision","value":"EC"},{"id":4,"name":"Milepost","value":"0.0149"},{"id":17,"name":"Train ID","value":"162-22"},{"id":16,"name":"Locomotive ID","value":"4017"},{"id":130,"name":"Impact","value":""},{"id":150,"name":"Time of Event (Mountain Time)","value":"12:58:55"},{"id":151,"name":"Denver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4017 --day 2017-08-22</v>
      </c>
      <c r="AN76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681</v>
      </c>
      <c r="B77" s="7">
        <v>4010</v>
      </c>
      <c r="C77" s="21" t="s">
        <v>198</v>
      </c>
      <c r="D77" s="21" t="s">
        <v>397</v>
      </c>
      <c r="E77" s="13">
        <v>42969.479490740741</v>
      </c>
      <c r="F77" s="13">
        <v>42969.481203703705</v>
      </c>
      <c r="G77" s="7">
        <v>1</v>
      </c>
      <c r="H77" s="21" t="s">
        <v>526</v>
      </c>
      <c r="I77" s="13">
        <v>42969.504537037035</v>
      </c>
      <c r="J77" s="7">
        <v>0</v>
      </c>
      <c r="K77" s="89" t="str">
        <f t="shared" ref="K77:K140" si="37">IF(ISEVEN(B77),(B77-1)&amp;"/"&amp;B77,B77&amp;"/"&amp;(B77+1))</f>
        <v>4009/4010</v>
      </c>
      <c r="L77" s="217" t="str">
        <f>VLOOKUP(A77,'Trips&amp;Operators'!$C$1:$G$99911,5,FALSE)</f>
        <v>ROMERO CHAD</v>
      </c>
      <c r="M77" s="6">
        <f t="shared" ref="M77:M140" si="38">I77-F77</f>
        <v>2.3333333330811001E-2</v>
      </c>
      <c r="N77" s="7">
        <f t="shared" ref="N77:P140" si="39">24*60*SUM($M77:$M77)</f>
        <v>33.599999996367842</v>
      </c>
      <c r="O77" s="7"/>
      <c r="P77" s="7"/>
      <c r="Q77" s="22"/>
      <c r="R77" s="170"/>
      <c r="S77" s="213">
        <f t="shared" ref="S77:S140" si="40">1/IF(AG77="EC",12,1)*SUM(U77:U77)</f>
        <v>1</v>
      </c>
      <c r="T77" s="195" t="str">
        <f t="shared" ref="T77:T140" si="41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-22T10:30:28-0600',mode:absolute,to:'2017-08-22T13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197" t="str">
        <f>IF(AA77&lt;VLOOKUP(AG77,Variables!$AC$3:$AD$8,2,FALSE),"Y","N")</f>
        <v>N</v>
      </c>
      <c r="X77" s="197">
        <f t="shared" ref="X77:X140" si="43">VALUE(LEFT(AD77,4))-VALUE(LEFT(AD76,4))</f>
        <v>1</v>
      </c>
      <c r="Y77" s="197">
        <f t="shared" ref="Y77:Y140" si="44">RIGHT(D77,LEN(D77)-4)/10000</f>
        <v>4.6600000000000003E-2</v>
      </c>
      <c r="Z77" s="197">
        <f t="shared" ref="Z77:Z140" si="45">RIGHT(H77,LEN(H77)-4)/10000</f>
        <v>23.339700000000001</v>
      </c>
      <c r="AA77" s="197">
        <f t="shared" ref="AA77:AA140" si="46">ABS(Z77-Y77)</f>
        <v>23.293099999999999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ref="AD77:AD140" si="47">VALUE(LEFT(A77,LEN(A77)-3))</f>
        <v>163</v>
      </c>
      <c r="AE77" s="77" t="str">
        <f t="shared" ref="AE77:AE140" si="4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77" s="74" t="str">
        <f t="shared" ref="AF77:AF140" si="4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/stypes="app*4010*20170822*"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50">DetSubdiv(A77)</f>
        <v>EC</v>
      </c>
      <c r="AH77" s="78" t="str">
        <f t="shared" si="18"/>
        <v>"%USERPROFILE%\Documents\GitHub\eaglep3\Utilities\RefineRTDCRunTimes.py" --tripid 163-22 --locoid 4010 --swversion DE.1.0.9.0 --startMP 204:466 --initTime 2017-08-22T11:30:28 --startdatetime 2017-08-22T11:32:56 --delay 1 --endMP 204:233397 --enddatetime 2017-08-22T12:06:32 --enforcementcount 0 &gt;&gt;C:\Users\stu\Documents\GitHub\eaglep3-reporting\EC\2017-08-22-refined-times.txt</v>
      </c>
      <c r="AI77" s="96" t="str">
        <f t="shared" si="19"/>
        <v>echo {"issue":{"subject":"","project_id":79,"tracker_id":40,"status_id":1,"priority_id":2,"assigned_to_id":23,"start_date":"2017-08-22","description":"","custom_fields":[{"id":1,"name":"Subdivision","value":"EC"},{"id":4,"name":"Milepost","value":"23.3397"},{"id":17,"name":"Train ID","value":"163-22"},{"id":16,"name":"Locomotive ID","value":"4010"},{"id":130,"name":"Impact","value":""},{"id":150,"name":"Time of Event (Mountain Time)","value":"12:06:32"},{"id":151,"name":"Denver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4010 --day 2017-08-22</v>
      </c>
      <c r="AN77" s="151" t="str">
        <f t="shared" si="21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687</v>
      </c>
      <c r="B78" s="7">
        <v>4009</v>
      </c>
      <c r="C78" s="21" t="s">
        <v>198</v>
      </c>
      <c r="D78" s="21" t="s">
        <v>839</v>
      </c>
      <c r="E78" s="13">
        <v>42969.506215277775</v>
      </c>
      <c r="F78" s="13">
        <v>42969.518923611111</v>
      </c>
      <c r="G78" s="7">
        <v>2</v>
      </c>
      <c r="H78" s="21" t="s">
        <v>428</v>
      </c>
      <c r="I78" s="13">
        <v>42969.550902777781</v>
      </c>
      <c r="J78" s="7">
        <v>0</v>
      </c>
      <c r="K78" s="89" t="str">
        <f t="shared" si="37"/>
        <v>4009/4010</v>
      </c>
      <c r="L78" s="217" t="str">
        <f>VLOOKUP(A78,'Trips&amp;Operators'!$C$1:$G$99911,5,FALSE)</f>
        <v>ROMERO CHAD</v>
      </c>
      <c r="M78" s="6">
        <f t="shared" si="38"/>
        <v>3.1979166669771075E-2</v>
      </c>
      <c r="N78" s="7">
        <f t="shared" si="39"/>
        <v>46.050000004470348</v>
      </c>
      <c r="O78" s="7"/>
      <c r="P78" s="7"/>
      <c r="Q78" s="22"/>
      <c r="R78" s="170"/>
      <c r="S78" s="213">
        <f t="shared" si="40"/>
        <v>1</v>
      </c>
      <c r="T78" s="195" t="str">
        <f t="shared" si="41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2"/>
        <v>https://d0f6bd738d7f1b3e5a7ca70fe4ff75f0.us-east-1.aws.found.io/app/kibana#/discover/Steve-Slow-Train-Analysis-(2080s-and-2083s)?_g=(refreshInterval:(display:Off,pause:!f,section:0,value:0),time:(from:'2017-08-22T11:08:57-0600',mode:absolute,to:'2017-08-22T14:13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197" t="str">
        <f>IF(AA78&lt;VLOOKUP(AG78,Variables!$AC$3:$AD$8,2,FALSE),"Y","N")</f>
        <v>N</v>
      </c>
      <c r="X78" s="197">
        <f t="shared" si="43"/>
        <v>1</v>
      </c>
      <c r="Y78" s="197">
        <f t="shared" si="44"/>
        <v>23.306100000000001</v>
      </c>
      <c r="Z78" s="197">
        <f t="shared" si="45"/>
        <v>1.34E-2</v>
      </c>
      <c r="AA78" s="197">
        <f t="shared" si="46"/>
        <v>23.2927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47"/>
        <v>164</v>
      </c>
      <c r="AE78" s="77" t="str">
        <f t="shared" si="48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78" s="74" t="str">
        <f t="shared" si="49"/>
        <v>"C:\Program Files (x86)\AstroGrep\AstroGrep.exe" /e /r /s /spath="%USERPROFILE%\AppData\Local\Temp\OnboardLogs" /stypes="app*4009*20170822*" /stext=" 19:.+((SYSTEM_STATE.+slice.+state.+changed )|(ment ac)|(multiple cpu faults)|(system.+state.+changed )|(\[timeout)|(PRM\|1\|D)|(kpr)|(kdp)|(train st.+moving)|(\|lc)|(penalty))"</v>
      </c>
      <c r="AG78" s="209" t="str">
        <f t="shared" si="50"/>
        <v>EC</v>
      </c>
      <c r="AH78" s="78" t="str">
        <f t="shared" ref="AH78:AH141" si="5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164-22 --locoid 4009 --swversion DE.1.0.9.0 --startMP 204:233061 --initTime 2017-08-22T12:08:57 --startdatetime 2017-08-22T12:27:15 --delay 2 --endMP 204:134 --enddatetime 2017-08-22T13:13:18 --enforcementcount 0 &gt;&gt;C:\Users\stu\Documents\GitHub\eaglep3-reporting\EC\2017-08-22-refined-times.txt</v>
      </c>
      <c r="AI78" s="96" t="str">
        <f t="shared" ref="AI78:AI141" si="5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{"issue":{"subject":"","project_id":79,"tracker_id":40,"status_id":1,"priority_id":2,"assigned_to_id":23,"start_date":"2017-08-22","description":"","custom_fields":[{"id":1,"name":"Subdivision","value":"EC"},{"id":4,"name":"Milepost","value":"0.0134"},{"id":17,"name":"Train ID","value":"164-22"},{"id":16,"name":"Locomotive ID","value":"4009"},{"id":130,"name":"Impact","value":""},{"id":150,"name":"Time of Event (Mountain Time)","value":"13:13:18"},{"id":151,"name":"Denver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53">"start /low /b "&amp;dls3logs&amp;" --loco "&amp;B78&amp;" --day "&amp;TEXT(F78,"YYYY-MM-DD")</f>
        <v>start /low /b %USERPROFILE%\Documents\GitHub\eaglep3\Utilities\DownloadLogsFromS3.py --loco 4009 --day 2017-08-22</v>
      </c>
      <c r="AN78" s="151" t="str">
        <f t="shared" ref="AN78:AN141" si="5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19:13:18"},{"id":29,"name":"Sharepoint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685</v>
      </c>
      <c r="B79" s="7">
        <v>4004</v>
      </c>
      <c r="C79" s="21" t="s">
        <v>198</v>
      </c>
      <c r="D79" s="21" t="s">
        <v>379</v>
      </c>
      <c r="E79" s="13">
        <v>42969.488888888889</v>
      </c>
      <c r="F79" s="13">
        <v>42969.490474537037</v>
      </c>
      <c r="G79" s="7">
        <v>1</v>
      </c>
      <c r="H79" s="21" t="s">
        <v>518</v>
      </c>
      <c r="I79" s="13">
        <v>42969.514780092592</v>
      </c>
      <c r="J79" s="7">
        <v>0</v>
      </c>
      <c r="K79" s="89" t="str">
        <f t="shared" si="37"/>
        <v>4003/4004</v>
      </c>
      <c r="L79" s="217" t="str">
        <f>VLOOKUP(A79,'Trips&amp;Operators'!$C$1:$G$99911,5,FALSE)</f>
        <v>LEVIN SCOTT</v>
      </c>
      <c r="M79" s="6">
        <f t="shared" si="38"/>
        <v>2.4305555554747116E-2</v>
      </c>
      <c r="N79" s="7">
        <f t="shared" si="39"/>
        <v>34.999999998835847</v>
      </c>
      <c r="O79" s="7"/>
      <c r="P79" s="7"/>
      <c r="Q79" s="22"/>
      <c r="R79" s="170"/>
      <c r="S79" s="213">
        <f t="shared" si="40"/>
        <v>1</v>
      </c>
      <c r="T79" s="195" t="str">
        <f t="shared" si="41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2"/>
        <v>https://d0f6bd738d7f1b3e5a7ca70fe4ff75f0.us-east-1.aws.found.io/app/kibana#/discover/Steve-Slow-Train-Analysis-(2080s-and-2083s)?_g=(refreshInterval:(display:Off,pause:!f,section:0,value:0),time:(from:'2017-08-22T10:44:00-0600',mode:absolute,to:'2017-08-22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197" t="str">
        <f>IF(AA79&lt;VLOOKUP(AG79,Variables!$AC$3:$AD$8,2,FALSE),"Y","N")</f>
        <v>N</v>
      </c>
      <c r="X79" s="197">
        <f t="shared" si="43"/>
        <v>1</v>
      </c>
      <c r="Y79" s="197">
        <f t="shared" si="44"/>
        <v>4.6399999999999997E-2</v>
      </c>
      <c r="Z79" s="197">
        <f t="shared" si="45"/>
        <v>23.337800000000001</v>
      </c>
      <c r="AA79" s="197">
        <f t="shared" si="46"/>
        <v>23.291400000000003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47"/>
        <v>165</v>
      </c>
      <c r="AE79" s="77" t="str">
        <f t="shared" si="48"/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AF79" s="74" t="str">
        <f t="shared" si="49"/>
        <v>"C:\Program Files (x86)\AstroGrep\AstroGrep.exe" /e /r /s /spath="%USERPROFILE%\AppData\Local\Temp\OnboardLogs" /stypes="app*4004*20170822*" /stext=" 18:.+((SYSTEM_STATE.+slice.+state.+changed )|(ment ac)|(multiple cpu faults)|(system.+state.+changed )|(\[timeout)|(PRM\|1\|D)|(kpr)|(kdp)|(train st.+moving)|(\|lc)|(penalty))"</v>
      </c>
      <c r="AG79" s="209" t="str">
        <f t="shared" si="50"/>
        <v>EC</v>
      </c>
      <c r="AH79" s="78" t="str">
        <f t="shared" si="51"/>
        <v>"%USERPROFILE%\Documents\GitHub\eaglep3\Utilities\RefineRTDCRunTimes.py" --tripid 165-22 --locoid 4004 --swversion DE.1.0.9.0 --startMP 204:464 --initTime 2017-08-22T11:44:00 --startdatetime 2017-08-22T11:46:17 --delay 1 --endMP 204:233378 --enddatetime 2017-08-22T12:21:17 --enforcementcount 0 &gt;&gt;C:\Users\stu\Documents\GitHub\eaglep3-reporting\EC\2017-08-22-refined-times.txt</v>
      </c>
      <c r="AI79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{"issue":{"subject":"","project_id":79,"tracker_id":40,"status_id":1,"priority_id":2,"assigned_to_id":23,"start_date":"2017-08-22","description":"","custom_fields":[{"id":1,"name":"Subdivision","value":"EC"},{"id":4,"name":"Milepost","value":"23.3378"},{"id":17,"name":"Train ID","value":"165-22"},{"id":16,"name":"Locomotive ID","value":"4004"},{"id":130,"name":"Impact","value":""},{"id":150,"name":"Time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53"/>
        <v>start /low /b %USERPROFILE%\Documents\GitHub\eaglep3\Utilities\DownloadLogsFromS3.py --loco 4004 --day 2017-08-22</v>
      </c>
      <c r="AN79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691</v>
      </c>
      <c r="B80" s="7">
        <v>4003</v>
      </c>
      <c r="C80" s="21" t="s">
        <v>198</v>
      </c>
      <c r="D80" s="21" t="s">
        <v>840</v>
      </c>
      <c r="E80" s="13">
        <v>42969.528009259258</v>
      </c>
      <c r="F80" s="13">
        <v>42969.529537037037</v>
      </c>
      <c r="G80" s="7">
        <v>1</v>
      </c>
      <c r="H80" s="21" t="s">
        <v>516</v>
      </c>
      <c r="I80" s="13">
        <v>42969.559756944444</v>
      </c>
      <c r="J80" s="7">
        <v>0</v>
      </c>
      <c r="K80" s="89" t="str">
        <f t="shared" si="37"/>
        <v>4003/4004</v>
      </c>
      <c r="L80" s="217" t="str">
        <f>VLOOKUP(A80,'Trips&amp;Operators'!$C$1:$G$99911,5,FALSE)</f>
        <v>LEVIN SCOTT</v>
      </c>
      <c r="M80" s="6">
        <f t="shared" si="38"/>
        <v>3.0219907406717539E-2</v>
      </c>
      <c r="N80" s="7">
        <f t="shared" si="39"/>
        <v>43.516666665673256</v>
      </c>
      <c r="O80" s="7"/>
      <c r="P80" s="7"/>
      <c r="Q80" s="22"/>
      <c r="R80" s="170"/>
      <c r="S80" s="213">
        <f t="shared" si="40"/>
        <v>1</v>
      </c>
      <c r="T80" s="195" t="str">
        <f t="shared" si="41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2"/>
        <v>https://d0f6bd738d7f1b3e5a7ca70fe4ff75f0.us-east-1.aws.found.io/app/kibana#/discover/Steve-Slow-Train-Analysis-(2080s-and-2083s)?_g=(refreshInterval:(display:Off,pause:!f,section:0,value:0),time:(from:'2017-08-22T11:40:20-0600',mode:absolute,to:'2017-08-22T14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197" t="str">
        <f>IF(AA80&lt;VLOOKUP(AG80,Variables!$AC$3:$AD$8,2,FALSE),"Y","N")</f>
        <v>N</v>
      </c>
      <c r="X80" s="197">
        <f t="shared" si="43"/>
        <v>1</v>
      </c>
      <c r="Y80" s="197">
        <f t="shared" si="44"/>
        <v>23.307400000000001</v>
      </c>
      <c r="Z80" s="197">
        <f t="shared" si="45"/>
        <v>1.3599999999999999E-2</v>
      </c>
      <c r="AA80" s="197">
        <f t="shared" si="46"/>
        <v>23.293800000000001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47"/>
        <v>166</v>
      </c>
      <c r="AE80" s="77" t="str">
        <f t="shared" si="48"/>
        <v>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 &amp; aws s3 cp s3://rtdc.mdm.uploadarchive.raw/RTDC4003/ "%USERPROFILE%\AppData\Local\Temp\OnboardLogs"\RTDC4003\2017-08-23 --exclude "*" --recursive --include "*20170823*" &amp; "%USERPROFILE%\Documents\GitHub\mrs-test-scripts\Headless Mode &amp; Sideloading\WalkAndUnGZ.bat" "%USERPROFILE%\AppData\Local\Temp\OnboardLogs"\RTDC4003\2017-08-23</v>
      </c>
      <c r="AF80" s="74" t="str">
        <f t="shared" si="49"/>
        <v>"C:\Program Files (x86)\AstroGrep\AstroGrep.exe" /e /r /s /spath="%USERPROFILE%\AppData\Local\Temp\OnboardLogs" /stypes="app*4003*20170822*" /stext=" 19:.+((SYSTEM_STATE.+slice.+state.+changed )|(ment ac)|(multiple cpu faults)|(system.+state.+changed )|(\[timeout)|(PRM\|1\|D)|(kpr)|(kdp)|(train st.+moving)|(\|lc)|(penalty))"</v>
      </c>
      <c r="AG80" s="209" t="str">
        <f t="shared" si="50"/>
        <v>EC</v>
      </c>
      <c r="AH80" s="78" t="str">
        <f t="shared" si="51"/>
        <v>"%USERPROFILE%\Documents\GitHub\eaglep3\Utilities\RefineRTDCRunTimes.py" --tripid 166-22 --locoid 4003 --swversion DE.1.0.9.0 --startMP 204:233074 --initTime 2017-08-22T12:40:20 --startdatetime 2017-08-22T12:42:32 --delay 1 --endMP 204:136 --enddatetime 2017-08-22T13:26:03 --enforcementcount 0 &gt;&gt;C:\Users\stu\Documents\GitHub\eaglep3-reporting\EC\2017-08-22-refined-times.txt</v>
      </c>
      <c r="AI80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{"issue":{"subject":"","project_id":79,"tracker_id":40,"status_id":1,"priority_id":2,"assigned_to_id":23,"start_date":"2017-08-22","description":"","custom_fields":[{"id":1,"name":"Subdivision","value":"EC"},{"id":4,"name":"Milepost","value":"0.0136"},{"id":17,"name":"Train ID","value":"166-22"},{"id":16,"name":"Locomotive ID","value":"4003"},{"id":130,"name":"Impact","value":""},{"id":150,"name":"Time of Event (Mountain Time)","value":"13:26:03"},{"id":151,"name":"Denver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3"/>
        <v>start /low /b %USERPROFILE%\Documents\GitHub\eaglep3\Utilities\DownloadLogsFromS3.py --loco 4003 --day 2017-08-22</v>
      </c>
      <c r="AN80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686</v>
      </c>
      <c r="B81" s="7">
        <v>4006</v>
      </c>
      <c r="C81" s="21" t="s">
        <v>198</v>
      </c>
      <c r="D81" s="21" t="s">
        <v>841</v>
      </c>
      <c r="E81" s="13">
        <v>42969.498831018522</v>
      </c>
      <c r="F81" s="13">
        <v>42969.500543981485</v>
      </c>
      <c r="G81" s="7">
        <v>1</v>
      </c>
      <c r="H81" s="21" t="s">
        <v>402</v>
      </c>
      <c r="I81" s="13">
        <v>42969.526423611111</v>
      </c>
      <c r="J81" s="7">
        <v>0</v>
      </c>
      <c r="K81" s="89" t="str">
        <f t="shared" si="37"/>
        <v>4005/4006</v>
      </c>
      <c r="L81" s="217" t="str">
        <f>VLOOKUP(A81,'Trips&amp;Operators'!$C$1:$G$99911,5,FALSE)</f>
        <v>GUNTHIER ERIC</v>
      </c>
      <c r="M81" s="6">
        <f t="shared" si="38"/>
        <v>2.5879629625706002E-2</v>
      </c>
      <c r="N81" s="7">
        <f t="shared" si="39"/>
        <v>37.266666661016643</v>
      </c>
      <c r="O81" s="7"/>
      <c r="P81" s="7"/>
      <c r="Q81" s="22"/>
      <c r="R81" s="170"/>
      <c r="S81" s="213">
        <f t="shared" si="40"/>
        <v>1</v>
      </c>
      <c r="T81" s="195" t="str">
        <f t="shared" si="41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2"/>
        <v>https://d0f6bd738d7f1b3e5a7ca70fe4ff75f0.us-east-1.aws.found.io/app/kibana#/discover/Steve-Slow-Train-Analysis-(2080s-and-2083s)?_g=(refreshInterval:(display:Off,pause:!f,section:0,value:0),time:(from:'2017-08-22T10:58:19-0600',mode:absolute,to:'2017-08-22T13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1" s="197" t="str">
        <f>IF(AA81&lt;VLOOKUP(AG81,Variables!$AC$3:$AD$8,2,FALSE),"Y","N")</f>
        <v>N</v>
      </c>
      <c r="X81" s="197">
        <f t="shared" si="43"/>
        <v>1</v>
      </c>
      <c r="Y81" s="197">
        <f t="shared" si="44"/>
        <v>5.04E-2</v>
      </c>
      <c r="Z81" s="197">
        <f t="shared" si="45"/>
        <v>23.3291</v>
      </c>
      <c r="AA81" s="197">
        <f t="shared" si="46"/>
        <v>23.278700000000001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47"/>
        <v>167</v>
      </c>
      <c r="AE81" s="77" t="str">
        <f t="shared" si="48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81" s="74" t="str">
        <f t="shared" si="49"/>
        <v>"C:\Program Files (x86)\AstroGrep\AstroGrep.exe" /e /r /s /spath="%USERPROFILE%\AppData\Local\Temp\OnboardLogs" /stypes="app*4006*20170822*" /stext=" 18:.+((SYSTEM_STATE.+slice.+state.+changed )|(ment ac)|(multiple cpu faults)|(system.+state.+changed )|(\[timeout)|(PRM\|1\|D)|(kpr)|(kdp)|(train st.+moving)|(\|lc)|(penalty))"</v>
      </c>
      <c r="AG81" s="209" t="str">
        <f t="shared" si="50"/>
        <v>EC</v>
      </c>
      <c r="AH81" s="78" t="str">
        <f t="shared" si="51"/>
        <v>"%USERPROFILE%\Documents\GitHub\eaglep3\Utilities\RefineRTDCRunTimes.py" --tripid 167-22 --locoid 4006 --swversion DE.1.0.9.0 --startMP 204:504 --initTime 2017-08-22T11:58:19 --startdatetime 2017-08-22T12:00:47 --delay 1 --endMP 204:233291 --enddatetime 2017-08-22T12:38:03 --enforcementcount 0 &gt;&gt;C:\Users\stu\Documents\GitHub\eaglep3-reporting\EC\2017-08-22-refined-times.txt</v>
      </c>
      <c r="AI81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{"issue":{"subject":"","project_id":79,"tracker_id":40,"status_id":1,"priority_id":2,"assigned_to_id":23,"start_date":"2017-08-22","description":"","custom_fields":[{"id":1,"name":"Subdivision","value":"EC"},{"id":4,"name":"Milepost","value":"23.3291"},{"id":17,"name":"Train ID","value":"167-22"},{"id":16,"name":"Locomotive ID","value":"4006"},{"id":130,"name":"Impact","value":""},{"id":150,"name":"Time of Event (Mountain Time)","value":"12:38:03"},{"id":151,"name":"Denver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3"/>
        <v>start /low /b %USERPROFILE%\Documents\GitHub\eaglep3\Utilities\DownloadLogsFromS3.py --loco 4006 --day 2017-08-22</v>
      </c>
      <c r="AN81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575</v>
      </c>
      <c r="B82" s="7">
        <v>4005</v>
      </c>
      <c r="C82" s="21" t="s">
        <v>198</v>
      </c>
      <c r="D82" s="21" t="s">
        <v>505</v>
      </c>
      <c r="E82" s="13">
        <v>42969.532627314817</v>
      </c>
      <c r="F82" s="13">
        <v>42969.53979166667</v>
      </c>
      <c r="G82" s="7">
        <v>1</v>
      </c>
      <c r="H82" s="21" t="s">
        <v>842</v>
      </c>
      <c r="I82" s="13">
        <v>42969.569456018522</v>
      </c>
      <c r="J82" s="7">
        <v>0</v>
      </c>
      <c r="K82" s="89" t="str">
        <f t="shared" si="37"/>
        <v>4005/4006</v>
      </c>
      <c r="L82" s="217" t="str">
        <f>VLOOKUP(A82,'Trips&amp;Operators'!$C$1:$G$99911,5,FALSE)</f>
        <v>GUNTHIER ERIC</v>
      </c>
      <c r="M82" s="6">
        <f t="shared" si="38"/>
        <v>2.9664351852261461E-2</v>
      </c>
      <c r="N82" s="7">
        <f t="shared" si="39"/>
        <v>42.716666667256504</v>
      </c>
      <c r="O82" s="7"/>
      <c r="P82" s="7"/>
      <c r="Q82" s="22"/>
      <c r="R82" s="170"/>
      <c r="S82" s="213">
        <f t="shared" si="40"/>
        <v>1</v>
      </c>
      <c r="T82" s="195" t="str">
        <f t="shared" si="41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2"/>
        <v>https://d0f6bd738d7f1b3e5a7ca70fe4ff75f0.us-east-1.aws.found.io/app/kibana#/discover/Steve-Slow-Train-Analysis-(2080s-and-2083s)?_g=(refreshInterval:(display:Off,pause:!f,section:0,value:0),time:(from:'2017-08-22T11:46:59-0600',mode:absolute,to:'2017-08-22T14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2" s="197" t="str">
        <f>IF(AA82&lt;VLOOKUP(AG82,Variables!$AC$3:$AD$8,2,FALSE),"Y","N")</f>
        <v>N</v>
      </c>
      <c r="X82" s="197">
        <f t="shared" si="43"/>
        <v>1</v>
      </c>
      <c r="Y82" s="197">
        <f t="shared" si="44"/>
        <v>23.297999999999998</v>
      </c>
      <c r="Z82" s="197">
        <f t="shared" si="45"/>
        <v>0.02</v>
      </c>
      <c r="AA82" s="197">
        <f t="shared" si="46"/>
        <v>23.277999999999999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47"/>
        <v>168</v>
      </c>
      <c r="AE82" s="77" t="str">
        <f t="shared" si="48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82" s="74" t="str">
        <f t="shared" si="49"/>
        <v>"C:\Program Files (x86)\AstroGrep\AstroGrep.exe" /e /r /s /spath="%USERPROFILE%\AppData\Local\Temp\OnboardLogs" /stypes="app*4005*20170822*" /stext=" 19:.+((SYSTEM_STATE.+slice.+state.+changed )|(ment ac)|(multiple cpu faults)|(system.+state.+changed )|(\[timeout)|(PRM\|1\|D)|(kpr)|(kdp)|(train st.+moving)|(\|lc)|(penalty))"</v>
      </c>
      <c r="AG82" s="209" t="str">
        <f t="shared" si="50"/>
        <v>EC</v>
      </c>
      <c r="AH82" s="78" t="str">
        <f t="shared" si="51"/>
        <v>"%USERPROFILE%\Documents\GitHub\eaglep3\Utilities\RefineRTDCRunTimes.py" --tripid 168-22 --locoid 4005 --swversion DE.1.0.9.0 --startMP 204:232980 --initTime 2017-08-22T12:46:59 --startdatetime 2017-08-22T12:57:18 --delay 1 --endMP 204:200 --enddatetime 2017-08-22T13:40:01 --enforcementcount 0 &gt;&gt;C:\Users\stu\Documents\GitHub\eaglep3-reporting\EC\2017-08-22-refined-times.txt</v>
      </c>
      <c r="AI82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{"issue":{"subject":"","project_id":79,"tracker_id":40,"status_id":1,"priority_id":2,"assigned_to_id":23,"start_date":"2017-08-22","description":"","custom_fields":[{"id":1,"name":"Subdivision","value":"EC"},{"id":4,"name":"Milepost","value":"0.02"},{"id":17,"name":"Train ID","value":"168-22"},{"id":16,"name":"Locomotive ID","value":"4005"},{"id":130,"name":"Impact","value":""},{"id":150,"name":"Time of Event (Mountain Time)","value":"13:40:01"},{"id":151,"name":"Denver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3"/>
        <v>start /low /b %USERPROFILE%\Documents\GitHub\eaglep3\Utilities\DownloadLogsFromS3.py --loco 4005 --day 2017-08-22</v>
      </c>
      <c r="AN82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574</v>
      </c>
      <c r="B83" s="7">
        <v>4056</v>
      </c>
      <c r="C83" s="21" t="s">
        <v>198</v>
      </c>
      <c r="D83" s="21" t="s">
        <v>843</v>
      </c>
      <c r="E83" s="13">
        <v>42969.520833333336</v>
      </c>
      <c r="F83" s="13">
        <v>42969.522997685184</v>
      </c>
      <c r="G83" s="7">
        <v>1</v>
      </c>
      <c r="H83" s="21" t="s">
        <v>844</v>
      </c>
      <c r="I83" s="13">
        <v>42969.543298611112</v>
      </c>
      <c r="J83" s="7">
        <v>0</v>
      </c>
      <c r="K83" s="89" t="str">
        <f t="shared" si="37"/>
        <v>4055/4056</v>
      </c>
      <c r="L83" s="217" t="str">
        <f>VLOOKUP(A83,'Trips&amp;Operators'!$C$1:$G$99911,5,FALSE)</f>
        <v>THOMPSON LESTER</v>
      </c>
      <c r="M83" s="6">
        <f t="shared" si="38"/>
        <v>2.0300925927585922E-2</v>
      </c>
      <c r="N83" s="7"/>
      <c r="O83" s="7"/>
      <c r="P83" s="7">
        <f t="shared" si="39"/>
        <v>29.233333335723728</v>
      </c>
      <c r="Q83" s="22"/>
      <c r="R83" s="170" t="s">
        <v>996</v>
      </c>
      <c r="S83" s="213">
        <f t="shared" si="40"/>
        <v>0.75</v>
      </c>
      <c r="T83" s="195" t="str">
        <f t="shared" si="41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9</v>
      </c>
      <c r="V83" s="196" t="str">
        <f t="shared" si="42"/>
        <v>https://d0f6bd738d7f1b3e5a7ca70fe4ff75f0.us-east-1.aws.found.io/app/kibana#/discover/Steve-Slow-Train-Analysis-(2080s-and-2083s)?_g=(refreshInterval:(display:Off,pause:!f,section:0,value:0),time:(from:'2017-08-22T11:30:00-0600',mode:absolute,to:'2017-08-22T14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197" t="str">
        <f>IF(AA83&lt;VLOOKUP(AG83,Variables!$AC$3:$AD$8,2,FALSE),"Y","N")</f>
        <v>Y</v>
      </c>
      <c r="X83" s="197">
        <f t="shared" si="43"/>
        <v>1</v>
      </c>
      <c r="Y83" s="197">
        <f t="shared" si="44"/>
        <v>3.7176999999999998</v>
      </c>
      <c r="Z83" s="197">
        <f t="shared" si="45"/>
        <v>23.334900000000001</v>
      </c>
      <c r="AA83" s="197">
        <f t="shared" si="46"/>
        <v>19.6172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47"/>
        <v>169</v>
      </c>
      <c r="AE83" s="77" t="str">
        <f t="shared" si="48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83" s="74" t="str">
        <f t="shared" si="49"/>
        <v>"C:\Program Files (x86)\AstroGrep\AstroGrep.exe" /e /r /s /spath="%USERPROFILE%\AppData\Local\Temp\OnboardLogs" /stypes="app*4056*20170822*" /stext=" 19:.+((SYSTEM_STATE.+slice.+state.+changed )|(ment ac)|(multiple cpu faults)|(system.+state.+changed )|(\[timeout)|(PRM\|1\|D)|(kpr)|(kdp)|(train st.+moving)|(\|lc)|(penalty))"</v>
      </c>
      <c r="AG83" s="209" t="str">
        <f t="shared" si="50"/>
        <v>EC</v>
      </c>
      <c r="AH83" s="78" t="str">
        <f t="shared" si="51"/>
        <v>"%USERPROFILE%\Documents\GitHub\eaglep3\Utilities\RefineRTDCRunTimes.py" --tripid 169-22 --locoid 4056 --swversion DE.1.0.9.0 --startMP 204:37177 --initTime 2017-08-22T12:30:00 --startdatetime 2017-08-22T12:33:07 --delay 1 --endMP 204:233349 --enddatetime 2017-08-22T13:02:21 --enforcementcount 0 &gt;&gt;C:\Users\stu\Documents\GitHub\eaglep3-reporting\EC\2017-08-22-refined-times.txt</v>
      </c>
      <c r="AI83" s="96" t="str">
        <f t="shared" si="52"/>
        <v>echo {"issue":{"subject":"Wi-MAX data drop","project_id":79,"tracker_id":40,"status_id":1,"priority_id":2,"assigned_to_id":23,"start_date":"2017-08-22","description":"","custom_fields":[{"id":1,"name":"Subdivision","value":"EC"},{"id":4,"name":"Milepost","value":"23.3349"},{"id":17,"name":"Train ID","value":"169-22"},{"id":16,"name":"Locomotive ID","value":"4056"},{"id":130,"name":"Impact","value":""},{"id":150,"name":"Time of Event (Mountain Time)","value":"13:02:21"},{"id":151,"name":"Denver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3"/>
        <v>start /low /b %USERPROFILE%\Documents\GitHub\eaglep3\Utilities\DownloadLogsFromS3.py --loco 4056 --day 2017-08-22</v>
      </c>
      <c r="AN83" s="151" t="str">
        <f t="shared" si="54"/>
        <v>echo {"issue":{"subject":"Wi-MAX data drop","project_id":30,"tracker_id":4,"status_id":1,"priority_id":1,"assigned_to_id":10,"start_date":"2017-08-22","description":"","custom_fields":[{"id":30,"name":"Category","value":"Issue"},{"id":3,"name":"Functional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574</v>
      </c>
      <c r="B84" s="7">
        <v>4056</v>
      </c>
      <c r="C84" s="21" t="s">
        <v>198</v>
      </c>
      <c r="D84" s="21" t="s">
        <v>845</v>
      </c>
      <c r="E84" s="13">
        <v>42969.510960648149</v>
      </c>
      <c r="F84" s="13">
        <v>42969.522997685184</v>
      </c>
      <c r="G84" s="7">
        <v>1</v>
      </c>
      <c r="H84" s="21" t="s">
        <v>844</v>
      </c>
      <c r="I84" s="13">
        <v>42969.543298611112</v>
      </c>
      <c r="J84" s="7">
        <v>0</v>
      </c>
      <c r="K84" s="89" t="str">
        <f t="shared" si="37"/>
        <v>4055/4056</v>
      </c>
      <c r="L84" s="217" t="str">
        <f>VLOOKUP(A84,'Trips&amp;Operators'!$C$1:$G$99911,5,FALSE)</f>
        <v>THOMPSON LESTER</v>
      </c>
      <c r="M84" s="6">
        <f t="shared" si="38"/>
        <v>2.0300925927585922E-2</v>
      </c>
      <c r="N84" s="7"/>
      <c r="O84" s="7"/>
      <c r="P84" s="7"/>
      <c r="Q84" s="22"/>
      <c r="R84" s="170"/>
      <c r="S84" s="213"/>
      <c r="T84" s="195" t="str">
        <f t="shared" si="41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2"/>
        <v>https://d0f6bd738d7f1b3e5a7ca70fe4ff75f0.us-east-1.aws.found.io/app/kibana#/discover/Steve-Slow-Train-Analysis-(2080s-and-2083s)?_g=(refreshInterval:(display:Off,pause:!f,section:0,value:0),time:(from:'2017-08-22T11:15:47-0600',mode:absolute,to:'2017-08-22T14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4" s="197" t="str">
        <f>IF(AA84&lt;VLOOKUP(AG84,Variables!$AC$3:$AD$8,2,FALSE),"Y","N")</f>
        <v>N</v>
      </c>
      <c r="X84" s="197">
        <f t="shared" si="43"/>
        <v>0</v>
      </c>
      <c r="Y84" s="197">
        <f t="shared" si="44"/>
        <v>4.9799999999999997E-2</v>
      </c>
      <c r="Z84" s="197">
        <f t="shared" si="45"/>
        <v>23.334900000000001</v>
      </c>
      <c r="AA84" s="197">
        <f t="shared" si="46"/>
        <v>23.2851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47"/>
        <v>169</v>
      </c>
      <c r="AE84" s="77" t="str">
        <f t="shared" si="48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84" s="74" t="str">
        <f t="shared" si="49"/>
        <v>"C:\Program Files (x86)\AstroGrep\AstroGrep.exe" /e /r /s /spath="%USERPROFILE%\AppData\Local\Temp\OnboardLogs" /stypes="app*4056*20170822*" /stext=" 19:.+((SYSTEM_STATE.+slice.+state.+changed )|(ment ac)|(multiple cpu faults)|(system.+state.+changed )|(\[timeout)|(PRM\|1\|D)|(kpr)|(kdp)|(train st.+moving)|(\|lc)|(penalty))"</v>
      </c>
      <c r="AG84" s="209" t="str">
        <f t="shared" si="50"/>
        <v>EC</v>
      </c>
      <c r="AH84" s="78" t="str">
        <f t="shared" si="51"/>
        <v>"%USERPROFILE%\Documents\GitHub\eaglep3\Utilities\RefineRTDCRunTimes.py" --tripid 169-22 --locoid 4056 --swversion DE.1.0.9.0 --startMP 204:498 --initTime 2017-08-22T12:15:47 --startdatetime 2017-08-22T12:33:07 --delay 1 --endMP 204:233349 --enddatetime 2017-08-22T13:02:21 --enforcementcount 0 &gt;&gt;C:\Users\stu\Documents\GitHub\eaglep3-reporting\EC\2017-08-22-refined-times.txt</v>
      </c>
      <c r="AI84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{"issue":{"subject":"","project_id":79,"tracker_id":40,"status_id":1,"priority_id":2,"assigned_to_id":23,"start_date":"2017-08-22","description":"","custom_fields":[{"id":1,"name":"Subdivision","value":"EC"},{"id":4,"name":"Milepost","value":"23.3349"},{"id":17,"name":"Train ID","value":"169-22"},{"id":16,"name":"Locomotive ID","value":"4056"},{"id":130,"name":"Impact","value":""},{"id":150,"name":"Time of Event (Mountain Time)","value":"13:02:21"},{"id":151,"name":"Denver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3"/>
        <v>start /low /b %USERPROFILE%\Documents\GitHub\eaglep3\Utilities\DownloadLogsFromS3.py --loco 4056 --day 2017-08-22</v>
      </c>
      <c r="AN84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696</v>
      </c>
      <c r="B85" s="7">
        <v>4055</v>
      </c>
      <c r="C85" s="21" t="s">
        <v>198</v>
      </c>
      <c r="D85" s="21" t="s">
        <v>451</v>
      </c>
      <c r="E85" s="13">
        <v>42969.548472222225</v>
      </c>
      <c r="F85" s="13">
        <v>42969.55060185185</v>
      </c>
      <c r="G85" s="7">
        <v>1</v>
      </c>
      <c r="H85" s="21" t="s">
        <v>517</v>
      </c>
      <c r="I85" s="13">
        <v>42969.581053240741</v>
      </c>
      <c r="J85" s="7">
        <v>0</v>
      </c>
      <c r="K85" s="89" t="str">
        <f t="shared" si="37"/>
        <v>4055/4056</v>
      </c>
      <c r="L85" s="217" t="str">
        <f>VLOOKUP(A85,'Trips&amp;Operators'!$C$1:$G$99911,5,FALSE)</f>
        <v>THOMPSON LESTER</v>
      </c>
      <c r="M85" s="6">
        <f t="shared" si="38"/>
        <v>3.0451388891378883E-2</v>
      </c>
      <c r="N85" s="7">
        <f t="shared" si="39"/>
        <v>43.850000003585592</v>
      </c>
      <c r="O85" s="7"/>
      <c r="P85" s="7"/>
      <c r="Q85" s="22"/>
      <c r="R85" s="170"/>
      <c r="S85" s="213">
        <f t="shared" si="40"/>
        <v>1</v>
      </c>
      <c r="T85" s="195" t="str">
        <f t="shared" si="41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2"/>
        <v>https://d0f6bd738d7f1b3e5a7ca70fe4ff75f0.us-east-1.aws.found.io/app/kibana#/discover/Steve-Slow-Train-Analysis-(2080s-and-2083s)?_g=(refreshInterval:(display:Off,pause:!f,section:0,value:0),time:(from:'2017-08-22T12:09:48-0600',mode:absolute,to:'2017-08-22T14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5" s="197" t="str">
        <f>IF(AA85&lt;VLOOKUP(AG85,Variables!$AC$3:$AD$8,2,FALSE),"Y","N")</f>
        <v>N</v>
      </c>
      <c r="X85" s="197">
        <f t="shared" si="43"/>
        <v>1</v>
      </c>
      <c r="Y85" s="197">
        <f t="shared" si="44"/>
        <v>23.302800000000001</v>
      </c>
      <c r="Z85" s="197">
        <f t="shared" si="45"/>
        <v>1.3899999999999999E-2</v>
      </c>
      <c r="AA85" s="197">
        <f t="shared" si="46"/>
        <v>23.288900000000002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47"/>
        <v>170</v>
      </c>
      <c r="AE85" s="77" t="str">
        <f t="shared" si="48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85" s="74" t="str">
        <f t="shared" si="49"/>
        <v>"C:\Program Files (x86)\AstroGrep\AstroGrep.exe" /e /r /s /spath="%USERPROFILE%\AppData\Local\Temp\OnboardLogs" /stypes="app*4055*20170822*" /stext=" 19:.+((SYSTEM_STATE.+slice.+state.+changed )|(ment ac)|(multiple cpu faults)|(system.+state.+changed )|(\[timeout)|(PRM\|1\|D)|(kpr)|(kdp)|(train st.+moving)|(\|lc)|(penalty))"</v>
      </c>
      <c r="AG85" s="209" t="str">
        <f t="shared" si="50"/>
        <v>EC</v>
      </c>
      <c r="AH85" s="78" t="str">
        <f t="shared" si="51"/>
        <v>"%USERPROFILE%\Documents\GitHub\eaglep3\Utilities\RefineRTDCRunTimes.py" --tripid 170-22 --locoid 4055 --swversion DE.1.0.9.0 --startMP 204:233028 --initTime 2017-08-22T13:09:48 --startdatetime 2017-08-22T13:12:52 --delay 1 --endMP 204:139 --enddatetime 2017-08-22T13:56:43 --enforcementcount 0 &gt;&gt;C:\Users\stu\Documents\GitHub\eaglep3-reporting\EC\2017-08-22-refined-times.txt</v>
      </c>
      <c r="AI85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{"issue":{"subject":"","project_id":79,"tracker_id":40,"status_id":1,"priority_id":2,"assigned_to_id":23,"start_date":"2017-08-22","description":"","custom_fields":[{"id":1,"name":"Subdivision","value":"EC"},{"id":4,"name":"Milepost","value":"0.0139"},{"id":17,"name":"Train ID","value":"170-22"},{"id":16,"name":"Locomotive ID","value":"4055"},{"id":130,"name":"Impact","value":""},{"id":150,"name":"Time of Event (Mountain Time)","value":"13:56:43"},{"id":151,"name":"Denver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3"/>
        <v>start /low /b %USERPROFILE%\Documents\GitHub\eaglep3\Utilities\DownloadLogsFromS3.py --loco 4055 --day 2017-08-22</v>
      </c>
      <c r="AN85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689</v>
      </c>
      <c r="B86" s="7">
        <v>4054</v>
      </c>
      <c r="C86" s="21" t="s">
        <v>198</v>
      </c>
      <c r="D86" s="21" t="s">
        <v>406</v>
      </c>
      <c r="E86" s="13">
        <v>42969.522210648145</v>
      </c>
      <c r="F86" s="13">
        <v>42969.524259259262</v>
      </c>
      <c r="G86" s="7">
        <v>1</v>
      </c>
      <c r="H86" s="21" t="s">
        <v>846</v>
      </c>
      <c r="I86" s="13">
        <v>42969.553263888891</v>
      </c>
      <c r="J86" s="7">
        <v>0</v>
      </c>
      <c r="K86" s="89" t="str">
        <f t="shared" si="37"/>
        <v>4053/4054</v>
      </c>
      <c r="L86" s="217" t="str">
        <f>VLOOKUP(A86,'Trips&amp;Operators'!$C$1:$G$99911,5,FALSE)</f>
        <v>DAVIS MICHAEL</v>
      </c>
      <c r="M86" s="6">
        <f t="shared" si="38"/>
        <v>2.9004629628616385E-2</v>
      </c>
      <c r="N86" s="7">
        <f t="shared" si="39"/>
        <v>41.766666665207595</v>
      </c>
      <c r="O86" s="7"/>
      <c r="P86" s="7"/>
      <c r="Q86" s="22"/>
      <c r="R86" s="170"/>
      <c r="S86" s="213">
        <f t="shared" si="40"/>
        <v>1</v>
      </c>
      <c r="T86" s="195" t="str">
        <f t="shared" si="41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2"/>
        <v>https://d0f6bd738d7f1b3e5a7ca70fe4ff75f0.us-east-1.aws.found.io/app/kibana#/discover/Steve-Slow-Train-Analysis-(2080s-and-2083s)?_g=(refreshInterval:(display:Off,pause:!f,section:0,value:0),time:(from:'2017-08-22T11:31:59-0600',mode:absolute,to:'2017-08-22T14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197" t="str">
        <f>IF(AA86&lt;VLOOKUP(AG86,Variables!$AC$3:$AD$8,2,FALSE),"Y","N")</f>
        <v>N</v>
      </c>
      <c r="X86" s="197">
        <f t="shared" si="43"/>
        <v>1</v>
      </c>
      <c r="Y86" s="197">
        <f t="shared" si="44"/>
        <v>4.6699999999999998E-2</v>
      </c>
      <c r="Z86" s="197">
        <f t="shared" si="45"/>
        <v>23.332799999999999</v>
      </c>
      <c r="AA86" s="197">
        <f t="shared" si="46"/>
        <v>23.286099999999998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47"/>
        <v>171</v>
      </c>
      <c r="AE86" s="77" t="str">
        <f t="shared" si="48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86" s="74" t="str">
        <f t="shared" si="49"/>
        <v>"C:\Program Files (x86)\AstroGrep\AstroGrep.exe" /e /r /s /spath="%USERPROFILE%\AppData\Local\Temp\OnboardLogs" /stypes="app*4054*20170822*" /stext=" 19:.+((SYSTEM_STATE.+slice.+state.+changed )|(ment ac)|(multiple cpu faults)|(system.+state.+changed )|(\[timeout)|(PRM\|1\|D)|(kpr)|(kdp)|(train st.+moving)|(\|lc)|(penalty))"</v>
      </c>
      <c r="AG86" s="209" t="str">
        <f t="shared" si="50"/>
        <v>EC</v>
      </c>
      <c r="AH86" s="78" t="str">
        <f t="shared" si="51"/>
        <v>"%USERPROFILE%\Documents\GitHub\eaglep3\Utilities\RefineRTDCRunTimes.py" --tripid 171-22 --locoid 4054 --swversion DE.1.0.9.0 --startMP 204:467 --initTime 2017-08-22T12:31:59 --startdatetime 2017-08-22T12:34:56 --delay 1 --endMP 204:233328 --enddatetime 2017-08-22T13:16:42 --enforcementcount 0 &gt;&gt;C:\Users\stu\Documents\GitHub\eaglep3-reporting\EC\2017-08-22-refined-times.txt</v>
      </c>
      <c r="AI86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{"issue":{"subject":"","project_id":79,"tracker_id":40,"status_id":1,"priority_id":2,"assigned_to_id":23,"start_date":"2017-08-22","description":"","custom_fields":[{"id":1,"name":"Subdivision","value":"EC"},{"id":4,"name":"Milepost","value":"23.3328"},{"id":17,"name":"Train ID","value":"171-22"},{"id":16,"name":"Locomotive ID","value":"4054"},{"id":130,"name":"Impact","value":""},{"id":150,"name":"Time of Event (Mountain Time)","value":"13:16:42"},{"id":151,"name":"Denver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3"/>
        <v>start /low /b %USERPROFILE%\Documents\GitHub\eaglep3\Utilities\DownloadLogsFromS3.py --loco 4054 --day 2017-08-22</v>
      </c>
      <c r="AN86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699</v>
      </c>
      <c r="B87" s="7">
        <v>4053</v>
      </c>
      <c r="C87" s="21" t="s">
        <v>198</v>
      </c>
      <c r="D87" s="21" t="s">
        <v>815</v>
      </c>
      <c r="E87" s="13">
        <v>42969.558854166666</v>
      </c>
      <c r="F87" s="13">
        <v>42969.561030092591</v>
      </c>
      <c r="G87" s="7">
        <v>1</v>
      </c>
      <c r="H87" s="21" t="s">
        <v>341</v>
      </c>
      <c r="I87" s="13">
        <v>42969.592118055552</v>
      </c>
      <c r="J87" s="7">
        <v>0</v>
      </c>
      <c r="K87" s="89" t="str">
        <f t="shared" si="37"/>
        <v>4053/4054</v>
      </c>
      <c r="L87" s="217" t="str">
        <f>VLOOKUP(A87,'Trips&amp;Operators'!$C$1:$G$99911,5,FALSE)</f>
        <v>DAVIS MICHAEL</v>
      </c>
      <c r="M87" s="6">
        <f t="shared" si="38"/>
        <v>3.1087962961464655E-2</v>
      </c>
      <c r="N87" s="7">
        <f t="shared" si="39"/>
        <v>44.766666664509103</v>
      </c>
      <c r="O87" s="7"/>
      <c r="P87" s="7"/>
      <c r="Q87" s="22"/>
      <c r="R87" s="170"/>
      <c r="S87" s="213">
        <f t="shared" si="40"/>
        <v>1</v>
      </c>
      <c r="T87" s="195" t="str">
        <f t="shared" si="41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2"/>
        <v>https://d0f6bd738d7f1b3e5a7ca70fe4ff75f0.us-east-1.aws.found.io/app/kibana#/discover/Steve-Slow-Train-Analysis-(2080s-and-2083s)?_g=(refreshInterval:(display:Off,pause:!f,section:0,value:0),time:(from:'2017-08-22T12:24:45-0600',mode:absolute,to:'2017-08-22T15:12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197" t="str">
        <f>IF(AA87&lt;VLOOKUP(AG87,Variables!$AC$3:$AD$8,2,FALSE),"Y","N")</f>
        <v>N</v>
      </c>
      <c r="X87" s="197">
        <f t="shared" si="43"/>
        <v>1</v>
      </c>
      <c r="Y87" s="197">
        <f t="shared" si="44"/>
        <v>23.302099999999999</v>
      </c>
      <c r="Z87" s="197">
        <f t="shared" si="45"/>
        <v>1.43E-2</v>
      </c>
      <c r="AA87" s="197">
        <f t="shared" si="46"/>
        <v>23.287800000000001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47"/>
        <v>172</v>
      </c>
      <c r="AE87" s="77" t="str">
        <f t="shared" si="48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87" s="74" t="str">
        <f t="shared" si="49"/>
        <v>"C:\Program Files (x86)\AstroGrep\AstroGrep.exe" /e /r /s /spath="%USERPROFILE%\AppData\Local\Temp\OnboardLogs" /stypes="app*4053*20170822*" /stext=" 20:.+((SYSTEM_STATE.+slice.+state.+changed )|(ment ac)|(multiple cpu faults)|(system.+state.+changed )|(\[timeout)|(PRM\|1\|D)|(kpr)|(kdp)|(train st.+moving)|(\|lc)|(penalty))"</v>
      </c>
      <c r="AG87" s="209" t="str">
        <f t="shared" si="50"/>
        <v>EC</v>
      </c>
      <c r="AH87" s="78" t="str">
        <f t="shared" si="51"/>
        <v>"%USERPROFILE%\Documents\GitHub\eaglep3\Utilities\RefineRTDCRunTimes.py" --tripid 172-22 --locoid 4053 --swversion DE.1.0.9.0 --startMP 204:233021 --initTime 2017-08-22T13:24:45 --startdatetime 2017-08-22T13:27:53 --delay 1 --endMP 204:143 --enddatetime 2017-08-22T14:12:39 --enforcementcount 0 &gt;&gt;C:\Users\stu\Documents\GitHub\eaglep3-reporting\EC\2017-08-22-refined-times.txt</v>
      </c>
      <c r="AI87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{"issue":{"subject":"","project_id":79,"tracker_id":40,"status_id":1,"priority_id":2,"assigned_to_id":23,"start_date":"2017-08-22","description":"","custom_fields":[{"id":1,"name":"Subdivision","value":"EC"},{"id":4,"name":"Milepost","value":"0.0143"},{"id":17,"name":"Train ID","value":"172-22"},{"id":16,"name":"Locomotive ID","value":"4053"},{"id":130,"name":"Impact","value":""},{"id":150,"name":"Time of Event (Mountain Time)","value":"14:12:39"},{"id":151,"name":"Denver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3"/>
        <v>start /low /b %USERPROFILE%\Documents\GitHub\eaglep3\Utilities\DownloadLogsFromS3.py --loco 4053 --day 2017-08-22</v>
      </c>
      <c r="AN87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20:12:39"},{"id":29,"name":"Sharepoint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692</v>
      </c>
      <c r="B88" s="7">
        <v>4012</v>
      </c>
      <c r="C88" s="21" t="s">
        <v>198</v>
      </c>
      <c r="D88" s="21" t="s">
        <v>360</v>
      </c>
      <c r="E88" s="13">
        <v>42969.532824074071</v>
      </c>
      <c r="F88" s="13">
        <v>42969.534375000003</v>
      </c>
      <c r="G88" s="7">
        <v>1</v>
      </c>
      <c r="H88" s="21" t="s">
        <v>847</v>
      </c>
      <c r="I88" s="13">
        <v>42969.560127314813</v>
      </c>
      <c r="J88" s="7">
        <v>0</v>
      </c>
      <c r="K88" s="89" t="str">
        <f t="shared" si="37"/>
        <v>4011/4012</v>
      </c>
      <c r="L88" s="217" t="str">
        <f>VLOOKUP(A88,'Trips&amp;Operators'!$C$1:$G$99911,5,FALSE)</f>
        <v>MCREYNOLDS KYLE</v>
      </c>
      <c r="M88" s="6">
        <f t="shared" si="38"/>
        <v>2.5752314810233656E-2</v>
      </c>
      <c r="N88" s="7">
        <f t="shared" si="39"/>
        <v>37.083333326736465</v>
      </c>
      <c r="O88" s="7"/>
      <c r="P88" s="7"/>
      <c r="Q88" s="22"/>
      <c r="R88" s="170"/>
      <c r="S88" s="213">
        <f t="shared" si="40"/>
        <v>1</v>
      </c>
      <c r="T88" s="195" t="str">
        <f t="shared" si="41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2"/>
        <v>https://d0f6bd738d7f1b3e5a7ca70fe4ff75f0.us-east-1.aws.found.io/app/kibana#/discover/Steve-Slow-Train-Analysis-(2080s-and-2083s)?_g=(refreshInterval:(display:Off,pause:!f,section:0,value:0),time:(from:'2017-08-22T11:47:16-0600',mode:absolute,to:'2017-08-22T14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197" t="str">
        <f>IF(AA88&lt;VLOOKUP(AG88,Variables!$AC$3:$AD$8,2,FALSE),"Y","N")</f>
        <v>N</v>
      </c>
      <c r="X88" s="197">
        <f t="shared" si="43"/>
        <v>1</v>
      </c>
      <c r="Y88" s="197">
        <f t="shared" si="44"/>
        <v>4.5499999999999999E-2</v>
      </c>
      <c r="Z88" s="197">
        <f t="shared" si="45"/>
        <v>23.329799999999999</v>
      </c>
      <c r="AA88" s="197">
        <f t="shared" si="46"/>
        <v>23.284299999999998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47"/>
        <v>173</v>
      </c>
      <c r="AE88" s="77" t="str">
        <f t="shared" si="48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88" s="74" t="str">
        <f t="shared" si="49"/>
        <v>"C:\Program Files (x86)\AstroGrep\AstroGrep.exe" /e /r /s /spath="%USERPROFILE%\AppData\Local\Temp\OnboardLogs" /stypes="app*4012*20170822*" /stext=" 19:.+((SYSTEM_STATE.+slice.+state.+changed )|(ment ac)|(multiple cpu faults)|(system.+state.+changed )|(\[timeout)|(PRM\|1\|D)|(kpr)|(kdp)|(train st.+moving)|(\|lc)|(penalty))"</v>
      </c>
      <c r="AG88" s="209" t="str">
        <f t="shared" si="50"/>
        <v>EC</v>
      </c>
      <c r="AH88" s="78" t="str">
        <f t="shared" si="51"/>
        <v>"%USERPROFILE%\Documents\GitHub\eaglep3\Utilities\RefineRTDCRunTimes.py" --tripid 173-22 --locoid 4012 --swversion DE.1.0.9.0 --startMP 204:455 --initTime 2017-08-22T12:47:16 --startdatetime 2017-08-22T12:49:30 --delay 1 --endMP 204:233298 --enddatetime 2017-08-22T13:26:35 --enforcementcount 0 &gt;&gt;C:\Users\stu\Documents\GitHub\eaglep3-reporting\EC\2017-08-22-refined-times.txt</v>
      </c>
      <c r="AI88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{"issue":{"subject":"","project_id":79,"tracker_id":40,"status_id":1,"priority_id":2,"assigned_to_id":23,"start_date":"2017-08-22","description":"","custom_fields":[{"id":1,"name":"Subdivision","value":"EC"},{"id":4,"name":"Milepost","value":"23.3298"},{"id":17,"name":"Train ID","value":"173-22"},{"id":16,"name":"Locomotive ID","value":"4012"},{"id":130,"name":"Impact","value":""},{"id":150,"name":"Time of Event (Mountain Time)","value":"13:26:35"},{"id":151,"name":"Denver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3"/>
        <v>start /low /b %USERPROFILE%\Documents\GitHub\eaglep3\Utilities\DownloadLogsFromS3.py --loco 4012 --day 2017-08-22</v>
      </c>
      <c r="AN88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578</v>
      </c>
      <c r="B89" s="7">
        <v>4011</v>
      </c>
      <c r="C89" s="21" t="s">
        <v>198</v>
      </c>
      <c r="D89" s="21" t="s">
        <v>430</v>
      </c>
      <c r="E89" s="13">
        <v>42969.565162037034</v>
      </c>
      <c r="F89" s="13">
        <v>42969.571099537039</v>
      </c>
      <c r="G89" s="7">
        <v>1</v>
      </c>
      <c r="H89" s="21" t="s">
        <v>346</v>
      </c>
      <c r="I89" s="13">
        <v>42969.598043981481</v>
      </c>
      <c r="J89" s="7">
        <v>0</v>
      </c>
      <c r="K89" s="89" t="str">
        <f t="shared" si="37"/>
        <v>4011/4012</v>
      </c>
      <c r="L89" s="217" t="str">
        <f>VLOOKUP(A89,'Trips&amp;Operators'!$C$1:$G$99911,5,FALSE)</f>
        <v>MCREYNOLDS KYLE</v>
      </c>
      <c r="M89" s="6">
        <f t="shared" si="38"/>
        <v>2.6944444442051463E-2</v>
      </c>
      <c r="N89" s="7">
        <f t="shared" si="39"/>
        <v>38.799999996554106</v>
      </c>
      <c r="O89" s="7"/>
      <c r="P89" s="7"/>
      <c r="Q89" s="22"/>
      <c r="R89" s="170"/>
      <c r="S89" s="213">
        <f t="shared" si="40"/>
        <v>1</v>
      </c>
      <c r="T89" s="195" t="str">
        <f t="shared" si="41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2"/>
        <v>https://d0f6bd738d7f1b3e5a7ca70fe4ff75f0.us-east-1.aws.found.io/app/kibana#/discover/Steve-Slow-Train-Analysis-(2080s-and-2083s)?_g=(refreshInterval:(display:Off,pause:!f,section:0,value:0),time:(from:'2017-08-22T12:33:50-0600',mode:absolute,to:'2017-08-22T15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197" t="str">
        <f>IF(AA89&lt;VLOOKUP(AG89,Variables!$AC$3:$AD$8,2,FALSE),"Y","N")</f>
        <v>N</v>
      </c>
      <c r="X89" s="197">
        <f t="shared" si="43"/>
        <v>1</v>
      </c>
      <c r="Y89" s="197">
        <f t="shared" si="44"/>
        <v>23.298500000000001</v>
      </c>
      <c r="Z89" s="197">
        <f t="shared" si="45"/>
        <v>1.41E-2</v>
      </c>
      <c r="AA89" s="197">
        <f t="shared" si="46"/>
        <v>23.284400000000002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47"/>
        <v>174</v>
      </c>
      <c r="AE89" s="77" t="str">
        <f t="shared" si="48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89" s="74" t="str">
        <f t="shared" si="49"/>
        <v>"C:\Program Files (x86)\AstroGrep\AstroGrep.exe" /e /r /s /spath="%USERPROFILE%\AppData\Local\Temp\OnboardLogs" /stypes="app*4011*20170822*" /stext=" 20:.+((SYSTEM_STATE.+slice.+state.+changed )|(ment ac)|(multiple cpu faults)|(system.+state.+changed )|(\[timeout)|(PRM\|1\|D)|(kpr)|(kdp)|(train st.+moving)|(\|lc)|(penalty))"</v>
      </c>
      <c r="AG89" s="209" t="str">
        <f t="shared" si="50"/>
        <v>EC</v>
      </c>
      <c r="AH89" s="78" t="str">
        <f t="shared" si="51"/>
        <v>"%USERPROFILE%\Documents\GitHub\eaglep3\Utilities\RefineRTDCRunTimes.py" --tripid 174-22 --locoid 4011 --swversion DE.1.0.9.0 --startMP 204:232985 --initTime 2017-08-22T13:33:50 --startdatetime 2017-08-22T13:42:23 --delay 1 --endMP 204:141 --enddatetime 2017-08-22T14:21:11 --enforcementcount 0 &gt;&gt;C:\Users\stu\Documents\GitHub\eaglep3-reporting\EC\2017-08-22-refined-times.txt</v>
      </c>
      <c r="AI89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{"issue":{"subject":"","project_id":79,"tracker_id":40,"status_id":1,"priority_id":2,"assigned_to_id":23,"start_date":"2017-08-22","description":"","custom_fields":[{"id":1,"name":"Subdivision","value":"EC"},{"id":4,"name":"Milepost","value":"0.0141"},{"id":17,"name":"Train ID","value":"174-22"},{"id":16,"name":"Locomotive ID","value":"4011"},{"id":130,"name":"Impact","value":""},{"id":150,"name":"Time of Event (Mountain Time)","value":"14:21:11"},{"id":151,"name":"Denver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3"/>
        <v>start /low /b %USERPROFILE%\Documents\GitHub\eaglep3\Utilities\DownloadLogsFromS3.py --loco 4011 --day 2017-08-22</v>
      </c>
      <c r="AN89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695</v>
      </c>
      <c r="B90" s="7">
        <v>4018</v>
      </c>
      <c r="C90" s="21" t="s">
        <v>198</v>
      </c>
      <c r="D90" s="21" t="s">
        <v>395</v>
      </c>
      <c r="E90" s="13">
        <v>42969.542847222219</v>
      </c>
      <c r="F90" s="13">
        <v>42969.544930555552</v>
      </c>
      <c r="G90" s="7">
        <v>2</v>
      </c>
      <c r="H90" s="21" t="s">
        <v>826</v>
      </c>
      <c r="I90" s="13">
        <v>42969.569548611114</v>
      </c>
      <c r="J90" s="7">
        <v>0</v>
      </c>
      <c r="K90" s="89" t="str">
        <f t="shared" si="37"/>
        <v>4017/4018</v>
      </c>
      <c r="L90" s="217" t="str">
        <f>VLOOKUP(A90,'Trips&amp;Operators'!$C$1:$G$99911,5,FALSE)</f>
        <v>STEWART MICHAEL</v>
      </c>
      <c r="M90" s="6">
        <f t="shared" si="38"/>
        <v>2.4618055562314112E-2</v>
      </c>
      <c r="N90" s="7">
        <f t="shared" si="39"/>
        <v>35.450000009732321</v>
      </c>
      <c r="O90" s="7"/>
      <c r="P90" s="7"/>
      <c r="Q90" s="22"/>
      <c r="R90" s="170"/>
      <c r="S90" s="213">
        <f t="shared" si="40"/>
        <v>1</v>
      </c>
      <c r="T90" s="195" t="str">
        <f t="shared" si="41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2"/>
        <v>https://d0f6bd738d7f1b3e5a7ca70fe4ff75f0.us-east-1.aws.found.io/app/kibana#/discover/Steve-Slow-Train-Analysis-(2080s-and-2083s)?_g=(refreshInterval:(display:Off,pause:!f,section:0,value:0),time:(from:'2017-08-22T12:01:42-0600',mode:absolute,to:'2017-08-22T14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97" t="str">
        <f>IF(AA90&lt;VLOOKUP(AG90,Variables!$AC$3:$AD$8,2,FALSE),"Y","N")</f>
        <v>N</v>
      </c>
      <c r="X90" s="197">
        <f t="shared" si="43"/>
        <v>1</v>
      </c>
      <c r="Y90" s="197">
        <f t="shared" si="44"/>
        <v>4.4400000000000002E-2</v>
      </c>
      <c r="Z90" s="197">
        <f t="shared" si="45"/>
        <v>23.327999999999999</v>
      </c>
      <c r="AA90" s="197">
        <f t="shared" si="46"/>
        <v>23.2836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47"/>
        <v>175</v>
      </c>
      <c r="AE90" s="77" t="str">
        <f t="shared" si="48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90" s="74" t="str">
        <f t="shared" si="49"/>
        <v>"C:\Program Files (x86)\AstroGrep\AstroGrep.exe" /e /r /s /spath="%USERPROFILE%\AppData\Local\Temp\OnboardLogs" /stypes="app*4018*20170822*" /stext=" 19:.+((SYSTEM_STATE.+slice.+state.+changed )|(ment ac)|(multiple cpu faults)|(system.+state.+changed )|(\[timeout)|(PRM\|1\|D)|(kpr)|(kdp)|(train st.+moving)|(\|lc)|(penalty))"</v>
      </c>
      <c r="AG90" s="209" t="str">
        <f t="shared" si="50"/>
        <v>EC</v>
      </c>
      <c r="AH90" s="78" t="str">
        <f t="shared" si="51"/>
        <v>"%USERPROFILE%\Documents\GitHub\eaglep3\Utilities\RefineRTDCRunTimes.py" --tripid 175-22 --locoid 4018 --swversion DE.1.0.9.0 --startMP 204:444 --initTime 2017-08-22T13:01:42 --startdatetime 2017-08-22T13:04:42 --delay 2 --endMP 204:233280 --enddatetime 2017-08-22T13:40:09 --enforcementcount 0 &gt;&gt;C:\Users\stu\Documents\GitHub\eaglep3-reporting\EC\2017-08-22-refined-times.txt</v>
      </c>
      <c r="AI90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{"issue":{"subject":"","project_id":79,"tracker_id":40,"status_id":1,"priority_id":2,"assigned_to_id":23,"start_date":"2017-08-22","description":"","custom_fields":[{"id":1,"name":"Subdivision","value":"EC"},{"id":4,"name":"Milepost","value":"23.328"},{"id":17,"name":"Train ID","value":"175-22"},{"id":16,"name":"Locomotive ID","value":"4018"},{"id":130,"name":"Impact","value":""},{"id":150,"name":"Time of Event (Mountain Time)","value":"13:40:09"},{"id":151,"name":"Denver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3"/>
        <v>start /low /b %USERPROFILE%\Documents\GitHub\eaglep3\Utilities\DownloadLogsFromS3.py --loco 4018 --day 2017-08-22</v>
      </c>
      <c r="AN90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702</v>
      </c>
      <c r="B91" s="7">
        <v>4017</v>
      </c>
      <c r="C91" s="21" t="s">
        <v>198</v>
      </c>
      <c r="D91" s="21" t="s">
        <v>505</v>
      </c>
      <c r="E91" s="13">
        <v>42969.580289351848</v>
      </c>
      <c r="F91" s="13">
        <v>42969.582025462965</v>
      </c>
      <c r="G91" s="7">
        <v>1</v>
      </c>
      <c r="H91" s="21" t="s">
        <v>848</v>
      </c>
      <c r="I91" s="13">
        <v>42969.608159722222</v>
      </c>
      <c r="J91" s="7">
        <v>0</v>
      </c>
      <c r="K91" s="89" t="str">
        <f t="shared" si="37"/>
        <v>4017/4018</v>
      </c>
      <c r="L91" s="217" t="str">
        <f>VLOOKUP(A91,'Trips&amp;Operators'!$C$1:$G$99911,5,FALSE)</f>
        <v>STEWART MICHAEL</v>
      </c>
      <c r="M91" s="6">
        <f t="shared" si="38"/>
        <v>2.6134259256650694E-2</v>
      </c>
      <c r="N91" s="7">
        <f t="shared" si="39"/>
        <v>37.633333329576999</v>
      </c>
      <c r="O91" s="7"/>
      <c r="P91" s="7"/>
      <c r="Q91" s="22"/>
      <c r="R91" s="170" t="s">
        <v>997</v>
      </c>
      <c r="S91" s="213">
        <f t="shared" si="40"/>
        <v>1</v>
      </c>
      <c r="T91" s="195" t="str">
        <f t="shared" si="41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2"/>
        <v>https://d0f6bd738d7f1b3e5a7ca70fe4ff75f0.us-east-1.aws.found.io/app/kibana#/discover/Steve-Slow-Train-Analysis-(2080s-and-2083s)?_g=(refreshInterval:(display:Off,pause:!f,section:0,value:0),time:(from:'2017-08-22T12:55:37-0600',mode:absolute,to:'2017-08-22T15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97" t="str">
        <f>IF(AA91&lt;VLOOKUP(AG91,Variables!$AC$3:$AD$8,2,FALSE),"Y","N")</f>
        <v>Y</v>
      </c>
      <c r="X91" s="197">
        <f t="shared" si="43"/>
        <v>1</v>
      </c>
      <c r="Y91" s="197">
        <f t="shared" si="44"/>
        <v>23.297999999999998</v>
      </c>
      <c r="Z91" s="197">
        <f t="shared" si="45"/>
        <v>0.94750000000000001</v>
      </c>
      <c r="AA91" s="197">
        <f t="shared" si="46"/>
        <v>22.350499999999997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47"/>
        <v>176</v>
      </c>
      <c r="AE91" s="77" t="str">
        <f t="shared" si="48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91" s="74" t="str">
        <f t="shared" si="49"/>
        <v>"C:\Program Files (x86)\AstroGrep\AstroGrep.exe" /e /r /s /spath="%USERPROFILE%\AppData\Local\Temp\OnboardLogs" /stypes="app*4017*20170822*" /stext=" 20:.+((SYSTEM_STATE.+slice.+state.+changed )|(ment ac)|(multiple cpu faults)|(system.+state.+changed )|(\[timeout)|(PRM\|1\|D)|(kpr)|(kdp)|(train st.+moving)|(\|lc)|(penalty))"</v>
      </c>
      <c r="AG91" s="209" t="str">
        <f t="shared" si="50"/>
        <v>EC</v>
      </c>
      <c r="AH91" s="78" t="str">
        <f t="shared" si="51"/>
        <v>"%USERPROFILE%\Documents\GitHub\eaglep3\Utilities\RefineRTDCRunTimes.py" --tripid 176-22 --locoid 4017 --swversion DE.1.0.9.0 --startMP 204:232980 --initTime 2017-08-22T13:55:37 --startdatetime 2017-08-22T13:58:07 --delay 1 --endMP 204:9475 --enddatetime 2017-08-22T14:35:45 --enforcementcount 0 &gt;&gt;C:\Users\stu\Documents\GitHub\eaglep3-reporting\EC\2017-08-22-refined-times.txt</v>
      </c>
      <c r="AI91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DUS","project_id":79,"tracker_id":40,"status_id":1,"priority_id":2,"assigned_to_id":23,"start_date":"2017-08-22","description":"","custom_fields":[{"id":1,"name":"Subdivision","value":"EC"},{"id":4,"name":"Milepost","value":"0.9475"},{"id":17,"name":"Train ID","value":"176-22"},{"id":16,"name":"Locomotive ID","value":"4017"},{"id":130,"name":"Impact","value":""},{"id":150,"name":"Time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3"/>
        <v>start /low /b %USERPROFILE%\Documents\GitHub\eaglep3\Utilities\DownloadLogsFromS3.py --loco 4017 --day 2017-08-22</v>
      </c>
      <c r="AN91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697</v>
      </c>
      <c r="B92" s="7">
        <v>4010</v>
      </c>
      <c r="C92" s="21" t="s">
        <v>198</v>
      </c>
      <c r="D92" s="21" t="s">
        <v>805</v>
      </c>
      <c r="E92" s="13">
        <v>42969.552256944444</v>
      </c>
      <c r="F92" s="13">
        <v>42969.553622685184</v>
      </c>
      <c r="G92" s="7">
        <v>1</v>
      </c>
      <c r="H92" s="21" t="s">
        <v>522</v>
      </c>
      <c r="I92" s="13">
        <v>42969.578043981484</v>
      </c>
      <c r="J92" s="7">
        <v>0</v>
      </c>
      <c r="K92" s="89" t="str">
        <f t="shared" si="37"/>
        <v>4009/4010</v>
      </c>
      <c r="L92" s="217" t="str">
        <f>VLOOKUP(A92,'Trips&amp;Operators'!$C$1:$G$99911,5,FALSE)</f>
        <v>ROMERO CHAD</v>
      </c>
      <c r="M92" s="6">
        <f t="shared" si="38"/>
        <v>2.4421296300715767E-2</v>
      </c>
      <c r="N92" s="7">
        <f t="shared" si="39"/>
        <v>35.166666673030704</v>
      </c>
      <c r="O92" s="7"/>
      <c r="P92" s="7"/>
      <c r="Q92" s="22"/>
      <c r="R92" s="170"/>
      <c r="S92" s="213">
        <f t="shared" si="40"/>
        <v>1</v>
      </c>
      <c r="T92" s="195" t="str">
        <f t="shared" si="41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2"/>
        <v>https://d0f6bd738d7f1b3e5a7ca70fe4ff75f0.us-east-1.aws.found.io/app/kibana#/discover/Steve-Slow-Train-Analysis-(2080s-and-2083s)?_g=(refreshInterval:(display:Off,pause:!f,section:0,value:0),time:(from:'2017-08-22T12:15:15-0600',mode:absolute,to:'2017-08-22T14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97" t="str">
        <f>IF(AA92&lt;VLOOKUP(AG92,Variables!$AC$3:$AD$8,2,FALSE),"Y","N")</f>
        <v>N</v>
      </c>
      <c r="X92" s="197">
        <f t="shared" si="43"/>
        <v>1</v>
      </c>
      <c r="Y92" s="197">
        <f t="shared" si="44"/>
        <v>4.3799999999999999E-2</v>
      </c>
      <c r="Z92" s="197">
        <f t="shared" si="45"/>
        <v>23.3385</v>
      </c>
      <c r="AA92" s="197">
        <f t="shared" si="46"/>
        <v>23.294699999999999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47"/>
        <v>177</v>
      </c>
      <c r="AE92" s="77" t="str">
        <f t="shared" si="48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92" s="74" t="str">
        <f t="shared" si="49"/>
        <v>"C:\Program Files (x86)\AstroGrep\AstroGrep.exe" /e /r /s /spath="%USERPROFILE%\AppData\Local\Temp\OnboardLogs" /stypes="app*4010*20170822*" /stext=" 19:.+((SYSTEM_STATE.+slice.+state.+changed )|(ment ac)|(multiple cpu faults)|(system.+state.+changed )|(\[timeout)|(PRM\|1\|D)|(kpr)|(kdp)|(train st.+moving)|(\|lc)|(penalty))"</v>
      </c>
      <c r="AG92" s="209" t="str">
        <f t="shared" si="50"/>
        <v>EC</v>
      </c>
      <c r="AH92" s="78" t="str">
        <f t="shared" si="51"/>
        <v>"%USERPROFILE%\Documents\GitHub\eaglep3\Utilities\RefineRTDCRunTimes.py" --tripid 177-22 --locoid 4010 --swversion DE.1.0.9.0 --startMP 204:438 --initTime 2017-08-22T13:15:15 --startdatetime 2017-08-22T13:17:13 --delay 1 --endMP 204:233385 --enddatetime 2017-08-22T13:52:23 --enforcementcount 0 &gt;&gt;C:\Users\stu\Documents\GitHub\eaglep3-reporting\EC\2017-08-22-refined-times.txt</v>
      </c>
      <c r="AI92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{"issue":{"subject":"","project_id":79,"tracker_id":40,"status_id":1,"priority_id":2,"assigned_to_id":23,"start_date":"2017-08-22","description":"","custom_fields":[{"id":1,"name":"Subdivision","value":"EC"},{"id":4,"name":"Milepost","value":"23.3385"},{"id":17,"name":"Train ID","value":"177-22"},{"id":16,"name":"Locomotive ID","value":"4010"},{"id":130,"name":"Impact","value":""},{"id":150,"name":"Time of Event (Mountain Time)","value":"13:52:23"},{"id":151,"name":"Denver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3"/>
        <v>start /low /b %USERPROFILE%\Documents\GitHub\eaglep3\Utilities\DownloadLogsFromS3.py --loco 4010 --day 2017-08-22</v>
      </c>
      <c r="AN92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703</v>
      </c>
      <c r="B93" s="7">
        <v>4009</v>
      </c>
      <c r="C93" s="21" t="s">
        <v>198</v>
      </c>
      <c r="D93" s="21" t="s">
        <v>849</v>
      </c>
      <c r="E93" s="13">
        <v>42969.581747685188</v>
      </c>
      <c r="F93" s="13">
        <v>42969.591805555552</v>
      </c>
      <c r="G93" s="7">
        <v>1</v>
      </c>
      <c r="H93" s="21" t="s">
        <v>381</v>
      </c>
      <c r="I93" s="13">
        <v>42969.623217592591</v>
      </c>
      <c r="J93" s="7">
        <v>0</v>
      </c>
      <c r="K93" s="89" t="str">
        <f t="shared" si="37"/>
        <v>4009/4010</v>
      </c>
      <c r="L93" s="217" t="str">
        <f>VLOOKUP(A93,'Trips&amp;Operators'!$C$1:$G$99911,5,FALSE)</f>
        <v>NEWELL JAMES</v>
      </c>
      <c r="M93" s="6">
        <f t="shared" si="38"/>
        <v>3.1412037038535345E-2</v>
      </c>
      <c r="N93" s="7">
        <f t="shared" si="39"/>
        <v>45.233333335490897</v>
      </c>
      <c r="O93" s="7"/>
      <c r="P93" s="7"/>
      <c r="Q93" s="22"/>
      <c r="R93" s="170"/>
      <c r="S93" s="213">
        <f t="shared" si="40"/>
        <v>1</v>
      </c>
      <c r="T93" s="195" t="str">
        <f t="shared" si="41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2"/>
        <v>https://d0f6bd738d7f1b3e5a7ca70fe4ff75f0.us-east-1.aws.found.io/app/kibana#/discover/Steve-Slow-Train-Analysis-(2080s-and-2083s)?_g=(refreshInterval:(display:Off,pause:!f,section:0,value:0),time:(from:'2017-08-22T12:57:43-0600',mode:absolute,to:'2017-08-22T15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197" t="str">
        <f>IF(AA93&lt;VLOOKUP(AG93,Variables!$AC$3:$AD$8,2,FALSE),"Y","N")</f>
        <v>N</v>
      </c>
      <c r="X93" s="197">
        <f t="shared" si="43"/>
        <v>1</v>
      </c>
      <c r="Y93" s="197">
        <f t="shared" si="44"/>
        <v>23.309799999999999</v>
      </c>
      <c r="Z93" s="197">
        <f t="shared" si="45"/>
        <v>1.4500000000000001E-2</v>
      </c>
      <c r="AA93" s="197">
        <f t="shared" si="46"/>
        <v>23.295299999999997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47"/>
        <v>178</v>
      </c>
      <c r="AE93" s="77" t="str">
        <f t="shared" si="48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93" s="74" t="str">
        <f t="shared" si="49"/>
        <v>"C:\Program Files (x86)\AstroGrep\AstroGrep.exe" /e /r /s /spath="%USERPROFILE%\AppData\Local\Temp\OnboardLogs" /stypes="app*4009*20170822*" /stext=" 20:.+((SYSTEM_STATE.+slice.+state.+changed )|(ment ac)|(multiple cpu faults)|(system.+state.+changed )|(\[timeout)|(PRM\|1\|D)|(kpr)|(kdp)|(train st.+moving)|(\|lc)|(penalty))"</v>
      </c>
      <c r="AG93" s="209" t="str">
        <f t="shared" si="50"/>
        <v>EC</v>
      </c>
      <c r="AH93" s="78" t="str">
        <f t="shared" si="51"/>
        <v>"%USERPROFILE%\Documents\GitHub\eaglep3\Utilities\RefineRTDCRunTimes.py" --tripid 178-22 --locoid 4009 --swversion DE.1.0.9.0 --startMP 204:233098 --initTime 2017-08-22T13:57:43 --startdatetime 2017-08-22T14:12:12 --delay 1 --endMP 204:145 --enddatetime 2017-08-22T14:57:26 --enforcementcount 0 &gt;&gt;C:\Users\stu\Documents\GitHub\eaglep3-reporting\EC\2017-08-22-refined-times.txt</v>
      </c>
      <c r="AI93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{"issue":{"subject":"","project_id":79,"tracker_id":40,"status_id":1,"priority_id":2,"assigned_to_id":23,"start_date":"2017-08-22","description":"","custom_fields":[{"id":1,"name":"Subdivision","value":"EC"},{"id":4,"name":"Milepost","value":"0.0145"},{"id":17,"name":"Train ID","value":"178-22"},{"id":16,"name":"Locomotive ID","value":"4009"},{"id":130,"name":"Impact","value":""},{"id":150,"name":"Time of Event (Mountain Time)","value":"14:57:26"},{"id":151,"name":"Denver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3"/>
        <v>start /low /b %USERPROFILE%\Documents\GitHub\eaglep3\Utilities\DownloadLogsFromS3.py --loco 4009 --day 2017-08-22</v>
      </c>
      <c r="AN93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577</v>
      </c>
      <c r="B94" s="7">
        <v>4004</v>
      </c>
      <c r="C94" s="21" t="s">
        <v>198</v>
      </c>
      <c r="D94" s="21" t="s">
        <v>805</v>
      </c>
      <c r="E94" s="13">
        <v>42969.561157407406</v>
      </c>
      <c r="F94" s="13">
        <v>42969.563055555554</v>
      </c>
      <c r="G94" s="7">
        <v>1</v>
      </c>
      <c r="H94" s="21" t="s">
        <v>850</v>
      </c>
      <c r="I94" s="13">
        <v>42969.587673611109</v>
      </c>
      <c r="J94" s="7">
        <v>0</v>
      </c>
      <c r="K94" s="89" t="str">
        <f t="shared" si="37"/>
        <v>4003/4004</v>
      </c>
      <c r="L94" s="217" t="str">
        <f>VLOOKUP(A94,'Trips&amp;Operators'!$C$1:$G$99911,5,FALSE)</f>
        <v>LEVIN SCOTT</v>
      </c>
      <c r="M94" s="6">
        <f t="shared" si="38"/>
        <v>2.4618055555038154E-2</v>
      </c>
      <c r="N94" s="7">
        <f t="shared" si="39"/>
        <v>35.449999999254942</v>
      </c>
      <c r="O94" s="7"/>
      <c r="P94" s="7"/>
      <c r="Q94" s="22"/>
      <c r="R94" s="170"/>
      <c r="S94" s="213">
        <f t="shared" si="40"/>
        <v>1</v>
      </c>
      <c r="T94" s="195" t="str">
        <f t="shared" si="41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2"/>
        <v>https://d0f6bd738d7f1b3e5a7ca70fe4ff75f0.us-east-1.aws.found.io/app/kibana#/discover/Steve-Slow-Train-Analysis-(2080s-and-2083s)?_g=(refreshInterval:(display:Off,pause:!f,section:0,value:0),time:(from:'2017-08-22T12:28:04-0600',mode:absolute,to:'2017-08-22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4" s="197" t="str">
        <f>IF(AA94&lt;VLOOKUP(AG94,Variables!$AC$3:$AD$8,2,FALSE),"Y","N")</f>
        <v>N</v>
      </c>
      <c r="X94" s="197">
        <f t="shared" si="43"/>
        <v>1</v>
      </c>
      <c r="Y94" s="197">
        <f t="shared" si="44"/>
        <v>4.3799999999999999E-2</v>
      </c>
      <c r="Z94" s="197">
        <f t="shared" si="45"/>
        <v>23.340299999999999</v>
      </c>
      <c r="AA94" s="197">
        <f t="shared" si="46"/>
        <v>23.296499999999998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47"/>
        <v>179</v>
      </c>
      <c r="AE94" s="77" t="str">
        <f t="shared" si="48"/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AF94" s="74" t="str">
        <f t="shared" si="49"/>
        <v>"C:\Program Files (x86)\AstroGrep\AstroGrep.exe" /e /r /s /spath="%USERPROFILE%\AppData\Local\Temp\OnboardLogs" /stypes="app*4004*20170822*" /stext=" 20:.+((SYSTEM_STATE.+slice.+state.+changed )|(ment ac)|(multiple cpu faults)|(system.+state.+changed )|(\[timeout)|(PRM\|1\|D)|(kpr)|(kdp)|(train st.+moving)|(\|lc)|(penalty))"</v>
      </c>
      <c r="AG94" s="209" t="str">
        <f t="shared" si="50"/>
        <v>EC</v>
      </c>
      <c r="AH94" s="78" t="str">
        <f t="shared" si="51"/>
        <v>"%USERPROFILE%\Documents\GitHub\eaglep3\Utilities\RefineRTDCRunTimes.py" --tripid 179-22 --locoid 4004 --swversion DE.1.0.9.0 --startMP 204:438 --initTime 2017-08-22T13:28:04 --startdatetime 2017-08-22T13:30:48 --delay 1 --endMP 204:233403 --enddatetime 2017-08-22T14:06:15 --enforcementcount 0 &gt;&gt;C:\Users\stu\Documents\GitHub\eaglep3-reporting\EC\2017-08-22-refined-times.txt</v>
      </c>
      <c r="AI94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{"issue":{"subject":"","project_id":79,"tracker_id":40,"status_id":1,"priority_id":2,"assigned_to_id":23,"start_date":"2017-08-22","description":"","custom_fields":[{"id":1,"name":"Subdivision","value":"EC"},{"id":4,"name":"Milepost","value":"23.3403"},{"id":17,"name":"Train ID","value":"179-22"},{"id":16,"name":"Locomotive ID","value":"4004"},{"id":130,"name":"Impact","value":""},{"id":150,"name":"Time of Event (Mountain Time)","value":"14:06:15"},{"id":151,"name":"Denver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3"/>
        <v>start /low /b %USERPROFILE%\Documents\GitHub\eaglep3\Utilities\DownloadLogsFromS3.py --loco 4004 --day 2017-08-22</v>
      </c>
      <c r="AN94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582</v>
      </c>
      <c r="B95" s="7">
        <v>4003</v>
      </c>
      <c r="C95" s="21" t="s">
        <v>198</v>
      </c>
      <c r="D95" s="21" t="s">
        <v>851</v>
      </c>
      <c r="E95" s="13">
        <v>42969.600694444445</v>
      </c>
      <c r="F95" s="13">
        <v>42969.602627314816</v>
      </c>
      <c r="G95" s="7">
        <v>1</v>
      </c>
      <c r="H95" s="21" t="s">
        <v>852</v>
      </c>
      <c r="I95" s="13">
        <v>42969.628958333335</v>
      </c>
      <c r="J95" s="7">
        <v>0</v>
      </c>
      <c r="K95" s="89" t="str">
        <f t="shared" si="37"/>
        <v>4003/4004</v>
      </c>
      <c r="L95" s="217" t="str">
        <f>VLOOKUP(A95,'Trips&amp;Operators'!$C$1:$G$99911,5,FALSE)</f>
        <v>LEVIN SCOTT</v>
      </c>
      <c r="M95" s="6">
        <f t="shared" si="38"/>
        <v>2.6331018518249039E-2</v>
      </c>
      <c r="N95" s="7">
        <f t="shared" si="39"/>
        <v>37.916666666278616</v>
      </c>
      <c r="O95" s="7"/>
      <c r="P95" s="7"/>
      <c r="Q95" s="22"/>
      <c r="R95" s="170" t="s">
        <v>997</v>
      </c>
      <c r="S95" s="213">
        <f t="shared" si="40"/>
        <v>1</v>
      </c>
      <c r="T95" s="195" t="str">
        <f t="shared" si="41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2"/>
        <v>https://d0f6bd738d7f1b3e5a7ca70fe4ff75f0.us-east-1.aws.found.io/app/kibana#/discover/Steve-Slow-Train-Analysis-(2080s-and-2083s)?_g=(refreshInterval:(display:Off,pause:!f,section:0,value:0),time:(from:'2017-08-22T13:25:00-0600',mode:absolute,to:'2017-08-22T16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5" s="197" t="str">
        <f>IF(AA95&lt;VLOOKUP(AG95,Variables!$AC$3:$AD$8,2,FALSE),"Y","N")</f>
        <v>Y</v>
      </c>
      <c r="X95" s="197">
        <f t="shared" si="43"/>
        <v>1</v>
      </c>
      <c r="Y95" s="197">
        <f t="shared" si="44"/>
        <v>23.309699999999999</v>
      </c>
      <c r="Z95" s="197">
        <f t="shared" si="45"/>
        <v>0.55030000000000001</v>
      </c>
      <c r="AA95" s="197">
        <f t="shared" si="46"/>
        <v>22.759399999999999</v>
      </c>
      <c r="AB95" s="54" t="str">
        <f>VLOOKUP(A95,Enforcements!$C$7:$K$11,8,0)</f>
        <v>Bulletin (2)</v>
      </c>
      <c r="AC95" s="51" t="str">
        <f>VLOOKUP(A95,Enforcements!$C$7:$E$11,3,0)</f>
        <v>GRADE CROSSING</v>
      </c>
      <c r="AD95" s="206">
        <f t="shared" si="47"/>
        <v>180</v>
      </c>
      <c r="AE95" s="77" t="str">
        <f t="shared" si="48"/>
        <v>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 &amp; aws s3 cp s3://rtdc.mdm.uploadarchive.raw/RTDC4003/ "%USERPROFILE%\AppData\Local\Temp\OnboardLogs"\RTDC4003\2017-08-23 --exclude "*" --recursive --include "*20170823*" &amp; "%USERPROFILE%\Documents\GitHub\mrs-test-scripts\Headless Mode &amp; Sideloading\WalkAndUnGZ.bat" "%USERPROFILE%\AppData\Local\Temp\OnboardLogs"\RTDC4003\2017-08-23</v>
      </c>
      <c r="AF95" s="74" t="str">
        <f t="shared" si="49"/>
        <v>"C:\Program Files (x86)\AstroGrep\AstroGrep.exe" /e /r /s /spath="%USERPROFILE%\AppData\Local\Temp\OnboardLogs" /stypes="app*4003*20170822*" /stext=" 21:.+((SYSTEM_STATE.+slice.+state.+changed )|(ment ac)|(multiple cpu faults)|(system.+state.+changed )|(\[timeout)|(PRM\|1\|D)|(kpr)|(kdp)|(train st.+moving)|(\|lc)|(penalty))"</v>
      </c>
      <c r="AG95" s="209" t="str">
        <f t="shared" si="50"/>
        <v>EC</v>
      </c>
      <c r="AH95" s="78" t="str">
        <f t="shared" si="51"/>
        <v>"%USERPROFILE%\Documents\GitHub\eaglep3\Utilities\RefineRTDCRunTimes.py" --tripid 180-22 --locoid 4003 --swversion DE.1.0.9.0 --startMP 204:233097 --initTime 2017-08-22T14:25:00 --startdatetime 2017-08-22T14:27:47 --delay 1 --endMP 204:5503 --enddatetime 2017-08-22T15:05:42 --enforcementcount 0 &gt;&gt;C:\Users\stu\Documents\GitHub\eaglep3-reporting\EC\2017-08-22-refined-times.txt</v>
      </c>
      <c r="AI95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DUS","project_id":79,"tracker_id":40,"status_id":1,"priority_id":2,"assigned_to_id":23,"start_date":"2017-08-22","description":"","custom_fields":[{"id":1,"name":"Subdivision","value":"EC"},{"id":4,"name":"Milepost","value":"0.5503"},{"id":17,"name":"Train ID","value":"180-22"},{"id":16,"name":"Locomotive ID","value":"4003"},{"id":130,"name":"Impact","value":""},{"id":150,"name":"Time of Event (Mountain Time)","value":"15:05:42"},{"id":151,"name":"Denver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3"/>
        <v>start /low /b %USERPROFILE%\Documents\GitHub\eaglep3\Utilities\DownloadLogsFromS3.py --loco 4003 --day 2017-08-22</v>
      </c>
      <c r="AN95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701</v>
      </c>
      <c r="B96" s="7">
        <v>4006</v>
      </c>
      <c r="C96" s="21" t="s">
        <v>198</v>
      </c>
      <c r="D96" s="21" t="s">
        <v>853</v>
      </c>
      <c r="E96" s="13">
        <v>42969.570902777778</v>
      </c>
      <c r="F96" s="13">
        <v>42969.573518518519</v>
      </c>
      <c r="G96" s="7">
        <v>1</v>
      </c>
      <c r="H96" s="21" t="s">
        <v>400</v>
      </c>
      <c r="I96" s="13">
        <v>42969.600011574075</v>
      </c>
      <c r="J96" s="7">
        <v>0</v>
      </c>
      <c r="K96" s="89" t="str">
        <f t="shared" si="37"/>
        <v>4005/4006</v>
      </c>
      <c r="L96" s="217" t="str">
        <f>VLOOKUP(A96,'Trips&amp;Operators'!$C$1:$G$99911,5,FALSE)</f>
        <v>GUNTHIER ERIC</v>
      </c>
      <c r="M96" s="6">
        <f t="shared" si="38"/>
        <v>2.6493055556784384E-2</v>
      </c>
      <c r="N96" s="7">
        <f t="shared" si="39"/>
        <v>38.150000001769513</v>
      </c>
      <c r="O96" s="7"/>
      <c r="P96" s="7"/>
      <c r="Q96" s="22"/>
      <c r="R96" s="170"/>
      <c r="S96" s="213">
        <f t="shared" si="40"/>
        <v>1</v>
      </c>
      <c r="T96" s="195" t="str">
        <f t="shared" si="41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2"/>
        <v>https://d0f6bd738d7f1b3e5a7ca70fe4ff75f0.us-east-1.aws.found.io/app/kibana#/discover/Steve-Slow-Train-Analysis-(2080s-and-2083s)?_g=(refreshInterval:(display:Off,pause:!f,section:0,value:0),time:(from:'2017-08-22T12:42:06-0600',mode:absolute,to:'2017-08-22T15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6" s="197" t="str">
        <f>IF(AA96&lt;VLOOKUP(AG96,Variables!$AC$3:$AD$8,2,FALSE),"Y","N")</f>
        <v>N</v>
      </c>
      <c r="X96" s="197">
        <f t="shared" si="43"/>
        <v>1</v>
      </c>
      <c r="Y96" s="197">
        <f t="shared" si="44"/>
        <v>5.0200000000000002E-2</v>
      </c>
      <c r="Z96" s="197">
        <f t="shared" si="45"/>
        <v>23.3308</v>
      </c>
      <c r="AA96" s="197">
        <f t="shared" si="46"/>
        <v>23.2806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47"/>
        <v>181</v>
      </c>
      <c r="AE96" s="77" t="str">
        <f t="shared" si="48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96" s="74" t="str">
        <f t="shared" si="49"/>
        <v>"C:\Program Files (x86)\AstroGrep\AstroGrep.exe" /e /r /s /spath="%USERPROFILE%\AppData\Local\Temp\OnboardLogs" /stypes="app*4006*20170822*" /stext=" 20:.+((SYSTEM_STATE.+slice.+state.+changed )|(ment ac)|(multiple cpu faults)|(system.+state.+changed )|(\[timeout)|(PRM\|1\|D)|(kpr)|(kdp)|(train st.+moving)|(\|lc)|(penalty))"</v>
      </c>
      <c r="AG96" s="209" t="str">
        <f t="shared" si="50"/>
        <v>EC</v>
      </c>
      <c r="AH96" s="78" t="str">
        <f t="shared" si="51"/>
        <v>"%USERPROFILE%\Documents\GitHub\eaglep3\Utilities\RefineRTDCRunTimes.py" --tripid 181-22 --locoid 4006 --swversion DE.1.0.9.0 --startMP 204:502 --initTime 2017-08-22T13:42:06 --startdatetime 2017-08-22T13:45:52 --delay 1 --endMP 204:233308 --enddatetime 2017-08-22T14:24:01 --enforcementcount 0 &gt;&gt;C:\Users\stu\Documents\GitHub\eaglep3-reporting\EC\2017-08-22-refined-times.txt</v>
      </c>
      <c r="AI96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{"issue":{"subject":"","project_id":79,"tracker_id":40,"status_id":1,"priority_id":2,"assigned_to_id":23,"start_date":"2017-08-22","description":"","custom_fields":[{"id":1,"name":"Subdivision","value":"EC"},{"id":4,"name":"Milepost","value":"23.3308"},{"id":17,"name":"Train ID","value":"181-22"},{"id":16,"name":"Locomotive ID","value":"4006"},{"id":130,"name":"Impact","value":""},{"id":150,"name":"Time of Event (Mountain Time)","value":"14:24:01"},{"id":151,"name":"Denver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3"/>
        <v>start /low /b %USERPROFILE%\Documents\GitHub\eaglep3\Utilities\DownloadLogsFromS3.py --loco 4006 --day 2017-08-22</v>
      </c>
      <c r="AN96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708</v>
      </c>
      <c r="B97" s="7">
        <v>4005</v>
      </c>
      <c r="C97" s="21" t="s">
        <v>198</v>
      </c>
      <c r="D97" s="21" t="s">
        <v>523</v>
      </c>
      <c r="E97" s="13">
        <v>42969.610162037039</v>
      </c>
      <c r="F97" s="13">
        <v>42969.612905092596</v>
      </c>
      <c r="G97" s="7">
        <v>1</v>
      </c>
      <c r="H97" s="21" t="s">
        <v>854</v>
      </c>
      <c r="I97" s="13">
        <v>42969.639386574076</v>
      </c>
      <c r="J97" s="7">
        <v>0</v>
      </c>
      <c r="K97" s="89" t="str">
        <f t="shared" si="37"/>
        <v>4005/4006</v>
      </c>
      <c r="L97" s="217" t="str">
        <f>VLOOKUP(A97,'Trips&amp;Operators'!$C$1:$G$99911,5,FALSE)</f>
        <v>GUNTHIER ERIC</v>
      </c>
      <c r="M97" s="6">
        <f t="shared" si="38"/>
        <v>2.6481481480004732E-2</v>
      </c>
      <c r="N97" s="7">
        <f t="shared" si="39"/>
        <v>38.133333331206813</v>
      </c>
      <c r="O97" s="7"/>
      <c r="P97" s="7"/>
      <c r="Q97" s="22"/>
      <c r="R97" s="170" t="s">
        <v>997</v>
      </c>
      <c r="S97" s="213">
        <f t="shared" si="40"/>
        <v>1</v>
      </c>
      <c r="T97" s="195" t="str">
        <f t="shared" si="41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2"/>
        <v>https://d0f6bd738d7f1b3e5a7ca70fe4ff75f0.us-east-1.aws.found.io/app/kibana#/discover/Steve-Slow-Train-Analysis-(2080s-and-2083s)?_g=(refreshInterval:(display:Off,pause:!f,section:0,value:0),time:(from:'2017-08-22T13:38:38-0600',mode:absolute,to:'2017-08-22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7" s="197" t="str">
        <f>IF(AA97&lt;VLOOKUP(AG97,Variables!$AC$3:$AD$8,2,FALSE),"Y","N")</f>
        <v>Y</v>
      </c>
      <c r="X97" s="197">
        <f t="shared" si="43"/>
        <v>1</v>
      </c>
      <c r="Y97" s="197">
        <f t="shared" si="44"/>
        <v>23.2974</v>
      </c>
      <c r="Z97" s="197">
        <f t="shared" si="45"/>
        <v>0.49940000000000001</v>
      </c>
      <c r="AA97" s="197">
        <f t="shared" si="46"/>
        <v>22.797999999999998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47"/>
        <v>182</v>
      </c>
      <c r="AE97" s="77" t="str">
        <f t="shared" si="48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97" s="74" t="str">
        <f t="shared" si="49"/>
        <v>"C:\Program Files (x86)\AstroGrep\AstroGrep.exe" /e /r /s /spath="%USERPROFILE%\AppData\Local\Temp\OnboardLogs" /stypes="app*4005*20170822*" /stext=" 21:.+((SYSTEM_STATE.+slice.+state.+changed )|(ment ac)|(multiple cpu faults)|(system.+state.+changed )|(\[timeout)|(PRM\|1\|D)|(kpr)|(kdp)|(train st.+moving)|(\|lc)|(penalty))"</v>
      </c>
      <c r="AG97" s="209" t="str">
        <f t="shared" si="50"/>
        <v>EC</v>
      </c>
      <c r="AH97" s="78" t="str">
        <f t="shared" si="51"/>
        <v>"%USERPROFILE%\Documents\GitHub\eaglep3\Utilities\RefineRTDCRunTimes.py" --tripid 182-22 --locoid 4005 --swversion DE.1.0.9.0 --startMP 204:232974 --initTime 2017-08-22T14:38:38 --startdatetime 2017-08-22T14:42:35 --delay 1 --endMP 204:4994 --enddatetime 2017-08-22T15:20:43 --enforcementcount 0 &gt;&gt;C:\Users\stu\Documents\GitHub\eaglep3-reporting\EC\2017-08-22-refined-times.txt</v>
      </c>
      <c r="AI97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DUS","project_id":79,"tracker_id":40,"status_id":1,"priority_id":2,"assigned_to_id":23,"start_date":"2017-08-22","description":"","custom_fields":[{"id":1,"name":"Subdivision","value":"EC"},{"id":4,"name":"Milepost","value":"0.4994"},{"id":17,"name":"Train ID","value":"182-22"},{"id":16,"name":"Locomotive ID","value":"4005"},{"id":130,"name":"Impact","value":""},{"id":150,"name":"Time of Event (Mountain Time)","value":"15:20:43"},{"id":151,"name":"Denver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3"/>
        <v>start /low /b %USERPROFILE%\Documents\GitHub\eaglep3\Utilities\DownloadLogsFromS3.py --loco 4005 --day 2017-08-22</v>
      </c>
      <c r="AN97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704</v>
      </c>
      <c r="B98" s="7">
        <v>4056</v>
      </c>
      <c r="C98" s="21" t="s">
        <v>198</v>
      </c>
      <c r="D98" s="21" t="s">
        <v>379</v>
      </c>
      <c r="E98" s="13">
        <v>42969.58258101852</v>
      </c>
      <c r="F98" s="13">
        <v>42969.584270833337</v>
      </c>
      <c r="G98" s="7">
        <v>1</v>
      </c>
      <c r="H98" s="21" t="s">
        <v>855</v>
      </c>
      <c r="I98" s="13">
        <v>42969.611203703702</v>
      </c>
      <c r="J98" s="7">
        <v>0</v>
      </c>
      <c r="K98" s="89" t="str">
        <f t="shared" si="37"/>
        <v>4055/4056</v>
      </c>
      <c r="L98" s="217" t="str">
        <f>VLOOKUP(A98,'Trips&amp;Operators'!$C$1:$G$99911,5,FALSE)</f>
        <v>THOMPSON LESTER</v>
      </c>
      <c r="M98" s="6">
        <f t="shared" si="38"/>
        <v>2.693287036527181E-2</v>
      </c>
      <c r="N98" s="7">
        <f t="shared" si="39"/>
        <v>38.783333325991407</v>
      </c>
      <c r="O98" s="7"/>
      <c r="P98" s="7"/>
      <c r="Q98" s="22"/>
      <c r="R98" s="170"/>
      <c r="S98" s="213">
        <f t="shared" si="40"/>
        <v>1</v>
      </c>
      <c r="T98" s="195" t="str">
        <f t="shared" si="41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2"/>
        <v>https://d0f6bd738d7f1b3e5a7ca70fe4ff75f0.us-east-1.aws.found.io/app/kibana#/discover/Steve-Slow-Train-Analysis-(2080s-and-2083s)?_g=(refreshInterval:(display:Off,pause:!f,section:0,value:0),time:(from:'2017-08-22T12:58:55-0600',mode:absolute,to:'2017-08-22T15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8" s="197" t="str">
        <f>IF(AA98&lt;VLOOKUP(AG98,Variables!$AC$3:$AD$8,2,FALSE),"Y","N")</f>
        <v>N</v>
      </c>
      <c r="X98" s="197">
        <f t="shared" si="43"/>
        <v>1</v>
      </c>
      <c r="Y98" s="197">
        <f t="shared" si="44"/>
        <v>4.6399999999999997E-2</v>
      </c>
      <c r="Z98" s="197">
        <f t="shared" si="45"/>
        <v>23.331600000000002</v>
      </c>
      <c r="AA98" s="197">
        <f t="shared" si="46"/>
        <v>23.285200000000003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47"/>
        <v>183</v>
      </c>
      <c r="AE98" s="77" t="str">
        <f t="shared" si="48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98" s="74" t="str">
        <f t="shared" si="49"/>
        <v>"C:\Program Files (x86)\AstroGrep\AstroGrep.exe" /e /r /s /spath="%USERPROFILE%\AppData\Local\Temp\OnboardLogs" /stypes="app*4056*20170822*" /stext=" 20:.+((SYSTEM_STATE.+slice.+state.+changed )|(ment ac)|(multiple cpu faults)|(system.+state.+changed )|(\[timeout)|(PRM\|1\|D)|(kpr)|(kdp)|(train st.+moving)|(\|lc)|(penalty))"</v>
      </c>
      <c r="AG98" s="209" t="str">
        <f t="shared" si="50"/>
        <v>EC</v>
      </c>
      <c r="AH98" s="78" t="str">
        <f t="shared" si="51"/>
        <v>"%USERPROFILE%\Documents\GitHub\eaglep3\Utilities\RefineRTDCRunTimes.py" --tripid 183-22 --locoid 4056 --swversion DE.1.0.9.0 --startMP 204:464 --initTime 2017-08-22T13:58:55 --startdatetime 2017-08-22T14:01:21 --delay 1 --endMP 204:233316 --enddatetime 2017-08-22T14:40:08 --enforcementcount 0 &gt;&gt;C:\Users\stu\Documents\GitHub\eaglep3-reporting\EC\2017-08-22-refined-times.txt</v>
      </c>
      <c r="AI98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{"issue":{"subject":"","project_id":79,"tracker_id":40,"status_id":1,"priority_id":2,"assigned_to_id":23,"start_date":"2017-08-22","description":"","custom_fields":[{"id":1,"name":"Subdivision","value":"EC"},{"id":4,"name":"Milepost","value":"23.3316"},{"id":17,"name":"Train ID","value":"183-22"},{"id":16,"name":"Locomotive ID","value":"4056"},{"id":130,"name":"Impact","value":""},{"id":150,"name":"Time of Event (Mountain Time)","value":"14:40:08"},{"id":151,"name":"Denver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3"/>
        <v>start /low /b %USERPROFILE%\Documents\GitHub\eaglep3\Utilities\DownloadLogsFromS3.py --loco 4056 --day 2017-08-22</v>
      </c>
      <c r="AN98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709</v>
      </c>
      <c r="B99" s="7">
        <v>4055</v>
      </c>
      <c r="C99" s="21" t="s">
        <v>198</v>
      </c>
      <c r="D99" s="21" t="s">
        <v>856</v>
      </c>
      <c r="E99" s="13">
        <v>42969.621967592589</v>
      </c>
      <c r="F99" s="13">
        <v>42969.634768518517</v>
      </c>
      <c r="G99" s="7">
        <v>17</v>
      </c>
      <c r="H99" s="21" t="s">
        <v>357</v>
      </c>
      <c r="I99" s="13">
        <v>42969.656006944446</v>
      </c>
      <c r="J99" s="7">
        <v>0</v>
      </c>
      <c r="K99" s="89" t="str">
        <f t="shared" si="37"/>
        <v>4055/4056</v>
      </c>
      <c r="L99" s="217" t="str">
        <f>VLOOKUP(A99,'Trips&amp;Operators'!$C$1:$G$99911,5,FALSE)</f>
        <v>THOMPSON LESTER</v>
      </c>
      <c r="M99" s="6">
        <f t="shared" si="38"/>
        <v>2.1238425928459037E-2</v>
      </c>
      <c r="N99" s="7"/>
      <c r="O99" s="7"/>
      <c r="P99" s="7">
        <f t="shared" si="39"/>
        <v>30.583333336981013</v>
      </c>
      <c r="Q99" s="22"/>
      <c r="R99" s="170" t="s">
        <v>995</v>
      </c>
      <c r="S99" s="213">
        <f t="shared" si="40"/>
        <v>0</v>
      </c>
      <c r="T99" s="195" t="str">
        <f t="shared" si="41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196" t="str">
        <f t="shared" si="42"/>
        <v>https://d0f6bd738d7f1b3e5a7ca70fe4ff75f0.us-east-1.aws.found.io/app/kibana#/discover/Steve-Slow-Train-Analysis-(2080s-and-2083s)?_g=(refreshInterval:(display:Off,pause:!f,section:0,value:0),time:(from:'2017-08-22T13:55:38-0600',mode:absolute,to:'2017-08-22T16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9" s="197" t="str">
        <f>IF(AA99&lt;VLOOKUP(AG99,Variables!$AC$3:$AD$8,2,FALSE),"Y","N")</f>
        <v>Y</v>
      </c>
      <c r="X99" s="197">
        <f t="shared" si="43"/>
        <v>1</v>
      </c>
      <c r="Y99" s="197">
        <f t="shared" si="44"/>
        <v>15.401999999999999</v>
      </c>
      <c r="Z99" s="197">
        <f t="shared" si="45"/>
        <v>23.299600000000002</v>
      </c>
      <c r="AA99" s="197">
        <f t="shared" si="46"/>
        <v>7.8976000000000024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47"/>
        <v>184</v>
      </c>
      <c r="AE99" s="77" t="str">
        <f t="shared" si="48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99" s="74" t="str">
        <f t="shared" si="49"/>
        <v>"C:\Program Files (x86)\AstroGrep\AstroGrep.exe" /e /r /s /spath="%USERPROFILE%\AppData\Local\Temp\OnboardLogs" /stypes="app*4055*20170822*" /stext=" 21:.+((SYSTEM_STATE.+slice.+state.+changed )|(ment ac)|(multiple cpu faults)|(system.+state.+changed )|(\[timeout)|(PRM\|1\|D)|(kpr)|(kdp)|(train st.+moving)|(\|lc)|(penalty))"</v>
      </c>
      <c r="AG99" s="209" t="str">
        <f t="shared" si="50"/>
        <v>EC</v>
      </c>
      <c r="AH99" s="78" t="str">
        <f t="shared" si="51"/>
        <v>"%USERPROFILE%\Documents\GitHub\eaglep3\Utilities\RefineRTDCRunTimes.py" --tripid 184-22 --locoid 4055 --swversion DE.1.0.9.0 --startMP 204:154020 --initTime 2017-08-22T14:55:38 --startdatetime 2017-08-22T15:14:04 --delay 17 --endMP 204:232996 --enddatetime 2017-08-22T15:44:39 --enforcementcount 0 &gt;&gt;C:\Users\stu\Documents\GitHub\eaglep3-reporting\EC\2017-08-22-refined-times.txt</v>
      </c>
      <c r="AI99" s="96" t="str">
        <f t="shared" si="52"/>
        <v>echo {"issue":{"subject":"Onboard in-route failure","project_id":79,"tracker_id":40,"status_id":1,"priority_id":2,"assigned_to_id":23,"start_date":"2017-08-22","description":"","custom_fields":[{"id":1,"name":"Subdivision","value":"EC"},{"id":4,"name":"Milepost","value":"23.2996"},{"id":17,"name":"Train ID","value":"184-22"},{"id":16,"name":"Locomotive ID","value":"4055"},{"id":130,"name":"Impact","value":""},{"id":150,"name":"Time of Event (Mountain Time)","value":"15:44:39"},{"id":151,"name":"Denver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3"/>
        <v>start /low /b %USERPROFILE%\Documents\GitHub\eaglep3\Utilities\DownloadLogsFromS3.py --loco 4055 --day 2017-08-22</v>
      </c>
      <c r="AN99" s="151" t="str">
        <f t="shared" si="54"/>
        <v>echo {"issue":{"subject":"Onboard in-route failure","project_id":30,"tracker_id":4,"status_id":1,"priority_id":1,"assigned_to_id":10,"start_date":"2017-08-22","description":"","custom_fields":[{"id":30,"name":"Category","value":"Issue"},{"id":3,"name":"Functional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705</v>
      </c>
      <c r="B100" s="7">
        <v>4054</v>
      </c>
      <c r="C100" s="21" t="s">
        <v>198</v>
      </c>
      <c r="D100" s="21" t="s">
        <v>857</v>
      </c>
      <c r="E100" s="13">
        <v>42969.602650462963</v>
      </c>
      <c r="F100" s="13">
        <v>42969.603506944448</v>
      </c>
      <c r="G100" s="7">
        <v>1</v>
      </c>
      <c r="H100" s="21" t="s">
        <v>858</v>
      </c>
      <c r="I100" s="13">
        <v>42969.628310185188</v>
      </c>
      <c r="J100" s="7">
        <v>0</v>
      </c>
      <c r="K100" s="89" t="str">
        <f t="shared" si="37"/>
        <v>4053/4054</v>
      </c>
      <c r="L100" s="217" t="str">
        <f>VLOOKUP(A100,'Trips&amp;Operators'!$C$1:$G$99911,5,FALSE)</f>
        <v>DAVIS MICHAEL</v>
      </c>
      <c r="M100" s="6">
        <f t="shared" si="38"/>
        <v>2.4803240739856847E-2</v>
      </c>
      <c r="N100" s="7"/>
      <c r="O100" s="7"/>
      <c r="P100" s="7">
        <f t="shared" si="39"/>
        <v>35.716666665393859</v>
      </c>
      <c r="Q100" s="22"/>
      <c r="R100" s="170" t="s">
        <v>997</v>
      </c>
      <c r="S100" s="213">
        <f t="shared" si="40"/>
        <v>1</v>
      </c>
      <c r="T100" s="195" t="str">
        <f t="shared" si="41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2"/>
        <v>https://d0f6bd738d7f1b3e5a7ca70fe4ff75f0.us-east-1.aws.found.io/app/kibana#/discover/Steve-Slow-Train-Analysis-(2080s-and-2083s)?_g=(refreshInterval:(display:Off,pause:!f,section:0,value:0),time:(from:'2017-08-22T13:27:49-0600',mode:absolute,to:'2017-08-22T16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97" t="str">
        <f>IF(AA100&lt;VLOOKUP(AG100,Variables!$AC$3:$AD$8,2,FALSE),"Y","N")</f>
        <v>Y</v>
      </c>
      <c r="X100" s="197">
        <f t="shared" si="43"/>
        <v>1</v>
      </c>
      <c r="Y100" s="197">
        <f t="shared" si="44"/>
        <v>1.9123000000000001</v>
      </c>
      <c r="Z100" s="197">
        <f t="shared" si="45"/>
        <v>23.3353</v>
      </c>
      <c r="AA100" s="197">
        <f t="shared" si="46"/>
        <v>21.423000000000002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47"/>
        <v>185</v>
      </c>
      <c r="AE100" s="77" t="str">
        <f t="shared" si="48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00" s="74" t="str">
        <f t="shared" si="49"/>
        <v>"C:\Program Files (x86)\AstroGrep\AstroGrep.exe" /e /r /s /spath="%USERPROFILE%\AppData\Local\Temp\OnboardLogs" /stypes="app*4054*20170822*" /stext=" 21:.+((SYSTEM_STATE.+slice.+state.+changed )|(ment ac)|(multiple cpu faults)|(system.+state.+changed )|(\[timeout)|(PRM\|1\|D)|(kpr)|(kdp)|(train st.+moving)|(\|lc)|(penalty))"</v>
      </c>
      <c r="AG100" s="209" t="str">
        <f t="shared" si="50"/>
        <v>EC</v>
      </c>
      <c r="AH100" s="78" t="str">
        <f t="shared" si="51"/>
        <v>"%USERPROFILE%\Documents\GitHub\eaglep3\Utilities\RefineRTDCRunTimes.py" --tripid 185-22 --locoid 4054 --swversion DE.1.0.9.0 --startMP 204:19123 --initTime 2017-08-22T14:27:49 --startdatetime 2017-08-22T14:29:03 --delay 1 --endMP 204:233353 --enddatetime 2017-08-22T15:04:46 --enforcementcount 0 &gt;&gt;C:\Users\stu\Documents\GitHub\eaglep3-reporting\EC\2017-08-22-refined-times.txt</v>
      </c>
      <c r="AI100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DUS","project_id":79,"tracker_id":40,"status_id":1,"priority_id":2,"assigned_to_id":23,"start_date":"2017-08-22","description":"","custom_fields":[{"id":1,"name":"Subdivision","value":"EC"},{"id":4,"name":"Milepost","value":"23.3353"},{"id":17,"name":"Train ID","value":"185-22"},{"id":16,"name":"Locomotive ID","value":"4054"},{"id":130,"name":"Impact","value":""},{"id":150,"name":"Time of Event (Mountain Time)","value":"15:04:46"},{"id":151,"name":"Denver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3"/>
        <v>start /low /b %USERPROFILE%\Documents\GitHub\eaglep3\Utilities\DownloadLogsFromS3.py --loco 4054 --day 2017-08-22</v>
      </c>
      <c r="AN100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705</v>
      </c>
      <c r="B101" s="7">
        <v>4054</v>
      </c>
      <c r="C101" s="21" t="s">
        <v>198</v>
      </c>
      <c r="D101" s="21" t="s">
        <v>859</v>
      </c>
      <c r="E101" s="13">
        <v>42969.593935185185</v>
      </c>
      <c r="F101" s="13">
        <v>42969.603506944448</v>
      </c>
      <c r="G101" s="7">
        <v>6</v>
      </c>
      <c r="H101" s="21" t="s">
        <v>860</v>
      </c>
      <c r="I101" s="13">
        <v>42969.628310185188</v>
      </c>
      <c r="J101" s="7">
        <v>0</v>
      </c>
      <c r="K101" s="89" t="str">
        <f t="shared" si="37"/>
        <v>4053/4054</v>
      </c>
      <c r="L101" s="217" t="str">
        <f>VLOOKUP(A101,'Trips&amp;Operators'!$C$1:$G$99911,5,FALSE)</f>
        <v>DAVIS MICHAEL</v>
      </c>
      <c r="M101" s="6">
        <f t="shared" si="38"/>
        <v>2.4803240739856847E-2</v>
      </c>
      <c r="N101" s="7"/>
      <c r="O101" s="7"/>
      <c r="P101" s="7"/>
      <c r="Q101" s="22"/>
      <c r="R101" s="170"/>
      <c r="S101" s="213"/>
      <c r="T101" s="195" t="str">
        <f t="shared" si="41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96" t="str">
        <f t="shared" si="42"/>
        <v>https://d0f6bd738d7f1b3e5a7ca70fe4ff75f0.us-east-1.aws.found.io/app/kibana#/discover/Steve-Slow-Train-Analysis-(2080s-and-2083s)?_g=(refreshInterval:(display:Off,pause:!f,section:0,value:0),time:(from:'2017-08-22T13:15:16-0600',mode:absolute,to:'2017-08-22T16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7" t="str">
        <f>IF(AA101&lt;VLOOKUP(AG101,Variables!$AC$3:$AD$8,2,FALSE),"Y","N")</f>
        <v>Y</v>
      </c>
      <c r="X101" s="197">
        <f t="shared" si="43"/>
        <v>0</v>
      </c>
      <c r="Y101" s="197">
        <f t="shared" si="44"/>
        <v>0.25890000000000002</v>
      </c>
      <c r="Z101" s="197">
        <f t="shared" si="45"/>
        <v>0.65139999999999998</v>
      </c>
      <c r="AA101" s="197">
        <f t="shared" si="46"/>
        <v>0.39249999999999996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47"/>
        <v>185</v>
      </c>
      <c r="AE101" s="77" t="str">
        <f t="shared" si="48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01" s="74" t="str">
        <f t="shared" si="49"/>
        <v>"C:\Program Files (x86)\AstroGrep\AstroGrep.exe" /e /r /s /spath="%USERPROFILE%\AppData\Local\Temp\OnboardLogs" /stypes="app*4054*20170822*" /stext=" 21:.+((SYSTEM_STATE.+slice.+state.+changed )|(ment ac)|(multiple cpu faults)|(system.+state.+changed )|(\[timeout)|(PRM\|1\|D)|(kpr)|(kdp)|(train st.+moving)|(\|lc)|(penalty))"</v>
      </c>
      <c r="AG101" s="209" t="str">
        <f t="shared" si="50"/>
        <v>EC</v>
      </c>
      <c r="AH101" s="78" t="str">
        <f t="shared" si="51"/>
        <v>"%USERPROFILE%\Documents\GitHub\eaglep3\Utilities\RefineRTDCRunTimes.py" --tripid 185-22 --locoid 4054 --swversion DE.1.0.9.0 --startMP 204:2589 --initTime 2017-08-22T14:15:16 --startdatetime 2017-08-22T14:29:03 --delay 6 --endMP 204:6514 --enddatetime 2017-08-22T15:04:46 --enforcementcount 0 &gt;&gt;C:\Users\stu\Documents\GitHub\eaglep3-reporting\EC\2017-08-22-refined-times.txt</v>
      </c>
      <c r="AI101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{"issue":{"subject":"","project_id":79,"tracker_id":40,"status_id":1,"priority_id":2,"assigned_to_id":23,"start_date":"2017-08-22","description":"","custom_fields":[{"id":1,"name":"Subdivision","value":"EC"},{"id":4,"name":"Milepost","value":"0.6514"},{"id":17,"name":"Train ID","value":"185-22"},{"id":16,"name":"Locomotive ID","value":"4054"},{"id":130,"name":"Impact","value":""},{"id":150,"name":"Time of Event (Mountain Time)","value":"15:04:46"},{"id":151,"name":"Denver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3"/>
        <v>start /low /b %USERPROFILE%\Documents\GitHub\eaglep3\Utilities\DownloadLogsFromS3.py --loco 4054 --day 2017-08-22</v>
      </c>
      <c r="AN101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711</v>
      </c>
      <c r="B102" s="7">
        <v>4053</v>
      </c>
      <c r="C102" s="21" t="s">
        <v>198</v>
      </c>
      <c r="D102" s="21" t="s">
        <v>525</v>
      </c>
      <c r="E102" s="13">
        <v>42969.632037037038</v>
      </c>
      <c r="F102" s="13">
        <v>42969.633819444447</v>
      </c>
      <c r="G102" s="7">
        <v>1</v>
      </c>
      <c r="H102" s="21" t="s">
        <v>861</v>
      </c>
      <c r="I102" s="13">
        <v>42969.663217592592</v>
      </c>
      <c r="J102" s="7">
        <v>0</v>
      </c>
      <c r="K102" s="89" t="str">
        <f t="shared" si="37"/>
        <v>4053/4054</v>
      </c>
      <c r="L102" s="217" t="str">
        <f>VLOOKUP(A102,'Trips&amp;Operators'!$C$1:$G$99911,5,FALSE)</f>
        <v>DAVIS MICHAEL</v>
      </c>
      <c r="M102" s="6">
        <f t="shared" si="38"/>
        <v>2.9398148144537117E-2</v>
      </c>
      <c r="N102" s="7">
        <f t="shared" si="39"/>
        <v>42.333333328133449</v>
      </c>
      <c r="O102" s="7"/>
      <c r="P102" s="7"/>
      <c r="Q102" s="22"/>
      <c r="R102" s="170" t="s">
        <v>997</v>
      </c>
      <c r="S102" s="213">
        <f t="shared" si="40"/>
        <v>1</v>
      </c>
      <c r="T102" s="195" t="str">
        <f t="shared" si="41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2"/>
        <v>https://d0f6bd738d7f1b3e5a7ca70fe4ff75f0.us-east-1.aws.found.io/app/kibana#/discover/Steve-Slow-Train-Analysis-(2080s-and-2083s)?_g=(refreshInterval:(display:Off,pause:!f,section:0,value:0),time:(from:'2017-08-22T14:10:08-0600',mode:absolute,to:'2017-08-22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7" t="str">
        <f>IF(AA102&lt;VLOOKUP(AG102,Variables!$AC$3:$AD$8,2,FALSE),"Y","N")</f>
        <v>Y</v>
      </c>
      <c r="X102" s="197">
        <f t="shared" si="43"/>
        <v>1</v>
      </c>
      <c r="Y102" s="197">
        <f t="shared" si="44"/>
        <v>23.305299999999999</v>
      </c>
      <c r="Z102" s="197">
        <f t="shared" si="45"/>
        <v>1.0089999999999999</v>
      </c>
      <c r="AA102" s="197">
        <f t="shared" si="46"/>
        <v>22.296299999999999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47"/>
        <v>186</v>
      </c>
      <c r="AE102" s="77" t="str">
        <f t="shared" si="48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102" s="74" t="str">
        <f t="shared" si="49"/>
        <v>"C:\Program Files (x86)\AstroGrep\AstroGrep.exe" /e /r /s /spath="%USERPROFILE%\AppData\Local\Temp\OnboardLogs" /stypes="app*4053*20170822*" /stext=" 21:.+((SYSTEM_STATE.+slice.+state.+changed )|(ment ac)|(multiple cpu faults)|(system.+state.+changed )|(\[timeout)|(PRM\|1\|D)|(kpr)|(kdp)|(train st.+moving)|(\|lc)|(penalty))"</v>
      </c>
      <c r="AG102" s="209" t="str">
        <f t="shared" si="50"/>
        <v>EC</v>
      </c>
      <c r="AH102" s="78" t="str">
        <f t="shared" si="51"/>
        <v>"%USERPROFILE%\Documents\GitHub\eaglep3\Utilities\RefineRTDCRunTimes.py" --tripid 186-22 --locoid 4053 --swversion DE.1.0.9.0 --startMP 204:233053 --initTime 2017-08-22T15:10:08 --startdatetime 2017-08-22T15:12:42 --delay 1 --endMP 204:10090 --enddatetime 2017-08-22T15:55:02 --enforcementcount 0 &gt;&gt;C:\Users\stu\Documents\GitHub\eaglep3-reporting\EC\2017-08-22-refined-times.txt</v>
      </c>
      <c r="AI102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DUS","project_id":79,"tracker_id":40,"status_id":1,"priority_id":2,"assigned_to_id":23,"start_date":"2017-08-22","description":"","custom_fields":[{"id":1,"name":"Subdivision","value":"EC"},{"id":4,"name":"Milepost","value":"1.009"},{"id":17,"name":"Train ID","value":"186-22"},{"id":16,"name":"Locomotive ID","value":"4053"},{"id":130,"name":"Impact","value":""},{"id":150,"name":"Time of Event (Mountain Time)","value":"15:55:02"},{"id":151,"name":"Denver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3"/>
        <v>start /low /b %USERPROFILE%\Documents\GitHub\eaglep3\Utilities\DownloadLogsFromS3.py --loco 4053 --day 2017-08-22</v>
      </c>
      <c r="AN102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706</v>
      </c>
      <c r="B103" s="7">
        <v>4012</v>
      </c>
      <c r="C103" s="21" t="s">
        <v>198</v>
      </c>
      <c r="D103" s="21" t="s">
        <v>862</v>
      </c>
      <c r="E103" s="13">
        <v>42969.599780092591</v>
      </c>
      <c r="F103" s="13">
        <v>42969.60565972222</v>
      </c>
      <c r="G103" s="7">
        <v>8</v>
      </c>
      <c r="H103" s="21" t="s">
        <v>461</v>
      </c>
      <c r="I103" s="13">
        <v>42969.631932870368</v>
      </c>
      <c r="J103" s="7">
        <v>0</v>
      </c>
      <c r="K103" s="89" t="str">
        <f t="shared" si="37"/>
        <v>4011/4012</v>
      </c>
      <c r="L103" s="217" t="str">
        <f>VLOOKUP(A103,'Trips&amp;Operators'!$C$1:$G$99911,5,FALSE)</f>
        <v>MCREYNOLDS KYLE</v>
      </c>
      <c r="M103" s="6">
        <f t="shared" si="38"/>
        <v>2.6273148148902692E-2</v>
      </c>
      <c r="N103" s="7">
        <f t="shared" si="39"/>
        <v>37.833333334419876</v>
      </c>
      <c r="O103" s="7"/>
      <c r="P103" s="7"/>
      <c r="Q103" s="22"/>
      <c r="R103" s="170"/>
      <c r="S103" s="213">
        <f t="shared" si="40"/>
        <v>1</v>
      </c>
      <c r="T103" s="195" t="str">
        <f t="shared" si="41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2"/>
        <v>https://d0f6bd738d7f1b3e5a7ca70fe4ff75f0.us-east-1.aws.found.io/app/kibana#/discover/Steve-Slow-Train-Analysis-(2080s-and-2083s)?_g=(refreshInterval:(display:Off,pause:!f,section:0,value:0),time:(from:'2017-08-22T13:23:41-0600',mode:absolute,to:'2017-08-22T16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197" t="str">
        <f>IF(AA103&lt;VLOOKUP(AG103,Variables!$AC$3:$AD$8,2,FALSE),"Y","N")</f>
        <v>N</v>
      </c>
      <c r="X103" s="197">
        <f t="shared" si="43"/>
        <v>1</v>
      </c>
      <c r="Y103" s="197">
        <f t="shared" si="44"/>
        <v>0.20039999999999999</v>
      </c>
      <c r="Z103" s="197">
        <f t="shared" si="45"/>
        <v>23.3368</v>
      </c>
      <c r="AA103" s="197">
        <f t="shared" si="46"/>
        <v>23.136400000000002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si="47"/>
        <v>187</v>
      </c>
      <c r="AE103" s="77" t="str">
        <f t="shared" si="48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103" s="74" t="str">
        <f t="shared" si="49"/>
        <v>"C:\Program Files (x86)\AstroGrep\AstroGrep.exe" /e /r /s /spath="%USERPROFILE%\AppData\Local\Temp\OnboardLogs" /stypes="app*4012*20170822*" /stext=" 21:.+((SYSTEM_STATE.+slice.+state.+changed )|(ment ac)|(multiple cpu faults)|(system.+state.+changed )|(\[timeout)|(PRM\|1\|D)|(kpr)|(kdp)|(train st.+moving)|(\|lc)|(penalty))"</v>
      </c>
      <c r="AG103" s="209" t="str">
        <f t="shared" si="50"/>
        <v>EC</v>
      </c>
      <c r="AH103" s="78" t="str">
        <f t="shared" si="51"/>
        <v>"%USERPROFILE%\Documents\GitHub\eaglep3\Utilities\RefineRTDCRunTimes.py" --tripid 187-22 --locoid 4012 --swversion DE.1.0.9.0 --startMP 204:2004 --initTime 2017-08-22T14:23:41 --startdatetime 2017-08-22T14:32:09 --delay 8 --endMP 204:233368 --enddatetime 2017-08-22T15:09:59 --enforcementcount 0 &gt;&gt;C:\Users\stu\Documents\GitHub\eaglep3-reporting\EC\2017-08-22-refined-times.txt</v>
      </c>
      <c r="AI103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{"issue":{"subject":"","project_id":79,"tracker_id":40,"status_id":1,"priority_id":2,"assigned_to_id":23,"start_date":"2017-08-22","description":"","custom_fields":[{"id":1,"name":"Subdivision","value":"EC"},{"id":4,"name":"Milepost","value":"23.3368"},{"id":17,"name":"Train ID","value":"187-22"},{"id":16,"name":"Locomotive ID","value":"4012"},{"id":130,"name":"Impact","value":""},{"id":150,"name":"Time of Event (Mountain Time)","value":"15:09:59"},{"id":151,"name":"Denver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3"/>
        <v>start /low /b %USERPROFILE%\Documents\GitHub\eaglep3\Utilities\DownloadLogsFromS3.py --loco 4012 --day 2017-08-22</v>
      </c>
      <c r="AN103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712</v>
      </c>
      <c r="B104" s="7">
        <v>4011</v>
      </c>
      <c r="C104" s="21" t="s">
        <v>198</v>
      </c>
      <c r="D104" s="21" t="s">
        <v>415</v>
      </c>
      <c r="E104" s="13">
        <v>42969.633043981485</v>
      </c>
      <c r="F104" s="13">
        <v>42969.644097222219</v>
      </c>
      <c r="G104" s="7">
        <v>1</v>
      </c>
      <c r="H104" s="21" t="s">
        <v>863</v>
      </c>
      <c r="I104" s="13">
        <v>42969.67114583333</v>
      </c>
      <c r="J104" s="7">
        <v>0</v>
      </c>
      <c r="K104" s="89" t="str">
        <f t="shared" si="37"/>
        <v>4011/4012</v>
      </c>
      <c r="L104" s="217" t="str">
        <f>VLOOKUP(A104,'Trips&amp;Operators'!$C$1:$G$99911,5,FALSE)</f>
        <v>MCREYNOLDS KYLE</v>
      </c>
      <c r="M104" s="6">
        <f t="shared" si="38"/>
        <v>2.7048611111240461E-2</v>
      </c>
      <c r="N104" s="7">
        <f t="shared" si="39"/>
        <v>38.950000000186265</v>
      </c>
      <c r="O104" s="7"/>
      <c r="P104" s="7"/>
      <c r="Q104" s="22"/>
      <c r="R104" s="170" t="s">
        <v>1002</v>
      </c>
      <c r="S104" s="213">
        <f t="shared" si="40"/>
        <v>1</v>
      </c>
      <c r="T104" s="195" t="str">
        <f t="shared" si="41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2"/>
        <v>https://d0f6bd738d7f1b3e5a7ca70fe4ff75f0.us-east-1.aws.found.io/app/kibana#/discover/Steve-Slow-Train-Analysis-(2080s-and-2083s)?_g=(refreshInterval:(display:Off,pause:!f,section:0,value:0),time:(from:'2017-08-22T14:11:35-0600',mode:absolute,to:'2017-08-22T17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97" t="str">
        <f>IF(AA104&lt;VLOOKUP(AG104,Variables!$AC$3:$AD$8,2,FALSE),"Y","N")</f>
        <v>Y</v>
      </c>
      <c r="X104" s="197">
        <f t="shared" si="43"/>
        <v>1</v>
      </c>
      <c r="Y104" s="197">
        <f t="shared" si="44"/>
        <v>23.303599999999999</v>
      </c>
      <c r="Z104" s="197">
        <f t="shared" si="45"/>
        <v>0.53800000000000003</v>
      </c>
      <c r="AA104" s="197">
        <f t="shared" si="46"/>
        <v>22.765599999999999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47"/>
        <v>188</v>
      </c>
      <c r="AE104" s="77" t="str">
        <f t="shared" si="48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104" s="74" t="str">
        <f t="shared" si="49"/>
        <v>"C:\Program Files (x86)\AstroGrep\AstroGrep.exe" /e /r /s /spath="%USERPROFILE%\AppData\Local\Temp\OnboardLogs" /stypes="app*4011*20170822*" /stext=" 22:.+((SYSTEM_STATE.+slice.+state.+changed )|(ment ac)|(multiple cpu faults)|(system.+state.+changed )|(\[timeout)|(PRM\|1\|D)|(kpr)|(kdp)|(train st.+moving)|(\|lc)|(penalty))"</v>
      </c>
      <c r="AG104" s="209" t="str">
        <f t="shared" si="50"/>
        <v>EC</v>
      </c>
      <c r="AH104" s="78" t="str">
        <f t="shared" si="51"/>
        <v>"%USERPROFILE%\Documents\GitHub\eaglep3\Utilities\RefineRTDCRunTimes.py" --tripid 188-22 --locoid 4011 --swversion DE.1.0.9.0 --startMP 204:233036 --initTime 2017-08-22T15:11:35 --startdatetime 2017-08-22T15:27:30 --delay 1 --endMP 204:5380 --enddatetime 2017-08-22T16:06:27 --enforcementcount 0 &gt;&gt;C:\Users\stu\Documents\GitHub\eaglep3-reporting\EC\2017-08-22-refined-times.txt</v>
      </c>
      <c r="AI104" s="96" t="str">
        <f t="shared" si="52"/>
        <v>echo {"issue":{"subject":"False occupancy at DUS; no red fence at Dahlia found (incident 52691)","project_id":79,"tracker_id":40,"status_id":1,"priority_id":2,"assigned_to_id":23,"start_date":"2017-08-22","description":"","custom_fields":[{"id":1,"name":"Subdivision","value":"EC"},{"id":4,"name":"Milepost","value":"0.538"},{"id":17,"name":"Train ID","value":"188-22"},{"id":16,"name":"Locomotive ID","value":"4011"},{"id":130,"name":"Impact","value":""},{"id":150,"name":"Time of Event (Mountain Time)","value":"16:06:27"},{"id":151,"name":"Denver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3"/>
        <v>start /low /b %USERPROFILE%\Documents\GitHub\eaglep3\Utilities\DownloadLogsFromS3.py --loco 4011 --day 2017-08-22</v>
      </c>
      <c r="AN104" s="151" t="str">
        <f t="shared" si="54"/>
        <v>echo {"issue":{"subject":"False occupancy at DUS; no red fence at Dahlia found (incident 52691)","project_id":30,"tracker_id":4,"status_id":1,"priority_id":1,"assigned_to_id":10,"start_date":"2017-08-22","description":"","custom_fields":[{"id":30,"name":"Category","value":"Issue"},{"id":3,"name":"Functional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581</v>
      </c>
      <c r="B105" s="7">
        <v>4018</v>
      </c>
      <c r="C105" s="21" t="s">
        <v>198</v>
      </c>
      <c r="D105" s="21" t="s">
        <v>864</v>
      </c>
      <c r="E105" s="13">
        <v>42969.620381944442</v>
      </c>
      <c r="F105" s="13">
        <v>42969.621296296296</v>
      </c>
      <c r="G105" s="7">
        <v>1</v>
      </c>
      <c r="H105" s="21" t="s">
        <v>865</v>
      </c>
      <c r="I105" s="13">
        <v>42969.644849537035</v>
      </c>
      <c r="J105" s="7">
        <v>0</v>
      </c>
      <c r="K105" s="89" t="str">
        <f t="shared" si="37"/>
        <v>4017/4018</v>
      </c>
      <c r="L105" s="217" t="str">
        <f>VLOOKUP(A105,'Trips&amp;Operators'!$C$1:$G$99911,5,FALSE)</f>
        <v>TOUSIGNAUT CARL</v>
      </c>
      <c r="M105" s="6">
        <f t="shared" si="38"/>
        <v>2.3553240738692693E-2</v>
      </c>
      <c r="N105" s="7"/>
      <c r="O105" s="7"/>
      <c r="P105" s="7">
        <f t="shared" si="39"/>
        <v>33.916666663717479</v>
      </c>
      <c r="Q105" s="22"/>
      <c r="R105" s="170" t="s">
        <v>998</v>
      </c>
      <c r="S105" s="213">
        <f t="shared" si="40"/>
        <v>1</v>
      </c>
      <c r="T105" s="195" t="str">
        <f t="shared" si="41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2"/>
        <v>https://d0f6bd738d7f1b3e5a7ca70fe4ff75f0.us-east-1.aws.found.io/app/kibana#/discover/Steve-Slow-Train-Analysis-(2080s-and-2083s)?_g=(refreshInterval:(display:Off,pause:!f,section:0,value:0),time:(from:'2017-08-22T13:53:21-0600',mode:absolute,to:'2017-08-22T16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97" t="str">
        <f>IF(AA105&lt;VLOOKUP(AG105,Variables!$AC$3:$AD$8,2,FALSE),"Y","N")</f>
        <v>Y</v>
      </c>
      <c r="X105" s="197">
        <f t="shared" si="43"/>
        <v>1</v>
      </c>
      <c r="Y105" s="197">
        <f t="shared" si="44"/>
        <v>1.9136</v>
      </c>
      <c r="Z105" s="197">
        <f t="shared" si="45"/>
        <v>23.336400000000001</v>
      </c>
      <c r="AA105" s="197">
        <f t="shared" si="46"/>
        <v>21.422800000000002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47"/>
        <v>189</v>
      </c>
      <c r="AE105" s="77" t="str">
        <f t="shared" si="48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05" s="74" t="str">
        <f t="shared" si="49"/>
        <v>"C:\Program Files (x86)\AstroGrep\AstroGrep.exe" /e /r /s /spath="%USERPROFILE%\AppData\Local\Temp\OnboardLogs" /stypes="app*4018*20170822*" /stext=" 21:.+((SYSTEM_STATE.+slice.+state.+changed )|(ment ac)|(multiple cpu faults)|(system.+state.+changed )|(\[timeout)|(PRM\|1\|D)|(kpr)|(kdp)|(train st.+moving)|(\|lc)|(penalty))"</v>
      </c>
      <c r="AG105" s="209" t="str">
        <f t="shared" si="50"/>
        <v>EC</v>
      </c>
      <c r="AH105" s="78" t="str">
        <f t="shared" si="51"/>
        <v>"%USERPROFILE%\Documents\GitHub\eaglep3\Utilities\RefineRTDCRunTimes.py" --tripid 189-22 --locoid 4018 --swversion DE.1.0.9.0 --startMP 204:19136 --initTime 2017-08-22T14:53:21 --startdatetime 2017-08-22T14:54:40 --delay 1 --endMP 204:233364 --enddatetime 2017-08-22T15:28:35 --enforcementcount 0 &gt;&gt;C:\Users\stu\Documents\GitHub\eaglep3-reporting\EC\2017-08-22-refined-times.txt</v>
      </c>
      <c r="AI105" s="96" t="str">
        <f t="shared" si="52"/>
        <v>echo {"issue":{"subject":"Went active too close to signal","project_id":79,"tracker_id":40,"status_id":1,"priority_id":2,"assigned_to_id":23,"start_date":"2017-08-22","description":"","custom_fields":[{"id":1,"name":"Subdivision","value":"EC"},{"id":4,"name":"Milepost","value":"23.3364"},{"id":17,"name":"Train ID","value":"189-22"},{"id":16,"name":"Locomotive ID","value":"4018"},{"id":130,"name":"Impact","value":""},{"id":150,"name":"Time of Event (Mountain Time)","value":"15:28:35"},{"id":151,"name":"Denver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3"/>
        <v>start /low /b %USERPROFILE%\Documents\GitHub\eaglep3\Utilities\DownloadLogsFromS3.py --loco 4018 --day 2017-08-22</v>
      </c>
      <c r="AN105" s="151" t="str">
        <f t="shared" si="54"/>
        <v>echo {"issue":{"subject":"Went active too close to signal","project_id":30,"tracker_id":4,"status_id":1,"priority_id":1,"assigned_to_id":10,"start_date":"2017-08-22","description":"","custom_fields":[{"id":30,"name":"Category","value":"Issue"},{"id":3,"name":"Functional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21:28:35"},{"id":29,"name":"Sharepoint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581</v>
      </c>
      <c r="B106" s="7">
        <v>4018</v>
      </c>
      <c r="C106" s="21" t="s">
        <v>198</v>
      </c>
      <c r="D106" s="21" t="s">
        <v>866</v>
      </c>
      <c r="E106" s="13">
        <v>42969.613657407404</v>
      </c>
      <c r="F106" s="13">
        <v>42969.621296296296</v>
      </c>
      <c r="G106" s="7">
        <v>5</v>
      </c>
      <c r="H106" s="21" t="s">
        <v>867</v>
      </c>
      <c r="I106" s="13">
        <v>42969.644849537035</v>
      </c>
      <c r="J106" s="7">
        <v>0</v>
      </c>
      <c r="K106" s="89" t="str">
        <f t="shared" si="37"/>
        <v>4017/4018</v>
      </c>
      <c r="L106" s="217" t="str">
        <f>VLOOKUP(A106,'Trips&amp;Operators'!$C$1:$G$99911,5,FALSE)</f>
        <v>TOUSIGNAUT CARL</v>
      </c>
      <c r="M106" s="6">
        <f t="shared" si="38"/>
        <v>2.3553240738692693E-2</v>
      </c>
      <c r="N106" s="7"/>
      <c r="O106" s="7"/>
      <c r="P106" s="7"/>
      <c r="Q106" s="22"/>
      <c r="R106" s="170"/>
      <c r="S106" s="213"/>
      <c r="T106" s="195" t="str">
        <f t="shared" si="41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196" t="str">
        <f t="shared" si="42"/>
        <v>https://d0f6bd738d7f1b3e5a7ca70fe4ff75f0.us-east-1.aws.found.io/app/kibana#/discover/Steve-Slow-Train-Analysis-(2080s-and-2083s)?_g=(refreshInterval:(display:Off,pause:!f,section:0,value:0),time:(from:'2017-08-22T13:43:40-0600',mode:absolute,to:'2017-08-22T16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197" t="str">
        <f>IF(AA106&lt;VLOOKUP(AG106,Variables!$AC$3:$AD$8,2,FALSE),"Y","N")</f>
        <v>Y</v>
      </c>
      <c r="X106" s="197">
        <f t="shared" si="43"/>
        <v>0</v>
      </c>
      <c r="Y106" s="197">
        <f t="shared" si="44"/>
        <v>0.19450000000000001</v>
      </c>
      <c r="Z106" s="197">
        <f t="shared" si="45"/>
        <v>0.30109999999999998</v>
      </c>
      <c r="AA106" s="197">
        <f t="shared" si="46"/>
        <v>0.10659999999999997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47"/>
        <v>189</v>
      </c>
      <c r="AE106" s="77" t="str">
        <f t="shared" si="48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06" s="74" t="str">
        <f t="shared" si="49"/>
        <v>"C:\Program Files (x86)\AstroGrep\AstroGrep.exe" /e /r /s /spath="%USERPROFILE%\AppData\Local\Temp\OnboardLogs" /stypes="app*4018*20170822*" /stext=" 21:.+((SYSTEM_STATE.+slice.+state.+changed )|(ment ac)|(multiple cpu faults)|(system.+state.+changed )|(\[timeout)|(PRM\|1\|D)|(kpr)|(kdp)|(train st.+moving)|(\|lc)|(penalty))"</v>
      </c>
      <c r="AG106" s="209" t="str">
        <f t="shared" si="50"/>
        <v>EC</v>
      </c>
      <c r="AH106" s="78" t="str">
        <f t="shared" si="51"/>
        <v>"%USERPROFILE%\Documents\GitHub\eaglep3\Utilities\RefineRTDCRunTimes.py" --tripid 189-22 --locoid 4018 --swversion DE.1.0.9.0 --startMP 204:1945 --initTime 2017-08-22T14:43:40 --startdatetime 2017-08-22T14:54:40 --delay 5 --endMP 204:3011 --enddatetime 2017-08-22T15:28:35 --enforcementcount 0 &gt;&gt;C:\Users\stu\Documents\GitHub\eaglep3-reporting\EC\2017-08-22-refined-times.txt</v>
      </c>
      <c r="AI106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{"issue":{"subject":"","project_id":79,"tracker_id":40,"status_id":1,"priority_id":2,"assigned_to_id":23,"start_date":"2017-08-22","description":"","custom_fields":[{"id":1,"name":"Subdivision","value":"EC"},{"id":4,"name":"Milepost","value":"0.3011"},{"id":17,"name":"Train ID","value":"189-22"},{"id":16,"name":"Locomotive ID","value":"4018"},{"id":130,"name":"Impact","value":""},{"id":150,"name":"Time of Event (Mountain Time)","value":"15:28:35"},{"id":151,"name":"Denver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3"/>
        <v>start /low /b %USERPROFILE%\Documents\GitHub\eaglep3\Utilities\DownloadLogsFromS3.py --loco 4018 --day 2017-08-22</v>
      </c>
      <c r="AN106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21:28:35"},{"id":29,"name":"Sharepoint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584</v>
      </c>
      <c r="B107" s="7">
        <v>4017</v>
      </c>
      <c r="C107" s="21" t="s">
        <v>198</v>
      </c>
      <c r="D107" s="21" t="s">
        <v>868</v>
      </c>
      <c r="E107" s="13">
        <v>42969.653275462966</v>
      </c>
      <c r="F107" s="13">
        <v>42969.655752314815</v>
      </c>
      <c r="G107" s="7">
        <v>2</v>
      </c>
      <c r="H107" s="21" t="s">
        <v>869</v>
      </c>
      <c r="I107" s="13">
        <v>42969.681134259263</v>
      </c>
      <c r="J107" s="7">
        <v>0</v>
      </c>
      <c r="K107" s="89" t="str">
        <f t="shared" si="37"/>
        <v>4017/4018</v>
      </c>
      <c r="L107" s="217" t="str">
        <f>VLOOKUP(A107,'Trips&amp;Operators'!$C$1:$G$99911,5,FALSE)</f>
        <v>TOUSIGNAUT CARL</v>
      </c>
      <c r="M107" s="6">
        <f t="shared" si="38"/>
        <v>2.5381944447872229E-2</v>
      </c>
      <c r="N107" s="7">
        <f t="shared" si="39"/>
        <v>36.55000000493601</v>
      </c>
      <c r="O107" s="7"/>
      <c r="P107" s="7"/>
      <c r="Q107" s="22"/>
      <c r="R107" s="170" t="s">
        <v>997</v>
      </c>
      <c r="S107" s="213">
        <f t="shared" si="40"/>
        <v>1</v>
      </c>
      <c r="T107" s="195" t="str">
        <f t="shared" si="41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2"/>
        <v>https://d0f6bd738d7f1b3e5a7ca70fe4ff75f0.us-east-1.aws.found.io/app/kibana#/discover/Steve-Slow-Train-Analysis-(2080s-and-2083s)?_g=(refreshInterval:(display:Off,pause:!f,section:0,value:0),time:(from:'2017-08-22T14:40:43-0600',mode:absolute,to:'2017-08-22T17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197" t="str">
        <f>IF(AA107&lt;VLOOKUP(AG107,Variables!$AC$3:$AD$8,2,FALSE),"Y","N")</f>
        <v>Y</v>
      </c>
      <c r="X107" s="197">
        <f t="shared" si="43"/>
        <v>1</v>
      </c>
      <c r="Y107" s="197">
        <f t="shared" si="44"/>
        <v>23.305099999999999</v>
      </c>
      <c r="Z107" s="197">
        <f t="shared" si="45"/>
        <v>0.9516</v>
      </c>
      <c r="AA107" s="197">
        <f t="shared" si="46"/>
        <v>22.3535</v>
      </c>
      <c r="AB107" s="54" t="str">
        <f>VLOOKUP(A107,Enforcements!$C$7:$K$11,8,0)</f>
        <v>Bulletin (2)</v>
      </c>
      <c r="AC107" s="51" t="str">
        <f>VLOOKUP(A107,Enforcements!$C$7:$E$11,3,0)</f>
        <v>GRADE CROSSING</v>
      </c>
      <c r="AD107" s="206">
        <f t="shared" si="47"/>
        <v>190</v>
      </c>
      <c r="AE107" s="77" t="str">
        <f t="shared" si="48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107" s="74" t="str">
        <f t="shared" si="49"/>
        <v>"C:\Program Files (x86)\AstroGrep\AstroGrep.exe" /e /r /s /spath="%USERPROFILE%\AppData\Local\Temp\OnboardLogs" /stypes="app*4017*20170822*" /stext=" 22:.+((SYSTEM_STATE.+slice.+state.+changed )|(ment ac)|(multiple cpu faults)|(system.+state.+changed )|(\[timeout)|(PRM\|1\|D)|(kpr)|(kdp)|(train st.+moving)|(\|lc)|(penalty))"</v>
      </c>
      <c r="AG107" s="209" t="str">
        <f t="shared" si="50"/>
        <v>EC</v>
      </c>
      <c r="AH107" s="78" t="str">
        <f t="shared" si="51"/>
        <v>"%USERPROFILE%\Documents\GitHub\eaglep3\Utilities\RefineRTDCRunTimes.py" --tripid 190-22 --locoid 4017 --swversion DE.1.0.9.0 --startMP 204:233051 --initTime 2017-08-22T15:40:43 --startdatetime 2017-08-22T15:44:17 --delay 2 --endMP 204:9516 --enddatetime 2017-08-22T16:20:50 --enforcementcount 0 &gt;&gt;C:\Users\stu\Documents\GitHub\eaglep3-reporting\EC\2017-08-22-refined-times.txt</v>
      </c>
      <c r="AI107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DUS","project_id":79,"tracker_id":40,"status_id":1,"priority_id":2,"assigned_to_id":23,"start_date":"2017-08-22","description":"","custom_fields":[{"id":1,"name":"Subdivision","value":"EC"},{"id":4,"name":"Milepost","value":"0.9516"},{"id":17,"name":"Train ID","value":"190-22"},{"id":16,"name":"Locomotive ID","value":"4017"},{"id":130,"name":"Impact","value":""},{"id":150,"name":"Time of Event (Mountain Time)","value":"16:20:50"},{"id":151,"name":"Denver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3"/>
        <v>start /low /b %USERPROFILE%\Documents\GitHub\eaglep3\Utilities\DownloadLogsFromS3.py --loco 4017 --day 2017-08-22</v>
      </c>
      <c r="AN107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710</v>
      </c>
      <c r="B108" s="7">
        <v>4010</v>
      </c>
      <c r="C108" s="21" t="s">
        <v>198</v>
      </c>
      <c r="D108" s="21" t="s">
        <v>385</v>
      </c>
      <c r="E108" s="13">
        <v>42969.624513888892</v>
      </c>
      <c r="F108" s="13">
        <v>42969.626643518517</v>
      </c>
      <c r="G108" s="7">
        <v>2</v>
      </c>
      <c r="H108" s="21" t="s">
        <v>424</v>
      </c>
      <c r="I108" s="13">
        <v>42969.652939814812</v>
      </c>
      <c r="J108" s="7">
        <v>0</v>
      </c>
      <c r="K108" s="89" t="str">
        <f t="shared" si="37"/>
        <v>4009/4010</v>
      </c>
      <c r="L108" s="217" t="str">
        <f>VLOOKUP(A108,'Trips&amp;Operators'!$C$1:$G$99911,5,FALSE)</f>
        <v>NEWELL JAMES</v>
      </c>
      <c r="M108" s="6">
        <f t="shared" si="38"/>
        <v>2.6296296295186039E-2</v>
      </c>
      <c r="N108" s="7">
        <f t="shared" si="39"/>
        <v>37.866666665067896</v>
      </c>
      <c r="O108" s="7"/>
      <c r="P108" s="7"/>
      <c r="Q108" s="22"/>
      <c r="R108" s="170"/>
      <c r="S108" s="213">
        <f t="shared" si="40"/>
        <v>1</v>
      </c>
      <c r="T108" s="195" t="str">
        <f t="shared" si="41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2"/>
        <v>https://d0f6bd738d7f1b3e5a7ca70fe4ff75f0.us-east-1.aws.found.io/app/kibana#/discover/Steve-Slow-Train-Analysis-(2080s-and-2083s)?_g=(refreshInterval:(display:Off,pause:!f,section:0,value:0),time:(from:'2017-08-22T13:59:18-0600',mode:absolute,to:'2017-08-22T16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7" t="str">
        <f>IF(AA108&lt;VLOOKUP(AG108,Variables!$AC$3:$AD$8,2,FALSE),"Y","N")</f>
        <v>N</v>
      </c>
      <c r="X108" s="197">
        <f t="shared" si="43"/>
        <v>1</v>
      </c>
      <c r="Y108" s="197">
        <f t="shared" si="44"/>
        <v>4.4200000000000003E-2</v>
      </c>
      <c r="Z108" s="197">
        <f t="shared" si="45"/>
        <v>23.331099999999999</v>
      </c>
      <c r="AA108" s="197">
        <f t="shared" si="46"/>
        <v>23.286899999999999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47"/>
        <v>191</v>
      </c>
      <c r="AE108" s="77" t="str">
        <f t="shared" si="48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108" s="74" t="str">
        <f t="shared" si="49"/>
        <v>"C:\Program Files (x86)\AstroGrep\AstroGrep.exe" /e /r /s /spath="%USERPROFILE%\AppData\Local\Temp\OnboardLogs" /stypes="app*4010*20170822*" /stext=" 21:.+((SYSTEM_STATE.+slice.+state.+changed )|(ment ac)|(multiple cpu faults)|(system.+state.+changed )|(\[timeout)|(PRM\|1\|D)|(kpr)|(kdp)|(train st.+moving)|(\|lc)|(penalty))"</v>
      </c>
      <c r="AG108" s="209" t="str">
        <f t="shared" si="50"/>
        <v>EC</v>
      </c>
      <c r="AH108" s="78" t="str">
        <f t="shared" si="51"/>
        <v>"%USERPROFILE%\Documents\GitHub\eaglep3\Utilities\RefineRTDCRunTimes.py" --tripid 191-22 --locoid 4010 --swversion DE.1.0.9.0 --startMP 204:442 --initTime 2017-08-22T14:59:18 --startdatetime 2017-08-22T15:02:22 --delay 2 --endMP 204:233311 --enddatetime 2017-08-22T15:40:14 --enforcementcount 0 &gt;&gt;C:\Users\stu\Documents\GitHub\eaglep3-reporting\EC\2017-08-22-refined-times.txt</v>
      </c>
      <c r="AI108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{"issue":{"subject":"","project_id":79,"tracker_id":40,"status_id":1,"priority_id":2,"assigned_to_id":23,"start_date":"2017-08-22","description":"","custom_fields":[{"id":1,"name":"Subdivision","value":"EC"},{"id":4,"name":"Milepost","value":"23.3311"},{"id":17,"name":"Train ID","value":"191-22"},{"id":16,"name":"Locomotive ID","value":"4010"},{"id":130,"name":"Impact","value":""},{"id":150,"name":"Time of Event (Mountain Time)","value":"15:40:14"},{"id":151,"name":"Denver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3"/>
        <v>start /low /b %USERPROFILE%\Documents\GitHub\eaglep3\Utilities\DownloadLogsFromS3.py --loco 4010 --day 2017-08-22</v>
      </c>
      <c r="AN108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718</v>
      </c>
      <c r="B109" s="7">
        <v>4009</v>
      </c>
      <c r="C109" s="21" t="s">
        <v>198</v>
      </c>
      <c r="D109" s="21" t="s">
        <v>502</v>
      </c>
      <c r="E109" s="13">
        <v>42969.658032407409</v>
      </c>
      <c r="F109" s="13">
        <v>42969.665162037039</v>
      </c>
      <c r="G109" s="7">
        <v>1</v>
      </c>
      <c r="H109" s="21" t="s">
        <v>870</v>
      </c>
      <c r="I109" s="13">
        <v>42969.690532407411</v>
      </c>
      <c r="J109" s="7">
        <v>0</v>
      </c>
      <c r="K109" s="89" t="str">
        <f t="shared" si="37"/>
        <v>4009/4010</v>
      </c>
      <c r="L109" s="217" t="str">
        <f>VLOOKUP(A109,'Trips&amp;Operators'!$C$1:$G$99911,5,FALSE)</f>
        <v>ROMERO CHAD</v>
      </c>
      <c r="M109" s="6">
        <f t="shared" si="38"/>
        <v>2.5370370371092577E-2</v>
      </c>
      <c r="N109" s="7">
        <f t="shared" si="39"/>
        <v>36.53333333437331</v>
      </c>
      <c r="O109" s="7"/>
      <c r="P109" s="7"/>
      <c r="Q109" s="22"/>
      <c r="R109" s="170" t="s">
        <v>997</v>
      </c>
      <c r="S109" s="213">
        <f t="shared" si="40"/>
        <v>1</v>
      </c>
      <c r="T109" s="195" t="str">
        <f t="shared" si="41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2"/>
        <v>https://d0f6bd738d7f1b3e5a7ca70fe4ff75f0.us-east-1.aws.found.io/app/kibana#/discover/Steve-Slow-Train-Analysis-(2080s-and-2083s)?_g=(refreshInterval:(display:Off,pause:!f,section:0,value:0),time:(from:'2017-08-22T14:47:34-0600',mode:absolute,to:'2017-08-22T17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7" t="str">
        <f>IF(AA109&lt;VLOOKUP(AG109,Variables!$AC$3:$AD$8,2,FALSE),"Y","N")</f>
        <v>Y</v>
      </c>
      <c r="X109" s="197">
        <f t="shared" si="43"/>
        <v>1</v>
      </c>
      <c r="Y109" s="197">
        <f t="shared" si="44"/>
        <v>23.297699999999999</v>
      </c>
      <c r="Z109" s="197">
        <f t="shared" si="45"/>
        <v>0.48899999999999999</v>
      </c>
      <c r="AA109" s="197">
        <f t="shared" si="46"/>
        <v>22.808699999999998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47"/>
        <v>192</v>
      </c>
      <c r="AE109" s="77" t="str">
        <f t="shared" si="48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109" s="74" t="str">
        <f t="shared" si="49"/>
        <v>"C:\Program Files (x86)\AstroGrep\AstroGrep.exe" /e /r /s /spath="%USERPROFILE%\AppData\Local\Temp\OnboardLogs" /stypes="app*4009*20170822*" /stext=" 22:.+((SYSTEM_STATE.+slice.+state.+changed )|(ment ac)|(multiple cpu faults)|(system.+state.+changed )|(\[timeout)|(PRM\|1\|D)|(kpr)|(kdp)|(train st.+moving)|(\|lc)|(penalty))"</v>
      </c>
      <c r="AG109" s="209" t="str">
        <f t="shared" si="50"/>
        <v>EC</v>
      </c>
      <c r="AH109" s="78" t="str">
        <f t="shared" si="51"/>
        <v>"%USERPROFILE%\Documents\GitHub\eaglep3\Utilities\RefineRTDCRunTimes.py" --tripid 192-22 --locoid 4009 --swversion DE.1.0.9.0 --startMP 204:232977 --initTime 2017-08-22T15:47:34 --startdatetime 2017-08-22T15:57:50 --delay 1 --endMP 204:4890 --enddatetime 2017-08-22T16:34:22 --enforcementcount 0 &gt;&gt;C:\Users\stu\Documents\GitHub\eaglep3-reporting\EC\2017-08-22-refined-times.txt</v>
      </c>
      <c r="AI109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DUS","project_id":79,"tracker_id":40,"status_id":1,"priority_id":2,"assigned_to_id":23,"start_date":"2017-08-22","description":"","custom_fields":[{"id":1,"name":"Subdivision","value":"EC"},{"id":4,"name":"Milepost","value":"0.489"},{"id":17,"name":"Train ID","value":"192-22"},{"id":16,"name":"Locomotive ID","value":"4009"},{"id":130,"name":"Impact","value":""},{"id":150,"name":"Time of Event (Mountain Time)","value":"16:34:22"},{"id":151,"name":"Denver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3"/>
        <v>start /low /b %USERPROFILE%\Documents\GitHub\eaglep3\Utilities\DownloadLogsFromS3.py --loco 4009 --day 2017-08-22</v>
      </c>
      <c r="AN109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713</v>
      </c>
      <c r="B110" s="7">
        <v>4004</v>
      </c>
      <c r="C110" s="21" t="s">
        <v>198</v>
      </c>
      <c r="D110" s="21" t="s">
        <v>360</v>
      </c>
      <c r="E110" s="13">
        <v>42969.633217592593</v>
      </c>
      <c r="F110" s="13">
        <v>42969.635972222219</v>
      </c>
      <c r="G110" s="7">
        <v>1</v>
      </c>
      <c r="H110" s="21" t="s">
        <v>871</v>
      </c>
      <c r="I110" s="13">
        <v>42969.661724537036</v>
      </c>
      <c r="J110" s="7">
        <v>0</v>
      </c>
      <c r="K110" s="89" t="str">
        <f t="shared" si="37"/>
        <v>4003/4004</v>
      </c>
      <c r="L110" s="217" t="str">
        <f>VLOOKUP(A110,'Trips&amp;Operators'!$C$1:$G$99911,5,FALSE)</f>
        <v>LEVIN SCOTT</v>
      </c>
      <c r="M110" s="6">
        <f t="shared" si="38"/>
        <v>2.5752314817509614E-2</v>
      </c>
      <c r="N110" s="7">
        <f t="shared" si="39"/>
        <v>37.083333337213844</v>
      </c>
      <c r="O110" s="7"/>
      <c r="P110" s="7"/>
      <c r="Q110" s="22"/>
      <c r="R110" s="170"/>
      <c r="S110" s="213">
        <f t="shared" si="40"/>
        <v>1</v>
      </c>
      <c r="T110" s="195" t="str">
        <f t="shared" si="41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2"/>
        <v>https://d0f6bd738d7f1b3e5a7ca70fe4ff75f0.us-east-1.aws.found.io/app/kibana#/discover/Steve-Slow-Train-Analysis-(2080s-and-2083s)?_g=(refreshInterval:(display:Off,pause:!f,section:0,value:0),time:(from:'2017-08-22T14:11:50-0600',mode:absolute,to:'2017-08-22T16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197" t="str">
        <f>IF(AA110&lt;VLOOKUP(AG110,Variables!$AC$3:$AD$8,2,FALSE),"Y","N")</f>
        <v>N</v>
      </c>
      <c r="X110" s="197">
        <f t="shared" si="43"/>
        <v>1</v>
      </c>
      <c r="Y110" s="197">
        <f t="shared" si="44"/>
        <v>4.5499999999999999E-2</v>
      </c>
      <c r="Z110" s="197">
        <f t="shared" si="45"/>
        <v>23.3398</v>
      </c>
      <c r="AA110" s="197">
        <f t="shared" si="46"/>
        <v>23.2943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47"/>
        <v>193</v>
      </c>
      <c r="AE110" s="77" t="str">
        <f t="shared" si="48"/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AF110" s="74" t="str">
        <f t="shared" si="49"/>
        <v>"C:\Program Files (x86)\AstroGrep\AstroGrep.exe" /e /r /s /spath="%USERPROFILE%\AppData\Local\Temp\OnboardLogs" /stypes="app*4004*20170822*" /stext=" 21:.+((SYSTEM_STATE.+slice.+state.+changed )|(ment ac)|(multiple cpu faults)|(system.+state.+changed )|(\[timeout)|(PRM\|1\|D)|(kpr)|(kdp)|(train st.+moving)|(\|lc)|(penalty))"</v>
      </c>
      <c r="AG110" s="209" t="str">
        <f t="shared" si="50"/>
        <v>EC</v>
      </c>
      <c r="AH110" s="78" t="str">
        <f t="shared" si="51"/>
        <v>"%USERPROFILE%\Documents\GitHub\eaglep3\Utilities\RefineRTDCRunTimes.py" --tripid 193-22 --locoid 4004 --swversion DE.1.0.9.0 --startMP 204:455 --initTime 2017-08-22T15:11:50 --startdatetime 2017-08-22T15:15:48 --delay 1 --endMP 204:233398 --enddatetime 2017-08-22T15:52:53 --enforcementcount 0 &gt;&gt;C:\Users\stu\Documents\GitHub\eaglep3-reporting\EC\2017-08-22-refined-times.txt</v>
      </c>
      <c r="AI110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{"issue":{"subject":"","project_id":79,"tracker_id":40,"status_id":1,"priority_id":2,"assigned_to_id":23,"start_date":"2017-08-22","description":"","custom_fields":[{"id":1,"name":"Subdivision","value":"EC"},{"id":4,"name":"Milepost","value":"23.3398"},{"id":17,"name":"Train ID","value":"193-22"},{"id":16,"name":"Locomotive ID","value":"4004"},{"id":130,"name":"Impact","value":""},{"id":150,"name":"Time of Event (Mountain Time)","value":"15:52:53"},{"id":151,"name":"Denver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3"/>
        <v>start /low /b %USERPROFILE%\Documents\GitHub\eaglep3\Utilities\DownloadLogsFromS3.py --loco 4004 --day 2017-08-22</v>
      </c>
      <c r="AN110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720</v>
      </c>
      <c r="B111" s="7">
        <v>4003</v>
      </c>
      <c r="C111" s="21" t="s">
        <v>198</v>
      </c>
      <c r="D111" s="21" t="s">
        <v>872</v>
      </c>
      <c r="E111" s="13">
        <v>42969.673298611109</v>
      </c>
      <c r="F111" s="13">
        <v>42969.675196759257</v>
      </c>
      <c r="G111" s="7">
        <v>1</v>
      </c>
      <c r="H111" s="21" t="s">
        <v>873</v>
      </c>
      <c r="I111" s="13">
        <v>42969.700335648151</v>
      </c>
      <c r="J111" s="7">
        <v>0</v>
      </c>
      <c r="K111" s="89" t="str">
        <f t="shared" si="37"/>
        <v>4003/4004</v>
      </c>
      <c r="L111" s="217" t="str">
        <f>VLOOKUP(A111,'Trips&amp;Operators'!$C$1:$G$99911,5,FALSE)</f>
        <v>LEVIN SCOTT</v>
      </c>
      <c r="M111" s="6">
        <f t="shared" si="38"/>
        <v>2.513888889370719E-2</v>
      </c>
      <c r="N111" s="7">
        <f t="shared" si="39"/>
        <v>36.200000006938353</v>
      </c>
      <c r="O111" s="7"/>
      <c r="P111" s="7"/>
      <c r="Q111" s="22"/>
      <c r="R111" s="170" t="s">
        <v>997</v>
      </c>
      <c r="S111" s="213">
        <f t="shared" si="40"/>
        <v>1</v>
      </c>
      <c r="T111" s="195" t="str">
        <f t="shared" si="41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2"/>
        <v>https://d0f6bd738d7f1b3e5a7ca70fe4ff75f0.us-east-1.aws.found.io/app/kibana#/discover/Steve-Slow-Train-Analysis-(2080s-and-2083s)?_g=(refreshInterval:(display:Off,pause:!f,section:0,value:0),time:(from:'2017-08-22T15:09:33-0600',mode:absolute,to:'2017-08-22T17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197" t="str">
        <f>IF(AA111&lt;VLOOKUP(AG111,Variables!$AC$3:$AD$8,2,FALSE),"Y","N")</f>
        <v>Y</v>
      </c>
      <c r="X111" s="197">
        <f t="shared" si="43"/>
        <v>1</v>
      </c>
      <c r="Y111" s="197">
        <f t="shared" si="44"/>
        <v>23.310400000000001</v>
      </c>
      <c r="Z111" s="197">
        <f t="shared" si="45"/>
        <v>0.52249999999999996</v>
      </c>
      <c r="AA111" s="197">
        <f t="shared" si="46"/>
        <v>22.7879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47"/>
        <v>194</v>
      </c>
      <c r="AE111" s="77" t="str">
        <f t="shared" si="48"/>
        <v>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 &amp; aws s3 cp s3://rtdc.mdm.uploadarchive.raw/RTDC4003/ "%USERPROFILE%\AppData\Local\Temp\OnboardLogs"\RTDC4003\2017-08-23 --exclude "*" --recursive --include "*20170823*" &amp; "%USERPROFILE%\Documents\GitHub\mrs-test-scripts\Headless Mode &amp; Sideloading\WalkAndUnGZ.bat" "%USERPROFILE%\AppData\Local\Temp\OnboardLogs"\RTDC4003\2017-08-23</v>
      </c>
      <c r="AF111" s="74" t="str">
        <f t="shared" si="49"/>
        <v>"C:\Program Files (x86)\AstroGrep\AstroGrep.exe" /e /r /s /spath="%USERPROFILE%\AppData\Local\Temp\OnboardLogs" /stypes="app*4003*20170822*" /stext=" 22:.+((SYSTEM_STATE.+slice.+state.+changed )|(ment ac)|(multiple cpu faults)|(system.+state.+changed )|(\[timeout)|(PRM\|1\|D)|(kpr)|(kdp)|(train st.+moving)|(\|lc)|(penalty))"</v>
      </c>
      <c r="AG111" s="209" t="str">
        <f t="shared" si="50"/>
        <v>EC</v>
      </c>
      <c r="AH111" s="78" t="str">
        <f t="shared" si="51"/>
        <v>"%USERPROFILE%\Documents\GitHub\eaglep3\Utilities\RefineRTDCRunTimes.py" --tripid 194-22 --locoid 4003 --swversion DE.1.0.9.0 --startMP 204:233104 --initTime 2017-08-22T16:09:33 --startdatetime 2017-08-22T16:12:17 --delay 1 --endMP 204:5225 --enddatetime 2017-08-22T16:48:29 --enforcementcount 0 &gt;&gt;C:\Users\stu\Documents\GitHub\eaglep3-reporting\EC\2017-08-22-refined-times.txt</v>
      </c>
      <c r="AI111" s="96" t="str">
        <f t="shared" si="52"/>
        <v>echo {"issue":{"subject":"False occupancy at DUS","project_id":79,"tracker_id":40,"status_id":1,"priority_id":2,"assigned_to_id":23,"start_date":"2017-08-22","description":"","custom_fields":[{"id":1,"name":"Subdivision","value":"EC"},{"id":4,"name":"Milepost","value":"0.5225"},{"id":17,"name":"Train ID","value":"194-22"},{"id":16,"name":"Locomotive ID","value":"4003"},{"id":130,"name":"Impact","value":""},{"id":150,"name":"Time of Event (Mountain Time)","value":"16:48:29"},{"id":151,"name":"Denver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3"/>
        <v>start /low /b %USERPROFILE%\Documents\GitHub\eaglep3\Utilities\DownloadLogsFromS3.py --loco 4003 --day 2017-08-22</v>
      </c>
      <c r="AN111" s="151" t="str">
        <f t="shared" si="54"/>
        <v>echo {"issue":{"subject":"False occupancy at DUS","project_id":30,"tracker_id":4,"status_id":1,"priority_id":1,"assigned_to_id":10,"start_date":"2017-08-22","description":"","custom_fields":[{"id":30,"name":"Category","value":"Issue"},{"id":3,"name":"Functional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715</v>
      </c>
      <c r="B112" s="7">
        <v>4006</v>
      </c>
      <c r="C112" s="21" t="s">
        <v>198</v>
      </c>
      <c r="D112" s="21" t="s">
        <v>396</v>
      </c>
      <c r="E112" s="13">
        <v>42969.643043981479</v>
      </c>
      <c r="F112" s="13">
        <v>42969.646481481483</v>
      </c>
      <c r="G112" s="7">
        <v>1</v>
      </c>
      <c r="H112" s="21" t="s">
        <v>874</v>
      </c>
      <c r="I112" s="13">
        <v>42969.673564814817</v>
      </c>
      <c r="J112" s="7">
        <v>0</v>
      </c>
      <c r="K112" s="89" t="str">
        <f t="shared" si="37"/>
        <v>4005/4006</v>
      </c>
      <c r="L112" s="217" t="str">
        <f>VLOOKUP(A112,'Trips&amp;Operators'!$C$1:$G$99911,5,FALSE)</f>
        <v>GUNTHIER ERIC</v>
      </c>
      <c r="M112" s="6">
        <f t="shared" si="38"/>
        <v>2.7083333334303461E-2</v>
      </c>
      <c r="N112" s="7">
        <f t="shared" si="39"/>
        <v>39.000000001396984</v>
      </c>
      <c r="O112" s="7"/>
      <c r="P112" s="7"/>
      <c r="Q112" s="22"/>
      <c r="R112" s="170"/>
      <c r="S112" s="213">
        <f t="shared" si="40"/>
        <v>1</v>
      </c>
      <c r="T112" s="195" t="str">
        <f t="shared" si="41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2"/>
        <v>https://d0f6bd738d7f1b3e5a7ca70fe4ff75f0.us-east-1.aws.found.io/app/kibana#/discover/Steve-Slow-Train-Analysis-(2080s-and-2083s)?_g=(refreshInterval:(display:Off,pause:!f,section:0,value:0),time:(from:'2017-08-22T14:25:59-0600',mode:absolute,to:'2017-08-22T17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2" s="197" t="str">
        <f>IF(AA112&lt;VLOOKUP(AG112,Variables!$AC$3:$AD$8,2,FALSE),"Y","N")</f>
        <v>N</v>
      </c>
      <c r="X112" s="197">
        <f t="shared" si="43"/>
        <v>1</v>
      </c>
      <c r="Y112" s="197">
        <f t="shared" si="44"/>
        <v>4.7100000000000003E-2</v>
      </c>
      <c r="Z112" s="197">
        <f t="shared" si="45"/>
        <v>23.329499999999999</v>
      </c>
      <c r="AA112" s="197">
        <f t="shared" si="46"/>
        <v>23.282399999999999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47"/>
        <v>195</v>
      </c>
      <c r="AE112" s="77" t="str">
        <f t="shared" si="48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112" s="74" t="str">
        <f t="shared" si="49"/>
        <v>"C:\Program Files (x86)\AstroGrep\AstroGrep.exe" /e /r /s /spath="%USERPROFILE%\AppData\Local\Temp\OnboardLogs" /stypes="app*4006*20170822*" /stext=" 22:.+((SYSTEM_STATE.+slice.+state.+changed )|(ment ac)|(multiple cpu faults)|(system.+state.+changed )|(\[timeout)|(PRM\|1\|D)|(kpr)|(kdp)|(train st.+moving)|(\|lc)|(penalty))"</v>
      </c>
      <c r="AG112" s="209" t="str">
        <f t="shared" si="50"/>
        <v>EC</v>
      </c>
      <c r="AH112" s="78" t="str">
        <f t="shared" si="51"/>
        <v>"%USERPROFILE%\Documents\GitHub\eaglep3\Utilities\RefineRTDCRunTimes.py" --tripid 195-22 --locoid 4006 --swversion DE.1.0.9.0 --startMP 204:471 --initTime 2017-08-22T15:25:59 --startdatetime 2017-08-22T15:30:56 --delay 1 --endMP 204:233295 --enddatetime 2017-08-22T16:09:56 --enforcementcount 0 &gt;&gt;C:\Users\stu\Documents\GitHub\eaglep3-reporting\EC\2017-08-22-refined-times.txt</v>
      </c>
      <c r="AI112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{"issue":{"subject":"","project_id":79,"tracker_id":40,"status_id":1,"priority_id":2,"assigned_to_id":23,"start_date":"2017-08-22","description":"","custom_fields":[{"id":1,"name":"Subdivision","value":"EC"},{"id":4,"name":"Milepost","value":"23.3295"},{"id":17,"name":"Train ID","value":"195-22"},{"id":16,"name":"Locomotive ID","value":"4006"},{"id":130,"name":"Impact","value":""},{"id":150,"name":"Time of Event (Mountain Time)","value":"16:09:56"},{"id":151,"name":"Denver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3"/>
        <v>start /low /b %USERPROFILE%\Documents\GitHub\eaglep3\Utilities\DownloadLogsFromS3.py --loco 4006 --day 2017-08-22</v>
      </c>
      <c r="AN112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723</v>
      </c>
      <c r="B113" s="7">
        <v>4005</v>
      </c>
      <c r="C113" s="21" t="s">
        <v>198</v>
      </c>
      <c r="D113" s="21" t="s">
        <v>875</v>
      </c>
      <c r="E113" s="13">
        <v>42969.678472222222</v>
      </c>
      <c r="F113" s="13">
        <v>42969.685590277775</v>
      </c>
      <c r="G113" s="7">
        <v>1</v>
      </c>
      <c r="H113" s="21" t="s">
        <v>876</v>
      </c>
      <c r="I113" s="13">
        <v>42969.713252314818</v>
      </c>
      <c r="J113" s="7">
        <v>0</v>
      </c>
      <c r="K113" s="89" t="str">
        <f t="shared" si="37"/>
        <v>4005/4006</v>
      </c>
      <c r="L113" s="217" t="str">
        <f>VLOOKUP(A113,'Trips&amp;Operators'!$C$1:$G$99911,5,FALSE)</f>
        <v>GUNTHIER ERIC</v>
      </c>
      <c r="M113" s="6">
        <f t="shared" si="38"/>
        <v>2.7662037042318843E-2</v>
      </c>
      <c r="N113" s="7">
        <f t="shared" si="39"/>
        <v>39.833333340939134</v>
      </c>
      <c r="O113" s="7"/>
      <c r="P113" s="7"/>
      <c r="Q113" s="22"/>
      <c r="R113" s="170"/>
      <c r="S113" s="213">
        <f t="shared" si="40"/>
        <v>1</v>
      </c>
      <c r="T113" s="195" t="str">
        <f t="shared" si="4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2"/>
        <v>https://d0f6bd738d7f1b3e5a7ca70fe4ff75f0.us-east-1.aws.found.io/app/kibana#/discover/Steve-Slow-Train-Analysis-(2080s-and-2083s)?_g=(refreshInterval:(display:Off,pause:!f,section:0,value:0),time:(from:'2017-08-22T15:17:00-0600',mode:absolute,to:'2017-08-22T18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3" s="197" t="str">
        <f>IF(AA113&lt;VLOOKUP(AG113,Variables!$AC$3:$AD$8,2,FALSE),"Y","N")</f>
        <v>N</v>
      </c>
      <c r="X113" s="197">
        <f t="shared" si="43"/>
        <v>1</v>
      </c>
      <c r="Y113" s="197">
        <f t="shared" si="44"/>
        <v>23.299199999999999</v>
      </c>
      <c r="Z113" s="197">
        <f t="shared" si="45"/>
        <v>1.2699999999999999E-2</v>
      </c>
      <c r="AA113" s="197">
        <f t="shared" si="46"/>
        <v>23.2865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47"/>
        <v>196</v>
      </c>
      <c r="AE113" s="77" t="str">
        <f t="shared" si="48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113" s="74" t="str">
        <f t="shared" si="49"/>
        <v>"C:\Program Files (x86)\AstroGrep\AstroGrep.exe" /e /r /s /spath="%USERPROFILE%\AppData\Local\Temp\OnboardLogs" /stypes="app*4005*20170822*" /stext=" 23:.+((SYSTEM_STATE.+slice.+state.+changed )|(ment ac)|(multiple cpu faults)|(system.+state.+changed )|(\[timeout)|(PRM\|1\|D)|(kpr)|(kdp)|(train st.+moving)|(\|lc)|(penalty))"</v>
      </c>
      <c r="AG113" s="209" t="str">
        <f t="shared" si="50"/>
        <v>EC</v>
      </c>
      <c r="AH113" s="78" t="str">
        <f t="shared" si="51"/>
        <v>"%USERPROFILE%\Documents\GitHub\eaglep3\Utilities\RefineRTDCRunTimes.py" --tripid 196-22 --locoid 4005 --swversion DE.1.0.9.0 --startMP 204:232992 --initTime 2017-08-22T16:17:00 --startdatetime 2017-08-22T16:27:15 --delay 1 --endMP 204:127 --enddatetime 2017-08-22T17:07:05 --enforcementcount 0 &gt;&gt;C:\Users\stu\Documents\GitHub\eaglep3-reporting\EC\2017-08-22-refined-times.txt</v>
      </c>
      <c r="AI113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{"issue":{"subject":"","project_id":79,"tracker_id":40,"status_id":1,"priority_id":2,"assigned_to_id":23,"start_date":"2017-08-22","description":"","custom_fields":[{"id":1,"name":"Subdivision","value":"EC"},{"id":4,"name":"Milepost","value":"0.0127"},{"id":17,"name":"Train ID","value":"196-22"},{"id":16,"name":"Locomotive ID","value":"4005"},{"id":130,"name":"Impact","value":""},{"id":150,"name":"Time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3"/>
        <v>start /low /b %USERPROFILE%\Documents\GitHub\eaglep3\Utilities\DownloadLogsFromS3.py --loco 4005 --day 2017-08-22</v>
      </c>
      <c r="AN113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719</v>
      </c>
      <c r="B114" s="7">
        <v>4056</v>
      </c>
      <c r="C114" s="21" t="s">
        <v>198</v>
      </c>
      <c r="D114" s="21" t="s">
        <v>877</v>
      </c>
      <c r="E114" s="13">
        <v>42969.666250000002</v>
      </c>
      <c r="F114" s="13">
        <v>42969.66783564815</v>
      </c>
      <c r="G114" s="7">
        <v>1</v>
      </c>
      <c r="H114" s="21" t="s">
        <v>454</v>
      </c>
      <c r="I114" s="13">
        <v>42969.691307870373</v>
      </c>
      <c r="J114" s="7">
        <v>0</v>
      </c>
      <c r="K114" s="89" t="str">
        <f t="shared" si="37"/>
        <v>4055/4056</v>
      </c>
      <c r="L114" s="217" t="str">
        <f>VLOOKUP(A114,'Trips&amp;Operators'!$C$1:$G$99911,5,FALSE)</f>
        <v>THOMPSON LESTER</v>
      </c>
      <c r="M114" s="6">
        <f t="shared" si="38"/>
        <v>2.3472222223063E-2</v>
      </c>
      <c r="N114" s="7"/>
      <c r="O114" s="7"/>
      <c r="P114" s="7">
        <f t="shared" si="39"/>
        <v>33.800000001210719</v>
      </c>
      <c r="Q114" s="22"/>
      <c r="R114" s="170" t="s">
        <v>999</v>
      </c>
      <c r="S114" s="213">
        <f t="shared" si="40"/>
        <v>1</v>
      </c>
      <c r="T114" s="195" t="str">
        <f t="shared" si="41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2"/>
        <v>https://d0f6bd738d7f1b3e5a7ca70fe4ff75f0.us-east-1.aws.found.io/app/kibana#/discover/Steve-Slow-Train-Analysis-(2080s-and-2083s)?_g=(refreshInterval:(display:Off,pause:!f,section:0,value:0),time:(from:'2017-08-22T14:59:24-0600',mode:absolute,to:'2017-08-22T17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4" s="197" t="str">
        <f>IF(AA114&lt;VLOOKUP(AG114,Variables!$AC$3:$AD$8,2,FALSE),"Y","N")</f>
        <v>Y</v>
      </c>
      <c r="X114" s="197">
        <f t="shared" si="43"/>
        <v>1</v>
      </c>
      <c r="Y114" s="197">
        <f t="shared" si="44"/>
        <v>1.9120999999999999</v>
      </c>
      <c r="Z114" s="197">
        <f t="shared" si="45"/>
        <v>23.334399999999999</v>
      </c>
      <c r="AA114" s="197">
        <f t="shared" si="46"/>
        <v>21.4223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47"/>
        <v>197</v>
      </c>
      <c r="AE114" s="77" t="str">
        <f t="shared" si="48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114" s="74" t="str">
        <f t="shared" si="49"/>
        <v>"C:\Program Files (x86)\AstroGrep\AstroGrep.exe" /e /r /s /spath="%USERPROFILE%\AppData\Local\Temp\OnboardLogs" /stypes="app*4056*20170822*" /stext=" 22:.+((SYSTEM_STATE.+slice.+state.+changed )|(ment ac)|(multiple cpu faults)|(system.+state.+changed )|(\[timeout)|(PRM\|1\|D)|(kpr)|(kdp)|(train st.+moving)|(\|lc)|(penalty))"</v>
      </c>
      <c r="AG114" s="209" t="str">
        <f t="shared" si="50"/>
        <v>EC</v>
      </c>
      <c r="AH114" s="78" t="str">
        <f t="shared" si="51"/>
        <v>"%USERPROFILE%\Documents\GitHub\eaglep3\Utilities\RefineRTDCRunTimes.py" --tripid 197-22 --locoid 4056 --swversion DE.1.0.9.0 --startMP 204:19121 --initTime 2017-08-22T15:59:24 --startdatetime 2017-08-22T16:01:41 --delay 1 --endMP 204:233344 --enddatetime 2017-08-22T16:35:29 --enforcementcount 0 &gt;&gt;C:\Users\stu\Documents\GitHub\eaglep3-reporting\EC\2017-08-22-refined-times.txt</v>
      </c>
      <c r="AI114" s="96" t="str">
        <f t="shared" si="52"/>
        <v>echo {"issue":{"subject":"Selected wrong track","project_id":79,"tracker_id":40,"status_id":1,"priority_id":2,"assigned_to_id":23,"start_date":"2017-08-22","description":"","custom_fields":[{"id":1,"name":"Subdivision","value":"EC"},{"id":4,"name":"Milepost","value":"23.3344"},{"id":17,"name":"Train ID","value":"197-22"},{"id":16,"name":"Locomotive ID","value":"4056"},{"id":130,"name":"Impact","value":""},{"id":150,"name":"Time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3"/>
        <v>start /low /b %USERPROFILE%\Documents\GitHub\eaglep3\Utilities\DownloadLogsFromS3.py --loco 4056 --day 2017-08-22</v>
      </c>
      <c r="AN114" s="151" t="str">
        <f t="shared" si="54"/>
        <v>echo {"issue":{"subject":"Selected wrong track","project_id":30,"tracker_id":4,"status_id":1,"priority_id":1,"assigned_to_id":10,"start_date":"2017-08-22","description":"","custom_fields":[{"id":30,"name":"Category","value":"Issue"},{"id":3,"name":"Functional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719</v>
      </c>
      <c r="B115" s="7">
        <v>4056</v>
      </c>
      <c r="C115" s="21" t="s">
        <v>198</v>
      </c>
      <c r="D115" s="21" t="s">
        <v>806</v>
      </c>
      <c r="E115" s="13">
        <v>42969.660567129627</v>
      </c>
      <c r="F115" s="13">
        <v>42969.66783564815</v>
      </c>
      <c r="G115" s="7">
        <v>1</v>
      </c>
      <c r="H115" s="21" t="s">
        <v>878</v>
      </c>
      <c r="I115" s="13">
        <v>42969.691307870373</v>
      </c>
      <c r="J115" s="7">
        <v>0</v>
      </c>
      <c r="K115" s="89" t="str">
        <f t="shared" si="37"/>
        <v>4055/4056</v>
      </c>
      <c r="L115" s="217" t="str">
        <f>VLOOKUP(A115,'Trips&amp;Operators'!$C$1:$G$99911,5,FALSE)</f>
        <v>THOMPSON LESTER</v>
      </c>
      <c r="M115" s="6">
        <f t="shared" si="38"/>
        <v>2.3472222223063E-2</v>
      </c>
      <c r="N115" s="7"/>
      <c r="O115" s="7"/>
      <c r="P115" s="7"/>
      <c r="Q115" s="22"/>
      <c r="R115" s="170"/>
      <c r="S115" s="213"/>
      <c r="T115" s="195" t="str">
        <f t="shared" si="41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96" t="str">
        <f t="shared" si="42"/>
        <v>https://d0f6bd738d7f1b3e5a7ca70fe4ff75f0.us-east-1.aws.found.io/app/kibana#/discover/Steve-Slow-Train-Analysis-(2080s-and-2083s)?_g=(refreshInterval:(display:Off,pause:!f,section:0,value:0),time:(from:'2017-08-22T14:51:13-0600',mode:absolute,to:'2017-08-22T17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7" t="str">
        <f>IF(AA115&lt;VLOOKUP(AG115,Variables!$AC$3:$AD$8,2,FALSE),"Y","N")</f>
        <v>Y</v>
      </c>
      <c r="X115" s="197">
        <f t="shared" si="43"/>
        <v>0</v>
      </c>
      <c r="Y115" s="197">
        <f t="shared" si="44"/>
        <v>4.6899999999999997E-2</v>
      </c>
      <c r="Z115" s="197">
        <f t="shared" si="45"/>
        <v>0.1133</v>
      </c>
      <c r="AA115" s="197">
        <f t="shared" si="46"/>
        <v>6.6400000000000001E-2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47"/>
        <v>197</v>
      </c>
      <c r="AE115" s="77" t="str">
        <f t="shared" si="48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115" s="74" t="str">
        <f t="shared" si="49"/>
        <v>"C:\Program Files (x86)\AstroGrep\AstroGrep.exe" /e /r /s /spath="%USERPROFILE%\AppData\Local\Temp\OnboardLogs" /stypes="app*4056*20170822*" /stext=" 22:.+((SYSTEM_STATE.+slice.+state.+changed )|(ment ac)|(multiple cpu faults)|(system.+state.+changed )|(\[timeout)|(PRM\|1\|D)|(kpr)|(kdp)|(train st.+moving)|(\|lc)|(penalty))"</v>
      </c>
      <c r="AG115" s="209" t="str">
        <f t="shared" si="50"/>
        <v>EC</v>
      </c>
      <c r="AH115" s="78" t="str">
        <f t="shared" si="51"/>
        <v>"%USERPROFILE%\Documents\GitHub\eaglep3\Utilities\RefineRTDCRunTimes.py" --tripid 197-22 --locoid 4056 --swversion DE.1.0.9.0 --startMP 204:469 --initTime 2017-08-22T15:51:13 --startdatetime 2017-08-22T16:01:41 --delay 1 --endMP 204:1133 --enddatetime 2017-08-22T16:35:29 --enforcementcount 0 &gt;&gt;C:\Users\stu\Documents\GitHub\eaglep3-reporting\EC\2017-08-22-refined-times.txt</v>
      </c>
      <c r="AI115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{"issue":{"subject":"","project_id":79,"tracker_id":40,"status_id":1,"priority_id":2,"assigned_to_id":23,"start_date":"2017-08-22","description":"","custom_fields":[{"id":1,"name":"Subdivision","value":"EC"},{"id":4,"name":"Milepost","value":"0.1133"},{"id":17,"name":"Train ID","value":"197-22"},{"id":16,"name":"Locomotive ID","value":"4056"},{"id":130,"name":"Impact","value":""},{"id":150,"name":"Time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3"/>
        <v>start /low /b %USERPROFILE%\Documents\GitHub\eaglep3\Utilities\DownloadLogsFromS3.py --loco 4056 --day 2017-08-22</v>
      </c>
      <c r="AN115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728</v>
      </c>
      <c r="B116" s="7">
        <v>4055</v>
      </c>
      <c r="C116" s="21" t="s">
        <v>198</v>
      </c>
      <c r="D116" s="21" t="s">
        <v>817</v>
      </c>
      <c r="E116" s="13">
        <v>42969.695416666669</v>
      </c>
      <c r="F116" s="13">
        <v>42969.696967592594</v>
      </c>
      <c r="G116" s="7">
        <v>1</v>
      </c>
      <c r="H116" s="21" t="s">
        <v>353</v>
      </c>
      <c r="I116" s="13">
        <v>42969.724999999999</v>
      </c>
      <c r="J116" s="7">
        <v>0</v>
      </c>
      <c r="K116" s="89" t="str">
        <f t="shared" si="37"/>
        <v>4055/4056</v>
      </c>
      <c r="L116" s="217" t="str">
        <f>VLOOKUP(A116,'Trips&amp;Operators'!$C$1:$G$99911,5,FALSE)</f>
        <v>THOMPSON LESTER</v>
      </c>
      <c r="M116" s="6">
        <f t="shared" si="38"/>
        <v>2.8032407404680271E-2</v>
      </c>
      <c r="N116" s="7">
        <f t="shared" si="39"/>
        <v>40.36666666273959</v>
      </c>
      <c r="O116" s="7"/>
      <c r="P116" s="7"/>
      <c r="Q116" s="22"/>
      <c r="R116" s="170"/>
      <c r="S116" s="213">
        <f t="shared" si="40"/>
        <v>1</v>
      </c>
      <c r="T116" s="195" t="str">
        <f t="shared" si="41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2"/>
        <v>https://d0f6bd738d7f1b3e5a7ca70fe4ff75f0.us-east-1.aws.found.io/app/kibana#/discover/Steve-Slow-Train-Analysis-(2080s-and-2083s)?_g=(refreshInterval:(display:Off,pause:!f,section:0,value:0),time:(from:'2017-08-22T15:41:24-0600',mode:absolute,to:'2017-08-22T18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7" t="str">
        <f>IF(AA116&lt;VLOOKUP(AG116,Variables!$AC$3:$AD$8,2,FALSE),"Y","N")</f>
        <v>N</v>
      </c>
      <c r="X116" s="197">
        <f t="shared" si="43"/>
        <v>1</v>
      </c>
      <c r="Y116" s="197">
        <f t="shared" si="44"/>
        <v>23.3017</v>
      </c>
      <c r="Z116" s="197">
        <f t="shared" si="45"/>
        <v>1.54E-2</v>
      </c>
      <c r="AA116" s="197">
        <f t="shared" si="46"/>
        <v>23.286300000000001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47"/>
        <v>198</v>
      </c>
      <c r="AE116" s="77" t="str">
        <f t="shared" si="48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116" s="74" t="str">
        <f t="shared" si="49"/>
        <v>"C:\Program Files (x86)\AstroGrep\AstroGrep.exe" /e /r /s /spath="%USERPROFILE%\AppData\Local\Temp\OnboardLogs" /stypes="app*4055*20170822*" /stext=" 23:.+((SYSTEM_STATE.+slice.+state.+changed )|(ment ac)|(multiple cpu faults)|(system.+state.+changed )|(\[timeout)|(PRM\|1\|D)|(kpr)|(kdp)|(train st.+moving)|(\|lc)|(penalty))"</v>
      </c>
      <c r="AG116" s="209" t="str">
        <f t="shared" si="50"/>
        <v>EC</v>
      </c>
      <c r="AH116" s="78" t="str">
        <f t="shared" si="51"/>
        <v>"%USERPROFILE%\Documents\GitHub\eaglep3\Utilities\RefineRTDCRunTimes.py" --tripid 198-22 --locoid 4055 --swversion DE.1.0.9.0 --startMP 204:233017 --initTime 2017-08-22T16:41:24 --startdatetime 2017-08-22T16:43:38 --delay 1 --endMP 204:154 --enddatetime 2017-08-22T17:24:00 --enforcementcount 0 &gt;&gt;C:\Users\stu\Documents\GitHub\eaglep3-reporting\EC\2017-08-22-refined-times.txt</v>
      </c>
      <c r="AI116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{"issue":{"subject":"","project_id":79,"tracker_id":40,"status_id":1,"priority_id":2,"assigned_to_id":23,"start_date":"2017-08-22","description":"","custom_fields":[{"id":1,"name":"Subdivision","value":"EC"},{"id":4,"name":"Milepost","value":"0.0154"},{"id":17,"name":"Train ID","value":"198-22"},{"id":16,"name":"Locomotive ID","value":"4055"},{"id":130,"name":"Impact","value":""},{"id":150,"name":"Time of Event (Mountain Time)","value":"17:24:00"},{"id":151,"name":"Denver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3"/>
        <v>start /low /b %USERPROFILE%\Documents\GitHub\eaglep3\Utilities\DownloadLogsFromS3.py --loco 4055 --day 2017-08-22</v>
      </c>
      <c r="AN116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586</v>
      </c>
      <c r="B117" s="7">
        <v>4054</v>
      </c>
      <c r="C117" s="21" t="s">
        <v>198</v>
      </c>
      <c r="D117" s="21" t="s">
        <v>345</v>
      </c>
      <c r="E117" s="13">
        <v>42969.670231481483</v>
      </c>
      <c r="F117" s="13">
        <v>42969.672303240739</v>
      </c>
      <c r="G117" s="7">
        <v>1</v>
      </c>
      <c r="H117" s="21" t="s">
        <v>879</v>
      </c>
      <c r="I117" s="13">
        <v>42969.701423611114</v>
      </c>
      <c r="J117" s="7">
        <v>0</v>
      </c>
      <c r="K117" s="89" t="str">
        <f t="shared" si="37"/>
        <v>4053/4054</v>
      </c>
      <c r="L117" s="217" t="str">
        <f>VLOOKUP(A117,'Trips&amp;Operators'!$C$1:$G$99911,5,FALSE)</f>
        <v>DAVIS MICHAEL</v>
      </c>
      <c r="M117" s="6">
        <f t="shared" si="38"/>
        <v>2.9120370374585036E-2</v>
      </c>
      <c r="N117" s="7">
        <f t="shared" si="39"/>
        <v>41.933333339402452</v>
      </c>
      <c r="O117" s="7"/>
      <c r="P117" s="7"/>
      <c r="Q117" s="22"/>
      <c r="R117" s="170"/>
      <c r="S117" s="213">
        <f t="shared" si="40"/>
        <v>1</v>
      </c>
      <c r="T117" s="195" t="str">
        <f t="shared" si="41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2"/>
        <v>https://d0f6bd738d7f1b3e5a7ca70fe4ff75f0.us-east-1.aws.found.io/app/kibana#/discover/Steve-Slow-Train-Analysis-(2080s-and-2083s)?_g=(refreshInterval:(display:Off,pause:!f,section:0,value:0),time:(from:'2017-08-22T15:05:08-0600',mode:absolute,to:'2017-08-22T17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97" t="str">
        <f>IF(AA117&lt;VLOOKUP(AG117,Variables!$AC$3:$AD$8,2,FALSE),"Y","N")</f>
        <v>N</v>
      </c>
      <c r="X117" s="197">
        <f t="shared" si="43"/>
        <v>1</v>
      </c>
      <c r="Y117" s="197">
        <f t="shared" si="44"/>
        <v>4.4699999999999997E-2</v>
      </c>
      <c r="Z117" s="197">
        <f t="shared" si="45"/>
        <v>23.334499999999998</v>
      </c>
      <c r="AA117" s="197">
        <f t="shared" si="46"/>
        <v>23.2898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47"/>
        <v>199</v>
      </c>
      <c r="AE117" s="77" t="str">
        <f t="shared" si="48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17" s="74" t="str">
        <f t="shared" si="49"/>
        <v>"C:\Program Files (x86)\AstroGrep\AstroGrep.exe" /e /r /s /spath="%USERPROFILE%\AppData\Local\Temp\OnboardLogs" /stypes="app*4054*20170822*" /stext=" 22:.+((SYSTEM_STATE.+slice.+state.+changed )|(ment ac)|(multiple cpu faults)|(system.+state.+changed )|(\[timeout)|(PRM\|1\|D)|(kpr)|(kdp)|(train st.+moving)|(\|lc)|(penalty))"</v>
      </c>
      <c r="AG117" s="209" t="str">
        <f t="shared" si="50"/>
        <v>EC</v>
      </c>
      <c r="AH117" s="78" t="str">
        <f t="shared" si="51"/>
        <v>"%USERPROFILE%\Documents\GitHub\eaglep3\Utilities\RefineRTDCRunTimes.py" --tripid 199-22 --locoid 4054 --swversion DE.1.0.9.0 --startMP 204:447 --initTime 2017-08-22T16:05:08 --startdatetime 2017-08-22T16:08:07 --delay 1 --endMP 204:233345 --enddatetime 2017-08-22T16:50:03 --enforcementcount 0 &gt;&gt;C:\Users\stu\Documents\GitHub\eaglep3-reporting\EC\2017-08-22-refined-times.txt</v>
      </c>
      <c r="AI117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{"issue":{"subject":"","project_id":79,"tracker_id":40,"status_id":1,"priority_id":2,"assigned_to_id":23,"start_date":"2017-08-22","description":"","custom_fields":[{"id":1,"name":"Subdivision","value":"EC"},{"id":4,"name":"Milepost","value":"23.3345"},{"id":17,"name":"Train ID","value":"199-22"},{"id":16,"name":"Locomotive ID","value":"4054"},{"id":130,"name":"Impact","value":""},{"id":150,"name":"Time of Event (Mountain Time)","value":"16:50:03"},{"id":151,"name":"Denver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3"/>
        <v>start /low /b %USERPROFILE%\Documents\GitHub\eaglep3\Utilities\DownloadLogsFromS3.py --loco 4054 --day 2017-08-22</v>
      </c>
      <c r="AN117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730</v>
      </c>
      <c r="B118" s="7">
        <v>4053</v>
      </c>
      <c r="C118" s="21" t="s">
        <v>198</v>
      </c>
      <c r="D118" s="21" t="s">
        <v>815</v>
      </c>
      <c r="E118" s="13">
        <v>42969.705625000002</v>
      </c>
      <c r="F118" s="13">
        <v>42969.707002314812</v>
      </c>
      <c r="G118" s="7">
        <v>1</v>
      </c>
      <c r="H118" s="21" t="s">
        <v>828</v>
      </c>
      <c r="I118" s="13">
        <v>42969.73642361111</v>
      </c>
      <c r="J118" s="7">
        <v>0</v>
      </c>
      <c r="K118" s="89" t="str">
        <f t="shared" si="37"/>
        <v>4053/4054</v>
      </c>
      <c r="L118" s="217" t="str">
        <f>VLOOKUP(A118,'Trips&amp;Operators'!$C$1:$G$99911,5,FALSE)</f>
        <v>DAVIS MICHAEL</v>
      </c>
      <c r="M118" s="6">
        <f t="shared" si="38"/>
        <v>2.9421296298096422E-2</v>
      </c>
      <c r="N118" s="7">
        <f t="shared" si="39"/>
        <v>42.366666669258848</v>
      </c>
      <c r="O118" s="7"/>
      <c r="P118" s="7"/>
      <c r="Q118" s="22"/>
      <c r="R118" s="170"/>
      <c r="S118" s="213">
        <f t="shared" si="40"/>
        <v>1</v>
      </c>
      <c r="T118" s="195" t="str">
        <f t="shared" si="41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2"/>
        <v>https://d0f6bd738d7f1b3e5a7ca70fe4ff75f0.us-east-1.aws.found.io/app/kibana#/discover/Steve-Slow-Train-Analysis-(2080s-and-2083s)?_g=(refreshInterval:(display:Off,pause:!f,section:0,value:0),time:(from:'2017-08-22T15:56:06-0600',mode:absolute,to:'2017-08-22T18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97" t="str">
        <f>IF(AA118&lt;VLOOKUP(AG118,Variables!$AC$3:$AD$8,2,FALSE),"Y","N")</f>
        <v>N</v>
      </c>
      <c r="X118" s="197">
        <f t="shared" si="43"/>
        <v>1</v>
      </c>
      <c r="Y118" s="197">
        <f t="shared" si="44"/>
        <v>23.302099999999999</v>
      </c>
      <c r="Z118" s="197">
        <f t="shared" si="45"/>
        <v>1.67E-2</v>
      </c>
      <c r="AA118" s="197">
        <f t="shared" si="46"/>
        <v>23.285399999999999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47"/>
        <v>200</v>
      </c>
      <c r="AE118" s="77" t="str">
        <f t="shared" si="48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118" s="74" t="str">
        <f t="shared" si="49"/>
        <v>"C:\Program Files (x86)\AstroGrep\AstroGrep.exe" /e /r /s /spath="%USERPROFILE%\AppData\Local\Temp\OnboardLogs" /stypes="app*4053*20170822*" /stext=" 23:.+((SYSTEM_STATE.+slice.+state.+changed )|(ment ac)|(multiple cpu faults)|(system.+state.+changed )|(\[timeout)|(PRM\|1\|D)|(kpr)|(kdp)|(train st.+moving)|(\|lc)|(penalty))"</v>
      </c>
      <c r="AG118" s="209" t="str">
        <f t="shared" si="50"/>
        <v>EC</v>
      </c>
      <c r="AH118" s="78" t="str">
        <f t="shared" si="51"/>
        <v>"%USERPROFILE%\Documents\GitHub\eaglep3\Utilities\RefineRTDCRunTimes.py" --tripid 200-22 --locoid 4053 --swversion DE.1.0.9.0 --startMP 204:233021 --initTime 2017-08-22T16:56:06 --startdatetime 2017-08-22T16:58:05 --delay 1 --endMP 204:167 --enddatetime 2017-08-22T17:40:27 --enforcementcount 0 &gt;&gt;C:\Users\stu\Documents\GitHub\eaglep3-reporting\EC\2017-08-22-refined-times.txt</v>
      </c>
      <c r="AI118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{"issue":{"subject":"","project_id":79,"tracker_id":40,"status_id":1,"priority_id":2,"assigned_to_id":23,"start_date":"2017-08-22","description":"","custom_fields":[{"id":1,"name":"Subdivision","value":"EC"},{"id":4,"name":"Milepost","value":"0.0167"},{"id":17,"name":"Train ID","value":"200-22"},{"id":16,"name":"Locomotive ID","value":"4053"},{"id":130,"name":"Impact","value":""},{"id":150,"name":"Time of Event (Mountain Time)","value":"17:40:27"},{"id":151,"name":"Denver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3"/>
        <v>start /low /b %USERPROFILE%\Documents\GitHub\eaglep3\Utilities\DownloadLogsFromS3.py --loco 4053 --day 2017-08-22</v>
      </c>
      <c r="AN118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721</v>
      </c>
      <c r="B119" s="7">
        <v>4012</v>
      </c>
      <c r="C119" s="21" t="s">
        <v>198</v>
      </c>
      <c r="D119" s="21" t="s">
        <v>344</v>
      </c>
      <c r="E119" s="13">
        <v>42969.675127314818</v>
      </c>
      <c r="F119" s="13">
        <v>42969.67769675926</v>
      </c>
      <c r="G119" s="7">
        <v>1</v>
      </c>
      <c r="H119" s="21" t="s">
        <v>512</v>
      </c>
      <c r="I119" s="13">
        <v>42969.7034375</v>
      </c>
      <c r="J119" s="7">
        <v>0</v>
      </c>
      <c r="K119" s="89" t="str">
        <f t="shared" si="37"/>
        <v>4011/4012</v>
      </c>
      <c r="L119" s="217" t="str">
        <f>VLOOKUP(A119,'Trips&amp;Operators'!$C$1:$G$99911,5,FALSE)</f>
        <v>MCREYNOLDS KYLE</v>
      </c>
      <c r="M119" s="6">
        <f t="shared" si="38"/>
        <v>2.5740740740729962E-2</v>
      </c>
      <c r="N119" s="7">
        <f t="shared" si="39"/>
        <v>37.066666666651145</v>
      </c>
      <c r="O119" s="7"/>
      <c r="P119" s="7"/>
      <c r="Q119" s="22"/>
      <c r="R119" s="170"/>
      <c r="S119" s="213">
        <f t="shared" si="40"/>
        <v>1</v>
      </c>
      <c r="T119" s="195" t="str">
        <f t="shared" si="41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2"/>
        <v>https://d0f6bd738d7f1b3e5a7ca70fe4ff75f0.us-east-1.aws.found.io/app/kibana#/discover/Steve-Slow-Train-Analysis-(2080s-and-2083s)?_g=(refreshInterval:(display:Off,pause:!f,section:0,value:0),time:(from:'2017-08-22T15:12:11-0600',mode:absolute,to:'2017-08-22T17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197" t="str">
        <f>IF(AA119&lt;VLOOKUP(AG119,Variables!$AC$3:$AD$8,2,FALSE),"Y","N")</f>
        <v>N</v>
      </c>
      <c r="X119" s="197">
        <f t="shared" si="43"/>
        <v>1</v>
      </c>
      <c r="Y119" s="197">
        <f t="shared" si="44"/>
        <v>4.53E-2</v>
      </c>
      <c r="Z119" s="197">
        <f t="shared" si="45"/>
        <v>23.336300000000001</v>
      </c>
      <c r="AA119" s="197">
        <f t="shared" si="46"/>
        <v>23.291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47"/>
        <v>201</v>
      </c>
      <c r="AE119" s="77" t="str">
        <f t="shared" si="48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119" s="74" t="str">
        <f t="shared" si="49"/>
        <v>"C:\Program Files (x86)\AstroGrep\AstroGrep.exe" /e /r /s /spath="%USERPROFILE%\AppData\Local\Temp\OnboardLogs" /stypes="app*4012*20170822*" /stext=" 22:.+((SYSTEM_STATE.+slice.+state.+changed )|(ment ac)|(multiple cpu faults)|(system.+state.+changed )|(\[timeout)|(PRM\|1\|D)|(kpr)|(kdp)|(train st.+moving)|(\|lc)|(penalty))"</v>
      </c>
      <c r="AG119" s="209" t="str">
        <f t="shared" si="50"/>
        <v>EC</v>
      </c>
      <c r="AH119" s="78" t="str">
        <f t="shared" si="51"/>
        <v>"%USERPROFILE%\Documents\GitHub\eaglep3\Utilities\RefineRTDCRunTimes.py" --tripid 201-22 --locoid 4012 --swversion DE.1.0.9.0 --startMP 204:453 --initTime 2017-08-22T16:12:11 --startdatetime 2017-08-22T16:15:53 --delay 1 --endMP 204:233363 --enddatetime 2017-08-22T16:52:57 --enforcementcount 0 &gt;&gt;C:\Users\stu\Documents\GitHub\eaglep3-reporting\EC\2017-08-22-refined-times.txt</v>
      </c>
      <c r="AI119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{"issue":{"subject":"","project_id":79,"tracker_id":40,"status_id":1,"priority_id":2,"assigned_to_id":23,"start_date":"2017-08-22","description":"","custom_fields":[{"id":1,"name":"Subdivision","value":"EC"},{"id":4,"name":"Milepost","value":"23.3363"},{"id":17,"name":"Train ID","value":"201-22"},{"id":16,"name":"Locomotive ID","value":"4012"},{"id":130,"name":"Impact","value":""},{"id":150,"name":"Time of Event (Mountain Time)","value":"16:52:57"},{"id":151,"name":"Denver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3"/>
        <v>start /low /b %USERPROFILE%\Documents\GitHub\eaglep3\Utilities\DownloadLogsFromS3.py --loco 4012 --day 2017-08-22</v>
      </c>
      <c r="AN119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733</v>
      </c>
      <c r="B120" s="7">
        <v>4011</v>
      </c>
      <c r="C120" s="21" t="s">
        <v>198</v>
      </c>
      <c r="D120" s="21" t="s">
        <v>429</v>
      </c>
      <c r="E120" s="13">
        <v>42969.709756944445</v>
      </c>
      <c r="F120" s="13">
        <v>42969.716863425929</v>
      </c>
      <c r="G120" s="7">
        <v>1</v>
      </c>
      <c r="H120" s="21" t="s">
        <v>384</v>
      </c>
      <c r="I120" s="13">
        <v>42969.744618055556</v>
      </c>
      <c r="J120" s="7">
        <v>0</v>
      </c>
      <c r="K120" s="89" t="str">
        <f t="shared" si="37"/>
        <v>4011/4012</v>
      </c>
      <c r="L120" s="217" t="str">
        <f>VLOOKUP(A120,'Trips&amp;Operators'!$C$1:$G$99911,5,FALSE)</f>
        <v>MCREYNOLDS KYLE</v>
      </c>
      <c r="M120" s="6">
        <f t="shared" si="38"/>
        <v>2.7754629627452232E-2</v>
      </c>
      <c r="N120" s="7">
        <f t="shared" si="39"/>
        <v>39.966666663531214</v>
      </c>
      <c r="O120" s="7"/>
      <c r="P120" s="7"/>
      <c r="Q120" s="22"/>
      <c r="R120" s="170"/>
      <c r="S120" s="213">
        <f t="shared" si="40"/>
        <v>1</v>
      </c>
      <c r="T120" s="195" t="str">
        <f t="shared" si="41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2"/>
        <v>https://d0f6bd738d7f1b3e5a7ca70fe4ff75f0.us-east-1.aws.found.io/app/kibana#/discover/Steve-Slow-Train-Analysis-(2080s-and-2083s)?_g=(refreshInterval:(display:Off,pause:!f,section:0,value:0),time:(from:'2017-08-22T16:02:03-0600',mode:absolute,to:'2017-08-22T18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97" t="str">
        <f>IF(AA120&lt;VLOOKUP(AG120,Variables!$AC$3:$AD$8,2,FALSE),"Y","N")</f>
        <v>N</v>
      </c>
      <c r="X120" s="197">
        <f t="shared" si="43"/>
        <v>1</v>
      </c>
      <c r="Y120" s="197">
        <f t="shared" si="44"/>
        <v>23.305499999999999</v>
      </c>
      <c r="Z120" s="197">
        <f t="shared" si="45"/>
        <v>1.38E-2</v>
      </c>
      <c r="AA120" s="197">
        <f t="shared" si="46"/>
        <v>23.291699999999999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47"/>
        <v>202</v>
      </c>
      <c r="AE120" s="77" t="str">
        <f t="shared" si="48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120" s="74" t="str">
        <f t="shared" si="49"/>
        <v>"C:\Program Files (x86)\AstroGrep\AstroGrep.exe" /e /r /s /spath="%USERPROFILE%\AppData\Local\Temp\OnboardLogs" /stypes="app*4011*20170822*" /stext=" 23:.+((SYSTEM_STATE.+slice.+state.+changed )|(ment ac)|(multiple cpu faults)|(system.+state.+changed )|(\[timeout)|(PRM\|1\|D)|(kpr)|(kdp)|(train st.+moving)|(\|lc)|(penalty))"</v>
      </c>
      <c r="AG120" s="209" t="str">
        <f t="shared" si="50"/>
        <v>EC</v>
      </c>
      <c r="AH120" s="78" t="str">
        <f t="shared" si="51"/>
        <v>"%USERPROFILE%\Documents\GitHub\eaglep3\Utilities\RefineRTDCRunTimes.py" --tripid 202-22 --locoid 4011 --swversion DE.1.0.9.0 --startMP 204:233055 --initTime 2017-08-22T17:02:03 --startdatetime 2017-08-22T17:12:17 --delay 1 --endMP 204:138 --enddatetime 2017-08-22T17:52:15 --enforcementcount 0 &gt;&gt;C:\Users\stu\Documents\GitHub\eaglep3-reporting\EC\2017-08-22-refined-times.txt</v>
      </c>
      <c r="AI120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{"issue":{"subject":"","project_id":79,"tracker_id":40,"status_id":1,"priority_id":2,"assigned_to_id":23,"start_date":"2017-08-22","description":"","custom_fields":[{"id":1,"name":"Subdivision","value":"EC"},{"id":4,"name":"Milepost","value":"0.0138"},{"id":17,"name":"Train ID","value":"202-22"},{"id":16,"name":"Locomotive ID","value":"4011"},{"id":130,"name":"Impact","value":""},{"id":150,"name":"Time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3"/>
        <v>start /low /b %USERPROFILE%\Documents\GitHub\eaglep3\Utilities\DownloadLogsFromS3.py --loco 4011 --day 2017-08-22</v>
      </c>
      <c r="AN120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587</v>
      </c>
      <c r="B121" s="7">
        <v>4018</v>
      </c>
      <c r="C121" s="21" t="s">
        <v>198</v>
      </c>
      <c r="D121" s="21" t="s">
        <v>374</v>
      </c>
      <c r="E121" s="13">
        <v>42969.686909722222</v>
      </c>
      <c r="F121" s="13">
        <v>42969.689039351855</v>
      </c>
      <c r="G121" s="7">
        <v>1</v>
      </c>
      <c r="H121" s="21" t="s">
        <v>858</v>
      </c>
      <c r="I121" s="13">
        <v>42969.715567129628</v>
      </c>
      <c r="J121" s="7">
        <v>0</v>
      </c>
      <c r="K121" s="89" t="str">
        <f t="shared" si="37"/>
        <v>4017/4018</v>
      </c>
      <c r="L121" s="217" t="str">
        <f>VLOOKUP(A121,'Trips&amp;Operators'!$C$1:$G$99911,5,FALSE)</f>
        <v>TOUSIGNAUT CARL</v>
      </c>
      <c r="M121" s="6">
        <f t="shared" si="38"/>
        <v>2.6527777772571426E-2</v>
      </c>
      <c r="N121" s="7">
        <f t="shared" si="39"/>
        <v>38.199999992502853</v>
      </c>
      <c r="O121" s="7"/>
      <c r="P121" s="7"/>
      <c r="Q121" s="22"/>
      <c r="R121" s="170"/>
      <c r="S121" s="213">
        <f t="shared" si="40"/>
        <v>1</v>
      </c>
      <c r="T121" s="195" t="str">
        <f t="shared" si="41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2"/>
        <v>https://d0f6bd738d7f1b3e5a7ca70fe4ff75f0.us-east-1.aws.found.io/app/kibana#/discover/Steve-Slow-Train-Analysis-(2080s-and-2083s)?_g=(refreshInterval:(display:Off,pause:!f,section:0,value:0),time:(from:'2017-08-22T15:29:09-0600',mode:absolute,to:'2017-08-22T18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97" t="str">
        <f>IF(AA121&lt;VLOOKUP(AG121,Variables!$AC$3:$AD$8,2,FALSE),"Y","N")</f>
        <v>N</v>
      </c>
      <c r="X121" s="197">
        <f t="shared" si="43"/>
        <v>1</v>
      </c>
      <c r="Y121" s="197">
        <f t="shared" si="44"/>
        <v>4.5999999999999999E-2</v>
      </c>
      <c r="Z121" s="197">
        <f t="shared" si="45"/>
        <v>23.3353</v>
      </c>
      <c r="AA121" s="197">
        <f t="shared" si="46"/>
        <v>23.289300000000001</v>
      </c>
      <c r="AB121" s="54" t="str">
        <f>VLOOKUP(A121,Enforcements!$C$7:$K$11,8,0)</f>
        <v>Bulletin (2)</v>
      </c>
      <c r="AC121" s="51" t="str">
        <f>VLOOKUP(A121,Enforcements!$C$7:$E$11,3,0)</f>
        <v>GRADE CROSSING</v>
      </c>
      <c r="AD121" s="206">
        <f t="shared" si="47"/>
        <v>203</v>
      </c>
      <c r="AE121" s="77" t="str">
        <f t="shared" si="48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21" s="74" t="str">
        <f t="shared" si="49"/>
        <v>"C:\Program Files (x86)\AstroGrep\AstroGrep.exe" /e /r /s /spath="%USERPROFILE%\AppData\Local\Temp\OnboardLogs" /stypes="app*4018*20170822*" /stext=" 23:.+((SYSTEM_STATE.+slice.+state.+changed )|(ment ac)|(multiple cpu faults)|(system.+state.+changed )|(\[timeout)|(PRM\|1\|D)|(kpr)|(kdp)|(train st.+moving)|(\|lc)|(penalty))"</v>
      </c>
      <c r="AG121" s="209" t="str">
        <f t="shared" si="50"/>
        <v>EC</v>
      </c>
      <c r="AH121" s="78" t="str">
        <f t="shared" si="51"/>
        <v>"%USERPROFILE%\Documents\GitHub\eaglep3\Utilities\RefineRTDCRunTimes.py" --tripid 203-22 --locoid 4018 --swversion DE.1.0.9.0 --startMP 204:460 --initTime 2017-08-22T16:29:09 --startdatetime 2017-08-22T16:32:13 --delay 1 --endMP 204:233353 --enddatetime 2017-08-22T17:10:25 --enforcementcount 0 &gt;&gt;C:\Users\stu\Documents\GitHub\eaglep3-reporting\EC\2017-08-22-refined-times.txt</v>
      </c>
      <c r="AI121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{"issue":{"subject":"","project_id":79,"tracker_id":40,"status_id":1,"priority_id":2,"assigned_to_id":23,"start_date":"2017-08-22","description":"","custom_fields":[{"id":1,"name":"Subdivision","value":"EC"},{"id":4,"name":"Milepost","value":"23.3353"},{"id":17,"name":"Train ID","value":"203-22"},{"id":16,"name":"Locomotive ID","value":"4018"},{"id":130,"name":"Impact","value":""},{"id":150,"name":"Time of Event (Mountain Time)","value":"17:10:25"},{"id":151,"name":"Denver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3"/>
        <v>start /low /b %USERPROFILE%\Documents\GitHub\eaglep3\Utilities\DownloadLogsFromS3.py --loco 4018 --day 2017-08-22</v>
      </c>
      <c r="AN121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738</v>
      </c>
      <c r="B122" s="7">
        <v>4017</v>
      </c>
      <c r="C122" s="21" t="s">
        <v>198</v>
      </c>
      <c r="D122" s="21" t="s">
        <v>880</v>
      </c>
      <c r="E122" s="13">
        <v>42969.724814814814</v>
      </c>
      <c r="F122" s="13">
        <v>42969.727442129632</v>
      </c>
      <c r="G122" s="7">
        <v>1</v>
      </c>
      <c r="H122" s="21" t="s">
        <v>340</v>
      </c>
      <c r="I122" s="13">
        <v>42969.755185185182</v>
      </c>
      <c r="J122" s="7">
        <v>0</v>
      </c>
      <c r="K122" s="89" t="str">
        <f t="shared" si="37"/>
        <v>4017/4018</v>
      </c>
      <c r="L122" s="217" t="str">
        <f>VLOOKUP(A122,'Trips&amp;Operators'!$C$1:$G$99911,5,FALSE)</f>
        <v>TOUSIGNAUT CARL</v>
      </c>
      <c r="M122" s="6">
        <f t="shared" si="38"/>
        <v>2.774305555067258E-2</v>
      </c>
      <c r="N122" s="7">
        <f t="shared" si="39"/>
        <v>39.949999992968515</v>
      </c>
      <c r="O122" s="7"/>
      <c r="P122" s="7"/>
      <c r="Q122" s="22"/>
      <c r="R122" s="170"/>
      <c r="S122" s="213">
        <f t="shared" si="40"/>
        <v>1</v>
      </c>
      <c r="T122" s="195" t="str">
        <f t="shared" si="41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2"/>
        <v>https://d0f6bd738d7f1b3e5a7ca70fe4ff75f0.us-east-1.aws.found.io/app/kibana#/discover/Steve-Slow-Train-Analysis-(2080s-and-2083s)?_g=(refreshInterval:(display:Off,pause:!f,section:0,value:0),time:(from:'2017-08-22T16:23:44-0600',mode:absolute,to:'2017-08-22T19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97" t="str">
        <f>IF(AA122&lt;VLOOKUP(AG122,Variables!$AC$3:$AD$8,2,FALSE),"Y","N")</f>
        <v>N</v>
      </c>
      <c r="X122" s="197">
        <f t="shared" si="43"/>
        <v>1</v>
      </c>
      <c r="Y122" s="197">
        <f t="shared" si="44"/>
        <v>23.3048</v>
      </c>
      <c r="Z122" s="197">
        <f t="shared" si="45"/>
        <v>1.49E-2</v>
      </c>
      <c r="AA122" s="197">
        <f t="shared" si="46"/>
        <v>23.289899999999999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47"/>
        <v>204</v>
      </c>
      <c r="AE122" s="77" t="str">
        <f t="shared" si="48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122" s="74" t="str">
        <f t="shared" si="49"/>
        <v>"C:\Program Files (x86)\AstroGrep\AstroGrep.exe" /e /r /s /spath="%USERPROFILE%\AppData\Local\Temp\OnboardLogs" /stypes="app*4017*20170823*" /stext=" 00:.+((SYSTEM_STATE.+slice.+state.+changed )|(ment ac)|(multiple cpu faults)|(system.+state.+changed )|(\[timeout)|(PRM\|1\|D)|(kpr)|(kdp)|(train st.+moving)|(\|lc)|(penalty))"</v>
      </c>
      <c r="AG122" s="209" t="str">
        <f t="shared" si="50"/>
        <v>EC</v>
      </c>
      <c r="AH122" s="78" t="str">
        <f t="shared" si="51"/>
        <v>"%USERPROFILE%\Documents\GitHub\eaglep3\Utilities\RefineRTDCRunTimes.py" --tripid 204-22 --locoid 4017 --swversion DE.1.0.9.0 --startMP 204:233048 --initTime 2017-08-22T17:23:44 --startdatetime 2017-08-22T17:27:31 --delay 1 --endMP 204:149 --enddatetime 2017-08-22T18:07:28 --enforcementcount 0 &gt;&gt;C:\Users\stu\Documents\GitHub\eaglep3-reporting\EC\2017-08-22-refined-times.txt</v>
      </c>
      <c r="AI122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{"issue":{"subject":"","project_id":79,"tracker_id":40,"status_id":1,"priority_id":2,"assigned_to_id":23,"start_date":"2017-08-22","description":"","custom_fields":[{"id":1,"name":"Subdivision","value":"EC"},{"id":4,"name":"Milepost","value":"0.0149"},{"id":17,"name":"Train ID","value":"204-22"},{"id":16,"name":"Locomotive ID","value":"4017"},{"id":130,"name":"Impact","value":""},{"id":150,"name":"Time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3"/>
        <v>start /low /b %USERPROFILE%\Documents\GitHub\eaglep3\Utilities\DownloadLogsFromS3.py --loco 4017 --day 2017-08-22</v>
      </c>
      <c r="AN122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727</v>
      </c>
      <c r="B123" s="7">
        <v>4010</v>
      </c>
      <c r="C123" s="21" t="s">
        <v>198</v>
      </c>
      <c r="D123" s="21" t="s">
        <v>805</v>
      </c>
      <c r="E123" s="13">
        <v>42969.695405092592</v>
      </c>
      <c r="F123" s="13">
        <v>42969.698425925926</v>
      </c>
      <c r="G123" s="7">
        <v>1</v>
      </c>
      <c r="H123" s="21" t="s">
        <v>881</v>
      </c>
      <c r="I123" s="13">
        <v>42969.723055555558</v>
      </c>
      <c r="J123" s="7">
        <v>0</v>
      </c>
      <c r="K123" s="89" t="str">
        <f t="shared" si="37"/>
        <v>4009/4010</v>
      </c>
      <c r="L123" s="217" t="str">
        <f>VLOOKUP(A123,'Trips&amp;Operators'!$C$1:$G$99911,5,FALSE)</f>
        <v>ROMERO CHAD</v>
      </c>
      <c r="M123" s="6">
        <f t="shared" si="38"/>
        <v>2.4629629631817807E-2</v>
      </c>
      <c r="N123" s="7">
        <f t="shared" si="39"/>
        <v>35.466666669817641</v>
      </c>
      <c r="O123" s="7"/>
      <c r="P123" s="7"/>
      <c r="Q123" s="22"/>
      <c r="R123" s="170"/>
      <c r="S123" s="213">
        <f t="shared" si="40"/>
        <v>1</v>
      </c>
      <c r="T123" s="195" t="str">
        <f t="shared" si="41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2"/>
        <v>https://d0f6bd738d7f1b3e5a7ca70fe4ff75f0.us-east-1.aws.found.io/app/kibana#/discover/Steve-Slow-Train-Analysis-(2080s-and-2083s)?_g=(refreshInterval:(display:Off,pause:!f,section:0,value:0),time:(from:'2017-08-22T15:41:23-0600',mode:absolute,to:'2017-08-22T18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197" t="str">
        <f>IF(AA123&lt;VLOOKUP(AG123,Variables!$AC$3:$AD$8,2,FALSE),"Y","N")</f>
        <v>N</v>
      </c>
      <c r="X123" s="197">
        <f t="shared" si="43"/>
        <v>1</v>
      </c>
      <c r="Y123" s="197">
        <f t="shared" si="44"/>
        <v>4.3799999999999999E-2</v>
      </c>
      <c r="Z123" s="197">
        <f t="shared" si="45"/>
        <v>23.34</v>
      </c>
      <c r="AA123" s="197">
        <f t="shared" si="46"/>
        <v>23.296199999999999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47"/>
        <v>205</v>
      </c>
      <c r="AE123" s="77" t="str">
        <f t="shared" si="48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123" s="74" t="str">
        <f t="shared" si="49"/>
        <v>"C:\Program Files (x86)\AstroGrep\AstroGrep.exe" /e /r /s /spath="%USERPROFILE%\AppData\Local\Temp\OnboardLogs" /stypes="app*4010*20170822*" /stext=" 23:.+((SYSTEM_STATE.+slice.+state.+changed )|(ment ac)|(multiple cpu faults)|(system.+state.+changed )|(\[timeout)|(PRM\|1\|D)|(kpr)|(kdp)|(train st.+moving)|(\|lc)|(penalty))"</v>
      </c>
      <c r="AG123" s="209" t="str">
        <f t="shared" si="50"/>
        <v>EC</v>
      </c>
      <c r="AH123" s="78" t="str">
        <f t="shared" si="51"/>
        <v>"%USERPROFILE%\Documents\GitHub\eaglep3\Utilities\RefineRTDCRunTimes.py" --tripid 205-22 --locoid 4010 --swversion DE.1.0.9.0 --startMP 204:438 --initTime 2017-08-22T16:41:23 --startdatetime 2017-08-22T16:45:44 --delay 1 --endMP 204:233400 --enddatetime 2017-08-22T17:21:12 --enforcementcount 0 &gt;&gt;C:\Users\stu\Documents\GitHub\eaglep3-reporting\EC\2017-08-22-refined-times.txt</v>
      </c>
      <c r="AI123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{"issue":{"subject":"","project_id":79,"tracker_id":40,"status_id":1,"priority_id":2,"assigned_to_id":23,"start_date":"2017-08-22","description":"","custom_fields":[{"id":1,"name":"Subdivision","value":"EC"},{"id":4,"name":"Milepost","value":"23.34"},{"id":17,"name":"Train ID","value":"205-22"},{"id":16,"name":"Locomotive ID","value":"4010"},{"id":130,"name":"Impact","value":""},{"id":150,"name":"Time of Event (Mountain Time)","value":"17:21:12"},{"id":151,"name":"Denver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3"/>
        <v>start /low /b %USERPROFILE%\Documents\GitHub\eaglep3\Utilities\DownloadLogsFromS3.py --loco 4010 --day 2017-08-22</v>
      </c>
      <c r="AN123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737</v>
      </c>
      <c r="B124" s="7">
        <v>4009</v>
      </c>
      <c r="C124" s="21" t="s">
        <v>198</v>
      </c>
      <c r="D124" s="21" t="s">
        <v>519</v>
      </c>
      <c r="E124" s="13">
        <v>42969.724386574075</v>
      </c>
      <c r="F124" s="13">
        <v>42969.737754629627</v>
      </c>
      <c r="G124" s="7">
        <v>0</v>
      </c>
      <c r="H124" s="21" t="s">
        <v>516</v>
      </c>
      <c r="I124" s="13">
        <v>42969.764756944445</v>
      </c>
      <c r="J124" s="7">
        <v>0</v>
      </c>
      <c r="K124" s="89" t="str">
        <f t="shared" si="37"/>
        <v>4009/4010</v>
      </c>
      <c r="L124" s="217" t="str">
        <f>VLOOKUP(A124,'Trips&amp;Operators'!$C$1:$G$99911,5,FALSE)</f>
        <v>ROMERO CHAD</v>
      </c>
      <c r="M124" s="6">
        <f t="shared" si="38"/>
        <v>2.7002314818673767E-2</v>
      </c>
      <c r="N124" s="7">
        <f t="shared" si="39"/>
        <v>38.883333338890225</v>
      </c>
      <c r="O124" s="7"/>
      <c r="P124" s="7"/>
      <c r="Q124" s="22"/>
      <c r="R124" s="170"/>
      <c r="S124" s="213">
        <f t="shared" si="40"/>
        <v>1</v>
      </c>
      <c r="T124" s="195" t="str">
        <f t="shared" si="41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2"/>
        <v>https://d0f6bd738d7f1b3e5a7ca70fe4ff75f0.us-east-1.aws.found.io/app/kibana#/discover/Steve-Slow-Train-Analysis-(2080s-and-2083s)?_g=(refreshInterval:(display:Off,pause:!f,section:0,value:0),time:(from:'2017-08-22T16:23:07-0600',mode:absolute,to:'2017-08-22T19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197" t="str">
        <f>IF(AA124&lt;VLOOKUP(AG124,Variables!$AC$3:$AD$8,2,FALSE),"Y","N")</f>
        <v>N</v>
      </c>
      <c r="X124" s="197">
        <f t="shared" si="43"/>
        <v>1</v>
      </c>
      <c r="Y124" s="197">
        <f t="shared" si="44"/>
        <v>23.308700000000002</v>
      </c>
      <c r="Z124" s="197">
        <f t="shared" si="45"/>
        <v>1.3599999999999999E-2</v>
      </c>
      <c r="AA124" s="197">
        <f t="shared" si="46"/>
        <v>23.295100000000001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47"/>
        <v>206</v>
      </c>
      <c r="AE124" s="77" t="str">
        <f t="shared" si="48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124" s="74" t="str">
        <f t="shared" si="49"/>
        <v>"C:\Program Files (x86)\AstroGrep\AstroGrep.exe" /e /r /s /spath="%USERPROFILE%\AppData\Local\Temp\OnboardLogs" /stypes="app*4009*20170823*" /stext=" 00:.+((SYSTEM_STATE.+slice.+state.+changed )|(ment ac)|(multiple cpu faults)|(system.+state.+changed )|(\[timeout)|(PRM\|1\|D)|(kpr)|(kdp)|(train st.+moving)|(\|lc)|(penalty))"</v>
      </c>
      <c r="AG124" s="209" t="str">
        <f t="shared" si="50"/>
        <v>EC</v>
      </c>
      <c r="AH124" s="78" t="str">
        <f t="shared" si="51"/>
        <v>"%USERPROFILE%\Documents\GitHub\eaglep3\Utilities\RefineRTDCRunTimes.py" --tripid 206-22 --locoid 4009 --swversion DE.1.0.9.0 --startMP 204:233087 --initTime 2017-08-22T17:23:07 --startdatetime 2017-08-22T17:42:22 --delay 0 --endMP 204:136 --enddatetime 2017-08-22T18:21:15 --enforcementcount 0 &gt;&gt;C:\Users\stu\Documents\GitHub\eaglep3-reporting\EC\2017-08-22-refined-times.txt</v>
      </c>
      <c r="AI124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{"issue":{"subject":"","project_id":79,"tracker_id":40,"status_id":1,"priority_id":2,"assigned_to_id":23,"start_date":"2017-08-22","description":"","custom_fields":[{"id":1,"name":"Subdivision","value":"EC"},{"id":4,"name":"Milepost","value":"0.0136"},{"id":17,"name":"Train ID","value":"206-22"},{"id":16,"name":"Locomotive ID","value":"4009"},{"id":130,"name":"Impact","value":""},{"id":150,"name":"Time of Event (Mountain Time)","value":"18:21:15"},{"id":151,"name":"Denver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3"/>
        <v>start /low /b %USERPROFILE%\Documents\GitHub\eaglep3\Utilities\DownloadLogsFromS3.py --loco 4009 --day 2017-08-22</v>
      </c>
      <c r="AN124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731</v>
      </c>
      <c r="B125" s="7">
        <v>4004</v>
      </c>
      <c r="C125" s="21" t="s">
        <v>198</v>
      </c>
      <c r="D125" s="21" t="s">
        <v>352</v>
      </c>
      <c r="E125" s="13">
        <v>42969.705578703702</v>
      </c>
      <c r="F125" s="13">
        <v>42969.708981481483</v>
      </c>
      <c r="G125" s="7">
        <v>1</v>
      </c>
      <c r="H125" s="21" t="s">
        <v>882</v>
      </c>
      <c r="I125" s="13">
        <v>42969.734490740739</v>
      </c>
      <c r="J125" s="7">
        <v>0</v>
      </c>
      <c r="K125" s="89" t="str">
        <f t="shared" si="37"/>
        <v>4003/4004</v>
      </c>
      <c r="L125" s="217" t="str">
        <f>VLOOKUP(A125,'Trips&amp;Operators'!$C$1:$G$99911,5,FALSE)</f>
        <v>LEVIN SCOTT</v>
      </c>
      <c r="M125" s="6">
        <f t="shared" si="38"/>
        <v>2.5509259256068617E-2</v>
      </c>
      <c r="N125" s="7">
        <f t="shared" si="39"/>
        <v>36.733333328738809</v>
      </c>
      <c r="O125" s="7"/>
      <c r="P125" s="7"/>
      <c r="Q125" s="22"/>
      <c r="R125" s="170"/>
      <c r="S125" s="213">
        <f t="shared" si="40"/>
        <v>1</v>
      </c>
      <c r="T125" s="195" t="str">
        <f t="shared" si="41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2"/>
        <v>https://d0f6bd738d7f1b3e5a7ca70fe4ff75f0.us-east-1.aws.found.io/app/kibana#/discover/Steve-Slow-Train-Analysis-(2080s-and-2083s)?_g=(refreshInterval:(display:Off,pause:!f,section:0,value:0),time:(from:'2017-08-22T15:56:02-0600',mode:absolute,to:'2017-08-22T18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97" t="str">
        <f>IF(AA125&lt;VLOOKUP(AG125,Variables!$AC$3:$AD$8,2,FALSE),"Y","N")</f>
        <v>N</v>
      </c>
      <c r="X125" s="197">
        <f t="shared" si="43"/>
        <v>1</v>
      </c>
      <c r="Y125" s="197">
        <f t="shared" si="44"/>
        <v>4.6199999999999998E-2</v>
      </c>
      <c r="Z125" s="197">
        <f t="shared" si="45"/>
        <v>23.343499999999999</v>
      </c>
      <c r="AA125" s="197">
        <f t="shared" si="46"/>
        <v>23.2973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47"/>
        <v>207</v>
      </c>
      <c r="AE125" s="77" t="str">
        <f t="shared" si="48"/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AF125" s="74" t="str">
        <f t="shared" si="49"/>
        <v>"C:\Program Files (x86)\AstroGrep\AstroGrep.exe" /e /r /s /spath="%USERPROFILE%\AppData\Local\Temp\OnboardLogs" /stypes="app*4004*20170822*" /stext=" 23:.+((SYSTEM_STATE.+slice.+state.+changed )|(ment ac)|(multiple cpu faults)|(system.+state.+changed )|(\[timeout)|(PRM\|1\|D)|(kpr)|(kdp)|(train st.+moving)|(\|lc)|(penalty))"</v>
      </c>
      <c r="AG125" s="209" t="str">
        <f t="shared" si="50"/>
        <v>EC</v>
      </c>
      <c r="AH125" s="78" t="str">
        <f t="shared" si="51"/>
        <v>"%USERPROFILE%\Documents\GitHub\eaglep3\Utilities\RefineRTDCRunTimes.py" --tripid 207-22 --locoid 4004 --swversion DE.1.0.9.0 --startMP 204:462 --initTime 2017-08-22T16:56:02 --startdatetime 2017-08-22T17:00:56 --delay 1 --endMP 204:233435 --enddatetime 2017-08-22T17:37:40 --enforcementcount 0 &gt;&gt;C:\Users\stu\Documents\GitHub\eaglep3-reporting\EC\2017-08-22-refined-times.txt</v>
      </c>
      <c r="AI125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{"issue":{"subject":"","project_id":79,"tracker_id":40,"status_id":1,"priority_id":2,"assigned_to_id":23,"start_date":"2017-08-22","description":"","custom_fields":[{"id":1,"name":"Subdivision","value":"EC"},{"id":4,"name":"Milepost","value":"23.3435"},{"id":17,"name":"Train ID","value":"207-22"},{"id":16,"name":"Locomotive ID","value":"4004"},{"id":130,"name":"Impact","value":""},{"id":150,"name":"Time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3"/>
        <v>start /low /b %USERPROFILE%\Documents\GitHub\eaglep3\Utilities\DownloadLogsFromS3.py --loco 4004 --day 2017-08-22</v>
      </c>
      <c r="AN125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746</v>
      </c>
      <c r="B126" s="7">
        <v>4003</v>
      </c>
      <c r="C126" s="21" t="s">
        <v>198</v>
      </c>
      <c r="D126" s="21" t="s">
        <v>883</v>
      </c>
      <c r="E126" s="13">
        <v>42969.746354166666</v>
      </c>
      <c r="F126" s="13">
        <v>42969.748124999998</v>
      </c>
      <c r="G126" s="7">
        <v>1</v>
      </c>
      <c r="H126" s="21" t="s">
        <v>884</v>
      </c>
      <c r="I126" s="13">
        <v>42969.775092592594</v>
      </c>
      <c r="J126" s="7">
        <v>0</v>
      </c>
      <c r="K126" s="89" t="str">
        <f t="shared" si="37"/>
        <v>4003/4004</v>
      </c>
      <c r="L126" s="217" t="str">
        <f>VLOOKUP(A126,'Trips&amp;Operators'!$C$1:$G$99911,5,FALSE)</f>
        <v>LEVIN SCOTT</v>
      </c>
      <c r="M126" s="6">
        <f t="shared" si="38"/>
        <v>2.6967592595610768E-2</v>
      </c>
      <c r="N126" s="7">
        <f t="shared" si="39"/>
        <v>38.833333337679505</v>
      </c>
      <c r="O126" s="7"/>
      <c r="P126" s="7"/>
      <c r="Q126" s="22"/>
      <c r="R126" s="170"/>
      <c r="S126" s="213">
        <f t="shared" si="40"/>
        <v>1</v>
      </c>
      <c r="T126" s="195" t="str">
        <f t="shared" si="41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2"/>
        <v>https://d0f6bd738d7f1b3e5a7ca70fe4ff75f0.us-east-1.aws.found.io/app/kibana#/discover/Steve-Slow-Train-Analysis-(2080s-and-2083s)?_g=(refreshInterval:(display:Off,pause:!f,section:0,value:0),time:(from:'2017-08-22T16:54:45-0600',mode:absolute,to:'2017-08-22T19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97" t="str">
        <f>IF(AA126&lt;VLOOKUP(AG126,Variables!$AC$3:$AD$8,2,FALSE),"Y","N")</f>
        <v>N</v>
      </c>
      <c r="X126" s="197">
        <f t="shared" si="43"/>
        <v>1</v>
      </c>
      <c r="Y126" s="197">
        <f t="shared" si="44"/>
        <v>23.311900000000001</v>
      </c>
      <c r="Z126" s="197">
        <f t="shared" si="45"/>
        <v>0.01</v>
      </c>
      <c r="AA126" s="197">
        <f t="shared" si="46"/>
        <v>23.3019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47"/>
        <v>208</v>
      </c>
      <c r="AE126" s="77" t="str">
        <f t="shared" si="48"/>
        <v>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 &amp; aws s3 cp s3://rtdc.mdm.uploadarchive.raw/RTDC4003/ "%USERPROFILE%\AppData\Local\Temp\OnboardLogs"\RTDC4003\2017-08-23 --exclude "*" --recursive --include "*20170823*" &amp; "%USERPROFILE%\Documents\GitHub\mrs-test-scripts\Headless Mode &amp; Sideloading\WalkAndUnGZ.bat" "%USERPROFILE%\AppData\Local\Temp\OnboardLogs"\RTDC4003\2017-08-23</v>
      </c>
      <c r="AF126" s="74" t="str">
        <f t="shared" si="49"/>
        <v>"C:\Program Files (x86)\AstroGrep\AstroGrep.exe" /e /r /s /spath="%USERPROFILE%\AppData\Local\Temp\OnboardLogs" /stypes="app*4003*20170823*" /stext=" 00:.+((SYSTEM_STATE.+slice.+state.+changed )|(ment ac)|(multiple cpu faults)|(system.+state.+changed )|(\[timeout)|(PRM\|1\|D)|(kpr)|(kdp)|(train st.+moving)|(\|lc)|(penalty))"</v>
      </c>
      <c r="AG126" s="209" t="str">
        <f t="shared" si="50"/>
        <v>EC</v>
      </c>
      <c r="AH126" s="78" t="str">
        <f t="shared" si="51"/>
        <v>"%USERPROFILE%\Documents\GitHub\eaglep3\Utilities\RefineRTDCRunTimes.py" --tripid 208-22 --locoid 4003 --swversion DE.1.0.9.0 --startMP 204:233119 --initTime 2017-08-22T17:54:45 --startdatetime 2017-08-22T17:57:18 --delay 1 --endMP 204:100 --enddatetime 2017-08-22T18:36:08 --enforcementcount 0 &gt;&gt;C:\Users\stu\Documents\GitHub\eaglep3-reporting\EC\2017-08-22-refined-times.txt</v>
      </c>
      <c r="AI126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{"issue":{"subject":"","project_id":79,"tracker_id":40,"status_id":1,"priority_id":2,"assigned_to_id":23,"start_date":"2017-08-22","description":"","custom_fields":[{"id":1,"name":"Subdivision","value":"EC"},{"id":4,"name":"Milepost","value":"0.01"},{"id":17,"name":"Train ID","value":"208-22"},{"id":16,"name":"Locomotive ID","value":"4003"},{"id":130,"name":"Impact","value":""},{"id":150,"name":"Time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3"/>
        <v>start /low /b %USERPROFILE%\Documents\GitHub\eaglep3\Utilities\DownloadLogsFromS3.py --loco 4003 --day 2017-08-22</v>
      </c>
      <c r="AN126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735</v>
      </c>
      <c r="B127" s="7">
        <v>4006</v>
      </c>
      <c r="C127" s="21" t="s">
        <v>198</v>
      </c>
      <c r="D127" s="21" t="s">
        <v>344</v>
      </c>
      <c r="E127" s="13">
        <v>42969.715057870373</v>
      </c>
      <c r="F127" s="13">
        <v>42969.719375000001</v>
      </c>
      <c r="G127" s="7">
        <v>1</v>
      </c>
      <c r="H127" s="21" t="s">
        <v>400</v>
      </c>
      <c r="I127" s="13">
        <v>42969.745763888888</v>
      </c>
      <c r="J127" s="7">
        <v>0</v>
      </c>
      <c r="K127" s="89" t="str">
        <f t="shared" si="37"/>
        <v>4005/4006</v>
      </c>
      <c r="L127" s="217" t="str">
        <f>VLOOKUP(A127,'Trips&amp;Operators'!$C$1:$G$99911,5,FALSE)</f>
        <v>GUNTHIER ERIC</v>
      </c>
      <c r="M127" s="6">
        <f t="shared" si="38"/>
        <v>2.6388888887595385E-2</v>
      </c>
      <c r="N127" s="7">
        <f t="shared" si="39"/>
        <v>37.999999998137355</v>
      </c>
      <c r="O127" s="7"/>
      <c r="P127" s="7"/>
      <c r="Q127" s="22"/>
      <c r="R127" s="170"/>
      <c r="S127" s="213">
        <f t="shared" si="40"/>
        <v>1</v>
      </c>
      <c r="T127" s="195" t="str">
        <f t="shared" si="41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2"/>
        <v>https://d0f6bd738d7f1b3e5a7ca70fe4ff75f0.us-east-1.aws.found.io/app/kibana#/discover/Steve-Slow-Train-Analysis-(2080s-and-2083s)?_g=(refreshInterval:(display:Off,pause:!f,section:0,value:0),time:(from:'2017-08-22T16:09:41-0600',mode:absolute,to:'2017-08-22T18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197" t="str">
        <f>IF(AA127&lt;VLOOKUP(AG127,Variables!$AC$3:$AD$8,2,FALSE),"Y","N")</f>
        <v>N</v>
      </c>
      <c r="X127" s="197">
        <f t="shared" si="43"/>
        <v>1</v>
      </c>
      <c r="Y127" s="197">
        <f t="shared" si="44"/>
        <v>4.53E-2</v>
      </c>
      <c r="Z127" s="197">
        <f t="shared" si="45"/>
        <v>23.3308</v>
      </c>
      <c r="AA127" s="197">
        <f t="shared" si="46"/>
        <v>23.285499999999999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47"/>
        <v>209</v>
      </c>
      <c r="AE127" s="77" t="str">
        <f t="shared" si="48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127" s="74" t="str">
        <f t="shared" si="49"/>
        <v>"C:\Program Files (x86)\AstroGrep\AstroGrep.exe" /e /r /s /spath="%USERPROFILE%\AppData\Local\Temp\OnboardLogs" /stypes="app*4006*20170822*" /stext=" 23:.+((SYSTEM_STATE.+slice.+state.+changed )|(ment ac)|(multiple cpu faults)|(system.+state.+changed )|(\[timeout)|(PRM\|1\|D)|(kpr)|(kdp)|(train st.+moving)|(\|lc)|(penalty))"</v>
      </c>
      <c r="AG127" s="209" t="str">
        <f t="shared" si="50"/>
        <v>EC</v>
      </c>
      <c r="AH127" s="78" t="str">
        <f t="shared" si="51"/>
        <v>"%USERPROFILE%\Documents\GitHub\eaglep3\Utilities\RefineRTDCRunTimes.py" --tripid 209-22 --locoid 4006 --swversion DE.1.0.9.0 --startMP 204:453 --initTime 2017-08-22T17:09:41 --startdatetime 2017-08-22T17:15:54 --delay 1 --endMP 204:233308 --enddatetime 2017-08-22T17:53:54 --enforcementcount 0 &gt;&gt;C:\Users\stu\Documents\GitHub\eaglep3-reporting\EC\2017-08-22-refined-times.txt</v>
      </c>
      <c r="AI127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{"issue":{"subject":"","project_id":79,"tracker_id":40,"status_id":1,"priority_id":2,"assigned_to_id":23,"start_date":"2017-08-22","description":"","custom_fields":[{"id":1,"name":"Subdivision","value":"EC"},{"id":4,"name":"Milepost","value":"23.3308"},{"id":17,"name":"Train ID","value":"209-22"},{"id":16,"name":"Locomotive ID","value":"4006"},{"id":130,"name":"Impact","value":""},{"id":150,"name":"Time of Event (Mountain Time)","value":"17:53:54"},{"id":151,"name":"Denver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3"/>
        <v>start /low /b %USERPROFILE%\Documents\GitHub\eaglep3\Utilities\DownloadLogsFromS3.py --loco 4006 --day 2017-08-22</v>
      </c>
      <c r="AN127" s="151" t="str">
        <f t="shared" si="54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748</v>
      </c>
      <c r="B128" s="7">
        <v>4005</v>
      </c>
      <c r="C128" s="21" t="s">
        <v>198</v>
      </c>
      <c r="D128" s="21" t="s">
        <v>816</v>
      </c>
      <c r="E128" s="13">
        <v>42969.753692129627</v>
      </c>
      <c r="F128" s="13">
        <v>42969.758518518516</v>
      </c>
      <c r="G128" s="7">
        <v>1</v>
      </c>
      <c r="H128" s="21" t="s">
        <v>340</v>
      </c>
      <c r="I128" s="13">
        <v>42969.786296296297</v>
      </c>
      <c r="J128" s="7">
        <v>0</v>
      </c>
      <c r="K128" s="89" t="str">
        <f t="shared" si="37"/>
        <v>4005/4006</v>
      </c>
      <c r="L128" s="217" t="str">
        <f>VLOOKUP(A128,'Trips&amp;Operators'!$C$1:$G$99911,5,FALSE)</f>
        <v>GUNTHIER ERIC</v>
      </c>
      <c r="M128" s="6">
        <f t="shared" si="38"/>
        <v>2.7777777781011537E-2</v>
      </c>
      <c r="N128" s="7">
        <f t="shared" si="39"/>
        <v>40.000000004656613</v>
      </c>
      <c r="O128" s="7"/>
      <c r="P128" s="7"/>
      <c r="Q128" s="22"/>
      <c r="R128" s="170"/>
      <c r="S128" s="213">
        <f t="shared" si="40"/>
        <v>1</v>
      </c>
      <c r="T128" s="195" t="str">
        <f t="shared" si="41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2"/>
        <v>https://d0f6bd738d7f1b3e5a7ca70fe4ff75f0.us-east-1.aws.found.io/app/kibana#/discover/Steve-Slow-Train-Analysis-(2080s-and-2083s)?_g=(refreshInterval:(display:Off,pause:!f,section:0,value:0),time:(from:'2017-08-22T17:05:19-0600',mode:absolute,to:'2017-08-22T19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197" t="str">
        <f>IF(AA128&lt;VLOOKUP(AG128,Variables!$AC$3:$AD$8,2,FALSE),"Y","N")</f>
        <v>N</v>
      </c>
      <c r="X128" s="197">
        <f t="shared" si="43"/>
        <v>1</v>
      </c>
      <c r="Y128" s="197">
        <f t="shared" si="44"/>
        <v>23.3</v>
      </c>
      <c r="Z128" s="197">
        <f t="shared" si="45"/>
        <v>1.49E-2</v>
      </c>
      <c r="AA128" s="197">
        <f t="shared" si="46"/>
        <v>23.2851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47"/>
        <v>210</v>
      </c>
      <c r="AE128" s="77" t="str">
        <f t="shared" si="48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128" s="74" t="str">
        <f t="shared" si="49"/>
        <v>"C:\Program Files (x86)\AstroGrep\AstroGrep.exe" /e /r /s /spath="%USERPROFILE%\AppData\Local\Temp\OnboardLogs" /stypes="app*4005*20170823*" /stext=" 00:.+((SYSTEM_STATE.+slice.+state.+changed )|(ment ac)|(multiple cpu faults)|(system.+state.+changed )|(\[timeout)|(PRM\|1\|D)|(kpr)|(kdp)|(train st.+moving)|(\|lc)|(penalty))"</v>
      </c>
      <c r="AG128" s="209" t="str">
        <f t="shared" si="50"/>
        <v>EC</v>
      </c>
      <c r="AH128" s="78" t="str">
        <f t="shared" si="51"/>
        <v>"%USERPROFILE%\Documents\GitHub\eaglep3\Utilities\RefineRTDCRunTimes.py" --tripid 210-22 --locoid 4005 --swversion DE.1.0.9.0 --startMP 204:233000 --initTime 2017-08-22T18:05:19 --startdatetime 2017-08-22T18:12:16 --delay 1 --endMP 204:149 --enddatetime 2017-08-22T18:52:16 --enforcementcount 0 &gt;&gt;C:\Users\stu\Documents\GitHub\eaglep3-reporting\EC\2017-08-22-refined-times.txt</v>
      </c>
      <c r="AI128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{"issue":{"subject":"","project_id":79,"tracker_id":40,"status_id":1,"priority_id":2,"assigned_to_id":23,"start_date":"2017-08-22","description":"","custom_fields":[{"id":1,"name":"Subdivision","value":"EC"},{"id":4,"name":"Milepost","value":"0.0149"},{"id":17,"name":"Train ID","value":"210-22"},{"id":16,"name":"Locomotive ID","value":"4005"},{"id":130,"name":"Impact","value":""},{"id":150,"name":"Time of Event (Mountain Time)","value":"18:52:16"},{"id":151,"name":"Denver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3"/>
        <v>start /low /b %USERPROFILE%\Documents\GitHub\eaglep3\Utilities\DownloadLogsFromS3.py --loco 4005 --day 2017-08-22</v>
      </c>
      <c r="AN128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588</v>
      </c>
      <c r="B129" s="7">
        <v>4056</v>
      </c>
      <c r="C129" s="21" t="s">
        <v>198</v>
      </c>
      <c r="D129" s="21" t="s">
        <v>504</v>
      </c>
      <c r="E129" s="13">
        <v>42969.726956018516</v>
      </c>
      <c r="F129" s="13">
        <v>42969.729861111111</v>
      </c>
      <c r="G129" s="7">
        <v>1</v>
      </c>
      <c r="H129" s="21" t="s">
        <v>885</v>
      </c>
      <c r="I129" s="13">
        <v>42969.755983796298</v>
      </c>
      <c r="J129" s="7">
        <v>0</v>
      </c>
      <c r="K129" s="89" t="str">
        <f t="shared" si="37"/>
        <v>4055/4056</v>
      </c>
      <c r="L129" s="217" t="str">
        <f>VLOOKUP(A129,'Trips&amp;Operators'!$C$1:$G$99911,5,FALSE)</f>
        <v>THOMPSON LESTER</v>
      </c>
      <c r="M129" s="6">
        <f t="shared" si="38"/>
        <v>2.6122685187146999E-2</v>
      </c>
      <c r="N129" s="7">
        <f t="shared" si="39"/>
        <v>37.616666669491678</v>
      </c>
      <c r="O129" s="7"/>
      <c r="P129" s="7"/>
      <c r="Q129" s="22"/>
      <c r="R129" s="170"/>
      <c r="S129" s="213">
        <f t="shared" si="40"/>
        <v>1</v>
      </c>
      <c r="T129" s="195" t="str">
        <f t="shared" si="41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2"/>
        <v>https://d0f6bd738d7f1b3e5a7ca70fe4ff75f0.us-east-1.aws.found.io/app/kibana#/discover/Steve-Slow-Train-Analysis-(2080s-and-2083s)?_g=(refreshInterval:(display:Off,pause:!f,section:0,value:0),time:(from:'2017-08-22T16:26:49-0600',mode:absolute,to:'2017-08-22T19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197" t="str">
        <f>IF(AA129&lt;VLOOKUP(AG129,Variables!$AC$3:$AD$8,2,FALSE),"Y","N")</f>
        <v>N</v>
      </c>
      <c r="X129" s="197">
        <f t="shared" si="43"/>
        <v>1</v>
      </c>
      <c r="Y129" s="197">
        <f t="shared" si="44"/>
        <v>4.7699999999999999E-2</v>
      </c>
      <c r="Z129" s="197">
        <f t="shared" si="45"/>
        <v>23.329899999999999</v>
      </c>
      <c r="AA129" s="197">
        <f t="shared" si="46"/>
        <v>23.2822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47"/>
        <v>211</v>
      </c>
      <c r="AE129" s="77" t="str">
        <f t="shared" si="48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129" s="74" t="str">
        <f t="shared" si="49"/>
        <v>"C:\Program Files (x86)\AstroGrep\AstroGrep.exe" /e /r /s /spath="%USERPROFILE%\AppData\Local\Temp\OnboardLogs" /stypes="app*4056*20170823*" /stext=" 00:.+((SYSTEM_STATE.+slice.+state.+changed )|(ment ac)|(multiple cpu faults)|(system.+state.+changed )|(\[timeout)|(PRM\|1\|D)|(kpr)|(kdp)|(train st.+moving)|(\|lc)|(penalty))"</v>
      </c>
      <c r="AG129" s="209" t="str">
        <f t="shared" si="50"/>
        <v>EC</v>
      </c>
      <c r="AH129" s="78" t="str">
        <f t="shared" si="51"/>
        <v>"%USERPROFILE%\Documents\GitHub\eaglep3\Utilities\RefineRTDCRunTimes.py" --tripid 211-22 --locoid 4056 --swversion DE.1.0.9.0 --startMP 204:477 --initTime 2017-08-22T17:26:49 --startdatetime 2017-08-22T17:31:00 --delay 1 --endMP 204:233299 --enddatetime 2017-08-22T18:08:37 --enforcementcount 0 &gt;&gt;C:\Users\stu\Documents\GitHub\eaglep3-reporting\EC\2017-08-22-refined-times.txt</v>
      </c>
      <c r="AI129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{"issue":{"subject":"","project_id":79,"tracker_id":40,"status_id":1,"priority_id":2,"assigned_to_id":23,"start_date":"2017-08-22","description":"","custom_fields":[{"id":1,"name":"Subdivision","value":"EC"},{"id":4,"name":"Milepost","value":"23.3299"},{"id":17,"name":"Train ID","value":"211-22"},{"id":16,"name":"Locomotive ID","value":"4056"},{"id":130,"name":"Impact","value":""},{"id":150,"name":"Time of Event (Mountain Time)","value":"18:08:37"},{"id":151,"name":"Denver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3"/>
        <v>start /low /b %USERPROFILE%\Documents\GitHub\eaglep3\Utilities\DownloadLogsFromS3.py --loco 4056 --day 2017-08-22</v>
      </c>
      <c r="AN129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590</v>
      </c>
      <c r="B130" s="7">
        <v>4055</v>
      </c>
      <c r="C130" s="21" t="s">
        <v>198</v>
      </c>
      <c r="D130" s="21" t="s">
        <v>404</v>
      </c>
      <c r="E130" s="13">
        <v>42969.766863425924</v>
      </c>
      <c r="F130" s="13">
        <v>42969.769050925926</v>
      </c>
      <c r="G130" s="7">
        <v>1</v>
      </c>
      <c r="H130" s="21" t="s">
        <v>353</v>
      </c>
      <c r="I130" s="13">
        <v>42969.797534722224</v>
      </c>
      <c r="J130" s="7">
        <v>0</v>
      </c>
      <c r="K130" s="89" t="str">
        <f t="shared" si="37"/>
        <v>4055/4056</v>
      </c>
      <c r="L130" s="217" t="str">
        <f>VLOOKUP(A130,'Trips&amp;Operators'!$C$1:$G$99911,5,FALSE)</f>
        <v>THOMPSON LESTER</v>
      </c>
      <c r="M130" s="6">
        <f t="shared" si="38"/>
        <v>2.8483796297223307E-2</v>
      </c>
      <c r="N130" s="7">
        <f t="shared" si="39"/>
        <v>41.016666668001562</v>
      </c>
      <c r="O130" s="7"/>
      <c r="P130" s="7"/>
      <c r="Q130" s="22"/>
      <c r="R130" s="170"/>
      <c r="S130" s="213">
        <f t="shared" si="40"/>
        <v>1</v>
      </c>
      <c r="T130" s="195" t="str">
        <f t="shared" si="41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2"/>
        <v>https://d0f6bd738d7f1b3e5a7ca70fe4ff75f0.us-east-1.aws.found.io/app/kibana#/discover/Steve-Slow-Train-Analysis-(2080s-and-2083s)?_g=(refreshInterval:(display:Off,pause:!f,section:0,value:0),time:(from:'2017-08-22T17:24:17-0600',mode:absolute,to:'2017-08-22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197" t="str">
        <f>IF(AA130&lt;VLOOKUP(AG130,Variables!$AC$3:$AD$8,2,FALSE),"Y","N")</f>
        <v>N</v>
      </c>
      <c r="X130" s="197">
        <f t="shared" si="43"/>
        <v>1</v>
      </c>
      <c r="Y130" s="197">
        <f t="shared" si="44"/>
        <v>23.299800000000001</v>
      </c>
      <c r="Z130" s="197">
        <f t="shared" si="45"/>
        <v>1.54E-2</v>
      </c>
      <c r="AA130" s="197">
        <f t="shared" si="46"/>
        <v>23.284400000000002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47"/>
        <v>212</v>
      </c>
      <c r="AE130" s="77" t="str">
        <f t="shared" si="48"/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AF130" s="74" t="str">
        <f t="shared" si="49"/>
        <v>"C:\Program Files (x86)\AstroGrep\AstroGrep.exe" /e /r /s /spath="%USERPROFILE%\AppData\Local\Temp\OnboardLogs" /stypes="app*4055*20170823*" /stext=" 01:.+((SYSTEM_STATE.+slice.+state.+changed )|(ment ac)|(multiple cpu faults)|(system.+state.+changed )|(\[timeout)|(PRM\|1\|D)|(kpr)|(kdp)|(train st.+moving)|(\|lc)|(penalty))"</v>
      </c>
      <c r="AG130" s="209" t="str">
        <f t="shared" si="50"/>
        <v>EC</v>
      </c>
      <c r="AH130" s="78" t="str">
        <f t="shared" si="51"/>
        <v>"%USERPROFILE%\Documents\GitHub\eaglep3\Utilities\RefineRTDCRunTimes.py" --tripid 212-22 --locoid 4055 --swversion DE.1.0.9.0 --startMP 204:232998 --initTime 2017-08-22T18:24:17 --startdatetime 2017-08-22T18:27:26 --delay 1 --endMP 204:154 --enddatetime 2017-08-22T19:08:27 --enforcementcount 0 &gt;&gt;C:\Users\stu\Documents\GitHub\eaglep3-reporting\EC\2017-08-22-refined-times.txt</v>
      </c>
      <c r="AI130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{"issue":{"subject":"","project_id":79,"tracker_id":40,"status_id":1,"priority_id":2,"assigned_to_id":23,"start_date":"2017-08-22","description":"","custom_fields":[{"id":1,"name":"Subdivision","value":"EC"},{"id":4,"name":"Milepost","value":"0.0154"},{"id":17,"name":"Train ID","value":"212-22"},{"id":16,"name":"Locomotive ID","value":"4055"},{"id":130,"name":"Impact","value":""},{"id":150,"name":"Time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3"/>
        <v>start /low /b %USERPROFILE%\Documents\GitHub\eaglep3\Utilities\DownloadLogsFromS3.py --loco 4055 --day 2017-08-22</v>
      </c>
      <c r="AN130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741</v>
      </c>
      <c r="B131" s="7">
        <v>4054</v>
      </c>
      <c r="C131" s="21" t="s">
        <v>198</v>
      </c>
      <c r="D131" s="21" t="s">
        <v>886</v>
      </c>
      <c r="E131" s="13">
        <v>42969.73878472222</v>
      </c>
      <c r="F131" s="13">
        <v>42969.740740740737</v>
      </c>
      <c r="G131" s="7">
        <v>1</v>
      </c>
      <c r="H131" s="21" t="s">
        <v>832</v>
      </c>
      <c r="I131" s="13">
        <v>42969.766030092593</v>
      </c>
      <c r="J131" s="7">
        <v>0</v>
      </c>
      <c r="K131" s="89" t="str">
        <f t="shared" si="37"/>
        <v>4053/4054</v>
      </c>
      <c r="L131" s="217" t="str">
        <f>VLOOKUP(A131,'Trips&amp;Operators'!$C$1:$G$99911,5,FALSE)</f>
        <v>WEST BRYAN</v>
      </c>
      <c r="M131" s="6">
        <f t="shared" si="38"/>
        <v>2.5289351855462883E-2</v>
      </c>
      <c r="N131" s="7">
        <f t="shared" si="39"/>
        <v>36.416666671866551</v>
      </c>
      <c r="O131" s="7"/>
      <c r="P131" s="7"/>
      <c r="Q131" s="22"/>
      <c r="R131" s="170"/>
      <c r="S131" s="213">
        <f t="shared" si="40"/>
        <v>1</v>
      </c>
      <c r="T131" s="195" t="str">
        <f t="shared" si="41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2"/>
        <v>https://d0f6bd738d7f1b3e5a7ca70fe4ff75f0.us-east-1.aws.found.io/app/kibana#/discover/Steve-Slow-Train-Analysis-(2080s-and-2083s)?_g=(refreshInterval:(display:Off,pause:!f,section:0,value:0),time:(from:'2017-08-22T16:43:51-0600',mode:absolute,to:'2017-08-22T19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197" t="str">
        <f>IF(AA131&lt;VLOOKUP(AG131,Variables!$AC$3:$AD$8,2,FALSE),"Y","N")</f>
        <v>N</v>
      </c>
      <c r="X131" s="197">
        <f t="shared" si="43"/>
        <v>1</v>
      </c>
      <c r="Y131" s="197">
        <f t="shared" si="44"/>
        <v>4.8899999999999999E-2</v>
      </c>
      <c r="Z131" s="197">
        <f t="shared" si="45"/>
        <v>23.3323</v>
      </c>
      <c r="AA131" s="197">
        <f t="shared" si="46"/>
        <v>23.2834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47"/>
        <v>213</v>
      </c>
      <c r="AE131" s="77" t="str">
        <f t="shared" si="48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31" s="74" t="str">
        <f t="shared" si="49"/>
        <v>"C:\Program Files (x86)\AstroGrep\AstroGrep.exe" /e /r /s /spath="%USERPROFILE%\AppData\Local\Temp\OnboardLogs" /stypes="app*4054*20170823*" /stext=" 00:.+((SYSTEM_STATE.+slice.+state.+changed )|(ment ac)|(multiple cpu faults)|(system.+state.+changed )|(\[timeout)|(PRM\|1\|D)|(kpr)|(kdp)|(train st.+moving)|(\|lc)|(penalty))"</v>
      </c>
      <c r="AG131" s="209" t="str">
        <f t="shared" si="50"/>
        <v>EC</v>
      </c>
      <c r="AH131" s="78" t="str">
        <f t="shared" si="51"/>
        <v>"%USERPROFILE%\Documents\GitHub\eaglep3\Utilities\RefineRTDCRunTimes.py" --tripid 213-22 --locoid 4054 --swversion DE.1.0.9.0 --startMP 204:489 --initTime 2017-08-22T17:43:51 --startdatetime 2017-08-22T17:46:40 --delay 1 --endMP 204:233323 --enddatetime 2017-08-22T18:23:05 --enforcementcount 0 &gt;&gt;C:\Users\stu\Documents\GitHub\eaglep3-reporting\EC\2017-08-22-refined-times.txt</v>
      </c>
      <c r="AI131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{"issue":{"subject":"","project_id":79,"tracker_id":40,"status_id":1,"priority_id":2,"assigned_to_id":23,"start_date":"2017-08-22","description":"","custom_fields":[{"id":1,"name":"Subdivision","value":"EC"},{"id":4,"name":"Milepost","value":"23.3323"},{"id":17,"name":"Train ID","value":"213-22"},{"id":16,"name":"Locomotive ID","value":"4054"},{"id":130,"name":"Impact","value":""},{"id":150,"name":"Time of Event (Mountain Time)","value":"18:23:05"},{"id":151,"name":"Denver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3"/>
        <v>start /low /b %USERPROFILE%\Documents\GitHub\eaglep3\Utilities\DownloadLogsFromS3.py --loco 4054 --day 2017-08-22</v>
      </c>
      <c r="AN131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756</v>
      </c>
      <c r="B132" s="7">
        <v>4053</v>
      </c>
      <c r="C132" s="21" t="s">
        <v>198</v>
      </c>
      <c r="D132" s="21" t="s">
        <v>811</v>
      </c>
      <c r="E132" s="13">
        <v>42969.770162037035</v>
      </c>
      <c r="F132" s="13">
        <v>42969.779386574075</v>
      </c>
      <c r="G132" s="7">
        <v>1</v>
      </c>
      <c r="H132" s="21" t="s">
        <v>809</v>
      </c>
      <c r="I132" s="13">
        <v>42969.806273148148</v>
      </c>
      <c r="J132" s="7">
        <v>0</v>
      </c>
      <c r="K132" s="89" t="str">
        <f t="shared" si="37"/>
        <v>4053/4054</v>
      </c>
      <c r="L132" s="217" t="str">
        <f>VLOOKUP(A132,'Trips&amp;Operators'!$C$1:$G$99911,5,FALSE)</f>
        <v>WEST BRYAN</v>
      </c>
      <c r="M132" s="6">
        <f t="shared" si="38"/>
        <v>2.6886574072705116E-2</v>
      </c>
      <c r="N132" s="7">
        <f t="shared" si="39"/>
        <v>38.716666664695367</v>
      </c>
      <c r="O132" s="7"/>
      <c r="P132" s="7"/>
      <c r="Q132" s="22"/>
      <c r="R132" s="170"/>
      <c r="S132" s="213">
        <f t="shared" si="40"/>
        <v>1</v>
      </c>
      <c r="T132" s="195" t="str">
        <f t="shared" si="41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2"/>
        <v>https://d0f6bd738d7f1b3e5a7ca70fe4ff75f0.us-east-1.aws.found.io/app/kibana#/discover/Steve-Slow-Train-Analysis-(2080s-and-2083s)?_g=(refreshInterval:(display:Off,pause:!f,section:0,value:0),time:(from:'2017-08-22T17:29:02-0600',mode:absolute,to:'2017-08-22T20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197" t="str">
        <f>IF(AA132&lt;VLOOKUP(AG132,Variables!$AC$3:$AD$8,2,FALSE),"Y","N")</f>
        <v>N</v>
      </c>
      <c r="X132" s="197">
        <f t="shared" si="43"/>
        <v>1</v>
      </c>
      <c r="Y132" s="197">
        <f t="shared" si="44"/>
        <v>23.299399999999999</v>
      </c>
      <c r="Z132" s="197">
        <f t="shared" si="45"/>
        <v>1.61E-2</v>
      </c>
      <c r="AA132" s="197">
        <f t="shared" si="46"/>
        <v>23.283299999999997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47"/>
        <v>214</v>
      </c>
      <c r="AE132" s="77" t="str">
        <f t="shared" si="48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132" s="74" t="str">
        <f t="shared" si="49"/>
        <v>"C:\Program Files (x86)\AstroGrep\AstroGrep.exe" /e /r /s /spath="%USERPROFILE%\AppData\Local\Temp\OnboardLogs" /stypes="app*4053*20170823*" /stext=" 01:.+((SYSTEM_STATE.+slice.+state.+changed )|(ment ac)|(multiple cpu faults)|(system.+state.+changed )|(\[timeout)|(PRM\|1\|D)|(kpr)|(kdp)|(train st.+moving)|(\|lc)|(penalty))"</v>
      </c>
      <c r="AG132" s="209" t="str">
        <f t="shared" si="50"/>
        <v>EC</v>
      </c>
      <c r="AH132" s="78" t="str">
        <f t="shared" si="51"/>
        <v>"%USERPROFILE%\Documents\GitHub\eaglep3\Utilities\RefineRTDCRunTimes.py" --tripid 214-22 --locoid 4053 --swversion DE.1.0.9.0 --startMP 204:232994 --initTime 2017-08-22T18:29:02 --startdatetime 2017-08-22T18:42:19 --delay 1 --endMP 204:161 --enddatetime 2017-08-22T19:21:02 --enforcementcount 0 &gt;&gt;C:\Users\stu\Documents\GitHub\eaglep3-reporting\EC\2017-08-22-refined-times.txt</v>
      </c>
      <c r="AI132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{"issue":{"subject":"","project_id":79,"tracker_id":40,"status_id":1,"priority_id":2,"assigned_to_id":23,"start_date":"2017-08-22","description":"","custom_fields":[{"id":1,"name":"Subdivision","value":"EC"},{"id":4,"name":"Milepost","value":"0.0161"},{"id":17,"name":"Train ID","value":"214-22"},{"id":16,"name":"Locomotive ID","value":"4053"},{"id":130,"name":"Impact","value":""},{"id":150,"name":"Time of Event (Mountain Time)","value":"19:21:02"},{"id":151,"name":"Denver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3"/>
        <v>start /low /b %USERPROFILE%\Documents\GitHub\eaglep3\Utilities\DownloadLogsFromS3.py --loco 4053 --day 2017-08-22</v>
      </c>
      <c r="AN132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747</v>
      </c>
      <c r="B133" s="7">
        <v>4012</v>
      </c>
      <c r="C133" s="21" t="s">
        <v>198</v>
      </c>
      <c r="D133" s="21" t="s">
        <v>504</v>
      </c>
      <c r="E133" s="13">
        <v>42969.746435185189</v>
      </c>
      <c r="F133" s="13">
        <v>42969.750520833331</v>
      </c>
      <c r="G133" s="7">
        <v>2</v>
      </c>
      <c r="H133" s="21" t="s">
        <v>858</v>
      </c>
      <c r="I133" s="13">
        <v>42969.775416666664</v>
      </c>
      <c r="J133" s="7">
        <v>0</v>
      </c>
      <c r="K133" s="89" t="str">
        <f t="shared" si="37"/>
        <v>4011/4012</v>
      </c>
      <c r="L133" s="217" t="str">
        <f>VLOOKUP(A133,'Trips&amp;Operators'!$C$1:$G$99911,5,FALSE)</f>
        <v>MCREYNOLDS KYLE</v>
      </c>
      <c r="M133" s="6">
        <f t="shared" si="38"/>
        <v>2.4895833332266193E-2</v>
      </c>
      <c r="N133" s="7">
        <f t="shared" si="39"/>
        <v>35.849999998463318</v>
      </c>
      <c r="O133" s="7"/>
      <c r="P133" s="7"/>
      <c r="Q133" s="22"/>
      <c r="R133" s="170"/>
      <c r="S133" s="213">
        <f t="shared" si="40"/>
        <v>1</v>
      </c>
      <c r="T133" s="195" t="str">
        <f t="shared" si="41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2"/>
        <v>https://d0f6bd738d7f1b3e5a7ca70fe4ff75f0.us-east-1.aws.found.io/app/kibana#/discover/Steve-Slow-Train-Analysis-(2080s-and-2083s)?_g=(refreshInterval:(display:Off,pause:!f,section:0,value:0),time:(from:'2017-08-22T16:54:52-0600',mode:absolute,to:'2017-08-22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97" t="str">
        <f>IF(AA133&lt;VLOOKUP(AG133,Variables!$AC$3:$AD$8,2,FALSE),"Y","N")</f>
        <v>N</v>
      </c>
      <c r="X133" s="197">
        <f t="shared" si="43"/>
        <v>1</v>
      </c>
      <c r="Y133" s="197">
        <f t="shared" si="44"/>
        <v>4.7699999999999999E-2</v>
      </c>
      <c r="Z133" s="197">
        <f t="shared" si="45"/>
        <v>23.3353</v>
      </c>
      <c r="AA133" s="197">
        <f t="shared" si="46"/>
        <v>23.287600000000001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47"/>
        <v>215</v>
      </c>
      <c r="AE133" s="77" t="str">
        <f t="shared" si="48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133" s="74" t="str">
        <f t="shared" si="49"/>
        <v>"C:\Program Files (x86)\AstroGrep\AstroGrep.exe" /e /r /s /spath="%USERPROFILE%\AppData\Local\Temp\OnboardLogs" /stypes="app*4012*20170823*" /stext=" 00:.+((SYSTEM_STATE.+slice.+state.+changed )|(ment ac)|(multiple cpu faults)|(system.+state.+changed )|(\[timeout)|(PRM\|1\|D)|(kpr)|(kdp)|(train st.+moving)|(\|lc)|(penalty))"</v>
      </c>
      <c r="AG133" s="209" t="str">
        <f t="shared" si="50"/>
        <v>EC</v>
      </c>
      <c r="AH133" s="78" t="str">
        <f t="shared" si="51"/>
        <v>"%USERPROFILE%\Documents\GitHub\eaglep3\Utilities\RefineRTDCRunTimes.py" --tripid 215-22 --locoid 4012 --swversion DE.1.0.9.0 --startMP 204:477 --initTime 2017-08-22T17:54:52 --startdatetime 2017-08-22T18:00:45 --delay 2 --endMP 204:233353 --enddatetime 2017-08-22T18:36:36 --enforcementcount 0 &gt;&gt;C:\Users\stu\Documents\GitHub\eaglep3-reporting\EC\2017-08-22-refined-times.txt</v>
      </c>
      <c r="AI133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{"issue":{"subject":"","project_id":79,"tracker_id":40,"status_id":1,"priority_id":2,"assigned_to_id":23,"start_date":"2017-08-22","description":"","custom_fields":[{"id":1,"name":"Subdivision","value":"EC"},{"id":4,"name":"Milepost","value":"23.3353"},{"id":17,"name":"Train ID","value":"215-22"},{"id":16,"name":"Locomotive ID","value":"4012"},{"id":130,"name":"Impact","value":""},{"id":150,"name":"Time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3"/>
        <v>start /low /b %USERPROFILE%\Documents\GitHub\eaglep3\Utilities\DownloadLogsFromS3.py --loco 4012 --day 2017-08-22</v>
      </c>
      <c r="AN133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760</v>
      </c>
      <c r="B134" s="7">
        <v>4011</v>
      </c>
      <c r="C134" s="21" t="s">
        <v>198</v>
      </c>
      <c r="D134" s="21" t="s">
        <v>415</v>
      </c>
      <c r="E134" s="13">
        <v>42969.78334490741</v>
      </c>
      <c r="F134" s="13">
        <v>42969.789756944447</v>
      </c>
      <c r="G134" s="7">
        <v>1</v>
      </c>
      <c r="H134" s="21" t="s">
        <v>339</v>
      </c>
      <c r="I134" s="13">
        <v>42969.818020833336</v>
      </c>
      <c r="J134" s="7">
        <v>0</v>
      </c>
      <c r="K134" s="89" t="str">
        <f t="shared" si="37"/>
        <v>4011/4012</v>
      </c>
      <c r="L134" s="217" t="str">
        <f>VLOOKUP(A134,'Trips&amp;Operators'!$C$1:$G$99911,5,FALSE)</f>
        <v>MCREYNOLDS KYLE</v>
      </c>
      <c r="M134" s="6">
        <f t="shared" si="38"/>
        <v>2.8263888889341615E-2</v>
      </c>
      <c r="N134" s="7">
        <f t="shared" si="39"/>
        <v>40.700000000651926</v>
      </c>
      <c r="O134" s="7"/>
      <c r="P134" s="7"/>
      <c r="Q134" s="22"/>
      <c r="R134" s="170"/>
      <c r="S134" s="213">
        <f t="shared" si="40"/>
        <v>1</v>
      </c>
      <c r="T134" s="195" t="str">
        <f t="shared" si="41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2"/>
        <v>https://d0f6bd738d7f1b3e5a7ca70fe4ff75f0.us-east-1.aws.found.io/app/kibana#/discover/Steve-Slow-Train-Analysis-(2080s-and-2083s)?_g=(refreshInterval:(display:Off,pause:!f,section:0,value:0),time:(from:'2017-08-22T17:48:01-0600',mode:absolute,to:'2017-08-22T20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97" t="str">
        <f>IF(AA134&lt;VLOOKUP(AG134,Variables!$AC$3:$AD$8,2,FALSE),"Y","N")</f>
        <v>N</v>
      </c>
      <c r="X134" s="197">
        <f t="shared" si="43"/>
        <v>1</v>
      </c>
      <c r="Y134" s="197">
        <f t="shared" si="44"/>
        <v>23.303599999999999</v>
      </c>
      <c r="Z134" s="197">
        <f t="shared" si="45"/>
        <v>1.4999999999999999E-2</v>
      </c>
      <c r="AA134" s="197">
        <f t="shared" si="46"/>
        <v>23.288599999999999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47"/>
        <v>216</v>
      </c>
      <c r="AE134" s="77" t="str">
        <f t="shared" si="48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134" s="74" t="str">
        <f t="shared" si="49"/>
        <v>"C:\Program Files (x86)\AstroGrep\AstroGrep.exe" /e /r /s /spath="%USERPROFILE%\AppData\Local\Temp\OnboardLogs" /stypes="app*4011*20170823*" /stext=" 01:.+((SYSTEM_STATE.+slice.+state.+changed )|(ment ac)|(multiple cpu faults)|(system.+state.+changed )|(\[timeout)|(PRM\|1\|D)|(kpr)|(kdp)|(train st.+moving)|(\|lc)|(penalty))"</v>
      </c>
      <c r="AG134" s="209" t="str">
        <f t="shared" si="50"/>
        <v>EC</v>
      </c>
      <c r="AH134" s="78" t="str">
        <f t="shared" si="51"/>
        <v>"%USERPROFILE%\Documents\GitHub\eaglep3\Utilities\RefineRTDCRunTimes.py" --tripid 216-22 --locoid 4011 --swversion DE.1.0.9.0 --startMP 204:233036 --initTime 2017-08-22T18:48:01 --startdatetime 2017-08-22T18:57:15 --delay 1 --endMP 204:150 --enddatetime 2017-08-22T19:37:57 --enforcementcount 0 &gt;&gt;C:\Users\stu\Documents\GitHub\eaglep3-reporting\EC\2017-08-22-refined-times.txt</v>
      </c>
      <c r="AI134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{"issue":{"subject":"","project_id":79,"tracker_id":40,"status_id":1,"priority_id":2,"assigned_to_id":23,"start_date":"2017-08-22","description":"","custom_fields":[{"id":1,"name":"Subdivision","value":"EC"},{"id":4,"name":"Milepost","value":"0.015"},{"id":17,"name":"Train ID","value":"216-22"},{"id":16,"name":"Locomotive ID","value":"4011"},{"id":130,"name":"Impact","value":""},{"id":150,"name":"Time of Event (Mountain Time)","value":"19:37:57"},{"id":151,"name":"Denver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3"/>
        <v>start /low /b %USERPROFILE%\Documents\GitHub\eaglep3\Utilities\DownloadLogsFromS3.py --loco 4011 --day 2017-08-22</v>
      </c>
      <c r="AN134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749</v>
      </c>
      <c r="B135" s="7">
        <v>4018</v>
      </c>
      <c r="C135" s="21" t="s">
        <v>198</v>
      </c>
      <c r="D135" s="21" t="s">
        <v>376</v>
      </c>
      <c r="E135" s="13">
        <v>42969.757488425923</v>
      </c>
      <c r="F135" s="13">
        <v>42969.760925925926</v>
      </c>
      <c r="G135" s="7">
        <v>1</v>
      </c>
      <c r="H135" s="21" t="s">
        <v>426</v>
      </c>
      <c r="I135" s="13">
        <v>42969.785590277781</v>
      </c>
      <c r="J135" s="7">
        <v>0</v>
      </c>
      <c r="K135" s="89" t="str">
        <f t="shared" si="37"/>
        <v>4017/4018</v>
      </c>
      <c r="L135" s="217" t="str">
        <f>VLOOKUP(A135,'Trips&amp;Operators'!$C$1:$G$99911,5,FALSE)</f>
        <v>FORTUNATO FRANK</v>
      </c>
      <c r="M135" s="6">
        <f t="shared" si="38"/>
        <v>2.4664351854880806E-2</v>
      </c>
      <c r="N135" s="7">
        <f t="shared" si="39"/>
        <v>35.516666671028361</v>
      </c>
      <c r="O135" s="7"/>
      <c r="P135" s="7"/>
      <c r="Q135" s="22"/>
      <c r="R135" s="170"/>
      <c r="S135" s="213">
        <f t="shared" si="40"/>
        <v>1</v>
      </c>
      <c r="T135" s="195" t="str">
        <f t="shared" si="41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2"/>
        <v>https://d0f6bd738d7f1b3e5a7ca70fe4ff75f0.us-east-1.aws.found.io/app/kibana#/discover/Steve-Slow-Train-Analysis-(2080s-and-2083s)?_g=(refreshInterval:(display:Off,pause:!f,section:0,value:0),time:(from:'2017-08-22T17:10:47-0600',mode:absolute,to:'2017-08-22T19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197" t="str">
        <f>IF(AA135&lt;VLOOKUP(AG135,Variables!$AC$3:$AD$8,2,FALSE),"Y","N")</f>
        <v>N</v>
      </c>
      <c r="X135" s="197">
        <f t="shared" si="43"/>
        <v>1</v>
      </c>
      <c r="Y135" s="197">
        <f t="shared" si="44"/>
        <v>4.5699999999999998E-2</v>
      </c>
      <c r="Z135" s="197">
        <f t="shared" si="45"/>
        <v>23.331199999999999</v>
      </c>
      <c r="AA135" s="197">
        <f t="shared" si="46"/>
        <v>23.285499999999999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47"/>
        <v>217</v>
      </c>
      <c r="AE135" s="77" t="str">
        <f t="shared" si="48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35" s="74" t="str">
        <f t="shared" si="49"/>
        <v>"C:\Program Files (x86)\AstroGrep\AstroGrep.exe" /e /r /s /spath="%USERPROFILE%\AppData\Local\Temp\OnboardLogs" /stypes="app*4018*20170823*" /stext=" 00:.+((SYSTEM_STATE.+slice.+state.+changed )|(ment ac)|(multiple cpu faults)|(system.+state.+changed )|(\[timeout)|(PRM\|1\|D)|(kpr)|(kdp)|(train st.+moving)|(\|lc)|(penalty))"</v>
      </c>
      <c r="AG135" s="209" t="str">
        <f t="shared" si="50"/>
        <v>EC</v>
      </c>
      <c r="AH135" s="78" t="str">
        <f t="shared" si="51"/>
        <v>"%USERPROFILE%\Documents\GitHub\eaglep3\Utilities\RefineRTDCRunTimes.py" --tripid 217-22 --locoid 4018 --swversion DE.1.0.9.0 --startMP 204:457 --initTime 2017-08-22T18:10:47 --startdatetime 2017-08-22T18:15:44 --delay 1 --endMP 204:233312 --enddatetime 2017-08-22T18:51:15 --enforcementcount 0 &gt;&gt;C:\Users\stu\Documents\GitHub\eaglep3-reporting\EC\2017-08-22-refined-times.txt</v>
      </c>
      <c r="AI135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{"issue":{"subject":"","project_id":79,"tracker_id":40,"status_id":1,"priority_id":2,"assigned_to_id":23,"start_date":"2017-08-22","description":"","custom_fields":[{"id":1,"name":"Subdivision","value":"EC"},{"id":4,"name":"Milepost","value":"23.3312"},{"id":17,"name":"Train ID","value":"217-22"},{"id":16,"name":"Locomotive ID","value":"4018"},{"id":130,"name":"Impact","value":""},{"id":150,"name":"Time of Event (Mountain Time)","value":"18:51:15"},{"id":151,"name":"Denver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3"/>
        <v>start /low /b %USERPROFILE%\Documents\GitHub\eaglep3\Utilities\DownloadLogsFromS3.py --loco 4018 --day 2017-08-22</v>
      </c>
      <c r="AN135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761</v>
      </c>
      <c r="B136" s="7">
        <v>4017</v>
      </c>
      <c r="C136" s="21" t="s">
        <v>198</v>
      </c>
      <c r="D136" s="21" t="s">
        <v>425</v>
      </c>
      <c r="E136" s="13">
        <v>42969.789039351854</v>
      </c>
      <c r="F136" s="13">
        <v>42969.800173611111</v>
      </c>
      <c r="G136" s="7">
        <v>1</v>
      </c>
      <c r="H136" s="21" t="s">
        <v>384</v>
      </c>
      <c r="I136" s="13">
        <v>42969.82607638889</v>
      </c>
      <c r="J136" s="7">
        <v>0</v>
      </c>
      <c r="K136" s="89" t="str">
        <f t="shared" si="37"/>
        <v>4017/4018</v>
      </c>
      <c r="L136" s="217" t="str">
        <f>VLOOKUP(A136,'Trips&amp;Operators'!$C$1:$G$99911,5,FALSE)</f>
        <v>FORTUNATO FRANK</v>
      </c>
      <c r="M136" s="6">
        <f t="shared" si="38"/>
        <v>2.5902777779265307E-2</v>
      </c>
      <c r="N136" s="7">
        <f t="shared" si="39"/>
        <v>37.300000002142042</v>
      </c>
      <c r="O136" s="7"/>
      <c r="P136" s="7"/>
      <c r="Q136" s="22"/>
      <c r="R136" s="170"/>
      <c r="S136" s="213">
        <f t="shared" si="40"/>
        <v>1</v>
      </c>
      <c r="T136" s="195" t="str">
        <f t="shared" si="41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2"/>
        <v>https://d0f6bd738d7f1b3e5a7ca70fe4ff75f0.us-east-1.aws.found.io/app/kibana#/discover/Steve-Slow-Train-Analysis-(2080s-and-2083s)?_g=(refreshInterval:(display:Off,pause:!f,section:0,value:0),time:(from:'2017-08-22T17:56:13-0600',mode:absolute,to:'2017-08-22T20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197" t="str">
        <f>IF(AA136&lt;VLOOKUP(AG136,Variables!$AC$3:$AD$8,2,FALSE),"Y","N")</f>
        <v>N</v>
      </c>
      <c r="X136" s="197">
        <f t="shared" si="43"/>
        <v>1</v>
      </c>
      <c r="Y136" s="197">
        <f t="shared" si="44"/>
        <v>23.3002</v>
      </c>
      <c r="Z136" s="197">
        <f t="shared" si="45"/>
        <v>1.38E-2</v>
      </c>
      <c r="AA136" s="197">
        <f t="shared" si="46"/>
        <v>23.2864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47"/>
        <v>218</v>
      </c>
      <c r="AE136" s="77" t="str">
        <f t="shared" si="48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136" s="74" t="str">
        <f t="shared" si="49"/>
        <v>"C:\Program Files (x86)\AstroGrep\AstroGrep.exe" /e /r /s /spath="%USERPROFILE%\AppData\Local\Temp\OnboardLogs" /stypes="app*4017*20170823*" /stext=" 01:.+((SYSTEM_STATE.+slice.+state.+changed )|(ment ac)|(multiple cpu faults)|(system.+state.+changed )|(\[timeout)|(PRM\|1\|D)|(kpr)|(kdp)|(train st.+moving)|(\|lc)|(penalty))"</v>
      </c>
      <c r="AG136" s="209" t="str">
        <f t="shared" si="50"/>
        <v>EC</v>
      </c>
      <c r="AH136" s="78" t="str">
        <f t="shared" si="51"/>
        <v>"%USERPROFILE%\Documents\GitHub\eaglep3\Utilities\RefineRTDCRunTimes.py" --tripid 218-22 --locoid 4017 --swversion DE.1.0.9.0 --startMP 204:233002 --initTime 2017-08-22T18:56:13 --startdatetime 2017-08-22T19:12:15 --delay 1 --endMP 204:138 --enddatetime 2017-08-22T19:49:33 --enforcementcount 0 &gt;&gt;C:\Users\stu\Documents\GitHub\eaglep3-reporting\EC\2017-08-22-refined-times.txt</v>
      </c>
      <c r="AI136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{"issue":{"subject":"","project_id":79,"tracker_id":40,"status_id":1,"priority_id":2,"assigned_to_id":23,"start_date":"2017-08-22","description":"","custom_fields":[{"id":1,"name":"Subdivision","value":"EC"},{"id":4,"name":"Milepost","value":"0.0138"},{"id":17,"name":"Train ID","value":"218-22"},{"id":16,"name":"Locomotive ID","value":"4017"},{"id":130,"name":"Impact","value":""},{"id":150,"name":"Time of Event (Mountain Time)","value":"19:49:33"},{"id":151,"name":"Denver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3"/>
        <v>start /low /b %USERPROFILE%\Documents\GitHub\eaglep3\Utilities\DownloadLogsFromS3.py --loco 4017 --day 2017-08-22</v>
      </c>
      <c r="AN136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753</v>
      </c>
      <c r="B137" s="7">
        <v>4010</v>
      </c>
      <c r="C137" s="21" t="s">
        <v>198</v>
      </c>
      <c r="D137" s="21" t="s">
        <v>344</v>
      </c>
      <c r="E137" s="13">
        <v>42969.768043981479</v>
      </c>
      <c r="F137" s="13">
        <v>42969.771469907406</v>
      </c>
      <c r="G137" s="7">
        <v>2</v>
      </c>
      <c r="H137" s="21" t="s">
        <v>509</v>
      </c>
      <c r="I137" s="13">
        <v>42969.798148148147</v>
      </c>
      <c r="J137" s="7">
        <v>0</v>
      </c>
      <c r="K137" s="89" t="str">
        <f t="shared" si="37"/>
        <v>4009/4010</v>
      </c>
      <c r="L137" s="217" t="str">
        <f>VLOOKUP(A137,'Trips&amp;Operators'!$C$1:$G$99911,5,FALSE)</f>
        <v>NELSON ARIANE</v>
      </c>
      <c r="M137" s="6">
        <f t="shared" si="38"/>
        <v>2.6678240741603076E-2</v>
      </c>
      <c r="N137" s="7">
        <f t="shared" si="39"/>
        <v>38.41666666790843</v>
      </c>
      <c r="O137" s="7"/>
      <c r="P137" s="7"/>
      <c r="Q137" s="22"/>
      <c r="R137" s="170"/>
      <c r="S137" s="213">
        <f t="shared" si="40"/>
        <v>1</v>
      </c>
      <c r="T137" s="195" t="str">
        <f t="shared" si="41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2"/>
        <v>https://d0f6bd738d7f1b3e5a7ca70fe4ff75f0.us-east-1.aws.found.io/app/kibana#/discover/Steve-Slow-Train-Analysis-(2080s-and-2083s)?_g=(refreshInterval:(display:Off,pause:!f,section:0,value:0),time:(from:'2017-08-22T17:25:59-0600',mode:absolute,to:'2017-08-22T20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197" t="str">
        <f>IF(AA137&lt;VLOOKUP(AG137,Variables!$AC$3:$AD$8,2,FALSE),"Y","N")</f>
        <v>N</v>
      </c>
      <c r="X137" s="197">
        <f t="shared" si="43"/>
        <v>1</v>
      </c>
      <c r="Y137" s="197">
        <f t="shared" si="44"/>
        <v>4.53E-2</v>
      </c>
      <c r="Z137" s="197">
        <f t="shared" si="45"/>
        <v>23.328600000000002</v>
      </c>
      <c r="AA137" s="197">
        <f t="shared" si="46"/>
        <v>23.283300000000001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47"/>
        <v>219</v>
      </c>
      <c r="AE137" s="77" t="str">
        <f t="shared" si="48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137" s="74" t="str">
        <f t="shared" si="49"/>
        <v>"C:\Program Files (x86)\AstroGrep\AstroGrep.exe" /e /r /s /spath="%USERPROFILE%\AppData\Local\Temp\OnboardLogs" /stypes="app*4010*20170823*" /stext=" 01:.+((SYSTEM_STATE.+slice.+state.+changed )|(ment ac)|(multiple cpu faults)|(system.+state.+changed )|(\[timeout)|(PRM\|1\|D)|(kpr)|(kdp)|(train st.+moving)|(\|lc)|(penalty))"</v>
      </c>
      <c r="AG137" s="209" t="str">
        <f t="shared" si="50"/>
        <v>EC</v>
      </c>
      <c r="AH137" s="78" t="str">
        <f t="shared" si="51"/>
        <v>"%USERPROFILE%\Documents\GitHub\eaglep3\Utilities\RefineRTDCRunTimes.py" --tripid 219-22 --locoid 4010 --swversion DE.1.0.9.0 --startMP 204:453 --initTime 2017-08-22T18:25:59 --startdatetime 2017-08-22T18:30:55 --delay 2 --endMP 204:233286 --enddatetime 2017-08-22T19:09:20 --enforcementcount 0 &gt;&gt;C:\Users\stu\Documents\GitHub\eaglep3-reporting\EC\2017-08-22-refined-times.txt</v>
      </c>
      <c r="AI137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{"issue":{"subject":"","project_id":79,"tracker_id":40,"status_id":1,"priority_id":2,"assigned_to_id":23,"start_date":"2017-08-22","description":"","custom_fields":[{"id":1,"name":"Subdivision","value":"EC"},{"id":4,"name":"Milepost","value":"23.3286"},{"id":17,"name":"Train ID","value":"219-22"},{"id":16,"name":"Locomotive ID","value":"4010"},{"id":130,"name":"Impact","value":""},{"id":150,"name":"Time of Event (Mountain Time)","value":"19:09:20"},{"id":151,"name":"Denver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3"/>
        <v>start /low /b %USERPROFILE%\Documents\GitHub\eaglep3\Utilities\DownloadLogsFromS3.py --loco 4010 --day 2017-08-22</v>
      </c>
      <c r="AN137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765</v>
      </c>
      <c r="B138" s="7">
        <v>4009</v>
      </c>
      <c r="C138" s="21" t="s">
        <v>198</v>
      </c>
      <c r="D138" s="21" t="s">
        <v>822</v>
      </c>
      <c r="E138" s="13">
        <v>42969.808437500003</v>
      </c>
      <c r="F138" s="13">
        <v>42969.810960648145</v>
      </c>
      <c r="G138" s="7">
        <v>2</v>
      </c>
      <c r="H138" s="21" t="s">
        <v>353</v>
      </c>
      <c r="I138" s="13">
        <v>42969.839780092596</v>
      </c>
      <c r="J138" s="7">
        <v>0</v>
      </c>
      <c r="K138" s="89" t="str">
        <f t="shared" si="37"/>
        <v>4009/4010</v>
      </c>
      <c r="L138" s="217" t="str">
        <f>VLOOKUP(A138,'Trips&amp;Operators'!$C$1:$G$99911,5,FALSE)</f>
        <v>NELSON ARIANE</v>
      </c>
      <c r="M138" s="6">
        <f t="shared" si="38"/>
        <v>2.881944445107365E-2</v>
      </c>
      <c r="N138" s="7">
        <f t="shared" si="39"/>
        <v>41.500000009546056</v>
      </c>
      <c r="O138" s="7"/>
      <c r="P138" s="7"/>
      <c r="Q138" s="22"/>
      <c r="R138" s="170"/>
      <c r="S138" s="213">
        <f t="shared" si="40"/>
        <v>1</v>
      </c>
      <c r="T138" s="195" t="str">
        <f t="shared" si="41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2"/>
        <v>https://d0f6bd738d7f1b3e5a7ca70fe4ff75f0.us-east-1.aws.found.io/app/kibana#/discover/Steve-Slow-Train-Analysis-(2080s-and-2083s)?_g=(refreshInterval:(display:Off,pause:!f,section:0,value:0),time:(from:'2017-08-22T18:24:09-0600',mode:absolute,to:'2017-08-22T21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197" t="str">
        <f>IF(AA138&lt;VLOOKUP(AG138,Variables!$AC$3:$AD$8,2,FALSE),"Y","N")</f>
        <v>N</v>
      </c>
      <c r="X138" s="197">
        <f t="shared" si="43"/>
        <v>1</v>
      </c>
      <c r="Y138" s="197">
        <f t="shared" si="44"/>
        <v>23.296900000000001</v>
      </c>
      <c r="Z138" s="197">
        <f t="shared" si="45"/>
        <v>1.54E-2</v>
      </c>
      <c r="AA138" s="197">
        <f t="shared" si="46"/>
        <v>23.281500000000001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47"/>
        <v>220</v>
      </c>
      <c r="AE138" s="77" t="str">
        <f t="shared" si="48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138" s="74" t="str">
        <f t="shared" si="49"/>
        <v>"C:\Program Files (x86)\AstroGrep\AstroGrep.exe" /e /r /s /spath="%USERPROFILE%\AppData\Local\Temp\OnboardLogs" /stypes="app*4009*20170823*" /stext=" 02:.+((SYSTEM_STATE.+slice.+state.+changed )|(ment ac)|(multiple cpu faults)|(system.+state.+changed )|(\[timeout)|(PRM\|1\|D)|(kpr)|(kdp)|(train st.+moving)|(\|lc)|(penalty))"</v>
      </c>
      <c r="AG138" s="209" t="str">
        <f t="shared" si="50"/>
        <v>EC</v>
      </c>
      <c r="AH138" s="78" t="str">
        <f t="shared" si="51"/>
        <v>"%USERPROFILE%\Documents\GitHub\eaglep3\Utilities\RefineRTDCRunTimes.py" --tripid 220-22 --locoid 4009 --swversion DE.1.0.9.0 --startMP 204:232969 --initTime 2017-08-22T19:24:09 --startdatetime 2017-08-22T19:27:47 --delay 2 --endMP 204:154 --enddatetime 2017-08-22T20:09:17 --enforcementcount 0 &gt;&gt;C:\Users\stu\Documents\GitHub\eaglep3-reporting\EC\2017-08-22-refined-times.txt</v>
      </c>
      <c r="AI138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{"issue":{"subject":"","project_id":79,"tracker_id":40,"status_id":1,"priority_id":2,"assigned_to_id":23,"start_date":"2017-08-22","description":"","custom_fields":[{"id":1,"name":"Subdivision","value":"EC"},{"id":4,"name":"Milepost","value":"0.0154"},{"id":17,"name":"Train ID","value":"220-22"},{"id":16,"name":"Locomotive ID","value":"4009"},{"id":130,"name":"Impact","value":""},{"id":150,"name":"Time of Event (Mountain Time)","value":"20:09:17"},{"id":151,"name":"Denver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3"/>
        <v>start /low /b %USERPROFILE%\Documents\GitHub\eaglep3\Utilities\DownloadLogsFromS3.py --loco 4009 --day 2017-08-22</v>
      </c>
      <c r="AN138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02:09:17"},{"id":29,"name":"Sharepoint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592</v>
      </c>
      <c r="B139" s="7">
        <v>4006</v>
      </c>
      <c r="C139" s="21" t="s">
        <v>198</v>
      </c>
      <c r="D139" s="21" t="s">
        <v>406</v>
      </c>
      <c r="E139" s="13">
        <v>42969.788622685184</v>
      </c>
      <c r="F139" s="13">
        <v>42969.792164351849</v>
      </c>
      <c r="G139" s="7">
        <v>1</v>
      </c>
      <c r="H139" s="21" t="s">
        <v>887</v>
      </c>
      <c r="I139" s="13">
        <v>42969.817662037036</v>
      </c>
      <c r="J139" s="7">
        <v>0</v>
      </c>
      <c r="K139" s="89" t="str">
        <f t="shared" si="37"/>
        <v>4005/4006</v>
      </c>
      <c r="L139" s="217" t="str">
        <f>VLOOKUP(A139,'Trips&amp;Operators'!$C$1:$G$99911,5,FALSE)</f>
        <v>MAGEE KENYA</v>
      </c>
      <c r="M139" s="6">
        <f t="shared" si="38"/>
        <v>2.5497685186564922E-2</v>
      </c>
      <c r="N139" s="7">
        <f t="shared" si="39"/>
        <v>36.716666668653488</v>
      </c>
      <c r="O139" s="7"/>
      <c r="P139" s="7"/>
      <c r="Q139" s="22"/>
      <c r="R139" s="170"/>
      <c r="S139" s="213">
        <f t="shared" si="40"/>
        <v>1</v>
      </c>
      <c r="T139" s="195" t="str">
        <f t="shared" si="41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2"/>
        <v>https://d0f6bd738d7f1b3e5a7ca70fe4ff75f0.us-east-1.aws.found.io/app/kibana#/discover/Steve-Slow-Train-Analysis-(2080s-and-2083s)?_g=(refreshInterval:(display:Off,pause:!f,section:0,value:0),time:(from:'2017-08-22T17:55:37-0600',mode:absolute,to:'2017-08-22T20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197" t="str">
        <f>IF(AA139&lt;VLOOKUP(AG139,Variables!$AC$3:$AD$8,2,FALSE),"Y","N")</f>
        <v>N</v>
      </c>
      <c r="X139" s="197">
        <f t="shared" si="43"/>
        <v>1</v>
      </c>
      <c r="Y139" s="197">
        <f t="shared" si="44"/>
        <v>4.6699999999999998E-2</v>
      </c>
      <c r="Z139" s="197">
        <f t="shared" si="45"/>
        <v>23.341200000000001</v>
      </c>
      <c r="AA139" s="197">
        <f t="shared" si="46"/>
        <v>23.294499999999999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47"/>
        <v>221</v>
      </c>
      <c r="AE139" s="77" t="str">
        <f t="shared" si="48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139" s="74" t="str">
        <f t="shared" si="49"/>
        <v>"C:\Program Files (x86)\AstroGrep\AstroGrep.exe" /e /r /s /spath="%USERPROFILE%\AppData\Local\Temp\OnboardLogs" /stypes="app*4006*20170823*" /stext=" 01:.+((SYSTEM_STATE.+slice.+state.+changed )|(ment ac)|(multiple cpu faults)|(system.+state.+changed )|(\[timeout)|(PRM\|1\|D)|(kpr)|(kdp)|(train st.+moving)|(\|lc)|(penalty))"</v>
      </c>
      <c r="AG139" s="209" t="str">
        <f t="shared" si="50"/>
        <v>EC</v>
      </c>
      <c r="AH139" s="78" t="str">
        <f t="shared" si="51"/>
        <v>"%USERPROFILE%\Documents\GitHub\eaglep3\Utilities\RefineRTDCRunTimes.py" --tripid 221-22 --locoid 4006 --swversion DE.1.0.9.0 --startMP 204:467 --initTime 2017-08-22T18:55:37 --startdatetime 2017-08-22T19:00:43 --delay 1 --endMP 204:233412 --enddatetime 2017-08-22T19:37:26 --enforcementcount 0 &gt;&gt;C:\Users\stu\Documents\GitHub\eaglep3-reporting\EC\2017-08-22-refined-times.txt</v>
      </c>
      <c r="AI139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{"issue":{"subject":"","project_id":79,"tracker_id":40,"status_id":1,"priority_id":2,"assigned_to_id":23,"start_date":"2017-08-22","description":"","custom_fields":[{"id":1,"name":"Subdivision","value":"EC"},{"id":4,"name":"Milepost","value":"23.3412"},{"id":17,"name":"Train ID","value":"221-22"},{"id":16,"name":"Locomotive ID","value":"4006"},{"id":130,"name":"Impact","value":""},{"id":150,"name":"Time of Event (Mountain Time)","value":"19:37:26"},{"id":151,"name":"Denver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3"/>
        <v>start /low /b %USERPROFILE%\Documents\GitHub\eaglep3\Utilities\DownloadLogsFromS3.py --loco 4006 --day 2017-08-22</v>
      </c>
      <c r="AN139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769</v>
      </c>
      <c r="B140" s="7">
        <v>4005</v>
      </c>
      <c r="C140" s="21" t="s">
        <v>198</v>
      </c>
      <c r="D140" s="21" t="s">
        <v>888</v>
      </c>
      <c r="E140" s="13">
        <v>42969.829270833332</v>
      </c>
      <c r="F140" s="13">
        <v>42969.831574074073</v>
      </c>
      <c r="G140" s="7">
        <v>1</v>
      </c>
      <c r="H140" s="21" t="s">
        <v>828</v>
      </c>
      <c r="I140" s="13">
        <v>42969.859432870369</v>
      </c>
      <c r="J140" s="7">
        <v>0</v>
      </c>
      <c r="K140" s="89" t="str">
        <f t="shared" si="37"/>
        <v>4005/4006</v>
      </c>
      <c r="L140" s="217" t="str">
        <f>VLOOKUP(A140,'Trips&amp;Operators'!$C$1:$G$99911,5,FALSE)</f>
        <v>MAGEE KENYA</v>
      </c>
      <c r="M140" s="6">
        <f t="shared" si="38"/>
        <v>2.7858796296641231E-2</v>
      </c>
      <c r="N140" s="7">
        <f t="shared" si="39"/>
        <v>40.116666667163372</v>
      </c>
      <c r="O140" s="7"/>
      <c r="P140" s="7"/>
      <c r="Q140" s="22"/>
      <c r="R140" s="170"/>
      <c r="S140" s="213">
        <f t="shared" si="40"/>
        <v>1</v>
      </c>
      <c r="T140" s="195" t="str">
        <f t="shared" si="41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2"/>
        <v>https://d0f6bd738d7f1b3e5a7ca70fe4ff75f0.us-east-1.aws.found.io/app/kibana#/discover/Steve-Slow-Train-Analysis-(2080s-and-2083s)?_g=(refreshInterval:(display:Off,pause:!f,section:0,value:0),time:(from:'2017-08-22T18:54:09-0600',mode:absolute,to:'2017-08-22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197" t="str">
        <f>IF(AA140&lt;VLOOKUP(AG140,Variables!$AC$3:$AD$8,2,FALSE),"Y","N")</f>
        <v>N</v>
      </c>
      <c r="X140" s="197">
        <f t="shared" si="43"/>
        <v>1</v>
      </c>
      <c r="Y140" s="197">
        <f t="shared" si="44"/>
        <v>23.303999999999998</v>
      </c>
      <c r="Z140" s="197">
        <f t="shared" si="45"/>
        <v>1.67E-2</v>
      </c>
      <c r="AA140" s="197">
        <f t="shared" si="46"/>
        <v>23.287299999999998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47"/>
        <v>222</v>
      </c>
      <c r="AE140" s="77" t="str">
        <f t="shared" si="48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140" s="74" t="str">
        <f t="shared" si="49"/>
        <v>"C:\Program Files (x86)\AstroGrep\AstroGrep.exe" /e /r /s /spath="%USERPROFILE%\AppData\Local\Temp\OnboardLogs" /stypes="app*4005*20170823*" /stext=" 02:.+((SYSTEM_STATE.+slice.+state.+changed )|(ment ac)|(multiple cpu faults)|(system.+state.+changed )|(\[timeout)|(PRM\|1\|D)|(kpr)|(kdp)|(train st.+moving)|(\|lc)|(penalty))"</v>
      </c>
      <c r="AG140" s="209" t="str">
        <f t="shared" si="50"/>
        <v>EC</v>
      </c>
      <c r="AH140" s="78" t="str">
        <f t="shared" si="51"/>
        <v>"%USERPROFILE%\Documents\GitHub\eaglep3\Utilities\RefineRTDCRunTimes.py" --tripid 222-22 --locoid 4005 --swversion DE.1.0.9.0 --startMP 204:233040 --initTime 2017-08-22T19:54:09 --startdatetime 2017-08-22T19:57:28 --delay 1 --endMP 204:167 --enddatetime 2017-08-22T20:37:35 --enforcementcount 0 &gt;&gt;C:\Users\stu\Documents\GitHub\eaglep3-reporting\EC\2017-08-22-refined-times.txt</v>
      </c>
      <c r="AI140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{"issue":{"subject":"","project_id":79,"tracker_id":40,"status_id":1,"priority_id":2,"assigned_to_id":23,"start_date":"2017-08-22","description":"","custom_fields":[{"id":1,"name":"Subdivision","value":"EC"},{"id":4,"name":"Milepost","value":"0.0167"},{"id":17,"name":"Train ID","value":"222-22"},{"id":16,"name":"Locomotive ID","value":"4005"},{"id":130,"name":"Impact","value":""},{"id":150,"name":"Time of Event (Mountain Time)","value":"20:37:35"},{"id":151,"name":"Denver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3"/>
        <v>start /low /b %USERPROFILE%\Documents\GitHub\eaglep3\Utilities\DownloadLogsFromS3.py --loco 4005 --day 2017-08-22</v>
      </c>
      <c r="AN140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02:37:35"},{"id":29,"name":"Sharepoint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766</v>
      </c>
      <c r="B141" s="7">
        <v>4054</v>
      </c>
      <c r="C141" s="21" t="s">
        <v>198</v>
      </c>
      <c r="D141" s="21" t="s">
        <v>396</v>
      </c>
      <c r="E141" s="13">
        <v>42969.80972222222</v>
      </c>
      <c r="F141" s="13">
        <v>42969.813159722224</v>
      </c>
      <c r="G141" s="7">
        <v>1</v>
      </c>
      <c r="H141" s="21" t="s">
        <v>834</v>
      </c>
      <c r="I141" s="13">
        <v>42969.83865740741</v>
      </c>
      <c r="J141" s="7">
        <v>0</v>
      </c>
      <c r="K141" s="89" t="str">
        <f t="shared" ref="K141:K204" si="55">IF(ISEVEN(B141),(B141-1)&amp;"/"&amp;B141,B141&amp;"/"&amp;(B141+1))</f>
        <v>4053/4054</v>
      </c>
      <c r="L141" s="217" t="str">
        <f>VLOOKUP(A141,'Trips&amp;Operators'!$C$1:$G$99911,5,FALSE)</f>
        <v>WEST BRYAN</v>
      </c>
      <c r="M141" s="6">
        <f t="shared" ref="M141:M204" si="56">I141-F141</f>
        <v>2.5497685186564922E-2</v>
      </c>
      <c r="N141" s="7">
        <f t="shared" ref="N141:P204" si="57">24*60*SUM($M141:$M141)</f>
        <v>36.716666668653488</v>
      </c>
      <c r="O141" s="7"/>
      <c r="P141" s="7"/>
      <c r="Q141" s="22"/>
      <c r="R141" s="170"/>
      <c r="S141" s="213">
        <f t="shared" ref="S141:S204" si="58">1/IF(AG141="EC",12,1)*SUM(U141:U141)</f>
        <v>1</v>
      </c>
      <c r="T141" s="195" t="str">
        <f t="shared" ref="T141:T204" si="59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-22T18:26:00-0600',mode:absolute,to:'2017-08-22T21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97" t="str">
        <f>IF(AA141&lt;VLOOKUP(AG141,Variables!$AC$3:$AD$8,2,FALSE),"Y","N")</f>
        <v>N</v>
      </c>
      <c r="X141" s="197">
        <f t="shared" ref="X141:X204" si="61">VALUE(LEFT(AD141,4))-VALUE(LEFT(AD140,4))</f>
        <v>1</v>
      </c>
      <c r="Y141" s="197">
        <f t="shared" ref="Y141:Y204" si="62">RIGHT(D141,LEN(D141)-4)/10000</f>
        <v>4.7100000000000003E-2</v>
      </c>
      <c r="Z141" s="197">
        <f t="shared" ref="Z141:Z204" si="63">RIGHT(H141,LEN(H141)-4)/10000</f>
        <v>23.329699999999999</v>
      </c>
      <c r="AA141" s="197">
        <f t="shared" ref="AA141:AA204" si="64">ABS(Z141-Y141)</f>
        <v>23.282599999999999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65">VALUE(LEFT(A141,LEN(A141)-3))</f>
        <v>223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/stypes="app*4054*20170823*"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68">DetSubdiv(A141)</f>
        <v>EC</v>
      </c>
      <c r="AH141" s="78" t="str">
        <f t="shared" si="51"/>
        <v>"%USERPROFILE%\Documents\GitHub\eaglep3\Utilities\RefineRTDCRunTimes.py" --tripid 223-22 --locoid 4054 --swversion DE.1.0.9.0 --startMP 204:471 --initTime 2017-08-22T19:26:00 --startdatetime 2017-08-22T19:30:57 --delay 1 --endMP 204:233297 --enddatetime 2017-08-22T20:07:40 --enforcementcount 0 &gt;&gt;C:\Users\stu\Documents\GitHub\eaglep3-reporting\EC\2017-08-22-refined-times.txt</v>
      </c>
      <c r="AI141" s="96" t="str">
        <f t="shared" si="52"/>
        <v>echo {"issue":{"subject":"","project_id":79,"tracker_id":40,"status_id":1,"priority_id":2,"assigned_to_id":23,"start_date":"2017-08-22","description":"","custom_fields":[{"id":1,"name":"Subdivision","value":"EC"},{"id":4,"name":"Milepost","value":"23.3297"},{"id":17,"name":"Train ID","value":"223-22"},{"id":16,"name":"Locomotive ID","value":"4054"},{"id":130,"name":"Impact","value":""},{"id":150,"name":"Time of Event (Mountain Time)","value":"20:07:40"},{"id":151,"name":"Denver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3"/>
        <v>start /low /b %USERPROFILE%\Documents\GitHub\eaglep3\Utilities\DownloadLogsFromS3.py --loco 4054 --day 2017-08-22</v>
      </c>
      <c r="AN141" s="151" t="str">
        <f t="shared" si="54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772</v>
      </c>
      <c r="B142" s="7">
        <v>4053</v>
      </c>
      <c r="C142" s="21" t="s">
        <v>198</v>
      </c>
      <c r="D142" s="21" t="s">
        <v>889</v>
      </c>
      <c r="E142" s="13">
        <v>42969.846608796295</v>
      </c>
      <c r="F142" s="13">
        <v>42969.852303240739</v>
      </c>
      <c r="G142" s="7">
        <v>1</v>
      </c>
      <c r="H142" s="21" t="s">
        <v>828</v>
      </c>
      <c r="I142" s="13">
        <v>42969.880567129629</v>
      </c>
      <c r="J142" s="7">
        <v>0</v>
      </c>
      <c r="K142" s="89" t="str">
        <f t="shared" si="55"/>
        <v>4053/4054</v>
      </c>
      <c r="L142" s="217" t="str">
        <f>VLOOKUP(A142,'Trips&amp;Operators'!$C$1:$G$99911,5,FALSE)</f>
        <v>WEST BRYAN</v>
      </c>
      <c r="M142" s="6">
        <f t="shared" si="56"/>
        <v>2.8263888889341615E-2</v>
      </c>
      <c r="N142" s="7">
        <f t="shared" si="57"/>
        <v>40.700000000651926</v>
      </c>
      <c r="O142" s="7"/>
      <c r="P142" s="7"/>
      <c r="Q142" s="22"/>
      <c r="R142" s="170"/>
      <c r="S142" s="213">
        <f t="shared" si="58"/>
        <v>1</v>
      </c>
      <c r="T142" s="195" t="str">
        <f t="shared" si="59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0"/>
        <v>https://d0f6bd738d7f1b3e5a7ca70fe4ff75f0.us-east-1.aws.found.io/app/kibana#/discover/Steve-Slow-Train-Analysis-(2080s-and-2083s)?_g=(refreshInterval:(display:Off,pause:!f,section:0,value:0),time:(from:'2017-08-22T19:19:07-0600',mode:absolute,to:'2017-08-22T22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97" t="str">
        <f>IF(AA142&lt;VLOOKUP(AG142,Variables!$AC$3:$AD$8,2,FALSE),"Y","N")</f>
        <v>N</v>
      </c>
      <c r="X142" s="197">
        <f t="shared" si="61"/>
        <v>1</v>
      </c>
      <c r="Y142" s="197">
        <f t="shared" si="62"/>
        <v>23.297599999999999</v>
      </c>
      <c r="Z142" s="197">
        <f t="shared" si="63"/>
        <v>1.67E-2</v>
      </c>
      <c r="AA142" s="197">
        <f t="shared" si="64"/>
        <v>23.280899999999999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65"/>
        <v>224</v>
      </c>
      <c r="AE142" s="77" t="str">
        <f t="shared" si="66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142" s="74" t="str">
        <f t="shared" si="67"/>
        <v>"C:\Program Files (x86)\AstroGrep\AstroGrep.exe" /e /r /s /spath="%USERPROFILE%\AppData\Local\Temp\OnboardLogs" /stypes="app*4053*20170823*" /stext=" 03:.+((SYSTEM_STATE.+slice.+state.+changed )|(ment ac)|(multiple cpu faults)|(system.+state.+changed )|(\[timeout)|(PRM\|1\|D)|(kpr)|(kdp)|(train st.+moving)|(\|lc)|(penalty))"</v>
      </c>
      <c r="AG142" s="209" t="str">
        <f t="shared" si="68"/>
        <v>EC</v>
      </c>
      <c r="AH142" s="78" t="str">
        <f t="shared" ref="AH142:AH205" si="6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224-22 --locoid 4053 --swversion DE.1.0.9.0 --startMP 204:232976 --initTime 2017-08-22T20:19:07 --startdatetime 2017-08-22T20:27:19 --delay 1 --endMP 204:167 --enddatetime 2017-08-22T21:08:01 --enforcementcount 0 &gt;&gt;C:\Users\stu\Documents\GitHub\eaglep3-reporting\EC\2017-08-22-refined-times.txt</v>
      </c>
      <c r="AI142" s="96" t="str">
        <f t="shared" ref="AI142:AI205" si="7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{"issue":{"subject":"","project_id":79,"tracker_id":40,"status_id":1,"priority_id":2,"assigned_to_id":23,"start_date":"2017-08-22","description":"","custom_fields":[{"id":1,"name":"Subdivision","value":"EC"},{"id":4,"name":"Milepost","value":"0.0167"},{"id":17,"name":"Train ID","value":"224-22"},{"id":16,"name":"Locomotive ID","value":"4053"},{"id":130,"name":"Impact","value":""},{"id":150,"name":"Time of Event (Mountain Time)","value":"21:08:01"},{"id":151,"name":"Denver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71">"start /low /b "&amp;dls3logs&amp;" --loco "&amp;B142&amp;" --day "&amp;TEXT(F142,"YYYY-MM-DD")</f>
        <v>start /low /b %USERPROFILE%\Documents\GitHub\eaglep3\Utilities\DownloadLogsFromS3.py --loco 4053 --day 2017-08-22</v>
      </c>
      <c r="AN142" s="151" t="str">
        <f t="shared" ref="AN142:AN205" si="7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593</v>
      </c>
      <c r="B143" s="7">
        <v>4018</v>
      </c>
      <c r="C143" s="21" t="s">
        <v>198</v>
      </c>
      <c r="D143" s="21" t="s">
        <v>338</v>
      </c>
      <c r="E143" s="13">
        <v>42969.829293981478</v>
      </c>
      <c r="F143" s="13">
        <v>42969.833969907406</v>
      </c>
      <c r="G143" s="7">
        <v>1</v>
      </c>
      <c r="H143" s="21" t="s">
        <v>408</v>
      </c>
      <c r="I143" s="13">
        <v>42969.859143518515</v>
      </c>
      <c r="J143" s="7">
        <v>0</v>
      </c>
      <c r="K143" s="89" t="str">
        <f t="shared" si="55"/>
        <v>4017/4018</v>
      </c>
      <c r="L143" s="217" t="str">
        <f>VLOOKUP(A143,'Trips&amp;Operators'!$C$1:$G$99911,5,FALSE)</f>
        <v>FORTUNATO FRANK</v>
      </c>
      <c r="M143" s="6">
        <f t="shared" si="56"/>
        <v>2.5173611109494232E-2</v>
      </c>
      <c r="N143" s="7">
        <f t="shared" si="57"/>
        <v>36.249999997671694</v>
      </c>
      <c r="O143" s="7"/>
      <c r="P143" s="7"/>
      <c r="Q143" s="22"/>
      <c r="R143" s="170"/>
      <c r="S143" s="213">
        <f t="shared" si="58"/>
        <v>1</v>
      </c>
      <c r="T143" s="195" t="str">
        <f t="shared" si="59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0"/>
        <v>https://d0f6bd738d7f1b3e5a7ca70fe4ff75f0.us-east-1.aws.found.io/app/kibana#/discover/Steve-Slow-Train-Analysis-(2080s-and-2083s)?_g=(refreshInterval:(display:Off,pause:!f,section:0,value:0),time:(from:'2017-08-22T18:54:11-0600',mode:absolute,to:'2017-08-22T21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197" t="str">
        <f>IF(AA143&lt;VLOOKUP(AG143,Variables!$AC$3:$AD$8,2,FALSE),"Y","N")</f>
        <v>N</v>
      </c>
      <c r="X143" s="197">
        <f t="shared" si="61"/>
        <v>1</v>
      </c>
      <c r="Y143" s="197">
        <f t="shared" si="62"/>
        <v>4.4600000000000001E-2</v>
      </c>
      <c r="Z143" s="197">
        <f t="shared" si="63"/>
        <v>23.332100000000001</v>
      </c>
      <c r="AA143" s="197">
        <f t="shared" si="64"/>
        <v>23.287500000000001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65"/>
        <v>225</v>
      </c>
      <c r="AE143" s="77" t="str">
        <f t="shared" si="66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43" s="74" t="str">
        <f t="shared" si="67"/>
        <v>"C:\Program Files (x86)\AstroGrep\AstroGrep.exe" /e /r /s /spath="%USERPROFILE%\AppData\Local\Temp\OnboardLogs" /stypes="app*4018*20170823*" /stext=" 02:.+((SYSTEM_STATE.+slice.+state.+changed )|(ment ac)|(multiple cpu faults)|(system.+state.+changed )|(\[timeout)|(PRM\|1\|D)|(kpr)|(kdp)|(train st.+moving)|(\|lc)|(penalty))"</v>
      </c>
      <c r="AG143" s="209" t="str">
        <f t="shared" si="68"/>
        <v>EC</v>
      </c>
      <c r="AH143" s="78" t="str">
        <f t="shared" si="69"/>
        <v>"%USERPROFILE%\Documents\GitHub\eaglep3\Utilities\RefineRTDCRunTimes.py" --tripid 225-22 --locoid 4018 --swversion DE.1.0.9.0 --startMP 204:446 --initTime 2017-08-22T19:54:11 --startdatetime 2017-08-22T20:00:55 --delay 1 --endMP 204:233321 --enddatetime 2017-08-22T20:37:10 --enforcementcount 0 &gt;&gt;C:\Users\stu\Documents\GitHub\eaglep3-reporting\EC\2017-08-22-refined-times.txt</v>
      </c>
      <c r="AI143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{"issue":{"subject":"","project_id":79,"tracker_id":40,"status_id":1,"priority_id":2,"assigned_to_id":23,"start_date":"2017-08-22","description":"","custom_fields":[{"id":1,"name":"Subdivision","value":"EC"},{"id":4,"name":"Milepost","value":"23.3321"},{"id":17,"name":"Train ID","value":"225-22"},{"id":16,"name":"Locomotive ID","value":"4018"},{"id":130,"name":"Impact","value":""},{"id":150,"name":"Time of Event (Mountain Time)","value":"20:37:10"},{"id":151,"name":"Denver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4018 --day 2017-08-22</v>
      </c>
      <c r="AN143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594</v>
      </c>
      <c r="B144" s="7">
        <v>4017</v>
      </c>
      <c r="C144" s="21" t="s">
        <v>198</v>
      </c>
      <c r="D144" s="21" t="s">
        <v>413</v>
      </c>
      <c r="E144" s="13">
        <v>42969.860462962963</v>
      </c>
      <c r="F144" s="13">
        <v>42969.873159722221</v>
      </c>
      <c r="G144" s="7">
        <v>0</v>
      </c>
      <c r="H144" s="21" t="s">
        <v>890</v>
      </c>
      <c r="I144" s="13">
        <v>42969.900972222225</v>
      </c>
      <c r="J144" s="7">
        <v>0</v>
      </c>
      <c r="K144" s="89" t="str">
        <f t="shared" si="55"/>
        <v>4017/4018</v>
      </c>
      <c r="L144" s="217" t="str">
        <f>VLOOKUP(A144,'Trips&amp;Operators'!$C$1:$G$99911,5,FALSE)</f>
        <v>FORTUNATO FRANK</v>
      </c>
      <c r="M144" s="6">
        <f t="shared" si="56"/>
        <v>2.7812500004074536E-2</v>
      </c>
      <c r="N144" s="7">
        <f t="shared" si="57"/>
        <v>40.050000005867332</v>
      </c>
      <c r="O144" s="7"/>
      <c r="P144" s="7"/>
      <c r="Q144" s="22"/>
      <c r="R144" s="170"/>
      <c r="S144" s="213">
        <f t="shared" si="58"/>
        <v>1</v>
      </c>
      <c r="T144" s="195" t="str">
        <f t="shared" si="59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0"/>
        <v>https://d0f6bd738d7f1b3e5a7ca70fe4ff75f0.us-east-1.aws.found.io/app/kibana#/discover/Steve-Slow-Train-Analysis-(2080s-and-2083s)?_g=(refreshInterval:(display:Off,pause:!f,section:0,value:0),time:(from:'2017-08-22T19:39:04-0600',mode:absolute,to:'2017-08-22T22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197" t="str">
        <f>IF(AA144&lt;VLOOKUP(AG144,Variables!$AC$3:$AD$8,2,FALSE),"Y","N")</f>
        <v>N</v>
      </c>
      <c r="X144" s="197">
        <f t="shared" si="61"/>
        <v>1</v>
      </c>
      <c r="Y144" s="197">
        <f t="shared" si="62"/>
        <v>23.3004</v>
      </c>
      <c r="Z144" s="197">
        <f t="shared" si="63"/>
        <v>1.2999999999999999E-2</v>
      </c>
      <c r="AA144" s="197">
        <f t="shared" si="64"/>
        <v>23.287399999999998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65"/>
        <v>226</v>
      </c>
      <c r="AE144" s="77" t="str">
        <f t="shared" si="66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144" s="74" t="str">
        <f t="shared" si="67"/>
        <v>"C:\Program Files (x86)\AstroGrep\AstroGrep.exe" /e /r /s /spath="%USERPROFILE%\AppData\Local\Temp\OnboardLogs" /stypes="app*4017*20170823*" /stext=" 03:.+((SYSTEM_STATE.+slice.+state.+changed )|(ment ac)|(multiple cpu faults)|(system.+state.+changed )|(\[timeout)|(PRM\|1\|D)|(kpr)|(kdp)|(train st.+moving)|(\|lc)|(penalty))"</v>
      </c>
      <c r="AG144" s="209" t="str">
        <f t="shared" si="68"/>
        <v>EC</v>
      </c>
      <c r="AH144" s="78" t="str">
        <f t="shared" si="69"/>
        <v>"%USERPROFILE%\Documents\GitHub\eaglep3\Utilities\RefineRTDCRunTimes.py" --tripid 226-22 --locoid 4017 --swversion DE.1.0.9.0 --startMP 204:233004 --initTime 2017-08-22T20:39:04 --startdatetime 2017-08-22T20:57:21 --delay 0 --endMP 204:130 --enddatetime 2017-08-22T21:37:24 --enforcementcount 0 &gt;&gt;C:\Users\stu\Documents\GitHub\eaglep3-reporting\EC\2017-08-22-refined-times.txt</v>
      </c>
      <c r="AI144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{"issue":{"subject":"","project_id":79,"tracker_id":40,"status_id":1,"priority_id":2,"assigned_to_id":23,"start_date":"2017-08-22","description":"","custom_fields":[{"id":1,"name":"Subdivision","value":"EC"},{"id":4,"name":"Milepost","value":"0.013"},{"id":17,"name":"Train ID","value":"226-22"},{"id":16,"name":"Locomotive ID","value":"4017"},{"id":130,"name":"Impact","value":""},{"id":150,"name":"Time of Event (Mountain Time)","value":"21:37:24"},{"id":151,"name":"Denver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1"/>
        <v>start /low /b %USERPROFILE%\Documents\GitHub\eaglep3\Utilities\DownloadLogsFromS3.py --loco 4017 --day 2017-08-22</v>
      </c>
      <c r="AN144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770</v>
      </c>
      <c r="B145" s="7">
        <v>4010</v>
      </c>
      <c r="C145" s="21" t="s">
        <v>198</v>
      </c>
      <c r="D145" s="21" t="s">
        <v>379</v>
      </c>
      <c r="E145" s="13">
        <v>42969.842118055552</v>
      </c>
      <c r="F145" s="13">
        <v>42969.854745370372</v>
      </c>
      <c r="G145" s="7">
        <v>1</v>
      </c>
      <c r="H145" s="21" t="s">
        <v>891</v>
      </c>
      <c r="I145" s="13">
        <v>42969.881979166668</v>
      </c>
      <c r="J145" s="7">
        <v>0</v>
      </c>
      <c r="K145" s="89" t="str">
        <f t="shared" si="55"/>
        <v>4009/4010</v>
      </c>
      <c r="L145" s="217" t="str">
        <f>VLOOKUP(A145,'Trips&amp;Operators'!$C$1:$G$99911,5,FALSE)</f>
        <v>NELSON ARIANE</v>
      </c>
      <c r="M145" s="6">
        <f t="shared" si="56"/>
        <v>2.7233796296059154E-2</v>
      </c>
      <c r="N145" s="7">
        <f t="shared" si="57"/>
        <v>39.216666666325182</v>
      </c>
      <c r="O145" s="7"/>
      <c r="P145" s="7"/>
      <c r="Q145" s="22"/>
      <c r="R145" s="170"/>
      <c r="S145" s="213">
        <f t="shared" si="58"/>
        <v>1</v>
      </c>
      <c r="T145" s="195" t="str">
        <f t="shared" si="59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0"/>
        <v>https://d0f6bd738d7f1b3e5a7ca70fe4ff75f0.us-east-1.aws.found.io/app/kibana#/discover/Steve-Slow-Train-Analysis-(2080s-and-2083s)?_g=(refreshInterval:(display:Off,pause:!f,section:0,value:0),time:(from:'2017-08-22T19:12:39-0600',mode:absolute,to:'2017-08-22T22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97" t="str">
        <f>IF(AA145&lt;VLOOKUP(AG145,Variables!$AC$3:$AD$8,2,FALSE),"Y","N")</f>
        <v>N</v>
      </c>
      <c r="X145" s="197">
        <f t="shared" si="61"/>
        <v>1</v>
      </c>
      <c r="Y145" s="197">
        <f t="shared" si="62"/>
        <v>4.6399999999999997E-2</v>
      </c>
      <c r="Z145" s="197">
        <f t="shared" si="63"/>
        <v>23.325299999999999</v>
      </c>
      <c r="AA145" s="197">
        <f t="shared" si="64"/>
        <v>23.2789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65"/>
        <v>227</v>
      </c>
      <c r="AE145" s="77" t="str">
        <f t="shared" si="66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145" s="74" t="str">
        <f t="shared" si="67"/>
        <v>"C:\Program Files (x86)\AstroGrep\AstroGrep.exe" /e /r /s /spath="%USERPROFILE%\AppData\Local\Temp\OnboardLogs" /stypes="app*4010*20170823*" /stext=" 03:.+((SYSTEM_STATE.+slice.+state.+changed )|(ment ac)|(multiple cpu faults)|(system.+state.+changed )|(\[timeout)|(PRM\|1\|D)|(kpr)|(kdp)|(train st.+moving)|(\|lc)|(penalty))"</v>
      </c>
      <c r="AG145" s="209" t="str">
        <f t="shared" si="68"/>
        <v>EC</v>
      </c>
      <c r="AH145" s="78" t="str">
        <f t="shared" si="69"/>
        <v>"%USERPROFILE%\Documents\GitHub\eaglep3\Utilities\RefineRTDCRunTimes.py" --tripid 227-22 --locoid 4010 --swversion DE.1.0.9.0 --startMP 204:464 --initTime 2017-08-22T20:12:39 --startdatetime 2017-08-22T20:30:50 --delay 1 --endMP 204:233253 --enddatetime 2017-08-22T21:10:03 --enforcementcount 0 &gt;&gt;C:\Users\stu\Documents\GitHub\eaglep3-reporting\EC\2017-08-22-refined-times.txt</v>
      </c>
      <c r="AI145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{"issue":{"subject":"","project_id":79,"tracker_id":40,"status_id":1,"priority_id":2,"assigned_to_id":23,"start_date":"2017-08-22","description":"","custom_fields":[{"id":1,"name":"Subdivision","value":"EC"},{"id":4,"name":"Milepost","value":"23.3253"},{"id":17,"name":"Train ID","value":"227-22"},{"id":16,"name":"Locomotive ID","value":"4010"},{"id":130,"name":"Impact","value":""},{"id":150,"name":"Time of Event (Mountain Time)","value":"21:10:03"},{"id":151,"name":"Denver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4010 --day 2017-08-22</v>
      </c>
      <c r="AN145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776</v>
      </c>
      <c r="B146" s="7">
        <v>4009</v>
      </c>
      <c r="C146" s="21" t="s">
        <v>198</v>
      </c>
      <c r="D146" s="21" t="s">
        <v>892</v>
      </c>
      <c r="E146" s="13">
        <v>42969.892337962963</v>
      </c>
      <c r="F146" s="13">
        <v>42969.89402777778</v>
      </c>
      <c r="G146" s="7">
        <v>1</v>
      </c>
      <c r="H146" s="21" t="s">
        <v>382</v>
      </c>
      <c r="I146" s="13">
        <v>42969.922835648147</v>
      </c>
      <c r="J146" s="7">
        <v>0</v>
      </c>
      <c r="K146" s="89" t="str">
        <f t="shared" si="55"/>
        <v>4009/4010</v>
      </c>
      <c r="L146" s="217" t="str">
        <f>VLOOKUP(A146,'Trips&amp;Operators'!$C$1:$G$99911,5,FALSE)</f>
        <v>NELSON ARIANE</v>
      </c>
      <c r="M146" s="6">
        <f t="shared" si="56"/>
        <v>2.880787036701804E-2</v>
      </c>
      <c r="N146" s="7">
        <f t="shared" si="57"/>
        <v>41.483333328505978</v>
      </c>
      <c r="O146" s="7"/>
      <c r="P146" s="7"/>
      <c r="Q146" s="22"/>
      <c r="R146" s="170"/>
      <c r="S146" s="213">
        <f t="shared" si="58"/>
        <v>1</v>
      </c>
      <c r="T146" s="195" t="str">
        <f t="shared" si="59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0"/>
        <v>https://d0f6bd738d7f1b3e5a7ca70fe4ff75f0.us-east-1.aws.found.io/app/kibana#/discover/Steve-Slow-Train-Analysis-(2080s-and-2083s)?_g=(refreshInterval:(display:Off,pause:!f,section:0,value:0),time:(from:'2017-08-22T20:24:58-0600',mode:absolute,to:'2017-08-22T23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197" t="str">
        <f>IF(AA146&lt;VLOOKUP(AG146,Variables!$AC$3:$AD$8,2,FALSE),"Y","N")</f>
        <v>N</v>
      </c>
      <c r="X146" s="197">
        <f t="shared" si="61"/>
        <v>1</v>
      </c>
      <c r="Y146" s="197">
        <f t="shared" si="62"/>
        <v>23.293600000000001</v>
      </c>
      <c r="Z146" s="197">
        <f t="shared" si="63"/>
        <v>1.6E-2</v>
      </c>
      <c r="AA146" s="197">
        <f t="shared" si="64"/>
        <v>23.277600000000003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65"/>
        <v>228</v>
      </c>
      <c r="AE146" s="77" t="str">
        <f t="shared" si="66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146" s="74" t="str">
        <f t="shared" si="67"/>
        <v>"C:\Program Files (x86)\AstroGrep\AstroGrep.exe" /e /r /s /spath="%USERPROFILE%\AppData\Local\Temp\OnboardLogs" /stypes="app*4009*20170823*" /stext=" 04:.+((SYSTEM_STATE.+slice.+state.+changed )|(ment ac)|(multiple cpu faults)|(system.+state.+changed )|(\[timeout)|(PRM\|1\|D)|(kpr)|(kdp)|(train st.+moving)|(\|lc)|(penalty))"</v>
      </c>
      <c r="AG146" s="209" t="str">
        <f t="shared" si="68"/>
        <v>EC</v>
      </c>
      <c r="AH146" s="78" t="str">
        <f t="shared" si="69"/>
        <v>"%USERPROFILE%\Documents\GitHub\eaglep3\Utilities\RefineRTDCRunTimes.py" --tripid 228-22 --locoid 4009 --swversion DE.1.0.9.0 --startMP 204:232936 --initTime 2017-08-22T21:24:58 --startdatetime 2017-08-22T21:27:24 --delay 1 --endMP 204:160 --enddatetime 2017-08-22T22:08:53 --enforcementcount 0 &gt;&gt;C:\Users\stu\Documents\GitHub\eaglep3-reporting\EC\2017-08-22-refined-times.txt</v>
      </c>
      <c r="AI146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{"issue":{"subject":"","project_id":79,"tracker_id":40,"status_id":1,"priority_id":2,"assigned_to_id":23,"start_date":"2017-08-22","description":"","custom_fields":[{"id":1,"name":"Subdivision","value":"EC"},{"id":4,"name":"Milepost","value":"0.016"},{"id":17,"name":"Train ID","value":"228-22"},{"id":16,"name":"Locomotive ID","value":"4009"},{"id":130,"name":"Impact","value":""},{"id":150,"name":"Time of Event (Mountain Time)","value":"22:08:53"},{"id":151,"name":"Denver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4009 --day 2017-08-22</v>
      </c>
      <c r="AN146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04:08:53"},{"id":29,"name":"Sharepoint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774</v>
      </c>
      <c r="B147" s="7">
        <v>4006</v>
      </c>
      <c r="C147" s="21" t="s">
        <v>198</v>
      </c>
      <c r="D147" s="21" t="s">
        <v>375</v>
      </c>
      <c r="E147" s="13">
        <v>42969.866041666668</v>
      </c>
      <c r="F147" s="13">
        <v>42969.875798611109</v>
      </c>
      <c r="G147" s="7">
        <v>1</v>
      </c>
      <c r="H147" s="21" t="s">
        <v>893</v>
      </c>
      <c r="I147" s="13">
        <v>42969.901203703703</v>
      </c>
      <c r="J147" s="7">
        <v>0</v>
      </c>
      <c r="K147" s="89" t="str">
        <f t="shared" si="55"/>
        <v>4005/4006</v>
      </c>
      <c r="L147" s="217" t="str">
        <f>VLOOKUP(A147,'Trips&amp;Operators'!$C$1:$G$99911,5,FALSE)</f>
        <v>MAGEE KENYA</v>
      </c>
      <c r="M147" s="6">
        <f t="shared" si="56"/>
        <v>2.5405092594155576E-2</v>
      </c>
      <c r="N147" s="7">
        <f t="shared" si="57"/>
        <v>36.58333333558403</v>
      </c>
      <c r="O147" s="7"/>
      <c r="P147" s="7"/>
      <c r="Q147" s="22"/>
      <c r="R147" s="170"/>
      <c r="S147" s="213">
        <f t="shared" si="58"/>
        <v>1</v>
      </c>
      <c r="T147" s="195" t="str">
        <f t="shared" si="59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0"/>
        <v>https://d0f6bd738d7f1b3e5a7ca70fe4ff75f0.us-east-1.aws.found.io/app/kibana#/discover/Steve-Slow-Train-Analysis-(2080s-and-2083s)?_g=(refreshInterval:(display:Off,pause:!f,section:0,value:0),time:(from:'2017-08-22T19:47:06-0600',mode:absolute,to:'2017-08-22T22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197" t="str">
        <f>IF(AA147&lt;VLOOKUP(AG147,Variables!$AC$3:$AD$8,2,FALSE),"Y","N")</f>
        <v>N</v>
      </c>
      <c r="X147" s="197">
        <f t="shared" si="61"/>
        <v>1</v>
      </c>
      <c r="Y147" s="197">
        <f t="shared" si="62"/>
        <v>4.4900000000000002E-2</v>
      </c>
      <c r="Z147" s="197">
        <f t="shared" si="63"/>
        <v>23.337199999999999</v>
      </c>
      <c r="AA147" s="197">
        <f t="shared" si="64"/>
        <v>23.292300000000001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65"/>
        <v>229</v>
      </c>
      <c r="AE147" s="77" t="str">
        <f t="shared" si="66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147" s="74" t="str">
        <f t="shared" si="67"/>
        <v>"C:\Program Files (x86)\AstroGrep\AstroGrep.exe" /e /r /s /spath="%USERPROFILE%\AppData\Local\Temp\OnboardLogs" /stypes="app*4006*20170823*" /stext=" 03:.+((SYSTEM_STATE.+slice.+state.+changed )|(ment ac)|(multiple cpu faults)|(system.+state.+changed )|(\[timeout)|(PRM\|1\|D)|(kpr)|(kdp)|(train st.+moving)|(\|lc)|(penalty))"</v>
      </c>
      <c r="AG147" s="209" t="str">
        <f t="shared" si="68"/>
        <v>EC</v>
      </c>
      <c r="AH147" s="78" t="str">
        <f t="shared" si="69"/>
        <v>"%USERPROFILE%\Documents\GitHub\eaglep3\Utilities\RefineRTDCRunTimes.py" --tripid 229-22 --locoid 4006 --swversion DE.1.0.9.0 --startMP 204:449 --initTime 2017-08-22T20:47:06 --startdatetime 2017-08-22T21:01:09 --delay 1 --endMP 204:233372 --enddatetime 2017-08-22T21:37:44 --enforcementcount 0 &gt;&gt;C:\Users\stu\Documents\GitHub\eaglep3-reporting\EC\2017-08-22-refined-times.txt</v>
      </c>
      <c r="AI147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{"issue":{"subject":"","project_id":79,"tracker_id":40,"status_id":1,"priority_id":2,"assigned_to_id":23,"start_date":"2017-08-22","description":"","custom_fields":[{"id":1,"name":"Subdivision","value":"EC"},{"id":4,"name":"Milepost","value":"23.3372"},{"id":17,"name":"Train ID","value":"229-22"},{"id":16,"name":"Locomotive ID","value":"4006"},{"id":130,"name":"Impact","value":""},{"id":150,"name":"Time of Event (Mountain Time)","value":"21:37:44"},{"id":151,"name":"Denver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4006 --day 2017-08-22</v>
      </c>
      <c r="AN147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03:37:44"},{"id":29,"name":"Sharepoint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780</v>
      </c>
      <c r="B148" s="7">
        <v>4005</v>
      </c>
      <c r="C148" s="21" t="s">
        <v>198</v>
      </c>
      <c r="D148" s="21" t="s">
        <v>894</v>
      </c>
      <c r="E148" s="13">
        <v>42969.912465277775</v>
      </c>
      <c r="F148" s="13">
        <v>42969.915347222224</v>
      </c>
      <c r="G148" s="7">
        <v>1</v>
      </c>
      <c r="H148" s="21" t="s">
        <v>895</v>
      </c>
      <c r="I148" s="13">
        <v>42969.942488425928</v>
      </c>
      <c r="J148" s="7">
        <v>0</v>
      </c>
      <c r="K148" s="89" t="str">
        <f t="shared" si="55"/>
        <v>4005/4006</v>
      </c>
      <c r="L148" s="217" t="str">
        <f>VLOOKUP(A148,'Trips&amp;Operators'!$C$1:$G$99911,5,FALSE)</f>
        <v>MAGEE KENYA</v>
      </c>
      <c r="M148" s="6">
        <f t="shared" si="56"/>
        <v>2.7141203703649808E-2</v>
      </c>
      <c r="N148" s="7">
        <f t="shared" si="57"/>
        <v>39.083333333255723</v>
      </c>
      <c r="O148" s="7"/>
      <c r="P148" s="7"/>
      <c r="Q148" s="22"/>
      <c r="R148" s="170"/>
      <c r="S148" s="213">
        <f t="shared" si="58"/>
        <v>1</v>
      </c>
      <c r="T148" s="195" t="str">
        <f t="shared" si="59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0"/>
        <v>https://d0f6bd738d7f1b3e5a7ca70fe4ff75f0.us-east-1.aws.found.io/app/kibana#/discover/Steve-Slow-Train-Analysis-(2080s-and-2083s)?_g=(refreshInterval:(display:Off,pause:!f,section:0,value:0),time:(from:'2017-08-22T20:53:57-0600',mode:absolute,to:'2017-08-22T23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197" t="str">
        <f>IF(AA148&lt;VLOOKUP(AG148,Variables!$AC$3:$AD$8,2,FALSE),"Y","N")</f>
        <v>N</v>
      </c>
      <c r="X148" s="197">
        <f t="shared" si="61"/>
        <v>1</v>
      </c>
      <c r="Y148" s="197">
        <f t="shared" si="62"/>
        <v>23.3047</v>
      </c>
      <c r="Z148" s="197">
        <f t="shared" si="63"/>
        <v>2.18E-2</v>
      </c>
      <c r="AA148" s="197">
        <f t="shared" si="64"/>
        <v>23.282900000000001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65"/>
        <v>230</v>
      </c>
      <c r="AE148" s="77" t="str">
        <f t="shared" si="66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148" s="74" t="str">
        <f t="shared" si="67"/>
        <v>"C:\Program Files (x86)\AstroGrep\AstroGrep.exe" /e /r /s /spath="%USERPROFILE%\AppData\Local\Temp\OnboardLogs" /stypes="app*4005*20170823*" /stext=" 04:.+((SYSTEM_STATE.+slice.+state.+changed )|(ment ac)|(multiple cpu faults)|(system.+state.+changed )|(\[timeout)|(PRM\|1\|D)|(kpr)|(kdp)|(train st.+moving)|(\|lc)|(penalty))"</v>
      </c>
      <c r="AG148" s="209" t="str">
        <f t="shared" si="68"/>
        <v>EC</v>
      </c>
      <c r="AH148" s="78" t="str">
        <f t="shared" si="69"/>
        <v>"%USERPROFILE%\Documents\GitHub\eaglep3\Utilities\RefineRTDCRunTimes.py" --tripid 230-22 --locoid 4005 --swversion DE.1.0.9.0 --startMP 204:233047 --initTime 2017-08-22T21:53:57 --startdatetime 2017-08-22T21:58:06 --delay 1 --endMP 204:218 --enddatetime 2017-08-22T22:37:11 --enforcementcount 0 &gt;&gt;C:\Users\stu\Documents\GitHub\eaglep3-reporting\EC\2017-08-22-refined-times.txt</v>
      </c>
      <c r="AI148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{"issue":{"subject":"","project_id":79,"tracker_id":40,"status_id":1,"priority_id":2,"assigned_to_id":23,"start_date":"2017-08-22","description":"","custom_fields":[{"id":1,"name":"Subdivision","value":"EC"},{"id":4,"name":"Milepost","value":"0.0218"},{"id":17,"name":"Train ID","value":"230-22"},{"id":16,"name":"Locomotive ID","value":"4005"},{"id":130,"name":"Impact","value":""},{"id":150,"name":"Time of Event (Mountain Time)","value":"22:37:11"},{"id":151,"name":"Denver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4005 --day 2017-08-22</v>
      </c>
      <c r="AN148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04:37:11"},{"id":29,"name":"Sharepoint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777</v>
      </c>
      <c r="B149" s="7">
        <v>4054</v>
      </c>
      <c r="C149" s="21" t="s">
        <v>198</v>
      </c>
      <c r="D149" s="21" t="s">
        <v>370</v>
      </c>
      <c r="E149" s="13">
        <v>42969.883888888886</v>
      </c>
      <c r="F149" s="13">
        <v>42969.896469907406</v>
      </c>
      <c r="G149" s="7">
        <v>13</v>
      </c>
      <c r="H149" s="21" t="s">
        <v>803</v>
      </c>
      <c r="I149" s="13">
        <v>42969.922094907408</v>
      </c>
      <c r="J149" s="7">
        <v>0</v>
      </c>
      <c r="K149" s="89" t="str">
        <f t="shared" si="55"/>
        <v>4053/4054</v>
      </c>
      <c r="L149" s="217" t="str">
        <f>VLOOKUP(A149,'Trips&amp;Operators'!$C$1:$G$99911,5,FALSE)</f>
        <v>WEST BRYAN</v>
      </c>
      <c r="M149" s="6">
        <f t="shared" si="56"/>
        <v>2.5625000002037268E-2</v>
      </c>
      <c r="N149" s="7">
        <f t="shared" si="57"/>
        <v>36.900000002933666</v>
      </c>
      <c r="O149" s="7"/>
      <c r="P149" s="7"/>
      <c r="Q149" s="22"/>
      <c r="R149" s="170"/>
      <c r="S149" s="213">
        <f t="shared" si="58"/>
        <v>1</v>
      </c>
      <c r="T149" s="195" t="str">
        <f t="shared" si="59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0"/>
        <v>https://d0f6bd738d7f1b3e5a7ca70fe4ff75f0.us-east-1.aws.found.io/app/kibana#/discover/Steve-Slow-Train-Analysis-(2080s-and-2083s)?_g=(refreshInterval:(display:Off,pause:!f,section:0,value:0),time:(from:'2017-08-22T20:12:48-0600',mode:absolute,to:'2017-08-22T23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97" t="str">
        <f>IF(AA149&lt;VLOOKUP(AG149,Variables!$AC$3:$AD$8,2,FALSE),"Y","N")</f>
        <v>N</v>
      </c>
      <c r="X149" s="197">
        <f t="shared" si="61"/>
        <v>1</v>
      </c>
      <c r="Y149" s="197">
        <f t="shared" si="62"/>
        <v>4.58E-2</v>
      </c>
      <c r="Z149" s="197">
        <f t="shared" si="63"/>
        <v>23.3306</v>
      </c>
      <c r="AA149" s="197">
        <f t="shared" si="64"/>
        <v>23.284800000000001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65"/>
        <v>231</v>
      </c>
      <c r="AE149" s="77" t="str">
        <f t="shared" si="66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49" s="74" t="str">
        <f t="shared" si="67"/>
        <v>"C:\Program Files (x86)\AstroGrep\AstroGrep.exe" /e /r /s /spath="%USERPROFILE%\AppData\Local\Temp\OnboardLogs" /stypes="app*4054*20170823*" /stext=" 04:.+((SYSTEM_STATE.+slice.+state.+changed )|(ment ac)|(multiple cpu faults)|(system.+state.+changed )|(\[timeout)|(PRM\|1\|D)|(kpr)|(kdp)|(train st.+moving)|(\|lc)|(penalty))"</v>
      </c>
      <c r="AG149" s="209" t="str">
        <f t="shared" si="68"/>
        <v>EC</v>
      </c>
      <c r="AH149" s="78" t="str">
        <f t="shared" si="69"/>
        <v>"%USERPROFILE%\Documents\GitHub\eaglep3\Utilities\RefineRTDCRunTimes.py" --tripid 231-22 --locoid 4054 --swversion DE.1.0.9.0 --startMP 204:458 --initTime 2017-08-22T21:12:48 --startdatetime 2017-08-22T21:30:55 --delay 13 --endMP 204:233306 --enddatetime 2017-08-22T22:07:49 --enforcementcount 0 &gt;&gt;C:\Users\stu\Documents\GitHub\eaglep3-reporting\EC\2017-08-22-refined-times.txt</v>
      </c>
      <c r="AI149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{"issue":{"subject":"","project_id":79,"tracker_id":40,"status_id":1,"priority_id":2,"assigned_to_id":23,"start_date":"2017-08-22","description":"","custom_fields":[{"id":1,"name":"Subdivision","value":"EC"},{"id":4,"name":"Milepost","value":"23.3306"},{"id":17,"name":"Train ID","value":"231-22"},{"id":16,"name":"Locomotive ID","value":"4054"},{"id":130,"name":"Impact","value":""},{"id":150,"name":"Time of Event (Mountain Time)","value":"22:07:49"},{"id":151,"name":"Denver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4054 --day 2017-08-22</v>
      </c>
      <c r="AN149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04:07:49"},{"id":29,"name":"Sharepoint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782</v>
      </c>
      <c r="B150" s="7">
        <v>4053</v>
      </c>
      <c r="C150" s="21" t="s">
        <v>198</v>
      </c>
      <c r="D150" s="21" t="s">
        <v>430</v>
      </c>
      <c r="E150" s="13">
        <v>42969.931539351855</v>
      </c>
      <c r="F150" s="13">
        <v>42969.935624999998</v>
      </c>
      <c r="G150" s="7">
        <v>1</v>
      </c>
      <c r="H150" s="21" t="s">
        <v>372</v>
      </c>
      <c r="I150" s="13">
        <v>42969.962858796294</v>
      </c>
      <c r="J150" s="7">
        <v>0</v>
      </c>
      <c r="K150" s="89" t="str">
        <f t="shared" si="55"/>
        <v>4053/4054</v>
      </c>
      <c r="L150" s="217" t="str">
        <f>VLOOKUP(A150,'Trips&amp;Operators'!$C$1:$G$99911,5,FALSE)</f>
        <v>WEST BRYAN</v>
      </c>
      <c r="M150" s="6">
        <f t="shared" si="56"/>
        <v>2.7233796296059154E-2</v>
      </c>
      <c r="N150" s="7">
        <f t="shared" si="57"/>
        <v>39.216666666325182</v>
      </c>
      <c r="O150" s="7"/>
      <c r="P150" s="7"/>
      <c r="Q150" s="22"/>
      <c r="R150" s="170"/>
      <c r="S150" s="213">
        <f t="shared" si="58"/>
        <v>1</v>
      </c>
      <c r="T150" s="195" t="str">
        <f t="shared" si="59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0"/>
        <v>https://d0f6bd738d7f1b3e5a7ca70fe4ff75f0.us-east-1.aws.found.io/app/kibana#/discover/Steve-Slow-Train-Analysis-(2080s-and-2083s)?_g=(refreshInterval:(display:Off,pause:!f,section:0,value:0),time:(from:'2017-08-22T21:21:25-0600',mode:absolute,to:'2017-08-23T00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97" t="str">
        <f>IF(AA150&lt;VLOOKUP(AG150,Variables!$AC$3:$AD$8,2,FALSE),"Y","N")</f>
        <v>N</v>
      </c>
      <c r="X150" s="197">
        <f t="shared" si="61"/>
        <v>1</v>
      </c>
      <c r="Y150" s="197">
        <f t="shared" si="62"/>
        <v>23.298500000000001</v>
      </c>
      <c r="Z150" s="197">
        <f t="shared" si="63"/>
        <v>1.5800000000000002E-2</v>
      </c>
      <c r="AA150" s="197">
        <f t="shared" si="64"/>
        <v>23.282700000000002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65"/>
        <v>232</v>
      </c>
      <c r="AE150" s="77" t="str">
        <f t="shared" si="66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150" s="74" t="str">
        <f t="shared" si="67"/>
        <v>"C:\Program Files (x86)\AstroGrep\AstroGrep.exe" /e /r /s /spath="%USERPROFILE%\AppData\Local\Temp\OnboardLogs" /stypes="app*4053*20170823*" /stext=" 05:.+((SYSTEM_STATE.+slice.+state.+changed )|(ment ac)|(multiple cpu faults)|(system.+state.+changed )|(\[timeout)|(PRM\|1\|D)|(kpr)|(kdp)|(train st.+moving)|(\|lc)|(penalty))"</v>
      </c>
      <c r="AG150" s="209" t="str">
        <f t="shared" si="68"/>
        <v>EC</v>
      </c>
      <c r="AH150" s="78" t="str">
        <f t="shared" si="69"/>
        <v>"%USERPROFILE%\Documents\GitHub\eaglep3\Utilities\RefineRTDCRunTimes.py" --tripid 232-22 --locoid 4053 --swversion DE.1.0.9.0 --startMP 204:232985 --initTime 2017-08-22T22:21:25 --startdatetime 2017-08-22T22:27:18 --delay 1 --endMP 204:158 --enddatetime 2017-08-22T23:06:31 --enforcementcount 0 &gt;&gt;C:\Users\stu\Documents\GitHub\eaglep3-reporting\EC\2017-08-22-refined-times.txt</v>
      </c>
      <c r="AI150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{"issue":{"subject":"","project_id":79,"tracker_id":40,"status_id":1,"priority_id":2,"assigned_to_id":23,"start_date":"2017-08-22","description":"","custom_fields":[{"id":1,"name":"Subdivision","value":"EC"},{"id":4,"name":"Milepost","value":"0.0158"},{"id":17,"name":"Train ID","value":"232-22"},{"id":16,"name":"Locomotive ID","value":"4053"},{"id":130,"name":"Impact","value":""},{"id":150,"name":"Time of Event (Mountain Time)","value":"23:06:31"},{"id":151,"name":"Denver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4053 --day 2017-08-22</v>
      </c>
      <c r="AN150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779</v>
      </c>
      <c r="B151" s="7">
        <v>4018</v>
      </c>
      <c r="C151" s="21" t="s">
        <v>198</v>
      </c>
      <c r="D151" s="21" t="s">
        <v>896</v>
      </c>
      <c r="E151" s="13">
        <v>42969.903587962966</v>
      </c>
      <c r="F151" s="13">
        <v>42969.917164351849</v>
      </c>
      <c r="G151" s="7">
        <v>0</v>
      </c>
      <c r="H151" s="21" t="s">
        <v>506</v>
      </c>
      <c r="I151" s="13">
        <v>42969.942453703705</v>
      </c>
      <c r="J151" s="7">
        <v>0</v>
      </c>
      <c r="K151" s="89" t="str">
        <f t="shared" si="55"/>
        <v>4017/4018</v>
      </c>
      <c r="L151" s="217" t="str">
        <f>VLOOKUP(A151,'Trips&amp;Operators'!$C$1:$G$99911,5,FALSE)</f>
        <v>FORTUNATO FRANK</v>
      </c>
      <c r="M151" s="6">
        <f t="shared" si="56"/>
        <v>2.5289351855462883E-2</v>
      </c>
      <c r="N151" s="7">
        <f t="shared" si="57"/>
        <v>36.416666671866551</v>
      </c>
      <c r="O151" s="7"/>
      <c r="P151" s="7"/>
      <c r="Q151" s="22"/>
      <c r="R151" s="170"/>
      <c r="S151" s="213">
        <f t="shared" si="58"/>
        <v>1</v>
      </c>
      <c r="T151" s="195" t="str">
        <f t="shared" si="59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0"/>
        <v>https://d0f6bd738d7f1b3e5a7ca70fe4ff75f0.us-east-1.aws.found.io/app/kibana#/discover/Steve-Slow-Train-Analysis-(2080s-and-2083s)?_g=(refreshInterval:(display:Off,pause:!f,section:0,value:0),time:(from:'2017-08-22T20:41:10-0600',mode:absolute,to:'2017-08-22T23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197" t="str">
        <f>IF(AA151&lt;VLOOKUP(AG151,Variables!$AC$3:$AD$8,2,FALSE),"Y","N")</f>
        <v>N</v>
      </c>
      <c r="X151" s="197">
        <f t="shared" si="61"/>
        <v>1</v>
      </c>
      <c r="Y151" s="197">
        <f t="shared" si="62"/>
        <v>4.24E-2</v>
      </c>
      <c r="Z151" s="197">
        <f t="shared" si="63"/>
        <v>23.3338</v>
      </c>
      <c r="AA151" s="197">
        <f t="shared" si="64"/>
        <v>23.291399999999999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65"/>
        <v>233</v>
      </c>
      <c r="AE151" s="77" t="str">
        <f t="shared" si="66"/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AF151" s="74" t="str">
        <f t="shared" si="67"/>
        <v>"C:\Program Files (x86)\AstroGrep\AstroGrep.exe" /e /r /s /spath="%USERPROFILE%\AppData\Local\Temp\OnboardLogs" /stypes="app*4018*20170823*" /stext=" 04:.+((SYSTEM_STATE.+slice.+state.+changed )|(ment ac)|(multiple cpu faults)|(system.+state.+changed )|(\[timeout)|(PRM\|1\|D)|(kpr)|(kdp)|(train st.+moving)|(\|lc)|(penalty))"</v>
      </c>
      <c r="AG151" s="209" t="str">
        <f t="shared" si="68"/>
        <v>EC</v>
      </c>
      <c r="AH151" s="78" t="str">
        <f t="shared" si="69"/>
        <v>"%USERPROFILE%\Documents\GitHub\eaglep3\Utilities\RefineRTDCRunTimes.py" --tripid 233-22 --locoid 4018 --swversion DE.1.0.9.0 --startMP 204:424 --initTime 2017-08-22T21:41:10 --startdatetime 2017-08-22T22:00:43 --delay 0 --endMP 204:233338 --enddatetime 2017-08-22T22:37:08 --enforcementcount 0 &gt;&gt;C:\Users\stu\Documents\GitHub\eaglep3-reporting\EC\2017-08-22-refined-times.txt</v>
      </c>
      <c r="AI151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{"issue":{"subject":"","project_id":79,"tracker_id":40,"status_id":1,"priority_id":2,"assigned_to_id":23,"start_date":"2017-08-22","description":"","custom_fields":[{"id":1,"name":"Subdivision","value":"EC"},{"id":4,"name":"Milepost","value":"23.3338"},{"id":17,"name":"Train ID","value":"233-22"},{"id":16,"name":"Locomotive ID","value":"4018"},{"id":130,"name":"Impact","value":""},{"id":150,"name":"Time of Event (Mountain Time)","value":"22:37:08"},{"id":151,"name":"Denver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4018 --day 2017-08-22</v>
      </c>
      <c r="AN151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04:37:08"},{"id":29,"name":"Sharepoint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785</v>
      </c>
      <c r="B152" s="7">
        <v>4017</v>
      </c>
      <c r="C152" s="21" t="s">
        <v>198</v>
      </c>
      <c r="D152" s="21" t="s">
        <v>897</v>
      </c>
      <c r="E152" s="13">
        <v>42969.943935185183</v>
      </c>
      <c r="F152" s="13">
        <v>42969.956412037034</v>
      </c>
      <c r="G152" s="7">
        <v>0</v>
      </c>
      <c r="H152" s="21" t="s">
        <v>898</v>
      </c>
      <c r="I152" s="13">
        <v>42969.981944444444</v>
      </c>
      <c r="J152" s="7">
        <v>0</v>
      </c>
      <c r="K152" s="89" t="str">
        <f t="shared" si="55"/>
        <v>4017/4018</v>
      </c>
      <c r="L152" s="217" t="str">
        <f>VLOOKUP(A152,'Trips&amp;Operators'!$C$1:$G$99911,5,FALSE)</f>
        <v>FORTUNATO FRANK</v>
      </c>
      <c r="M152" s="6">
        <f t="shared" si="56"/>
        <v>2.5532407409627922E-2</v>
      </c>
      <c r="N152" s="7">
        <f t="shared" si="57"/>
        <v>36.766666669864208</v>
      </c>
      <c r="O152" s="7"/>
      <c r="P152" s="7"/>
      <c r="Q152" s="22"/>
      <c r="R152" s="170"/>
      <c r="S152" s="213">
        <f t="shared" si="58"/>
        <v>1</v>
      </c>
      <c r="T152" s="195" t="str">
        <f t="shared" si="59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0"/>
        <v>https://d0f6bd738d7f1b3e5a7ca70fe4ff75f0.us-east-1.aws.found.io/app/kibana#/discover/Steve-Slow-Train-Analysis-(2080s-and-2083s)?_g=(refreshInterval:(display:Off,pause:!f,section:0,value:0),time:(from:'2017-08-22T21:39:16-0600',mode:absolute,to:'2017-08-23T00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197" t="str">
        <f>IF(AA152&lt;VLOOKUP(AG152,Variables!$AC$3:$AD$8,2,FALSE),"Y","N")</f>
        <v>Y</v>
      </c>
      <c r="X152" s="197">
        <f t="shared" si="61"/>
        <v>1</v>
      </c>
      <c r="Y152" s="197">
        <f t="shared" si="62"/>
        <v>23.301500000000001</v>
      </c>
      <c r="Z152" s="197">
        <f t="shared" si="63"/>
        <v>0.89370000000000005</v>
      </c>
      <c r="AA152" s="197">
        <f t="shared" si="64"/>
        <v>22.407800000000002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65"/>
        <v>234</v>
      </c>
      <c r="AE152" s="77" t="str">
        <f t="shared" si="66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152" s="74" t="str">
        <f t="shared" si="67"/>
        <v>"C:\Program Files (x86)\AstroGrep\AstroGrep.exe" /e /r /s /spath="%USERPROFILE%\AppData\Local\Temp\OnboardLogs" /stypes="app*4017*20170823*" /stext=" 05:.+((SYSTEM_STATE.+slice.+state.+changed )|(ment ac)|(multiple cpu faults)|(system.+state.+changed )|(\[timeout)|(PRM\|1\|D)|(kpr)|(kdp)|(train st.+moving)|(\|lc)|(penalty))"</v>
      </c>
      <c r="AG152" s="209" t="str">
        <f t="shared" si="68"/>
        <v>EC</v>
      </c>
      <c r="AH152" s="78" t="str">
        <f t="shared" si="69"/>
        <v>"%USERPROFILE%\Documents\GitHub\eaglep3\Utilities\RefineRTDCRunTimes.py" --tripid 234-22 --locoid 4017 --swversion DE.1.0.9.0 --startMP 204:233015 --initTime 2017-08-22T22:39:16 --startdatetime 2017-08-22T22:57:14 --delay 0 --endMP 204:8937 --enddatetime 2017-08-22T23:34:00 --enforcementcount 0 &gt;&gt;C:\Users\stu\Documents\GitHub\eaglep3-reporting\EC\2017-08-22-refined-times.txt</v>
      </c>
      <c r="AI152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{"issue":{"subject":"","project_id":79,"tracker_id":40,"status_id":1,"priority_id":2,"assigned_to_id":23,"start_date":"2017-08-22","description":"","custom_fields":[{"id":1,"name":"Subdivision","value":"EC"},{"id":4,"name":"Milepost","value":"0.8937"},{"id":17,"name":"Train ID","value":"234-22"},{"id":16,"name":"Locomotive ID","value":"4017"},{"id":130,"name":"Impact","value":""},{"id":150,"name":"Time of Event (Mountain Time)","value":"23:34:00"},{"id":151,"name":"Denver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4017 --day 2017-08-22</v>
      </c>
      <c r="AN152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783</v>
      </c>
      <c r="B153" s="7">
        <v>4010</v>
      </c>
      <c r="C153" s="21" t="s">
        <v>198</v>
      </c>
      <c r="D153" s="21" t="s">
        <v>376</v>
      </c>
      <c r="E153" s="13">
        <v>42969.93650462963</v>
      </c>
      <c r="F153" s="13">
        <v>42969.938067129631</v>
      </c>
      <c r="G153" s="7">
        <v>1</v>
      </c>
      <c r="H153" s="21" t="s">
        <v>899</v>
      </c>
      <c r="I153" s="13">
        <v>42969.966793981483</v>
      </c>
      <c r="J153" s="7">
        <v>0</v>
      </c>
      <c r="K153" s="89" t="str">
        <f t="shared" si="55"/>
        <v>4009/4010</v>
      </c>
      <c r="L153" s="217" t="str">
        <f>VLOOKUP(A153,'Trips&amp;Operators'!$C$1:$G$99911,5,FALSE)</f>
        <v>NELSON ARIANE</v>
      </c>
      <c r="M153" s="6">
        <f t="shared" si="56"/>
        <v>2.8726851851388346E-2</v>
      </c>
      <c r="N153" s="7">
        <f t="shared" si="57"/>
        <v>41.366666665999219</v>
      </c>
      <c r="O153" s="7"/>
      <c r="P153" s="7"/>
      <c r="Q153" s="22"/>
      <c r="R153" s="170"/>
      <c r="S153" s="213">
        <f t="shared" si="58"/>
        <v>1</v>
      </c>
      <c r="T153" s="195" t="str">
        <f t="shared" si="59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0"/>
        <v>https://d0f6bd738d7f1b3e5a7ca70fe4ff75f0.us-east-1.aws.found.io/app/kibana#/discover/Steve-Slow-Train-Analysis-(2080s-and-2083s)?_g=(refreshInterval:(display:Off,pause:!f,section:0,value:0),time:(from:'2017-08-22T21:28:34-0600',mode:absolute,to:'2017-08-23T00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7" t="str">
        <f>IF(AA153&lt;VLOOKUP(AG153,Variables!$AC$3:$AD$8,2,FALSE),"Y","N")</f>
        <v>N</v>
      </c>
      <c r="X153" s="197">
        <f t="shared" si="61"/>
        <v>1</v>
      </c>
      <c r="Y153" s="197">
        <f t="shared" si="62"/>
        <v>4.5699999999999998E-2</v>
      </c>
      <c r="Z153" s="197">
        <f t="shared" si="63"/>
        <v>23.324200000000001</v>
      </c>
      <c r="AA153" s="197">
        <f t="shared" si="64"/>
        <v>23.278500000000001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65"/>
        <v>235</v>
      </c>
      <c r="AE153" s="77" t="str">
        <f t="shared" si="66"/>
        <v>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 &amp; 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</v>
      </c>
      <c r="AF153" s="74" t="str">
        <f t="shared" si="67"/>
        <v>"C:\Program Files (x86)\AstroGrep\AstroGrep.exe" /e /r /s /spath="%USERPROFILE%\AppData\Local\Temp\OnboardLogs" /stypes="app*4010*20170823*" /stext=" 05:.+((SYSTEM_STATE.+slice.+state.+changed )|(ment ac)|(multiple cpu faults)|(system.+state.+changed )|(\[timeout)|(PRM\|1\|D)|(kpr)|(kdp)|(train st.+moving)|(\|lc)|(penalty))"</v>
      </c>
      <c r="AG153" s="209" t="str">
        <f t="shared" si="68"/>
        <v>EC</v>
      </c>
      <c r="AH153" s="78" t="str">
        <f t="shared" si="69"/>
        <v>"%USERPROFILE%\Documents\GitHub\eaglep3\Utilities\RefineRTDCRunTimes.py" --tripid 235-22 --locoid 4010 --swversion DE.1.0.9.0 --startMP 204:457 --initTime 2017-08-22T22:28:34 --startdatetime 2017-08-22T22:30:49 --delay 1 --endMP 204:233242 --enddatetime 2017-08-22T23:12:11 --enforcementcount 0 &gt;&gt;C:\Users\stu\Documents\GitHub\eaglep3-reporting\EC\2017-08-22-refined-times.txt</v>
      </c>
      <c r="AI153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{"issue":{"subject":"","project_id":79,"tracker_id":40,"status_id":1,"priority_id":2,"assigned_to_id":23,"start_date":"2017-08-22","description":"","custom_fields":[{"id":1,"name":"Subdivision","value":"EC"},{"id":4,"name":"Milepost","value":"23.3242"},{"id":17,"name":"Train ID","value":"235-22"},{"id":16,"name":"Locomotive ID","value":"4010"},{"id":130,"name":"Impact","value":""},{"id":150,"name":"Time of Event (Mountain Time)","value":"23:12:11"},{"id":151,"name":"Denver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4010 --day 2017-08-22</v>
      </c>
      <c r="AN153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05:12:11"},{"id":29,"name":"Sharepoint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788</v>
      </c>
      <c r="B154" s="7">
        <v>4009</v>
      </c>
      <c r="C154" s="21" t="s">
        <v>198</v>
      </c>
      <c r="D154" s="21" t="s">
        <v>900</v>
      </c>
      <c r="E154" s="13">
        <v>42969.975856481484</v>
      </c>
      <c r="F154" s="13">
        <v>42969.977569444447</v>
      </c>
      <c r="G154" s="7">
        <v>2</v>
      </c>
      <c r="H154" s="21" t="s">
        <v>508</v>
      </c>
      <c r="I154" s="13">
        <v>42970.006180555552</v>
      </c>
      <c r="J154" s="7">
        <v>0</v>
      </c>
      <c r="K154" s="89" t="str">
        <f t="shared" si="55"/>
        <v>4009/4010</v>
      </c>
      <c r="L154" s="217" t="str">
        <f>VLOOKUP(A154,'Trips&amp;Operators'!$C$1:$G$99911,5,FALSE)</f>
        <v>NELSON ARIANE</v>
      </c>
      <c r="M154" s="6">
        <f t="shared" si="56"/>
        <v>2.8611111105419695E-2</v>
      </c>
      <c r="N154" s="7">
        <f t="shared" si="57"/>
        <v>41.199999991804361</v>
      </c>
      <c r="O154" s="7"/>
      <c r="P154" s="7"/>
      <c r="Q154" s="22"/>
      <c r="R154" s="170"/>
      <c r="S154" s="213">
        <f t="shared" si="58"/>
        <v>1</v>
      </c>
      <c r="T154" s="195" t="str">
        <f t="shared" si="59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0"/>
        <v>https://d0f6bd738d7f1b3e5a7ca70fe4ff75f0.us-east-1.aws.found.io/app/kibana#/discover/Steve-Slow-Train-Analysis-(2080s-and-2083s)?_g=(refreshInterval:(display:Off,pause:!f,section:0,value:0),time:(from:'2017-08-22T22:25:14-0600',mode:absolute,to:'2017-08-23T01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97" t="str">
        <f>IF(AA154&lt;VLOOKUP(AG154,Variables!$AC$3:$AD$8,2,FALSE),"Y","N")</f>
        <v>N</v>
      </c>
      <c r="X154" s="197">
        <f t="shared" si="61"/>
        <v>1</v>
      </c>
      <c r="Y154" s="197">
        <f t="shared" si="62"/>
        <v>23.292999999999999</v>
      </c>
      <c r="Z154" s="197">
        <f t="shared" si="63"/>
        <v>1.7000000000000001E-2</v>
      </c>
      <c r="AA154" s="197">
        <f t="shared" si="64"/>
        <v>23.276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65"/>
        <v>236</v>
      </c>
      <c r="AE154" s="77" t="str">
        <f t="shared" si="66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154" s="74" t="str">
        <f t="shared" si="67"/>
        <v>"C:\Program Files (x86)\AstroGrep\AstroGrep.exe" /e /r /s /spath="%USERPROFILE%\AppData\Local\Temp\OnboardLogs" /stypes="app*4009*20170823*" /stext=" 06:.+((SYSTEM_STATE.+slice.+state.+changed )|(ment ac)|(multiple cpu faults)|(system.+state.+changed )|(\[timeout)|(PRM\|1\|D)|(kpr)|(kdp)|(train st.+moving)|(\|lc)|(penalty))"</v>
      </c>
      <c r="AG154" s="209" t="str">
        <f t="shared" si="68"/>
        <v>EC</v>
      </c>
      <c r="AH154" s="78" t="str">
        <f t="shared" si="69"/>
        <v>"%USERPROFILE%\Documents\GitHub\eaglep3\Utilities\RefineRTDCRunTimes.py" --tripid 236-22 --locoid 4009 --swversion DE.1.0.9.0 --startMP 204:232930 --initTime 2017-08-22T23:25:14 --startdatetime 2017-08-22T23:27:42 --delay 2 --endMP 204:170 --enddatetime 2017-08-23T00:08:54 --enforcementcount 0 &gt;&gt;C:\Users\stu\Documents\GitHub\eaglep3-reporting\EC\2017-08-22-refined-times.txt</v>
      </c>
      <c r="AI154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{"issue":{"subject":"","project_id":79,"tracker_id":40,"status_id":1,"priority_id":2,"assigned_to_id":23,"start_date":"2017-08-23","description":"","custom_fields":[{"id":1,"name":"Subdivision","value":"EC"},{"id":4,"name":"Milepost","value":"0.017"},{"id":17,"name":"Train ID","value":"236-22"},{"id":16,"name":"Locomotive ID","value":"4009"},{"id":130,"name":"Impact","value":""},{"id":150,"name":"Time of Event (Mountain Time)","value":"00:08:54"},{"id":151,"name":"Denver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1"/>
        <v>start /low /b %USERPROFILE%\Documents\GitHub\eaglep3\Utilities\DownloadLogsFromS3.py --loco 4009 --day 2017-08-22</v>
      </c>
      <c r="AN154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786</v>
      </c>
      <c r="B155" s="7">
        <v>4006</v>
      </c>
      <c r="C155" s="21" t="s">
        <v>198</v>
      </c>
      <c r="D155" s="21" t="s">
        <v>352</v>
      </c>
      <c r="E155" s="13">
        <v>42969.956863425927</v>
      </c>
      <c r="F155" s="13">
        <v>42969.958912037036</v>
      </c>
      <c r="G155" s="7">
        <v>2</v>
      </c>
      <c r="H155" s="21" t="s">
        <v>865</v>
      </c>
      <c r="I155" s="13">
        <v>42969.984733796293</v>
      </c>
      <c r="J155" s="7">
        <v>0</v>
      </c>
      <c r="K155" s="89" t="str">
        <f t="shared" si="55"/>
        <v>4005/4006</v>
      </c>
      <c r="L155" s="217" t="str">
        <f>VLOOKUP(A155,'Trips&amp;Operators'!$C$1:$G$99911,5,FALSE)</f>
        <v>MAGEE KENYA</v>
      </c>
      <c r="M155" s="6">
        <f t="shared" si="56"/>
        <v>2.5821759256359655E-2</v>
      </c>
      <c r="N155" s="7">
        <f t="shared" si="57"/>
        <v>37.183333329157904</v>
      </c>
      <c r="O155" s="7"/>
      <c r="P155" s="7"/>
      <c r="Q155" s="22"/>
      <c r="R155" s="170"/>
      <c r="S155" s="213">
        <f t="shared" si="58"/>
        <v>1</v>
      </c>
      <c r="T155" s="195" t="str">
        <f t="shared" si="59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0"/>
        <v>https://d0f6bd738d7f1b3e5a7ca70fe4ff75f0.us-east-1.aws.found.io/app/kibana#/discover/Steve-Slow-Train-Analysis-(2080s-and-2083s)?_g=(refreshInterval:(display:Off,pause:!f,section:0,value:0),time:(from:'2017-08-22T21:57:53-0600',mode:absolute,to:'2017-08-23T00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197" t="str">
        <f>IF(AA155&lt;VLOOKUP(AG155,Variables!$AC$3:$AD$8,2,FALSE),"Y","N")</f>
        <v>N</v>
      </c>
      <c r="X155" s="197">
        <f t="shared" si="61"/>
        <v>1</v>
      </c>
      <c r="Y155" s="197">
        <f t="shared" si="62"/>
        <v>4.6199999999999998E-2</v>
      </c>
      <c r="Z155" s="197">
        <f t="shared" si="63"/>
        <v>23.336400000000001</v>
      </c>
      <c r="AA155" s="197">
        <f t="shared" si="64"/>
        <v>23.290200000000002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65"/>
        <v>237</v>
      </c>
      <c r="AE155" s="77" t="str">
        <f t="shared" si="66"/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AF155" s="74" t="str">
        <f t="shared" si="67"/>
        <v>"C:\Program Files (x86)\AstroGrep\AstroGrep.exe" /e /r /s /spath="%USERPROFILE%\AppData\Local\Temp\OnboardLogs" /stypes="app*4006*20170823*" /stext=" 05:.+((SYSTEM_STATE.+slice.+state.+changed )|(ment ac)|(multiple cpu faults)|(system.+state.+changed )|(\[timeout)|(PRM\|1\|D)|(kpr)|(kdp)|(train st.+moving)|(\|lc)|(penalty))"</v>
      </c>
      <c r="AG155" s="209" t="str">
        <f t="shared" si="68"/>
        <v>EC</v>
      </c>
      <c r="AH155" s="78" t="str">
        <f t="shared" si="69"/>
        <v>"%USERPROFILE%\Documents\GitHub\eaglep3\Utilities\RefineRTDCRunTimes.py" --tripid 237-22 --locoid 4006 --swversion DE.1.0.9.0 --startMP 204:462 --initTime 2017-08-22T22:57:53 --startdatetime 2017-08-22T23:00:50 --delay 2 --endMP 204:233364 --enddatetime 2017-08-22T23:38:01 --enforcementcount 0 &gt;&gt;C:\Users\stu\Documents\GitHub\eaglep3-reporting\EC\2017-08-22-refined-times.txt</v>
      </c>
      <c r="AI155" s="96" t="str">
        <f t="shared" si="70"/>
        <v>echo {"issue":{"subject":"","project_id":79,"tracker_id":40,"status_id":1,"priority_id":2,"assigned_to_id":23,"start_date":"2017-08-22","description":"","custom_fields":[{"id":1,"name":"Subdivision","value":"EC"},{"id":4,"name":"Milepost","value":"23.3364"},{"id":17,"name":"Train ID","value":"237-22"},{"id":16,"name":"Locomotive ID","value":"4006"},{"id":130,"name":"Impact","value":""},{"id":150,"name":"Time of Event (Mountain Time)","value":"23:38:01"},{"id":151,"name":"Denver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1"/>
        <v>start /low /b %USERPROFILE%\Documents\GitHub\eaglep3\Utilities\DownloadLogsFromS3.py --loco 4006 --day 2017-08-22</v>
      </c>
      <c r="AN155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05:38:01"},{"id":29,"name":"Sharepoint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789</v>
      </c>
      <c r="B156" s="7">
        <v>4005</v>
      </c>
      <c r="C156" s="21" t="s">
        <v>198</v>
      </c>
      <c r="D156" s="21" t="s">
        <v>816</v>
      </c>
      <c r="E156" s="13">
        <v>42969.99560185185</v>
      </c>
      <c r="F156" s="13">
        <v>42969.998206018521</v>
      </c>
      <c r="G156" s="7">
        <v>1</v>
      </c>
      <c r="H156" s="21" t="s">
        <v>382</v>
      </c>
      <c r="I156" s="13">
        <v>42970.026585648149</v>
      </c>
      <c r="J156" s="7">
        <v>0</v>
      </c>
      <c r="K156" s="89" t="str">
        <f t="shared" si="55"/>
        <v>4005/4006</v>
      </c>
      <c r="L156" s="217" t="str">
        <f>VLOOKUP(A156,'Trips&amp;Operators'!$C$1:$G$99911,5,FALSE)</f>
        <v>MAGEE KENYA</v>
      </c>
      <c r="M156" s="6">
        <f t="shared" si="56"/>
        <v>2.8379629628034309E-2</v>
      </c>
      <c r="N156" s="7">
        <f t="shared" si="57"/>
        <v>40.866666664369404</v>
      </c>
      <c r="O156" s="7"/>
      <c r="P156" s="7"/>
      <c r="Q156" s="22"/>
      <c r="R156" s="170"/>
      <c r="S156" s="213">
        <f t="shared" si="58"/>
        <v>1</v>
      </c>
      <c r="T156" s="195" t="str">
        <f t="shared" si="59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0"/>
        <v>https://d0f6bd738d7f1b3e5a7ca70fe4ff75f0.us-east-1.aws.found.io/app/kibana#/discover/Steve-Slow-Train-Analysis-(2080s-and-2083s)?_g=(refreshInterval:(display:Off,pause:!f,section:0,value:0),time:(from:'2017-08-22T22:53:40-0600',mode:absolute,to:'2017-08-23T01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197" t="str">
        <f>IF(AA156&lt;VLOOKUP(AG156,Variables!$AC$3:$AD$8,2,FALSE),"Y","N")</f>
        <v>N</v>
      </c>
      <c r="X156" s="197">
        <f t="shared" si="61"/>
        <v>1</v>
      </c>
      <c r="Y156" s="197">
        <f t="shared" si="62"/>
        <v>23.3</v>
      </c>
      <c r="Z156" s="197">
        <f t="shared" si="63"/>
        <v>1.6E-2</v>
      </c>
      <c r="AA156" s="197">
        <f t="shared" si="64"/>
        <v>23.284000000000002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65"/>
        <v>238</v>
      </c>
      <c r="AE156" s="77" t="str">
        <f t="shared" si="66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156" s="74" t="str">
        <f t="shared" si="67"/>
        <v>"C:\Program Files (x86)\AstroGrep\AstroGrep.exe" /e /r /s /spath="%USERPROFILE%\AppData\Local\Temp\OnboardLogs" /stypes="app*4005*20170823*" /stext=" 06:.+((SYSTEM_STATE.+slice.+state.+changed )|(ment ac)|(multiple cpu faults)|(system.+state.+changed )|(\[timeout)|(PRM\|1\|D)|(kpr)|(kdp)|(train st.+moving)|(\|lc)|(penalty))"</v>
      </c>
      <c r="AG156" s="209" t="str">
        <f t="shared" si="68"/>
        <v>EC</v>
      </c>
      <c r="AH156" s="78" t="str">
        <f t="shared" si="69"/>
        <v>"%USERPROFILE%\Documents\GitHub\eaglep3\Utilities\RefineRTDCRunTimes.py" --tripid 238-22 --locoid 4005 --swversion DE.1.0.9.0 --startMP 204:233000 --initTime 2017-08-22T23:53:40 --startdatetime 2017-08-22T23:57:25 --delay 1 --endMP 204:160 --enddatetime 2017-08-23T00:38:17 --enforcementcount 0 &gt;&gt;C:\Users\stu\Documents\GitHub\eaglep3-reporting\EC\2017-08-22-refined-times.txt</v>
      </c>
      <c r="AI156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{"issue":{"subject":"","project_id":79,"tracker_id":40,"status_id":1,"priority_id":2,"assigned_to_id":23,"start_date":"2017-08-23","description":"","custom_fields":[{"id":1,"name":"Subdivision","value":"EC"},{"id":4,"name":"Milepost","value":"0.016"},{"id":17,"name":"Train ID","value":"238-22"},{"id":16,"name":"Locomotive ID","value":"4005"},{"id":130,"name":"Impact","value":""},{"id":150,"name":"Time of Event (Mountain Time)","value":"00:38:17"},{"id":151,"name":"Denver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4005 --day 2017-08-22</v>
      </c>
      <c r="AN156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06:38:17"},{"id":29,"name":"Sharepoint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787</v>
      </c>
      <c r="B157" s="7">
        <v>4054</v>
      </c>
      <c r="C157" s="21" t="s">
        <v>198</v>
      </c>
      <c r="D157" s="21" t="s">
        <v>806</v>
      </c>
      <c r="E157" s="13">
        <v>42969.966053240743</v>
      </c>
      <c r="F157" s="13">
        <v>42969.979710648149</v>
      </c>
      <c r="G157" s="7">
        <v>1</v>
      </c>
      <c r="H157" s="21" t="s">
        <v>427</v>
      </c>
      <c r="I157" s="13">
        <v>42970.005300925928</v>
      </c>
      <c r="J157" s="7">
        <v>0</v>
      </c>
      <c r="K157" s="89" t="str">
        <f t="shared" si="55"/>
        <v>4053/4054</v>
      </c>
      <c r="L157" s="217" t="str">
        <f>VLOOKUP(A157,'Trips&amp;Operators'!$C$1:$G$99911,5,FALSE)</f>
        <v>WEST BRYAN</v>
      </c>
      <c r="M157" s="6">
        <f t="shared" si="56"/>
        <v>2.5590277778974269E-2</v>
      </c>
      <c r="N157" s="7">
        <f t="shared" si="57"/>
        <v>36.850000001722947</v>
      </c>
      <c r="O157" s="7"/>
      <c r="P157" s="7"/>
      <c r="Q157" s="22"/>
      <c r="R157" s="170"/>
      <c r="S157" s="213">
        <f t="shared" si="58"/>
        <v>1</v>
      </c>
      <c r="T157" s="195" t="str">
        <f t="shared" si="59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0"/>
        <v>https://d0f6bd738d7f1b3e5a7ca70fe4ff75f0.us-east-1.aws.found.io/app/kibana#/discover/Steve-Slow-Train-Analysis-(2080s-and-2083s)?_g=(refreshInterval:(display:Off,pause:!f,section:0,value:0),time:(from:'2017-08-22T22:11:07-0600',mode:absolute,to:'2017-08-23T01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97" t="str">
        <f>IF(AA157&lt;VLOOKUP(AG157,Variables!$AC$3:$AD$8,2,FALSE),"Y","N")</f>
        <v>N</v>
      </c>
      <c r="X157" s="197">
        <f t="shared" si="61"/>
        <v>1</v>
      </c>
      <c r="Y157" s="197">
        <f t="shared" si="62"/>
        <v>4.6899999999999997E-2</v>
      </c>
      <c r="Z157" s="197">
        <f t="shared" si="63"/>
        <v>23.33</v>
      </c>
      <c r="AA157" s="197">
        <f t="shared" si="64"/>
        <v>23.283099999999997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65"/>
        <v>239</v>
      </c>
      <c r="AE157" s="77" t="str">
        <f t="shared" si="66"/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AF157" s="74" t="str">
        <f t="shared" si="67"/>
        <v>"C:\Program Files (x86)\AstroGrep\AstroGrep.exe" /e /r /s /spath="%USERPROFILE%\AppData\Local\Temp\OnboardLogs" /stypes="app*4054*20170823*" /stext=" 06:.+((SYSTEM_STATE.+slice.+state.+changed )|(ment ac)|(multiple cpu faults)|(system.+state.+changed )|(\[timeout)|(PRM\|1\|D)|(kpr)|(kdp)|(train st.+moving)|(\|lc)|(penalty))"</v>
      </c>
      <c r="AG157" s="209" t="str">
        <f t="shared" si="68"/>
        <v>EC</v>
      </c>
      <c r="AH157" s="78" t="str">
        <f t="shared" si="69"/>
        <v>"%USERPROFILE%\Documents\GitHub\eaglep3\Utilities\RefineRTDCRunTimes.py" --tripid 239-22 --locoid 4054 --swversion DE.1.0.9.0 --startMP 204:469 --initTime 2017-08-22T23:11:07 --startdatetime 2017-08-22T23:30:47 --delay 1 --endMP 204:233300 --enddatetime 2017-08-23T00:07:38 --enforcementcount 0 &gt;&gt;C:\Users\stu\Documents\GitHub\eaglep3-reporting\EC\2017-08-22-refined-times.txt</v>
      </c>
      <c r="AI157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{"issue":{"subject":"","project_id":79,"tracker_id":40,"status_id":1,"priority_id":2,"assigned_to_id":23,"start_date":"2017-08-23","description":"","custom_fields":[{"id":1,"name":"Subdivision","value":"EC"},{"id":4,"name":"Milepost","value":"23.33"},{"id":17,"name":"Train ID","value":"239-22"},{"id":16,"name":"Locomotive ID","value":"4054"},{"id":130,"name":"Impact","value":""},{"id":150,"name":"Time of Event (Mountain Time)","value":"00:07:38"},{"id":151,"name":"Denver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4054 --day 2017-08-22</v>
      </c>
      <c r="AN157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06:07:38"},{"id":29,"name":"Sharepoint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791</v>
      </c>
      <c r="B158" s="7">
        <v>4053</v>
      </c>
      <c r="C158" s="21" t="s">
        <v>198</v>
      </c>
      <c r="D158" s="21" t="s">
        <v>412</v>
      </c>
      <c r="E158" s="13">
        <v>42970.014664351853</v>
      </c>
      <c r="F158" s="13">
        <v>42970.018969907411</v>
      </c>
      <c r="G158" s="7">
        <v>1</v>
      </c>
      <c r="H158" s="21" t="s">
        <v>339</v>
      </c>
      <c r="I158" s="13">
        <v>42970.045659722222</v>
      </c>
      <c r="J158" s="7">
        <v>0</v>
      </c>
      <c r="K158" s="89" t="str">
        <f t="shared" si="55"/>
        <v>4053/4054</v>
      </c>
      <c r="L158" s="217" t="str">
        <f>VLOOKUP(A158,'Trips&amp;Operators'!$C$1:$G$99911,5,FALSE)</f>
        <v>WEST BRYAN</v>
      </c>
      <c r="M158" s="6">
        <f t="shared" si="56"/>
        <v>2.6689814811106771E-2</v>
      </c>
      <c r="N158" s="7">
        <f t="shared" si="57"/>
        <v>38.433333327993751</v>
      </c>
      <c r="O158" s="7"/>
      <c r="P158" s="7"/>
      <c r="Q158" s="22"/>
      <c r="R158" s="170"/>
      <c r="S158" s="213">
        <f t="shared" si="58"/>
        <v>1</v>
      </c>
      <c r="T158" s="195" t="str">
        <f t="shared" si="59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0"/>
        <v>https://d0f6bd738d7f1b3e5a7ca70fe4ff75f0.us-east-1.aws.found.io/app/kibana#/discover/Steve-Slow-Train-Analysis-(2080s-and-2083s)?_g=(refreshInterval:(display:Off,pause:!f,section:0,value:0),time:(from:'2017-08-22T23:21:07-0600',mode:absolute,to:'2017-08-23T02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97" t="str">
        <f>IF(AA158&lt;VLOOKUP(AG158,Variables!$AC$3:$AD$8,2,FALSE),"Y","N")</f>
        <v>N</v>
      </c>
      <c r="X158" s="197">
        <f t="shared" si="61"/>
        <v>1</v>
      </c>
      <c r="Y158" s="197">
        <f t="shared" si="62"/>
        <v>23.2987</v>
      </c>
      <c r="Z158" s="197">
        <f t="shared" si="63"/>
        <v>1.4999999999999999E-2</v>
      </c>
      <c r="AA158" s="197">
        <f t="shared" si="64"/>
        <v>23.2837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65"/>
        <v>240</v>
      </c>
      <c r="AE158" s="77" t="str">
        <f t="shared" si="66"/>
        <v>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 &amp; 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</v>
      </c>
      <c r="AF158" s="74" t="str">
        <f t="shared" si="67"/>
        <v>"C:\Program Files (x86)\AstroGrep\AstroGrep.exe" /e /r /s /spath="%USERPROFILE%\AppData\Local\Temp\OnboardLogs" /stypes="app*4053*20170823*" /stext=" 07:.+((SYSTEM_STATE.+slice.+state.+changed )|(ment ac)|(multiple cpu faults)|(system.+state.+changed )|(\[timeout)|(PRM\|1\|D)|(kpr)|(kdp)|(train st.+moving)|(\|lc)|(penalty))"</v>
      </c>
      <c r="AG158" s="209" t="str">
        <f t="shared" si="68"/>
        <v>EC</v>
      </c>
      <c r="AH158" s="78" t="str">
        <f t="shared" si="69"/>
        <v>"%USERPROFILE%\Documents\GitHub\eaglep3\Utilities\RefineRTDCRunTimes.py" --tripid 240-22 --locoid 4053 --swversion DE.1.0.9.0 --startMP 204:232987 --initTime 2017-08-23T00:21:07 --startdatetime 2017-08-23T00:27:19 --delay 1 --endMP 204:150 --enddatetime 2017-08-23T01:05:45 --enforcementcount 0 &gt;&gt;C:\Users\stu\Documents\GitHub\eaglep3-reporting\EC\2017-08-22-refined-times.txt</v>
      </c>
      <c r="AI158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{"issue":{"subject":"","project_id":79,"tracker_id":40,"status_id":1,"priority_id":2,"assigned_to_id":23,"start_date":"2017-08-23","description":"","custom_fields":[{"id":1,"name":"Subdivision","value":"EC"},{"id":4,"name":"Milepost","value":"0.015"},{"id":17,"name":"Train ID","value":"240-22"},{"id":16,"name":"Locomotive ID","value":"4053"},{"id":130,"name":"Impact","value":""},{"id":150,"name":"Time of Event (Mountain Time)","value":"01:05:45"},{"id":151,"name":"Denver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1"/>
        <v>start /low /b %USERPROFILE%\Documents\GitHub\eaglep3\Utilities\DownloadLogsFromS3.py --loco 4053 --day 2017-08-23</v>
      </c>
      <c r="AN158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790</v>
      </c>
      <c r="B159" s="7">
        <v>4018</v>
      </c>
      <c r="C159" s="21" t="s">
        <v>198</v>
      </c>
      <c r="D159" s="21" t="s">
        <v>370</v>
      </c>
      <c r="E159" s="13">
        <v>42969.997187499997</v>
      </c>
      <c r="F159" s="13">
        <v>42970.000509259262</v>
      </c>
      <c r="G159" s="7">
        <v>1</v>
      </c>
      <c r="H159" s="21" t="s">
        <v>416</v>
      </c>
      <c r="I159" s="13">
        <v>42970.025497685187</v>
      </c>
      <c r="J159" s="7">
        <v>0</v>
      </c>
      <c r="K159" s="89" t="str">
        <f t="shared" si="55"/>
        <v>4017/4018</v>
      </c>
      <c r="L159" s="217" t="str">
        <f>VLOOKUP(A159,'Trips&amp;Operators'!$C$1:$G$99911,5,FALSE)</f>
        <v>FORTUNATO FRANK</v>
      </c>
      <c r="M159" s="6">
        <f t="shared" si="56"/>
        <v>2.4988425924675539E-2</v>
      </c>
      <c r="N159" s="7">
        <f t="shared" si="57"/>
        <v>35.983333331532776</v>
      </c>
      <c r="O159" s="7"/>
      <c r="P159" s="7"/>
      <c r="Q159" s="22"/>
      <c r="R159" s="170"/>
      <c r="S159" s="213">
        <f t="shared" si="58"/>
        <v>1</v>
      </c>
      <c r="T159" s="195" t="str">
        <f t="shared" si="59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0"/>
        <v>https://d0f6bd738d7f1b3e5a7ca70fe4ff75f0.us-east-1.aws.found.io/app/kibana#/discover/Steve-Slow-Train-Analysis-(2080s-and-2083s)?_g=(refreshInterval:(display:Off,pause:!f,section:0,value:0),time:(from:'2017-08-22T22:55:57-0600',mode:absolute,to:'2017-08-23T01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197" t="str">
        <f>IF(AA159&lt;VLOOKUP(AG159,Variables!$AC$3:$AD$8,2,FALSE),"Y","N")</f>
        <v>N</v>
      </c>
      <c r="X159" s="197">
        <f t="shared" si="61"/>
        <v>1</v>
      </c>
      <c r="Y159" s="197">
        <f t="shared" si="62"/>
        <v>4.58E-2</v>
      </c>
      <c r="Z159" s="197">
        <f t="shared" si="63"/>
        <v>23.331399999999999</v>
      </c>
      <c r="AA159" s="197">
        <f t="shared" si="64"/>
        <v>23.285599999999999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65"/>
        <v>241</v>
      </c>
      <c r="AE159" s="77" t="str">
        <f t="shared" si="66"/>
        <v>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 &amp; 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</v>
      </c>
      <c r="AF159" s="74" t="str">
        <f t="shared" si="67"/>
        <v>"C:\Program Files (x86)\AstroGrep\AstroGrep.exe" /e /r /s /spath="%USERPROFILE%\AppData\Local\Temp\OnboardLogs" /stypes="app*4018*20170823*" /stext=" 06:.+((SYSTEM_STATE.+slice.+state.+changed )|(ment ac)|(multiple cpu faults)|(system.+state.+changed )|(\[timeout)|(PRM\|1\|D)|(kpr)|(kdp)|(train st.+moving)|(\|lc)|(penalty))"</v>
      </c>
      <c r="AG159" s="209" t="str">
        <f t="shared" si="68"/>
        <v>EC</v>
      </c>
      <c r="AH159" s="78" t="str">
        <f t="shared" si="69"/>
        <v>"%USERPROFILE%\Documents\GitHub\eaglep3\Utilities\RefineRTDCRunTimes.py" --tripid 241-22 --locoid 4018 --swversion DE.1.0.9.0 --startMP 204:458 --initTime 2017-08-22T23:55:57 --startdatetime 2017-08-23T00:00:44 --delay 1 --endMP 204:233314 --enddatetime 2017-08-23T00:36:43 --enforcementcount 0 &gt;&gt;C:\Users\stu\Documents\GitHub\eaglep3-reporting\EC\2017-08-22-refined-times.txt</v>
      </c>
      <c r="AI159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{"issue":{"subject":"","project_id":79,"tracker_id":40,"status_id":1,"priority_id":2,"assigned_to_id":23,"start_date":"2017-08-23","description":"","custom_fields":[{"id":1,"name":"Subdivision","value":"EC"},{"id":4,"name":"Milepost","value":"23.3314"},{"id":17,"name":"Train ID","value":"241-22"},{"id":16,"name":"Locomotive ID","value":"4018"},{"id":130,"name":"Impact","value":""},{"id":150,"name":"Time of Event (Mountain Time)","value":"00:36:43"},{"id":151,"name":"Denver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1"/>
        <v>start /low /b %USERPROFILE%\Documents\GitHub\eaglep3\Utilities\DownloadLogsFromS3.py --loco 4018 --day 2017-08-23</v>
      </c>
      <c r="AN159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793</v>
      </c>
      <c r="B160" s="7">
        <v>4017</v>
      </c>
      <c r="C160" s="21" t="s">
        <v>198</v>
      </c>
      <c r="D160" s="21" t="s">
        <v>811</v>
      </c>
      <c r="E160" s="13">
        <v>42970.027870370373</v>
      </c>
      <c r="F160" s="13">
        <v>42970.039756944447</v>
      </c>
      <c r="G160" s="7">
        <v>1</v>
      </c>
      <c r="H160" s="21" t="s">
        <v>524</v>
      </c>
      <c r="I160" s="13">
        <v>42970.066736111112</v>
      </c>
      <c r="J160" s="7">
        <v>0</v>
      </c>
      <c r="K160" s="89" t="str">
        <f t="shared" si="55"/>
        <v>4017/4018</v>
      </c>
      <c r="L160" s="217" t="str">
        <f>VLOOKUP(A160,'Trips&amp;Operators'!$C$1:$G$99911,5,FALSE)</f>
        <v>FORTUNATO FRANK</v>
      </c>
      <c r="M160" s="6">
        <f t="shared" si="56"/>
        <v>2.6979166665114462E-2</v>
      </c>
      <c r="N160" s="7">
        <f t="shared" si="57"/>
        <v>38.849999997764826</v>
      </c>
      <c r="O160" s="7"/>
      <c r="P160" s="7"/>
      <c r="Q160" s="22"/>
      <c r="R160" s="170"/>
      <c r="S160" s="213">
        <f t="shared" si="58"/>
        <v>1</v>
      </c>
      <c r="T160" s="195" t="str">
        <f t="shared" si="59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0"/>
        <v>https://d0f6bd738d7f1b3e5a7ca70fe4ff75f0.us-east-1.aws.found.io/app/kibana#/discover/Steve-Slow-Train-Analysis-(2080s-and-2083s)?_g=(refreshInterval:(display:Off,pause:!f,section:0,value:0),time:(from:'2017-08-22T23:40:08-0600',mode:absolute,to:'2017-08-23T02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97" t="str">
        <f>IF(AA160&lt;VLOOKUP(AG160,Variables!$AC$3:$AD$8,2,FALSE),"Y","N")</f>
        <v>N</v>
      </c>
      <c r="X160" s="197">
        <f t="shared" si="61"/>
        <v>1</v>
      </c>
      <c r="Y160" s="197">
        <f t="shared" si="62"/>
        <v>23.299399999999999</v>
      </c>
      <c r="Z160" s="197">
        <f t="shared" si="63"/>
        <v>1.23E-2</v>
      </c>
      <c r="AA160" s="197">
        <f t="shared" si="64"/>
        <v>23.287099999999999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65"/>
        <v>242</v>
      </c>
      <c r="AE160" s="77" t="str">
        <f t="shared" si="66"/>
        <v>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 &amp; 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</v>
      </c>
      <c r="AF160" s="74" t="str">
        <f t="shared" si="67"/>
        <v>"C:\Program Files (x86)\AstroGrep\AstroGrep.exe" /e /r /s /spath="%USERPROFILE%\AppData\Local\Temp\OnboardLogs" /stypes="app*4017*20170823*" /stext=" 07:.+((SYSTEM_STATE.+slice.+state.+changed )|(ment ac)|(multiple cpu faults)|(system.+state.+changed )|(\[timeout)|(PRM\|1\|D)|(kpr)|(kdp)|(train st.+moving)|(\|lc)|(penalty))"</v>
      </c>
      <c r="AG160" s="209" t="str">
        <f t="shared" si="68"/>
        <v>EC</v>
      </c>
      <c r="AH160" s="78" t="str">
        <f t="shared" si="69"/>
        <v>"%USERPROFILE%\Documents\GitHub\eaglep3\Utilities\RefineRTDCRunTimes.py" --tripid 242-22 --locoid 4017 --swversion DE.1.0.9.0 --startMP 204:232994 --initTime 2017-08-23T00:40:08 --startdatetime 2017-08-23T00:57:15 --delay 1 --endMP 204:123 --enddatetime 2017-08-23T01:36:06 --enforcementcount 0 &gt;&gt;C:\Users\stu\Documents\GitHub\eaglep3-reporting\EC\2017-08-22-refined-times.txt</v>
      </c>
      <c r="AI160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{"issue":{"subject":"","project_id":79,"tracker_id":40,"status_id":1,"priority_id":2,"assigned_to_id":23,"start_date":"2017-08-23","description":"","custom_fields":[{"id":1,"name":"Subdivision","value":"EC"},{"id":4,"name":"Milepost","value":"0.0123"},{"id":17,"name":"Train ID","value":"242-22"},{"id":16,"name":"Locomotive ID","value":"4017"},{"id":130,"name":"Impact","value":""},{"id":150,"name":"Time of Event (Mountain Time)","value":"01:36:06"},{"id":151,"name":"Denver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1"/>
        <v>start /low /b %USERPROFILE%\Documents\GitHub\eaglep3\Utilities\DownloadLogsFromS3.py --loco 4017 --day 2017-08-23</v>
      </c>
      <c r="AN160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792</v>
      </c>
      <c r="B161" s="7">
        <v>4010</v>
      </c>
      <c r="C161" s="21" t="s">
        <v>198</v>
      </c>
      <c r="D161" s="21" t="s">
        <v>396</v>
      </c>
      <c r="E161" s="13">
        <v>42970.019386574073</v>
      </c>
      <c r="F161" s="13">
        <v>42970.021689814814</v>
      </c>
      <c r="G161" s="7">
        <v>2</v>
      </c>
      <c r="H161" s="21" t="s">
        <v>901</v>
      </c>
      <c r="I161" s="13">
        <v>42970.047696759262</v>
      </c>
      <c r="J161" s="7">
        <v>0</v>
      </c>
      <c r="K161" s="89" t="str">
        <f t="shared" si="55"/>
        <v>4009/4010</v>
      </c>
      <c r="L161" s="217" t="str">
        <f>VLOOKUP(A161,'Trips&amp;Operators'!$C$1:$G$99911,5,FALSE)</f>
        <v>NELSON ARIANE</v>
      </c>
      <c r="M161" s="6">
        <f t="shared" si="56"/>
        <v>2.6006944448454306E-2</v>
      </c>
      <c r="N161" s="7">
        <f t="shared" si="57"/>
        <v>37.4500000057742</v>
      </c>
      <c r="O161" s="7"/>
      <c r="P161" s="7"/>
      <c r="Q161" s="22"/>
      <c r="R161" s="170"/>
      <c r="S161" s="213">
        <f t="shared" si="58"/>
        <v>1</v>
      </c>
      <c r="T161" s="195" t="str">
        <f t="shared" si="59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0"/>
        <v>https://d0f6bd738d7f1b3e5a7ca70fe4ff75f0.us-east-1.aws.found.io/app/kibana#/discover/Steve-Slow-Train-Analysis-(2080s-and-2083s)?_g=(refreshInterval:(display:Off,pause:!f,section:0,value:0),time:(from:'2017-08-22T23:27:55-0600',mode:absolute,to:'2017-08-23T02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1" s="197" t="str">
        <f>IF(AA161&lt;VLOOKUP(AG161,Variables!$AC$3:$AD$8,2,FALSE),"Y","N")</f>
        <v>N</v>
      </c>
      <c r="X161" s="197">
        <f t="shared" si="61"/>
        <v>1</v>
      </c>
      <c r="Y161" s="197">
        <f t="shared" si="62"/>
        <v>4.7100000000000003E-2</v>
      </c>
      <c r="Z161" s="197">
        <f t="shared" si="63"/>
        <v>23.3278</v>
      </c>
      <c r="AA161" s="197">
        <f t="shared" si="64"/>
        <v>23.2807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65"/>
        <v>243</v>
      </c>
      <c r="AE161" s="77" t="str">
        <f t="shared" si="66"/>
        <v>aws s3 cp s3://rtdc.mdm.uploadarchive.raw/RTDC4010/ "%USERPROFILE%\AppData\Local\Temp\OnboardLogs"\RTDC4010\2017-08-23 --exclude "*" --recursive --include "*20170823*" &amp; "%USERPROFILE%\Documents\GitHub\mrs-test-scripts\Headless Mode &amp; Sideloading\WalkAndUnGZ.bat" "%USERPROFILE%\AppData\Local\Temp\OnboardLogs"\RTDC4010\2017-08-23 &amp; 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</v>
      </c>
      <c r="AF161" s="74" t="str">
        <f t="shared" si="67"/>
        <v>"C:\Program Files (x86)\AstroGrep\AstroGrep.exe" /e /r /s /spath="%USERPROFILE%\AppData\Local\Temp\OnboardLogs" /stypes="app*4010*20170823*" /stext=" 07:.+((SYSTEM_STATE.+slice.+state.+changed )|(ment ac)|(multiple cpu faults)|(system.+state.+changed )|(\[timeout)|(PRM\|1\|D)|(kpr)|(kdp)|(train st.+moving)|(\|lc)|(penalty))"</v>
      </c>
      <c r="AG161" s="209" t="str">
        <f t="shared" si="68"/>
        <v>EC</v>
      </c>
      <c r="AH161" s="78" t="str">
        <f t="shared" si="69"/>
        <v>"%USERPROFILE%\Documents\GitHub\eaglep3\Utilities\RefineRTDCRunTimes.py" --tripid 243-22 --locoid 4010 --swversion DE.1.0.9.0 --startMP 204:471 --initTime 2017-08-23T00:27:55 --startdatetime 2017-08-23T00:31:14 --delay 2 --endMP 204:233278 --enddatetime 2017-08-23T01:08:41 --enforcementcount 0 &gt;&gt;C:\Users\stu\Documents\GitHub\eaglep3-reporting\EC\2017-08-22-refined-times.txt</v>
      </c>
      <c r="AI161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{"issue":{"subject":"","project_id":79,"tracker_id":40,"status_id":1,"priority_id":2,"assigned_to_id":23,"start_date":"2017-08-23","description":"","custom_fields":[{"id":1,"name":"Subdivision","value":"EC"},{"id":4,"name":"Milepost","value":"23.3278"},{"id":17,"name":"Train ID","value":"243-22"},{"id":16,"name":"Locomotive ID","value":"4010"},{"id":130,"name":"Impact","value":""},{"id":150,"name":"Time of Event (Mountain Time)","value":"01:08:41"},{"id":151,"name":"Denver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1"/>
        <v>start /low /b %USERPROFILE%\Documents\GitHub\eaglep3\Utilities\DownloadLogsFromS3.py --loco 4010 --day 2017-08-23</v>
      </c>
      <c r="AN161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796</v>
      </c>
      <c r="B162" s="7">
        <v>4009</v>
      </c>
      <c r="C162" s="21" t="s">
        <v>198</v>
      </c>
      <c r="D162" s="21" t="s">
        <v>902</v>
      </c>
      <c r="E162" s="13">
        <v>42970.056863425925</v>
      </c>
      <c r="F162" s="13">
        <v>42970.060613425929</v>
      </c>
      <c r="G162" s="7">
        <v>2</v>
      </c>
      <c r="H162" s="21" t="s">
        <v>903</v>
      </c>
      <c r="I162" s="13">
        <v>42970.088425925926</v>
      </c>
      <c r="J162" s="7">
        <v>0</v>
      </c>
      <c r="K162" s="89" t="str">
        <f t="shared" si="55"/>
        <v>4009/4010</v>
      </c>
      <c r="L162" s="217" t="str">
        <f>VLOOKUP(A162,'Trips&amp;Operators'!$C$1:$G$99911,5,FALSE)</f>
        <v>NELSON ARIANE</v>
      </c>
      <c r="M162" s="6">
        <f t="shared" si="56"/>
        <v>2.7812499996798579E-2</v>
      </c>
      <c r="N162" s="7">
        <f t="shared" si="57"/>
        <v>40.049999995389953</v>
      </c>
      <c r="O162" s="7"/>
      <c r="P162" s="7"/>
      <c r="Q162" s="22"/>
      <c r="R162" s="170"/>
      <c r="S162" s="213">
        <f t="shared" si="58"/>
        <v>1</v>
      </c>
      <c r="T162" s="195" t="str">
        <f t="shared" si="59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60"/>
        <v>https://d0f6bd738d7f1b3e5a7ca70fe4ff75f0.us-east-1.aws.found.io/app/kibana#/discover/Steve-Slow-Train-Analysis-(2080s-and-2083s)?_g=(refreshInterval:(display:Off,pause:!f,section:0,value:0),time:(from:'2017-08-23T00:21:53-0600',mode:absolute,to:'2017-08-23T03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2" s="197" t="str">
        <f>IF(AA162&lt;VLOOKUP(AG162,Variables!$AC$3:$AD$8,2,FALSE),"Y","N")</f>
        <v>N</v>
      </c>
      <c r="X162" s="197">
        <f t="shared" si="61"/>
        <v>1</v>
      </c>
      <c r="Y162" s="197">
        <f t="shared" si="62"/>
        <v>23.294799999999999</v>
      </c>
      <c r="Z162" s="197">
        <f t="shared" si="63"/>
        <v>1.4800000000000001E-2</v>
      </c>
      <c r="AA162" s="197">
        <f t="shared" si="64"/>
        <v>23.279999999999998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65"/>
        <v>244</v>
      </c>
      <c r="AE162" s="77" t="str">
        <f t="shared" si="66"/>
        <v>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 &amp; 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</v>
      </c>
      <c r="AF162" s="74" t="str">
        <f t="shared" si="67"/>
        <v>"C:\Program Files (x86)\AstroGrep\AstroGrep.exe" /e /r /s /spath="%USERPROFILE%\AppData\Local\Temp\OnboardLogs" /stypes="app*4009*20170823*" /stext=" 08:.+((SYSTEM_STATE.+slice.+state.+changed )|(ment ac)|(multiple cpu faults)|(system.+state.+changed )|(\[timeout)|(PRM\|1\|D)|(kpr)|(kdp)|(train st.+moving)|(\|lc)|(penalty))"</v>
      </c>
      <c r="AG162" s="209" t="str">
        <f t="shared" si="68"/>
        <v>EC</v>
      </c>
      <c r="AH162" s="78" t="str">
        <f t="shared" si="69"/>
        <v>"%USERPROFILE%\Documents\GitHub\eaglep3\Utilities\RefineRTDCRunTimes.py" --tripid 244-22 --locoid 4009 --swversion DE.1.0.9.0 --startMP 204:232948 --initTime 2017-08-23T01:21:53 --startdatetime 2017-08-23T01:27:17 --delay 2 --endMP 204:148 --enddatetime 2017-08-23T02:07:20 --enforcementcount 0 &gt;&gt;C:\Users\stu\Documents\GitHub\eaglep3-reporting\EC\2017-08-22-refined-times.txt</v>
      </c>
      <c r="AI162" s="96" t="str">
        <f t="shared" si="70"/>
        <v>echo {"issue":{"subject":"","project_id":79,"tracker_id":40,"status_id":1,"priority_id":2,"assigned_to_id":23,"start_date":"2017-08-23","description":"","custom_fields":[{"id":1,"name":"Subdivision","value":"EC"},{"id":4,"name":"Milepost","value":"0.0148"},{"id":17,"name":"Train ID","value":"244-22"},{"id":16,"name":"Locomotive ID","value":"4009"},{"id":130,"name":"Impact","value":""},{"id":150,"name":"Time of Event (Mountain Time)","value":"02:07:20"},{"id":151,"name":"Denver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1"/>
        <v>start /low /b %USERPROFILE%\Documents\GitHub\eaglep3\Utilities\DownloadLogsFromS3.py --loco 4009 --day 2017-08-23</v>
      </c>
      <c r="AN162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08:07:20"},{"id":29,"name":"Sharepoint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615</v>
      </c>
      <c r="B163" s="7">
        <v>4025</v>
      </c>
      <c r="C163" s="21" t="s">
        <v>198</v>
      </c>
      <c r="D163" s="21" t="s">
        <v>433</v>
      </c>
      <c r="E163" s="13">
        <v>42969.209861111114</v>
      </c>
      <c r="F163" s="13">
        <v>42969.211898148147</v>
      </c>
      <c r="G163" s="7">
        <v>1</v>
      </c>
      <c r="H163" s="21" t="s">
        <v>926</v>
      </c>
      <c r="I163" s="13">
        <v>42969.225671296299</v>
      </c>
      <c r="J163" s="7">
        <v>0</v>
      </c>
      <c r="K163" s="89" t="str">
        <f t="shared" si="55"/>
        <v>4025/4026</v>
      </c>
      <c r="L163" s="217" t="str">
        <f>VLOOKUP(A163,'Trips&amp;Operators'!$C$1:$G$99911,5,FALSE)</f>
        <v>HELVIE ADAM</v>
      </c>
      <c r="M163" s="6">
        <f t="shared" si="56"/>
        <v>1.3773148151813075E-2</v>
      </c>
      <c r="N163" s="7">
        <f t="shared" si="57"/>
        <v>19.833333338610828</v>
      </c>
      <c r="O163" s="7"/>
      <c r="P163" s="7"/>
      <c r="Q163" s="22"/>
      <c r="R163" s="170"/>
      <c r="S163" s="213">
        <f t="shared" si="58"/>
        <v>1</v>
      </c>
      <c r="T163" s="195" t="str">
        <f t="shared" si="59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0"/>
        <v>https://d0f6bd738d7f1b3e5a7ca70fe4ff75f0.us-east-1.aws.found.io/app/kibana#/discover/Steve-Slow-Train-Analysis-(2080s-and-2083s)?_g=(refreshInterval:(display:Off,pause:!f,section:0,value:0),time:(from:'2017-08-22T04:02:12-0600',mode:absolute,to:'2017-08-22T06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197" t="str">
        <f>IF(AA163&lt;VLOOKUP(AG163,Variables!$AC$3:$AD$8,2,FALSE),"Y","N")</f>
        <v>N</v>
      </c>
      <c r="X163" s="197">
        <f t="shared" si="61"/>
        <v>556</v>
      </c>
      <c r="Y163" s="197">
        <f t="shared" si="62"/>
        <v>5.8611000000000004</v>
      </c>
      <c r="Z163" s="197">
        <f t="shared" si="63"/>
        <v>7.6100000000000001E-2</v>
      </c>
      <c r="AA163" s="197">
        <f t="shared" si="64"/>
        <v>5.7850000000000001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65"/>
        <v>800</v>
      </c>
      <c r="AE163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63" s="74" t="str">
        <f t="shared" si="67"/>
        <v>"C:\Program Files (x86)\AstroGrep\AstroGrep.exe" /e /r /s /spath="%USERPROFILE%\AppData\Local\Temp\OnboardLogs" /stypes="app*4025*20170822*" /stext=" 11:.+((SYSTEM_STATE.+slice.+state.+changed )|(ment ac)|(multiple cpu faults)|(system.+state.+changed )|(\[timeout)|(PRM\|1\|D)|(kpr)|(kdp)|(train st.+moving)|(\|lc)|(penalty))"</v>
      </c>
      <c r="AG163" s="209" t="str">
        <f t="shared" si="68"/>
        <v>NW</v>
      </c>
      <c r="AH163" s="78" t="str">
        <f t="shared" si="69"/>
        <v>"%USERPROFILE%\Documents\GitHub\eaglep3\Utilities\RefineRTDCRunTimes.py" --tripid 800-22 --locoid 4025 --swversion DE.1.0.9.0 --startMP 300:58611 --initTime 2017-08-22T05:02:12 --startdatetime 2017-08-22T05:05:08 --delay 1 --endMP 204:761 --enddatetime 2017-08-22T05:24:58 --enforcementcount 0 &gt;&gt;C:\Users\stu\Documents\GitHub\eaglep3-reporting\EC\2017-08-22-refined-times.txt</v>
      </c>
      <c r="AI163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{"issue":{"subject":"","project_id":79,"tracker_id":40,"status_id":1,"priority_id":2,"assigned_to_id":23,"start_date":"2017-08-22","description":"","custom_fields":[{"id":1,"name":"Subdivision","value":"NW"},{"id":4,"name":"Milepost","value":"0.0761"},{"id":17,"name":"Train ID","value":"800-22"},{"id":16,"name":"Locomotive ID","value":"4025"},{"id":130,"name":"Impact","value":""},{"id":150,"name":"Time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1"/>
        <v>start /low /b %USERPROFILE%\Documents\GitHub\eaglep3\Utilities\DownloadLogsFromS3.py --loco 4025 --day 2017-08-22</v>
      </c>
      <c r="AN163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554</v>
      </c>
      <c r="B164" s="7">
        <v>4026</v>
      </c>
      <c r="C164" s="21" t="s">
        <v>198</v>
      </c>
      <c r="D164" s="21" t="s">
        <v>927</v>
      </c>
      <c r="E164" s="13">
        <v>42969.240474537037</v>
      </c>
      <c r="F164" s="13">
        <v>42969.24422453704</v>
      </c>
      <c r="G164" s="7">
        <v>1</v>
      </c>
      <c r="H164" s="21" t="s">
        <v>456</v>
      </c>
      <c r="I164" s="13">
        <v>42969.254062499997</v>
      </c>
      <c r="J164" s="7">
        <v>0</v>
      </c>
      <c r="K164" s="89" t="str">
        <f t="shared" si="55"/>
        <v>4025/4026</v>
      </c>
      <c r="L164" s="217" t="str">
        <f>VLOOKUP(A164,'Trips&amp;Operators'!$C$1:$G$99911,5,FALSE)</f>
        <v>HELVIE ADAM</v>
      </c>
      <c r="M164" s="6">
        <f t="shared" si="56"/>
        <v>9.8379629562259652E-3</v>
      </c>
      <c r="N164" s="7">
        <f t="shared" si="57"/>
        <v>14.16666665696539</v>
      </c>
      <c r="O164" s="7"/>
      <c r="P164" s="7"/>
      <c r="Q164" s="22"/>
      <c r="R164" s="170"/>
      <c r="S164" s="213">
        <f t="shared" si="58"/>
        <v>1</v>
      </c>
      <c r="T164" s="195" t="str">
        <f t="shared" si="59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0"/>
        <v>https://d0f6bd738d7f1b3e5a7ca70fe4ff75f0.us-east-1.aws.found.io/app/kibana#/discover/Steve-Slow-Train-Analysis-(2080s-and-2083s)?_g=(refreshInterval:(display:Off,pause:!f,section:0,value:0),time:(from:'2017-08-22T04:46:17-0600',mode:absolute,to:'2017-08-22T07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197" t="str">
        <f>IF(AA164&lt;VLOOKUP(AG164,Variables!$AC$3:$AD$8,2,FALSE),"Y","N")</f>
        <v>N</v>
      </c>
      <c r="X164" s="197">
        <f t="shared" si="61"/>
        <v>1</v>
      </c>
      <c r="Y164" s="197">
        <f t="shared" si="62"/>
        <v>0.1042</v>
      </c>
      <c r="Z164" s="197">
        <f t="shared" si="63"/>
        <v>5.8936999999999999</v>
      </c>
      <c r="AA164" s="197">
        <f t="shared" si="64"/>
        <v>5.7895000000000003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65"/>
        <v>801</v>
      </c>
      <c r="AE164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164" s="74" t="str">
        <f t="shared" si="67"/>
        <v>"C:\Program Files (x86)\AstroGrep\AstroGrep.exe" /e /r /s /spath="%USERPROFILE%\AppData\Local\Temp\OnboardLogs" /stypes="app*4026*20170822*" /stext=" 12:.+((SYSTEM_STATE.+slice.+state.+changed )|(ment ac)|(multiple cpu faults)|(system.+state.+changed )|(\[timeout)|(PRM\|1\|D)|(kpr)|(kdp)|(train st.+moving)|(\|lc)|(penalty))"</v>
      </c>
      <c r="AG164" s="209" t="str">
        <f t="shared" si="68"/>
        <v>NW</v>
      </c>
      <c r="AH164" s="78" t="str">
        <f t="shared" si="69"/>
        <v>"%USERPROFILE%\Documents\GitHub\eaglep3\Utilities\RefineRTDCRunTimes.py" --tripid 801-22 --locoid 4026 --swversion DE.1.0.9.0 --startMP 204:1042 --initTime 2017-08-22T05:46:17 --startdatetime 2017-08-22T05:51:41 --delay 1 --endMP 300:58937 --enddatetime 2017-08-22T06:05:51 --enforcementcount 0 &gt;&gt;C:\Users\stu\Documents\GitHub\eaglep3-reporting\EC\2017-08-22-refined-times.txt</v>
      </c>
      <c r="AI164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{"issue":{"subject":"","project_id":79,"tracker_id":40,"status_id":1,"priority_id":2,"assigned_to_id":23,"start_date":"2017-08-22","description":"","custom_fields":[{"id":1,"name":"Subdivision","value":"NW"},{"id":4,"name":"Milepost","value":"5.8937"},{"id":17,"name":"Train ID","value":"801-22"},{"id":16,"name":"Locomotive ID","value":"4026"},{"id":130,"name":"Impact","value":""},{"id":150,"name":"Time of Event (Mountain Time)","value":"06:05:51"},{"id":151,"name":"Denver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71"/>
        <v>start /low /b %USERPROFILE%\Documents\GitHub\eaglep3\Utilities\DownloadLogsFromS3.py --loco 4026 --day 2017-08-22</v>
      </c>
      <c r="AN164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624</v>
      </c>
      <c r="B165" s="7">
        <v>4025</v>
      </c>
      <c r="C165" s="21" t="s">
        <v>198</v>
      </c>
      <c r="D165" s="21" t="s">
        <v>928</v>
      </c>
      <c r="E165" s="13">
        <v>42969.255393518521</v>
      </c>
      <c r="F165" s="13">
        <v>42969.256643518522</v>
      </c>
      <c r="G165" s="7">
        <v>1</v>
      </c>
      <c r="H165" s="21" t="s">
        <v>929</v>
      </c>
      <c r="I165" s="13">
        <v>42969.268078703702</v>
      </c>
      <c r="J165" s="7">
        <v>0</v>
      </c>
      <c r="K165" s="89" t="str">
        <f t="shared" si="55"/>
        <v>4025/4026</v>
      </c>
      <c r="L165" s="217" t="str">
        <f>VLOOKUP(A165,'Trips&amp;Operators'!$C$1:$G$99911,5,FALSE)</f>
        <v>HELVIE ADAM</v>
      </c>
      <c r="M165" s="6">
        <f t="shared" si="56"/>
        <v>1.1435185180744156E-2</v>
      </c>
      <c r="N165" s="7">
        <f t="shared" si="57"/>
        <v>16.466666660271585</v>
      </c>
      <c r="O165" s="7"/>
      <c r="P165" s="7"/>
      <c r="Q165" s="22"/>
      <c r="R165" s="170"/>
      <c r="S165" s="213">
        <f t="shared" si="58"/>
        <v>1</v>
      </c>
      <c r="T165" s="195" t="str">
        <f t="shared" si="59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0"/>
        <v>https://d0f6bd738d7f1b3e5a7ca70fe4ff75f0.us-east-1.aws.found.io/app/kibana#/discover/Steve-Slow-Train-Analysis-(2080s-and-2083s)?_g=(refreshInterval:(display:Off,pause:!f,section:0,value:0),time:(from:'2017-08-22T05:07:46-0600',mode:absolute,to:'2017-08-22T07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97" t="str">
        <f>IF(AA165&lt;VLOOKUP(AG165,Variables!$AC$3:$AD$8,2,FALSE),"Y","N")</f>
        <v>N</v>
      </c>
      <c r="X165" s="197">
        <f t="shared" si="61"/>
        <v>1</v>
      </c>
      <c r="Y165" s="197">
        <f t="shared" si="62"/>
        <v>5.8624000000000001</v>
      </c>
      <c r="Z165" s="197">
        <f t="shared" si="63"/>
        <v>7.5399999999999995E-2</v>
      </c>
      <c r="AA165" s="197">
        <f t="shared" si="64"/>
        <v>5.7869999999999999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65"/>
        <v>802</v>
      </c>
      <c r="AE165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65" s="74" t="str">
        <f t="shared" si="67"/>
        <v>"C:\Program Files (x86)\AstroGrep\AstroGrep.exe" /e /r /s /spath="%USERPROFILE%\AppData\Local\Temp\OnboardLogs" /stypes="app*4025*20170822*" /stext=" 12:.+((SYSTEM_STATE.+slice.+state.+changed )|(ment ac)|(multiple cpu faults)|(system.+state.+changed )|(\[timeout)|(PRM\|1\|D)|(kpr)|(kdp)|(train st.+moving)|(\|lc)|(penalty))"</v>
      </c>
      <c r="AG165" s="209" t="str">
        <f t="shared" si="68"/>
        <v>NW</v>
      </c>
      <c r="AH165" s="78" t="str">
        <f t="shared" si="69"/>
        <v>"%USERPROFILE%\Documents\GitHub\eaglep3\Utilities\RefineRTDCRunTimes.py" --tripid 802-22 --locoid 4025 --swversion DE.1.0.9.0 --startMP 300:58624 --initTime 2017-08-22T06:07:46 --startdatetime 2017-08-22T06:09:34 --delay 1 --endMP 204:754 --enddatetime 2017-08-22T06:26:02 --enforcementcount 0 &gt;&gt;C:\Users\stu\Documents\GitHub\eaglep3-reporting\EC\2017-08-22-refined-times.txt</v>
      </c>
      <c r="AI165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{"issue":{"subject":"","project_id":79,"tracker_id":40,"status_id":1,"priority_id":2,"assigned_to_id":23,"start_date":"2017-08-22","description":"","custom_fields":[{"id":1,"name":"Subdivision","value":"NW"},{"id":4,"name":"Milepost","value":"0.0754"},{"id":17,"name":"Train ID","value":"802-22"},{"id":16,"name":"Locomotive ID","value":"4025"},{"id":130,"name":"Impact","value":""},{"id":150,"name":"Time of Event (Mountain Time)","value":"06:26:02"},{"id":151,"name":"Denver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1"/>
        <v>start /low /b %USERPROFILE%\Documents\GitHub\eaglep3\Utilities\DownloadLogsFromS3.py --loco 4025 --day 2017-08-22</v>
      </c>
      <c r="AN165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626</v>
      </c>
      <c r="B166" s="7">
        <v>4030</v>
      </c>
      <c r="C166" s="21" t="s">
        <v>198</v>
      </c>
      <c r="D166" s="21" t="s">
        <v>419</v>
      </c>
      <c r="E166" s="13">
        <v>42969.263541666667</v>
      </c>
      <c r="F166" s="13">
        <v>42969.265324074076</v>
      </c>
      <c r="G166" s="7">
        <v>2</v>
      </c>
      <c r="H166" s="21" t="s">
        <v>538</v>
      </c>
      <c r="I166" s="13">
        <v>42969.274884259263</v>
      </c>
      <c r="J166" s="7">
        <v>0</v>
      </c>
      <c r="K166" s="89" t="str">
        <f t="shared" si="55"/>
        <v>4029/4030</v>
      </c>
      <c r="L166" s="217" t="str">
        <f>VLOOKUP(A166,'Trips&amp;Operators'!$C$1:$G$99911,5,FALSE)</f>
        <v>LANGERAK WILLIAM</v>
      </c>
      <c r="M166" s="6">
        <f t="shared" si="56"/>
        <v>9.560185186273884E-3</v>
      </c>
      <c r="N166" s="7">
        <f t="shared" si="57"/>
        <v>13.766666668234393</v>
      </c>
      <c r="O166" s="7"/>
      <c r="P166" s="7"/>
      <c r="Q166" s="22"/>
      <c r="R166" s="170"/>
      <c r="S166" s="213">
        <f t="shared" si="58"/>
        <v>1</v>
      </c>
      <c r="T166" s="195" t="str">
        <f t="shared" si="59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0"/>
        <v>https://d0f6bd738d7f1b3e5a7ca70fe4ff75f0.us-east-1.aws.found.io/app/kibana#/discover/Steve-Slow-Train-Analysis-(2080s-and-2083s)?_g=(refreshInterval:(display:Off,pause:!f,section:0,value:0),time:(from:'2017-08-22T05:19:30-0600',mode:absolute,to:'2017-08-22T07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197" t="str">
        <f>IF(AA166&lt;VLOOKUP(AG166,Variables!$AC$3:$AD$8,2,FALSE),"Y","N")</f>
        <v>N</v>
      </c>
      <c r="X166" s="197">
        <f t="shared" si="61"/>
        <v>1</v>
      </c>
      <c r="Y166" s="197">
        <f t="shared" si="62"/>
        <v>9.7199999999999995E-2</v>
      </c>
      <c r="Z166" s="197">
        <f t="shared" si="63"/>
        <v>5.8928000000000003</v>
      </c>
      <c r="AA166" s="197">
        <f t="shared" si="64"/>
        <v>5.7956000000000003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65"/>
        <v>803</v>
      </c>
      <c r="AE166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66" s="74" t="str">
        <f t="shared" si="67"/>
        <v>"C:\Program Files (x86)\AstroGrep\AstroGrep.exe" /e /r /s /spath="%USERPROFILE%\AppData\Local\Temp\OnboardLogs" /stypes="app*4030*20170822*" /stext=" 12:.+((SYSTEM_STATE.+slice.+state.+changed )|(ment ac)|(multiple cpu faults)|(system.+state.+changed )|(\[timeout)|(PRM\|1\|D)|(kpr)|(kdp)|(train st.+moving)|(\|lc)|(penalty))"</v>
      </c>
      <c r="AG166" s="209" t="str">
        <f t="shared" si="68"/>
        <v>NW</v>
      </c>
      <c r="AH166" s="78" t="str">
        <f t="shared" si="69"/>
        <v>"%USERPROFILE%\Documents\GitHub\eaglep3\Utilities\RefineRTDCRunTimes.py" --tripid 803-22 --locoid 4030 --swversion DE.1.0.9.0 --startMP 204:972 --initTime 2017-08-22T06:19:30 --startdatetime 2017-08-22T06:22:04 --delay 2 --endMP 300:58928 --enddatetime 2017-08-22T06:35:50 --enforcementcount 0 &gt;&gt;C:\Users\stu\Documents\GitHub\eaglep3-reporting\EC\2017-08-22-refined-times.txt</v>
      </c>
      <c r="AI166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{"issue":{"subject":"","project_id":79,"tracker_id":40,"status_id":1,"priority_id":2,"assigned_to_id":23,"start_date":"2017-08-22","description":"","custom_fields":[{"id":1,"name":"Subdivision","value":"NW"},{"id":4,"name":"Milepost","value":"5.8928"},{"id":17,"name":"Train ID","value":"803-22"},{"id":16,"name":"Locomotive ID","value":"4030"},{"id":130,"name":"Impact","value":""},{"id":150,"name":"Time of Event (Mountain Time)","value":"06:35:50"},{"id":151,"name":"Denver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71"/>
        <v>start /low /b %USERPROFILE%\Documents\GitHub\eaglep3\Utilities\DownloadLogsFromS3.py --loco 4030 --day 2017-08-22</v>
      </c>
      <c r="AN166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632</v>
      </c>
      <c r="B167" s="7">
        <v>4029</v>
      </c>
      <c r="C167" s="21" t="s">
        <v>198</v>
      </c>
      <c r="D167" s="21" t="s">
        <v>930</v>
      </c>
      <c r="E167" s="13">
        <v>42969.278645833336</v>
      </c>
      <c r="F167" s="13">
        <v>42969.280150462961</v>
      </c>
      <c r="G167" s="7">
        <v>1</v>
      </c>
      <c r="H167" s="21" t="s">
        <v>548</v>
      </c>
      <c r="I167" s="13">
        <v>42969.289976851855</v>
      </c>
      <c r="J167" s="7">
        <v>0</v>
      </c>
      <c r="K167" s="89" t="str">
        <f t="shared" si="55"/>
        <v>4029/4030</v>
      </c>
      <c r="L167" s="217" t="str">
        <f>VLOOKUP(A167,'Trips&amp;Operators'!$C$1:$G$99911,5,FALSE)</f>
        <v>LANGERAK WILLIAM</v>
      </c>
      <c r="M167" s="6">
        <f t="shared" si="56"/>
        <v>9.826388893998228E-3</v>
      </c>
      <c r="N167" s="7">
        <f t="shared" si="57"/>
        <v>14.150000007357448</v>
      </c>
      <c r="O167" s="7"/>
      <c r="P167" s="7"/>
      <c r="Q167" s="22"/>
      <c r="R167" s="170"/>
      <c r="S167" s="213">
        <f t="shared" si="58"/>
        <v>1</v>
      </c>
      <c r="T167" s="195" t="str">
        <f t="shared" si="59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0"/>
        <v>https://d0f6bd738d7f1b3e5a7ca70fe4ff75f0.us-east-1.aws.found.io/app/kibana#/discover/Steve-Slow-Train-Analysis-(2080s-and-2083s)?_g=(refreshInterval:(display:Off,pause:!f,section:0,value:0),time:(from:'2017-08-22T05:41:15-0600',mode:absolute,to:'2017-08-22T07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197" t="str">
        <f>IF(AA167&lt;VLOOKUP(AG167,Variables!$AC$3:$AD$8,2,FALSE),"Y","N")</f>
        <v>N</v>
      </c>
      <c r="X167" s="197">
        <f t="shared" si="61"/>
        <v>1</v>
      </c>
      <c r="Y167" s="197">
        <f t="shared" si="62"/>
        <v>5.8609</v>
      </c>
      <c r="Z167" s="197">
        <f t="shared" si="63"/>
        <v>7.0499999999999993E-2</v>
      </c>
      <c r="AA167" s="197">
        <f t="shared" si="64"/>
        <v>5.7904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65"/>
        <v>804</v>
      </c>
      <c r="AE167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67" s="74" t="str">
        <f t="shared" si="67"/>
        <v>"C:\Program Files (x86)\AstroGrep\AstroGrep.exe" /e /r /s /spath="%USERPROFILE%\AppData\Local\Temp\OnboardLogs" /stypes="app*4029*20170822*" /stext=" 12:.+((SYSTEM_STATE.+slice.+state.+changed )|(ment ac)|(multiple cpu faults)|(system.+state.+changed )|(\[timeout)|(PRM\|1\|D)|(kpr)|(kdp)|(train st.+moving)|(\|lc)|(penalty))"</v>
      </c>
      <c r="AG167" s="209" t="str">
        <f t="shared" si="68"/>
        <v>NW</v>
      </c>
      <c r="AH167" s="78" t="str">
        <f t="shared" si="69"/>
        <v>"%USERPROFILE%\Documents\GitHub\eaglep3\Utilities\RefineRTDCRunTimes.py" --tripid 804-22 --locoid 4029 --swversion DE.1.0.9.0 --startMP 300:58609 --initTime 2017-08-22T06:41:15 --startdatetime 2017-08-22T06:43:25 --delay 1 --endMP 204:705 --enddatetime 2017-08-22T06:57:34 --enforcementcount 0 &gt;&gt;C:\Users\stu\Documents\GitHub\eaglep3-reporting\EC\2017-08-22-refined-times.txt</v>
      </c>
      <c r="AI167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{"issue":{"subject":"","project_id":79,"tracker_id":40,"status_id":1,"priority_id":2,"assigned_to_id":23,"start_date":"2017-08-22","description":"","custom_fields":[{"id":1,"name":"Subdivision","value":"NW"},{"id":4,"name":"Milepost","value":"0.0705"},{"id":17,"name":"Train ID","value":"804-22"},{"id":16,"name":"Locomotive ID","value":"4029"},{"id":130,"name":"Impact","value":""},{"id":150,"name":"Time of Event (Mountain Time)","value":"06:57:34"},{"id":151,"name":"Denver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4029 --day 2017-08-22</v>
      </c>
      <c r="AN167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12:57:34"},{"id":29,"name":"Sharepoint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633</v>
      </c>
      <c r="B168" s="7">
        <v>4026</v>
      </c>
      <c r="C168" s="21" t="s">
        <v>198</v>
      </c>
      <c r="D168" s="21" t="s">
        <v>931</v>
      </c>
      <c r="E168" s="13">
        <v>42969.282777777778</v>
      </c>
      <c r="F168" s="13">
        <v>42969.285624999997</v>
      </c>
      <c r="G168" s="7">
        <v>1</v>
      </c>
      <c r="H168" s="21" t="s">
        <v>432</v>
      </c>
      <c r="I168" s="13">
        <v>42969.294814814813</v>
      </c>
      <c r="J168" s="7">
        <v>0</v>
      </c>
      <c r="K168" s="89" t="str">
        <f t="shared" si="55"/>
        <v>4025/4026</v>
      </c>
      <c r="L168" s="217" t="str">
        <f>VLOOKUP(A168,'Trips&amp;Operators'!$C$1:$G$99911,5,FALSE)</f>
        <v>HELVIE ADAM</v>
      </c>
      <c r="M168" s="6">
        <f t="shared" si="56"/>
        <v>9.189814816636499E-3</v>
      </c>
      <c r="N168" s="7">
        <f t="shared" si="57"/>
        <v>13.233333335956559</v>
      </c>
      <c r="O168" s="7"/>
      <c r="P168" s="7"/>
      <c r="Q168" s="22"/>
      <c r="R168" s="170"/>
      <c r="S168" s="213">
        <f t="shared" si="58"/>
        <v>1</v>
      </c>
      <c r="T168" s="195" t="str">
        <f t="shared" si="59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0"/>
        <v>https://d0f6bd738d7f1b3e5a7ca70fe4ff75f0.us-east-1.aws.found.io/app/kibana#/discover/Steve-Slow-Train-Analysis-(2080s-and-2083s)?_g=(refreshInterval:(display:Off,pause:!f,section:0,value:0),time:(from:'2017-08-22T05:47:12-0600',mode:absolute,to:'2017-08-22T08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197" t="str">
        <f>IF(AA168&lt;VLOOKUP(AG168,Variables!$AC$3:$AD$8,2,FALSE),"Y","N")</f>
        <v>N</v>
      </c>
      <c r="X168" s="197">
        <f t="shared" si="61"/>
        <v>1</v>
      </c>
      <c r="Y168" s="197">
        <f t="shared" si="62"/>
        <v>0.1041</v>
      </c>
      <c r="Z168" s="197">
        <f t="shared" si="63"/>
        <v>5.8929</v>
      </c>
      <c r="AA168" s="197">
        <f t="shared" si="64"/>
        <v>5.7888000000000002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65"/>
        <v>805</v>
      </c>
      <c r="AE168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168" s="74" t="str">
        <f t="shared" si="67"/>
        <v>"C:\Program Files (x86)\AstroGrep\AstroGrep.exe" /e /r /s /spath="%USERPROFILE%\AppData\Local\Temp\OnboardLogs" /stypes="app*4026*20170822*" /stext=" 13:.+((SYSTEM_STATE.+slice.+state.+changed )|(ment ac)|(multiple cpu faults)|(system.+state.+changed )|(\[timeout)|(PRM\|1\|D)|(kpr)|(kdp)|(train st.+moving)|(\|lc)|(penalty))"</v>
      </c>
      <c r="AG168" s="209" t="str">
        <f t="shared" si="68"/>
        <v>NW</v>
      </c>
      <c r="AH168" s="78" t="str">
        <f t="shared" si="69"/>
        <v>"%USERPROFILE%\Documents\GitHub\eaglep3\Utilities\RefineRTDCRunTimes.py" --tripid 805-22 --locoid 4026 --swversion DE.1.0.9.0 --startMP 204:1041 --initTime 2017-08-22T06:47:12 --startdatetime 2017-08-22T06:51:18 --delay 1 --endMP 300:58929 --enddatetime 2017-08-22T07:04:32 --enforcementcount 0 &gt;&gt;C:\Users\stu\Documents\GitHub\eaglep3-reporting\EC\2017-08-22-refined-times.txt</v>
      </c>
      <c r="AI168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{"issue":{"subject":"","project_id":79,"tracker_id":40,"status_id":1,"priority_id":2,"assigned_to_id":23,"start_date":"2017-08-22","description":"","custom_fields":[{"id":1,"name":"Subdivision","value":"NW"},{"id":4,"name":"Milepost","value":"5.8929"},{"id":17,"name":"Train ID","value":"805-22"},{"id":16,"name":"Locomotive ID","value":"4026"},{"id":130,"name":"Impact","value":""},{"id":150,"name":"Time of Event (Mountain Time)","value":"07:04:32"},{"id":151,"name":"Denver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4026 --day 2017-08-22</v>
      </c>
      <c r="AN168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636</v>
      </c>
      <c r="B169" s="7">
        <v>4025</v>
      </c>
      <c r="C169" s="21" t="s">
        <v>198</v>
      </c>
      <c r="D169" s="21" t="s">
        <v>536</v>
      </c>
      <c r="E169" s="13">
        <v>42969.296099537038</v>
      </c>
      <c r="F169" s="13">
        <v>42969.297488425924</v>
      </c>
      <c r="G169" s="7">
        <v>1</v>
      </c>
      <c r="H169" s="21" t="s">
        <v>932</v>
      </c>
      <c r="I169" s="13">
        <v>42969.308981481481</v>
      </c>
      <c r="J169" s="7">
        <v>0</v>
      </c>
      <c r="K169" s="89" t="str">
        <f t="shared" si="55"/>
        <v>4025/4026</v>
      </c>
      <c r="L169" s="217" t="str">
        <f>VLOOKUP(A169,'Trips&amp;Operators'!$C$1:$G$99911,5,FALSE)</f>
        <v>HELVIE ADAM</v>
      </c>
      <c r="M169" s="6">
        <f t="shared" si="56"/>
        <v>1.1493055557366461E-2</v>
      </c>
      <c r="N169" s="7">
        <f t="shared" si="57"/>
        <v>16.550000002607703</v>
      </c>
      <c r="O169" s="7"/>
      <c r="P169" s="7"/>
      <c r="Q169" s="22"/>
      <c r="R169" s="170"/>
      <c r="S169" s="213">
        <f t="shared" si="58"/>
        <v>1</v>
      </c>
      <c r="T169" s="195" t="str">
        <f t="shared" si="59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0"/>
        <v>https://d0f6bd738d7f1b3e5a7ca70fe4ff75f0.us-east-1.aws.found.io/app/kibana#/discover/Steve-Slow-Train-Analysis-(2080s-and-2083s)?_g=(refreshInterval:(display:Off,pause:!f,section:0,value:0),time:(from:'2017-08-22T06:06:23-0600',mode:absolute,to:'2017-08-22T08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97" t="str">
        <f>IF(AA169&lt;VLOOKUP(AG169,Variables!$AC$3:$AD$8,2,FALSE),"Y","N")</f>
        <v>N</v>
      </c>
      <c r="X169" s="197">
        <f t="shared" si="61"/>
        <v>1</v>
      </c>
      <c r="Y169" s="197">
        <f t="shared" si="62"/>
        <v>5.8616999999999999</v>
      </c>
      <c r="Z169" s="197">
        <f t="shared" si="63"/>
        <v>7.3999999999999996E-2</v>
      </c>
      <c r="AA169" s="197">
        <f t="shared" si="64"/>
        <v>5.7877000000000001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65"/>
        <v>806</v>
      </c>
      <c r="AE169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69" s="74" t="str">
        <f t="shared" si="67"/>
        <v>"C:\Program Files (x86)\AstroGrep\AstroGrep.exe" /e /r /s /spath="%USERPROFILE%\AppData\Local\Temp\OnboardLogs" /stypes="app*4025*20170822*" /stext=" 13:.+((SYSTEM_STATE.+slice.+state.+changed )|(ment ac)|(multiple cpu faults)|(system.+state.+changed )|(\[timeout)|(PRM\|1\|D)|(kpr)|(kdp)|(train st.+moving)|(\|lc)|(penalty))"</v>
      </c>
      <c r="AG169" s="209" t="str">
        <f t="shared" si="68"/>
        <v>NW</v>
      </c>
      <c r="AH169" s="78" t="str">
        <f t="shared" si="69"/>
        <v>"%USERPROFILE%\Documents\GitHub\eaglep3\Utilities\RefineRTDCRunTimes.py" --tripid 806-22 --locoid 4025 --swversion DE.1.0.9.0 --startMP 300:58617 --initTime 2017-08-22T07:06:23 --startdatetime 2017-08-22T07:08:23 --delay 1 --endMP 204:740 --enddatetime 2017-08-22T07:24:56 --enforcementcount 0 &gt;&gt;C:\Users\stu\Documents\GitHub\eaglep3-reporting\EC\2017-08-22-refined-times.txt</v>
      </c>
      <c r="AI169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{"issue":{"subject":"","project_id":79,"tracker_id":40,"status_id":1,"priority_id":2,"assigned_to_id":23,"start_date":"2017-08-22","description":"","custom_fields":[{"id":1,"name":"Subdivision","value":"NW"},{"id":4,"name":"Milepost","value":"0.074"},{"id":17,"name":"Train ID","value":"806-22"},{"id":16,"name":"Locomotive ID","value":"4025"},{"id":130,"name":"Impact","value":""},{"id":150,"name":"Time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4025 --day 2017-08-22</v>
      </c>
      <c r="AN169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638</v>
      </c>
      <c r="B170" s="7">
        <v>4030</v>
      </c>
      <c r="C170" s="21" t="s">
        <v>198</v>
      </c>
      <c r="D170" s="21" t="s">
        <v>542</v>
      </c>
      <c r="E170" s="13">
        <v>42969.303217592591</v>
      </c>
      <c r="F170" s="13">
        <v>42969.306446759256</v>
      </c>
      <c r="G170" s="7">
        <v>1</v>
      </c>
      <c r="H170" s="21" t="s">
        <v>541</v>
      </c>
      <c r="I170" s="13">
        <v>42969.315555555557</v>
      </c>
      <c r="J170" s="7">
        <v>0</v>
      </c>
      <c r="K170" s="89" t="str">
        <f t="shared" si="55"/>
        <v>4029/4030</v>
      </c>
      <c r="L170" s="217" t="str">
        <f>VLOOKUP(A170,'Trips&amp;Operators'!$C$1:$G$99911,5,FALSE)</f>
        <v>LANGERAK WILLIAM</v>
      </c>
      <c r="M170" s="6">
        <f t="shared" si="56"/>
        <v>9.1087963010068052E-3</v>
      </c>
      <c r="N170" s="7">
        <f t="shared" si="57"/>
        <v>13.116666673449799</v>
      </c>
      <c r="O170" s="7"/>
      <c r="P170" s="7"/>
      <c r="Q170" s="22"/>
      <c r="R170" s="170"/>
      <c r="S170" s="213">
        <f t="shared" si="58"/>
        <v>1</v>
      </c>
      <c r="T170" s="195" t="str">
        <f t="shared" si="59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0"/>
        <v>https://d0f6bd738d7f1b3e5a7ca70fe4ff75f0.us-east-1.aws.found.io/app/kibana#/discover/Steve-Slow-Train-Analysis-(2080s-and-2083s)?_g=(refreshInterval:(display:Off,pause:!f,section:0,value:0),time:(from:'2017-08-22T06:16:38-0600',mode:absolute,to:'2017-08-22T08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197" t="str">
        <f>IF(AA170&lt;VLOOKUP(AG170,Variables!$AC$3:$AD$8,2,FALSE),"Y","N")</f>
        <v>N</v>
      </c>
      <c r="X170" s="197">
        <f t="shared" si="61"/>
        <v>1</v>
      </c>
      <c r="Y170" s="197">
        <f t="shared" si="62"/>
        <v>9.8100000000000007E-2</v>
      </c>
      <c r="Z170" s="197">
        <f t="shared" si="63"/>
        <v>5.8924000000000003</v>
      </c>
      <c r="AA170" s="197">
        <f t="shared" si="64"/>
        <v>5.7943000000000007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65"/>
        <v>807</v>
      </c>
      <c r="AE170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70" s="74" t="str">
        <f t="shared" si="67"/>
        <v>"C:\Program Files (x86)\AstroGrep\AstroGrep.exe" /e /r /s /spath="%USERPROFILE%\AppData\Local\Temp\OnboardLogs" /stypes="app*4030*20170822*" /stext=" 13:.+((SYSTEM_STATE.+slice.+state.+changed )|(ment ac)|(multiple cpu faults)|(system.+state.+changed )|(\[timeout)|(PRM\|1\|D)|(kpr)|(kdp)|(train st.+moving)|(\|lc)|(penalty))"</v>
      </c>
      <c r="AG170" s="209" t="str">
        <f t="shared" si="68"/>
        <v>NW</v>
      </c>
      <c r="AH170" s="78" t="str">
        <f t="shared" si="69"/>
        <v>"%USERPROFILE%\Documents\GitHub\eaglep3\Utilities\RefineRTDCRunTimes.py" --tripid 807-22 --locoid 4030 --swversion DE.1.0.9.0 --startMP 204:981 --initTime 2017-08-22T07:16:38 --startdatetime 2017-08-22T07:21:17 --delay 1 --endMP 300:58924 --enddatetime 2017-08-22T07:34:24 --enforcementcount 0 &gt;&gt;C:\Users\stu\Documents\GitHub\eaglep3-reporting\EC\2017-08-22-refined-times.txt</v>
      </c>
      <c r="AI170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{"issue":{"subject":"","project_id":79,"tracker_id":40,"status_id":1,"priority_id":2,"assigned_to_id":23,"start_date":"2017-08-22","description":"","custom_fields":[{"id":1,"name":"Subdivision","value":"NW"},{"id":4,"name":"Milepost","value":"5.8924"},{"id":17,"name":"Train ID","value":"807-22"},{"id":16,"name":"Locomotive ID","value":"4030"},{"id":130,"name":"Impact","value":""},{"id":150,"name":"Time of Event (Mountain Time)","value":"07:34:24"},{"id":151,"name":"Denver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71"/>
        <v>start /low /b %USERPROFILE%\Documents\GitHub\eaglep3\Utilities\DownloadLogsFromS3.py --loco 4030 --day 2017-08-22</v>
      </c>
      <c r="AN170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640</v>
      </c>
      <c r="B171" s="7">
        <v>4029</v>
      </c>
      <c r="C171" s="21" t="s">
        <v>198</v>
      </c>
      <c r="D171" s="21" t="s">
        <v>540</v>
      </c>
      <c r="E171" s="13">
        <v>42969.316932870373</v>
      </c>
      <c r="F171" s="13">
        <v>42969.319432870368</v>
      </c>
      <c r="G171" s="7">
        <v>1</v>
      </c>
      <c r="H171" s="21" t="s">
        <v>933</v>
      </c>
      <c r="I171" s="13">
        <v>42969.329953703702</v>
      </c>
      <c r="J171" s="7">
        <v>0</v>
      </c>
      <c r="K171" s="89" t="str">
        <f t="shared" si="55"/>
        <v>4029/4030</v>
      </c>
      <c r="L171" s="217" t="str">
        <f>VLOOKUP(A171,'Trips&amp;Operators'!$C$1:$G$99911,5,FALSE)</f>
        <v>LANGERAK WILLIAM</v>
      </c>
      <c r="M171" s="6">
        <f t="shared" si="56"/>
        <v>1.0520833333430346E-2</v>
      </c>
      <c r="N171" s="7">
        <f t="shared" si="57"/>
        <v>15.150000000139698</v>
      </c>
      <c r="O171" s="7"/>
      <c r="P171" s="7"/>
      <c r="Q171" s="22"/>
      <c r="R171" s="170"/>
      <c r="S171" s="213">
        <f t="shared" si="58"/>
        <v>1</v>
      </c>
      <c r="T171" s="195" t="str">
        <f t="shared" si="59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0"/>
        <v>https://d0f6bd738d7f1b3e5a7ca70fe4ff75f0.us-east-1.aws.found.io/app/kibana#/discover/Steve-Slow-Train-Analysis-(2080s-and-2083s)?_g=(refreshInterval:(display:Off,pause:!f,section:0,value:0),time:(from:'2017-08-22T06:36:23-0600',mode:absolute,to:'2017-08-22T08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197" t="str">
        <f>IF(AA171&lt;VLOOKUP(AG171,Variables!$AC$3:$AD$8,2,FALSE),"Y","N")</f>
        <v>N</v>
      </c>
      <c r="X171" s="197">
        <f t="shared" si="61"/>
        <v>1</v>
      </c>
      <c r="Y171" s="197">
        <f t="shared" si="62"/>
        <v>5.8605999999999998</v>
      </c>
      <c r="Z171" s="197">
        <f t="shared" si="63"/>
        <v>6.7799999999999999E-2</v>
      </c>
      <c r="AA171" s="197">
        <f t="shared" si="64"/>
        <v>5.7927999999999997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65"/>
        <v>808</v>
      </c>
      <c r="AE171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71" s="74" t="str">
        <f t="shared" si="67"/>
        <v>"C:\Program Files (x86)\AstroGrep\AstroGrep.exe" /e /r /s /spath="%USERPROFILE%\AppData\Local\Temp\OnboardLogs" /stypes="app*4029*20170822*" /stext=" 13:.+((SYSTEM_STATE.+slice.+state.+changed )|(ment ac)|(multiple cpu faults)|(system.+state.+changed )|(\[timeout)|(PRM\|1\|D)|(kpr)|(kdp)|(train st.+moving)|(\|lc)|(penalty))"</v>
      </c>
      <c r="AG171" s="209" t="str">
        <f t="shared" si="68"/>
        <v>NW</v>
      </c>
      <c r="AH171" s="78" t="str">
        <f t="shared" si="69"/>
        <v>"%USERPROFILE%\Documents\GitHub\eaglep3\Utilities\RefineRTDCRunTimes.py" --tripid 808-22 --locoid 4029 --swversion DE.1.0.9.0 --startMP 300:58606 --initTime 2017-08-22T07:36:23 --startdatetime 2017-08-22T07:39:59 --delay 1 --endMP 204:678 --enddatetime 2017-08-22T07:55:08 --enforcementcount 0 &gt;&gt;C:\Users\stu\Documents\GitHub\eaglep3-reporting\EC\2017-08-22-refined-times.txt</v>
      </c>
      <c r="AI171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{"issue":{"subject":"","project_id":79,"tracker_id":40,"status_id":1,"priority_id":2,"assigned_to_id":23,"start_date":"2017-08-22","description":"","custom_fields":[{"id":1,"name":"Subdivision","value":"NW"},{"id":4,"name":"Milepost","value":"0.0678"},{"id":17,"name":"Train ID","value":"808-22"},{"id":16,"name":"Locomotive ID","value":"4029"},{"id":130,"name":"Impact","value":""},{"id":150,"name":"Time of Event (Mountain Time)","value":"07:55:08"},{"id":151,"name":"Denver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1"/>
        <v>start /low /b %USERPROFILE%\Documents\GitHub\eaglep3\Utilities\DownloadLogsFromS3.py --loco 4029 --day 2017-08-22</v>
      </c>
      <c r="AN171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562</v>
      </c>
      <c r="B172" s="7">
        <v>4026</v>
      </c>
      <c r="C172" s="21" t="s">
        <v>198</v>
      </c>
      <c r="D172" s="21" t="s">
        <v>549</v>
      </c>
      <c r="E172" s="13">
        <v>42969.323275462964</v>
      </c>
      <c r="F172" s="13">
        <v>42969.327384259261</v>
      </c>
      <c r="G172" s="7">
        <v>1</v>
      </c>
      <c r="H172" s="21" t="s">
        <v>532</v>
      </c>
      <c r="I172" s="13">
        <v>42969.337314814817</v>
      </c>
      <c r="J172" s="7">
        <v>0</v>
      </c>
      <c r="K172" s="89" t="str">
        <f t="shared" si="55"/>
        <v>4025/4026</v>
      </c>
      <c r="L172" s="217" t="str">
        <f>VLOOKUP(A172,'Trips&amp;Operators'!$C$1:$G$99911,5,FALSE)</f>
        <v>HELVIE ADAM</v>
      </c>
      <c r="M172" s="6">
        <f t="shared" si="56"/>
        <v>9.930555555911269E-3</v>
      </c>
      <c r="N172" s="7">
        <f t="shared" si="57"/>
        <v>14.300000000512227</v>
      </c>
      <c r="O172" s="7"/>
      <c r="P172" s="7"/>
      <c r="Q172" s="22"/>
      <c r="R172" s="170"/>
      <c r="S172" s="213">
        <f t="shared" si="58"/>
        <v>1</v>
      </c>
      <c r="T172" s="195" t="str">
        <f t="shared" si="59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0"/>
        <v>https://d0f6bd738d7f1b3e5a7ca70fe4ff75f0.us-east-1.aws.found.io/app/kibana#/discover/Steve-Slow-Train-Analysis-(2080s-and-2083s)?_g=(refreshInterval:(display:Off,pause:!f,section:0,value:0),time:(from:'2017-08-22T06:45:31-0600',mode:absolute,to:'2017-08-22T09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197" t="str">
        <f>IF(AA172&lt;VLOOKUP(AG172,Variables!$AC$3:$AD$8,2,FALSE),"Y","N")</f>
        <v>N</v>
      </c>
      <c r="X172" s="197">
        <f t="shared" si="61"/>
        <v>1</v>
      </c>
      <c r="Y172" s="197">
        <f t="shared" si="62"/>
        <v>0.10340000000000001</v>
      </c>
      <c r="Z172" s="197">
        <f t="shared" si="63"/>
        <v>5.8933</v>
      </c>
      <c r="AA172" s="197">
        <f t="shared" si="64"/>
        <v>5.7899000000000003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65"/>
        <v>809</v>
      </c>
      <c r="AE172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172" s="74" t="str">
        <f t="shared" si="67"/>
        <v>"C:\Program Files (x86)\AstroGrep\AstroGrep.exe" /e /r /s /spath="%USERPROFILE%\AppData\Local\Temp\OnboardLogs" /stypes="app*4026*20170822*" /stext=" 14:.+((SYSTEM_STATE.+slice.+state.+changed )|(ment ac)|(multiple cpu faults)|(system.+state.+changed )|(\[timeout)|(PRM\|1\|D)|(kpr)|(kdp)|(train st.+moving)|(\|lc)|(penalty))"</v>
      </c>
      <c r="AG172" s="209" t="str">
        <f t="shared" si="68"/>
        <v>NW</v>
      </c>
      <c r="AH172" s="78" t="str">
        <f t="shared" si="69"/>
        <v>"%USERPROFILE%\Documents\GitHub\eaglep3\Utilities\RefineRTDCRunTimes.py" --tripid 809-22 --locoid 4026 --swversion DE.1.0.9.0 --startMP 204:1034 --initTime 2017-08-22T07:45:31 --startdatetime 2017-08-22T07:51:26 --delay 1 --endMP 300:58933 --enddatetime 2017-08-22T08:05:44 --enforcementcount 0 &gt;&gt;C:\Users\stu\Documents\GitHub\eaglep3-reporting\EC\2017-08-22-refined-times.txt</v>
      </c>
      <c r="AI172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{"issue":{"subject":"","project_id":79,"tracker_id":40,"status_id":1,"priority_id":2,"assigned_to_id":23,"start_date":"2017-08-22","description":"","custom_fields":[{"id":1,"name":"Subdivision","value":"NW"},{"id":4,"name":"Milepost","value":"5.8933"},{"id":17,"name":"Train ID","value":"809-22"},{"id":16,"name":"Locomotive ID","value":"4026"},{"id":130,"name":"Impact","value":""},{"id":150,"name":"Time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1"/>
        <v>start /low /b %USERPROFILE%\Documents\GitHub\eaglep3\Utilities\DownloadLogsFromS3.py --loco 4026 --day 2017-08-22</v>
      </c>
      <c r="AN172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565</v>
      </c>
      <c r="B173" s="7">
        <v>4025</v>
      </c>
      <c r="C173" s="21" t="s">
        <v>198</v>
      </c>
      <c r="D173" s="21" t="s">
        <v>544</v>
      </c>
      <c r="E173" s="13">
        <v>42969.338321759256</v>
      </c>
      <c r="F173" s="13">
        <v>42969.340324074074</v>
      </c>
      <c r="G173" s="7">
        <v>1</v>
      </c>
      <c r="H173" s="21" t="s">
        <v>934</v>
      </c>
      <c r="I173" s="13">
        <v>42969.351504629631</v>
      </c>
      <c r="J173" s="7">
        <v>0</v>
      </c>
      <c r="K173" s="89" t="str">
        <f t="shared" si="55"/>
        <v>4025/4026</v>
      </c>
      <c r="L173" s="217" t="str">
        <f>VLOOKUP(A173,'Trips&amp;Operators'!$C$1:$G$99911,5,FALSE)</f>
        <v>HELVIE ADAM</v>
      </c>
      <c r="M173" s="6">
        <f t="shared" si="56"/>
        <v>1.1180555557075422E-2</v>
      </c>
      <c r="N173" s="7">
        <f t="shared" si="57"/>
        <v>16.100000002188608</v>
      </c>
      <c r="O173" s="7"/>
      <c r="P173" s="7"/>
      <c r="Q173" s="22"/>
      <c r="R173" s="170"/>
      <c r="S173" s="213">
        <f t="shared" si="58"/>
        <v>1</v>
      </c>
      <c r="T173" s="195" t="str">
        <f t="shared" si="59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0"/>
        <v>https://d0f6bd738d7f1b3e5a7ca70fe4ff75f0.us-east-1.aws.found.io/app/kibana#/discover/Steve-Slow-Train-Analysis-(2080s-and-2083s)?_g=(refreshInterval:(display:Off,pause:!f,section:0,value:0),time:(from:'2017-08-22T07:07:11-0600',mode:absolute,to:'2017-08-22T09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197" t="str">
        <f>IF(AA173&lt;VLOOKUP(AG173,Variables!$AC$3:$AD$8,2,FALSE),"Y","N")</f>
        <v>N</v>
      </c>
      <c r="X173" s="197">
        <f t="shared" si="61"/>
        <v>1</v>
      </c>
      <c r="Y173" s="197">
        <f t="shared" si="62"/>
        <v>5.8620999999999999</v>
      </c>
      <c r="Z173" s="197">
        <f t="shared" si="63"/>
        <v>7.7799999999999994E-2</v>
      </c>
      <c r="AA173" s="197">
        <f t="shared" si="64"/>
        <v>5.7843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65"/>
        <v>810</v>
      </c>
      <c r="AE173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73" s="74" t="str">
        <f t="shared" si="67"/>
        <v>"C:\Program Files (x86)\AstroGrep\AstroGrep.exe" /e /r /s /spath="%USERPROFILE%\AppData\Local\Temp\OnboardLogs" /stypes="app*4025*20170822*" /stext=" 14:.+((SYSTEM_STATE.+slice.+state.+changed )|(ment ac)|(multiple cpu faults)|(system.+state.+changed )|(\[timeout)|(PRM\|1\|D)|(kpr)|(kdp)|(train st.+moving)|(\|lc)|(penalty))"</v>
      </c>
      <c r="AG173" s="209" t="str">
        <f t="shared" si="68"/>
        <v>NW</v>
      </c>
      <c r="AH173" s="78" t="str">
        <f t="shared" si="69"/>
        <v>"%USERPROFILE%\Documents\GitHub\eaglep3\Utilities\RefineRTDCRunTimes.py" --tripid 810-22 --locoid 4025 --swversion DE.1.0.9.0 --startMP 300:58621 --initTime 2017-08-22T08:07:11 --startdatetime 2017-08-22T08:10:04 --delay 1 --endMP 204:778 --enddatetime 2017-08-22T08:26:10 --enforcementcount 0 &gt;&gt;C:\Users\stu\Documents\GitHub\eaglep3-reporting\EC\2017-08-22-refined-times.txt</v>
      </c>
      <c r="AI173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{"issue":{"subject":"","project_id":79,"tracker_id":40,"status_id":1,"priority_id":2,"assigned_to_id":23,"start_date":"2017-08-22","description":"","custom_fields":[{"id":1,"name":"Subdivision","value":"NW"},{"id":4,"name":"Milepost","value":"0.0778"},{"id":17,"name":"Train ID","value":"810-22"},{"id":16,"name":"Locomotive ID","value":"4025"},{"id":130,"name":"Impact","value":""},{"id":150,"name":"Time of Event (Mountain Time)","value":"08:26:10"},{"id":151,"name":"Denver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1"/>
        <v>start /low /b %USERPROFILE%\Documents\GitHub\eaglep3\Utilities\DownloadLogsFromS3.py --loco 4025 --day 2017-08-22</v>
      </c>
      <c r="AN173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645</v>
      </c>
      <c r="B174" s="7">
        <v>4030</v>
      </c>
      <c r="C174" s="21" t="s">
        <v>198</v>
      </c>
      <c r="D174" s="21" t="s">
        <v>935</v>
      </c>
      <c r="E174" s="13">
        <v>42969.343680555554</v>
      </c>
      <c r="F174" s="13">
        <v>42969.34815972222</v>
      </c>
      <c r="G174" s="7">
        <v>1</v>
      </c>
      <c r="H174" s="21" t="s">
        <v>538</v>
      </c>
      <c r="I174" s="13">
        <v>42969.357662037037</v>
      </c>
      <c r="J174" s="7">
        <v>0</v>
      </c>
      <c r="K174" s="89" t="str">
        <f t="shared" si="55"/>
        <v>4029/4030</v>
      </c>
      <c r="L174" s="217" t="str">
        <f>VLOOKUP(A174,'Trips&amp;Operators'!$C$1:$G$99911,5,FALSE)</f>
        <v>YANG JAN</v>
      </c>
      <c r="M174" s="6">
        <f t="shared" si="56"/>
        <v>9.5023148169275373E-3</v>
      </c>
      <c r="N174" s="7">
        <f t="shared" si="57"/>
        <v>13.683333336375654</v>
      </c>
      <c r="O174" s="7"/>
      <c r="P174" s="7"/>
      <c r="Q174" s="22"/>
      <c r="R174" s="170"/>
      <c r="S174" s="213">
        <f t="shared" si="58"/>
        <v>1</v>
      </c>
      <c r="T174" s="195" t="str">
        <f t="shared" si="59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0"/>
        <v>https://d0f6bd738d7f1b3e5a7ca70fe4ff75f0.us-east-1.aws.found.io/app/kibana#/discover/Steve-Slow-Train-Analysis-(2080s-and-2083s)?_g=(refreshInterval:(display:Off,pause:!f,section:0,value:0),time:(from:'2017-08-22T07:14:54-0600',mode:absolute,to:'2017-08-22T09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4" s="197" t="str">
        <f>IF(AA174&lt;VLOOKUP(AG174,Variables!$AC$3:$AD$8,2,FALSE),"Y","N")</f>
        <v>N</v>
      </c>
      <c r="X174" s="197">
        <f t="shared" si="61"/>
        <v>1</v>
      </c>
      <c r="Y174" s="197">
        <f t="shared" si="62"/>
        <v>9.8500000000000004E-2</v>
      </c>
      <c r="Z174" s="197">
        <f t="shared" si="63"/>
        <v>5.8928000000000003</v>
      </c>
      <c r="AA174" s="197">
        <f t="shared" si="64"/>
        <v>5.7943000000000007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65"/>
        <v>811</v>
      </c>
      <c r="AE174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74" s="74" t="str">
        <f t="shared" si="67"/>
        <v>"C:\Program Files (x86)\AstroGrep\AstroGrep.exe" /e /r /s /spath="%USERPROFILE%\AppData\Local\Temp\OnboardLogs" /stypes="app*4030*20170822*" /stext=" 14:.+((SYSTEM_STATE.+slice.+state.+changed )|(ment ac)|(multiple cpu faults)|(system.+state.+changed )|(\[timeout)|(PRM\|1\|D)|(kpr)|(kdp)|(train st.+moving)|(\|lc)|(penalty))"</v>
      </c>
      <c r="AG174" s="209" t="str">
        <f t="shared" si="68"/>
        <v>NW</v>
      </c>
      <c r="AH174" s="78" t="str">
        <f t="shared" si="69"/>
        <v>"%USERPROFILE%\Documents\GitHub\eaglep3\Utilities\RefineRTDCRunTimes.py" --tripid 811-22 --locoid 4030 --swversion DE.1.0.9.0 --startMP 204:985 --initTime 2017-08-22T08:14:54 --startdatetime 2017-08-22T08:21:21 --delay 1 --endMP 300:58928 --enddatetime 2017-08-22T08:35:02 --enforcementcount 0 &gt;&gt;C:\Users\stu\Documents\GitHub\eaglep3-reporting\EC\2017-08-22-refined-times.txt</v>
      </c>
      <c r="AI174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{"issue":{"subject":"","project_id":79,"tracker_id":40,"status_id":1,"priority_id":2,"assigned_to_id":23,"start_date":"2017-08-22","description":"","custom_fields":[{"id":1,"name":"Subdivision","value":"NW"},{"id":4,"name":"Milepost","value":"5.8928"},{"id":17,"name":"Train ID","value":"811-22"},{"id":16,"name":"Locomotive ID","value":"4030"},{"id":130,"name":"Impact","value":""},{"id":150,"name":"Time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1"/>
        <v>start /low /b %USERPROFILE%\Documents\GitHub\eaglep3\Utilities\DownloadLogsFromS3.py --loco 4030 --day 2017-08-22</v>
      </c>
      <c r="AN174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653</v>
      </c>
      <c r="B175" s="7">
        <v>4029</v>
      </c>
      <c r="C175" s="21" t="s">
        <v>198</v>
      </c>
      <c r="D175" s="21" t="s">
        <v>411</v>
      </c>
      <c r="E175" s="13">
        <v>42969.35900462963</v>
      </c>
      <c r="F175" s="13">
        <v>42969.361516203702</v>
      </c>
      <c r="G175" s="7">
        <v>1</v>
      </c>
      <c r="H175" s="21" t="s">
        <v>418</v>
      </c>
      <c r="I175" s="13">
        <v>42969.371446759258</v>
      </c>
      <c r="J175" s="7">
        <v>0</v>
      </c>
      <c r="K175" s="89" t="str">
        <f t="shared" si="55"/>
        <v>4029/4030</v>
      </c>
      <c r="L175" s="217" t="str">
        <f>VLOOKUP(A175,'Trips&amp;Operators'!$C$1:$G$99911,5,FALSE)</f>
        <v>YANG JAN</v>
      </c>
      <c r="M175" s="6">
        <f t="shared" si="56"/>
        <v>9.930555555911269E-3</v>
      </c>
      <c r="N175" s="7">
        <f t="shared" si="57"/>
        <v>14.300000000512227</v>
      </c>
      <c r="O175" s="7"/>
      <c r="P175" s="7"/>
      <c r="Q175" s="22"/>
      <c r="R175" s="170"/>
      <c r="S175" s="213">
        <f t="shared" si="58"/>
        <v>1</v>
      </c>
      <c r="T175" s="195" t="str">
        <f t="shared" si="59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0"/>
        <v>https://d0f6bd738d7f1b3e5a7ca70fe4ff75f0.us-east-1.aws.found.io/app/kibana#/discover/Steve-Slow-Train-Analysis-(2080s-and-2083s)?_g=(refreshInterval:(display:Off,pause:!f,section:0,value:0),time:(from:'2017-08-22T07:36:58-0600',mode:absolute,to:'2017-08-22T09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5" s="197" t="str">
        <f>IF(AA175&lt;VLOOKUP(AG175,Variables!$AC$3:$AD$8,2,FALSE),"Y","N")</f>
        <v>N</v>
      </c>
      <c r="X175" s="197">
        <f t="shared" si="61"/>
        <v>1</v>
      </c>
      <c r="Y175" s="197">
        <f t="shared" si="62"/>
        <v>5.8623000000000003</v>
      </c>
      <c r="Z175" s="197">
        <f t="shared" si="63"/>
        <v>6.8000000000000005E-2</v>
      </c>
      <c r="AA175" s="197">
        <f t="shared" si="64"/>
        <v>5.7943000000000007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65"/>
        <v>812</v>
      </c>
      <c r="AE175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75" s="74" t="str">
        <f t="shared" si="67"/>
        <v>"C:\Program Files (x86)\AstroGrep\AstroGrep.exe" /e /r /s /spath="%USERPROFILE%\AppData\Local\Temp\OnboardLogs" /stypes="app*4029*20170822*" /stext=" 14:.+((SYSTEM_STATE.+slice.+state.+changed )|(ment ac)|(multiple cpu faults)|(system.+state.+changed )|(\[timeout)|(PRM\|1\|D)|(kpr)|(kdp)|(train st.+moving)|(\|lc)|(penalty))"</v>
      </c>
      <c r="AG175" s="209" t="str">
        <f t="shared" si="68"/>
        <v>NW</v>
      </c>
      <c r="AH175" s="78" t="str">
        <f t="shared" si="69"/>
        <v>"%USERPROFILE%\Documents\GitHub\eaglep3\Utilities\RefineRTDCRunTimes.py" --tripid 812-22 --locoid 4029 --swversion DE.1.0.9.0 --startMP 300:58623 --initTime 2017-08-22T08:36:58 --startdatetime 2017-08-22T08:40:35 --delay 1 --endMP 204:680 --enddatetime 2017-08-22T08:54:53 --enforcementcount 0 &gt;&gt;C:\Users\stu\Documents\GitHub\eaglep3-reporting\EC\2017-08-22-refined-times.txt</v>
      </c>
      <c r="AI175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{"issue":{"subject":"","project_id":79,"tracker_id":40,"status_id":1,"priority_id":2,"assigned_to_id":23,"start_date":"2017-08-22","description":"","custom_fields":[{"id":1,"name":"Subdivision","value":"NW"},{"id":4,"name":"Milepost","value":"0.068"},{"id":17,"name":"Train ID","value":"812-22"},{"id":16,"name":"Locomotive ID","value":"4029"},{"id":130,"name":"Impact","value":""},{"id":150,"name":"Time of Event (Mountain Time)","value":"08:54:53"},{"id":151,"name":"Denver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1"/>
        <v>start /low /b %USERPROFILE%\Documents\GitHub\eaglep3\Utilities\DownloadLogsFromS3.py --loco 4029 --day 2017-08-22</v>
      </c>
      <c r="AN175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658</v>
      </c>
      <c r="B176" s="7">
        <v>4030</v>
      </c>
      <c r="C176" s="21" t="s">
        <v>198</v>
      </c>
      <c r="D176" s="21" t="s">
        <v>530</v>
      </c>
      <c r="E176" s="13">
        <v>42969.38726851852</v>
      </c>
      <c r="F176" s="13">
        <v>42969.390057870369</v>
      </c>
      <c r="G176" s="7">
        <v>1</v>
      </c>
      <c r="H176" s="21" t="s">
        <v>432</v>
      </c>
      <c r="I176" s="13">
        <v>42969.399606481478</v>
      </c>
      <c r="J176" s="7">
        <v>0</v>
      </c>
      <c r="K176" s="89" t="str">
        <f t="shared" si="55"/>
        <v>4029/4030</v>
      </c>
      <c r="L176" s="217" t="str">
        <f>VLOOKUP(A176,'Trips&amp;Operators'!$C$1:$G$99911,5,FALSE)</f>
        <v>YANG JAN</v>
      </c>
      <c r="M176" s="6">
        <f t="shared" si="56"/>
        <v>9.5486111094942316E-3</v>
      </c>
      <c r="N176" s="7">
        <f t="shared" si="57"/>
        <v>13.749999997671694</v>
      </c>
      <c r="O176" s="7"/>
      <c r="P176" s="7"/>
      <c r="Q176" s="22"/>
      <c r="R176" s="170"/>
      <c r="S176" s="213">
        <f t="shared" si="58"/>
        <v>1</v>
      </c>
      <c r="T176" s="195" t="str">
        <f t="shared" si="59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0"/>
        <v>https://d0f6bd738d7f1b3e5a7ca70fe4ff75f0.us-east-1.aws.found.io/app/kibana#/discover/Steve-Slow-Train-Analysis-(2080s-and-2083s)?_g=(refreshInterval:(display:Off,pause:!f,section:0,value:0),time:(from:'2017-08-22T08:17:40-0600',mode:absolute,to:'2017-08-22T10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6" s="197" t="str">
        <f>IF(AA176&lt;VLOOKUP(AG176,Variables!$AC$3:$AD$8,2,FALSE),"Y","N")</f>
        <v>N</v>
      </c>
      <c r="X176" s="197">
        <f t="shared" si="61"/>
        <v>1</v>
      </c>
      <c r="Y176" s="197">
        <f t="shared" si="62"/>
        <v>9.69E-2</v>
      </c>
      <c r="Z176" s="197">
        <f t="shared" si="63"/>
        <v>5.8929</v>
      </c>
      <c r="AA176" s="197">
        <f t="shared" si="64"/>
        <v>5.7960000000000003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65"/>
        <v>813</v>
      </c>
      <c r="AE176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76" s="74" t="str">
        <f t="shared" si="67"/>
        <v>"C:\Program Files (x86)\AstroGrep\AstroGrep.exe" /e /r /s /spath="%USERPROFILE%\AppData\Local\Temp\OnboardLogs" /stypes="app*4030*20170822*" /stext=" 15:.+((SYSTEM_STATE.+slice.+state.+changed )|(ment ac)|(multiple cpu faults)|(system.+state.+changed )|(\[timeout)|(PRM\|1\|D)|(kpr)|(kdp)|(train st.+moving)|(\|lc)|(penalty))"</v>
      </c>
      <c r="AG176" s="209" t="str">
        <f t="shared" si="68"/>
        <v>NW</v>
      </c>
      <c r="AH176" s="78" t="str">
        <f t="shared" si="69"/>
        <v>"%USERPROFILE%\Documents\GitHub\eaglep3\Utilities\RefineRTDCRunTimes.py" --tripid 813-22 --locoid 4030 --swversion DE.1.0.9.0 --startMP 204:969 --initTime 2017-08-22T09:17:40 --startdatetime 2017-08-22T09:21:41 --delay 1 --endMP 300:58929 --enddatetime 2017-08-22T09:35:26 --enforcementcount 0 &gt;&gt;C:\Users\stu\Documents\GitHub\eaglep3-reporting\EC\2017-08-22-refined-times.txt</v>
      </c>
      <c r="AI176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{"issue":{"subject":"","project_id":79,"tracker_id":40,"status_id":1,"priority_id":2,"assigned_to_id":23,"start_date":"2017-08-22","description":"","custom_fields":[{"id":1,"name":"Subdivision","value":"NW"},{"id":4,"name":"Milepost","value":"5.8929"},{"id":17,"name":"Train ID","value":"813-22"},{"id":16,"name":"Locomotive ID","value":"4030"},{"id":130,"name":"Impact","value":""},{"id":150,"name":"Time of Event (Mountain Time)","value":"09:35:26"},{"id":151,"name":"Denver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1"/>
        <v>start /low /b %USERPROFILE%\Documents\GitHub\eaglep3\Utilities\DownloadLogsFromS3.py --loco 4030 --day 2017-08-22</v>
      </c>
      <c r="AN176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662</v>
      </c>
      <c r="B177" s="7">
        <v>4029</v>
      </c>
      <c r="C177" s="21" t="s">
        <v>198</v>
      </c>
      <c r="D177" s="21" t="s">
        <v>536</v>
      </c>
      <c r="E177" s="13">
        <v>42969.40084490741</v>
      </c>
      <c r="F177" s="13">
        <v>42969.403067129628</v>
      </c>
      <c r="G177" s="7">
        <v>1</v>
      </c>
      <c r="H177" s="21" t="s">
        <v>936</v>
      </c>
      <c r="I177" s="13">
        <v>42969.413425925923</v>
      </c>
      <c r="J177" s="7">
        <v>0</v>
      </c>
      <c r="K177" s="89" t="str">
        <f t="shared" si="55"/>
        <v>4029/4030</v>
      </c>
      <c r="L177" s="217" t="str">
        <f>VLOOKUP(A177,'Trips&amp;Operators'!$C$1:$G$99911,5,FALSE)</f>
        <v>YANG JAN</v>
      </c>
      <c r="M177" s="6">
        <f t="shared" si="56"/>
        <v>1.0358796294895001E-2</v>
      </c>
      <c r="N177" s="7">
        <f t="shared" si="57"/>
        <v>14.916666664648801</v>
      </c>
      <c r="O177" s="7"/>
      <c r="P177" s="7"/>
      <c r="Q177" s="22"/>
      <c r="R177" s="170"/>
      <c r="S177" s="213">
        <f t="shared" si="58"/>
        <v>1</v>
      </c>
      <c r="T177" s="195" t="str">
        <f t="shared" si="59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0"/>
        <v>https://d0f6bd738d7f1b3e5a7ca70fe4ff75f0.us-east-1.aws.found.io/app/kibana#/discover/Steve-Slow-Train-Analysis-(2080s-and-2083s)?_g=(refreshInterval:(display:Off,pause:!f,section:0,value:0),time:(from:'2017-08-22T08:37:13-0600',mode:absolute,to:'2017-08-22T10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7" s="197" t="str">
        <f>IF(AA177&lt;VLOOKUP(AG177,Variables!$AC$3:$AD$8,2,FALSE),"Y","N")</f>
        <v>N</v>
      </c>
      <c r="X177" s="197">
        <f t="shared" si="61"/>
        <v>1</v>
      </c>
      <c r="Y177" s="197">
        <f t="shared" si="62"/>
        <v>5.8616999999999999</v>
      </c>
      <c r="Z177" s="197">
        <f t="shared" si="63"/>
        <v>6.6600000000000006E-2</v>
      </c>
      <c r="AA177" s="197">
        <f t="shared" si="64"/>
        <v>5.7950999999999997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65"/>
        <v>814</v>
      </c>
      <c r="AE177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77" s="74" t="str">
        <f t="shared" si="67"/>
        <v>"C:\Program Files (x86)\AstroGrep\AstroGrep.exe" /e /r /s /spath="%USERPROFILE%\AppData\Local\Temp\OnboardLogs" /stypes="app*4029*20170822*" /stext=" 15:.+((SYSTEM_STATE.+slice.+state.+changed )|(ment ac)|(multiple cpu faults)|(system.+state.+changed )|(\[timeout)|(PRM\|1\|D)|(kpr)|(kdp)|(train st.+moving)|(\|lc)|(penalty))"</v>
      </c>
      <c r="AG177" s="209" t="str">
        <f t="shared" si="68"/>
        <v>NW</v>
      </c>
      <c r="AH177" s="78" t="str">
        <f t="shared" si="69"/>
        <v>"%USERPROFILE%\Documents\GitHub\eaglep3\Utilities\RefineRTDCRunTimes.py" --tripid 814-22 --locoid 4029 --swversion DE.1.0.9.0 --startMP 300:58617 --initTime 2017-08-22T09:37:13 --startdatetime 2017-08-22T09:40:25 --delay 1 --endMP 204:666 --enddatetime 2017-08-22T09:55:20 --enforcementcount 0 &gt;&gt;C:\Users\stu\Documents\GitHub\eaglep3-reporting\EC\2017-08-22-refined-times.txt</v>
      </c>
      <c r="AI177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{"issue":{"subject":"","project_id":79,"tracker_id":40,"status_id":1,"priority_id":2,"assigned_to_id":23,"start_date":"2017-08-22","description":"","custom_fields":[{"id":1,"name":"Subdivision","value":"NW"},{"id":4,"name":"Milepost","value":"0.0666"},{"id":17,"name":"Train ID","value":"814-22"},{"id":16,"name":"Locomotive ID","value":"4029"},{"id":130,"name":"Impact","value":""},{"id":150,"name":"Time of Event (Mountain Time)","value":"09:55:20"},{"id":151,"name":"Denver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1"/>
        <v>start /low /b %USERPROFILE%\Documents\GitHub\eaglep3\Utilities\DownloadLogsFromS3.py --loco 4029 --day 2017-08-22</v>
      </c>
      <c r="AN177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15:55:20"},{"id":29,"name":"Sharepoint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668</v>
      </c>
      <c r="B178" s="7">
        <v>4030</v>
      </c>
      <c r="C178" s="21" t="s">
        <v>198</v>
      </c>
      <c r="D178" s="21" t="s">
        <v>937</v>
      </c>
      <c r="E178" s="13">
        <v>42969.426168981481</v>
      </c>
      <c r="F178" s="13">
        <v>42969.431446759256</v>
      </c>
      <c r="G178" s="7">
        <v>1</v>
      </c>
      <c r="H178" s="21" t="s">
        <v>538</v>
      </c>
      <c r="I178" s="13">
        <v>42969.440844907411</v>
      </c>
      <c r="J178" s="7">
        <v>0</v>
      </c>
      <c r="K178" s="89" t="str">
        <f t="shared" si="55"/>
        <v>4029/4030</v>
      </c>
      <c r="L178" s="217" t="str">
        <f>VLOOKUP(A178,'Trips&amp;Operators'!$C$1:$G$99911,5,FALSE)</f>
        <v>YANG JAN</v>
      </c>
      <c r="M178" s="6">
        <f t="shared" si="56"/>
        <v>9.3981481550144963E-3</v>
      </c>
      <c r="N178" s="7">
        <f t="shared" si="57"/>
        <v>13.533333343220875</v>
      </c>
      <c r="O178" s="7"/>
      <c r="P178" s="7"/>
      <c r="Q178" s="22"/>
      <c r="R178" s="170"/>
      <c r="S178" s="213">
        <f t="shared" si="58"/>
        <v>1</v>
      </c>
      <c r="T178" s="195" t="str">
        <f t="shared" si="59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0"/>
        <v>https://d0f6bd738d7f1b3e5a7ca70fe4ff75f0.us-east-1.aws.found.io/app/kibana#/discover/Steve-Slow-Train-Analysis-(2080s-and-2083s)?_g=(refreshInterval:(display:Off,pause:!f,section:0,value:0),time:(from:'2017-08-22T09:13:41-0600',mode:absolute,to:'2017-08-22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8" s="197" t="str">
        <f>IF(AA178&lt;VLOOKUP(AG178,Variables!$AC$3:$AD$8,2,FALSE),"Y","N")</f>
        <v>N</v>
      </c>
      <c r="X178" s="197">
        <f t="shared" si="61"/>
        <v>1</v>
      </c>
      <c r="Y178" s="197">
        <f t="shared" si="62"/>
        <v>9.7100000000000006E-2</v>
      </c>
      <c r="Z178" s="197">
        <f t="shared" si="63"/>
        <v>5.8928000000000003</v>
      </c>
      <c r="AA178" s="197">
        <f t="shared" si="64"/>
        <v>5.7957000000000001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65"/>
        <v>815</v>
      </c>
      <c r="AE178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78" s="74" t="str">
        <f t="shared" si="67"/>
        <v>"C:\Program Files (x86)\AstroGrep\AstroGrep.exe" /e /r /s /spath="%USERPROFILE%\AppData\Local\Temp\OnboardLogs" /stypes="app*4030*20170822*" /stext=" 16:.+((SYSTEM_STATE.+slice.+state.+changed )|(ment ac)|(multiple cpu faults)|(system.+state.+changed )|(\[timeout)|(PRM\|1\|D)|(kpr)|(kdp)|(train st.+moving)|(\|lc)|(penalty))"</v>
      </c>
      <c r="AG178" s="209" t="str">
        <f t="shared" si="68"/>
        <v>NW</v>
      </c>
      <c r="AH178" s="78" t="str">
        <f t="shared" si="69"/>
        <v>"%USERPROFILE%\Documents\GitHub\eaglep3\Utilities\RefineRTDCRunTimes.py" --tripid 815-22 --locoid 4030 --swversion DE.1.0.9.0 --startMP 204:971 --initTime 2017-08-22T10:13:41 --startdatetime 2017-08-22T10:21:17 --delay 1 --endMP 300:58928 --enddatetime 2017-08-22T10:34:49 --enforcementcount 0 &gt;&gt;C:\Users\stu\Documents\GitHub\eaglep3-reporting\EC\2017-08-22-refined-times.txt</v>
      </c>
      <c r="AI178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{"issue":{"subject":"","project_id":79,"tracker_id":40,"status_id":1,"priority_id":2,"assigned_to_id":23,"start_date":"2017-08-22","description":"","custom_fields":[{"id":1,"name":"Subdivision","value":"NW"},{"id":4,"name":"Milepost","value":"5.8928"},{"id":17,"name":"Train ID","value":"815-22"},{"id":16,"name":"Locomotive ID","value":"4030"},{"id":130,"name":"Impact","value":""},{"id":150,"name":"Time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1"/>
        <v>start /low /b %USERPROFILE%\Documents\GitHub\eaglep3\Utilities\DownloadLogsFromS3.py --loco 4030 --day 2017-08-22</v>
      </c>
      <c r="AN178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674</v>
      </c>
      <c r="B179" s="7">
        <v>4029</v>
      </c>
      <c r="C179" s="21" t="s">
        <v>198</v>
      </c>
      <c r="D179" s="21" t="s">
        <v>536</v>
      </c>
      <c r="E179" s="13">
        <v>42969.442141203705</v>
      </c>
      <c r="F179" s="13">
        <v>42969.444895833331</v>
      </c>
      <c r="G179" s="7">
        <v>1</v>
      </c>
      <c r="H179" s="21" t="s">
        <v>458</v>
      </c>
      <c r="I179" s="13">
        <v>42969.454884259256</v>
      </c>
      <c r="J179" s="7">
        <v>0</v>
      </c>
      <c r="K179" s="89" t="str">
        <f t="shared" si="55"/>
        <v>4029/4030</v>
      </c>
      <c r="L179" s="217" t="str">
        <f>VLOOKUP(A179,'Trips&amp;Operators'!$C$1:$G$99911,5,FALSE)</f>
        <v>YANG JAN</v>
      </c>
      <c r="M179" s="6">
        <f t="shared" si="56"/>
        <v>9.9884259252576157E-3</v>
      </c>
      <c r="N179" s="7">
        <f t="shared" si="57"/>
        <v>14.383333332370967</v>
      </c>
      <c r="O179" s="7"/>
      <c r="P179" s="7"/>
      <c r="Q179" s="22"/>
      <c r="R179" s="170"/>
      <c r="S179" s="213">
        <f t="shared" si="58"/>
        <v>1</v>
      </c>
      <c r="T179" s="195" t="str">
        <f t="shared" si="59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0"/>
        <v>https://d0f6bd738d7f1b3e5a7ca70fe4ff75f0.us-east-1.aws.found.io/app/kibana#/discover/Steve-Slow-Train-Analysis-(2080s-and-2083s)?_g=(refreshInterval:(display:Off,pause:!f,section:0,value:0),time:(from:'2017-08-22T09:36:41-0600',mode:absolute,to:'2017-08-22T11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9" s="197" t="str">
        <f>IF(AA179&lt;VLOOKUP(AG179,Variables!$AC$3:$AD$8,2,FALSE),"Y","N")</f>
        <v>N</v>
      </c>
      <c r="X179" s="197">
        <f t="shared" si="61"/>
        <v>1</v>
      </c>
      <c r="Y179" s="197">
        <f t="shared" si="62"/>
        <v>5.8616999999999999</v>
      </c>
      <c r="Z179" s="197">
        <f t="shared" si="63"/>
        <v>6.9800000000000001E-2</v>
      </c>
      <c r="AA179" s="197">
        <f t="shared" si="64"/>
        <v>5.7919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65"/>
        <v>816</v>
      </c>
      <c r="AE179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79" s="74" t="str">
        <f t="shared" si="67"/>
        <v>"C:\Program Files (x86)\AstroGrep\AstroGrep.exe" /e /r /s /spath="%USERPROFILE%\AppData\Local\Temp\OnboardLogs" /stypes="app*4029*20170822*" /stext=" 16:.+((SYSTEM_STATE.+slice.+state.+changed )|(ment ac)|(multiple cpu faults)|(system.+state.+changed )|(\[timeout)|(PRM\|1\|D)|(kpr)|(kdp)|(train st.+moving)|(\|lc)|(penalty))"</v>
      </c>
      <c r="AG179" s="209" t="str">
        <f t="shared" si="68"/>
        <v>NW</v>
      </c>
      <c r="AH179" s="78" t="str">
        <f t="shared" si="69"/>
        <v>"%USERPROFILE%\Documents\GitHub\eaglep3\Utilities\RefineRTDCRunTimes.py" --tripid 816-22 --locoid 4029 --swversion DE.1.0.9.0 --startMP 300:58617 --initTime 2017-08-22T10:36:41 --startdatetime 2017-08-22T10:40:39 --delay 1 --endMP 204:698 --enddatetime 2017-08-22T10:55:02 --enforcementcount 0 &gt;&gt;C:\Users\stu\Documents\GitHub\eaglep3-reporting\EC\2017-08-22-refined-times.txt</v>
      </c>
      <c r="AI179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{"issue":{"subject":"","project_id":79,"tracker_id":40,"status_id":1,"priority_id":2,"assigned_to_id":23,"start_date":"2017-08-22","description":"","custom_fields":[{"id":1,"name":"Subdivision","value":"NW"},{"id":4,"name":"Milepost","value":"0.0698"},{"id":17,"name":"Train ID","value":"816-22"},{"id":16,"name":"Locomotive ID","value":"4029"},{"id":130,"name":"Impact","value":""},{"id":150,"name":"Time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1"/>
        <v>start /low /b %USERPROFILE%\Documents\GitHub\eaglep3\Utilities\DownloadLogsFromS3.py --loco 4029 --day 2017-08-22</v>
      </c>
      <c r="AN179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16:55:02"},{"id":29,"name":"Sharepoint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678</v>
      </c>
      <c r="B180" s="7">
        <v>4030</v>
      </c>
      <c r="C180" s="21" t="s">
        <v>198</v>
      </c>
      <c r="D180" s="21" t="s">
        <v>460</v>
      </c>
      <c r="E180" s="13">
        <v>42969.468368055554</v>
      </c>
      <c r="F180" s="13">
        <v>42969.473414351851</v>
      </c>
      <c r="G180" s="7">
        <v>1</v>
      </c>
      <c r="H180" s="21" t="s">
        <v>457</v>
      </c>
      <c r="I180" s="13">
        <v>42969.48300925926</v>
      </c>
      <c r="J180" s="7">
        <v>0</v>
      </c>
      <c r="K180" s="89" t="str">
        <f t="shared" si="55"/>
        <v>4029/4030</v>
      </c>
      <c r="L180" s="217" t="str">
        <f>VLOOKUP(A180,'Trips&amp;Operators'!$C$1:$G$99911,5,FALSE)</f>
        <v>YANG JAN</v>
      </c>
      <c r="M180" s="6">
        <f t="shared" si="56"/>
        <v>9.5949074093368836E-3</v>
      </c>
      <c r="N180" s="7">
        <f t="shared" si="57"/>
        <v>13.816666669445112</v>
      </c>
      <c r="O180" s="7"/>
      <c r="P180" s="7"/>
      <c r="Q180" s="22"/>
      <c r="R180" s="170"/>
      <c r="S180" s="213">
        <f t="shared" si="58"/>
        <v>1</v>
      </c>
      <c r="T180" s="195" t="str">
        <f t="shared" si="59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0"/>
        <v>https://d0f6bd738d7f1b3e5a7ca70fe4ff75f0.us-east-1.aws.found.io/app/kibana#/discover/Steve-Slow-Train-Analysis-(2080s-and-2083s)?_g=(refreshInterval:(display:Off,pause:!f,section:0,value:0),time:(from:'2017-08-22T10:14:27-0600',mode:absolute,to:'2017-08-22T12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0" s="197" t="str">
        <f>IF(AA180&lt;VLOOKUP(AG180,Variables!$AC$3:$AD$8,2,FALSE),"Y","N")</f>
        <v>N</v>
      </c>
      <c r="X180" s="197">
        <f t="shared" si="61"/>
        <v>1</v>
      </c>
      <c r="Y180" s="197">
        <f t="shared" si="62"/>
        <v>9.6699999999999994E-2</v>
      </c>
      <c r="Z180" s="197">
        <f t="shared" si="63"/>
        <v>5.8930999999999996</v>
      </c>
      <c r="AA180" s="197">
        <f t="shared" si="64"/>
        <v>5.7963999999999993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65"/>
        <v>817</v>
      </c>
      <c r="AE180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80" s="74" t="str">
        <f t="shared" si="67"/>
        <v>"C:\Program Files (x86)\AstroGrep\AstroGrep.exe" /e /r /s /spath="%USERPROFILE%\AppData\Local\Temp\OnboardLogs" /stypes="app*4030*20170822*" /stext=" 17:.+((SYSTEM_STATE.+slice.+state.+changed )|(ment ac)|(multiple cpu faults)|(system.+state.+changed )|(\[timeout)|(PRM\|1\|D)|(kpr)|(kdp)|(train st.+moving)|(\|lc)|(penalty))"</v>
      </c>
      <c r="AG180" s="209" t="str">
        <f t="shared" si="68"/>
        <v>NW</v>
      </c>
      <c r="AH180" s="78" t="str">
        <f t="shared" si="69"/>
        <v>"%USERPROFILE%\Documents\GitHub\eaglep3\Utilities\RefineRTDCRunTimes.py" --tripid 817-22 --locoid 4030 --swversion DE.1.0.9.0 --startMP 204:967 --initTime 2017-08-22T11:14:27 --startdatetime 2017-08-22T11:21:43 --delay 1 --endMP 300:58931 --enddatetime 2017-08-22T11:35:32 --enforcementcount 0 &gt;&gt;C:\Users\stu\Documents\GitHub\eaglep3-reporting\EC\2017-08-22-refined-times.txt</v>
      </c>
      <c r="AI180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{"issue":{"subject":"","project_id":79,"tracker_id":40,"status_id":1,"priority_id":2,"assigned_to_id":23,"start_date":"2017-08-22","description":"","custom_fields":[{"id":1,"name":"Subdivision","value":"NW"},{"id":4,"name":"Milepost","value":"5.8931"},{"id":17,"name":"Train ID","value":"817-22"},{"id":16,"name":"Locomotive ID","value":"4030"},{"id":130,"name":"Impact","value":""},{"id":150,"name":"Time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1"/>
        <v>start /low /b %USERPROFILE%\Documents\GitHub\eaglep3\Utilities\DownloadLogsFromS3.py --loco 4030 --day 2017-08-22</v>
      </c>
      <c r="AN180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683</v>
      </c>
      <c r="B181" s="7">
        <v>4029</v>
      </c>
      <c r="C181" s="21" t="s">
        <v>198</v>
      </c>
      <c r="D181" s="21" t="s">
        <v>537</v>
      </c>
      <c r="E181" s="13">
        <v>42969.484293981484</v>
      </c>
      <c r="F181" s="13">
        <v>42969.486388888887</v>
      </c>
      <c r="G181" s="7">
        <v>0</v>
      </c>
      <c r="H181" s="21" t="s">
        <v>800</v>
      </c>
      <c r="I181" s="13">
        <v>42969.496423611112</v>
      </c>
      <c r="J181" s="7">
        <v>0</v>
      </c>
      <c r="K181" s="89" t="str">
        <f t="shared" si="55"/>
        <v>4029/4030</v>
      </c>
      <c r="L181" s="217" t="str">
        <f>VLOOKUP(A181,'Trips&amp;Operators'!$C$1:$G$99911,5,FALSE)</f>
        <v>YANG JAN</v>
      </c>
      <c r="M181" s="6">
        <f t="shared" si="56"/>
        <v>1.0034722225100268E-2</v>
      </c>
      <c r="N181" s="7">
        <f t="shared" si="57"/>
        <v>14.450000004144385</v>
      </c>
      <c r="O181" s="7"/>
      <c r="P181" s="7"/>
      <c r="Q181" s="22"/>
      <c r="R181" s="170"/>
      <c r="S181" s="213">
        <f t="shared" si="58"/>
        <v>1</v>
      </c>
      <c r="T181" s="195" t="str">
        <f t="shared" si="59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0"/>
        <v>https://d0f6bd738d7f1b3e5a7ca70fe4ff75f0.us-east-1.aws.found.io/app/kibana#/discover/Steve-Slow-Train-Analysis-(2080s-and-2083s)?_g=(refreshInterval:(display:Off,pause:!f,section:0,value:0),time:(from:'2017-08-22T10:37:23-0600',mode:absolute,to:'2017-08-22T12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1" s="197" t="str">
        <f>IF(AA181&lt;VLOOKUP(AG181,Variables!$AC$3:$AD$8,2,FALSE),"Y","N")</f>
        <v>N</v>
      </c>
      <c r="X181" s="197">
        <f t="shared" si="61"/>
        <v>1</v>
      </c>
      <c r="Y181" s="197">
        <f t="shared" si="62"/>
        <v>5.8615000000000004</v>
      </c>
      <c r="Z181" s="197">
        <f t="shared" si="63"/>
        <v>7.0099999999999996E-2</v>
      </c>
      <c r="AA181" s="197">
        <f t="shared" si="64"/>
        <v>5.7914000000000003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65"/>
        <v>818</v>
      </c>
      <c r="AE181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81" s="74" t="str">
        <f t="shared" si="67"/>
        <v>"C:\Program Files (x86)\AstroGrep\AstroGrep.exe" /e /r /s /spath="%USERPROFILE%\AppData\Local\Temp\OnboardLogs" /stypes="app*4029*20170822*" /stext=" 17:.+((SYSTEM_STATE.+slice.+state.+changed )|(ment ac)|(multiple cpu faults)|(system.+state.+changed )|(\[timeout)|(PRM\|1\|D)|(kpr)|(kdp)|(train st.+moving)|(\|lc)|(penalty))"</v>
      </c>
      <c r="AG181" s="209" t="str">
        <f t="shared" si="68"/>
        <v>NW</v>
      </c>
      <c r="AH181" s="78" t="str">
        <f t="shared" si="69"/>
        <v>"%USERPROFILE%\Documents\GitHub\eaglep3\Utilities\RefineRTDCRunTimes.py" --tripid 818-22 --locoid 4029 --swversion DE.1.0.9.0 --startMP 300:58615 --initTime 2017-08-22T11:37:23 --startdatetime 2017-08-22T11:40:24 --delay 0 --endMP 204:701 --enddatetime 2017-08-22T11:54:51 --enforcementcount 0 &gt;&gt;C:\Users\stu\Documents\GitHub\eaglep3-reporting\EC\2017-08-22-refined-times.txt</v>
      </c>
      <c r="AI181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{"issue":{"subject":"","project_id":79,"tracker_id":40,"status_id":1,"priority_id":2,"assigned_to_id":23,"start_date":"2017-08-22","description":"","custom_fields":[{"id":1,"name":"Subdivision","value":"NW"},{"id":4,"name":"Milepost","value":"0.0701"},{"id":17,"name":"Train ID","value":"818-22"},{"id":16,"name":"Locomotive ID","value":"4029"},{"id":130,"name":"Impact","value":""},{"id":150,"name":"Time of Event (Mountain Time)","value":"11:54:51"},{"id":151,"name":"Denver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1"/>
        <v>start /low /b %USERPROFILE%\Documents\GitHub\eaglep3\Utilities\DownloadLogsFromS3.py --loco 4029 --day 2017-08-22</v>
      </c>
      <c r="AN181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17:54:51"},{"id":29,"name":"Sharepoint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688</v>
      </c>
      <c r="B182" s="7">
        <v>4030</v>
      </c>
      <c r="C182" s="21" t="s">
        <v>198</v>
      </c>
      <c r="D182" s="21" t="s">
        <v>543</v>
      </c>
      <c r="E182" s="13">
        <v>42969.508275462962</v>
      </c>
      <c r="F182" s="13">
        <v>42969.51489583333</v>
      </c>
      <c r="G182" s="7">
        <v>4</v>
      </c>
      <c r="H182" s="21" t="s">
        <v>541</v>
      </c>
      <c r="I182" s="13">
        <v>42969.524976851855</v>
      </c>
      <c r="J182" s="7">
        <v>0</v>
      </c>
      <c r="K182" s="89" t="str">
        <f t="shared" si="55"/>
        <v>4029/4030</v>
      </c>
      <c r="L182" s="217" t="str">
        <f>VLOOKUP(A182,'Trips&amp;Operators'!$C$1:$G$99911,5,FALSE)</f>
        <v>LANGERAK WILLIAM</v>
      </c>
      <c r="M182" s="6">
        <f t="shared" si="56"/>
        <v>1.008101852494292E-2</v>
      </c>
      <c r="N182" s="7">
        <f t="shared" si="57"/>
        <v>14.516666675917804</v>
      </c>
      <c r="O182" s="7"/>
      <c r="P182" s="7"/>
      <c r="Q182" s="22"/>
      <c r="R182" s="170"/>
      <c r="S182" s="213">
        <f t="shared" si="58"/>
        <v>1</v>
      </c>
      <c r="T182" s="195" t="str">
        <f t="shared" si="59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0"/>
        <v>https://d0f6bd738d7f1b3e5a7ca70fe4ff75f0.us-east-1.aws.found.io/app/kibana#/discover/Steve-Slow-Train-Analysis-(2080s-and-2083s)?_g=(refreshInterval:(display:Off,pause:!f,section:0,value:0),time:(from:'2017-08-22T11:11:55-0600',mode:absolute,to:'2017-08-22T13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2" s="197" t="str">
        <f>IF(AA182&lt;VLOOKUP(AG182,Variables!$AC$3:$AD$8,2,FALSE),"Y","N")</f>
        <v>N</v>
      </c>
      <c r="X182" s="197">
        <f t="shared" si="61"/>
        <v>1</v>
      </c>
      <c r="Y182" s="197">
        <f t="shared" si="62"/>
        <v>9.7600000000000006E-2</v>
      </c>
      <c r="Z182" s="197">
        <f t="shared" si="63"/>
        <v>5.8924000000000003</v>
      </c>
      <c r="AA182" s="197">
        <f t="shared" si="64"/>
        <v>5.7948000000000004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65"/>
        <v>819</v>
      </c>
      <c r="AE182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82" s="74" t="str">
        <f t="shared" si="67"/>
        <v>"C:\Program Files (x86)\AstroGrep\AstroGrep.exe" /e /r /s /spath="%USERPROFILE%\AppData\Local\Temp\OnboardLogs" /stypes="app*4030*20170822*" /stext=" 18:.+((SYSTEM_STATE.+slice.+state.+changed )|(ment ac)|(multiple cpu faults)|(system.+state.+changed )|(\[timeout)|(PRM\|1\|D)|(kpr)|(kdp)|(train st.+moving)|(\|lc)|(penalty))"</v>
      </c>
      <c r="AG182" s="209" t="str">
        <f t="shared" si="68"/>
        <v>NW</v>
      </c>
      <c r="AH182" s="78" t="str">
        <f t="shared" si="69"/>
        <v>"%USERPROFILE%\Documents\GitHub\eaglep3\Utilities\RefineRTDCRunTimes.py" --tripid 819-22 --locoid 4030 --swversion DE.1.0.9.0 --startMP 204:976 --initTime 2017-08-22T12:11:55 --startdatetime 2017-08-22T12:21:27 --delay 4 --endMP 300:58924 --enddatetime 2017-08-22T12:35:58 --enforcementcount 0 &gt;&gt;C:\Users\stu\Documents\GitHub\eaglep3-reporting\EC\2017-08-22-refined-times.txt</v>
      </c>
      <c r="AI182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{"issue":{"subject":"","project_id":79,"tracker_id":40,"status_id":1,"priority_id":2,"assigned_to_id":23,"start_date":"2017-08-22","description":"","custom_fields":[{"id":1,"name":"Subdivision","value":"NW"},{"id":4,"name":"Milepost","value":"5.8924"},{"id":17,"name":"Train ID","value":"819-22"},{"id":16,"name":"Locomotive ID","value":"4030"},{"id":130,"name":"Impact","value":""},{"id":150,"name":"Time of Event (Mountain Time)","value":"12:35:58"},{"id":151,"name":"Denver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1"/>
        <v>start /low /b %USERPROFILE%\Documents\GitHub\eaglep3\Utilities\DownloadLogsFromS3.py --loco 4030 --day 2017-08-22</v>
      </c>
      <c r="AN182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690</v>
      </c>
      <c r="B183" s="7">
        <v>4029</v>
      </c>
      <c r="C183" s="21" t="s">
        <v>198</v>
      </c>
      <c r="D183" s="21" t="s">
        <v>539</v>
      </c>
      <c r="E183" s="13">
        <v>42969.526192129626</v>
      </c>
      <c r="F183" s="13">
        <v>42969.528900462959</v>
      </c>
      <c r="G183" s="7">
        <v>1</v>
      </c>
      <c r="H183" s="21" t="s">
        <v>458</v>
      </c>
      <c r="I183" s="13">
        <v>42969.538657407407</v>
      </c>
      <c r="J183" s="7">
        <v>0</v>
      </c>
      <c r="K183" s="89" t="str">
        <f t="shared" si="55"/>
        <v>4029/4030</v>
      </c>
      <c r="L183" s="217" t="str">
        <f>VLOOKUP(A183,'Trips&amp;Operators'!$C$1:$G$99911,5,FALSE)</f>
        <v>LANGERAK WILLIAM</v>
      </c>
      <c r="M183" s="6">
        <f t="shared" si="56"/>
        <v>9.7569444478722289E-3</v>
      </c>
      <c r="N183" s="7">
        <f t="shared" si="57"/>
        <v>14.05000000493601</v>
      </c>
      <c r="O183" s="7"/>
      <c r="P183" s="7"/>
      <c r="Q183" s="22"/>
      <c r="R183" s="170"/>
      <c r="S183" s="213">
        <f t="shared" si="58"/>
        <v>1</v>
      </c>
      <c r="T183" s="195" t="str">
        <f t="shared" si="59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0"/>
        <v>https://d0f6bd738d7f1b3e5a7ca70fe4ff75f0.us-east-1.aws.found.io/app/kibana#/discover/Steve-Slow-Train-Analysis-(2080s-and-2083s)?_g=(refreshInterval:(display:Off,pause:!f,section:0,value:0),time:(from:'2017-08-22T11:37:43-0600',mode:absolute,to:'2017-08-22T13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3" s="197" t="str">
        <f>IF(AA183&lt;VLOOKUP(AG183,Variables!$AC$3:$AD$8,2,FALSE),"Y","N")</f>
        <v>N</v>
      </c>
      <c r="X183" s="197">
        <f t="shared" si="61"/>
        <v>1</v>
      </c>
      <c r="Y183" s="197">
        <f t="shared" si="62"/>
        <v>5.8604000000000003</v>
      </c>
      <c r="Z183" s="197">
        <f t="shared" si="63"/>
        <v>6.9800000000000001E-2</v>
      </c>
      <c r="AA183" s="197">
        <f t="shared" si="64"/>
        <v>5.7906000000000004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65"/>
        <v>820</v>
      </c>
      <c r="AE183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83" s="74" t="str">
        <f t="shared" si="67"/>
        <v>"C:\Program Files (x86)\AstroGrep\AstroGrep.exe" /e /r /s /spath="%USERPROFILE%\AppData\Local\Temp\OnboardLogs" /stypes="app*4029*20170822*" /stext=" 18:.+((SYSTEM_STATE.+slice.+state.+changed )|(ment ac)|(multiple cpu faults)|(system.+state.+changed )|(\[timeout)|(PRM\|1\|D)|(kpr)|(kdp)|(train st.+moving)|(\|lc)|(penalty))"</v>
      </c>
      <c r="AG183" s="209" t="str">
        <f t="shared" si="68"/>
        <v>NW</v>
      </c>
      <c r="AH183" s="78" t="str">
        <f t="shared" si="69"/>
        <v>"%USERPROFILE%\Documents\GitHub\eaglep3\Utilities\RefineRTDCRunTimes.py" --tripid 820-22 --locoid 4029 --swversion DE.1.0.9.0 --startMP 300:58604 --initTime 2017-08-22T12:37:43 --startdatetime 2017-08-22T12:41:37 --delay 1 --endMP 204:698 --enddatetime 2017-08-22T12:55:40 --enforcementcount 0 &gt;&gt;C:\Users\stu\Documents\GitHub\eaglep3-reporting\EC\2017-08-22-refined-times.txt</v>
      </c>
      <c r="AI183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{"issue":{"subject":"","project_id":79,"tracker_id":40,"status_id":1,"priority_id":2,"assigned_to_id":23,"start_date":"2017-08-22","description":"","custom_fields":[{"id":1,"name":"Subdivision","value":"NW"},{"id":4,"name":"Milepost","value":"0.0698"},{"id":17,"name":"Train ID","value":"820-22"},{"id":16,"name":"Locomotive ID","value":"4029"},{"id":130,"name":"Impact","value":""},{"id":150,"name":"Time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1"/>
        <v>start /low /b %USERPROFILE%\Documents\GitHub\eaglep3\Utilities\DownloadLogsFromS3.py --loco 4029 --day 2017-08-22</v>
      </c>
      <c r="AN183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698</v>
      </c>
      <c r="B184" s="7">
        <v>4030</v>
      </c>
      <c r="C184" s="21" t="s">
        <v>198</v>
      </c>
      <c r="D184" s="21" t="s">
        <v>533</v>
      </c>
      <c r="E184" s="13">
        <v>42969.552025462966</v>
      </c>
      <c r="F184" s="13">
        <v>42969.556759259256</v>
      </c>
      <c r="G184" s="7">
        <v>3</v>
      </c>
      <c r="H184" s="21" t="s">
        <v>938</v>
      </c>
      <c r="I184" s="13">
        <v>42969.566724537035</v>
      </c>
      <c r="J184" s="7">
        <v>0</v>
      </c>
      <c r="K184" s="89" t="str">
        <f t="shared" si="55"/>
        <v>4029/4030</v>
      </c>
      <c r="L184" s="217" t="str">
        <f>VLOOKUP(A184,'Trips&amp;Operators'!$C$1:$G$99911,5,FALSE)</f>
        <v>BRUDER RICHARD</v>
      </c>
      <c r="M184" s="6">
        <f t="shared" si="56"/>
        <v>9.9652777789742686E-3</v>
      </c>
      <c r="N184" s="7">
        <f t="shared" si="57"/>
        <v>14.350000001722947</v>
      </c>
      <c r="O184" s="7"/>
      <c r="P184" s="7"/>
      <c r="Q184" s="22"/>
      <c r="R184" s="170"/>
      <c r="S184" s="213">
        <f t="shared" si="58"/>
        <v>1</v>
      </c>
      <c r="T184" s="195" t="str">
        <f t="shared" si="59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0"/>
        <v>https://d0f6bd738d7f1b3e5a7ca70fe4ff75f0.us-east-1.aws.found.io/app/kibana#/discover/Steve-Slow-Train-Analysis-(2080s-and-2083s)?_g=(refreshInterval:(display:Off,pause:!f,section:0,value:0),time:(from:'2017-08-22T12:14:55-0600',mode:absolute,to:'2017-08-22T14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4" s="197" t="str">
        <f>IF(AA184&lt;VLOOKUP(AG184,Variables!$AC$3:$AD$8,2,FALSE),"Y","N")</f>
        <v>N</v>
      </c>
      <c r="X184" s="197">
        <f t="shared" si="61"/>
        <v>1</v>
      </c>
      <c r="Y184" s="197">
        <f t="shared" si="62"/>
        <v>9.8299999999999998E-2</v>
      </c>
      <c r="Z184" s="197">
        <f t="shared" si="63"/>
        <v>5.8949999999999996</v>
      </c>
      <c r="AA184" s="197">
        <f t="shared" si="64"/>
        <v>5.7966999999999995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65"/>
        <v>821</v>
      </c>
      <c r="AE184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84" s="74" t="str">
        <f t="shared" si="67"/>
        <v>"C:\Program Files (x86)\AstroGrep\AstroGrep.exe" /e /r /s /spath="%USERPROFILE%\AppData\Local\Temp\OnboardLogs" /stypes="app*4030*20170822*" /stext=" 19:.+((SYSTEM_STATE.+slice.+state.+changed )|(ment ac)|(multiple cpu faults)|(system.+state.+changed )|(\[timeout)|(PRM\|1\|D)|(kpr)|(kdp)|(train st.+moving)|(\|lc)|(penalty))"</v>
      </c>
      <c r="AG184" s="209" t="str">
        <f t="shared" si="68"/>
        <v>NW</v>
      </c>
      <c r="AH184" s="78" t="str">
        <f t="shared" si="69"/>
        <v>"%USERPROFILE%\Documents\GitHub\eaglep3\Utilities\RefineRTDCRunTimes.py" --tripid 821-22 --locoid 4030 --swversion DE.1.0.9.0 --startMP 204:983 --initTime 2017-08-22T13:14:55 --startdatetime 2017-08-22T13:21:44 --delay 3 --endMP 300:58950 --enddatetime 2017-08-22T13:36:05 --enforcementcount 0 &gt;&gt;C:\Users\stu\Documents\GitHub\eaglep3-reporting\EC\2017-08-22-refined-times.txt</v>
      </c>
      <c r="AI184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{"issue":{"subject":"","project_id":79,"tracker_id":40,"status_id":1,"priority_id":2,"assigned_to_id":23,"start_date":"2017-08-22","description":"","custom_fields":[{"id":1,"name":"Subdivision","value":"NW"},{"id":4,"name":"Milepost","value":"5.895"},{"id":17,"name":"Train ID","value":"821-22"},{"id":16,"name":"Locomotive ID","value":"4030"},{"id":130,"name":"Impact","value":""},{"id":150,"name":"Time of Event (Mountain Time)","value":"13:36:05"},{"id":151,"name":"Denver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1"/>
        <v>start /low /b %USERPROFILE%\Documents\GitHub\eaglep3\Utilities\DownloadLogsFromS3.py --loco 4030 --day 2017-08-22</v>
      </c>
      <c r="AN184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700</v>
      </c>
      <c r="B185" s="7">
        <v>4029</v>
      </c>
      <c r="C185" s="21" t="s">
        <v>198</v>
      </c>
      <c r="D185" s="21" t="s">
        <v>939</v>
      </c>
      <c r="E185" s="13">
        <v>42969.567928240744</v>
      </c>
      <c r="F185" s="13">
        <v>42969.569907407407</v>
      </c>
      <c r="G185" s="7">
        <v>1</v>
      </c>
      <c r="H185" s="21" t="s">
        <v>940</v>
      </c>
      <c r="I185" s="13">
        <v>42969.579722222225</v>
      </c>
      <c r="J185" s="7">
        <v>0</v>
      </c>
      <c r="K185" s="89" t="str">
        <f t="shared" si="55"/>
        <v>4029/4030</v>
      </c>
      <c r="L185" s="217" t="str">
        <f>VLOOKUP(A185,'Trips&amp;Operators'!$C$1:$G$99911,5,FALSE)</f>
        <v>BRUDER RICHARD</v>
      </c>
      <c r="M185" s="6">
        <f t="shared" si="56"/>
        <v>9.8148148172185756E-3</v>
      </c>
      <c r="N185" s="7">
        <f t="shared" si="57"/>
        <v>14.133333336794749</v>
      </c>
      <c r="O185" s="7"/>
      <c r="P185" s="7"/>
      <c r="Q185" s="22"/>
      <c r="R185" s="170"/>
      <c r="S185" s="213">
        <f t="shared" si="58"/>
        <v>1</v>
      </c>
      <c r="T185" s="195" t="str">
        <f t="shared" si="59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0"/>
        <v>https://d0f6bd738d7f1b3e5a7ca70fe4ff75f0.us-east-1.aws.found.io/app/kibana#/discover/Steve-Slow-Train-Analysis-(2080s-and-2083s)?_g=(refreshInterval:(display:Off,pause:!f,section:0,value:0),time:(from:'2017-08-22T12:37:49-0600',mode:absolute,to:'2017-08-22T14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5" s="197" t="str">
        <f>IF(AA185&lt;VLOOKUP(AG185,Variables!$AC$3:$AD$8,2,FALSE),"Y","N")</f>
        <v>N</v>
      </c>
      <c r="X185" s="197">
        <f t="shared" si="61"/>
        <v>1</v>
      </c>
      <c r="Y185" s="197">
        <f t="shared" si="62"/>
        <v>5.8638000000000003</v>
      </c>
      <c r="Z185" s="197">
        <f t="shared" si="63"/>
        <v>7.1499999999999994E-2</v>
      </c>
      <c r="AA185" s="197">
        <f t="shared" si="64"/>
        <v>5.7923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65"/>
        <v>822</v>
      </c>
      <c r="AE185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85" s="74" t="str">
        <f t="shared" si="67"/>
        <v>"C:\Program Files (x86)\AstroGrep\AstroGrep.exe" /e /r /s /spath="%USERPROFILE%\AppData\Local\Temp\OnboardLogs" /stypes="app*4029*20170822*" /stext=" 19:.+((SYSTEM_STATE.+slice.+state.+changed )|(ment ac)|(multiple cpu faults)|(system.+state.+changed )|(\[timeout)|(PRM\|1\|D)|(kpr)|(kdp)|(train st.+moving)|(\|lc)|(penalty))"</v>
      </c>
      <c r="AG185" s="209" t="str">
        <f t="shared" si="68"/>
        <v>NW</v>
      </c>
      <c r="AH185" s="78" t="str">
        <f t="shared" si="69"/>
        <v>"%USERPROFILE%\Documents\GitHub\eaglep3\Utilities\RefineRTDCRunTimes.py" --tripid 822-22 --locoid 4029 --swversion DE.1.0.9.0 --startMP 300:58638 --initTime 2017-08-22T13:37:49 --startdatetime 2017-08-22T13:40:40 --delay 1 --endMP 204:715 --enddatetime 2017-08-22T13:54:48 --enforcementcount 0 &gt;&gt;C:\Users\stu\Documents\GitHub\eaglep3-reporting\EC\2017-08-22-refined-times.txt</v>
      </c>
      <c r="AI185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{"issue":{"subject":"","project_id":79,"tracker_id":40,"status_id":1,"priority_id":2,"assigned_to_id":23,"start_date":"2017-08-22","description":"","custom_fields":[{"id":1,"name":"Subdivision","value":"NW"},{"id":4,"name":"Milepost","value":"0.0715"},{"id":17,"name":"Train ID","value":"822-22"},{"id":16,"name":"Locomotive ID","value":"4029"},{"id":130,"name":"Impact","value":""},{"id":150,"name":"Time of Event (Mountain Time)","value":"13:54:48"},{"id":151,"name":"Denver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1"/>
        <v>start /low /b %USERPROFILE%\Documents\GitHub\eaglep3\Utilities\DownloadLogsFromS3.py --loco 4029 --day 2017-08-22</v>
      </c>
      <c r="AN185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19:54:48"},{"id":29,"name":"Sharepoint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580</v>
      </c>
      <c r="B186" s="7">
        <v>4030</v>
      </c>
      <c r="C186" s="21" t="s">
        <v>198</v>
      </c>
      <c r="D186" s="21" t="s">
        <v>941</v>
      </c>
      <c r="E186" s="13">
        <v>42969.59447916667</v>
      </c>
      <c r="F186" s="13">
        <v>42969.60087962963</v>
      </c>
      <c r="G186" s="7">
        <v>9</v>
      </c>
      <c r="H186" s="21" t="s">
        <v>456</v>
      </c>
      <c r="I186" s="13">
        <v>42969.608912037038</v>
      </c>
      <c r="J186" s="7">
        <v>0</v>
      </c>
      <c r="K186" s="89" t="str">
        <f t="shared" si="55"/>
        <v>4029/4030</v>
      </c>
      <c r="L186" s="217" t="str">
        <f>VLOOKUP(A186,'Trips&amp;Operators'!$C$1:$G$99911,5,FALSE)</f>
        <v>BRUDER RICHARD</v>
      </c>
      <c r="M186" s="6">
        <f t="shared" si="56"/>
        <v>8.0324074078816921E-3</v>
      </c>
      <c r="N186" s="7">
        <f t="shared" si="57"/>
        <v>11.566666667349637</v>
      </c>
      <c r="O186" s="7"/>
      <c r="P186" s="7"/>
      <c r="Q186" s="22"/>
      <c r="R186" s="170" t="s">
        <v>1001</v>
      </c>
      <c r="S186" s="213">
        <f t="shared" si="58"/>
        <v>1</v>
      </c>
      <c r="T186" s="195" t="str">
        <f t="shared" si="59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0"/>
        <v>https://d0f6bd738d7f1b3e5a7ca70fe4ff75f0.us-east-1.aws.found.io/app/kibana#/discover/Steve-Slow-Train-Analysis-(2080s-and-2083s)?_g=(refreshInterval:(display:Off,pause:!f,section:0,value:0),time:(from:'2017-08-22T13:16:03-0600',mode:absolute,to:'2017-08-22T15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97" t="str">
        <f>IF(AA186&lt;VLOOKUP(AG186,Variables!$AC$3:$AD$8,2,FALSE),"Y","N")</f>
        <v>Y</v>
      </c>
      <c r="X186" s="197">
        <f t="shared" si="61"/>
        <v>1</v>
      </c>
      <c r="Y186" s="197">
        <f t="shared" si="62"/>
        <v>0.80740000000000001</v>
      </c>
      <c r="Z186" s="197">
        <f t="shared" si="63"/>
        <v>5.8936999999999999</v>
      </c>
      <c r="AA186" s="197">
        <f t="shared" si="64"/>
        <v>5.0862999999999996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65"/>
        <v>823</v>
      </c>
      <c r="AE186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86" s="74" t="str">
        <f t="shared" si="67"/>
        <v>"C:\Program Files (x86)\AstroGrep\AstroGrep.exe" /e /r /s /spath="%USERPROFILE%\AppData\Local\Temp\OnboardLogs" /stypes="app*4030*20170822*" /stext=" 20:.+((SYSTEM_STATE.+slice.+state.+changed )|(ment ac)|(multiple cpu faults)|(system.+state.+changed )|(\[timeout)|(PRM\|1\|D)|(kpr)|(kdp)|(train st.+moving)|(\|lc)|(penalty))"</v>
      </c>
      <c r="AG186" s="209" t="str">
        <f t="shared" si="68"/>
        <v>NW</v>
      </c>
      <c r="AH186" s="78" t="str">
        <f t="shared" si="69"/>
        <v>"%USERPROFILE%\Documents\GitHub\eaglep3\Utilities\RefineRTDCRunTimes.py" --tripid 823-22 --locoid 4030 --swversion DE.1.0.9.0 --startMP 300:8074 --initTime 2017-08-22T14:16:03 --startdatetime 2017-08-22T14:25:16 --delay 9 --endMP 300:58937 --enddatetime 2017-08-22T14:36:50 --enforcementcount 0 &gt;&gt;C:\Users\stu\Documents\GitHub\eaglep3-reporting\EC\2017-08-22-refined-times.txt</v>
      </c>
      <c r="AI186" s="96" t="str">
        <f t="shared" si="70"/>
        <v>echo {"issue":{"subject":"Poor GPS at DUS (incident 52677)","project_id":79,"tracker_id":40,"status_id":1,"priority_id":2,"assigned_to_id":23,"start_date":"2017-08-22","description":"","custom_fields":[{"id":1,"name":"Subdivision","value":"NW"},{"id":4,"name":"Milepost","value":"5.8937"},{"id":17,"name":"Train ID","value":"823-22"},{"id":16,"name":"Locomotive ID","value":"4030"},{"id":130,"name":"Impact","value":""},{"id":150,"name":"Time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1"/>
        <v>start /low /b %USERPROFILE%\Documents\GitHub\eaglep3\Utilities\DownloadLogsFromS3.py --loco 4030 --day 2017-08-22</v>
      </c>
      <c r="AN186" s="151" t="str">
        <f t="shared" si="72"/>
        <v>echo {"issue":{"subject":"Poor GPS at DUS (incident 52677)","project_id":30,"tracker_id":4,"status_id":1,"priority_id":1,"assigned_to_id":10,"start_date":"2017-08-22","description":"","custom_fields":[{"id":30,"name":"Category","value":"Issue"},{"id":3,"name":"Functional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707</v>
      </c>
      <c r="B187" s="7">
        <v>4029</v>
      </c>
      <c r="C187" s="21" t="s">
        <v>198</v>
      </c>
      <c r="D187" s="21" t="s">
        <v>544</v>
      </c>
      <c r="E187" s="13">
        <v>42969.609803240739</v>
      </c>
      <c r="F187" s="13">
        <v>42969.611273148148</v>
      </c>
      <c r="G187" s="7">
        <v>1</v>
      </c>
      <c r="H187" s="21" t="s">
        <v>942</v>
      </c>
      <c r="I187" s="13">
        <v>42969.62128472222</v>
      </c>
      <c r="J187" s="7">
        <v>0</v>
      </c>
      <c r="K187" s="89" t="str">
        <f t="shared" si="55"/>
        <v>4029/4030</v>
      </c>
      <c r="L187" s="217" t="str">
        <f>VLOOKUP(A187,'Trips&amp;Operators'!$C$1:$G$99911,5,FALSE)</f>
        <v>BRUDER RICHARD</v>
      </c>
      <c r="M187" s="6">
        <f t="shared" si="56"/>
        <v>1.0011574071540963E-2</v>
      </c>
      <c r="N187" s="7">
        <f t="shared" si="57"/>
        <v>14.416666663018987</v>
      </c>
      <c r="O187" s="7"/>
      <c r="P187" s="7"/>
      <c r="Q187" s="22"/>
      <c r="R187" s="170"/>
      <c r="S187" s="213">
        <f t="shared" si="58"/>
        <v>1</v>
      </c>
      <c r="T187" s="195" t="str">
        <f t="shared" si="59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0"/>
        <v>https://d0f6bd738d7f1b3e5a7ca70fe4ff75f0.us-east-1.aws.found.io/app/kibana#/discover/Steve-Slow-Train-Analysis-(2080s-and-2083s)?_g=(refreshInterval:(display:Off,pause:!f,section:0,value:0),time:(from:'2017-08-22T13:38:07-0600',mode:absolute,to:'2017-08-22T15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97" t="str">
        <f>IF(AA187&lt;VLOOKUP(AG187,Variables!$AC$3:$AD$8,2,FALSE),"Y","N")</f>
        <v>N</v>
      </c>
      <c r="X187" s="197">
        <f t="shared" si="61"/>
        <v>1</v>
      </c>
      <c r="Y187" s="197">
        <f t="shared" si="62"/>
        <v>5.8620999999999999</v>
      </c>
      <c r="Z187" s="197">
        <f t="shared" si="63"/>
        <v>7.2900000000000006E-2</v>
      </c>
      <c r="AA187" s="197">
        <f t="shared" si="64"/>
        <v>5.7892000000000001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65"/>
        <v>824</v>
      </c>
      <c r="AE187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87" s="74" t="str">
        <f t="shared" si="67"/>
        <v>"C:\Program Files (x86)\AstroGrep\AstroGrep.exe" /e /r /s /spath="%USERPROFILE%\AppData\Local\Temp\OnboardLogs" /stypes="app*4029*20170822*" /stext=" 20:.+((SYSTEM_STATE.+slice.+state.+changed )|(ment ac)|(multiple cpu faults)|(system.+state.+changed )|(\[timeout)|(PRM\|1\|D)|(kpr)|(kdp)|(train st.+moving)|(\|lc)|(penalty))"</v>
      </c>
      <c r="AG187" s="209" t="str">
        <f t="shared" si="68"/>
        <v>NW</v>
      </c>
      <c r="AH187" s="78" t="str">
        <f t="shared" si="69"/>
        <v>"%USERPROFILE%\Documents\GitHub\eaglep3\Utilities\RefineRTDCRunTimes.py" --tripid 824-22 --locoid 4029 --swversion DE.1.0.9.0 --startMP 300:58621 --initTime 2017-08-22T14:38:07 --startdatetime 2017-08-22T14:40:14 --delay 1 --endMP 204:729 --enddatetime 2017-08-22T14:54:39 --enforcementcount 0 &gt;&gt;C:\Users\stu\Documents\GitHub\eaglep3-reporting\EC\2017-08-22-refined-times.txt</v>
      </c>
      <c r="AI187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{"issue":{"subject":"","project_id":79,"tracker_id":40,"status_id":1,"priority_id":2,"assigned_to_id":23,"start_date":"2017-08-22","description":"","custom_fields":[{"id":1,"name":"Subdivision","value":"NW"},{"id":4,"name":"Milepost","value":"0.0729"},{"id":17,"name":"Train ID","value":"824-22"},{"id":16,"name":"Locomotive ID","value":"4029"},{"id":130,"name":"Impact","value":""},{"id":150,"name":"Time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1"/>
        <v>start /low /b %USERPROFILE%\Documents\GitHub\eaglep3\Utilities\DownloadLogsFromS3.py --loco 4029 --day 2017-08-22</v>
      </c>
      <c r="AN187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20:54:39"},{"id":29,"name":"Sharepoint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714</v>
      </c>
      <c r="B188" s="7">
        <v>4030</v>
      </c>
      <c r="C188" s="21" t="s">
        <v>198</v>
      </c>
      <c r="D188" s="21" t="s">
        <v>535</v>
      </c>
      <c r="E188" s="13">
        <v>42969.636400462965</v>
      </c>
      <c r="F188" s="13">
        <v>42969.639768518522</v>
      </c>
      <c r="G188" s="7">
        <v>1</v>
      </c>
      <c r="H188" s="21" t="s">
        <v>943</v>
      </c>
      <c r="I188" s="13">
        <v>42969.649398148147</v>
      </c>
      <c r="J188" s="7">
        <v>0</v>
      </c>
      <c r="K188" s="89" t="str">
        <f t="shared" si="55"/>
        <v>4029/4030</v>
      </c>
      <c r="L188" s="217" t="str">
        <f>VLOOKUP(A188,'Trips&amp;Operators'!$C$1:$G$99911,5,FALSE)</f>
        <v>BRUDER RICHARD</v>
      </c>
      <c r="M188" s="6">
        <f t="shared" si="56"/>
        <v>9.6296296251239255E-3</v>
      </c>
      <c r="N188" s="7">
        <f t="shared" si="57"/>
        <v>13.866666660178453</v>
      </c>
      <c r="O188" s="7"/>
      <c r="P188" s="7"/>
      <c r="Q188" s="22"/>
      <c r="R188" s="170"/>
      <c r="S188" s="213">
        <f t="shared" si="58"/>
        <v>1</v>
      </c>
      <c r="T188" s="195" t="str">
        <f t="shared" si="59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0"/>
        <v>https://d0f6bd738d7f1b3e5a7ca70fe4ff75f0.us-east-1.aws.found.io/app/kibana#/discover/Steve-Slow-Train-Analysis-(2080s-and-2083s)?_g=(refreshInterval:(display:Off,pause:!f,section:0,value:0),time:(from:'2017-08-22T14:16:25-0600',mode:absolute,to:'2017-08-22T16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197" t="str">
        <f>IF(AA188&lt;VLOOKUP(AG188,Variables!$AC$3:$AD$8,2,FALSE),"Y","N")</f>
        <v>N</v>
      </c>
      <c r="X188" s="197">
        <f t="shared" si="61"/>
        <v>1</v>
      </c>
      <c r="Y188" s="197">
        <f t="shared" si="62"/>
        <v>0.10199999999999999</v>
      </c>
      <c r="Z188" s="197">
        <f t="shared" si="63"/>
        <v>5.8958000000000004</v>
      </c>
      <c r="AA188" s="197">
        <f t="shared" si="64"/>
        <v>5.7938000000000001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65"/>
        <v>825</v>
      </c>
      <c r="AE188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88" s="74" t="str">
        <f t="shared" si="67"/>
        <v>"C:\Program Files (x86)\AstroGrep\AstroGrep.exe" /e /r /s /spath="%USERPROFILE%\AppData\Local\Temp\OnboardLogs" /stypes="app*4030*20170822*" /stext=" 21:.+((SYSTEM_STATE.+slice.+state.+changed )|(ment ac)|(multiple cpu faults)|(system.+state.+changed )|(\[timeout)|(PRM\|1\|D)|(kpr)|(kdp)|(train st.+moving)|(\|lc)|(penalty))"</v>
      </c>
      <c r="AG188" s="209" t="str">
        <f t="shared" si="68"/>
        <v>NW</v>
      </c>
      <c r="AH188" s="78" t="str">
        <f t="shared" si="69"/>
        <v>"%USERPROFILE%\Documents\GitHub\eaglep3\Utilities\RefineRTDCRunTimes.py" --tripid 825-22 --locoid 4030 --swversion DE.1.0.9.0 --startMP 204:1020 --initTime 2017-08-22T15:16:25 --startdatetime 2017-08-22T15:21:16 --delay 1 --endMP 300:58958 --enddatetime 2017-08-22T15:35:08 --enforcementcount 0 &gt;&gt;C:\Users\stu\Documents\GitHub\eaglep3-reporting\EC\2017-08-22-refined-times.txt</v>
      </c>
      <c r="AI188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{"issue":{"subject":"","project_id":79,"tracker_id":40,"status_id":1,"priority_id":2,"assigned_to_id":23,"start_date":"2017-08-22","description":"","custom_fields":[{"id":1,"name":"Subdivision","value":"NW"},{"id":4,"name":"Milepost","value":"5.8958"},{"id":17,"name":"Train ID","value":"825-22"},{"id":16,"name":"Locomotive ID","value":"4030"},{"id":130,"name":"Impact","value":""},{"id":150,"name":"Time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1"/>
        <v>start /low /b %USERPROFILE%\Documents\GitHub\eaglep3\Utilities\DownloadLogsFromS3.py --loco 4030 --day 2017-08-22</v>
      </c>
      <c r="AN188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717</v>
      </c>
      <c r="B189" s="7">
        <v>4029</v>
      </c>
      <c r="C189" s="21" t="s">
        <v>198</v>
      </c>
      <c r="D189" s="21" t="s">
        <v>547</v>
      </c>
      <c r="E189" s="13">
        <v>42969.650636574072</v>
      </c>
      <c r="F189" s="13">
        <v>42969.652175925927</v>
      </c>
      <c r="G189" s="7">
        <v>1</v>
      </c>
      <c r="H189" s="21" t="s">
        <v>933</v>
      </c>
      <c r="I189" s="13">
        <v>42969.663101851853</v>
      </c>
      <c r="J189" s="7">
        <v>0</v>
      </c>
      <c r="K189" s="89" t="str">
        <f t="shared" si="55"/>
        <v>4029/4030</v>
      </c>
      <c r="L189" s="217" t="str">
        <f>VLOOKUP(A189,'Trips&amp;Operators'!$C$1:$G$99911,5,FALSE)</f>
        <v>BRUDER RICHARD</v>
      </c>
      <c r="M189" s="6">
        <f t="shared" si="56"/>
        <v>1.0925925926130731E-2</v>
      </c>
      <c r="N189" s="7">
        <f t="shared" si="57"/>
        <v>15.733333333628252</v>
      </c>
      <c r="O189" s="7"/>
      <c r="P189" s="7"/>
      <c r="Q189" s="22"/>
      <c r="R189" s="170"/>
      <c r="S189" s="213">
        <f t="shared" si="58"/>
        <v>1</v>
      </c>
      <c r="T189" s="195" t="str">
        <f t="shared" si="59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0"/>
        <v>https://d0f6bd738d7f1b3e5a7ca70fe4ff75f0.us-east-1.aws.found.io/app/kibana#/discover/Steve-Slow-Train-Analysis-(2080s-and-2083s)?_g=(refreshInterval:(display:Off,pause:!f,section:0,value:0),time:(from:'2017-08-22T14:36:55-0600',mode:absolute,to:'2017-08-22T16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197" t="str">
        <f>IF(AA189&lt;VLOOKUP(AG189,Variables!$AC$3:$AD$8,2,FALSE),"Y","N")</f>
        <v>N</v>
      </c>
      <c r="X189" s="197">
        <f t="shared" si="61"/>
        <v>1</v>
      </c>
      <c r="Y189" s="197">
        <f t="shared" si="62"/>
        <v>5.8639999999999999</v>
      </c>
      <c r="Z189" s="197">
        <f t="shared" si="63"/>
        <v>6.7799999999999999E-2</v>
      </c>
      <c r="AA189" s="197">
        <f t="shared" si="64"/>
        <v>5.7961999999999998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65"/>
        <v>826</v>
      </c>
      <c r="AE189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89" s="74" t="str">
        <f t="shared" si="67"/>
        <v>"C:\Program Files (x86)\AstroGrep\AstroGrep.exe" /e /r /s /spath="%USERPROFILE%\AppData\Local\Temp\OnboardLogs" /stypes="app*4029*20170822*" /stext=" 21:.+((SYSTEM_STATE.+slice.+state.+changed )|(ment ac)|(multiple cpu faults)|(system.+state.+changed )|(\[timeout)|(PRM\|1\|D)|(kpr)|(kdp)|(train st.+moving)|(\|lc)|(penalty))"</v>
      </c>
      <c r="AG189" s="209" t="str">
        <f t="shared" si="68"/>
        <v>NW</v>
      </c>
      <c r="AH189" s="78" t="str">
        <f t="shared" si="69"/>
        <v>"%USERPROFILE%\Documents\GitHub\eaglep3\Utilities\RefineRTDCRunTimes.py" --tripid 826-22 --locoid 4029 --swversion DE.1.0.9.0 --startMP 300:58640 --initTime 2017-08-22T15:36:55 --startdatetime 2017-08-22T15:39:08 --delay 1 --endMP 204:678 --enddatetime 2017-08-22T15:54:52 --enforcementcount 0 &gt;&gt;C:\Users\stu\Documents\GitHub\eaglep3-reporting\EC\2017-08-22-refined-times.txt</v>
      </c>
      <c r="AI189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{"issue":{"subject":"","project_id":79,"tracker_id":40,"status_id":1,"priority_id":2,"assigned_to_id":23,"start_date":"2017-08-22","description":"","custom_fields":[{"id":1,"name":"Subdivision","value":"NW"},{"id":4,"name":"Milepost","value":"0.0678"},{"id":17,"name":"Train ID","value":"826-22"},{"id":16,"name":"Locomotive ID","value":"4029"},{"id":130,"name":"Impact","value":""},{"id":150,"name":"Time of Event (Mountain Time)","value":"15:54:52"},{"id":151,"name":"Denver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1"/>
        <v>start /low /b %USERPROFILE%\Documents\GitHub\eaglep3\Utilities\DownloadLogsFromS3.py --loco 4029 --day 2017-08-22</v>
      </c>
      <c r="AN189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716</v>
      </c>
      <c r="B190" s="7">
        <v>4026</v>
      </c>
      <c r="C190" s="21" t="s">
        <v>198</v>
      </c>
      <c r="D190" s="21" t="s">
        <v>531</v>
      </c>
      <c r="E190" s="13">
        <v>42969.643842592595</v>
      </c>
      <c r="F190" s="13">
        <v>42969.675023148149</v>
      </c>
      <c r="G190" s="7">
        <v>1</v>
      </c>
      <c r="H190" s="21" t="s">
        <v>944</v>
      </c>
      <c r="I190" s="13">
        <v>42969.68545138889</v>
      </c>
      <c r="J190" s="7">
        <v>0</v>
      </c>
      <c r="K190" s="89" t="str">
        <f t="shared" si="55"/>
        <v>4025/4026</v>
      </c>
      <c r="L190" s="217" t="str">
        <f>VLOOKUP(A190,'Trips&amp;Operators'!$C$1:$G$99911,5,FALSE)</f>
        <v>BARRON PERLA</v>
      </c>
      <c r="M190" s="6">
        <f t="shared" si="56"/>
        <v>1.0428240741021E-2</v>
      </c>
      <c r="N190" s="7">
        <f t="shared" si="57"/>
        <v>15.01666666707024</v>
      </c>
      <c r="O190" s="7"/>
      <c r="P190" s="7"/>
      <c r="Q190" s="22"/>
      <c r="R190" s="170"/>
      <c r="S190" s="213">
        <f t="shared" si="58"/>
        <v>1</v>
      </c>
      <c r="T190" s="195" t="str">
        <f t="shared" si="59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0"/>
        <v>https://d0f6bd738d7f1b3e5a7ca70fe4ff75f0.us-east-1.aws.found.io/app/kibana#/discover/Steve-Slow-Train-Analysis-(2080s-and-2083s)?_g=(refreshInterval:(display:Off,pause:!f,section:0,value:0),time:(from:'2017-08-22T14:27:08-0600',mode:absolute,to:'2017-08-22T17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197" t="str">
        <f>IF(AA190&lt;VLOOKUP(AG190,Variables!$AC$3:$AD$8,2,FALSE),"Y","N")</f>
        <v>N</v>
      </c>
      <c r="X190" s="197">
        <f t="shared" si="61"/>
        <v>1</v>
      </c>
      <c r="Y190" s="197">
        <f t="shared" si="62"/>
        <v>9.9000000000000005E-2</v>
      </c>
      <c r="Z190" s="197">
        <f t="shared" si="63"/>
        <v>5.8960999999999997</v>
      </c>
      <c r="AA190" s="197">
        <f t="shared" si="64"/>
        <v>5.7970999999999995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65"/>
        <v>827</v>
      </c>
      <c r="AE190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190" s="74" t="str">
        <f t="shared" si="67"/>
        <v>"C:\Program Files (x86)\AstroGrep\AstroGrep.exe" /e /r /s /spath="%USERPROFILE%\AppData\Local\Temp\OnboardLogs" /stypes="app*4026*20170822*" /stext=" 22:.+((SYSTEM_STATE.+slice.+state.+changed )|(ment ac)|(multiple cpu faults)|(system.+state.+changed )|(\[timeout)|(PRM\|1\|D)|(kpr)|(kdp)|(train st.+moving)|(\|lc)|(penalty))"</v>
      </c>
      <c r="AG190" s="209" t="str">
        <f t="shared" si="68"/>
        <v>NW</v>
      </c>
      <c r="AH190" s="78" t="str">
        <f t="shared" si="69"/>
        <v>"%USERPROFILE%\Documents\GitHub\eaglep3\Utilities\RefineRTDCRunTimes.py" --tripid 827-22 --locoid 4026 --swversion DE.1.0.9.0 --startMP 204:990 --initTime 2017-08-22T15:27:08 --startdatetime 2017-08-22T16:12:02 --delay 1 --endMP 300:58961 --enddatetime 2017-08-22T16:27:03 --enforcementcount 0 &gt;&gt;C:\Users\stu\Documents\GitHub\eaglep3-reporting\EC\2017-08-22-refined-times.txt</v>
      </c>
      <c r="AI190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{"issue":{"subject":"","project_id":79,"tracker_id":40,"status_id":1,"priority_id":2,"assigned_to_id":23,"start_date":"2017-08-22","description":"","custom_fields":[{"id":1,"name":"Subdivision","value":"NW"},{"id":4,"name":"Milepost","value":"5.8961"},{"id":17,"name":"Train ID","value":"827-22"},{"id":16,"name":"Locomotive ID","value":"4026"},{"id":130,"name":"Impact","value":""},{"id":150,"name":"Time of Event (Mountain Time)","value":"16:27:03"},{"id":151,"name":"Denver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1"/>
        <v>start /low /b %USERPROFILE%\Documents\GitHub\eaglep3\Utilities\DownloadLogsFromS3.py --loco 4026 --day 2017-08-22</v>
      </c>
      <c r="AN190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585</v>
      </c>
      <c r="B191" s="7">
        <v>4025</v>
      </c>
      <c r="C191" s="21" t="s">
        <v>198</v>
      </c>
      <c r="D191" s="21" t="s">
        <v>945</v>
      </c>
      <c r="E191" s="13">
        <v>42969.673321759263</v>
      </c>
      <c r="F191" s="13">
        <v>42969.675023148149</v>
      </c>
      <c r="G191" s="7">
        <v>1</v>
      </c>
      <c r="H191" s="21" t="s">
        <v>946</v>
      </c>
      <c r="I191" s="13">
        <v>42969.68545138889</v>
      </c>
      <c r="J191" s="7">
        <v>0</v>
      </c>
      <c r="K191" s="89" t="str">
        <f t="shared" si="55"/>
        <v>4025/4026</v>
      </c>
      <c r="L191" s="217" t="str">
        <f>VLOOKUP(A191,'Trips&amp;Operators'!$C$1:$G$99911,5,FALSE)</f>
        <v>BARRON PERLA</v>
      </c>
      <c r="M191" s="6">
        <f t="shared" si="56"/>
        <v>1.0428240741021E-2</v>
      </c>
      <c r="N191" s="7">
        <f t="shared" si="57"/>
        <v>15.01666666707024</v>
      </c>
      <c r="O191" s="7"/>
      <c r="P191" s="7"/>
      <c r="Q191" s="22"/>
      <c r="R191" s="170"/>
      <c r="S191" s="213">
        <f t="shared" si="58"/>
        <v>1</v>
      </c>
      <c r="T191" s="195" t="str">
        <f t="shared" si="59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0"/>
        <v>https://d0f6bd738d7f1b3e5a7ca70fe4ff75f0.us-east-1.aws.found.io/app/kibana#/discover/Steve-Slow-Train-Analysis-(2080s-and-2083s)?_g=(refreshInterval:(display:Off,pause:!f,section:0,value:0),time:(from:'2017-08-22T15:09:35-0600',mode:absolute,to:'2017-08-22T17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97" t="str">
        <f>IF(AA191&lt;VLOOKUP(AG191,Variables!$AC$3:$AD$8,2,FALSE),"Y","N")</f>
        <v>N</v>
      </c>
      <c r="X191" s="197">
        <f t="shared" si="61"/>
        <v>1</v>
      </c>
      <c r="Y191" s="197">
        <f t="shared" si="62"/>
        <v>5.8659999999999997</v>
      </c>
      <c r="Z191" s="197">
        <f t="shared" si="63"/>
        <v>6.7100000000000007E-2</v>
      </c>
      <c r="AA191" s="197">
        <f t="shared" si="64"/>
        <v>5.7988999999999997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65"/>
        <v>828</v>
      </c>
      <c r="AE191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91" s="74" t="str">
        <f t="shared" si="67"/>
        <v>"C:\Program Files (x86)\AstroGrep\AstroGrep.exe" /e /r /s /spath="%USERPROFILE%\AppData\Local\Temp\OnboardLogs" /stypes="app*4025*20170822*" /stext=" 22:.+((SYSTEM_STATE.+slice.+state.+changed )|(ment ac)|(multiple cpu faults)|(system.+state.+changed )|(\[timeout)|(PRM\|1\|D)|(kpr)|(kdp)|(train st.+moving)|(\|lc)|(penalty))"</v>
      </c>
      <c r="AG191" s="209" t="str">
        <f t="shared" si="68"/>
        <v>NW</v>
      </c>
      <c r="AH191" s="78" t="str">
        <f t="shared" si="69"/>
        <v>"%USERPROFILE%\Documents\GitHub\eaglep3\Utilities\RefineRTDCRunTimes.py" --tripid 828-22 --locoid 4025 --swversion DE.1.0.9.0 --startMP 300:58660 --initTime 2017-08-22T16:09:35 --startdatetime 2017-08-22T16:12:02 --delay 1 --endMP 204:671 --enddatetime 2017-08-22T16:27:03 --enforcementcount 0 &gt;&gt;C:\Users\stu\Documents\GitHub\eaglep3-reporting\EC\2017-08-22-refined-times.txt</v>
      </c>
      <c r="AI191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{"issue":{"subject":"","project_id":79,"tracker_id":40,"status_id":1,"priority_id":2,"assigned_to_id":23,"start_date":"2017-08-22","description":"","custom_fields":[{"id":1,"name":"Subdivision","value":"NW"},{"id":4,"name":"Milepost","value":"0.0671"},{"id":17,"name":"Train ID","value":"828-22"},{"id":16,"name":"Locomotive ID","value":"4025"},{"id":130,"name":"Impact","value":""},{"id":150,"name":"Time of Event (Mountain Time)","value":"16:27:03"},{"id":151,"name":"Denver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1"/>
        <v>start /low /b %USERPROFILE%\Documents\GitHub\eaglep3\Utilities\DownloadLogsFromS3.py --loco 4025 --day 2017-08-22</v>
      </c>
      <c r="AN191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722</v>
      </c>
      <c r="B192" s="7">
        <v>4030</v>
      </c>
      <c r="C192" s="21" t="s">
        <v>198</v>
      </c>
      <c r="D192" s="21" t="s">
        <v>533</v>
      </c>
      <c r="E192" s="13">
        <v>42969.67827546296</v>
      </c>
      <c r="F192" s="13">
        <v>42969.681435185186</v>
      </c>
      <c r="G192" s="7">
        <v>1</v>
      </c>
      <c r="H192" s="21" t="s">
        <v>947</v>
      </c>
      <c r="I192" s="13">
        <v>42969.69127314815</v>
      </c>
      <c r="J192" s="7">
        <v>0</v>
      </c>
      <c r="K192" s="89" t="str">
        <f t="shared" si="55"/>
        <v>4029/4030</v>
      </c>
      <c r="L192" s="217" t="str">
        <f>VLOOKUP(A192,'Trips&amp;Operators'!$C$1:$G$99911,5,FALSE)</f>
        <v>BRUDER RICHARD</v>
      </c>
      <c r="M192" s="6">
        <f t="shared" si="56"/>
        <v>9.8379629635019228E-3</v>
      </c>
      <c r="N192" s="7">
        <f t="shared" si="57"/>
        <v>14.166666667442769</v>
      </c>
      <c r="O192" s="7"/>
      <c r="P192" s="7"/>
      <c r="Q192" s="22"/>
      <c r="R192" s="170"/>
      <c r="S192" s="213">
        <f t="shared" si="58"/>
        <v>1</v>
      </c>
      <c r="T192" s="195" t="str">
        <f t="shared" si="59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0"/>
        <v>https://d0f6bd738d7f1b3e5a7ca70fe4ff75f0.us-east-1.aws.found.io/app/kibana#/discover/Steve-Slow-Train-Analysis-(2080s-and-2083s)?_g=(refreshInterval:(display:Off,pause:!f,section:0,value:0),time:(from:'2017-08-22T15:16:43-0600',mode:absolute,to:'2017-08-22T17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2" s="197" t="str">
        <f>IF(AA192&lt;VLOOKUP(AG192,Variables!$AC$3:$AD$8,2,FALSE),"Y","N")</f>
        <v>N</v>
      </c>
      <c r="X192" s="197">
        <f t="shared" si="61"/>
        <v>1</v>
      </c>
      <c r="Y192" s="197">
        <f t="shared" si="62"/>
        <v>9.8299999999999998E-2</v>
      </c>
      <c r="Z192" s="197">
        <f t="shared" si="63"/>
        <v>5.8954000000000004</v>
      </c>
      <c r="AA192" s="197">
        <f t="shared" si="64"/>
        <v>5.7971000000000004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65"/>
        <v>829</v>
      </c>
      <c r="AE192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92" s="74" t="str">
        <f t="shared" si="67"/>
        <v>"C:\Program Files (x86)\AstroGrep\AstroGrep.exe" /e /r /s /spath="%USERPROFILE%\AppData\Local\Temp\OnboardLogs" /stypes="app*4030*20170822*" /stext=" 22:.+((SYSTEM_STATE.+slice.+state.+changed )|(ment ac)|(multiple cpu faults)|(system.+state.+changed )|(\[timeout)|(PRM\|1\|D)|(kpr)|(kdp)|(train st.+moving)|(\|lc)|(penalty))"</v>
      </c>
      <c r="AG192" s="209" t="str">
        <f t="shared" si="68"/>
        <v>NW</v>
      </c>
      <c r="AH192" s="78" t="str">
        <f t="shared" si="69"/>
        <v>"%USERPROFILE%\Documents\GitHub\eaglep3\Utilities\RefineRTDCRunTimes.py" --tripid 829-22 --locoid 4030 --swversion DE.1.0.9.0 --startMP 204:983 --initTime 2017-08-22T16:16:43 --startdatetime 2017-08-22T16:21:16 --delay 1 --endMP 300:58954 --enddatetime 2017-08-22T16:35:26 --enforcementcount 0 &gt;&gt;C:\Users\stu\Documents\GitHub\eaglep3-reporting\EC\2017-08-22-refined-times.txt</v>
      </c>
      <c r="AI192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{"issue":{"subject":"","project_id":79,"tracker_id":40,"status_id":1,"priority_id":2,"assigned_to_id":23,"start_date":"2017-08-22","description":"","custom_fields":[{"id":1,"name":"Subdivision","value":"NW"},{"id":4,"name":"Milepost","value":"5.8954"},{"id":17,"name":"Train ID","value":"829-22"},{"id":16,"name":"Locomotive ID","value":"4030"},{"id":130,"name":"Impact","value":""},{"id":150,"name":"Time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1"/>
        <v>start /low /b %USERPROFILE%\Documents\GitHub\eaglep3\Utilities\DownloadLogsFromS3.py --loco 4030 --day 2017-08-22</v>
      </c>
      <c r="AN192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726</v>
      </c>
      <c r="B193" s="7">
        <v>4029</v>
      </c>
      <c r="C193" s="21" t="s">
        <v>198</v>
      </c>
      <c r="D193" s="21" t="s">
        <v>948</v>
      </c>
      <c r="E193" s="13">
        <v>42969.692407407405</v>
      </c>
      <c r="F193" s="13">
        <v>42969.694027777776</v>
      </c>
      <c r="G193" s="7">
        <v>1</v>
      </c>
      <c r="H193" s="21" t="s">
        <v>550</v>
      </c>
      <c r="I193" s="13">
        <v>42969.705254629633</v>
      </c>
      <c r="J193" s="7">
        <v>0</v>
      </c>
      <c r="K193" s="89" t="str">
        <f t="shared" si="55"/>
        <v>4029/4030</v>
      </c>
      <c r="L193" s="217" t="str">
        <f>VLOOKUP(A193,'Trips&amp;Operators'!$C$1:$G$99911,5,FALSE)</f>
        <v>BRUDER RICHARD</v>
      </c>
      <c r="M193" s="6">
        <f t="shared" si="56"/>
        <v>1.1226851856918074E-2</v>
      </c>
      <c r="N193" s="7">
        <f t="shared" si="57"/>
        <v>16.166666673962027</v>
      </c>
      <c r="O193" s="7"/>
      <c r="P193" s="7"/>
      <c r="Q193" s="22"/>
      <c r="R193" s="170"/>
      <c r="S193" s="213">
        <f t="shared" si="58"/>
        <v>1</v>
      </c>
      <c r="T193" s="195" t="str">
        <f t="shared" si="59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0"/>
        <v>https://d0f6bd738d7f1b3e5a7ca70fe4ff75f0.us-east-1.aws.found.io/app/kibana#/discover/Steve-Slow-Train-Analysis-(2080s-and-2083s)?_g=(refreshInterval:(display:Off,pause:!f,section:0,value:0),time:(from:'2017-08-22T15:37:04-0600',mode:absolute,to:'2017-08-22T17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97" t="str">
        <f>IF(AA193&lt;VLOOKUP(AG193,Variables!$AC$3:$AD$8,2,FALSE),"Y","N")</f>
        <v>N</v>
      </c>
      <c r="X193" s="197">
        <f t="shared" si="61"/>
        <v>1</v>
      </c>
      <c r="Y193" s="197">
        <f t="shared" si="62"/>
        <v>5.8635999999999999</v>
      </c>
      <c r="Z193" s="197">
        <f t="shared" si="63"/>
        <v>7.3599999999999999E-2</v>
      </c>
      <c r="AA193" s="197">
        <f t="shared" si="64"/>
        <v>5.79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65"/>
        <v>830</v>
      </c>
      <c r="AE193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93" s="74" t="str">
        <f t="shared" si="67"/>
        <v>"C:\Program Files (x86)\AstroGrep\AstroGrep.exe" /e /r /s /spath="%USERPROFILE%\AppData\Local\Temp\OnboardLogs" /stypes="app*4029*20170822*" /stext=" 22:.+((SYSTEM_STATE.+slice.+state.+changed )|(ment ac)|(multiple cpu faults)|(system.+state.+changed )|(\[timeout)|(PRM\|1\|D)|(kpr)|(kdp)|(train st.+moving)|(\|lc)|(penalty))"</v>
      </c>
      <c r="AG193" s="209" t="str">
        <f t="shared" si="68"/>
        <v>NW</v>
      </c>
      <c r="AH193" s="78" t="str">
        <f t="shared" si="69"/>
        <v>"%USERPROFILE%\Documents\GitHub\eaglep3\Utilities\RefineRTDCRunTimes.py" --tripid 830-22 --locoid 4029 --swversion DE.1.0.9.0 --startMP 300:58636 --initTime 2017-08-22T16:37:04 --startdatetime 2017-08-22T16:39:24 --delay 1 --endMP 204:736 --enddatetime 2017-08-22T16:55:34 --enforcementcount 0 &gt;&gt;C:\Users\stu\Documents\GitHub\eaglep3-reporting\EC\2017-08-22-refined-times.txt</v>
      </c>
      <c r="AI193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{"issue":{"subject":"","project_id":79,"tracker_id":40,"status_id":1,"priority_id":2,"assigned_to_id":23,"start_date":"2017-08-22","description":"","custom_fields":[{"id":1,"name":"Subdivision","value":"NW"},{"id":4,"name":"Milepost","value":"0.0736"},{"id":17,"name":"Train ID","value":"830-22"},{"id":16,"name":"Locomotive ID","value":"4029"},{"id":130,"name":"Impact","value":""},{"id":150,"name":"Time of Event (Mountain Time)","value":"16:55:34"},{"id":151,"name":"Denver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1"/>
        <v>start /low /b %USERPROFILE%\Documents\GitHub\eaglep3\Utilities\DownloadLogsFromS3.py --loco 4029 --day 2017-08-22</v>
      </c>
      <c r="AN193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729</v>
      </c>
      <c r="B194" s="7">
        <v>4026</v>
      </c>
      <c r="C194" s="21" t="s">
        <v>198</v>
      </c>
      <c r="D194" s="21" t="s">
        <v>419</v>
      </c>
      <c r="E194" s="13">
        <v>42969.697569444441</v>
      </c>
      <c r="F194" s="13">
        <v>42969.702685185184</v>
      </c>
      <c r="G194" s="7">
        <v>1</v>
      </c>
      <c r="H194" s="21" t="s">
        <v>432</v>
      </c>
      <c r="I194" s="13">
        <v>42969.711747685185</v>
      </c>
      <c r="J194" s="7">
        <v>0</v>
      </c>
      <c r="K194" s="89" t="str">
        <f t="shared" si="55"/>
        <v>4025/4026</v>
      </c>
      <c r="L194" s="217" t="str">
        <f>VLOOKUP(A194,'Trips&amp;Operators'!$C$1:$G$99911,5,FALSE)</f>
        <v>BARRON PERLA</v>
      </c>
      <c r="M194" s="6">
        <f t="shared" si="56"/>
        <v>9.0625000011641532E-3</v>
      </c>
      <c r="N194" s="7">
        <f t="shared" si="57"/>
        <v>13.050000001676381</v>
      </c>
      <c r="O194" s="7"/>
      <c r="P194" s="7"/>
      <c r="Q194" s="22"/>
      <c r="R194" s="170"/>
      <c r="S194" s="213">
        <f t="shared" si="58"/>
        <v>1</v>
      </c>
      <c r="T194" s="195" t="str">
        <f t="shared" si="59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0"/>
        <v>https://d0f6bd738d7f1b3e5a7ca70fe4ff75f0.us-east-1.aws.found.io/app/kibana#/discover/Steve-Slow-Train-Analysis-(2080s-and-2083s)?_g=(refreshInterval:(display:Off,pause:!f,section:0,value:0),time:(from:'2017-08-22T15:44:30-0600',mode:absolute,to:'2017-08-22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4" s="197" t="str">
        <f>IF(AA194&lt;VLOOKUP(AG194,Variables!$AC$3:$AD$8,2,FALSE),"Y","N")</f>
        <v>N</v>
      </c>
      <c r="X194" s="197">
        <f t="shared" si="61"/>
        <v>1</v>
      </c>
      <c r="Y194" s="197">
        <f t="shared" si="62"/>
        <v>9.7199999999999995E-2</v>
      </c>
      <c r="Z194" s="197">
        <f t="shared" si="63"/>
        <v>5.8929</v>
      </c>
      <c r="AA194" s="197">
        <f t="shared" si="64"/>
        <v>5.7957000000000001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65"/>
        <v>831</v>
      </c>
      <c r="AE194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194" s="74" t="str">
        <f t="shared" si="67"/>
        <v>"C:\Program Files (x86)\AstroGrep\AstroGrep.exe" /e /r /s /spath="%USERPROFILE%\AppData\Local\Temp\OnboardLogs" /stypes="app*4026*20170822*" /stext=" 23:.+((SYSTEM_STATE.+slice.+state.+changed )|(ment ac)|(multiple cpu faults)|(system.+state.+changed )|(\[timeout)|(PRM\|1\|D)|(kpr)|(kdp)|(train st.+moving)|(\|lc)|(penalty))"</v>
      </c>
      <c r="AG194" s="209" t="str">
        <f t="shared" si="68"/>
        <v>NW</v>
      </c>
      <c r="AH194" s="78" t="str">
        <f t="shared" si="69"/>
        <v>"%USERPROFILE%\Documents\GitHub\eaglep3\Utilities\RefineRTDCRunTimes.py" --tripid 831-22 --locoid 4026 --swversion DE.1.0.9.0 --startMP 204:972 --initTime 2017-08-22T16:44:30 --startdatetime 2017-08-22T16:51:52 --delay 1 --endMP 300:58929 --enddatetime 2017-08-22T17:04:55 --enforcementcount 0 &gt;&gt;C:\Users\stu\Documents\GitHub\eaglep3-reporting\EC\2017-08-22-refined-times.txt</v>
      </c>
      <c r="AI194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{"issue":{"subject":"","project_id":79,"tracker_id":40,"status_id":1,"priority_id":2,"assigned_to_id":23,"start_date":"2017-08-22","description":"","custom_fields":[{"id":1,"name":"Subdivision","value":"NW"},{"id":4,"name":"Milepost","value":"5.8929"},{"id":17,"name":"Train ID","value":"831-22"},{"id":16,"name":"Locomotive ID","value":"4026"},{"id":130,"name":"Impact","value":""},{"id":150,"name":"Time of Event (Mountain Time)","value":"17:04:55"},{"id":151,"name":"Denver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1"/>
        <v>start /low /b %USERPROFILE%\Documents\GitHub\eaglep3\Utilities\DownloadLogsFromS3.py --loco 4026 --day 2017-08-22</v>
      </c>
      <c r="AN194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734</v>
      </c>
      <c r="B195" s="7">
        <v>4025</v>
      </c>
      <c r="C195" s="21" t="s">
        <v>198</v>
      </c>
      <c r="D195" s="21" t="s">
        <v>544</v>
      </c>
      <c r="E195" s="13">
        <v>42969.712789351855</v>
      </c>
      <c r="F195" s="13">
        <v>42969.716053240743</v>
      </c>
      <c r="G195" s="7">
        <v>2</v>
      </c>
      <c r="H195" s="21" t="s">
        <v>459</v>
      </c>
      <c r="I195" s="13">
        <v>42969.725636574076</v>
      </c>
      <c r="J195" s="7">
        <v>0</v>
      </c>
      <c r="K195" s="89" t="str">
        <f t="shared" si="55"/>
        <v>4025/4026</v>
      </c>
      <c r="L195" s="217" t="str">
        <f>VLOOKUP(A195,'Trips&amp;Operators'!$C$1:$G$99911,5,FALSE)</f>
        <v>BARRON PERLA</v>
      </c>
      <c r="M195" s="6">
        <f t="shared" si="56"/>
        <v>9.5833333325572312E-3</v>
      </c>
      <c r="N195" s="7">
        <f t="shared" si="57"/>
        <v>13.799999998882413</v>
      </c>
      <c r="O195" s="7"/>
      <c r="P195" s="7"/>
      <c r="Q195" s="22"/>
      <c r="R195" s="170"/>
      <c r="S195" s="213">
        <f t="shared" si="58"/>
        <v>1</v>
      </c>
      <c r="T195" s="195" t="str">
        <f t="shared" si="59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0"/>
        <v>https://d0f6bd738d7f1b3e5a7ca70fe4ff75f0.us-east-1.aws.found.io/app/kibana#/discover/Steve-Slow-Train-Analysis-(2080s-and-2083s)?_g=(refreshInterval:(display:Off,pause:!f,section:0,value:0),time:(from:'2017-08-22T16:06:25-0600',mode:absolute,to:'2017-08-22T18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97" t="str">
        <f>IF(AA195&lt;VLOOKUP(AG195,Variables!$AC$3:$AD$8,2,FALSE),"Y","N")</f>
        <v>N</v>
      </c>
      <c r="X195" s="197">
        <f t="shared" si="61"/>
        <v>1</v>
      </c>
      <c r="Y195" s="197">
        <f t="shared" si="62"/>
        <v>5.8620999999999999</v>
      </c>
      <c r="Z195" s="197">
        <f t="shared" si="63"/>
        <v>6.8199999999999997E-2</v>
      </c>
      <c r="AA195" s="197">
        <f t="shared" si="64"/>
        <v>5.7938999999999998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65"/>
        <v>832</v>
      </c>
      <c r="AE195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95" s="74" t="str">
        <f t="shared" si="67"/>
        <v>"C:\Program Files (x86)\AstroGrep\AstroGrep.exe" /e /r /s /spath="%USERPROFILE%\AppData\Local\Temp\OnboardLogs" /stypes="app*4025*20170822*" /stext=" 23:.+((SYSTEM_STATE.+slice.+state.+changed )|(ment ac)|(multiple cpu faults)|(system.+state.+changed )|(\[timeout)|(PRM\|1\|D)|(kpr)|(kdp)|(train st.+moving)|(\|lc)|(penalty))"</v>
      </c>
      <c r="AG195" s="209" t="str">
        <f t="shared" si="68"/>
        <v>NW</v>
      </c>
      <c r="AH195" s="78" t="str">
        <f t="shared" si="69"/>
        <v>"%USERPROFILE%\Documents\GitHub\eaglep3\Utilities\RefineRTDCRunTimes.py" --tripid 832-22 --locoid 4025 --swversion DE.1.0.9.0 --startMP 300:58621 --initTime 2017-08-22T17:06:25 --startdatetime 2017-08-22T17:11:07 --delay 2 --endMP 204:682 --enddatetime 2017-08-22T17:24:55 --enforcementcount 0 &gt;&gt;C:\Users\stu\Documents\GitHub\eaglep3-reporting\EC\2017-08-22-refined-times.txt</v>
      </c>
      <c r="AI195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{"issue":{"subject":"","project_id":79,"tracker_id":40,"status_id":1,"priority_id":2,"assigned_to_id":23,"start_date":"2017-08-22","description":"","custom_fields":[{"id":1,"name":"Subdivision","value":"NW"},{"id":4,"name":"Milepost","value":"0.0682"},{"id":17,"name":"Train ID","value":"832-22"},{"id":16,"name":"Locomotive ID","value":"4025"},{"id":130,"name":"Impact","value":""},{"id":150,"name":"Time of Event (Mountain Time)","value":"17:24:55"},{"id":151,"name":"Denver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1"/>
        <v>start /low /b %USERPROFILE%\Documents\GitHub\eaglep3\Utilities\DownloadLogsFromS3.py --loco 4025 --day 2017-08-22</v>
      </c>
      <c r="AN195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736</v>
      </c>
      <c r="B196" s="7">
        <v>4030</v>
      </c>
      <c r="C196" s="21" t="s">
        <v>198</v>
      </c>
      <c r="D196" s="21" t="s">
        <v>909</v>
      </c>
      <c r="E196" s="13">
        <v>42969.720555555556</v>
      </c>
      <c r="F196" s="13">
        <v>42969.723136574074</v>
      </c>
      <c r="G196" s="7">
        <v>1</v>
      </c>
      <c r="H196" s="21" t="s">
        <v>455</v>
      </c>
      <c r="I196" s="13">
        <v>42969.73300925926</v>
      </c>
      <c r="J196" s="7">
        <v>0</v>
      </c>
      <c r="K196" s="89" t="str">
        <f t="shared" si="55"/>
        <v>4029/4030</v>
      </c>
      <c r="L196" s="217" t="str">
        <f>VLOOKUP(A196,'Trips&amp;Operators'!$C$1:$G$99911,5,FALSE)</f>
        <v>BRUDER RICHARD</v>
      </c>
      <c r="M196" s="6">
        <f t="shared" si="56"/>
        <v>9.8726851865649223E-3</v>
      </c>
      <c r="N196" s="7">
        <f t="shared" si="57"/>
        <v>14.216666668653488</v>
      </c>
      <c r="O196" s="7"/>
      <c r="P196" s="7"/>
      <c r="Q196" s="22"/>
      <c r="R196" s="170"/>
      <c r="S196" s="213">
        <f t="shared" si="58"/>
        <v>1</v>
      </c>
      <c r="T196" s="195" t="str">
        <f t="shared" si="59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0"/>
        <v>https://d0f6bd738d7f1b3e5a7ca70fe4ff75f0.us-east-1.aws.found.io/app/kibana#/discover/Steve-Slow-Train-Analysis-(2080s-and-2083s)?_g=(refreshInterval:(display:Off,pause:!f,section:0,value:0),time:(from:'2017-08-22T16:17:36-0600',mode:absolute,to:'2017-08-22T18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6" s="197" t="str">
        <f>IF(AA196&lt;VLOOKUP(AG196,Variables!$AC$3:$AD$8,2,FALSE),"Y","N")</f>
        <v>N</v>
      </c>
      <c r="X196" s="197">
        <f t="shared" si="61"/>
        <v>1</v>
      </c>
      <c r="Y196" s="197">
        <f t="shared" si="62"/>
        <v>0.1016</v>
      </c>
      <c r="Z196" s="197">
        <f t="shared" si="63"/>
        <v>5.8948</v>
      </c>
      <c r="AA196" s="197">
        <f t="shared" si="64"/>
        <v>5.7931999999999997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65"/>
        <v>833</v>
      </c>
      <c r="AE196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196" s="74" t="str">
        <f t="shared" si="67"/>
        <v>"C:\Program Files (x86)\AstroGrep\AstroGrep.exe" /e /r /s /spath="%USERPROFILE%\AppData\Local\Temp\OnboardLogs" /stypes="app*4030*20170822*" /stext=" 23:.+((SYSTEM_STATE.+slice.+state.+changed )|(ment ac)|(multiple cpu faults)|(system.+state.+changed )|(\[timeout)|(PRM\|1\|D)|(kpr)|(kdp)|(train st.+moving)|(\|lc)|(penalty))"</v>
      </c>
      <c r="AG196" s="209" t="str">
        <f t="shared" si="68"/>
        <v>NW</v>
      </c>
      <c r="AH196" s="78" t="str">
        <f t="shared" si="69"/>
        <v>"%USERPROFILE%\Documents\GitHub\eaglep3\Utilities\RefineRTDCRunTimes.py" --tripid 833-22 --locoid 4030 --swversion DE.1.0.9.0 --startMP 204:1016 --initTime 2017-08-22T17:17:36 --startdatetime 2017-08-22T17:21:19 --delay 1 --endMP 300:58948 --enddatetime 2017-08-22T17:35:32 --enforcementcount 0 &gt;&gt;C:\Users\stu\Documents\GitHub\eaglep3-reporting\EC\2017-08-22-refined-times.txt</v>
      </c>
      <c r="AI196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{"issue":{"subject":"","project_id":79,"tracker_id":40,"status_id":1,"priority_id":2,"assigned_to_id":23,"start_date":"2017-08-22","description":"","custom_fields":[{"id":1,"name":"Subdivision","value":"NW"},{"id":4,"name":"Milepost","value":"5.8948"},{"id":17,"name":"Train ID","value":"833-22"},{"id":16,"name":"Locomotive ID","value":"4030"},{"id":130,"name":"Impact","value":""},{"id":150,"name":"Time of Event (Mountain Time)","value":"17:35:32"},{"id":151,"name":"Denver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1"/>
        <v>start /low /b %USERPROFILE%\Documents\GitHub\eaglep3\Utilities\DownloadLogsFromS3.py --loco 4030 --day 2017-08-22</v>
      </c>
      <c r="AN196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740</v>
      </c>
      <c r="B197" s="7">
        <v>4029</v>
      </c>
      <c r="C197" s="21" t="s">
        <v>198</v>
      </c>
      <c r="D197" s="21" t="s">
        <v>534</v>
      </c>
      <c r="E197" s="13">
        <v>42969.734131944446</v>
      </c>
      <c r="F197" s="13">
        <v>42969.735752314817</v>
      </c>
      <c r="G197" s="7">
        <v>1</v>
      </c>
      <c r="H197" s="21" t="s">
        <v>949</v>
      </c>
      <c r="I197" s="13">
        <v>42969.746608796297</v>
      </c>
      <c r="J197" s="7">
        <v>0</v>
      </c>
      <c r="K197" s="89" t="str">
        <f t="shared" si="55"/>
        <v>4029/4030</v>
      </c>
      <c r="L197" s="217" t="str">
        <f>VLOOKUP(A197,'Trips&amp;Operators'!$C$1:$G$99911,5,FALSE)</f>
        <v>BRUDER RICHARD</v>
      </c>
      <c r="M197" s="6">
        <f t="shared" si="56"/>
        <v>1.0856481480004732E-2</v>
      </c>
      <c r="N197" s="7">
        <f t="shared" si="57"/>
        <v>15.633333331206813</v>
      </c>
      <c r="O197" s="7"/>
      <c r="P197" s="7"/>
      <c r="Q197" s="22"/>
      <c r="R197" s="170"/>
      <c r="S197" s="213">
        <f t="shared" si="58"/>
        <v>1</v>
      </c>
      <c r="T197" s="195" t="str">
        <f t="shared" si="59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0"/>
        <v>https://d0f6bd738d7f1b3e5a7ca70fe4ff75f0.us-east-1.aws.found.io/app/kibana#/discover/Steve-Slow-Train-Analysis-(2080s-and-2083s)?_g=(refreshInterval:(display:Off,pause:!f,section:0,value:0),time:(from:'2017-08-22T16:37:09-0600',mode:absolute,to:'2017-08-22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7" s="197" t="str">
        <f>IF(AA197&lt;VLOOKUP(AG197,Variables!$AC$3:$AD$8,2,FALSE),"Y","N")</f>
        <v>N</v>
      </c>
      <c r="X197" s="197">
        <f t="shared" si="61"/>
        <v>1</v>
      </c>
      <c r="Y197" s="197">
        <f t="shared" si="62"/>
        <v>5.8632</v>
      </c>
      <c r="Z197" s="197">
        <f t="shared" si="63"/>
        <v>7.22E-2</v>
      </c>
      <c r="AA197" s="197">
        <f t="shared" si="64"/>
        <v>5.7910000000000004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65"/>
        <v>834</v>
      </c>
      <c r="AE197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197" s="74" t="str">
        <f t="shared" si="67"/>
        <v>"C:\Program Files (x86)\AstroGrep\AstroGrep.exe" /e /r /s /spath="%USERPROFILE%\AppData\Local\Temp\OnboardLogs" /stypes="app*4029*20170822*" /stext=" 23:.+((SYSTEM_STATE.+slice.+state.+changed )|(ment ac)|(multiple cpu faults)|(system.+state.+changed )|(\[timeout)|(PRM\|1\|D)|(kpr)|(kdp)|(train st.+moving)|(\|lc)|(penalty))"</v>
      </c>
      <c r="AG197" s="209" t="str">
        <f t="shared" si="68"/>
        <v>NW</v>
      </c>
      <c r="AH197" s="78" t="str">
        <f t="shared" si="69"/>
        <v>"%USERPROFILE%\Documents\GitHub\eaglep3\Utilities\RefineRTDCRunTimes.py" --tripid 834-22 --locoid 4029 --swversion DE.1.0.9.0 --startMP 300:58632 --initTime 2017-08-22T17:37:09 --startdatetime 2017-08-22T17:39:29 --delay 1 --endMP 204:722 --enddatetime 2017-08-22T17:55:07 --enforcementcount 0 &gt;&gt;C:\Users\stu\Documents\GitHub\eaglep3-reporting\EC\2017-08-22-refined-times.txt</v>
      </c>
      <c r="AI197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{"issue":{"subject":"","project_id":79,"tracker_id":40,"status_id":1,"priority_id":2,"assigned_to_id":23,"start_date":"2017-08-22","description":"","custom_fields":[{"id":1,"name":"Subdivision","value":"NW"},{"id":4,"name":"Milepost","value":"0.0722"},{"id":17,"name":"Train ID","value":"834-22"},{"id":16,"name":"Locomotive ID","value":"4029"},{"id":130,"name":"Impact","value":""},{"id":150,"name":"Time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1"/>
        <v>start /low /b %USERPROFILE%\Documents\GitHub\eaglep3\Utilities\DownloadLogsFromS3.py --loco 4029 --day 2017-08-22</v>
      </c>
      <c r="AN197" s="151" t="str">
        <f t="shared" si="72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739</v>
      </c>
      <c r="B198" s="7">
        <v>4026</v>
      </c>
      <c r="C198" s="21" t="s">
        <v>198</v>
      </c>
      <c r="D198" s="21" t="s">
        <v>546</v>
      </c>
      <c r="E198" s="13">
        <v>42969.727500000001</v>
      </c>
      <c r="F198" s="13">
        <v>42969.744074074071</v>
      </c>
      <c r="G198" s="7">
        <v>17</v>
      </c>
      <c r="H198" s="21" t="s">
        <v>950</v>
      </c>
      <c r="I198" s="13">
        <v>42969.753877314812</v>
      </c>
      <c r="J198" s="7">
        <v>0</v>
      </c>
      <c r="K198" s="89" t="str">
        <f t="shared" si="55"/>
        <v>4025/4026</v>
      </c>
      <c r="L198" s="217" t="str">
        <f>VLOOKUP(A198,'Trips&amp;Operators'!$C$1:$G$99911,5,FALSE)</f>
        <v>BARRON PERLA</v>
      </c>
      <c r="M198" s="6">
        <f t="shared" si="56"/>
        <v>9.8032407404389232E-3</v>
      </c>
      <c r="N198" s="7">
        <f t="shared" si="57"/>
        <v>14.116666666232049</v>
      </c>
      <c r="O198" s="7"/>
      <c r="P198" s="7"/>
      <c r="Q198" s="22"/>
      <c r="R198" s="170"/>
      <c r="S198" s="213">
        <f t="shared" si="58"/>
        <v>1</v>
      </c>
      <c r="T198" s="195" t="str">
        <f t="shared" si="59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0"/>
        <v>https://d0f6bd738d7f1b3e5a7ca70fe4ff75f0.us-east-1.aws.found.io/app/kibana#/discover/Steve-Slow-Train-Analysis-(2080s-and-2083s)?_g=(refreshInterval:(display:Off,pause:!f,section:0,value:0),time:(from:'2017-08-22T16:27:36-0600',mode:absolute,to:'2017-08-22T19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8" s="197" t="str">
        <f>IF(AA198&lt;VLOOKUP(AG198,Variables!$AC$3:$AD$8,2,FALSE),"Y","N")</f>
        <v>N</v>
      </c>
      <c r="X198" s="197">
        <f t="shared" si="61"/>
        <v>1</v>
      </c>
      <c r="Y198" s="197">
        <f t="shared" si="62"/>
        <v>9.74E-2</v>
      </c>
      <c r="Z198" s="197">
        <f t="shared" si="63"/>
        <v>5.8979999999999997</v>
      </c>
      <c r="AA198" s="197">
        <f t="shared" si="64"/>
        <v>5.8005999999999993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65"/>
        <v>835</v>
      </c>
      <c r="AE198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198" s="74" t="str">
        <f t="shared" si="67"/>
        <v>"C:\Program Files (x86)\AstroGrep\AstroGrep.exe" /e /r /s /spath="%USERPROFILE%\AppData\Local\Temp\OnboardLogs" /stypes="app*4026*20170823*" /stext=" 00:.+((SYSTEM_STATE.+slice.+state.+changed )|(ment ac)|(multiple cpu faults)|(system.+state.+changed )|(\[timeout)|(PRM\|1\|D)|(kpr)|(kdp)|(train st.+moving)|(\|lc)|(penalty))"</v>
      </c>
      <c r="AG198" s="209" t="str">
        <f t="shared" si="68"/>
        <v>NW</v>
      </c>
      <c r="AH198" s="78" t="str">
        <f t="shared" si="69"/>
        <v>"%USERPROFILE%\Documents\GitHub\eaglep3\Utilities\RefineRTDCRunTimes.py" --tripid 835-22 --locoid 4026 --swversion DE.1.0.9.0 --startMP 204:974 --initTime 2017-08-22T17:27:36 --startdatetime 2017-08-22T17:51:28 --delay 17 --endMP 300:58980 --enddatetime 2017-08-22T18:05:35 --enforcementcount 0 &gt;&gt;C:\Users\stu\Documents\GitHub\eaglep3-reporting\EC\2017-08-22-refined-times.txt</v>
      </c>
      <c r="AI198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{"issue":{"subject":"","project_id":79,"tracker_id":40,"status_id":1,"priority_id":2,"assigned_to_id":23,"start_date":"2017-08-22","description":"","custom_fields":[{"id":1,"name":"Subdivision","value":"NW"},{"id":4,"name":"Milepost","value":"5.898"},{"id":17,"name":"Train ID","value":"835-22"},{"id":16,"name":"Locomotive ID","value":"4026"},{"id":130,"name":"Impact","value":""},{"id":150,"name":"Time of Event (Mountain Time)","value":"18:05:35"},{"id":151,"name":"Denver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1"/>
        <v>start /low /b %USERPROFILE%\Documents\GitHub\eaglep3\Utilities\DownloadLogsFromS3.py --loco 4026 --day 2017-08-22</v>
      </c>
      <c r="AN198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589</v>
      </c>
      <c r="B199" s="7">
        <v>4025</v>
      </c>
      <c r="C199" s="21" t="s">
        <v>198</v>
      </c>
      <c r="D199" s="21" t="s">
        <v>951</v>
      </c>
      <c r="E199" s="13">
        <v>42969.764143518521</v>
      </c>
      <c r="F199" s="13">
        <v>42969.765277777777</v>
      </c>
      <c r="G199" s="7">
        <v>1</v>
      </c>
      <c r="H199" s="21" t="s">
        <v>952</v>
      </c>
      <c r="I199" s="13">
        <v>42969.771203703705</v>
      </c>
      <c r="J199" s="7">
        <v>0</v>
      </c>
      <c r="K199" s="89" t="str">
        <f t="shared" si="55"/>
        <v>4025/4026</v>
      </c>
      <c r="L199" s="217" t="str">
        <f>VLOOKUP(A199,'Trips&amp;Operators'!$C$1:$G$99911,5,FALSE)</f>
        <v>BARRON PERLA</v>
      </c>
      <c r="M199" s="6">
        <f t="shared" si="56"/>
        <v>5.9259259287500754E-3</v>
      </c>
      <c r="N199" s="7"/>
      <c r="O199" s="7"/>
      <c r="P199" s="7">
        <f t="shared" si="57"/>
        <v>8.5333333374001086</v>
      </c>
      <c r="Q199" s="22"/>
      <c r="R199" s="170" t="s">
        <v>996</v>
      </c>
      <c r="S199" s="213">
        <f t="shared" si="58"/>
        <v>1</v>
      </c>
      <c r="T199" s="195" t="str">
        <f t="shared" si="59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0"/>
        <v>https://d0f6bd738d7f1b3e5a7ca70fe4ff75f0.us-east-1.aws.found.io/app/kibana#/discover/Steve-Slow-Train-Analysis-(2080s-and-2083s)?_g=(refreshInterval:(display:Off,pause:!f,section:0,value:0),time:(from:'2017-08-22T17:20:22-0600',mode:absolute,to:'2017-08-22T19:30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97" t="str">
        <f>IF(AA199&lt;VLOOKUP(AG199,Variables!$AC$3:$AD$8,2,FALSE),"Y","N")</f>
        <v>Y</v>
      </c>
      <c r="X199" s="197">
        <f t="shared" si="61"/>
        <v>1</v>
      </c>
      <c r="Y199" s="197">
        <f t="shared" si="62"/>
        <v>2.3708999999999998</v>
      </c>
      <c r="Z199" s="197">
        <f t="shared" si="63"/>
        <v>6.5699999999999995E-2</v>
      </c>
      <c r="AA199" s="197">
        <f t="shared" si="64"/>
        <v>2.3051999999999997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65"/>
        <v>836</v>
      </c>
      <c r="AE199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199" s="74" t="str">
        <f t="shared" si="67"/>
        <v>"C:\Program Files (x86)\AstroGrep\AstroGrep.exe" /e /r /s /spath="%USERPROFILE%\AppData\Local\Temp\OnboardLogs" /stypes="app*4025*20170823*" /stext=" 00:.+((SYSTEM_STATE.+slice.+state.+changed )|(ment ac)|(multiple cpu faults)|(system.+state.+changed )|(\[timeout)|(PRM\|1\|D)|(kpr)|(kdp)|(train st.+moving)|(\|lc)|(penalty))"</v>
      </c>
      <c r="AG199" s="209" t="str">
        <f t="shared" si="68"/>
        <v>NW</v>
      </c>
      <c r="AH199" s="78" t="str">
        <f t="shared" si="69"/>
        <v>"%USERPROFILE%\Documents\GitHub\eaglep3\Utilities\RefineRTDCRunTimes.py" --tripid 836-22 --locoid 4025 --swversion DE.1.0.9.0 --startMP 300:23709 --initTime 2017-08-22T18:20:22 --startdatetime 2017-08-22T18:22:00 --delay 1 --endMP 204:657 --enddatetime 2017-08-22T18:30:32 --enforcementcount 0 &gt;&gt;C:\Users\stu\Documents\GitHub\eaglep3-reporting\EC\2017-08-22-refined-times.txt</v>
      </c>
      <c r="AI199" s="96" t="str">
        <f t="shared" si="70"/>
        <v>echo {"issue":{"subject":"Wi-MAX data drop","project_id":79,"tracker_id":40,"status_id":1,"priority_id":2,"assigned_to_id":23,"start_date":"2017-08-22","description":"","custom_fields":[{"id":1,"name":"Subdivision","value":"NW"},{"id":4,"name":"Milepost","value":"0.0657"},{"id":17,"name":"Train ID","value":"836-22"},{"id":16,"name":"Locomotive ID","value":"4025"},{"id":130,"name":"Impact","value":""},{"id":150,"name":"Time of Event (Mountain Time)","value":"18:30:32"},{"id":151,"name":"Denver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1"/>
        <v>start /low /b %USERPROFILE%\Documents\GitHub\eaglep3\Utilities\DownloadLogsFromS3.py --loco 4025 --day 2017-08-22</v>
      </c>
      <c r="AN199" s="151" t="str">
        <f t="shared" si="72"/>
        <v>echo {"issue":{"subject":"Wi-MAX data drop","project_id":30,"tracker_id":4,"status_id":1,"priority_id":1,"assigned_to_id":10,"start_date":"2017-08-23","description":"","custom_fields":[{"id":30,"name":"Category","value":"Issue"},{"id":3,"name":"Functional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00:30:32"},{"id":29,"name":"Sharepoint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589</v>
      </c>
      <c r="B200" s="7">
        <v>4025</v>
      </c>
      <c r="C200" s="21" t="s">
        <v>198</v>
      </c>
      <c r="D200" s="21" t="s">
        <v>953</v>
      </c>
      <c r="E200" s="13">
        <v>42969.754976851851</v>
      </c>
      <c r="F200" s="13">
        <v>42969.765277777777</v>
      </c>
      <c r="G200" s="7">
        <v>1</v>
      </c>
      <c r="H200" s="21" t="s">
        <v>954</v>
      </c>
      <c r="I200" s="13">
        <v>42969.771203703705</v>
      </c>
      <c r="J200" s="7">
        <v>0</v>
      </c>
      <c r="K200" s="89" t="str">
        <f t="shared" si="55"/>
        <v>4025/4026</v>
      </c>
      <c r="L200" s="217" t="str">
        <f>VLOOKUP(A200,'Trips&amp;Operators'!$C$1:$G$99911,5,FALSE)</f>
        <v>BARRON PERLA</v>
      </c>
      <c r="M200" s="6">
        <f t="shared" si="56"/>
        <v>5.9259259287500754E-3</v>
      </c>
      <c r="N200" s="7"/>
      <c r="O200" s="7"/>
      <c r="P200" s="7"/>
      <c r="Q200" s="22"/>
      <c r="R200" s="170"/>
      <c r="S200" s="213"/>
      <c r="T200" s="195" t="str">
        <f t="shared" si="59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6" t="str">
        <f t="shared" si="60"/>
        <v>https://d0f6bd738d7f1b3e5a7ca70fe4ff75f0.us-east-1.aws.found.io/app/kibana#/discover/Steve-Slow-Train-Analysis-(2080s-and-2083s)?_g=(refreshInterval:(display:Off,pause:!f,section:0,value:0),time:(from:'2017-08-22T17:07:10-0600',mode:absolute,to:'2017-08-22T19:30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97" t="str">
        <f>IF(AA200&lt;VLOOKUP(AG200,Variables!$AC$3:$AD$8,2,FALSE),"Y","N")</f>
        <v>Y</v>
      </c>
      <c r="X200" s="197">
        <f t="shared" si="61"/>
        <v>0</v>
      </c>
      <c r="Y200" s="197">
        <f t="shared" si="62"/>
        <v>5.8666</v>
      </c>
      <c r="Z200" s="197">
        <f t="shared" si="63"/>
        <v>2.3706999999999998</v>
      </c>
      <c r="AA200" s="197">
        <f t="shared" si="64"/>
        <v>3.4959000000000002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65"/>
        <v>836</v>
      </c>
      <c r="AE200" s="77" t="str">
        <f t="shared" si="66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200" s="74" t="str">
        <f t="shared" si="67"/>
        <v>"C:\Program Files (x86)\AstroGrep\AstroGrep.exe" /e /r /s /spath="%USERPROFILE%\AppData\Local\Temp\OnboardLogs" /stypes="app*4025*20170823*" /stext=" 00:.+((SYSTEM_STATE.+slice.+state.+changed )|(ment ac)|(multiple cpu faults)|(system.+state.+changed )|(\[timeout)|(PRM\|1\|D)|(kpr)|(kdp)|(train st.+moving)|(\|lc)|(penalty))"</v>
      </c>
      <c r="AG200" s="209" t="str">
        <f t="shared" si="68"/>
        <v>NW</v>
      </c>
      <c r="AH200" s="78" t="str">
        <f t="shared" si="69"/>
        <v>"%USERPROFILE%\Documents\GitHub\eaglep3\Utilities\RefineRTDCRunTimes.py" --tripid 836-22 --locoid 4025 --swversion DE.1.0.9.0 --startMP 300:58666 --initTime 2017-08-22T18:07:10 --startdatetime 2017-08-22T18:22:00 --delay 1 --endMP 300:23707 --enddatetime 2017-08-22T18:30:32 --enforcementcount 0 &gt;&gt;C:\Users\stu\Documents\GitHub\eaglep3-reporting\EC\2017-08-22-refined-times.txt</v>
      </c>
      <c r="AI200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{"issue":{"subject":"","project_id":79,"tracker_id":40,"status_id":1,"priority_id":2,"assigned_to_id":23,"start_date":"2017-08-22","description":"","custom_fields":[{"id":1,"name":"Subdivision","value":"NW"},{"id":4,"name":"Milepost","value":"2.3707"},{"id":17,"name":"Train ID","value":"836-22"},{"id":16,"name":"Locomotive ID","value":"4025"},{"id":130,"name":"Impact","value":""},{"id":150,"name":"Time of Event (Mountain Time)","value":"18:30:32"},{"id":151,"name":"Denver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1"/>
        <v>start /low /b %USERPROFILE%\Documents\GitHub\eaglep3\Utilities\DownloadLogsFromS3.py --loco 4025 --day 2017-08-22</v>
      </c>
      <c r="AN200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00:30:32"},{"id":29,"name":"Sharepoint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752</v>
      </c>
      <c r="B201" s="7">
        <v>4030</v>
      </c>
      <c r="C201" s="21" t="s">
        <v>198</v>
      </c>
      <c r="D201" s="21" t="s">
        <v>955</v>
      </c>
      <c r="E201" s="13">
        <v>42969.761331018519</v>
      </c>
      <c r="F201" s="13">
        <v>42969.764756944445</v>
      </c>
      <c r="G201" s="7">
        <v>1</v>
      </c>
      <c r="H201" s="21" t="s">
        <v>956</v>
      </c>
      <c r="I201" s="13">
        <v>42969.774953703702</v>
      </c>
      <c r="J201" s="7">
        <v>0</v>
      </c>
      <c r="K201" s="89" t="str">
        <f t="shared" si="55"/>
        <v>4029/4030</v>
      </c>
      <c r="L201" s="217" t="str">
        <f>VLOOKUP(A201,'Trips&amp;Operators'!$C$1:$G$99911,5,FALSE)</f>
        <v>BRUDER RICHARD</v>
      </c>
      <c r="M201" s="6">
        <f t="shared" si="56"/>
        <v>1.0196759256359655E-2</v>
      </c>
      <c r="N201" s="7">
        <f t="shared" si="57"/>
        <v>14.683333329157904</v>
      </c>
      <c r="O201" s="7"/>
      <c r="P201" s="7"/>
      <c r="Q201" s="22"/>
      <c r="R201" s="170"/>
      <c r="S201" s="213">
        <f t="shared" si="58"/>
        <v>1</v>
      </c>
      <c r="T201" s="195" t="str">
        <f t="shared" si="59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0"/>
        <v>https://d0f6bd738d7f1b3e5a7ca70fe4ff75f0.us-east-1.aws.found.io/app/kibana#/discover/Steve-Slow-Train-Analysis-(2080s-and-2083s)?_g=(refreshInterval:(display:Off,pause:!f,section:0,value:0),time:(from:'2017-08-22T17:16:19-0600',mode:absolute,to:'2017-08-22T19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7" t="str">
        <f>IF(AA201&lt;VLOOKUP(AG201,Variables!$AC$3:$AD$8,2,FALSE),"Y","N")</f>
        <v>N</v>
      </c>
      <c r="X201" s="197">
        <f t="shared" si="61"/>
        <v>1</v>
      </c>
      <c r="Y201" s="197">
        <f t="shared" si="62"/>
        <v>0.1037</v>
      </c>
      <c r="Z201" s="197">
        <f t="shared" si="63"/>
        <v>5.8940999999999999</v>
      </c>
      <c r="AA201" s="197">
        <f t="shared" si="64"/>
        <v>5.7904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65"/>
        <v>837</v>
      </c>
      <c r="AE201" s="77" t="str">
        <f t="shared" si="66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201" s="74" t="str">
        <f t="shared" si="67"/>
        <v>"C:\Program Files (x86)\AstroGrep\AstroGrep.exe" /e /r /s /spath="%USERPROFILE%\AppData\Local\Temp\OnboardLogs" /stypes="app*4030*20170823*" /stext=" 00:.+((SYSTEM_STATE.+slice.+state.+changed )|(ment ac)|(multiple cpu faults)|(system.+state.+changed )|(\[timeout)|(PRM\|1\|D)|(kpr)|(kdp)|(train st.+moving)|(\|lc)|(penalty))"</v>
      </c>
      <c r="AG201" s="209" t="str">
        <f t="shared" si="68"/>
        <v>NW</v>
      </c>
      <c r="AH201" s="78" t="str">
        <f t="shared" si="69"/>
        <v>"%USERPROFILE%\Documents\GitHub\eaglep3\Utilities\RefineRTDCRunTimes.py" --tripid 837-22 --locoid 4030 --swversion DE.1.0.9.0 --startMP 204:1037 --initTime 2017-08-22T18:16:19 --startdatetime 2017-08-22T18:21:15 --delay 1 --endMP 300:58941 --enddatetime 2017-08-22T18:35:56 --enforcementcount 0 &gt;&gt;C:\Users\stu\Documents\GitHub\eaglep3-reporting\EC\2017-08-22-refined-times.txt</v>
      </c>
      <c r="AI201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{"issue":{"subject":"","project_id":79,"tracker_id":40,"status_id":1,"priority_id":2,"assigned_to_id":23,"start_date":"2017-08-22","description":"","custom_fields":[{"id":1,"name":"Subdivision","value":"NW"},{"id":4,"name":"Milepost","value":"5.8941"},{"id":17,"name":"Train ID","value":"837-22"},{"id":16,"name":"Locomotive ID","value":"4030"},{"id":130,"name":"Impact","value":""},{"id":150,"name":"Time of Event (Mountain Time)","value":"18:35:56"},{"id":151,"name":"Denver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1"/>
        <v>start /low /b %USERPROFILE%\Documents\GitHub\eaglep3\Utilities\DownloadLogsFromS3.py --loco 4030 --day 2017-08-22</v>
      </c>
      <c r="AN201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757</v>
      </c>
      <c r="B202" s="7">
        <v>4029</v>
      </c>
      <c r="C202" s="21" t="s">
        <v>198</v>
      </c>
      <c r="D202" s="21" t="s">
        <v>529</v>
      </c>
      <c r="E202" s="13">
        <v>42969.776064814818</v>
      </c>
      <c r="F202" s="13">
        <v>42969.77789351852</v>
      </c>
      <c r="G202" s="7">
        <v>1</v>
      </c>
      <c r="H202" s="21" t="s">
        <v>957</v>
      </c>
      <c r="I202" s="13">
        <v>42969.788518518515</v>
      </c>
      <c r="J202" s="7">
        <v>0</v>
      </c>
      <c r="K202" s="89" t="str">
        <f t="shared" si="55"/>
        <v>4029/4030</v>
      </c>
      <c r="L202" s="217" t="str">
        <f>VLOOKUP(A202,'Trips&amp;Operators'!$C$1:$G$99911,5,FALSE)</f>
        <v>BRUDER RICHARD</v>
      </c>
      <c r="M202" s="6">
        <f t="shared" si="56"/>
        <v>1.0624999995343387E-2</v>
      </c>
      <c r="N202" s="7">
        <f t="shared" si="57"/>
        <v>15.299999993294477</v>
      </c>
      <c r="O202" s="7"/>
      <c r="P202" s="7"/>
      <c r="Q202" s="22"/>
      <c r="R202" s="170"/>
      <c r="S202" s="213">
        <f t="shared" si="58"/>
        <v>1</v>
      </c>
      <c r="T202" s="195" t="str">
        <f t="shared" si="59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0"/>
        <v>https://d0f6bd738d7f1b3e5a7ca70fe4ff75f0.us-east-1.aws.found.io/app/kibana#/discover/Steve-Slow-Train-Analysis-(2080s-and-2083s)?_g=(refreshInterval:(display:Off,pause:!f,section:0,value:0),time:(from:'2017-08-22T17:37:32-0600',mode:absolute,to:'2017-08-22T19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197" t="str">
        <f>IF(AA202&lt;VLOOKUP(AG202,Variables!$AC$3:$AD$8,2,FALSE),"Y","N")</f>
        <v>N</v>
      </c>
      <c r="X202" s="197">
        <f t="shared" si="61"/>
        <v>1</v>
      </c>
      <c r="Y202" s="197">
        <f t="shared" si="62"/>
        <v>5.8625999999999996</v>
      </c>
      <c r="Z202" s="197">
        <f t="shared" si="63"/>
        <v>7.3800000000000004E-2</v>
      </c>
      <c r="AA202" s="197">
        <f t="shared" si="64"/>
        <v>5.7887999999999993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65"/>
        <v>838</v>
      </c>
      <c r="AE202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202" s="74" t="str">
        <f t="shared" si="67"/>
        <v>"C:\Program Files (x86)\AstroGrep\AstroGrep.exe" /e /r /s /spath="%USERPROFILE%\AppData\Local\Temp\OnboardLogs" /stypes="app*4029*20170823*" /stext=" 00:.+((SYSTEM_STATE.+slice.+state.+changed )|(ment ac)|(multiple cpu faults)|(system.+state.+changed )|(\[timeout)|(PRM\|1\|D)|(kpr)|(kdp)|(train st.+moving)|(\|lc)|(penalty))"</v>
      </c>
      <c r="AG202" s="209" t="str">
        <f t="shared" si="68"/>
        <v>NW</v>
      </c>
      <c r="AH202" s="78" t="str">
        <f t="shared" si="69"/>
        <v>"%USERPROFILE%\Documents\GitHub\eaglep3\Utilities\RefineRTDCRunTimes.py" --tripid 838-22 --locoid 4029 --swversion DE.1.0.9.0 --startMP 300:58626 --initTime 2017-08-22T18:37:32 --startdatetime 2017-08-22T18:40:10 --delay 1 --endMP 204:738 --enddatetime 2017-08-22T18:55:28 --enforcementcount 0 &gt;&gt;C:\Users\stu\Documents\GitHub\eaglep3-reporting\EC\2017-08-22-refined-times.txt</v>
      </c>
      <c r="AI202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{"issue":{"subject":"","project_id":79,"tracker_id":40,"status_id":1,"priority_id":2,"assigned_to_id":23,"start_date":"2017-08-22","description":"","custom_fields":[{"id":1,"name":"Subdivision","value":"NW"},{"id":4,"name":"Milepost","value":"0.0738"},{"id":17,"name":"Train ID","value":"838-22"},{"id":16,"name":"Locomotive ID","value":"4029"},{"id":130,"name":"Impact","value":""},{"id":150,"name":"Time of Event (Mountain Time)","value":"18:55:28"},{"id":151,"name":"Denver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1"/>
        <v>start /low /b %USERPROFILE%\Documents\GitHub\eaglep3\Utilities\DownloadLogsFromS3.py --loco 4029 --day 2017-08-22</v>
      </c>
      <c r="AN202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759</v>
      </c>
      <c r="B203" s="7">
        <v>4026</v>
      </c>
      <c r="C203" s="21" t="s">
        <v>198</v>
      </c>
      <c r="D203" s="21" t="s">
        <v>546</v>
      </c>
      <c r="E203" s="13">
        <v>42969.782812500001</v>
      </c>
      <c r="F203" s="13">
        <v>42969.785694444443</v>
      </c>
      <c r="G203" s="7">
        <v>1</v>
      </c>
      <c r="H203" s="21" t="s">
        <v>958</v>
      </c>
      <c r="I203" s="13">
        <v>42969.794641203705</v>
      </c>
      <c r="J203" s="7">
        <v>0</v>
      </c>
      <c r="K203" s="89" t="str">
        <f t="shared" si="55"/>
        <v>4025/4026</v>
      </c>
      <c r="L203" s="217" t="str">
        <f>VLOOKUP(A203,'Trips&amp;Operators'!$C$1:$G$99911,5,FALSE)</f>
        <v>BARRON PERLA</v>
      </c>
      <c r="M203" s="6">
        <f t="shared" si="56"/>
        <v>8.9467592624714598E-3</v>
      </c>
      <c r="N203" s="7">
        <f t="shared" si="57"/>
        <v>12.883333337958902</v>
      </c>
      <c r="O203" s="7"/>
      <c r="P203" s="7"/>
      <c r="Q203" s="22"/>
      <c r="R203" s="170"/>
      <c r="S203" s="213">
        <f t="shared" si="58"/>
        <v>1</v>
      </c>
      <c r="T203" s="195" t="str">
        <f t="shared" si="59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0"/>
        <v>https://d0f6bd738d7f1b3e5a7ca70fe4ff75f0.us-east-1.aws.found.io/app/kibana#/discover/Steve-Slow-Train-Analysis-(2080s-and-2083s)?_g=(refreshInterval:(display:Off,pause:!f,section:0,value:0),time:(from:'2017-08-22T17:47:15-0600',mode:absolute,to:'2017-08-22T20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97" t="str">
        <f>IF(AA203&lt;VLOOKUP(AG203,Variables!$AC$3:$AD$8,2,FALSE),"Y","N")</f>
        <v>N</v>
      </c>
      <c r="X203" s="197">
        <f t="shared" si="61"/>
        <v>1</v>
      </c>
      <c r="Y203" s="197">
        <f t="shared" si="62"/>
        <v>9.74E-2</v>
      </c>
      <c r="Z203" s="197">
        <f t="shared" si="63"/>
        <v>5.8939000000000004</v>
      </c>
      <c r="AA203" s="197">
        <f t="shared" si="64"/>
        <v>5.7965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65"/>
        <v>839</v>
      </c>
      <c r="AE203" s="77" t="str">
        <f t="shared" si="66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203" s="74" t="str">
        <f t="shared" si="67"/>
        <v>"C:\Program Files (x86)\AstroGrep\AstroGrep.exe" /e /r /s /spath="%USERPROFILE%\AppData\Local\Temp\OnboardLogs" /stypes="app*4026*20170823*" /stext=" 01:.+((SYSTEM_STATE.+slice.+state.+changed )|(ment ac)|(multiple cpu faults)|(system.+state.+changed )|(\[timeout)|(PRM\|1\|D)|(kpr)|(kdp)|(train st.+moving)|(\|lc)|(penalty))"</v>
      </c>
      <c r="AG203" s="209" t="str">
        <f t="shared" si="68"/>
        <v>NW</v>
      </c>
      <c r="AH203" s="78" t="str">
        <f t="shared" si="69"/>
        <v>"%USERPROFILE%\Documents\GitHub\eaglep3\Utilities\RefineRTDCRunTimes.py" --tripid 839-22 --locoid 4026 --swversion DE.1.0.9.0 --startMP 204:974 --initTime 2017-08-22T18:47:15 --startdatetime 2017-08-22T18:51:24 --delay 1 --endMP 300:58939 --enddatetime 2017-08-22T19:04:17 --enforcementcount 0 &gt;&gt;C:\Users\stu\Documents\GitHub\eaglep3-reporting\EC\2017-08-22-refined-times.txt</v>
      </c>
      <c r="AI203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{"issue":{"subject":"","project_id":79,"tracker_id":40,"status_id":1,"priority_id":2,"assigned_to_id":23,"start_date":"2017-08-22","description":"","custom_fields":[{"id":1,"name":"Subdivision","value":"NW"},{"id":4,"name":"Milepost","value":"5.8939"},{"id":17,"name":"Train ID","value":"839-22"},{"id":16,"name":"Locomotive ID","value":"4026"},{"id":130,"name":"Impact","value":""},{"id":150,"name":"Time of Event (Mountain Time)","value":"19:04:17"},{"id":151,"name":"Denver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1"/>
        <v>start /low /b %USERPROFILE%\Documents\GitHub\eaglep3\Utilities\DownloadLogsFromS3.py --loco 4026 --day 2017-08-22</v>
      </c>
      <c r="AN203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767</v>
      </c>
      <c r="B204" s="7">
        <v>4029</v>
      </c>
      <c r="C204" s="21" t="s">
        <v>198</v>
      </c>
      <c r="D204" s="21" t="s">
        <v>547</v>
      </c>
      <c r="E204" s="13">
        <v>42969.816967592589</v>
      </c>
      <c r="F204" s="13">
        <v>42969.818379629629</v>
      </c>
      <c r="G204" s="7">
        <v>1</v>
      </c>
      <c r="H204" s="21" t="s">
        <v>959</v>
      </c>
      <c r="I204" s="13">
        <v>42969.830011574071</v>
      </c>
      <c r="J204" s="7">
        <v>0</v>
      </c>
      <c r="K204" s="89" t="str">
        <f t="shared" si="55"/>
        <v>4029/4030</v>
      </c>
      <c r="L204" s="217" t="str">
        <f>VLOOKUP(A204,'Trips&amp;Operators'!$C$1:$G$99911,5,FALSE)</f>
        <v>BRUDER RICHARD</v>
      </c>
      <c r="M204" s="6">
        <f t="shared" si="56"/>
        <v>1.1631944442342501E-2</v>
      </c>
      <c r="N204" s="7">
        <f t="shared" si="57"/>
        <v>16.749999996973202</v>
      </c>
      <c r="O204" s="7"/>
      <c r="P204" s="7"/>
      <c r="Q204" s="22"/>
      <c r="R204" s="170"/>
      <c r="S204" s="213">
        <f t="shared" si="58"/>
        <v>1</v>
      </c>
      <c r="T204" s="195" t="str">
        <f t="shared" si="59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0"/>
        <v>https://d0f6bd738d7f1b3e5a7ca70fe4ff75f0.us-east-1.aws.found.io/app/kibana#/discover/Steve-Slow-Train-Analysis-(2080s-and-2083s)?_g=(refreshInterval:(display:Off,pause:!f,section:0,value:0),time:(from:'2017-08-22T18:36:26-0600',mode:absolute,to:'2017-08-22T20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197" t="str">
        <f>IF(AA204&lt;VLOOKUP(AG204,Variables!$AC$3:$AD$8,2,FALSE),"Y","N")</f>
        <v>N</v>
      </c>
      <c r="X204" s="197">
        <f t="shared" si="61"/>
        <v>1</v>
      </c>
      <c r="Y204" s="197">
        <f t="shared" si="62"/>
        <v>5.8639999999999999</v>
      </c>
      <c r="Z204" s="197">
        <f t="shared" si="63"/>
        <v>7.4499999999999997E-2</v>
      </c>
      <c r="AA204" s="197">
        <f t="shared" si="64"/>
        <v>5.7895000000000003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65"/>
        <v>840</v>
      </c>
      <c r="AE204" s="77" t="str">
        <f t="shared" si="66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204" s="74" t="str">
        <f t="shared" si="67"/>
        <v>"C:\Program Files (x86)\AstroGrep\AstroGrep.exe" /e /r /s /spath="%USERPROFILE%\AppData\Local\Temp\OnboardLogs" /stypes="app*4029*20170823*" /stext=" 01:.+((SYSTEM_STATE.+slice.+state.+changed )|(ment ac)|(multiple cpu faults)|(system.+state.+changed )|(\[timeout)|(PRM\|1\|D)|(kpr)|(kdp)|(train st.+moving)|(\|lc)|(penalty))"</v>
      </c>
      <c r="AG204" s="209" t="str">
        <f t="shared" si="68"/>
        <v>NW</v>
      </c>
      <c r="AH204" s="78" t="str">
        <f t="shared" si="69"/>
        <v>"%USERPROFILE%\Documents\GitHub\eaglep3\Utilities\RefineRTDCRunTimes.py" --tripid 840-22 --locoid 4029 --swversion DE.1.0.9.0 --startMP 300:58640 --initTime 2017-08-22T19:36:26 --startdatetime 2017-08-22T19:38:28 --delay 1 --endMP 204:745 --enddatetime 2017-08-22T19:55:13 --enforcementcount 0 &gt;&gt;C:\Users\stu\Documents\GitHub\eaglep3-reporting\EC\2017-08-22-refined-times.txt</v>
      </c>
      <c r="AI204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{"issue":{"subject":"","project_id":79,"tracker_id":40,"status_id":1,"priority_id":2,"assigned_to_id":23,"start_date":"2017-08-22","description":"","custom_fields":[{"id":1,"name":"Subdivision","value":"NW"},{"id":4,"name":"Milepost","value":"0.0745"},{"id":17,"name":"Train ID","value":"840-22"},{"id":16,"name":"Locomotive ID","value":"4029"},{"id":130,"name":"Impact","value":""},{"id":150,"name":"Time of Event (Mountain Time)","value":"19:55:13"},{"id":151,"name":"Denver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4029 --day 2017-08-22</v>
      </c>
      <c r="AN204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764</v>
      </c>
      <c r="B205" s="7">
        <v>4030</v>
      </c>
      <c r="C205" s="21" t="s">
        <v>198</v>
      </c>
      <c r="D205" s="21" t="s">
        <v>960</v>
      </c>
      <c r="E205" s="13">
        <v>42969.803252314814</v>
      </c>
      <c r="F205" s="13">
        <v>42969.806435185186</v>
      </c>
      <c r="G205" s="7">
        <v>1</v>
      </c>
      <c r="H205" s="21" t="s">
        <v>938</v>
      </c>
      <c r="I205" s="13">
        <v>42969.816030092596</v>
      </c>
      <c r="J205" s="7">
        <v>0</v>
      </c>
      <c r="K205" s="89" t="str">
        <f t="shared" ref="K205:K237" si="73">IF(ISEVEN(B205),(B205-1)&amp;"/"&amp;B205,B205&amp;"/"&amp;(B205+1))</f>
        <v>4029/4030</v>
      </c>
      <c r="L205" s="217" t="str">
        <f>VLOOKUP(A205,'Trips&amp;Operators'!$C$1:$G$99911,5,FALSE)</f>
        <v>BRUDER RICHARD</v>
      </c>
      <c r="M205" s="6">
        <f t="shared" ref="M205:M237" si="74">I205-F205</f>
        <v>9.5949074093368836E-3</v>
      </c>
      <c r="N205" s="7">
        <f t="shared" ref="N205:P237" si="75">24*60*SUM($M205:$M205)</f>
        <v>13.816666669445112</v>
      </c>
      <c r="O205" s="7"/>
      <c r="P205" s="7"/>
      <c r="Q205" s="22"/>
      <c r="R205" s="170"/>
      <c r="S205" s="213">
        <f t="shared" ref="S205:S237" si="76">1/IF(AG205="EC",12,1)*SUM(U205:U205)</f>
        <v>1</v>
      </c>
      <c r="T205" s="195" t="str">
        <f t="shared" ref="T205:T237" si="77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7" si="7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-22T18:16:41-0600',mode:absolute,to:'2017-08-22T20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197" t="str">
        <f>IF(AA205&lt;VLOOKUP(AG205,Variables!$AC$3:$AD$8,2,FALSE),"Y","N")</f>
        <v>N</v>
      </c>
      <c r="X205" s="197">
        <f t="shared" ref="X205:X237" si="79">VALUE(LEFT(AD205,4))-VALUE(LEFT(AD204,4))</f>
        <v>1</v>
      </c>
      <c r="Y205" s="197">
        <f t="shared" ref="Y205:Y237" si="80">RIGHT(D205,LEN(D205)-4)/10000</f>
        <v>0.1011</v>
      </c>
      <c r="Z205" s="197">
        <f t="shared" ref="Z205:Z237" si="81">RIGHT(H205,LEN(H205)-4)/10000</f>
        <v>5.8949999999999996</v>
      </c>
      <c r="AA205" s="197">
        <f t="shared" ref="AA205:AA268" si="82">ABS(Z205-Y205)</f>
        <v>5.7938999999999998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37" si="83">VALUE(LEFT(A205,LEN(A205)-3))</f>
        <v>841</v>
      </c>
      <c r="AE205" s="77" t="str">
        <f t="shared" ref="AE205:AE237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205" s="74" t="str">
        <f t="shared" ref="AF205:AF237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/stypes="app*4030*20170823*" /stext=" 01:.+((SYSTEM_STATE.+slice.+state.+changed )|(ment ac)|(multiple cpu faults)|(system.+state.+changed )|(\[timeout)|(PRM\|1\|D)|(kpr)|(kdp)|(train st.+moving)|(\|lc)|(penalty))"</v>
      </c>
      <c r="AG205" s="209" t="str">
        <f t="shared" ref="AG205:AG237" si="86">DetSubdiv(A205)</f>
        <v>NW</v>
      </c>
      <c r="AH205" s="78" t="str">
        <f t="shared" si="69"/>
        <v>"%USERPROFILE%\Documents\GitHub\eaglep3\Utilities\RefineRTDCRunTimes.py" --tripid 841-22 --locoid 4030 --swversion DE.1.0.9.0 --startMP 204:1011 --initTime 2017-08-22T19:16:41 --startdatetime 2017-08-22T19:21:16 --delay 1 --endMP 300:58950 --enddatetime 2017-08-22T19:35:05 --enforcementcount 0 &gt;&gt;C:\Users\stu\Documents\GitHub\eaglep3-reporting\EC\2017-08-22-refined-times.txt</v>
      </c>
      <c r="AI205" s="96" t="str">
        <f t="shared" si="70"/>
        <v>echo {"issue":{"subject":"","project_id":79,"tracker_id":40,"status_id":1,"priority_id":2,"assigned_to_id":23,"start_date":"2017-08-22","description":"","custom_fields":[{"id":1,"name":"Subdivision","value":"NW"},{"id":4,"name":"Milepost","value":"5.895"},{"id":17,"name":"Train ID","value":"841-22"},{"id":16,"name":"Locomotive ID","value":"4030"},{"id":130,"name":"Impact","value":""},{"id":150,"name":"Time of Event (Mountain Time)","value":"19:35:05"},{"id":151,"name":"Denver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1"/>
        <v>start /low /b %USERPROFILE%\Documents\GitHub\eaglep3\Utilities\DownloadLogsFromS3.py --loco 4030 --day 2017-08-22</v>
      </c>
      <c r="AN205" s="151" t="str">
        <f t="shared" si="7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773</v>
      </c>
      <c r="B206" s="7">
        <v>4029</v>
      </c>
      <c r="C206" s="21" t="s">
        <v>198</v>
      </c>
      <c r="D206" s="21" t="s">
        <v>534</v>
      </c>
      <c r="E206" s="13">
        <v>42969.859409722223</v>
      </c>
      <c r="F206" s="13">
        <v>42969.860972222225</v>
      </c>
      <c r="G206" s="7">
        <v>1</v>
      </c>
      <c r="H206" s="21" t="s">
        <v>932</v>
      </c>
      <c r="I206" s="13">
        <v>42969.870983796296</v>
      </c>
      <c r="J206" s="7">
        <v>0</v>
      </c>
      <c r="K206" s="89" t="str">
        <f t="shared" si="73"/>
        <v>4029/4030</v>
      </c>
      <c r="L206" s="217" t="str">
        <f>VLOOKUP(A206,'Trips&amp;Operators'!$C$1:$G$99911,5,FALSE)</f>
        <v>BRUDER RICHARD</v>
      </c>
      <c r="M206" s="6">
        <f t="shared" si="74"/>
        <v>1.0011574071540963E-2</v>
      </c>
      <c r="N206" s="7">
        <f t="shared" si="75"/>
        <v>14.416666663018987</v>
      </c>
      <c r="O206" s="7"/>
      <c r="P206" s="7"/>
      <c r="Q206" s="22"/>
      <c r="R206" s="170"/>
      <c r="S206" s="213">
        <f t="shared" si="76"/>
        <v>1</v>
      </c>
      <c r="T206" s="195" t="str">
        <f t="shared" si="77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8"/>
        <v>https://d0f6bd738d7f1b3e5a7ca70fe4ff75f0.us-east-1.aws.found.io/app/kibana#/discover/Steve-Slow-Train-Analysis-(2080s-and-2083s)?_g=(refreshInterval:(display:Off,pause:!f,section:0,value:0),time:(from:'2017-08-22T19:37:33-0600',mode:absolute,to:'2017-08-22T21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197" t="str">
        <f>IF(AA206&lt;VLOOKUP(AG206,Variables!$AC$3:$AD$8,2,FALSE),"Y","N")</f>
        <v>N</v>
      </c>
      <c r="X206" s="197">
        <f t="shared" si="79"/>
        <v>1</v>
      </c>
      <c r="Y206" s="197">
        <f t="shared" si="80"/>
        <v>5.8632</v>
      </c>
      <c r="Z206" s="197">
        <f t="shared" si="81"/>
        <v>7.3999999999999996E-2</v>
      </c>
      <c r="AA206" s="197">
        <f t="shared" si="82"/>
        <v>5.7892000000000001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83"/>
        <v>842</v>
      </c>
      <c r="AE206" s="77" t="str">
        <f t="shared" si="84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206" s="74" t="str">
        <f t="shared" si="85"/>
        <v>"C:\Program Files (x86)\AstroGrep\AstroGrep.exe" /e /r /s /spath="%USERPROFILE%\AppData\Local\Temp\OnboardLogs" /stypes="app*4029*20170823*" /stext=" 02:.+((SYSTEM_STATE.+slice.+state.+changed )|(ment ac)|(multiple cpu faults)|(system.+state.+changed )|(\[timeout)|(PRM\|1\|D)|(kpr)|(kdp)|(train st.+moving)|(\|lc)|(penalty))"</v>
      </c>
      <c r="AG206" s="209" t="str">
        <f t="shared" si="86"/>
        <v>NW</v>
      </c>
      <c r="AH206" s="78" t="str">
        <f t="shared" ref="AH206:AH237" si="8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842-22 --locoid 4029 --swversion DE.1.0.9.0 --startMP 300:58632 --initTime 2017-08-22T20:37:33 --startdatetime 2017-08-22T20:39:48 --delay 1 --endMP 204:740 --enddatetime 2017-08-22T20:54:13 --enforcementcount 0 &gt;&gt;C:\Users\stu\Documents\GitHub\eaglep3-reporting\EC\2017-08-22-refined-times.txt</v>
      </c>
      <c r="AI206" s="96" t="str">
        <f t="shared" ref="AI206:AI237" si="8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{"issue":{"subject":"","project_id":79,"tracker_id":40,"status_id":1,"priority_id":2,"assigned_to_id":23,"start_date":"2017-08-22","description":"","custom_fields":[{"id":1,"name":"Subdivision","value":"NW"},{"id":4,"name":"Milepost","value":"0.074"},{"id":17,"name":"Train ID","value":"842-22"},{"id":16,"name":"Locomotive ID","value":"4029"},{"id":130,"name":"Impact","value":""},{"id":150,"name":"Time of Event (Mountain Time)","value":"20:54:13"},{"id":151,"name":"Denver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37" si="89">"start /low /b "&amp;dls3logs&amp;" --loco "&amp;B206&amp;" --day "&amp;TEXT(F206,"YYYY-MM-DD")</f>
        <v>start /low /b %USERPROFILE%\Documents\GitHub\eaglep3\Utilities\DownloadLogsFromS3.py --loco 4029 --day 2017-08-22</v>
      </c>
      <c r="AN206" s="151" t="str">
        <f t="shared" ref="AN206:AN237" si="9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771</v>
      </c>
      <c r="B207" s="7">
        <v>4030</v>
      </c>
      <c r="C207" s="21" t="s">
        <v>198</v>
      </c>
      <c r="D207" s="21" t="s">
        <v>961</v>
      </c>
      <c r="E207" s="13">
        <v>42969.844606481478</v>
      </c>
      <c r="F207" s="13">
        <v>42969.848101851851</v>
      </c>
      <c r="G207" s="7">
        <v>1</v>
      </c>
      <c r="H207" s="21" t="s">
        <v>962</v>
      </c>
      <c r="I207" s="13">
        <v>42969.857974537037</v>
      </c>
      <c r="J207" s="7">
        <v>0</v>
      </c>
      <c r="K207" s="89" t="str">
        <f t="shared" si="73"/>
        <v>4029/4030</v>
      </c>
      <c r="L207" s="217" t="str">
        <f>VLOOKUP(A207,'Trips&amp;Operators'!$C$1:$G$99911,5,FALSE)</f>
        <v>BRUDER RICHARD</v>
      </c>
      <c r="M207" s="6">
        <f t="shared" si="74"/>
        <v>9.8726851865649223E-3</v>
      </c>
      <c r="N207" s="7">
        <f t="shared" si="75"/>
        <v>14.216666668653488</v>
      </c>
      <c r="O207" s="7"/>
      <c r="P207" s="7"/>
      <c r="Q207" s="22"/>
      <c r="R207" s="170"/>
      <c r="S207" s="213">
        <f t="shared" si="76"/>
        <v>1</v>
      </c>
      <c r="T207" s="195" t="str">
        <f t="shared" si="77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8"/>
        <v>https://d0f6bd738d7f1b3e5a7ca70fe4ff75f0.us-east-1.aws.found.io/app/kibana#/discover/Steve-Slow-Train-Analysis-(2080s-and-2083s)?_g=(refreshInterval:(display:Off,pause:!f,section:0,value:0),time:(from:'2017-08-22T19:16:14-0600',mode:absolute,to:'2017-08-22T21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97" t="str">
        <f>IF(AA207&lt;VLOOKUP(AG207,Variables!$AC$3:$AD$8,2,FALSE),"Y","N")</f>
        <v>N</v>
      </c>
      <c r="X207" s="197">
        <f t="shared" si="79"/>
        <v>1</v>
      </c>
      <c r="Y207" s="197">
        <f t="shared" si="80"/>
        <v>0.1013</v>
      </c>
      <c r="Z207" s="197">
        <f t="shared" si="81"/>
        <v>5.8945999999999996</v>
      </c>
      <c r="AA207" s="197">
        <f t="shared" si="82"/>
        <v>5.7932999999999995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83"/>
        <v>843</v>
      </c>
      <c r="AE207" s="77" t="str">
        <f t="shared" si="84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207" s="74" t="str">
        <f t="shared" si="85"/>
        <v>"C:\Program Files (x86)\AstroGrep\AstroGrep.exe" /e /r /s /spath="%USERPROFILE%\AppData\Local\Temp\OnboardLogs" /stypes="app*4030*20170823*" /stext=" 02:.+((SYSTEM_STATE.+slice.+state.+changed )|(ment ac)|(multiple cpu faults)|(system.+state.+changed )|(\[timeout)|(PRM\|1\|D)|(kpr)|(kdp)|(train st.+moving)|(\|lc)|(penalty))"</v>
      </c>
      <c r="AG207" s="209" t="str">
        <f t="shared" si="86"/>
        <v>NW</v>
      </c>
      <c r="AH207" s="78" t="str">
        <f t="shared" si="87"/>
        <v>"%USERPROFILE%\Documents\GitHub\eaglep3\Utilities\RefineRTDCRunTimes.py" --tripid 843-22 --locoid 4030 --swversion DE.1.0.9.0 --startMP 204:1013 --initTime 2017-08-22T20:16:14 --startdatetime 2017-08-22T20:21:16 --delay 1 --endMP 300:58946 --enddatetime 2017-08-22T20:35:29 --enforcementcount 0 &gt;&gt;C:\Users\stu\Documents\GitHub\eaglep3-reporting\EC\2017-08-22-refined-times.txt</v>
      </c>
      <c r="AI207" s="96" t="str">
        <f t="shared" si="88"/>
        <v>echo {"issue":{"subject":"","project_id":79,"tracker_id":40,"status_id":1,"priority_id":2,"assigned_to_id":23,"start_date":"2017-08-22","description":"","custom_fields":[{"id":1,"name":"Subdivision","value":"NW"},{"id":4,"name":"Milepost","value":"5.8946"},{"id":17,"name":"Train ID","value":"843-22"},{"id":16,"name":"Locomotive ID","value":"4030"},{"id":130,"name":"Impact","value":""},{"id":150,"name":"Time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9"/>
        <v>start /low /b %USERPROFILE%\Documents\GitHub\eaglep3\Utilities\DownloadLogsFromS3.py --loco 4030 --day 2017-08-22</v>
      </c>
      <c r="AN207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778</v>
      </c>
      <c r="B208" s="7">
        <v>4029</v>
      </c>
      <c r="C208" s="21" t="s">
        <v>198</v>
      </c>
      <c r="D208" s="21" t="s">
        <v>963</v>
      </c>
      <c r="E208" s="13">
        <v>42969.90079861111</v>
      </c>
      <c r="F208" s="13">
        <v>42969.903043981481</v>
      </c>
      <c r="G208" s="7">
        <v>1</v>
      </c>
      <c r="H208" s="21" t="s">
        <v>964</v>
      </c>
      <c r="I208" s="13">
        <v>42969.913437499999</v>
      </c>
      <c r="J208" s="7">
        <v>0</v>
      </c>
      <c r="K208" s="89" t="str">
        <f t="shared" si="73"/>
        <v>4029/4030</v>
      </c>
      <c r="L208" s="217" t="str">
        <f>VLOOKUP(A208,'Trips&amp;Operators'!$C$1:$G$99911,5,FALSE)</f>
        <v>BARRON PERLA</v>
      </c>
      <c r="M208" s="6">
        <f t="shared" si="74"/>
        <v>1.0393518517958E-2</v>
      </c>
      <c r="N208" s="7">
        <f t="shared" si="75"/>
        <v>14.96666666585952</v>
      </c>
      <c r="O208" s="7"/>
      <c r="P208" s="7"/>
      <c r="Q208" s="22"/>
      <c r="R208" s="170"/>
      <c r="S208" s="213">
        <f t="shared" si="76"/>
        <v>1</v>
      </c>
      <c r="T208" s="195" t="str">
        <f t="shared" si="77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8"/>
        <v>https://d0f6bd738d7f1b3e5a7ca70fe4ff75f0.us-east-1.aws.found.io/app/kibana#/discover/Steve-Slow-Train-Analysis-(2080s-and-2083s)?_g=(refreshInterval:(display:Off,pause:!f,section:0,value:0),time:(from:'2017-08-22T20:37:09-0600',mode:absolute,to:'2017-08-22T22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7" t="str">
        <f>IF(AA208&lt;VLOOKUP(AG208,Variables!$AC$3:$AD$8,2,FALSE),"Y","N")</f>
        <v>N</v>
      </c>
      <c r="X208" s="197">
        <f t="shared" si="79"/>
        <v>1</v>
      </c>
      <c r="Y208" s="197">
        <f t="shared" si="80"/>
        <v>5.8654999999999999</v>
      </c>
      <c r="Z208" s="197">
        <f t="shared" si="81"/>
        <v>6.8699999999999997E-2</v>
      </c>
      <c r="AA208" s="197">
        <f t="shared" si="82"/>
        <v>5.7968000000000002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83"/>
        <v>844</v>
      </c>
      <c r="AE208" s="77" t="str">
        <f t="shared" si="84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208" s="74" t="str">
        <f t="shared" si="85"/>
        <v>"C:\Program Files (x86)\AstroGrep\AstroGrep.exe" /e /r /s /spath="%USERPROFILE%\AppData\Local\Temp\OnboardLogs" /stypes="app*4029*20170823*" /stext=" 03:.+((SYSTEM_STATE.+slice.+state.+changed )|(ment ac)|(multiple cpu faults)|(system.+state.+changed )|(\[timeout)|(PRM\|1\|D)|(kpr)|(kdp)|(train st.+moving)|(\|lc)|(penalty))"</v>
      </c>
      <c r="AG208" s="209" t="str">
        <f t="shared" si="86"/>
        <v>NW</v>
      </c>
      <c r="AH208" s="78" t="str">
        <f t="shared" si="87"/>
        <v>"%USERPROFILE%\Documents\GitHub\eaglep3\Utilities\RefineRTDCRunTimes.py" --tripid 844-22 --locoid 4029 --swversion DE.1.0.9.0 --startMP 300:58655 --initTime 2017-08-22T21:37:09 --startdatetime 2017-08-22T21:40:23 --delay 1 --endMP 204:687 --enddatetime 2017-08-22T21:55:21 --enforcementcount 0 &gt;&gt;C:\Users\stu\Documents\GitHub\eaglep3-reporting\EC\2017-08-22-refined-times.txt</v>
      </c>
      <c r="AI208" s="96" t="str">
        <f t="shared" si="88"/>
        <v>echo {"issue":{"subject":"","project_id":79,"tracker_id":40,"status_id":1,"priority_id":2,"assigned_to_id":23,"start_date":"2017-08-22","description":"","custom_fields":[{"id":1,"name":"Subdivision","value":"NW"},{"id":4,"name":"Milepost","value":"0.0687"},{"id":17,"name":"Train ID","value":"844-22"},{"id":16,"name":"Locomotive ID","value":"4029"},{"id":130,"name":"Impact","value":""},{"id":150,"name":"Time of Event (Mountain Time)","value":"21:55:21"},{"id":151,"name":"Denver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9"/>
        <v>start /low /b %USERPROFILE%\Documents\GitHub\eaglep3\Utilities\DownloadLogsFromS3.py --loco 4029 --day 2017-08-22</v>
      </c>
      <c r="AN208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775</v>
      </c>
      <c r="B209" s="7">
        <v>4030</v>
      </c>
      <c r="C209" s="21" t="s">
        <v>198</v>
      </c>
      <c r="D209" s="21" t="s">
        <v>965</v>
      </c>
      <c r="E209" s="13">
        <v>42969.882962962962</v>
      </c>
      <c r="F209" s="13">
        <v>42969.889907407407</v>
      </c>
      <c r="G209" s="7">
        <v>2</v>
      </c>
      <c r="H209" s="21" t="s">
        <v>966</v>
      </c>
      <c r="I209" s="13">
        <v>42969.899745370371</v>
      </c>
      <c r="J209" s="7">
        <v>0</v>
      </c>
      <c r="K209" s="89" t="str">
        <f t="shared" si="73"/>
        <v>4029/4030</v>
      </c>
      <c r="L209" s="217" t="str">
        <f>VLOOKUP(A209,'Trips&amp;Operators'!$C$1:$G$99911,5,FALSE)</f>
        <v>BARRON PERLA</v>
      </c>
      <c r="M209" s="6">
        <f t="shared" si="74"/>
        <v>9.8379629635019228E-3</v>
      </c>
      <c r="N209" s="7">
        <f t="shared" si="75"/>
        <v>14.166666667442769</v>
      </c>
      <c r="O209" s="7"/>
      <c r="P209" s="7"/>
      <c r="Q209" s="22"/>
      <c r="R209" s="170"/>
      <c r="S209" s="213">
        <f t="shared" si="76"/>
        <v>1</v>
      </c>
      <c r="T209" s="195" t="str">
        <f t="shared" si="77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8"/>
        <v>https://d0f6bd738d7f1b3e5a7ca70fe4ff75f0.us-east-1.aws.found.io/app/kibana#/discover/Steve-Slow-Train-Analysis-(2080s-and-2083s)?_g=(refreshInterval:(display:Off,pause:!f,section:0,value:0),time:(from:'2017-08-22T20:11:28-0600',mode:absolute,to:'2017-08-22T22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7" t="str">
        <f>IF(AA209&lt;VLOOKUP(AG209,Variables!$AC$3:$AD$8,2,FALSE),"Y","N")</f>
        <v>N</v>
      </c>
      <c r="X209" s="197">
        <f t="shared" si="79"/>
        <v>1</v>
      </c>
      <c r="Y209" s="197">
        <f t="shared" si="80"/>
        <v>0.1018</v>
      </c>
      <c r="Z209" s="197">
        <f t="shared" si="81"/>
        <v>5.8973000000000004</v>
      </c>
      <c r="AA209" s="197">
        <f t="shared" si="82"/>
        <v>5.7955000000000005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83"/>
        <v>845</v>
      </c>
      <c r="AE209" s="77" t="str">
        <f t="shared" si="84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209" s="74" t="str">
        <f t="shared" si="85"/>
        <v>"C:\Program Files (x86)\AstroGrep\AstroGrep.exe" /e /r /s /spath="%USERPROFILE%\AppData\Local\Temp\OnboardLogs" /stypes="app*4030*20170823*" /stext=" 03:.+((SYSTEM_STATE.+slice.+state.+changed )|(ment ac)|(multiple cpu faults)|(system.+state.+changed )|(\[timeout)|(PRM\|1\|D)|(kpr)|(kdp)|(train st.+moving)|(\|lc)|(penalty))"</v>
      </c>
      <c r="AG209" s="209" t="str">
        <f t="shared" si="86"/>
        <v>NW</v>
      </c>
      <c r="AH209" s="78" t="str">
        <f t="shared" si="87"/>
        <v>"%USERPROFILE%\Documents\GitHub\eaglep3\Utilities\RefineRTDCRunTimes.py" --tripid 845-22 --locoid 4030 --swversion DE.1.0.9.0 --startMP 204:1018 --initTime 2017-08-22T21:11:28 --startdatetime 2017-08-22T21:21:28 --delay 2 --endMP 300:58973 --enddatetime 2017-08-22T21:35:38 --enforcementcount 0 &gt;&gt;C:\Users\stu\Documents\GitHub\eaglep3-reporting\EC\2017-08-22-refined-times.txt</v>
      </c>
      <c r="AI209" s="96" t="str">
        <f t="shared" si="88"/>
        <v>echo {"issue":{"subject":"","project_id":79,"tracker_id":40,"status_id":1,"priority_id":2,"assigned_to_id":23,"start_date":"2017-08-22","description":"","custom_fields":[{"id":1,"name":"Subdivision","value":"NW"},{"id":4,"name":"Milepost","value":"5.8973"},{"id":17,"name":"Train ID","value":"845-22"},{"id":16,"name":"Locomotive ID","value":"4030"},{"id":130,"name":"Impact","value":""},{"id":150,"name":"Time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9"/>
        <v>start /low /b %USERPROFILE%\Documents\GitHub\eaglep3\Utilities\DownloadLogsFromS3.py --loco 4030 --day 2017-08-22</v>
      </c>
      <c r="AN209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781</v>
      </c>
      <c r="B210" s="7">
        <v>4030</v>
      </c>
      <c r="C210" s="21" t="s">
        <v>198</v>
      </c>
      <c r="D210" s="21" t="s">
        <v>546</v>
      </c>
      <c r="E210" s="13">
        <v>42969.926053240742</v>
      </c>
      <c r="F210" s="13">
        <v>42969.931585648148</v>
      </c>
      <c r="G210" s="7">
        <v>1</v>
      </c>
      <c r="H210" s="21" t="s">
        <v>956</v>
      </c>
      <c r="I210" s="13">
        <v>42969.940266203703</v>
      </c>
      <c r="J210" s="7">
        <v>0</v>
      </c>
      <c r="K210" s="89" t="str">
        <f t="shared" si="73"/>
        <v>4029/4030</v>
      </c>
      <c r="L210" s="217" t="str">
        <f>VLOOKUP(A210,'Trips&amp;Operators'!$C$1:$G$99911,5,FALSE)</f>
        <v>BARRON PERLA</v>
      </c>
      <c r="M210" s="6">
        <f t="shared" si="74"/>
        <v>8.6805555547471158E-3</v>
      </c>
      <c r="N210" s="7">
        <f t="shared" si="75"/>
        <v>12.499999998835847</v>
      </c>
      <c r="O210" s="7"/>
      <c r="P210" s="7"/>
      <c r="Q210" s="22"/>
      <c r="R210" s="170"/>
      <c r="S210" s="213">
        <f t="shared" si="76"/>
        <v>1</v>
      </c>
      <c r="T210" s="195" t="str">
        <f t="shared" si="77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8"/>
        <v>https://d0f6bd738d7f1b3e5a7ca70fe4ff75f0.us-east-1.aws.found.io/app/kibana#/discover/Steve-Slow-Train-Analysis-(2080s-and-2083s)?_g=(refreshInterval:(display:Off,pause:!f,section:0,value:0),time:(from:'2017-08-22T21:13:31-0600',mode:absolute,to:'2017-08-22T23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97" t="str">
        <f>IF(AA210&lt;VLOOKUP(AG210,Variables!$AC$3:$AD$8,2,FALSE),"Y","N")</f>
        <v>N</v>
      </c>
      <c r="X210" s="197">
        <f t="shared" si="79"/>
        <v>2</v>
      </c>
      <c r="Y210" s="197">
        <f t="shared" si="80"/>
        <v>9.74E-2</v>
      </c>
      <c r="Z210" s="197">
        <f t="shared" si="81"/>
        <v>5.8940999999999999</v>
      </c>
      <c r="AA210" s="197">
        <f t="shared" si="82"/>
        <v>5.7966999999999995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83"/>
        <v>847</v>
      </c>
      <c r="AE210" s="77" t="str">
        <f t="shared" si="84"/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AF210" s="74" t="str">
        <f t="shared" si="85"/>
        <v>"C:\Program Files (x86)\AstroGrep\AstroGrep.exe" /e /r /s /spath="%USERPROFILE%\AppData\Local\Temp\OnboardLogs" /stypes="app*4030*20170823*" /stext=" 04:.+((SYSTEM_STATE.+slice.+state.+changed )|(ment ac)|(multiple cpu faults)|(system.+state.+changed )|(\[timeout)|(PRM\|1\|D)|(kpr)|(kdp)|(train st.+moving)|(\|lc)|(penalty))"</v>
      </c>
      <c r="AG210" s="209" t="str">
        <f t="shared" si="86"/>
        <v>NW</v>
      </c>
      <c r="AH210" s="78" t="str">
        <f t="shared" si="87"/>
        <v>"%USERPROFILE%\Documents\GitHub\eaglep3\Utilities\RefineRTDCRunTimes.py" --tripid 847-22 --locoid 4030 --swversion DE.1.0.9.0 --startMP 204:974 --initTime 2017-08-22T22:13:31 --startdatetime 2017-08-22T22:21:29 --delay 1 --endMP 300:58941 --enddatetime 2017-08-22T22:33:59 --enforcementcount 0 &gt;&gt;C:\Users\stu\Documents\GitHub\eaglep3-reporting\EC\2017-08-22-refined-times.txt</v>
      </c>
      <c r="AI210" s="96" t="str">
        <f t="shared" si="88"/>
        <v>echo {"issue":{"subject":"","project_id":79,"tracker_id":40,"status_id":1,"priority_id":2,"assigned_to_id":23,"start_date":"2017-08-22","description":"","custom_fields":[{"id":1,"name":"Subdivision","value":"NW"},{"id":4,"name":"Milepost","value":"5.8941"},{"id":17,"name":"Train ID","value":"847-22"},{"id":16,"name":"Locomotive ID","value":"4030"},{"id":130,"name":"Impact","value":""},{"id":150,"name":"Time of Event (Mountain Time)","value":"22:33:59"},{"id":151,"name":"Denver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9"/>
        <v>start /low /b %USERPROFILE%\Documents\GitHub\eaglep3\Utilities\DownloadLogsFromS3.py --loco 4030 --day 2017-08-22</v>
      </c>
      <c r="AN210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04:33:59"},{"id":29,"name":"Sharepoint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498</v>
      </c>
      <c r="B211" s="7">
        <v>4011</v>
      </c>
      <c r="C211" s="21" t="s">
        <v>198</v>
      </c>
      <c r="D211" s="21" t="s">
        <v>527</v>
      </c>
      <c r="E211" s="13">
        <v>42969.113125000003</v>
      </c>
      <c r="F211" s="13">
        <v>42969.117361111108</v>
      </c>
      <c r="G211" s="7">
        <v>6</v>
      </c>
      <c r="H211" s="21" t="s">
        <v>341</v>
      </c>
      <c r="I211" s="13">
        <v>42969.12300925926</v>
      </c>
      <c r="J211" s="7">
        <v>0</v>
      </c>
      <c r="K211" s="89" t="str">
        <f t="shared" si="73"/>
        <v>4011/4012</v>
      </c>
      <c r="L211" s="217" t="str">
        <f>VLOOKUP(A211,'Trips&amp;Operators'!$C$1:$G$99911,5,FALSE)</f>
        <v>STARKS ANGELINA</v>
      </c>
      <c r="M211" s="6">
        <f t="shared" si="74"/>
        <v>5.6481481515220366E-3</v>
      </c>
      <c r="N211" s="7">
        <f t="shared" si="75"/>
        <v>8.1333333381917328</v>
      </c>
      <c r="O211" s="7"/>
      <c r="P211" s="7"/>
      <c r="Q211" s="22"/>
      <c r="R211" s="170"/>
      <c r="S211" s="213">
        <f t="shared" si="76"/>
        <v>1</v>
      </c>
      <c r="T211" s="195" t="str">
        <f t="shared" si="77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8"/>
        <v>https://d0f6bd738d7f1b3e5a7ca70fe4ff75f0.us-east-1.aws.found.io/app/kibana#/discover/Steve-Slow-Train-Analysis-(2080s-and-2083s)?_g=(refreshInterval:(display:Off,pause:!f,section:0,value:0),time:(from:'2017-08-22T01:42:54-0600',mode:absolute,to:'2017-08-22T03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197" t="str">
        <f>IF(AA211&lt;VLOOKUP(AG211,Variables!$AC$3:$AD$8,2,FALSE),"Y","N")</f>
        <v>Y</v>
      </c>
      <c r="X211" s="197">
        <f t="shared" si="79"/>
        <v>-547</v>
      </c>
      <c r="Y211" s="197">
        <f t="shared" si="80"/>
        <v>2.0272999999999999</v>
      </c>
      <c r="Z211" s="197">
        <f t="shared" si="81"/>
        <v>1.43E-2</v>
      </c>
      <c r="AA211" s="197">
        <f t="shared" si="82"/>
        <v>2.0129999999999999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83"/>
        <v>300</v>
      </c>
      <c r="AE211" s="77" t="str">
        <f t="shared" si="84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211" s="74" t="str">
        <f t="shared" si="85"/>
        <v>"C:\Program Files (x86)\AstroGrep\AstroGrep.exe" /e /r /s /spath="%USERPROFILE%\AppData\Local\Temp\OnboardLogs" /stypes="app*4011*20170822*" /stext=" 08:.+((SYSTEM_STATE.+slice.+state.+changed )|(ment ac)|(multiple cpu faults)|(system.+state.+changed )|(\[timeout)|(PRM\|1\|D)|(kpr)|(kdp)|(train st.+moving)|(\|lc)|(penalty))"</v>
      </c>
      <c r="AG211" s="209" t="str">
        <f t="shared" si="86"/>
        <v>Other</v>
      </c>
      <c r="AH211" s="78" t="str">
        <f t="shared" si="87"/>
        <v>"%USERPROFILE%\Documents\GitHub\eaglep3\Utilities\RefineRTDCRunTimes.py" --tripid 300-22 --locoid 4011 --swversion DE.1.0.9.0 --startMP 300:20273 --initTime 2017-08-22T02:42:54 --startdatetime 2017-08-22T02:49:00 --delay 6 --endMP 204:143 --enddatetime 2017-08-22T02:57:08 --enforcementcount 0 &gt;&gt;C:\Users\stu\Documents\GitHub\eaglep3-reporting\EC\2017-08-22-refined-times.txt</v>
      </c>
      <c r="AI211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{"issue":{"subject":"","project_id":79,"tracker_id":40,"status_id":1,"priority_id":2,"assigned_to_id":23,"start_date":"2017-08-22","description":"","custom_fields":[{"id":1,"name":"Subdivision","value":"Other"},{"id":4,"name":"Milepost","value":"0.0143"},{"id":17,"name":"Train ID","value":"300-22"},{"id":16,"name":"Locomotive ID","value":"4011"},{"id":130,"name":"Impact","value":""},{"id":150,"name":"Time of Event (Mountain Time)","value":"02:57:08"},{"id":151,"name":"Denver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9"/>
        <v>start /low /b %USERPROFILE%\Documents\GitHub\eaglep3\Utilities\DownloadLogsFromS3.py --loco 4011 --day 2017-08-22</v>
      </c>
      <c r="AN211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08:57:08"},{"id":29,"name":"Sharepoint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758</v>
      </c>
      <c r="B212" s="7">
        <v>4004</v>
      </c>
      <c r="C212" s="21" t="s">
        <v>198</v>
      </c>
      <c r="D212" s="21" t="s">
        <v>904</v>
      </c>
      <c r="E212" s="13">
        <v>42969.777349537035</v>
      </c>
      <c r="F212" s="13">
        <v>42969.778599537036</v>
      </c>
      <c r="G212" s="7">
        <v>1</v>
      </c>
      <c r="H212" s="21" t="s">
        <v>343</v>
      </c>
      <c r="I212" s="13">
        <v>42969.784444444442</v>
      </c>
      <c r="J212" s="7">
        <v>0</v>
      </c>
      <c r="K212" s="89" t="str">
        <f t="shared" si="73"/>
        <v>4003/4004</v>
      </c>
      <c r="L212" s="217" t="str">
        <f>VLOOKUP(A212,'Trips&amp;Operators'!$C$1:$G$99911,5,FALSE)</f>
        <v>LEVIN SCOTT</v>
      </c>
      <c r="M212" s="6">
        <f t="shared" si="74"/>
        <v>5.8449074058444239E-3</v>
      </c>
      <c r="N212" s="7">
        <f t="shared" si="75"/>
        <v>8.4166666644159704</v>
      </c>
      <c r="O212" s="7"/>
      <c r="P212" s="7"/>
      <c r="Q212" s="22"/>
      <c r="R212" s="170"/>
      <c r="S212" s="213">
        <f t="shared" si="76"/>
        <v>1</v>
      </c>
      <c r="T212" s="195" t="str">
        <f t="shared" si="77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8"/>
        <v>https://d0f6bd738d7f1b3e5a7ca70fe4ff75f0.us-east-1.aws.found.io/app/kibana#/discover/Steve-Slow-Train-Analysis-(2080s-and-2083s)?_g=(refreshInterval:(display:Off,pause:!f,section:0,value:0),time:(from:'2017-08-22T17:39:23-0600',mode:absolute,to:'2017-08-22T19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97" t="str">
        <f>IF(AA212&lt;VLOOKUP(AG212,Variables!$AC$3:$AD$8,2,FALSE),"Y","N")</f>
        <v>Y</v>
      </c>
      <c r="X212" s="197">
        <f t="shared" si="79"/>
        <v>1</v>
      </c>
      <c r="Y212" s="197">
        <f t="shared" si="80"/>
        <v>4.0399999999999998E-2</v>
      </c>
      <c r="Z212" s="197">
        <f t="shared" si="81"/>
        <v>2.3346</v>
      </c>
      <c r="AA212" s="197">
        <f t="shared" si="82"/>
        <v>2.2942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83"/>
        <v>301</v>
      </c>
      <c r="AE212" s="77" t="str">
        <f t="shared" si="84"/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AF212" s="74" t="str">
        <f t="shared" si="85"/>
        <v>"C:\Program Files (x86)\AstroGrep\AstroGrep.exe" /e /r /s /spath="%USERPROFILE%\AppData\Local\Temp\OnboardLogs" /stypes="app*4004*20170823*" /stext=" 00:.+((SYSTEM_STATE.+slice.+state.+changed )|(ment ac)|(multiple cpu faults)|(system.+state.+changed )|(\[timeout)|(PRM\|1\|D)|(kpr)|(kdp)|(train st.+moving)|(\|lc)|(penalty))"</v>
      </c>
      <c r="AG212" s="209" t="str">
        <f t="shared" si="86"/>
        <v>Other</v>
      </c>
      <c r="AH212" s="78" t="str">
        <f t="shared" si="87"/>
        <v>"%USERPROFILE%\Documents\GitHub\eaglep3\Utilities\RefineRTDCRunTimes.py" --tripid 301-22 --locoid 4004 --swversion DE.1.0.9.0 --startMP 204:404 --initTime 2017-08-22T18:39:23 --startdatetime 2017-08-22T18:41:11 --delay 1 --endMP 300:23346 --enddatetime 2017-08-22T18:49:36 --enforcementcount 0 &gt;&gt;C:\Users\stu\Documents\GitHub\eaglep3-reporting\EC\2017-08-22-refined-times.txt</v>
      </c>
      <c r="AI212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{"issue":{"subject":"","project_id":79,"tracker_id":40,"status_id":1,"priority_id":2,"assigned_to_id":23,"start_date":"2017-08-22","description":"","custom_fields":[{"id":1,"name":"Subdivision","value":"Other"},{"id":4,"name":"Milepost","value":"2.3346"},{"id":17,"name":"Train ID","value":"301-22"},{"id":16,"name":"Locomotive ID","value":"4004"},{"id":130,"name":"Impact","value":""},{"id":150,"name":"Time of Event (Mountain Time)","value":"18:49:36"},{"id":151,"name":"Denver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9"/>
        <v>start /low /b %USERPROFILE%\Documents\GitHub\eaglep3\Utilities\DownloadLogsFromS3.py --loco 4004 --day 2017-08-22</v>
      </c>
      <c r="AN212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598</v>
      </c>
      <c r="B213" s="7">
        <v>4057</v>
      </c>
      <c r="C213" s="21" t="s">
        <v>198</v>
      </c>
      <c r="D213" s="21" t="s">
        <v>905</v>
      </c>
      <c r="E213" s="13">
        <v>42969.140162037038</v>
      </c>
      <c r="F213" s="13">
        <v>42969.144097222219</v>
      </c>
      <c r="G213" s="7">
        <v>5</v>
      </c>
      <c r="H213" s="21" t="s">
        <v>381</v>
      </c>
      <c r="I213" s="13">
        <v>42969.149710648147</v>
      </c>
      <c r="J213" s="7">
        <v>0</v>
      </c>
      <c r="K213" s="89" t="str">
        <f t="shared" si="73"/>
        <v>4057/4058</v>
      </c>
      <c r="L213" s="217" t="str">
        <f>VLOOKUP(A213,'Trips&amp;Operators'!$C$1:$G$99911,5,FALSE)</f>
        <v>BONDS REYNALDO</v>
      </c>
      <c r="M213" s="6">
        <f t="shared" si="74"/>
        <v>5.6134259284590371E-3</v>
      </c>
      <c r="N213" s="7">
        <f t="shared" si="75"/>
        <v>8.0833333369810134</v>
      </c>
      <c r="O213" s="7"/>
      <c r="P213" s="7"/>
      <c r="Q213" s="22"/>
      <c r="R213" s="170"/>
      <c r="S213" s="213">
        <f t="shared" si="76"/>
        <v>1</v>
      </c>
      <c r="T213" s="195" t="str">
        <f t="shared" si="77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8"/>
        <v>https://d0f6bd738d7f1b3e5a7ca70fe4ff75f0.us-east-1.aws.found.io/app/kibana#/discover/Steve-Slow-Train-Analysis-(2080s-and-2083s)?_g=(refreshInterval:(display:Off,pause:!f,section:0,value:0),time:(from:'2017-08-22T02:21:50-0600',mode:absolute,to:'2017-08-22T04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197" t="str">
        <f>IF(AA213&lt;VLOOKUP(AG213,Variables!$AC$3:$AD$8,2,FALSE),"Y","N")</f>
        <v>Y</v>
      </c>
      <c r="X213" s="197">
        <f t="shared" si="79"/>
        <v>1</v>
      </c>
      <c r="Y213" s="197">
        <f t="shared" si="80"/>
        <v>2.3449</v>
      </c>
      <c r="Z213" s="197">
        <f t="shared" si="81"/>
        <v>1.4500000000000001E-2</v>
      </c>
      <c r="AA213" s="197">
        <f t="shared" si="82"/>
        <v>2.3304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83"/>
        <v>302</v>
      </c>
      <c r="AE213" s="77" t="str">
        <f t="shared" si="84"/>
        <v>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 &amp; 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</v>
      </c>
      <c r="AF213" s="74" t="str">
        <f t="shared" si="85"/>
        <v>"C:\Program Files (x86)\AstroGrep\AstroGrep.exe" /e /r /s /spath="%USERPROFILE%\AppData\Local\Temp\OnboardLogs" /stypes="app*4057*20170822*" /stext=" 09:.+((SYSTEM_STATE.+slice.+state.+changed )|(ment ac)|(multiple cpu faults)|(system.+state.+changed )|(\[timeout)|(PRM\|1\|D)|(kpr)|(kdp)|(train st.+moving)|(\|lc)|(penalty))"</v>
      </c>
      <c r="AG213" s="209" t="str">
        <f t="shared" si="86"/>
        <v>Other</v>
      </c>
      <c r="AH213" s="78" t="str">
        <f t="shared" si="87"/>
        <v>"%USERPROFILE%\Documents\GitHub\eaglep3\Utilities\RefineRTDCRunTimes.py" --tripid 302-22 --locoid 4057 --swversion DE.1.0.9.0 --startMP 300:23449 --initTime 2017-08-22T03:21:50 --startdatetime 2017-08-22T03:27:30 --delay 5 --endMP 204:145 --enddatetime 2017-08-22T03:35:35 --enforcementcount 0 &gt;&gt;C:\Users\stu\Documents\GitHub\eaglep3-reporting\EC\2017-08-22-refined-times.txt</v>
      </c>
      <c r="AI213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{"issue":{"subject":"","project_id":79,"tracker_id":40,"status_id":1,"priority_id":2,"assigned_to_id":23,"start_date":"2017-08-22","description":"","custom_fields":[{"id":1,"name":"Subdivision","value":"Other"},{"id":4,"name":"Milepost","value":"0.0145"},{"id":17,"name":"Train ID","value":"302-22"},{"id":16,"name":"Locomotive ID","value":"4057"},{"id":130,"name":"Impact","value":""},{"id":150,"name":"Time of Event (Mountain Time)","value":"03:35:35"},{"id":151,"name":"Denver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9"/>
        <v>start /low /b %USERPROFILE%\Documents\GitHub\eaglep3\Utilities\DownloadLogsFromS3.py --loco 4057 --day 2017-08-22</v>
      </c>
      <c r="AN213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09:35:35"},{"id":29,"name":"Sharepoint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763</v>
      </c>
      <c r="B214" s="7">
        <v>4056</v>
      </c>
      <c r="C214" s="21" t="s">
        <v>198</v>
      </c>
      <c r="D214" s="21" t="s">
        <v>345</v>
      </c>
      <c r="E214" s="13">
        <v>42969.799062500002</v>
      </c>
      <c r="F214" s="13">
        <v>42969.800150462965</v>
      </c>
      <c r="G214" s="7">
        <v>1</v>
      </c>
      <c r="H214" s="21" t="s">
        <v>906</v>
      </c>
      <c r="I214" s="13">
        <v>42969.80746527778</v>
      </c>
      <c r="J214" s="7">
        <v>0</v>
      </c>
      <c r="K214" s="89" t="str">
        <f t="shared" si="73"/>
        <v>4055/4056</v>
      </c>
      <c r="L214" s="217" t="str">
        <f>VLOOKUP(A214,'Trips&amp;Operators'!$C$1:$G$99911,5,FALSE)</f>
        <v>THOMPSON LESTER</v>
      </c>
      <c r="M214" s="6">
        <f t="shared" si="74"/>
        <v>7.3148148148902692E-3</v>
      </c>
      <c r="N214" s="7">
        <f t="shared" si="75"/>
        <v>10.533333333441988</v>
      </c>
      <c r="O214" s="7"/>
      <c r="P214" s="7"/>
      <c r="Q214" s="22"/>
      <c r="R214" s="170"/>
      <c r="S214" s="213">
        <f t="shared" si="76"/>
        <v>1</v>
      </c>
      <c r="T214" s="195" t="str">
        <f t="shared" si="77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8"/>
        <v>https://d0f6bd738d7f1b3e5a7ca70fe4ff75f0.us-east-1.aws.found.io/app/kibana#/discover/Steve-Slow-Train-Analysis-(2080s-and-2083s)?_g=(refreshInterval:(display:Off,pause:!f,section:0,value:0),time:(from:'2017-08-22T18:10:39-0600',mode:absolute,to:'2017-08-22T20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197" t="str">
        <f>IF(AA214&lt;VLOOKUP(AG214,Variables!$AC$3:$AD$8,2,FALSE),"Y","N")</f>
        <v>Y</v>
      </c>
      <c r="X214" s="197">
        <f t="shared" si="79"/>
        <v>1</v>
      </c>
      <c r="Y214" s="197">
        <f t="shared" si="80"/>
        <v>4.4699999999999997E-2</v>
      </c>
      <c r="Z214" s="197">
        <f t="shared" si="81"/>
        <v>2.3304</v>
      </c>
      <c r="AA214" s="197">
        <f t="shared" si="82"/>
        <v>2.2856999999999998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83"/>
        <v>303</v>
      </c>
      <c r="AE214" s="77" t="str">
        <f t="shared" si="84"/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AF214" s="74" t="str">
        <f t="shared" si="85"/>
        <v>"C:\Program Files (x86)\AstroGrep\AstroGrep.exe" /e /r /s /spath="%USERPROFILE%\AppData\Local\Temp\OnboardLogs" /stypes="app*4056*20170823*" /stext=" 01:.+((SYSTEM_STATE.+slice.+state.+changed )|(ment ac)|(multiple cpu faults)|(system.+state.+changed )|(\[timeout)|(PRM\|1\|D)|(kpr)|(kdp)|(train st.+moving)|(\|lc)|(penalty))"</v>
      </c>
      <c r="AG214" s="209" t="str">
        <f t="shared" si="86"/>
        <v>Other</v>
      </c>
      <c r="AH214" s="78" t="str">
        <f t="shared" si="87"/>
        <v>"%USERPROFILE%\Documents\GitHub\eaglep3\Utilities\RefineRTDCRunTimes.py" --tripid 303-22 --locoid 4056 --swversion DE.1.0.9.0 --startMP 204:447 --initTime 2017-08-22T19:10:39 --startdatetime 2017-08-22T19:12:13 --delay 1 --endMP 300:23304 --enddatetime 2017-08-22T19:22:45 --enforcementcount 0 &gt;&gt;C:\Users\stu\Documents\GitHub\eaglep3-reporting\EC\2017-08-22-refined-times.txt</v>
      </c>
      <c r="AI214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{"issue":{"subject":"","project_id":79,"tracker_id":40,"status_id":1,"priority_id":2,"assigned_to_id":23,"start_date":"2017-08-22","description":"","custom_fields":[{"id":1,"name":"Subdivision","value":"Other"},{"id":4,"name":"Milepost","value":"2.3304"},{"id":17,"name":"Train ID","value":"303-22"},{"id":16,"name":"Locomotive ID","value":"4056"},{"id":130,"name":"Impact","value":""},{"id":150,"name":"Time of Event (Mountain Time)","value":"19:22:45"},{"id":151,"name":"Denver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89"/>
        <v>start /low /b %USERPROFILE%\Documents\GitHub\eaglep3\Utilities\DownloadLogsFromS3.py --loco 4056 --day 2017-08-22</v>
      </c>
      <c r="AN214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600</v>
      </c>
      <c r="B215" s="7">
        <v>4017</v>
      </c>
      <c r="C215" s="21" t="s">
        <v>198</v>
      </c>
      <c r="D215" s="21" t="s">
        <v>907</v>
      </c>
      <c r="E215" s="13">
        <v>42969.159814814811</v>
      </c>
      <c r="F215" s="13">
        <v>42969.163564814815</v>
      </c>
      <c r="G215" s="7">
        <v>5</v>
      </c>
      <c r="H215" s="21" t="s">
        <v>384</v>
      </c>
      <c r="I215" s="13">
        <v>42969.168229166666</v>
      </c>
      <c r="J215" s="7">
        <v>0</v>
      </c>
      <c r="K215" s="89" t="str">
        <f t="shared" si="73"/>
        <v>4017/4018</v>
      </c>
      <c r="L215" s="217" t="str">
        <f>VLOOKUP(A215,'Trips&amp;Operators'!$C$1:$G$99911,5,FALSE)</f>
        <v>MAELZER KURT</v>
      </c>
      <c r="M215" s="6">
        <f t="shared" si="74"/>
        <v>4.6643518508062698E-3</v>
      </c>
      <c r="N215" s="7">
        <f t="shared" si="75"/>
        <v>6.7166666651610285</v>
      </c>
      <c r="O215" s="7"/>
      <c r="P215" s="7"/>
      <c r="Q215" s="22"/>
      <c r="R215" s="170"/>
      <c r="S215" s="213">
        <f t="shared" si="76"/>
        <v>1</v>
      </c>
      <c r="T215" s="195" t="str">
        <f t="shared" si="77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8"/>
        <v>https://d0f6bd738d7f1b3e5a7ca70fe4ff75f0.us-east-1.aws.found.io/app/kibana#/discover/Steve-Slow-Train-Analysis-(2080s-and-2083s)?_g=(refreshInterval:(display:Off,pause:!f,section:0,value:0),time:(from:'2017-08-22T02:50:08-0600',mode:absolute,to:'2017-08-22T05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97" t="str">
        <f>IF(AA215&lt;VLOOKUP(AG215,Variables!$AC$3:$AD$8,2,FALSE),"Y","N")</f>
        <v>Y</v>
      </c>
      <c r="X215" s="197">
        <f t="shared" si="79"/>
        <v>1</v>
      </c>
      <c r="Y215" s="197">
        <f t="shared" si="80"/>
        <v>1.9318</v>
      </c>
      <c r="Z215" s="197">
        <f t="shared" si="81"/>
        <v>1.38E-2</v>
      </c>
      <c r="AA215" s="197">
        <f t="shared" si="82"/>
        <v>1.9179999999999999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83"/>
        <v>304</v>
      </c>
      <c r="AE215" s="77" t="str">
        <f t="shared" si="84"/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AF215" s="74" t="str">
        <f t="shared" si="85"/>
        <v>"C:\Program Files (x86)\AstroGrep\AstroGrep.exe" /e /r /s /spath="%USERPROFILE%\AppData\Local\Temp\OnboardLogs" /stypes="app*4017*20170822*" /stext=" 10:.+((SYSTEM_STATE.+slice.+state.+changed )|(ment ac)|(multiple cpu faults)|(system.+state.+changed )|(\[timeout)|(PRM\|1\|D)|(kpr)|(kdp)|(train st.+moving)|(\|lc)|(penalty))"</v>
      </c>
      <c r="AG215" s="209" t="str">
        <f t="shared" si="86"/>
        <v>Other</v>
      </c>
      <c r="AH215" s="78" t="str">
        <f t="shared" si="87"/>
        <v>"%USERPROFILE%\Documents\GitHub\eaglep3\Utilities\RefineRTDCRunTimes.py" --tripid 304-22 --locoid 4017 --swversion DE.1.0.9.0 --startMP 300:19318 --initTime 2017-08-22T03:50:08 --startdatetime 2017-08-22T03:55:32 --delay 5 --endMP 204:138 --enddatetime 2017-08-22T04:02:15 --enforcementcount 0 &gt;&gt;C:\Users\stu\Documents\GitHub\eaglep3-reporting\EC\2017-08-22-refined-times.txt</v>
      </c>
      <c r="AI215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{"issue":{"subject":"","project_id":79,"tracker_id":40,"status_id":1,"priority_id":2,"assigned_to_id":23,"start_date":"2017-08-22","description":"","custom_fields":[{"id":1,"name":"Subdivision","value":"Other"},{"id":4,"name":"Milepost","value":"0.0138"},{"id":17,"name":"Train ID","value":"304-22"},{"id":16,"name":"Locomotive ID","value":"4017"},{"id":130,"name":"Impact","value":""},{"id":150,"name":"Time of Event (Mountain Time)","value":"04:02:15"},{"id":151,"name":"Denver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9"/>
        <v>start /low /b %USERPROFILE%\Documents\GitHub\eaglep3\Utilities\DownloadLogsFromS3.py --loco 4017 --day 2017-08-22</v>
      </c>
      <c r="AN215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768</v>
      </c>
      <c r="B216" s="7">
        <v>4012</v>
      </c>
      <c r="C216" s="21" t="s">
        <v>198</v>
      </c>
      <c r="D216" s="21" t="s">
        <v>908</v>
      </c>
      <c r="E216" s="13">
        <v>42969.819965277777</v>
      </c>
      <c r="F216" s="13">
        <v>42969.821099537039</v>
      </c>
      <c r="G216" s="7">
        <v>2</v>
      </c>
      <c r="H216" s="21" t="s">
        <v>909</v>
      </c>
      <c r="I216" s="13">
        <v>42969.821458333332</v>
      </c>
      <c r="J216" s="7">
        <v>0</v>
      </c>
      <c r="K216" s="89" t="str">
        <f t="shared" si="73"/>
        <v>4011/4012</v>
      </c>
      <c r="L216" s="217" t="str">
        <f>VLOOKUP(A216,'Trips&amp;Operators'!$C$1:$G$99911,5,FALSE)</f>
        <v>MCREYNOLDS KYLE</v>
      </c>
      <c r="M216" s="6">
        <f t="shared" si="74"/>
        <v>3.5879629285773262E-4</v>
      </c>
      <c r="N216" s="7"/>
      <c r="O216" s="7"/>
      <c r="P216" s="7">
        <f t="shared" si="75"/>
        <v>0.51666666171513498</v>
      </c>
      <c r="Q216" s="22"/>
      <c r="R216" s="170" t="s">
        <v>995</v>
      </c>
      <c r="S216" s="213">
        <f t="shared" si="76"/>
        <v>0</v>
      </c>
      <c r="T216" s="195" t="str">
        <f t="shared" si="77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8"/>
        <v>https://d0f6bd738d7f1b3e5a7ca70fe4ff75f0.us-east-1.aws.found.io/app/kibana#/discover/Steve-Slow-Train-Analysis-(2080s-and-2083s)?_g=(refreshInterval:(display:Off,pause:!f,section:0,value:0),time:(from:'2017-08-22T18:40:45-0600',mode:absolute,to:'2017-08-22T20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197" t="str">
        <f>IF(AA216&lt;VLOOKUP(AG216,Variables!$AC$3:$AD$8,2,FALSE),"Y","N")</f>
        <v>Y</v>
      </c>
      <c r="X216" s="197">
        <f t="shared" si="79"/>
        <v>1</v>
      </c>
      <c r="Y216" s="197">
        <f t="shared" si="80"/>
        <v>6.8400000000000002E-2</v>
      </c>
      <c r="Z216" s="197">
        <f t="shared" si="81"/>
        <v>0.1016</v>
      </c>
      <c r="AA216" s="197">
        <f t="shared" si="82"/>
        <v>3.3199999999999993E-2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83"/>
        <v>305</v>
      </c>
      <c r="AE216" s="77" t="str">
        <f t="shared" si="84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216" s="74" t="str">
        <f t="shared" si="85"/>
        <v>"C:\Program Files (x86)\AstroGrep\AstroGrep.exe" /e /r /s /spath="%USERPROFILE%\AppData\Local\Temp\OnboardLogs" /stypes="app*4012*20170823*" /stext=" 01:.+((SYSTEM_STATE.+slice.+state.+changed )|(ment ac)|(multiple cpu faults)|(system.+state.+changed )|(\[timeout)|(PRM\|1\|D)|(kpr)|(kdp)|(train st.+moving)|(\|lc)|(penalty))"</v>
      </c>
      <c r="AG216" s="209" t="str">
        <f t="shared" si="86"/>
        <v>Other</v>
      </c>
      <c r="AH216" s="78" t="str">
        <f t="shared" si="87"/>
        <v>"%USERPROFILE%\Documents\GitHub\eaglep3\Utilities\RefineRTDCRunTimes.py" --tripid 305-22 --locoid 4012 --swversion DE.1.0.9.0 --startMP 204:684 --initTime 2017-08-22T19:40:45 --startdatetime 2017-08-22T19:42:23 --delay 2 --endMP 204:1016 --enddatetime 2017-08-22T19:42:54 --enforcementcount 0 &gt;&gt;C:\Users\stu\Documents\GitHub\eaglep3-reporting\EC\2017-08-22-refined-times.txt</v>
      </c>
      <c r="AI216" s="96" t="str">
        <f t="shared" si="88"/>
        <v>echo {"issue":{"subject":"Onboard in-route failure","project_id":79,"tracker_id":40,"status_id":1,"priority_id":2,"assigned_to_id":23,"start_date":"2017-08-22","description":"","custom_fields":[{"id":1,"name":"Subdivision","value":"Other"},{"id":4,"name":"Milepost","value":"0.1016"},{"id":17,"name":"Train ID","value":"305-22"},{"id":16,"name":"Locomotive ID","value":"4012"},{"id":130,"name":"Impact","value":""},{"id":150,"name":"Time of Event (Mountain Time)","value":"19:42:54"},{"id":151,"name":"Denver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9"/>
        <v>start /low /b %USERPROFILE%\Documents\GitHub\eaglep3\Utilities\DownloadLogsFromS3.py --loco 4012 --day 2017-08-22</v>
      </c>
      <c r="AN216" s="151" t="str">
        <f t="shared" si="90"/>
        <v>echo {"issue":{"subject":"Onboard in-route failure","project_id":30,"tracker_id":4,"status_id":1,"priority_id":1,"assigned_to_id":10,"start_date":"2017-08-23","description":"","custom_fields":[{"id":30,"name":"Category","value":"Issue"},{"id":3,"name":"Functional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602</v>
      </c>
      <c r="B217" s="7">
        <v>4009</v>
      </c>
      <c r="C217" s="21" t="s">
        <v>198</v>
      </c>
      <c r="D217" s="21" t="s">
        <v>910</v>
      </c>
      <c r="E217" s="13">
        <v>42969.16715277778</v>
      </c>
      <c r="F217" s="13">
        <v>42969.170648148145</v>
      </c>
      <c r="G217" s="7">
        <v>4</v>
      </c>
      <c r="H217" s="21" t="s">
        <v>517</v>
      </c>
      <c r="I217" s="13">
        <v>42969.176111111112</v>
      </c>
      <c r="J217" s="7">
        <v>0</v>
      </c>
      <c r="K217" s="89" t="str">
        <f t="shared" si="73"/>
        <v>4009/4010</v>
      </c>
      <c r="L217" s="217" t="str">
        <f>VLOOKUP(A217,'Trips&amp;Operators'!$C$1:$G$99911,5,FALSE)</f>
        <v>LALONDE GREGORY</v>
      </c>
      <c r="M217" s="6">
        <f t="shared" si="74"/>
        <v>5.4629629667033441E-3</v>
      </c>
      <c r="N217" s="7">
        <f t="shared" si="75"/>
        <v>7.8666666720528156</v>
      </c>
      <c r="O217" s="7"/>
      <c r="P217" s="7"/>
      <c r="Q217" s="22"/>
      <c r="R217" s="170"/>
      <c r="S217" s="213">
        <f t="shared" si="76"/>
        <v>1</v>
      </c>
      <c r="T217" s="195" t="str">
        <f t="shared" si="77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8"/>
        <v>https://d0f6bd738d7f1b3e5a7ca70fe4ff75f0.us-east-1.aws.found.io/app/kibana#/discover/Steve-Slow-Train-Analysis-(2080s-and-2083s)?_g=(refreshInterval:(display:Off,pause:!f,section:0,value:0),time:(from:'2017-08-22T03:00:42-0600',mode:absolute,to:'2017-08-22T05:13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97" t="str">
        <f>IF(AA217&lt;VLOOKUP(AG217,Variables!$AC$3:$AD$8,2,FALSE),"Y","N")</f>
        <v>Y</v>
      </c>
      <c r="X217" s="197">
        <f t="shared" si="79"/>
        <v>1</v>
      </c>
      <c r="Y217" s="197">
        <f t="shared" si="80"/>
        <v>2.347</v>
      </c>
      <c r="Z217" s="197">
        <f t="shared" si="81"/>
        <v>1.3899999999999999E-2</v>
      </c>
      <c r="AA217" s="197">
        <f t="shared" si="82"/>
        <v>2.3331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83"/>
        <v>306</v>
      </c>
      <c r="AE217" s="77" t="str">
        <f t="shared" si="84"/>
        <v>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 &amp; aws s3 cp s3://rtdc.mdm.uploadarchive.raw/RTDC4009/ "%USERPROFILE%\AppData\Local\Temp\OnboardLogs"\RTDC4009\2017-08-23 --exclude "*" --recursive --include "*20170823*" &amp; "%USERPROFILE%\Documents\GitHub\mrs-test-scripts\Headless Mode &amp; Sideloading\WalkAndUnGZ.bat" "%USERPROFILE%\AppData\Local\Temp\OnboardLogs"\RTDC4009\2017-08-23</v>
      </c>
      <c r="AF217" s="74" t="str">
        <f t="shared" si="85"/>
        <v>"C:\Program Files (x86)\AstroGrep\AstroGrep.exe" /e /r /s /spath="%USERPROFILE%\AppData\Local\Temp\OnboardLogs" /stypes="app*4009*20170822*" /stext=" 10:.+((SYSTEM_STATE.+slice.+state.+changed )|(ment ac)|(multiple cpu faults)|(system.+state.+changed )|(\[timeout)|(PRM\|1\|D)|(kpr)|(kdp)|(train st.+moving)|(\|lc)|(penalty))"</v>
      </c>
      <c r="AG217" s="209" t="str">
        <f t="shared" si="86"/>
        <v>Other</v>
      </c>
      <c r="AH217" s="78" t="str">
        <f t="shared" si="87"/>
        <v>"%USERPROFILE%\Documents\GitHub\eaglep3\Utilities\RefineRTDCRunTimes.py" --tripid 306-22 --locoid 4009 --swversion DE.1.0.9.0 --startMP 300:23470 --initTime 2017-08-22T04:00:42 --startdatetime 2017-08-22T04:05:44 --delay 4 --endMP 204:139 --enddatetime 2017-08-22T04:13:36 --enforcementcount 0 &gt;&gt;C:\Users\stu\Documents\GitHub\eaglep3-reporting\EC\2017-08-22-refined-times.txt</v>
      </c>
      <c r="AI217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{"issue":{"subject":"","project_id":79,"tracker_id":40,"status_id":1,"priority_id":2,"assigned_to_id":23,"start_date":"2017-08-22","description":"","custom_fields":[{"id":1,"name":"Subdivision","value":"Other"},{"id":4,"name":"Milepost","value":"0.0139"},{"id":17,"name":"Train ID","value":"306-22"},{"id":16,"name":"Locomotive ID","value":"4009"},{"id":130,"name":"Impact","value":""},{"id":150,"name":"Time of Event (Mountain Time)","value":"04:13:36"},{"id":151,"name":"Denver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9"/>
        <v>start /low /b %USERPROFILE%\Documents\GitHub\eaglep3\Utilities\DownloadLogsFromS3.py --loco 4009 --day 2017-08-22</v>
      </c>
      <c r="AN217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10:13:36"},{"id":29,"name":"Sharepoint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794</v>
      </c>
      <c r="B218" s="7">
        <v>4006</v>
      </c>
      <c r="C218" s="21" t="s">
        <v>198</v>
      </c>
      <c r="D218" s="21" t="s">
        <v>370</v>
      </c>
      <c r="E218" s="13">
        <v>42970.028344907405</v>
      </c>
      <c r="F218" s="13">
        <v>42970.029907407406</v>
      </c>
      <c r="G218" s="7">
        <v>1</v>
      </c>
      <c r="H218" s="21" t="s">
        <v>343</v>
      </c>
      <c r="I218" s="13">
        <v>42970.040289351855</v>
      </c>
      <c r="J218" s="7">
        <v>0</v>
      </c>
      <c r="K218" s="89" t="str">
        <f t="shared" si="73"/>
        <v>4005/4006</v>
      </c>
      <c r="L218" s="217" t="str">
        <f>VLOOKUP(A218,'Trips&amp;Operators'!$C$1:$G$99911,5,FALSE)</f>
        <v>MAGEE KENYA</v>
      </c>
      <c r="M218" s="6">
        <f t="shared" si="74"/>
        <v>1.0381944448454306E-2</v>
      </c>
      <c r="N218" s="7">
        <f t="shared" si="75"/>
        <v>14.9500000057742</v>
      </c>
      <c r="O218" s="7"/>
      <c r="P218" s="7"/>
      <c r="Q218" s="22"/>
      <c r="R218" s="170"/>
      <c r="S218" s="213">
        <f t="shared" si="76"/>
        <v>1</v>
      </c>
      <c r="T218" s="195" t="str">
        <f t="shared" si="77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8"/>
        <v>https://d0f6bd738d7f1b3e5a7ca70fe4ff75f0.us-east-1.aws.found.io/app/kibana#/discover/Steve-Slow-Train-Analysis-(2080s-and-2083s)?_g=(refreshInterval:(display:Off,pause:!f,section:0,value:0),time:(from:'2017-08-22T23:40:49-0600',mode:absolute,to:'2017-08-23T01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8" s="197" t="str">
        <f>IF(AA218&lt;VLOOKUP(AG218,Variables!$AC$3:$AD$8,2,FALSE),"Y","N")</f>
        <v>Y</v>
      </c>
      <c r="X218" s="197">
        <f t="shared" si="79"/>
        <v>1</v>
      </c>
      <c r="Y218" s="197">
        <f t="shared" si="80"/>
        <v>4.58E-2</v>
      </c>
      <c r="Z218" s="197">
        <f t="shared" si="81"/>
        <v>2.3346</v>
      </c>
      <c r="AA218" s="197">
        <f t="shared" si="82"/>
        <v>2.2888000000000002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83"/>
        <v>307</v>
      </c>
      <c r="AE218" s="77" t="str">
        <f t="shared" si="84"/>
        <v>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 &amp; 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</v>
      </c>
      <c r="AF218" s="74" t="str">
        <f t="shared" si="85"/>
        <v>"C:\Program Files (x86)\AstroGrep\AstroGrep.exe" /e /r /s /spath="%USERPROFILE%\AppData\Local\Temp\OnboardLogs" /stypes="app*4006*20170823*" /stext=" 06:.+((SYSTEM_STATE.+slice.+state.+changed )|(ment ac)|(multiple cpu faults)|(system.+state.+changed )|(\[timeout)|(PRM\|1\|D)|(kpr)|(kdp)|(train st.+moving)|(\|lc)|(penalty))"</v>
      </c>
      <c r="AG218" s="209" t="str">
        <f t="shared" si="86"/>
        <v>Other</v>
      </c>
      <c r="AH218" s="78" t="str">
        <f t="shared" si="87"/>
        <v>"%USERPROFILE%\Documents\GitHub\eaglep3\Utilities\RefineRTDCRunTimes.py" --tripid 307-22 --locoid 4006 --swversion DE.1.0.9.0 --startMP 204:458 --initTime 2017-08-23T00:40:49 --startdatetime 2017-08-23T00:43:04 --delay 1 --endMP 300:23346 --enddatetime 2017-08-23T00:58:01 --enforcementcount 0 &gt;&gt;C:\Users\stu\Documents\GitHub\eaglep3-reporting\EC\2017-08-22-refined-times.txt</v>
      </c>
      <c r="AI218" s="96" t="str">
        <f t="shared" si="88"/>
        <v>echo {"issue":{"subject":"","project_id":79,"tracker_id":40,"status_id":1,"priority_id":2,"assigned_to_id":23,"start_date":"2017-08-23","description":"","custom_fields":[{"id":1,"name":"Subdivision","value":"Other"},{"id":4,"name":"Milepost","value":"2.3346"},{"id":17,"name":"Train ID","value":"307-22"},{"id":16,"name":"Locomotive ID","value":"4006"},{"id":130,"name":"Impact","value":""},{"id":150,"name":"Time of Event (Mountain Time)","value":"00:58:01"},{"id":151,"name":"Denver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9"/>
        <v>start /low /b %USERPROFILE%\Documents\GitHub\eaglep3\Utilities\DownloadLogsFromS3.py --loco 4006 --day 2017-08-23</v>
      </c>
      <c r="AN218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06:58:01"},{"id":29,"name":"Sharepoint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605</v>
      </c>
      <c r="B219" s="7">
        <v>4005</v>
      </c>
      <c r="C219" s="21" t="s">
        <v>198</v>
      </c>
      <c r="D219" s="21" t="s">
        <v>911</v>
      </c>
      <c r="E219" s="13">
        <v>42969.181377314817</v>
      </c>
      <c r="F219" s="13">
        <v>42969.182986111111</v>
      </c>
      <c r="G219" s="7">
        <v>1</v>
      </c>
      <c r="H219" s="21" t="s">
        <v>508</v>
      </c>
      <c r="I219" s="13">
        <v>42969.183009259257</v>
      </c>
      <c r="J219" s="7">
        <v>0</v>
      </c>
      <c r="K219" s="89" t="str">
        <f t="shared" si="73"/>
        <v>4005/4006</v>
      </c>
      <c r="L219" s="217" t="str">
        <f>VLOOKUP(A219,'Trips&amp;Operators'!$C$1:$G$99911,5,FALSE)</f>
        <v>MACDONALD THOMAS</v>
      </c>
      <c r="M219" s="6">
        <f t="shared" si="74"/>
        <v>2.314814628334716E-5</v>
      </c>
      <c r="N219" s="7">
        <f t="shared" si="75"/>
        <v>3.333333064801991E-2</v>
      </c>
      <c r="O219" s="7"/>
      <c r="P219" s="7"/>
      <c r="Q219" s="22"/>
      <c r="R219" s="170"/>
      <c r="S219" s="213">
        <f t="shared" si="76"/>
        <v>1</v>
      </c>
      <c r="T219" s="195" t="str">
        <f t="shared" si="77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8"/>
        <v>https://d0f6bd738d7f1b3e5a7ca70fe4ff75f0.us-east-1.aws.found.io/app/kibana#/discover/Steve-Slow-Train-Analysis-(2080s-and-2083s)?_g=(refreshInterval:(display:Off,pause:!f,section:0,value:0),time:(from:'2017-08-22T03:21:11-0600',mode:absolute,to:'2017-08-22T05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9" s="197" t="str">
        <f>IF(AA219&lt;VLOOKUP(AG219,Variables!$AC$3:$AD$8,2,FALSE),"Y","N")</f>
        <v>Y</v>
      </c>
      <c r="X219" s="197">
        <f t="shared" si="79"/>
        <v>1</v>
      </c>
      <c r="Y219" s="197">
        <f t="shared" si="80"/>
        <v>2.5122</v>
      </c>
      <c r="Z219" s="197">
        <f t="shared" si="81"/>
        <v>1.7000000000000001E-2</v>
      </c>
      <c r="AA219" s="197">
        <f t="shared" si="82"/>
        <v>2.4952000000000001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83"/>
        <v>308</v>
      </c>
      <c r="AE219" s="77" t="str">
        <f t="shared" si="84"/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AF219" s="74" t="str">
        <f t="shared" si="85"/>
        <v>"C:\Program Files (x86)\AstroGrep\AstroGrep.exe" /e /r /s /spath="%USERPROFILE%\AppData\Local\Temp\OnboardLogs" /stypes="app*4005*20170822*" /stext=" 10:.+((SYSTEM_STATE.+slice.+state.+changed )|(ment ac)|(multiple cpu faults)|(system.+state.+changed )|(\[timeout)|(PRM\|1\|D)|(kpr)|(kdp)|(train st.+moving)|(\|lc)|(penalty))"</v>
      </c>
      <c r="AG219" s="209" t="str">
        <f t="shared" si="86"/>
        <v>Other</v>
      </c>
      <c r="AH219" s="78" t="str">
        <f t="shared" si="87"/>
        <v>"%USERPROFILE%\Documents\GitHub\eaglep3\Utilities\RefineRTDCRunTimes.py" --tripid 308-22 --locoid 4005 --swversion DE.1.0.9.0 --startMP 300:25122 --initTime 2017-08-22T04:21:11 --startdatetime 2017-08-22T04:23:30 --delay 1 --endMP 204:170 --enddatetime 2017-08-22T04:23:32 --enforcementcount 0 &gt;&gt;C:\Users\stu\Documents\GitHub\eaglep3-reporting\EC\2017-08-22-refined-times.txt</v>
      </c>
      <c r="AI219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{"issue":{"subject":"","project_id":79,"tracker_id":40,"status_id":1,"priority_id":2,"assigned_to_id":23,"start_date":"2017-08-22","description":"","custom_fields":[{"id":1,"name":"Subdivision","value":"Other"},{"id":4,"name":"Milepost","value":"0.017"},{"id":17,"name":"Train ID","value":"308-22"},{"id":16,"name":"Locomotive ID","value":"4005"},{"id":130,"name":"Impact","value":""},{"id":150,"name":"Time of Event (Mountain Time)","value":"04:23:32"},{"id":151,"name":"Denver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9"/>
        <v>start /low /b %USERPROFILE%\Documents\GitHub\eaglep3\Utilities\DownloadLogsFromS3.py --loco 4005 --day 2017-08-22</v>
      </c>
      <c r="AN219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795</v>
      </c>
      <c r="B220" s="7">
        <v>4054</v>
      </c>
      <c r="C220" s="21" t="s">
        <v>198</v>
      </c>
      <c r="D220" s="21" t="s">
        <v>375</v>
      </c>
      <c r="E220" s="13">
        <v>42970.047754629632</v>
      </c>
      <c r="F220" s="13">
        <v>42970.049537037034</v>
      </c>
      <c r="G220" s="7">
        <v>1</v>
      </c>
      <c r="H220" s="21" t="s">
        <v>431</v>
      </c>
      <c r="I220" s="13">
        <v>42970.054039351853</v>
      </c>
      <c r="J220" s="7">
        <v>0</v>
      </c>
      <c r="K220" s="89" t="str">
        <f t="shared" si="73"/>
        <v>4053/4054</v>
      </c>
      <c r="L220" s="217" t="str">
        <f>VLOOKUP(A220,'Trips&amp;Operators'!$C$1:$G$99911,5,FALSE)</f>
        <v>WEST BRYAN</v>
      </c>
      <c r="M220" s="6">
        <f t="shared" si="74"/>
        <v>4.5023148195468821E-3</v>
      </c>
      <c r="N220" s="7">
        <f t="shared" si="75"/>
        <v>6.4833333401475102</v>
      </c>
      <c r="O220" s="7"/>
      <c r="P220" s="7"/>
      <c r="Q220" s="22"/>
      <c r="R220" s="170"/>
      <c r="S220" s="213">
        <f t="shared" si="76"/>
        <v>1</v>
      </c>
      <c r="T220" s="195" t="str">
        <f t="shared" si="77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8"/>
        <v>https://d0f6bd738d7f1b3e5a7ca70fe4ff75f0.us-east-1.aws.found.io/app/kibana#/discover/Steve-Slow-Train-Analysis-(2080s-and-2083s)?_g=(refreshInterval:(display:Off,pause:!f,section:0,value:0),time:(from:'2017-08-23T00:08:46-0600',mode:absolute,to:'2017-08-23T02:17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97" t="str">
        <f>IF(AA220&lt;VLOOKUP(AG220,Variables!$AC$3:$AD$8,2,FALSE),"Y","N")</f>
        <v>Y</v>
      </c>
      <c r="X220" s="197">
        <f t="shared" si="79"/>
        <v>1</v>
      </c>
      <c r="Y220" s="197">
        <f t="shared" si="80"/>
        <v>4.4900000000000002E-2</v>
      </c>
      <c r="Z220" s="197">
        <f t="shared" si="81"/>
        <v>2.3311999999999999</v>
      </c>
      <c r="AA220" s="197">
        <f t="shared" si="82"/>
        <v>2.2862999999999998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 t="shared" si="83"/>
        <v>309</v>
      </c>
      <c r="AE220" s="77" t="str">
        <f t="shared" si="84"/>
        <v>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 &amp; 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</v>
      </c>
      <c r="AF220" s="74" t="str">
        <f t="shared" si="85"/>
        <v>"C:\Program Files (x86)\AstroGrep\AstroGrep.exe" /e /r /s /spath="%USERPROFILE%\AppData\Local\Temp\OnboardLogs" /stypes="app*4054*20170823*" /stext=" 07:.+((SYSTEM_STATE.+slice.+state.+changed )|(ment ac)|(multiple cpu faults)|(system.+state.+changed )|(\[timeout)|(PRM\|1\|D)|(kpr)|(kdp)|(train st.+moving)|(\|lc)|(penalty))"</v>
      </c>
      <c r="AG220" s="209" t="str">
        <f t="shared" si="86"/>
        <v>Other</v>
      </c>
      <c r="AH220" s="78" t="str">
        <f t="shared" si="87"/>
        <v>"%USERPROFILE%\Documents\GitHub\eaglep3\Utilities\RefineRTDCRunTimes.py" --tripid 309-22 --locoid 4054 --swversion DE.1.0.9.0 --startMP 204:449 --initTime 2017-08-23T01:08:46 --startdatetime 2017-08-23T01:11:20 --delay 1 --endMP 300:23312 --enddatetime 2017-08-23T01:17:49 --enforcementcount 0 &gt;&gt;C:\Users\stu\Documents\GitHub\eaglep3-reporting\EC\2017-08-22-refined-times.txt</v>
      </c>
      <c r="AI220" s="96" t="str">
        <f t="shared" si="88"/>
        <v>echo {"issue":{"subject":"","project_id":79,"tracker_id":40,"status_id":1,"priority_id":2,"assigned_to_id":23,"start_date":"2017-08-23","description":"","custom_fields":[{"id":1,"name":"Subdivision","value":"Other"},{"id":4,"name":"Milepost","value":"2.3312"},{"id":17,"name":"Train ID","value":"309-22"},{"id":16,"name":"Locomotive ID","value":"4054"},{"id":130,"name":"Impact","value":""},{"id":150,"name":"Time of Event (Mountain Time)","value":"01:17:49"},{"id":151,"name":"Denver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89"/>
        <v>start /low /b %USERPROFILE%\Documents\GitHub\eaglep3\Utilities\DownloadLogsFromS3.py --loco 4054 --day 2017-08-23</v>
      </c>
      <c r="AN220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07:17:49"},{"id":29,"name":"Sharepoint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612</v>
      </c>
      <c r="B221" s="7">
        <v>4053</v>
      </c>
      <c r="C221" s="21" t="s">
        <v>198</v>
      </c>
      <c r="D221" s="21" t="s">
        <v>912</v>
      </c>
      <c r="E221" s="13">
        <v>42969.204085648147</v>
      </c>
      <c r="F221" s="13">
        <v>42969.206493055557</v>
      </c>
      <c r="G221" s="7">
        <v>3</v>
      </c>
      <c r="H221" s="21" t="s">
        <v>516</v>
      </c>
      <c r="I221" s="13">
        <v>42969.211828703701</v>
      </c>
      <c r="J221" s="7">
        <v>0</v>
      </c>
      <c r="K221" s="89" t="str">
        <f t="shared" si="73"/>
        <v>4053/4054</v>
      </c>
      <c r="L221" s="217" t="str">
        <f>VLOOKUP(A221,'Trips&amp;Operators'!$C$1:$G$99911,5,FALSE)</f>
        <v>LOZA FIDEL</v>
      </c>
      <c r="M221" s="6">
        <f t="shared" si="74"/>
        <v>5.3356481439550407E-3</v>
      </c>
      <c r="N221" s="7">
        <f t="shared" si="75"/>
        <v>7.6833333272952586</v>
      </c>
      <c r="O221" s="7"/>
      <c r="P221" s="7"/>
      <c r="Q221" s="22"/>
      <c r="R221" s="170"/>
      <c r="S221" s="213">
        <f t="shared" si="76"/>
        <v>1</v>
      </c>
      <c r="T221" s="195" t="str">
        <f t="shared" si="77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8"/>
        <v>https://d0f6bd738d7f1b3e5a7ca70fe4ff75f0.us-east-1.aws.found.io/app/kibana#/discover/Steve-Slow-Train-Analysis-(2080s-and-2083s)?_g=(refreshInterval:(display:Off,pause:!f,section:0,value:0),time:(from:'2017-08-22T03:53:53-0600',mode:absolute,to:'2017-08-22T06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1" s="197" t="str">
        <f>IF(AA221&lt;VLOOKUP(AG221,Variables!$AC$3:$AD$8,2,FALSE),"Y","N")</f>
        <v>Y</v>
      </c>
      <c r="X221" s="197">
        <f t="shared" si="79"/>
        <v>1</v>
      </c>
      <c r="Y221" s="197">
        <f t="shared" si="80"/>
        <v>2.3494999999999999</v>
      </c>
      <c r="Z221" s="197">
        <f t="shared" si="81"/>
        <v>1.3599999999999999E-2</v>
      </c>
      <c r="AA221" s="197">
        <f t="shared" si="82"/>
        <v>2.3359000000000001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 t="shared" si="83"/>
        <v>310</v>
      </c>
      <c r="AE221" s="77" t="str">
        <f t="shared" si="84"/>
        <v>aws s3 cp s3://rtdc.mdm.uploadarchive.raw/RTDC4053/ "%USERPROFILE%\AppData\Local\Temp\OnboardLogs"\RTDC4053\2017-08-22 --exclude "*" --recursive --include "*20170822*" &amp; "%USERPROFILE%\Documents\GitHub\mrs-test-scripts\Headless Mode &amp; Sideloading\WalkAndUnGZ.bat" "%USERPROFILE%\AppData\Local\Temp\OnboardLogs"\RTDC4053\2017-08-22 &amp; aws s3 cp s3://rtdc.mdm.uploadarchive.raw/RTDC4053/ "%USERPROFILE%\AppData\Local\Temp\OnboardLogs"\RTDC4053\2017-08-23 --exclude "*" --recursive --include "*20170823*" &amp; "%USERPROFILE%\Documents\GitHub\mrs-test-scripts\Headless Mode &amp; Sideloading\WalkAndUnGZ.bat" "%USERPROFILE%\AppData\Local\Temp\OnboardLogs"\RTDC4053\2017-08-23</v>
      </c>
      <c r="AF221" s="74" t="str">
        <f t="shared" si="85"/>
        <v>"C:\Program Files (x86)\AstroGrep\AstroGrep.exe" /e /r /s /spath="%USERPROFILE%\AppData\Local\Temp\OnboardLogs" /stypes="app*4053*20170822*" /stext=" 11:.+((SYSTEM_STATE.+slice.+state.+changed )|(ment ac)|(multiple cpu faults)|(system.+state.+changed )|(\[timeout)|(PRM\|1\|D)|(kpr)|(kdp)|(train st.+moving)|(\|lc)|(penalty))"</v>
      </c>
      <c r="AG221" s="209" t="str">
        <f t="shared" si="86"/>
        <v>Other</v>
      </c>
      <c r="AH221" s="78" t="str">
        <f t="shared" si="87"/>
        <v>"%USERPROFILE%\Documents\GitHub\eaglep3\Utilities\RefineRTDCRunTimes.py" --tripid 310-22 --locoid 4053 --swversion DE.1.0.9.0 --startMP 300:23495 --initTime 2017-08-22T04:53:53 --startdatetime 2017-08-22T04:57:21 --delay 3 --endMP 204:136 --enddatetime 2017-08-22T05:05:02 --enforcementcount 0 &gt;&gt;C:\Users\stu\Documents\GitHub\eaglep3-reporting\EC\2017-08-22-refined-times.txt</v>
      </c>
      <c r="AI221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{"issue":{"subject":"","project_id":79,"tracker_id":40,"status_id":1,"priority_id":2,"assigned_to_id":23,"start_date":"2017-08-22","description":"","custom_fields":[{"id":1,"name":"Subdivision","value":"Other"},{"id":4,"name":"Milepost","value":"0.0136"},{"id":17,"name":"Train ID","value":"310-22"},{"id":16,"name":"Locomotive ID","value":"4053"},{"id":130,"name":"Impact","value":""},{"id":150,"name":"Time of Event (Mountain Time)","value":"05:05:02"},{"id":151,"name":"Denver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9"/>
        <v>start /low /b %USERPROFILE%\Documents\GitHub\eaglep3\Utilities\DownloadLogsFromS3.py --loco 4053 --day 2017-08-22</v>
      </c>
      <c r="AN221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797</v>
      </c>
      <c r="B222" s="7">
        <v>4018</v>
      </c>
      <c r="C222" s="21" t="s">
        <v>198</v>
      </c>
      <c r="D222" s="21" t="s">
        <v>805</v>
      </c>
      <c r="E222" s="13">
        <v>42970.06925925926</v>
      </c>
      <c r="F222" s="13">
        <v>42970.070833333331</v>
      </c>
      <c r="G222" s="7">
        <v>2</v>
      </c>
      <c r="H222" s="21" t="s">
        <v>343</v>
      </c>
      <c r="I222" s="13">
        <v>42970.079953703702</v>
      </c>
      <c r="J222" s="7">
        <v>0</v>
      </c>
      <c r="K222" s="89" t="str">
        <f t="shared" si="73"/>
        <v>4017/4018</v>
      </c>
      <c r="L222" s="217" t="str">
        <f>VLOOKUP(A222,'Trips&amp;Operators'!$C$1:$G$99911,5,FALSE)</f>
        <v>FORTUNATO FRANK</v>
      </c>
      <c r="M222" s="6">
        <f t="shared" si="74"/>
        <v>9.1203703705104999E-3</v>
      </c>
      <c r="N222" s="7">
        <f t="shared" si="75"/>
        <v>13.13333333353512</v>
      </c>
      <c r="O222" s="7"/>
      <c r="P222" s="7"/>
      <c r="Q222" s="22"/>
      <c r="R222" s="170"/>
      <c r="S222" s="213">
        <f t="shared" si="76"/>
        <v>1</v>
      </c>
      <c r="T222" s="195" t="str">
        <f t="shared" si="77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8"/>
        <v>https://d0f6bd738d7f1b3e5a7ca70fe4ff75f0.us-east-1.aws.found.io/app/kibana#/discover/Steve-Slow-Train-Analysis-(2080s-and-2083s)?_g=(refreshInterval:(display:Off,pause:!f,section:0,value:0),time:(from:'2017-08-23T00:39:44-0600',mode:absolute,to:'2017-08-23T02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2" s="197" t="str">
        <f>IF(AA222&lt;VLOOKUP(AG222,Variables!$AC$3:$AD$8,2,FALSE),"Y","N")</f>
        <v>Y</v>
      </c>
      <c r="X222" s="197">
        <f t="shared" si="79"/>
        <v>1</v>
      </c>
      <c r="Y222" s="197">
        <f t="shared" si="80"/>
        <v>4.3799999999999999E-2</v>
      </c>
      <c r="Z222" s="197">
        <f t="shared" si="81"/>
        <v>2.3346</v>
      </c>
      <c r="AA222" s="197">
        <f t="shared" si="82"/>
        <v>2.2907999999999999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 t="shared" si="83"/>
        <v>311</v>
      </c>
      <c r="AE222" s="77" t="str">
        <f t="shared" si="84"/>
        <v>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 &amp; 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</v>
      </c>
      <c r="AF222" s="74" t="str">
        <f t="shared" si="85"/>
        <v>"C:\Program Files (x86)\AstroGrep\AstroGrep.exe" /e /r /s /spath="%USERPROFILE%\AppData\Local\Temp\OnboardLogs" /stypes="app*4018*20170823*" /stext=" 07:.+((SYSTEM_STATE.+slice.+state.+changed )|(ment ac)|(multiple cpu faults)|(system.+state.+changed )|(\[timeout)|(PRM\|1\|D)|(kpr)|(kdp)|(train st.+moving)|(\|lc)|(penalty))"</v>
      </c>
      <c r="AG222" s="209" t="str">
        <f t="shared" si="86"/>
        <v>Other</v>
      </c>
      <c r="AH222" s="78" t="str">
        <f t="shared" si="87"/>
        <v>"%USERPROFILE%\Documents\GitHub\eaglep3\Utilities\RefineRTDCRunTimes.py" --tripid 311-22 --locoid 4018 --swversion DE.1.0.9.0 --startMP 204:438 --initTime 2017-08-23T01:39:44 --startdatetime 2017-08-23T01:42:00 --delay 2 --endMP 300:23346 --enddatetime 2017-08-23T01:55:08 --enforcementcount 0 &gt;&gt;C:\Users\stu\Documents\GitHub\eaglep3-reporting\EC\2017-08-22-refined-times.txt</v>
      </c>
      <c r="AI222" s="96" t="str">
        <f t="shared" si="88"/>
        <v>echo {"issue":{"subject":"","project_id":79,"tracker_id":40,"status_id":1,"priority_id":2,"assigned_to_id":23,"start_date":"2017-08-23","description":"","custom_fields":[{"id":1,"name":"Subdivision","value":"Other"},{"id":4,"name":"Milepost","value":"2.3346"},{"id":17,"name":"Train ID","value":"311-22"},{"id":16,"name":"Locomotive ID","value":"4018"},{"id":130,"name":"Impact","value":""},{"id":150,"name":"Time of Event (Mountain Time)","value":"01:55:08"},{"id":151,"name":"Denver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9"/>
        <v>start /low /b %USERPROFILE%\Documents\GitHub\eaglep3\Utilities\DownloadLogsFromS3.py --loco 4018 --day 2017-08-23</v>
      </c>
      <c r="AN222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797</v>
      </c>
      <c r="B223" s="7">
        <v>4018</v>
      </c>
      <c r="C223" s="21" t="s">
        <v>198</v>
      </c>
      <c r="D223" s="21" t="s">
        <v>343</v>
      </c>
      <c r="E223" s="13">
        <v>42970.06925925926</v>
      </c>
      <c r="F223" s="13">
        <v>42970.070833333331</v>
      </c>
      <c r="G223" s="7">
        <v>10</v>
      </c>
      <c r="H223" s="21" t="s">
        <v>343</v>
      </c>
      <c r="I223" s="13">
        <v>42970.079953703702</v>
      </c>
      <c r="J223" s="7">
        <v>0</v>
      </c>
      <c r="K223" s="89" t="str">
        <f t="shared" si="73"/>
        <v>4017/4018</v>
      </c>
      <c r="L223" s="217" t="str">
        <f>VLOOKUP(A223,'Trips&amp;Operators'!$C$1:$G$99911,5,FALSE)</f>
        <v>FORTUNATO FRANK</v>
      </c>
      <c r="M223" s="6">
        <f t="shared" si="74"/>
        <v>9.1203703705104999E-3</v>
      </c>
      <c r="N223" s="7">
        <f t="shared" si="75"/>
        <v>13.13333333353512</v>
      </c>
      <c r="O223" s="7"/>
      <c r="P223" s="7"/>
      <c r="Q223" s="22"/>
      <c r="R223" s="170"/>
      <c r="S223" s="213">
        <f t="shared" si="76"/>
        <v>0</v>
      </c>
      <c r="T223" s="195" t="str">
        <f t="shared" si="77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78"/>
        <v>https://d0f6bd738d7f1b3e5a7ca70fe4ff75f0.us-east-1.aws.found.io/app/kibana#/discover/Steve-Slow-Train-Analysis-(2080s-and-2083s)?_g=(refreshInterval:(display:Off,pause:!f,section:0,value:0),time:(from:'2017-08-23T00:39:44-0600',mode:absolute,to:'2017-08-23T02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97" t="str">
        <f>IF(AA223&lt;VLOOKUP(AG223,Variables!$AC$3:$AD$8,2,FALSE),"Y","N")</f>
        <v>Y</v>
      </c>
      <c r="X223" s="197">
        <f t="shared" si="79"/>
        <v>0</v>
      </c>
      <c r="Y223" s="197">
        <f t="shared" si="80"/>
        <v>2.3346</v>
      </c>
      <c r="Z223" s="197">
        <f t="shared" si="81"/>
        <v>2.3346</v>
      </c>
      <c r="AA223" s="197">
        <f t="shared" si="82"/>
        <v>0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 t="shared" si="83"/>
        <v>311</v>
      </c>
      <c r="AE223" s="77" t="str">
        <f t="shared" si="84"/>
        <v>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 &amp; 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</v>
      </c>
      <c r="AF223" s="74" t="str">
        <f t="shared" si="85"/>
        <v>"C:\Program Files (x86)\AstroGrep\AstroGrep.exe" /e /r /s /spath="%USERPROFILE%\AppData\Local\Temp\OnboardLogs" /stypes="app*4018*20170823*" /stext=" 07:.+((SYSTEM_STATE.+slice.+state.+changed )|(ment ac)|(multiple cpu faults)|(system.+state.+changed )|(\[timeout)|(PRM\|1\|D)|(kpr)|(kdp)|(train st.+moving)|(\|lc)|(penalty))"</v>
      </c>
      <c r="AG223" s="209" t="str">
        <f t="shared" si="86"/>
        <v>Other</v>
      </c>
      <c r="AH223" s="78" t="str">
        <f t="shared" si="87"/>
        <v>"%USERPROFILE%\Documents\GitHub\eaglep3\Utilities\RefineRTDCRunTimes.py" --tripid 311-22 --locoid 4018 --swversion DE.1.0.9.0 --startMP 300:23346 --initTime 2017-08-23T01:39:44 --startdatetime 2017-08-23T01:42:00 --delay 10 --endMP 300:23346 --enddatetime 2017-08-23T01:55:08 --enforcementcount 0 &gt;&gt;C:\Users\stu\Documents\GitHub\eaglep3-reporting\EC\2017-08-22-refined-times.txt</v>
      </c>
      <c r="AI223" s="96" t="str">
        <f t="shared" si="88"/>
        <v>echo {"issue":{"subject":"","project_id":79,"tracker_id":40,"status_id":1,"priority_id":2,"assigned_to_id":23,"start_date":"2017-08-23","description":"","custom_fields":[{"id":1,"name":"Subdivision","value":"Other"},{"id":4,"name":"Milepost","value":"2.3346"},{"id":17,"name":"Train ID","value":"311-22"},{"id":16,"name":"Locomotive ID","value":"4018"},{"id":130,"name":"Impact","value":""},{"id":150,"name":"Time of Event (Mountain Time)","value":"01:55:08"},{"id":151,"name":"Denver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9"/>
        <v>start /low /b %USERPROFILE%\Documents\GitHub\eaglep3\Utilities\DownloadLogsFromS3.py --loco 4018 --day 2017-08-23</v>
      </c>
      <c r="AN223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616</v>
      </c>
      <c r="B224" s="7">
        <v>4023</v>
      </c>
      <c r="C224" s="21" t="s">
        <v>198</v>
      </c>
      <c r="D224" s="21" t="s">
        <v>913</v>
      </c>
      <c r="E224" s="13">
        <v>42969.214050925926</v>
      </c>
      <c r="F224" s="13">
        <v>42969.223136574074</v>
      </c>
      <c r="G224" s="7">
        <v>12</v>
      </c>
      <c r="H224" s="21" t="s">
        <v>405</v>
      </c>
      <c r="I224" s="13">
        <v>42969.229398148149</v>
      </c>
      <c r="J224" s="7">
        <v>0</v>
      </c>
      <c r="K224" s="89" t="str">
        <f t="shared" si="73"/>
        <v>4023/4024</v>
      </c>
      <c r="L224" s="217" t="str">
        <f>VLOOKUP(A224,'Trips&amp;Operators'!$C$1:$G$99911,5,FALSE)</f>
        <v>DAVIDSON DAVID</v>
      </c>
      <c r="M224" s="6">
        <f t="shared" si="74"/>
        <v>6.2615740753244609E-3</v>
      </c>
      <c r="N224" s="7">
        <f t="shared" si="75"/>
        <v>9.0166666684672236</v>
      </c>
      <c r="O224" s="7"/>
      <c r="P224" s="7"/>
      <c r="Q224" s="22"/>
      <c r="R224" s="170"/>
      <c r="S224" s="213">
        <f t="shared" si="76"/>
        <v>1</v>
      </c>
      <c r="T224" s="195" t="str">
        <f t="shared" si="77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8"/>
        <v>https://d0f6bd738d7f1b3e5a7ca70fe4ff75f0.us-east-1.aws.found.io/app/kibana#/discover/Steve-Slow-Train-Analysis-(2080s-and-2083s)?_g=(refreshInterval:(display:Off,pause:!f,section:0,value:0),time:(from:'2017-08-22T04:08:14-0600',mode:absolute,to:'2017-08-22T06:30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197" t="str">
        <f>IF(AA224&lt;VLOOKUP(AG224,Variables!$AC$3:$AD$8,2,FALSE),"Y","N")</f>
        <v>Y</v>
      </c>
      <c r="X224" s="197">
        <f t="shared" si="79"/>
        <v>1</v>
      </c>
      <c r="Y224" s="197">
        <f t="shared" si="80"/>
        <v>2.3317000000000001</v>
      </c>
      <c r="Z224" s="197">
        <f t="shared" si="81"/>
        <v>1.72E-2</v>
      </c>
      <c r="AA224" s="197">
        <f t="shared" si="82"/>
        <v>2.3145000000000002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 t="shared" si="83"/>
        <v>312</v>
      </c>
      <c r="AE224" s="77" t="str">
        <f t="shared" si="84"/>
        <v>aws s3 cp s3://rtdc.mdm.uploadarchive.raw/RTDC4023/ "%USERPROFILE%\AppData\Local\Temp\OnboardLogs"\RTDC4023\2017-08-22 --exclude "*" --recursive --include "*20170822*" &amp; "%USERPROFILE%\Documents\GitHub\mrs-test-scripts\Headless Mode &amp; Sideloading\WalkAndUnGZ.bat" "%USERPROFILE%\AppData\Local\Temp\OnboardLogs"\RTDC4023\2017-08-22 &amp; aws s3 cp s3://rtdc.mdm.uploadarchive.raw/RTDC4023/ "%USERPROFILE%\AppData\Local\Temp\OnboardLogs"\RTDC4023\2017-08-23 --exclude "*" --recursive --include "*20170823*" &amp; "%USERPROFILE%\Documents\GitHub\mrs-test-scripts\Headless Mode &amp; Sideloading\WalkAndUnGZ.bat" "%USERPROFILE%\AppData\Local\Temp\OnboardLogs"\RTDC4023\2017-08-23</v>
      </c>
      <c r="AF224" s="74" t="str">
        <f t="shared" si="85"/>
        <v>"C:\Program Files (x86)\AstroGrep\AstroGrep.exe" /e /r /s /spath="%USERPROFILE%\AppData\Local\Temp\OnboardLogs" /stypes="app*4023*20170822*" /stext=" 11:.+((SYSTEM_STATE.+slice.+state.+changed )|(ment ac)|(multiple cpu faults)|(system.+state.+changed )|(\[timeout)|(PRM\|1\|D)|(kpr)|(kdp)|(train st.+moving)|(\|lc)|(penalty))"</v>
      </c>
      <c r="AG224" s="209" t="str">
        <f t="shared" si="86"/>
        <v>Other</v>
      </c>
      <c r="AH224" s="78" t="str">
        <f t="shared" si="87"/>
        <v>"%USERPROFILE%\Documents\GitHub\eaglep3\Utilities\RefineRTDCRunTimes.py" --tripid 312-22 --locoid 4023 --swversion DE.1.0.9.0 --startMP 300:23317 --initTime 2017-08-22T05:08:14 --startdatetime 2017-08-22T05:21:19 --delay 12 --endMP 204:172 --enddatetime 2017-08-22T05:30:20 --enforcementcount 0 &gt;&gt;C:\Users\stu\Documents\GitHub\eaglep3-reporting\EC\2017-08-22-refined-times.txt</v>
      </c>
      <c r="AI224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{"issue":{"subject":"","project_id":79,"tracker_id":40,"status_id":1,"priority_id":2,"assigned_to_id":23,"start_date":"2017-08-22","description":"","custom_fields":[{"id":1,"name":"Subdivision","value":"Other"},{"id":4,"name":"Milepost","value":"0.0172"},{"id":17,"name":"Train ID","value":"312-22"},{"id":16,"name":"Locomotive ID","value":"4023"},{"id":130,"name":"Impact","value":""},{"id":150,"name":"Time of Event (Mountain Time)","value":"05:30:20"},{"id":151,"name":"Denver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9"/>
        <v>start /low /b %USERPROFILE%\Documents\GitHub\eaglep3\Utilities\DownloadLogsFromS3.py --loco 4023 --day 2017-08-22</v>
      </c>
      <c r="AN224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11:30:20"},{"id":29,"name":"Sharepoint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497</v>
      </c>
      <c r="B225" s="7">
        <v>4028</v>
      </c>
      <c r="C225" s="21" t="s">
        <v>198</v>
      </c>
      <c r="D225" s="21" t="s">
        <v>360</v>
      </c>
      <c r="E225" s="13">
        <v>42969.08934027778</v>
      </c>
      <c r="F225" s="13">
        <v>42969.091006944444</v>
      </c>
      <c r="G225" s="7">
        <v>1</v>
      </c>
      <c r="H225" s="21" t="s">
        <v>528</v>
      </c>
      <c r="I225" s="13">
        <v>42969.099953703706</v>
      </c>
      <c r="J225" s="7">
        <v>0</v>
      </c>
      <c r="K225" s="89" t="str">
        <f t="shared" si="73"/>
        <v>4027/4028</v>
      </c>
      <c r="L225" s="217" t="str">
        <f>VLOOKUP(A225,'Trips&amp;Operators'!$C$1:$G$99911,5,FALSE)</f>
        <v>GUZMAN DANNY</v>
      </c>
      <c r="M225" s="6">
        <f t="shared" si="74"/>
        <v>8.9467592624714598E-3</v>
      </c>
      <c r="N225" s="7">
        <f t="shared" si="75"/>
        <v>12.883333337958902</v>
      </c>
      <c r="O225" s="7"/>
      <c r="P225" s="7"/>
      <c r="Q225" s="22"/>
      <c r="R225" s="170"/>
      <c r="S225" s="213">
        <f t="shared" si="76"/>
        <v>1</v>
      </c>
      <c r="T225" s="195" t="str">
        <f t="shared" si="77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8"/>
        <v>https://d0f6bd738d7f1b3e5a7ca70fe4ff75f0.us-east-1.aws.found.io/app/kibana#/discover/Steve-Slow-Train-Analysis-(2080s-and-2083s)?_g=(refreshInterval:(display:Off,pause:!f,section:0,value:0),time:(from:'2017-08-22T01:08:39-0600',mode:absolute,to:'2017-08-22T03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5" s="197" t="str">
        <f>IF(AA225&lt;VLOOKUP(AG225,Variables!$AC$3:$AD$8,2,FALSE),"Y","N")</f>
        <v>Y</v>
      </c>
      <c r="X225" s="197">
        <f t="shared" si="79"/>
        <v>1</v>
      </c>
      <c r="Y225" s="197">
        <f t="shared" si="80"/>
        <v>4.5499999999999999E-2</v>
      </c>
      <c r="Z225" s="197">
        <f t="shared" si="81"/>
        <v>2.3298999999999999</v>
      </c>
      <c r="AA225" s="197">
        <f t="shared" si="82"/>
        <v>2.2843999999999998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 t="shared" si="83"/>
        <v>313</v>
      </c>
      <c r="AE225" s="77" t="str">
        <f t="shared" si="84"/>
        <v>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 &amp; 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</v>
      </c>
      <c r="AF225" s="74" t="str">
        <f t="shared" si="85"/>
        <v>"C:\Program Files (x86)\AstroGrep\AstroGrep.exe" /e /r /s /spath="%USERPROFILE%\AppData\Local\Temp\OnboardLogs" /stypes="app*4028*20170822*" /stext=" 08:.+((SYSTEM_STATE.+slice.+state.+changed )|(ment ac)|(multiple cpu faults)|(system.+state.+changed )|(\[timeout)|(PRM\|1\|D)|(kpr)|(kdp)|(train st.+moving)|(\|lc)|(penalty))"</v>
      </c>
      <c r="AG225" s="209" t="str">
        <f t="shared" si="86"/>
        <v>Other</v>
      </c>
      <c r="AH225" s="78" t="str">
        <f t="shared" si="87"/>
        <v>"%USERPROFILE%\Documents\GitHub\eaglep3\Utilities\RefineRTDCRunTimes.py" --tripid 313-21 --locoid 4028 --swversion DE.1.0.9.0 --startMP 204:455 --initTime 2017-08-22T02:08:39 --startdatetime 2017-08-22T02:11:03 --delay 1 --endMP 300:23299 --enddatetime 2017-08-22T02:23:56 --enforcementcount 0 &gt;&gt;C:\Users\stu\Documents\GitHub\eaglep3-reporting\EC\2017-08-22-refined-times.txt</v>
      </c>
      <c r="AI225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{"issue":{"subject":"","project_id":79,"tracker_id":40,"status_id":1,"priority_id":2,"assigned_to_id":23,"start_date":"2017-08-22","description":"","custom_fields":[{"id":1,"name":"Subdivision","value":"Other"},{"id":4,"name":"Milepost","value":"2.3299"},{"id":17,"name":"Train ID","value":"313-21"},{"id":16,"name":"Locomotive ID","value":"4028"},{"id":130,"name":"Impact","value":""},{"id":150,"name":"Time of Event (Mountain Time)","value":"02:23:56"},{"id":151,"name":"Denver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9"/>
        <v>start /low /b %USERPROFILE%\Documents\GitHub\eaglep3\Utilities\DownloadLogsFromS3.py --loco 4028 --day 2017-08-22</v>
      </c>
      <c r="AN225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08:23:56"},{"id":29,"name":"Sharepoint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608</v>
      </c>
      <c r="B226" s="7">
        <v>4026</v>
      </c>
      <c r="C226" s="21" t="s">
        <v>198</v>
      </c>
      <c r="D226" s="21" t="s">
        <v>967</v>
      </c>
      <c r="E226" s="13">
        <v>42969.199687499997</v>
      </c>
      <c r="F226" s="13">
        <v>42969.203020833331</v>
      </c>
      <c r="G226" s="7">
        <v>4</v>
      </c>
      <c r="H226" s="21" t="s">
        <v>545</v>
      </c>
      <c r="I226" s="13">
        <v>42969.208287037036</v>
      </c>
      <c r="J226" s="7">
        <v>0</v>
      </c>
      <c r="K226" s="89" t="str">
        <f t="shared" si="73"/>
        <v>4025/4026</v>
      </c>
      <c r="L226" s="217" t="str">
        <f>VLOOKUP(A226,'Trips&amp;Operators'!$C$1:$G$99911,5,FALSE)</f>
        <v>HELVIE ADAM</v>
      </c>
      <c r="M226" s="6">
        <f t="shared" si="74"/>
        <v>5.2662037051049992E-3</v>
      </c>
      <c r="N226" s="7">
        <f t="shared" si="75"/>
        <v>7.5833333353511989</v>
      </c>
      <c r="O226" s="7"/>
      <c r="P226" s="7"/>
      <c r="Q226" s="22"/>
      <c r="R226" s="170"/>
      <c r="S226" s="213">
        <f t="shared" si="76"/>
        <v>0</v>
      </c>
      <c r="T226" s="195" t="str">
        <f t="shared" si="77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8"/>
        <v>https://d0f6bd738d7f1b3e5a7ca70fe4ff75f0.us-east-1.aws.found.io/app/kibana#/discover/Steve-Slow-Train-Analysis-(2080s-and-2083s)?_g=(refreshInterval:(display:Off,pause:!f,section:0,value:0),time:(from:'2017-08-22T03:47:33-0600',mode:absolute,to:'2017-08-22T05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6" s="197" t="str">
        <f>IF(AA226&lt;VLOOKUP(AG226,Variables!$AC$3:$AD$8,2,FALSE),"Y","N")</f>
        <v>Y</v>
      </c>
      <c r="X226" s="197">
        <f t="shared" si="79"/>
        <v>588</v>
      </c>
      <c r="Y226" s="197">
        <f t="shared" si="80"/>
        <v>3.0070000000000001</v>
      </c>
      <c r="Z226" s="197">
        <f t="shared" si="81"/>
        <v>5.8935000000000004</v>
      </c>
      <c r="AA226" s="197">
        <f t="shared" si="82"/>
        <v>2.8865000000000003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 t="shared" si="83"/>
        <v>901</v>
      </c>
      <c r="AE226" s="77" t="str">
        <f t="shared" si="84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226" s="74" t="str">
        <f t="shared" si="85"/>
        <v>"C:\Program Files (x86)\AstroGrep\AstroGrep.exe" /e /r /s /spath="%USERPROFILE%\AppData\Local\Temp\OnboardLogs" /stypes="app*4026*20170822*" /stext=" 10:.+((SYSTEM_STATE.+slice.+state.+changed )|(ment ac)|(multiple cpu faults)|(system.+state.+changed )|(\[timeout)|(PRM\|1\|D)|(kpr)|(kdp)|(train st.+moving)|(\|lc)|(penalty))"</v>
      </c>
      <c r="AG226" s="209" t="str">
        <f t="shared" si="86"/>
        <v>Other</v>
      </c>
      <c r="AH226" s="78" t="str">
        <f t="shared" si="87"/>
        <v>"%USERPROFILE%\Documents\GitHub\eaglep3\Utilities\RefineRTDCRunTimes.py" --tripid 901-22 --locoid 4026 --swversion DE.1.0.9.0 --startMP 300:30070 --initTime 2017-08-22T04:47:33 --startdatetime 2017-08-22T04:52:21 --delay 4 --endMP 300:58935 --enddatetime 2017-08-22T04:59:56 --enforcementcount 0 &gt;&gt;C:\Users\stu\Documents\GitHub\eaglep3-reporting\EC\2017-08-22-refined-times.txt</v>
      </c>
      <c r="AI226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{"issue":{"subject":"","project_id":79,"tracker_id":40,"status_id":1,"priority_id":2,"assigned_to_id":23,"start_date":"2017-08-22","description":"","custom_fields":[{"id":1,"name":"Subdivision","value":"Other"},{"id":4,"name":"Milepost","value":"5.8935"},{"id":17,"name":"Train ID","value":"901-22"},{"id":16,"name":"Locomotive ID","value":"4026"},{"id":130,"name":"Impact","value":""},{"id":150,"name":"Time of Event (Mountain Time)","value":"04:59:56"},{"id":151,"name":"Denver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9"/>
        <v>start /low /b %USERPROFILE%\Documents\GitHub\eaglep3\Utilities\DownloadLogsFromS3.py --loco 4026 --day 2017-08-22</v>
      </c>
      <c r="AN226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10:59:56"},{"id":29,"name":"Sharepoint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650</v>
      </c>
      <c r="B227" s="7">
        <v>4026</v>
      </c>
      <c r="C227" s="21" t="s">
        <v>198</v>
      </c>
      <c r="D227" s="21" t="s">
        <v>968</v>
      </c>
      <c r="E227" s="13">
        <v>42969.35324074074</v>
      </c>
      <c r="F227" s="13">
        <v>42969.354525462964</v>
      </c>
      <c r="G227" s="7">
        <v>1</v>
      </c>
      <c r="H227" s="21" t="s">
        <v>969</v>
      </c>
      <c r="I227" s="13">
        <v>42969.36010416667</v>
      </c>
      <c r="J227" s="7">
        <v>0</v>
      </c>
      <c r="K227" s="89" t="str">
        <f t="shared" si="73"/>
        <v>4025/4026</v>
      </c>
      <c r="L227" s="217" t="str">
        <f>VLOOKUP(A227,'Trips&amp;Operators'!$C$1:$G$99911,5,FALSE)</f>
        <v>HELVIE ADAM</v>
      </c>
      <c r="M227" s="6">
        <f t="shared" si="74"/>
        <v>5.5787037053960375E-3</v>
      </c>
      <c r="N227" s="7">
        <f t="shared" si="75"/>
        <v>8.0333333357702941</v>
      </c>
      <c r="O227" s="7"/>
      <c r="P227" s="7"/>
      <c r="Q227" s="22"/>
      <c r="R227" s="170"/>
      <c r="S227" s="213">
        <f t="shared" si="76"/>
        <v>1</v>
      </c>
      <c r="T227" s="195" t="str">
        <f t="shared" si="77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78"/>
        <v>https://d0f6bd738d7f1b3e5a7ca70fe4ff75f0.us-east-1.aws.found.io/app/kibana#/discover/Steve-Slow-Train-Analysis-(2080s-and-2083s)?_g=(refreshInterval:(display:Off,pause:!f,section:0,value:0),time:(from:'2017-08-22T07:28:40-0600',mode:absolute,to:'2017-08-22T09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7" s="197" t="str">
        <f>IF(AA227&lt;VLOOKUP(AG227,Variables!$AC$3:$AD$8,2,FALSE),"Y","N")</f>
        <v>Y</v>
      </c>
      <c r="X227" s="197">
        <f t="shared" si="79"/>
        <v>2</v>
      </c>
      <c r="Y227" s="197">
        <f t="shared" si="80"/>
        <v>0.1062</v>
      </c>
      <c r="Z227" s="197">
        <f t="shared" si="81"/>
        <v>2.4256000000000002</v>
      </c>
      <c r="AA227" s="197">
        <f t="shared" si="82"/>
        <v>2.3194000000000004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 t="shared" si="83"/>
        <v>903</v>
      </c>
      <c r="AE227" s="77" t="str">
        <f t="shared" si="84"/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AF227" s="74" t="str">
        <f t="shared" si="85"/>
        <v>"C:\Program Files (x86)\AstroGrep\AstroGrep.exe" /e /r /s /spath="%USERPROFILE%\AppData\Local\Temp\OnboardLogs" /stypes="app*4026*20170822*" /stext=" 14:.+((SYSTEM_STATE.+slice.+state.+changed )|(ment ac)|(multiple cpu faults)|(system.+state.+changed )|(\[timeout)|(PRM\|1\|D)|(kpr)|(kdp)|(train st.+moving)|(\|lc)|(penalty))"</v>
      </c>
      <c r="AG227" s="209" t="str">
        <f t="shared" si="86"/>
        <v>Other</v>
      </c>
      <c r="AH227" s="78" t="str">
        <f t="shared" si="87"/>
        <v>"%USERPROFILE%\Documents\GitHub\eaglep3\Utilities\RefineRTDCRunTimes.py" --tripid 903-22 --locoid 4026 --swversion DE.1.0.9.0 --startMP 204:1062 --initTime 2017-08-22T08:28:40 --startdatetime 2017-08-22T08:30:31 --delay 1 --endMP 300:24256 --enddatetime 2017-08-22T08:38:33 --enforcementcount 0 &gt;&gt;C:\Users\stu\Documents\GitHub\eaglep3-reporting\EC\2017-08-22-refined-times.txt</v>
      </c>
      <c r="AI227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{"issue":{"subject":"","project_id":79,"tracker_id":40,"status_id":1,"priority_id":2,"assigned_to_id":23,"start_date":"2017-08-22","description":"","custom_fields":[{"id":1,"name":"Subdivision","value":"Other"},{"id":4,"name":"Milepost","value":"2.4256"},{"id":17,"name":"Train ID","value":"903-22"},{"id":16,"name":"Locomotive ID","value":"4026"},{"id":130,"name":"Impact","value":""},{"id":150,"name":"Time of Event (Mountain Time)","value":"08:38:33"},{"id":151,"name":"Denver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9"/>
        <v>start /low /b %USERPROFILE%\Documents\GitHub\eaglep3\Utilities\DownloadLogsFromS3.py --loco 4026 --day 2017-08-22</v>
      </c>
      <c r="AN227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14:38:33"},{"id":29,"name":"Sharepoint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583</v>
      </c>
      <c r="B228" s="7">
        <v>4025</v>
      </c>
      <c r="C228" s="21" t="s">
        <v>198</v>
      </c>
      <c r="D228" s="21" t="s">
        <v>970</v>
      </c>
      <c r="E228" s="13">
        <v>42969.632210648146</v>
      </c>
      <c r="F228" s="13">
        <v>42969.634918981479</v>
      </c>
      <c r="G228" s="7">
        <v>3</v>
      </c>
      <c r="H228" s="21" t="s">
        <v>971</v>
      </c>
      <c r="I228" s="13">
        <v>42969.642314814817</v>
      </c>
      <c r="J228" s="7">
        <v>0</v>
      </c>
      <c r="K228" s="89" t="str">
        <f t="shared" si="73"/>
        <v>4025/4026</v>
      </c>
      <c r="L228" s="217" t="str">
        <f>VLOOKUP(A228,'Trips&amp;Operators'!$C$1:$G$99911,5,FALSE)</f>
        <v>BARRON PERLA</v>
      </c>
      <c r="M228" s="6">
        <f t="shared" si="74"/>
        <v>7.3958333377959207E-3</v>
      </c>
      <c r="N228" s="7">
        <f t="shared" si="75"/>
        <v>10.650000006426126</v>
      </c>
      <c r="O228" s="7"/>
      <c r="P228" s="7"/>
      <c r="Q228" s="22"/>
      <c r="R228" s="170"/>
      <c r="S228" s="213">
        <f t="shared" si="76"/>
        <v>1</v>
      </c>
      <c r="T228" s="195" t="str">
        <f t="shared" si="77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8"/>
        <v>https://d0f6bd738d7f1b3e5a7ca70fe4ff75f0.us-east-1.aws.found.io/app/kibana#/discover/Steve-Slow-Train-Analysis-(2080s-and-2083s)?_g=(refreshInterval:(display:Off,pause:!f,section:0,value:0),time:(from:'2017-08-22T14:10:23-0600',mode:absolute,to:'2017-08-22T16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7" t="str">
        <f>IF(AA228&lt;VLOOKUP(AG228,Variables!$AC$3:$AD$8,2,FALSE),"Y","N")</f>
        <v>Y</v>
      </c>
      <c r="X228" s="197">
        <f t="shared" si="79"/>
        <v>1</v>
      </c>
      <c r="Y228" s="197">
        <f t="shared" si="80"/>
        <v>2.3422999999999998</v>
      </c>
      <c r="Z228" s="197">
        <f t="shared" si="81"/>
        <v>7.0999999999999994E-2</v>
      </c>
      <c r="AA228" s="197">
        <f t="shared" si="82"/>
        <v>2.2712999999999997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 t="shared" si="83"/>
        <v>904</v>
      </c>
      <c r="AE228" s="77" t="str">
        <f t="shared" si="84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228" s="74" t="str">
        <f t="shared" si="85"/>
        <v>"C:\Program Files (x86)\AstroGrep\AstroGrep.exe" /e /r /s /spath="%USERPROFILE%\AppData\Local\Temp\OnboardLogs" /stypes="app*4025*20170822*" /stext=" 21:.+((SYSTEM_STATE.+slice.+state.+changed )|(ment ac)|(multiple cpu faults)|(system.+state.+changed )|(\[timeout)|(PRM\|1\|D)|(kpr)|(kdp)|(train st.+moving)|(\|lc)|(penalty))"</v>
      </c>
      <c r="AG228" s="209" t="str">
        <f t="shared" si="86"/>
        <v>Other</v>
      </c>
      <c r="AH228" s="78" t="str">
        <f t="shared" si="87"/>
        <v>"%USERPROFILE%\Documents\GitHub\eaglep3\Utilities\RefineRTDCRunTimes.py" --tripid 904-22 --locoid 4025 --swversion DE.1.0.9.0 --startMP 300:23423 --initTime 2017-08-22T15:10:23 --startdatetime 2017-08-22T15:14:17 --delay 3 --endMP 204:710 --enddatetime 2017-08-22T15:24:56 --enforcementcount 0 &gt;&gt;C:\Users\stu\Documents\GitHub\eaglep3-reporting\EC\2017-08-22-refined-times.txt</v>
      </c>
      <c r="AI228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{"issue":{"subject":"","project_id":79,"tracker_id":40,"status_id":1,"priority_id":2,"assigned_to_id":23,"start_date":"2017-08-22","description":"","custom_fields":[{"id":1,"name":"Subdivision","value":"Other"},{"id":4,"name":"Milepost","value":"0.071"},{"id":17,"name":"Train ID","value":"904-22"},{"id":16,"name":"Locomotive ID","value":"4025"},{"id":130,"name":"Impact","value":""},{"id":150,"name":"Time of Event (Mountain Time)","value":"15:24:56"},{"id":151,"name":"Denver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9"/>
        <v>start /low /b %USERPROFILE%\Documents\GitHub\eaglep3\Utilities\DownloadLogsFromS3.py --loco 4025 --day 2017-08-22</v>
      </c>
      <c r="AN228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21:24:56"},{"id":29,"name":"Sharepoint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762</v>
      </c>
      <c r="B229" s="7">
        <v>4025</v>
      </c>
      <c r="C229" s="21" t="s">
        <v>198</v>
      </c>
      <c r="D229" s="21" t="s">
        <v>537</v>
      </c>
      <c r="E229" s="13">
        <v>42969.795729166668</v>
      </c>
      <c r="F229" s="13">
        <v>42969.797118055554</v>
      </c>
      <c r="G229" s="7">
        <v>1</v>
      </c>
      <c r="H229" s="21" t="s">
        <v>972</v>
      </c>
      <c r="I229" s="13">
        <v>42969.804074074076</v>
      </c>
      <c r="J229" s="7">
        <v>0</v>
      </c>
      <c r="K229" s="89" t="str">
        <f t="shared" si="73"/>
        <v>4025/4026</v>
      </c>
      <c r="L229" s="217" t="str">
        <f>VLOOKUP(A229,'Trips&amp;Operators'!$C$1:$G$99911,5,FALSE)</f>
        <v>BARRON PERLA</v>
      </c>
      <c r="M229" s="6">
        <f t="shared" si="74"/>
        <v>6.9560185220325366E-3</v>
      </c>
      <c r="N229" s="7">
        <f t="shared" si="75"/>
        <v>10.016666671726853</v>
      </c>
      <c r="O229" s="7"/>
      <c r="P229" s="7"/>
      <c r="Q229" s="22"/>
      <c r="R229" s="170" t="s">
        <v>1004</v>
      </c>
      <c r="S229" s="213">
        <f t="shared" si="76"/>
        <v>0</v>
      </c>
      <c r="T229" s="195" t="str">
        <f t="shared" si="77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8"/>
        <v>https://d0f6bd738d7f1b3e5a7ca70fe4ff75f0.us-east-1.aws.found.io/app/kibana#/discover/Steve-Slow-Train-Analysis-(2080s-and-2083s)?_g=(refreshInterval:(display:Off,pause:!f,section:0,value:0),time:(from:'2017-08-22T18:05:51-0600',mode:absolute,to:'2017-08-22T20:17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9" s="197" t="str">
        <f>IF(AA229&lt;VLOOKUP(AG229,Variables!$AC$3:$AD$8,2,FALSE),"Y","N")</f>
        <v>Y</v>
      </c>
      <c r="X229" s="197">
        <f t="shared" si="79"/>
        <v>2</v>
      </c>
      <c r="Y229" s="197">
        <f t="shared" si="80"/>
        <v>5.8615000000000004</v>
      </c>
      <c r="Z229" s="197">
        <f t="shared" si="81"/>
        <v>2.8788999999999998</v>
      </c>
      <c r="AA229" s="197">
        <f t="shared" si="82"/>
        <v>2.9826000000000006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 t="shared" si="83"/>
        <v>906</v>
      </c>
      <c r="AE229" s="77" t="str">
        <f t="shared" si="84"/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AF229" s="74" t="str">
        <f t="shared" si="85"/>
        <v>"C:\Program Files (x86)\AstroGrep\AstroGrep.exe" /e /r /s /spath="%USERPROFILE%\AppData\Local\Temp\OnboardLogs" /stypes="app*4025*20170823*" /stext=" 01:.+((SYSTEM_STATE.+slice.+state.+changed )|(ment ac)|(multiple cpu faults)|(system.+state.+changed )|(\[timeout)|(PRM\|1\|D)|(kpr)|(kdp)|(train st.+moving)|(\|lc)|(penalty))"</v>
      </c>
      <c r="AG229" s="209" t="str">
        <f t="shared" si="86"/>
        <v>Other</v>
      </c>
      <c r="AH229" s="78" t="str">
        <f t="shared" si="87"/>
        <v>"%USERPROFILE%\Documents\GitHub\eaglep3\Utilities\RefineRTDCRunTimes.py" --tripid 906-22 --locoid 4025 --swversion DE.1.0.9.0 --startMP 300:58615 --initTime 2017-08-22T19:05:51 --startdatetime 2017-08-22T19:07:51 --delay 1 --endMP 300:28789 --enddatetime 2017-08-22T19:17:52 --enforcementcount 0 &gt;&gt;C:\Users\stu\Documents\GitHub\eaglep3-reporting\EC\2017-08-22-refined-times.txt</v>
      </c>
      <c r="AI229" s="96" t="str">
        <f t="shared" si="88"/>
        <v>echo {"issue":{"subject":"Wi-MAX data drop observed, no enforcement or cut out","project_id":79,"tracker_id":40,"status_id":1,"priority_id":2,"assigned_to_id":23,"start_date":"2017-08-22","description":"","custom_fields":[{"id":1,"name":"Subdivision","value":"Other"},{"id":4,"name":"Milepost","value":"2.8789"},{"id":17,"name":"Train ID","value":"906-22"},{"id":16,"name":"Locomotive ID","value":"4025"},{"id":130,"name":"Impact","value":""},{"id":150,"name":"Time of Event (Mountain Time)","value":"19:17:52"},{"id":151,"name":"Denver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9"/>
        <v>start /low /b %USERPROFILE%\Documents\GitHub\eaglep3\Utilities\DownloadLogsFromS3.py --loco 4025 --day 2017-08-22</v>
      </c>
      <c r="AN229" s="151" t="str">
        <f t="shared" si="90"/>
        <v>echo {"issue":{"subject":"Wi-MAX data drop observed, no enforcement or cut out","project_id":30,"tracker_id":4,"status_id":1,"priority_id":1,"assigned_to_id":10,"start_date":"2017-08-23","description":"","custom_fields":[{"id":30,"name":"Category","value":"Issue"},{"id":3,"name":"Functional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01:17:52"},{"id":29,"name":"Sharepoint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784</v>
      </c>
      <c r="B230" s="7">
        <v>4029</v>
      </c>
      <c r="C230" s="21" t="s">
        <v>198</v>
      </c>
      <c r="D230" s="21" t="s">
        <v>536</v>
      </c>
      <c r="E230" s="13">
        <v>42969.941747685189</v>
      </c>
      <c r="F230" s="13">
        <v>42969.942997685182</v>
      </c>
      <c r="G230" s="7">
        <v>1</v>
      </c>
      <c r="H230" s="21" t="s">
        <v>972</v>
      </c>
      <c r="I230" s="13">
        <v>42969.949884259258</v>
      </c>
      <c r="J230" s="7">
        <v>0</v>
      </c>
      <c r="K230" s="89" t="str">
        <f t="shared" si="73"/>
        <v>4029/4030</v>
      </c>
      <c r="L230" s="217" t="str">
        <f>VLOOKUP(A230,'Trips&amp;Operators'!$C$1:$G$99911,5,FALSE)</f>
        <v>BARRON PERLA</v>
      </c>
      <c r="M230" s="6">
        <f t="shared" si="74"/>
        <v>6.8865740759065375E-3</v>
      </c>
      <c r="N230" s="7">
        <f t="shared" si="75"/>
        <v>9.916666669305414</v>
      </c>
      <c r="O230" s="7"/>
      <c r="P230" s="7"/>
      <c r="Q230" s="22"/>
      <c r="R230" s="170"/>
      <c r="S230" s="213">
        <f t="shared" si="76"/>
        <v>0</v>
      </c>
      <c r="T230" s="195" t="str">
        <f t="shared" si="77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78"/>
        <v>https://d0f6bd738d7f1b3e5a7ca70fe4ff75f0.us-east-1.aws.found.io/app/kibana#/discover/Steve-Slow-Train-Analysis-(2080s-and-2083s)?_g=(refreshInterval:(display:Off,pause:!f,section:0,value:0),time:(from:'2017-08-22T21:36:07-0600',mode:absolute,to:'2017-08-22T23:47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197" t="str">
        <f>IF(AA230&lt;VLOOKUP(AG230,Variables!$AC$3:$AD$8,2,FALSE),"Y","N")</f>
        <v>Y</v>
      </c>
      <c r="X230" s="197">
        <f t="shared" si="79"/>
        <v>2</v>
      </c>
      <c r="Y230" s="197">
        <f t="shared" si="80"/>
        <v>5.8616999999999999</v>
      </c>
      <c r="Z230" s="197">
        <f t="shared" si="81"/>
        <v>2.8788999999999998</v>
      </c>
      <c r="AA230" s="197">
        <f t="shared" si="82"/>
        <v>2.9828000000000001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 t="shared" si="83"/>
        <v>908</v>
      </c>
      <c r="AE230" s="77" t="str">
        <f t="shared" si="84"/>
        <v>aws s3 cp s3://rtdc.mdm.uploadarchive.raw/RTDC4029/ "%USERPROFILE%\AppData\Local\Temp\OnboardLogs"\RTDC4029\2017-08-22 --exclude "*" --recursive --include "*20170822*" &amp; "%USERPROFILE%\Documents\GitHub\mrs-test-scripts\Headless Mode &amp; Sideloading\WalkAndUnGZ.bat" "%USERPROFILE%\AppData\Local\Temp\OnboardLogs"\RTDC4029\2017-08-22 &amp; 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</v>
      </c>
      <c r="AF230" s="74" t="str">
        <f t="shared" si="85"/>
        <v>"C:\Program Files (x86)\AstroGrep\AstroGrep.exe" /e /r /s /spath="%USERPROFILE%\AppData\Local\Temp\OnboardLogs" /stypes="app*4029*20170823*" /stext=" 04:.+((SYSTEM_STATE.+slice.+state.+changed )|(ment ac)|(multiple cpu faults)|(system.+state.+changed )|(\[timeout)|(PRM\|1\|D)|(kpr)|(kdp)|(train st.+moving)|(\|lc)|(penalty))"</v>
      </c>
      <c r="AG230" s="209" t="str">
        <f t="shared" si="86"/>
        <v>Other</v>
      </c>
      <c r="AH230" s="78" t="str">
        <f t="shared" si="87"/>
        <v>"%USERPROFILE%\Documents\GitHub\eaglep3\Utilities\RefineRTDCRunTimes.py" --tripid 908-22 --locoid 4029 --swversion DE.1.0.9.0 --startMP 300:58617 --initTime 2017-08-22T22:36:07 --startdatetime 2017-08-22T22:37:55 --delay 1 --endMP 300:28789 --enddatetime 2017-08-22T22:47:50 --enforcementcount 0 &gt;&gt;C:\Users\stu\Documents\GitHub\eaglep3-reporting\EC\2017-08-22-refined-times.txt</v>
      </c>
      <c r="AI230" s="96" t="str">
        <f t="shared" si="88"/>
        <v>echo {"issue":{"subject":"","project_id":79,"tracker_id":40,"status_id":1,"priority_id":2,"assigned_to_id":23,"start_date":"2017-08-22","description":"","custom_fields":[{"id":1,"name":"Subdivision","value":"Other"},{"id":4,"name":"Milepost","value":"2.8789"},{"id":17,"name":"Train ID","value":"908-22"},{"id":16,"name":"Locomotive ID","value":"4029"},{"id":130,"name":"Impact","value":""},{"id":150,"name":"Time of Event (Mountain Time)","value":"22:47:50"},{"id":151,"name":"Denver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9"/>
        <v>start /low /b %USERPROFILE%\Documents\GitHub\eaglep3\Utilities\DownloadLogsFromS3.py --loco 4029 --day 2017-08-22</v>
      </c>
      <c r="AN230" s="151" t="str">
        <f t="shared" si="90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04:47:50"},{"id":29,"name":"Sharepoint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743</v>
      </c>
      <c r="B231" s="7">
        <v>4001</v>
      </c>
      <c r="C231" s="21" t="s">
        <v>198</v>
      </c>
      <c r="D231" s="21" t="s">
        <v>914</v>
      </c>
      <c r="E231" s="13">
        <v>42969.74009259259</v>
      </c>
      <c r="F231" s="13">
        <v>42969.743715277778</v>
      </c>
      <c r="G231" s="7">
        <v>5</v>
      </c>
      <c r="H231" s="21" t="s">
        <v>915</v>
      </c>
      <c r="I231" s="13">
        <v>42969.748854166668</v>
      </c>
      <c r="J231" s="7">
        <v>0</v>
      </c>
      <c r="K231" s="89" t="str">
        <f t="shared" si="73"/>
        <v>4001/4002</v>
      </c>
      <c r="L231" s="217" t="str">
        <f>VLOOKUP(A231,'Trips&amp;Operators'!$C$1:$G$99911,5,FALSE)</f>
        <v>SAFIEF AEIMEN</v>
      </c>
      <c r="M231" s="6">
        <f t="shared" si="74"/>
        <v>5.1388888896326534E-3</v>
      </c>
      <c r="N231" s="7">
        <f t="shared" si="75"/>
        <v>7.400000001071021</v>
      </c>
      <c r="O231" s="7"/>
      <c r="P231" s="7"/>
      <c r="Q231" s="22"/>
      <c r="R231" s="170"/>
      <c r="S231" s="213">
        <f t="shared" si="76"/>
        <v>1</v>
      </c>
      <c r="T231" s="195" t="str">
        <f t="shared" si="77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8"/>
        <v>https://d0f6bd738d7f1b3e5a7ca70fe4ff75f0.us-east-1.aws.found.io/app/kibana#/discover/Steve-Slow-Train-Analysis-(2080s-and-2083s)?_g=(refreshInterval:(display:Off,pause:!f,section:0,value:0),time:(from:'2017-08-22T16:45:44-0600',mode:absolute,to:'2017-08-22T18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197" t="str">
        <f>IF(AA231&lt;VLOOKUP(AG231,Variables!$AC$3:$AD$8,2,FALSE),"Y","N")</f>
        <v>Y</v>
      </c>
      <c r="X231" s="197">
        <f t="shared" si="79"/>
        <v>-858</v>
      </c>
      <c r="Y231" s="197">
        <f t="shared" si="80"/>
        <v>2.3527</v>
      </c>
      <c r="Z231" s="197">
        <f t="shared" si="81"/>
        <v>9.9599999999999994E-2</v>
      </c>
      <c r="AA231" s="197">
        <f t="shared" si="82"/>
        <v>2.2530999999999999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 t="shared" si="83"/>
        <v>50</v>
      </c>
      <c r="AE231" s="77" t="str">
        <f t="shared" si="84"/>
        <v>aws s3 cp s3://rtdc.mdm.uploadarchive.raw/RTDC4001/ "%USERPROFILE%\AppData\Local\Temp\OnboardLogs"\RTDC4001\2017-08-22 --exclude "*" --recursive --include "*20170822*" &amp; "%USERPROFILE%\Documents\GitHub\mrs-test-scripts\Headless Mode &amp; Sideloading\WalkAndUnGZ.bat" "%USERPROFILE%\AppData\Local\Temp\OnboardLogs"\RTDC4001\2017-08-22 &amp; aws s3 cp s3://rtdc.mdm.uploadarchive.raw/RTDC4001/ "%USERPROFILE%\AppData\Local\Temp\OnboardLogs"\RTDC4001\2017-08-23 --exclude "*" --recursive --include "*20170823*" &amp; "%USERPROFILE%\Documents\GitHub\mrs-test-scripts\Headless Mode &amp; Sideloading\WalkAndUnGZ.bat" "%USERPROFILE%\AppData\Local\Temp\OnboardLogs"\RTDC4001\2017-08-23</v>
      </c>
      <c r="AF231" s="74" t="str">
        <f t="shared" si="85"/>
        <v>"C:\Program Files (x86)\AstroGrep\AstroGrep.exe" /e /r /s /spath="%USERPROFILE%\AppData\Local\Temp\OnboardLogs" /stypes="app*4001*20170822*" /stext=" 23:.+((SYSTEM_STATE.+slice.+state.+changed )|(ment ac)|(multiple cpu faults)|(system.+state.+changed )|(\[timeout)|(PRM\|1\|D)|(kpr)|(kdp)|(train st.+moving)|(\|lc)|(penalty))"</v>
      </c>
      <c r="AG231" s="209" t="str">
        <f t="shared" si="86"/>
        <v>Shuttle/Test</v>
      </c>
      <c r="AH231" s="78" t="str">
        <f t="shared" si="87"/>
        <v>"%USERPROFILE%\Documents\GitHub\eaglep3\Utilities\RefineRTDCRunTimes.py" --tripid 50-22 --locoid 4001 --swversion DE.1.0.9.0 --startMP 300:23527 --initTime 2017-08-22T17:45:44 --startdatetime 2017-08-22T17:50:57 --delay 5 --endMP 204:996 --enddatetime 2017-08-22T17:58:21 --enforcementcount 0 &gt;&gt;C:\Users\stu\Documents\GitHub\eaglep3-reporting\EC\2017-08-22-refined-times.txt</v>
      </c>
      <c r="AI231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0.0996"},{"id":17,"name":"Train ID","value":"50-22"},{"id":16,"name":"Locomotive ID","value":"4001"},{"id":130,"name":"Impact","value":""},{"id":150,"name":"Time of Event (Mountain Time)","value":"17:58:21"},{"id":151,"name":"Denver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9"/>
        <v>start /low /b %USERPROFILE%\Documents\GitHub\eaglep3\Utilities\DownloadLogsFromS3.py --loco 4001 --day 2017-08-22</v>
      </c>
      <c r="AN231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572</v>
      </c>
      <c r="B232" s="7">
        <v>4023</v>
      </c>
      <c r="C232" s="21" t="s">
        <v>198</v>
      </c>
      <c r="D232" s="21" t="s">
        <v>916</v>
      </c>
      <c r="E232" s="13">
        <v>42969.504687499997</v>
      </c>
      <c r="F232" s="13">
        <v>42969.516168981485</v>
      </c>
      <c r="G232" s="7">
        <v>1</v>
      </c>
      <c r="H232" s="21" t="s">
        <v>917</v>
      </c>
      <c r="I232" s="13">
        <v>42969.518159722225</v>
      </c>
      <c r="J232" s="7">
        <v>0</v>
      </c>
      <c r="K232" s="89" t="str">
        <f t="shared" si="73"/>
        <v>4023/4024</v>
      </c>
      <c r="L232" s="217" t="str">
        <f>VLOOKUP(A232,'Trips&amp;Operators'!$C$1:$G$99911,5,FALSE)</f>
        <v>MOSES BRADLEY</v>
      </c>
      <c r="M232" s="6">
        <f t="shared" si="74"/>
        <v>1.9907407404389232E-3</v>
      </c>
      <c r="N232" s="7">
        <f t="shared" si="75"/>
        <v>2.8666666662320495</v>
      </c>
      <c r="O232" s="7"/>
      <c r="P232" s="7"/>
      <c r="Q232" s="22"/>
      <c r="R232" s="170"/>
      <c r="S232" s="213">
        <f t="shared" si="76"/>
        <v>0</v>
      </c>
      <c r="T232" s="195" t="str">
        <f t="shared" si="77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8"/>
        <v>https://d0f6bd738d7f1b3e5a7ca70fe4ff75f0.us-east-1.aws.found.io/app/kibana#/discover/Steve-Slow-Train-Analysis-(2080s-and-2083s)?_g=(refreshInterval:(display:Off,pause:!f,section:0,value:0),time:(from:'2017-08-22T11:06:45-0600',mode:absolute,to:'2017-08-22T13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2" s="197" t="str">
        <f>IF(AA232&lt;VLOOKUP(AG232,Variables!$AC$3:$AD$8,2,FALSE),"Y","N")</f>
        <v>Y</v>
      </c>
      <c r="X232" s="197">
        <f t="shared" si="79"/>
        <v>9</v>
      </c>
      <c r="Y232" s="197">
        <f t="shared" si="80"/>
        <v>0.56040000000000001</v>
      </c>
      <c r="Z232" s="197">
        <f t="shared" si="81"/>
        <v>9.3399999999999997E-2</v>
      </c>
      <c r="AA232" s="197">
        <f t="shared" si="82"/>
        <v>0.46700000000000003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 t="shared" si="83"/>
        <v>59</v>
      </c>
      <c r="AE232" s="77" t="str">
        <f t="shared" si="84"/>
        <v>aws s3 cp s3://rtdc.mdm.uploadarchive.raw/RTDC4023/ "%USERPROFILE%\AppData\Local\Temp\OnboardLogs"\RTDC4023\2017-08-22 --exclude "*" --recursive --include "*20170822*" &amp; "%USERPROFILE%\Documents\GitHub\mrs-test-scripts\Headless Mode &amp; Sideloading\WalkAndUnGZ.bat" "%USERPROFILE%\AppData\Local\Temp\OnboardLogs"\RTDC4023\2017-08-22 &amp; aws s3 cp s3://rtdc.mdm.uploadarchive.raw/RTDC4023/ "%USERPROFILE%\AppData\Local\Temp\OnboardLogs"\RTDC4023\2017-08-23 --exclude "*" --recursive --include "*20170823*" &amp; "%USERPROFILE%\Documents\GitHub\mrs-test-scripts\Headless Mode &amp; Sideloading\WalkAndUnGZ.bat" "%USERPROFILE%\AppData\Local\Temp\OnboardLogs"\RTDC4023\2017-08-23</v>
      </c>
      <c r="AF232" s="74" t="str">
        <f t="shared" si="85"/>
        <v>"C:\Program Files (x86)\AstroGrep\AstroGrep.exe" /e /r /s /spath="%USERPROFILE%\AppData\Local\Temp\OnboardLogs" /stypes="app*4023*20170822*" /stext=" 18:.+((SYSTEM_STATE.+slice.+state.+changed )|(ment ac)|(multiple cpu faults)|(system.+state.+changed )|(\[timeout)|(PRM\|1\|D)|(kpr)|(kdp)|(train st.+moving)|(\|lc)|(penalty))"</v>
      </c>
      <c r="AG232" s="209" t="str">
        <f t="shared" si="86"/>
        <v>Shuttle/Test</v>
      </c>
      <c r="AH232" s="78" t="str">
        <f t="shared" si="87"/>
        <v>"%USERPROFILE%\Documents\GitHub\eaglep3\Utilities\RefineRTDCRunTimes.py" --tripid 59-22 --locoid 4023 --swversion DE.1.0.9.0 --startMP 300:5604 --initTime 2017-08-22T12:06:45 --startdatetime 2017-08-22T12:23:17 --delay 1 --endMP 204:934 --enddatetime 2017-08-22T12:26:09 --enforcementcount 0 &gt;&gt;C:\Users\stu\Documents\GitHub\eaglep3-reporting\EC\2017-08-22-refined-times.txt</v>
      </c>
      <c r="AI232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0.0934"},{"id":17,"name":"Train ID","value":"59-22"},{"id":16,"name":"Locomotive ID","value":"4023"},{"id":130,"name":"Impact","value":""},{"id":150,"name":"Time of Event (Mountain Time)","value":"12:26:09"},{"id":151,"name":"Denver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9"/>
        <v>start /low /b %USERPROFILE%\Documents\GitHub\eaglep3\Utilities\DownloadLogsFromS3.py --loco 4023 --day 2017-08-22</v>
      </c>
      <c r="AN232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572</v>
      </c>
      <c r="B233" s="7">
        <v>4024</v>
      </c>
      <c r="C233" s="21" t="s">
        <v>198</v>
      </c>
      <c r="D233" s="21" t="s">
        <v>918</v>
      </c>
      <c r="E233" s="13">
        <v>42969.688402777778</v>
      </c>
      <c r="F233" s="13">
        <v>42969.689618055556</v>
      </c>
      <c r="G233" s="7">
        <v>0</v>
      </c>
      <c r="H233" s="21" t="s">
        <v>417</v>
      </c>
      <c r="I233" s="13">
        <v>42969.697465277779</v>
      </c>
      <c r="J233" s="7">
        <v>0</v>
      </c>
      <c r="K233" s="89" t="str">
        <f t="shared" si="73"/>
        <v>4023/4024</v>
      </c>
      <c r="L233" s="217" t="str">
        <f>VLOOKUP(A233,'Trips&amp;Operators'!$C$1:$G$99911,5,FALSE)</f>
        <v>MOSES BRADLEY</v>
      </c>
      <c r="M233" s="6">
        <f t="shared" si="74"/>
        <v>7.8472222230629995E-3</v>
      </c>
      <c r="N233" s="7">
        <f t="shared" si="75"/>
        <v>11.300000001210719</v>
      </c>
      <c r="O233" s="7"/>
      <c r="P233" s="7"/>
      <c r="Q233" s="22"/>
      <c r="R233" s="170"/>
      <c r="S233" s="213">
        <f t="shared" si="76"/>
        <v>1</v>
      </c>
      <c r="T233" s="195" t="str">
        <f t="shared" si="77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8"/>
        <v>https://d0f6bd738d7f1b3e5a7ca70fe4ff75f0.us-east-1.aws.found.io/app/kibana#/discover/Steve-Slow-Train-Analysis-(2080s-and-2083s)?_g=(refreshInterval:(display:Off,pause:!f,section:0,value:0),time:(from:'2017-08-22T15:31:18-0600',mode:absolute,to:'2017-08-22T17:44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3" s="197" t="str">
        <f>IF(AA233&lt;VLOOKUP(AG233,Variables!$AC$3:$AD$8,2,FALSE),"Y","N")</f>
        <v>Y</v>
      </c>
      <c r="X233" s="197">
        <f t="shared" si="79"/>
        <v>0</v>
      </c>
      <c r="Y233" s="197">
        <f t="shared" si="80"/>
        <v>0.11600000000000001</v>
      </c>
      <c r="Z233" s="197">
        <f t="shared" si="81"/>
        <v>2.3308</v>
      </c>
      <c r="AA233" s="197">
        <f t="shared" si="82"/>
        <v>2.2147999999999999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 t="shared" si="83"/>
        <v>59</v>
      </c>
      <c r="AE233" s="77" t="str">
        <f t="shared" si="84"/>
        <v>aws s3 cp s3://rtdc.mdm.uploadarchive.raw/RTDC4024/ "%USERPROFILE%\AppData\Local\Temp\OnboardLogs"\RTDC4024\2017-08-22 --exclude "*" --recursive --include "*20170822*" &amp; "%USERPROFILE%\Documents\GitHub\mrs-test-scripts\Headless Mode &amp; Sideloading\WalkAndUnGZ.bat" "%USERPROFILE%\AppData\Local\Temp\OnboardLogs"\RTDC4024\2017-08-22 &amp; aws s3 cp s3://rtdc.mdm.uploadarchive.raw/RTDC4024/ "%USERPROFILE%\AppData\Local\Temp\OnboardLogs"\RTDC4024\2017-08-23 --exclude "*" --recursive --include "*20170823*" &amp; "%USERPROFILE%\Documents\GitHub\mrs-test-scripts\Headless Mode &amp; Sideloading\WalkAndUnGZ.bat" "%USERPROFILE%\AppData\Local\Temp\OnboardLogs"\RTDC4024\2017-08-23</v>
      </c>
      <c r="AF233" s="74" t="str">
        <f t="shared" si="85"/>
        <v>"C:\Program Files (x86)\AstroGrep\AstroGrep.exe" /e /r /s /spath="%USERPROFILE%\AppData\Local\Temp\OnboardLogs" /stypes="app*4024*20170822*" /stext=" 22:.+((SYSTEM_STATE.+slice.+state.+changed )|(ment ac)|(multiple cpu faults)|(system.+state.+changed )|(\[timeout)|(PRM\|1\|D)|(kpr)|(kdp)|(train st.+moving)|(\|lc)|(penalty))"</v>
      </c>
      <c r="AG233" s="209" t="str">
        <f t="shared" si="86"/>
        <v>Shuttle/Test</v>
      </c>
      <c r="AH233" s="78" t="str">
        <f t="shared" si="87"/>
        <v>"%USERPROFILE%\Documents\GitHub\eaglep3\Utilities\RefineRTDCRunTimes.py" --tripid 59-22 --locoid 4024 --swversion DE.1.0.9.0 --startMP 204:1160 --initTime 2017-08-22T16:31:18 --startdatetime 2017-08-22T16:33:03 --delay 0 --endMP 300:23308 --enddatetime 2017-08-22T16:44:21 --enforcementcount 0 &gt;&gt;C:\Users\stu\Documents\GitHub\eaglep3-reporting\EC\2017-08-22-refined-times.txt</v>
      </c>
      <c r="AI233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2.3308"},{"id":17,"name":"Train ID","value":"59-22"},{"id":16,"name":"Locomotive ID","value":"4024"},{"id":130,"name":"Impact","value":""},{"id":150,"name":"Time of Event (Mountain Time)","value":"16:44:21"},{"id":151,"name":"Denver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9"/>
        <v>start /low /b %USERPROFILE%\Documents\GitHub\eaglep3\Utilities\DownloadLogsFromS3.py --loco 4024 --day 2017-08-22</v>
      </c>
      <c r="AN233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22:44:21"},{"id":29,"name":"Sharepoint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572</v>
      </c>
      <c r="B234" s="7">
        <v>4024</v>
      </c>
      <c r="C234" s="21" t="s">
        <v>198</v>
      </c>
      <c r="D234" s="21" t="s">
        <v>919</v>
      </c>
      <c r="E234" s="13">
        <v>42969.498854166668</v>
      </c>
      <c r="F234" s="13">
        <v>42969.516168981485</v>
      </c>
      <c r="G234" s="7">
        <v>1</v>
      </c>
      <c r="H234" s="21" t="s">
        <v>920</v>
      </c>
      <c r="I234" s="13">
        <v>42969.518159722225</v>
      </c>
      <c r="J234" s="7">
        <v>0</v>
      </c>
      <c r="K234" s="89" t="str">
        <f t="shared" si="73"/>
        <v>4023/4024</v>
      </c>
      <c r="L234" s="217" t="str">
        <f>VLOOKUP(A234,'Trips&amp;Operators'!$C$1:$G$99911,5,FALSE)</f>
        <v>MOSES BRADLEY</v>
      </c>
      <c r="M234" s="6">
        <f t="shared" si="74"/>
        <v>1.9907407404389232E-3</v>
      </c>
      <c r="N234" s="7">
        <f t="shared" si="75"/>
        <v>2.8666666662320495</v>
      </c>
      <c r="O234" s="7"/>
      <c r="P234" s="7"/>
      <c r="Q234" s="22"/>
      <c r="R234" s="170"/>
      <c r="S234" s="213">
        <f t="shared" si="76"/>
        <v>0</v>
      </c>
      <c r="T234" s="195" t="str">
        <f t="shared" si="77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8"/>
        <v>https://d0f6bd738d7f1b3e5a7ca70fe4ff75f0.us-east-1.aws.found.io/app/kibana#/discover/Steve-Slow-Train-Analysis-(2080s-and-2083s)?_g=(refreshInterval:(display:Off,pause:!f,section:0,value:0),time:(from:'2017-08-22T10:58:21-0600',mode:absolute,to:'2017-08-22T13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4" s="197" t="str">
        <f>IF(AA234&lt;VLOOKUP(AG234,Variables!$AC$3:$AD$8,2,FALSE),"Y","N")</f>
        <v>Y</v>
      </c>
      <c r="X234" s="197">
        <f t="shared" si="79"/>
        <v>0</v>
      </c>
      <c r="Y234" s="197">
        <f t="shared" si="80"/>
        <v>0.1242</v>
      </c>
      <c r="Z234" s="197">
        <f t="shared" si="81"/>
        <v>0.59079999999999999</v>
      </c>
      <c r="AA234" s="197">
        <f t="shared" si="82"/>
        <v>0.46660000000000001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 t="shared" si="83"/>
        <v>59</v>
      </c>
      <c r="AE234" s="77" t="str">
        <f t="shared" si="84"/>
        <v>aws s3 cp s3://rtdc.mdm.uploadarchive.raw/RTDC4024/ "%USERPROFILE%\AppData\Local\Temp\OnboardLogs"\RTDC4024\2017-08-22 --exclude "*" --recursive --include "*20170822*" &amp; "%USERPROFILE%\Documents\GitHub\mrs-test-scripts\Headless Mode &amp; Sideloading\WalkAndUnGZ.bat" "%USERPROFILE%\AppData\Local\Temp\OnboardLogs"\RTDC4024\2017-08-22 &amp; aws s3 cp s3://rtdc.mdm.uploadarchive.raw/RTDC4024/ "%USERPROFILE%\AppData\Local\Temp\OnboardLogs"\RTDC4024\2017-08-23 --exclude "*" --recursive --include "*20170823*" &amp; "%USERPROFILE%\Documents\GitHub\mrs-test-scripts\Headless Mode &amp; Sideloading\WalkAndUnGZ.bat" "%USERPROFILE%\AppData\Local\Temp\OnboardLogs"\RTDC4024\2017-08-23</v>
      </c>
      <c r="AF234" s="74" t="str">
        <f t="shared" si="85"/>
        <v>"C:\Program Files (x86)\AstroGrep\AstroGrep.exe" /e /r /s /spath="%USERPROFILE%\AppData\Local\Temp\OnboardLogs" /stypes="app*4024*20170822*" /stext=" 18:.+((SYSTEM_STATE.+slice.+state.+changed )|(ment ac)|(multiple cpu faults)|(system.+state.+changed )|(\[timeout)|(PRM\|1\|D)|(kpr)|(kdp)|(train st.+moving)|(\|lc)|(penalty))"</v>
      </c>
      <c r="AG234" s="209" t="str">
        <f t="shared" si="86"/>
        <v>Shuttle/Test</v>
      </c>
      <c r="AH234" s="78" t="str">
        <f t="shared" si="87"/>
        <v>"%USERPROFILE%\Documents\GitHub\eaglep3\Utilities\RefineRTDCRunTimes.py" --tripid 59-22 --locoid 4024 --swversion DE.1.0.9.0 --startMP 204:1242 --initTime 2017-08-22T11:58:21 --startdatetime 2017-08-22T12:23:17 --delay 1 --endMP 300:5908 --enddatetime 2017-08-22T12:26:09 --enforcementcount 0 &gt;&gt;C:\Users\stu\Documents\GitHub\eaglep3-reporting\EC\2017-08-22-refined-times.txt</v>
      </c>
      <c r="AI234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0.5908"},{"id":17,"name":"Train ID","value":"59-22"},{"id":16,"name":"Locomotive ID","value":"4024"},{"id":130,"name":"Impact","value":""},{"id":150,"name":"Time of Event (Mountain Time)","value":"12:26:09"},{"id":151,"name":"Denver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9"/>
        <v>start /low /b %USERPROFILE%\Documents\GitHub\eaglep3\Utilities\DownloadLogsFromS3.py --loco 4024 --day 2017-08-22</v>
      </c>
      <c r="AN234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18:26:09"},{"id":29,"name":"Sharepoint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596</v>
      </c>
      <c r="B235" s="7">
        <v>4012</v>
      </c>
      <c r="C235" s="21" t="s">
        <v>198</v>
      </c>
      <c r="D235" s="21" t="s">
        <v>345</v>
      </c>
      <c r="E235" s="13">
        <v>42969.127384259256</v>
      </c>
      <c r="F235" s="13">
        <v>42969.138449074075</v>
      </c>
      <c r="G235" s="7">
        <v>1</v>
      </c>
      <c r="H235" s="21" t="s">
        <v>921</v>
      </c>
      <c r="I235" s="13">
        <v>42969.139502314814</v>
      </c>
      <c r="J235" s="7">
        <v>0</v>
      </c>
      <c r="K235" s="89" t="str">
        <f t="shared" si="73"/>
        <v>4011/4012</v>
      </c>
      <c r="L235" s="217" t="str">
        <f>VLOOKUP(A235,'Trips&amp;Operators'!$C$1:$G$99911,5,FALSE)</f>
        <v>SPECTOR MICHAEL</v>
      </c>
      <c r="M235" s="6">
        <f t="shared" si="74"/>
        <v>1.0532407395658083E-3</v>
      </c>
      <c r="N235" s="7">
        <f t="shared" si="75"/>
        <v>1.516666664974764</v>
      </c>
      <c r="O235" s="7"/>
      <c r="P235" s="7"/>
      <c r="Q235" s="22"/>
      <c r="R235" s="170"/>
      <c r="S235" s="213">
        <f t="shared" si="76"/>
        <v>0</v>
      </c>
      <c r="T235" s="195" t="str">
        <f t="shared" si="77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8"/>
        <v>https://d0f6bd738d7f1b3e5a7ca70fe4ff75f0.us-east-1.aws.found.io/app/kibana#/discover/Steve-Slow-Train-Analysis-(2080s-and-2083s)?_g=(refreshInterval:(display:Off,pause:!f,section:0,value:0),time:(from:'2017-08-22T02:03:26-0600',mode:absolute,to:'2017-08-22T04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197" t="str">
        <f>IF(AA235&lt;VLOOKUP(AG235,Variables!$AC$3:$AD$8,2,FALSE),"Y","N")</f>
        <v>Y</v>
      </c>
      <c r="X235" s="197">
        <f t="shared" si="79"/>
        <v>8</v>
      </c>
      <c r="Y235" s="197">
        <f t="shared" si="80"/>
        <v>4.4699999999999997E-2</v>
      </c>
      <c r="Z235" s="197">
        <f t="shared" si="81"/>
        <v>0.35560000000000003</v>
      </c>
      <c r="AA235" s="197">
        <f t="shared" si="82"/>
        <v>0.31090000000000001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 t="shared" si="83"/>
        <v>67</v>
      </c>
      <c r="AE235" s="77" t="str">
        <f t="shared" si="84"/>
        <v>aws s3 cp s3://rtdc.mdm.uploadarchive.raw/RTDC4012/ "%USERPROFILE%\AppData\Local\Temp\OnboardLogs"\RTDC4012\2017-08-22 --exclude "*" --recursive --include "*20170822*" &amp; "%USERPROFILE%\Documents\GitHub\mrs-test-scripts\Headless Mode &amp; Sideloading\WalkAndUnGZ.bat" "%USERPROFILE%\AppData\Local\Temp\OnboardLogs"\RTDC4012\2017-08-22 &amp; 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</v>
      </c>
      <c r="AF235" s="74" t="str">
        <f t="shared" si="85"/>
        <v>"C:\Program Files (x86)\AstroGrep\AstroGrep.exe" /e /r /s /spath="%USERPROFILE%\AppData\Local\Temp\OnboardLogs" /stypes="app*4012*20170822*" /stext=" 09:.+((SYSTEM_STATE.+slice.+state.+changed )|(ment ac)|(multiple cpu faults)|(system.+state.+changed )|(\[timeout)|(PRM\|1\|D)|(kpr)|(kdp)|(train st.+moving)|(\|lc)|(penalty))"</v>
      </c>
      <c r="AG235" s="209" t="str">
        <f t="shared" si="86"/>
        <v>Shuttle/Test</v>
      </c>
      <c r="AH235" s="78" t="str">
        <f t="shared" si="87"/>
        <v>"%USERPROFILE%\Documents\GitHub\eaglep3\Utilities\RefineRTDCRunTimes.py" --tripid 67-22 --locoid 4012 --swversion DE.1.0.9.0 --startMP 204:447 --initTime 2017-08-22T03:03:26 --startdatetime 2017-08-22T03:19:22 --delay 1 --endMP 204:3556 --enddatetime 2017-08-22T03:20:53 --enforcementcount 0 &gt;&gt;C:\Users\stu\Documents\GitHub\eaglep3-reporting\EC\2017-08-22-refined-times.txt</v>
      </c>
      <c r="AI235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0.3556"},{"id":17,"name":"Train ID","value":"67-22"},{"id":16,"name":"Locomotive ID","value":"4012"},{"id":130,"name":"Impact","value":""},{"id":150,"name":"Time of Event (Mountain Time)","value":"03:20:53"},{"id":151,"name":"Denver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9"/>
        <v>start /low /b %USERPROFILE%\Documents\GitHub\eaglep3\Utilities\DownloadLogsFromS3.py --loco 4012 --day 2017-08-22</v>
      </c>
      <c r="AN235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09:20:53"},{"id":29,"name":"Sharepoint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599</v>
      </c>
      <c r="B236" s="7">
        <v>4011</v>
      </c>
      <c r="C236" s="21" t="s">
        <v>198</v>
      </c>
      <c r="D236" s="21" t="s">
        <v>922</v>
      </c>
      <c r="E236" s="13">
        <v>42969.14099537037</v>
      </c>
      <c r="F236" s="13">
        <v>42969.143125000002</v>
      </c>
      <c r="G236" s="7">
        <v>2</v>
      </c>
      <c r="H236" s="21" t="s">
        <v>923</v>
      </c>
      <c r="I236" s="13">
        <v>42969.14398148148</v>
      </c>
      <c r="J236" s="7">
        <v>0</v>
      </c>
      <c r="K236" s="89" t="str">
        <f t="shared" si="73"/>
        <v>4011/4012</v>
      </c>
      <c r="L236" s="217" t="str">
        <f>VLOOKUP(A236,'Trips&amp;Operators'!$C$1:$G$99911,5,FALSE)</f>
        <v>SPECTOR MICHAEL</v>
      </c>
      <c r="M236" s="6">
        <f t="shared" si="74"/>
        <v>8.5648147796746343E-4</v>
      </c>
      <c r="N236" s="7">
        <f t="shared" si="75"/>
        <v>1.2333333282731473</v>
      </c>
      <c r="O236" s="7"/>
      <c r="P236" s="7"/>
      <c r="Q236" s="22"/>
      <c r="R236" s="170"/>
      <c r="S236" s="213">
        <f t="shared" si="76"/>
        <v>0</v>
      </c>
      <c r="T236" s="195" t="str">
        <f t="shared" si="77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8"/>
        <v>https://d0f6bd738d7f1b3e5a7ca70fe4ff75f0.us-east-1.aws.found.io/app/kibana#/discover/Steve-Slow-Train-Analysis-(2080s-and-2083s)?_g=(refreshInterval:(display:Off,pause:!f,section:0,value:0),time:(from:'2017-08-22T02:23:02-0600',mode:absolute,to:'2017-08-22T04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6" s="197" t="str">
        <f>IF(AA236&lt;VLOOKUP(AG236,Variables!$AC$3:$AD$8,2,FALSE),"Y","N")</f>
        <v>Y</v>
      </c>
      <c r="X236" s="197">
        <f t="shared" si="79"/>
        <v>1</v>
      </c>
      <c r="Y236" s="197">
        <f t="shared" si="80"/>
        <v>0.32090000000000002</v>
      </c>
      <c r="Z236" s="197">
        <f t="shared" si="81"/>
        <v>0.1167</v>
      </c>
      <c r="AA236" s="197">
        <f t="shared" si="82"/>
        <v>0.20420000000000002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 t="shared" si="83"/>
        <v>68</v>
      </c>
      <c r="AE236" s="77" t="str">
        <f t="shared" si="84"/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236" s="74" t="str">
        <f t="shared" si="85"/>
        <v>"C:\Program Files (x86)\AstroGrep\AstroGrep.exe" /e /r /s /spath="%USERPROFILE%\AppData\Local\Temp\OnboardLogs" /stypes="app*4011*20170822*" /stext=" 09:.+((SYSTEM_STATE.+slice.+state.+changed )|(ment ac)|(multiple cpu faults)|(system.+state.+changed )|(\[timeout)|(PRM\|1\|D)|(kpr)|(kdp)|(train st.+moving)|(\|lc)|(penalty))"</v>
      </c>
      <c r="AG236" s="209" t="str">
        <f t="shared" si="86"/>
        <v>Shuttle/Test</v>
      </c>
      <c r="AH236" s="78" t="str">
        <f t="shared" si="87"/>
        <v>"%USERPROFILE%\Documents\GitHub\eaglep3\Utilities\RefineRTDCRunTimes.py" --tripid 68-22 --locoid 4011 --swversion DE.1.0.9.0 --startMP 204:3209 --initTime 2017-08-22T03:23:02 --startdatetime 2017-08-22T03:26:06 --delay 2 --endMP 204:1167 --enddatetime 2017-08-22T03:27:20 --enforcementcount 0 &gt;&gt;C:\Users\stu\Documents\GitHub\eaglep3-reporting\EC\2017-08-22-refined-times.txt</v>
      </c>
      <c r="AI236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0.1167"},{"id":17,"name":"Train ID","value":"68-22"},{"id":16,"name":"Locomotive ID","value":"4011"},{"id":130,"name":"Impact","value":""},{"id":150,"name":"Time of Event (Mountain Time)","value":"03:27:20"},{"id":151,"name":"Denver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9"/>
        <v>start /low /b %USERPROFILE%\Documents\GitHub\eaglep3\Utilities\DownloadLogsFromS3.py --loco 4011 --day 2017-08-22</v>
      </c>
      <c r="AN236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09:27:20"},{"id":29,"name":"Sharepoint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s="20" customFormat="1" x14ac:dyDescent="0.25">
      <c r="A237" s="32" t="s">
        <v>732</v>
      </c>
      <c r="B237" s="7">
        <v>4058</v>
      </c>
      <c r="C237" s="21" t="s">
        <v>198</v>
      </c>
      <c r="D237" s="21" t="s">
        <v>924</v>
      </c>
      <c r="E237" s="13">
        <v>42969.708148148151</v>
      </c>
      <c r="F237" s="13">
        <v>42969.729687500003</v>
      </c>
      <c r="G237" s="7">
        <v>0</v>
      </c>
      <c r="H237" s="21" t="s">
        <v>925</v>
      </c>
      <c r="I237" s="13">
        <v>42969.735844907409</v>
      </c>
      <c r="J237" s="7">
        <v>0</v>
      </c>
      <c r="K237" s="89" t="str">
        <f t="shared" si="73"/>
        <v>4057/4058</v>
      </c>
      <c r="L237" s="217" t="str">
        <f>VLOOKUP(A237,'Trips&amp;Operators'!$C$1:$G$99911,5,FALSE)</f>
        <v>NEWELL JAMES</v>
      </c>
      <c r="M237" s="6">
        <f t="shared" si="74"/>
        <v>6.1574074061354622E-3</v>
      </c>
      <c r="N237" s="7">
        <f t="shared" si="75"/>
        <v>8.8666666648350656</v>
      </c>
      <c r="O237" s="7"/>
      <c r="P237" s="7"/>
      <c r="Q237" s="22"/>
      <c r="R237" s="170"/>
      <c r="S237" s="213">
        <f t="shared" si="76"/>
        <v>1</v>
      </c>
      <c r="T237" s="195" t="str">
        <f t="shared" si="77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78"/>
        <v>https://d0f6bd738d7f1b3e5a7ca70fe4ff75f0.us-east-1.aws.found.io/app/kibana#/discover/Steve-Slow-Train-Analysis-(2080s-and-2083s)?_g=(refreshInterval:(display:Off,pause:!f,section:0,value:0),time:(from:'2017-08-22T15:59:44-0600',mode:absolute,to:'2017-08-22T18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7" s="197" t="str">
        <f>IF(AA237&lt;VLOOKUP(AG237,Variables!$AC$3:$AD$8,2,FALSE),"Y","N")</f>
        <v>Y</v>
      </c>
      <c r="X237" s="197">
        <f t="shared" si="79"/>
        <v>7</v>
      </c>
      <c r="Y237" s="197">
        <f t="shared" si="80"/>
        <v>0.1164</v>
      </c>
      <c r="Z237" s="197">
        <f t="shared" si="81"/>
        <v>2.3315999999999999</v>
      </c>
      <c r="AA237" s="197">
        <f t="shared" si="82"/>
        <v>2.2151999999999998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 t="shared" si="83"/>
        <v>75</v>
      </c>
      <c r="AE237" s="77" t="str">
        <f t="shared" si="84"/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AF237" s="74" t="str">
        <f t="shared" si="85"/>
        <v>"C:\Program Files (x86)\AstroGrep\AstroGrep.exe" /e /r /s /spath="%USERPROFILE%\AppData\Local\Temp\OnboardLogs" /stypes="app*4058*20170822*" /stext=" 23:.+((SYSTEM_STATE.+slice.+state.+changed )|(ment ac)|(multiple cpu faults)|(system.+state.+changed )|(\[timeout)|(PRM\|1\|D)|(kpr)|(kdp)|(train st.+moving)|(\|lc)|(penalty))"</v>
      </c>
      <c r="AG237" s="209" t="str">
        <f t="shared" si="86"/>
        <v>Shuttle/Test</v>
      </c>
      <c r="AH237" s="78" t="str">
        <f t="shared" si="87"/>
        <v>"%USERPROFILE%\Documents\GitHub\eaglep3\Utilities\RefineRTDCRunTimes.py" --tripid 75-22 --locoid 4058 --swversion DE.1.0.9.0 --startMP 204:1164 --initTime 2017-08-22T16:59:44 --startdatetime 2017-08-22T17:30:45 --delay 0 --endMP 300:23316 --enddatetime 2017-08-22T17:39:37 --enforcementcount 0 &gt;&gt;C:\Users\stu\Documents\GitHub\eaglep3-reporting\EC\2017-08-22-refined-times.txt</v>
      </c>
      <c r="AI237" s="96" t="str">
        <f t="shared" si="88"/>
        <v>echo {"issue":{"subject":"","project_id":79,"tracker_id":40,"status_id":1,"priority_id":2,"assigned_to_id":23,"start_date":"2017-08-22","description":"","custom_fields":[{"id":1,"name":"Subdivision","value":"Shuttle/Test"},{"id":4,"name":"Milepost","value":"2.3316"},{"id":17,"name":"Train ID","value":"75-22"},{"id":16,"name":"Locomotive ID","value":"4058"},{"id":130,"name":"Impact","value":""},{"id":150,"name":"Time of Event (Mountain Time)","value":"17:39:37"},{"id":151,"name":"Denver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89"/>
        <v>start /low /b %USERPROFILE%\Documents\GitHub\eaglep3\Utilities\DownloadLogsFromS3.py --loco 4058 --day 2017-08-22</v>
      </c>
      <c r="AN237" s="151" t="str">
        <f t="shared" si="90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23:39:37"},{"id":29,"name":"Sharepoint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 s="172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 s="172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 s="172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 s="172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 s="17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 s="172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 s="172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 s="172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 s="172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 s="172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 s="172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 s="172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 s="172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 s="172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 s="17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 s="172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 s="172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 s="172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 s="172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 s="172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 s="172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 s="172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 s="172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 s="172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 s="17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</sheetData>
  <autoFilter ref="A12:AG257">
    <sortState ref="A13:AG257">
      <sortCondition ref="AG13:AG237"/>
      <sortCondition ref="AD13:AD237"/>
    </sortState>
  </autoFilter>
  <sortState ref="A13:AN212">
    <sortCondition ref="AG13:AG212"/>
    <sortCondition ref="AD13:AD212"/>
  </sortState>
  <mergeCells count="1">
    <mergeCell ref="A11:P11"/>
  </mergeCells>
  <conditionalFormatting sqref="W11:W12 W263:X1048576 W13:X237">
    <cfRule type="cellIs" dxfId="10" priority="415" operator="equal">
      <formula>"Y"</formula>
    </cfRule>
  </conditionalFormatting>
  <conditionalFormatting sqref="X263:X1048576 X13:X237">
    <cfRule type="cellIs" dxfId="9" priority="398" operator="greaterThan">
      <formula>1</formula>
    </cfRule>
  </conditionalFormatting>
  <conditionalFormatting sqref="X263:X1048576 X12:X237">
    <cfRule type="cellIs" dxfId="8" priority="395" operator="equal">
      <formula>0</formula>
    </cfRule>
  </conditionalFormatting>
  <conditionalFormatting sqref="A13:S23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P21" sqref="P2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- 2017-08-22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368</v>
      </c>
      <c r="X6" s="208" t="s">
        <v>361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42969.696296296293</v>
      </c>
      <c r="B7" s="30" t="s">
        <v>369</v>
      </c>
      <c r="C7" s="30" t="s">
        <v>587</v>
      </c>
      <c r="D7" s="30" t="s">
        <v>49</v>
      </c>
      <c r="E7" s="30" t="s">
        <v>187</v>
      </c>
      <c r="F7" s="42">
        <v>340</v>
      </c>
      <c r="G7" s="42">
        <v>488</v>
      </c>
      <c r="H7" s="42">
        <v>40368</v>
      </c>
      <c r="I7" s="42">
        <v>42207</v>
      </c>
      <c r="J7" s="30" t="s">
        <v>188</v>
      </c>
      <c r="K7" s="42">
        <v>42779</v>
      </c>
      <c r="L7" s="131" t="s">
        <v>50</v>
      </c>
      <c r="M7" s="132">
        <f t="shared" ref="M7:M47" si="0">CONVERT((I7-K7)/10000,"mi","ft")*IF(L7="Increasing Mileposts (1)",-1,1)</f>
        <v>302.01600000000002</v>
      </c>
      <c r="N7" s="133" t="str">
        <f>VLOOKUP(C7,'Trips&amp;Operators'!$C$1:$G$99911,5,FALSE)</f>
        <v>TOUSIGNAUT CARL</v>
      </c>
      <c r="O7" s="203" t="s">
        <v>180</v>
      </c>
      <c r="P7" s="134" t="s">
        <v>1003</v>
      </c>
      <c r="Q7" s="30"/>
      <c r="R7" s="81" t="str">
        <f>VLOOKUP(C7,'Train Runs'!$A$13:$AE$9916,31,0)</f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S7" s="84" t="str">
        <f>VLOOKUP(C7,'Train Runs'!$A$13:$AE$9916,22,0)</f>
        <v>https://d0f6bd738d7f1b3e5a7ca70fe4ff75f0.us-east-1.aws.found.io/app/kibana#/discover/Steve-Slow-Train-Analysis-(2080s-and-2083s)?_g=(refreshInterval:(display:Off,pause:!f,section:0,value:0),time:(from:'2017-08-22T15:29:09-0600',mode:absolute,to:'2017-08-22T18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 t="shared" ref="T7:T4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/stypes="*4018*201708222*" /stext=" 22:.+((SYSTEM_STATE.+slice.+state.+changed )|(ment ac)|(multiple cpu faults)|(system.+state.+changed )|(\[timeout)|(PRM\|1\|D)|(kpr)|(kdp)|(train st.+moving)|(\|lc)|(penalty))"</v>
      </c>
      <c r="U7" s="9" t="str">
        <f t="shared" ref="U7:U47" si="2">MID(B7,13,4)</f>
        <v>4018</v>
      </c>
      <c r="V7" s="31">
        <f t="shared" ref="V7:V47" si="3">A7-utc_offset/24</f>
        <v>42969.946296296293</v>
      </c>
      <c r="W7" s="45" t="str">
        <f t="shared" ref="W7:W47" si="4">DetSubdiv(C7)</f>
        <v>EC</v>
      </c>
      <c r="X7" s="22">
        <f t="shared" ref="X7:X47" si="5">VALUE(LEFT(C7,LEN(C7)-3))</f>
        <v>203</v>
      </c>
      <c r="Y7" s="96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 (incident 52712)","project_id":79,"tracker_id":40,"status_id":1,"priority_id":2,"assigned_to_id":23,"start_date":"2017-08-22","description":"","custom_fields":[{"id":1,"name":"Subdivision","value":"EC"},{"id":4,"name":"Milepost","value":"4.2779"},{"id":17,"name":"Train ID","value":"203-22"},{"id":16,"name":"Locomotive ID","value":"4018"},{"id":130,"name":"Impact","value":""},{"id":150,"name":"Time of Event (Mountain Time)","value":"16:42:40"},{"id":151,"name":"Denver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/c/Users/stu/AppData/Local/Temp/OnboardLogs/RTDC4018 --include="*4018*201708222*"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"%USERPROFILE%\AppData\Local\Temp\OnboardLogs"\RTDC4018\*4018*201708222* &gt;&gt; 2017-08-22-SliceDisagreementCheck.txt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4018 --day 2017-08-22</v>
      </c>
    </row>
    <row r="8" spans="1:32" s="1" customFormat="1" x14ac:dyDescent="0.25">
      <c r="A8" s="31">
        <v>42969.673263888886</v>
      </c>
      <c r="B8" s="30" t="s">
        <v>371</v>
      </c>
      <c r="C8" s="30" t="s">
        <v>584</v>
      </c>
      <c r="D8" s="30" t="s">
        <v>49</v>
      </c>
      <c r="E8" s="30" t="s">
        <v>187</v>
      </c>
      <c r="F8" s="42">
        <v>0</v>
      </c>
      <c r="G8" s="42">
        <v>301</v>
      </c>
      <c r="H8" s="42">
        <v>58675</v>
      </c>
      <c r="I8" s="42">
        <v>57799</v>
      </c>
      <c r="J8" s="30" t="s">
        <v>188</v>
      </c>
      <c r="K8" s="42">
        <v>58301</v>
      </c>
      <c r="L8" s="131" t="s">
        <v>51</v>
      </c>
      <c r="M8" s="132">
        <f t="shared" si="0"/>
        <v>-265.05599999999998</v>
      </c>
      <c r="N8" s="133" t="str">
        <f>VLOOKUP(C8,'Trips&amp;Operators'!$C$1:$G$99911,5,FALSE)</f>
        <v>TOUSIGNAUT CARL</v>
      </c>
      <c r="O8" s="203" t="s">
        <v>180</v>
      </c>
      <c r="P8" s="134" t="s">
        <v>399</v>
      </c>
      <c r="Q8" s="30"/>
      <c r="R8" s="81" t="str">
        <f>VLOOKUP(C8,'Train Runs'!$A$13:$AE$9916,31,0)</f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S8" s="84" t="str">
        <f>VLOOKUP(C8,'Train Runs'!$A$13:$AE$9916,22,0)</f>
        <v>https://d0f6bd738d7f1b3e5a7ca70fe4ff75f0.us-east-1.aws.found.io/app/kibana#/discover/Steve-Slow-Train-Analysis-(2080s-and-2083s)?_g=(refreshInterval:(display:Off,pause:!f,section:0,value:0),time:(from:'2017-08-22T14:40:43-0600',mode:absolute,to:'2017-08-22T17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8" s="86" t="str">
        <f t="shared" si="1"/>
        <v>"C:\Program Files (x86)\AstroGrep\AstroGrep.exe" /e /r /s /spath="%USERPROFILE%\AppData\Local\Temp\OnboardLogs" /stypes="*4017*201708222*"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4017</v>
      </c>
      <c r="V8" s="31">
        <f t="shared" si="3"/>
        <v>42969.923263888886</v>
      </c>
      <c r="W8" s="45" t="str">
        <f t="shared" si="4"/>
        <v>EC</v>
      </c>
      <c r="X8" s="22">
        <f t="shared" si="5"/>
        <v>190</v>
      </c>
      <c r="Y8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Arrival","project_id":79,"tracker_id":40,"status_id":1,"priority_id":2,"assigned_to_id":23,"start_date":"2017-08-22","description":"","custom_fields":[{"id":1,"name":"Subdivision","value":"EC"},{"id":4,"name":"Milepost","value":"5.8301"},{"id":17,"name":"Train ID","value":"190-22"},{"id":16,"name":"Locomotive ID","value":"4017"},{"id":130,"name":"Impact","value":""},{"id":150,"name":"Time of Event (Mountain Time)","value":"16:09:30"},{"id":151,"name":"Denver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/c/Users/stu/AppData/Local/Temp/OnboardLogs/RTDC4017 --include="*4017*201708222*"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"%USERPROFILE%\AppData\Local\Temp\OnboardLogs"\RTDC4017\*4017*201708222* &gt;&gt; 2017-08-22-SliceDisagreementCheck.txt</v>
      </c>
      <c r="AE8" s="145" t="str">
        <f t="shared" ref="AE8:AE47" si="9">"start /low /b "&amp;dls3logs&amp;" --loco "&amp;U8&amp;" --day "&amp;TEXT(V8,"YYYY-MM-DD")</f>
        <v>start /low /b %USERPROFILE%\Documents\GitHub\eaglep3\Utilities\DownloadLogsFromS3.py --loco 4017 --day 2017-08-22</v>
      </c>
    </row>
    <row r="9" spans="1:32" s="1" customFormat="1" x14ac:dyDescent="0.25">
      <c r="A9" s="31">
        <v>42969.620497685188</v>
      </c>
      <c r="B9" s="30" t="s">
        <v>487</v>
      </c>
      <c r="C9" s="30" t="s">
        <v>582</v>
      </c>
      <c r="D9" s="30" t="s">
        <v>96</v>
      </c>
      <c r="E9" s="30" t="s">
        <v>187</v>
      </c>
      <c r="F9" s="42">
        <v>330</v>
      </c>
      <c r="G9" s="42">
        <v>380</v>
      </c>
      <c r="H9" s="42">
        <v>58209</v>
      </c>
      <c r="I9" s="42">
        <v>57063</v>
      </c>
      <c r="J9" s="30" t="s">
        <v>188</v>
      </c>
      <c r="K9" s="42">
        <v>58301</v>
      </c>
      <c r="L9" s="131" t="s">
        <v>51</v>
      </c>
      <c r="M9" s="132">
        <f t="shared" si="0"/>
        <v>-653.66399999999999</v>
      </c>
      <c r="N9" s="133" t="str">
        <f>VLOOKUP(C9,'Trips&amp;Operators'!$C$1:$G$99911,5,FALSE)</f>
        <v>LEVIN SCOTT</v>
      </c>
      <c r="O9" s="203" t="s">
        <v>180</v>
      </c>
      <c r="P9" s="134" t="s">
        <v>399</v>
      </c>
      <c r="Q9" s="30"/>
      <c r="R9" s="81" t="str">
        <f>VLOOKUP(C9,'Train Runs'!$A$13:$AE$9916,31,0)</f>
        <v>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 &amp; aws s3 cp s3://rtdc.mdm.uploadarchive.raw/RTDC4003/ "%USERPROFILE%\AppData\Local\Temp\OnboardLogs"\RTDC4003\2017-08-23 --exclude "*" --recursive --include "*20170823*" &amp; "%USERPROFILE%\Documents\GitHub\mrs-test-scripts\Headless Mode &amp; Sideloading\WalkAndUnGZ.bat" "%USERPROFILE%\AppData\Local\Temp\OnboardLogs"\RTDC4003\2017-08-23</v>
      </c>
      <c r="S9" s="84" t="str">
        <f>VLOOKUP(C9,'Train Runs'!$A$13:$AE$9916,22,0)</f>
        <v>https://d0f6bd738d7f1b3e5a7ca70fe4ff75f0.us-east-1.aws.found.io/app/kibana#/discover/Steve-Slow-Train-Analysis-(2080s-and-2083s)?_g=(refreshInterval:(display:Off,pause:!f,section:0,value:0),time:(from:'2017-08-22T13:25:00-0600',mode:absolute,to:'2017-08-22T16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/stypes="*4003*201708222*"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42969.870497685188</v>
      </c>
      <c r="W9" s="45" t="str">
        <f t="shared" si="4"/>
        <v>EC</v>
      </c>
      <c r="X9" s="22">
        <f t="shared" si="5"/>
        <v>180</v>
      </c>
      <c r="Y9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Arrival","project_id":79,"tracker_id":40,"status_id":1,"priority_id":2,"assigned_to_id":23,"start_date":"2017-08-22","description":"","custom_fields":[{"id":1,"name":"Subdivision","value":"EC"},{"id":4,"name":"Milepost","value":"5.8301"},{"id":17,"name":"Train ID","value":"180-22"},{"id":16,"name":"Locomotive ID","value":"4003"},{"id":130,"name":"Impact","value":""},{"id":150,"name":"Time of Event (Mountain Time)","value":"14:53:31"},{"id":151,"name":"Denver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/c/Users/stu/AppData/Local/Temp/OnboardLogs/RTDC4003 --include="*4003*201708222*"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"%USERPROFILE%\AppData\Local\Temp\OnboardLogs"\RTDC4003\*4003*201708222* &gt;&gt; 2017-08-22-SliceDisagreementCheck.txt</v>
      </c>
      <c r="AE9" s="145" t="str">
        <f t="shared" si="9"/>
        <v>start /low /b %USERPROFILE%\Documents\GitHub\eaglep3\Utilities\DownloadLogsFromS3.py --loco 4003 --day 2017-08-22</v>
      </c>
    </row>
    <row r="10" spans="1:32" s="1" customFormat="1" x14ac:dyDescent="0.25">
      <c r="A10" s="31">
        <v>42969.255324074074</v>
      </c>
      <c r="B10" s="30" t="s">
        <v>556</v>
      </c>
      <c r="C10" s="30" t="s">
        <v>557</v>
      </c>
      <c r="D10" s="30" t="s">
        <v>49</v>
      </c>
      <c r="E10" s="30" t="s">
        <v>187</v>
      </c>
      <c r="F10" s="42">
        <v>400</v>
      </c>
      <c r="G10" s="42">
        <v>452</v>
      </c>
      <c r="H10" s="42">
        <v>58458</v>
      </c>
      <c r="I10" s="42">
        <v>57086</v>
      </c>
      <c r="J10" s="30" t="s">
        <v>188</v>
      </c>
      <c r="K10" s="42">
        <v>58301</v>
      </c>
      <c r="L10" s="131" t="s">
        <v>51</v>
      </c>
      <c r="M10" s="132">
        <f t="shared" si="0"/>
        <v>-641.52</v>
      </c>
      <c r="N10" s="133" t="str">
        <f>VLOOKUP(C10,'Trips&amp;Operators'!$C$1:$G$99911,5,FALSE)</f>
        <v>MACDONALD THOMAS</v>
      </c>
      <c r="O10" s="203" t="s">
        <v>180</v>
      </c>
      <c r="P10" s="134" t="s">
        <v>399</v>
      </c>
      <c r="Q10" s="30"/>
      <c r="R10" s="81" t="str">
        <f>VLOOKUP(C10,'Train Runs'!$A$13:$AE$9916,31,0)</f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S10" s="84" t="str">
        <f>VLOOKUP(C10,'Train Runs'!$A$13:$AE$9916,22,0)</f>
        <v>https://d0f6bd738d7f1b3e5a7ca70fe4ff75f0.us-east-1.aws.found.io/app/kibana#/discover/Steve-Slow-Train-Analysis-(2080s-and-2083s)?_g=(refreshInterval:(display:Off,pause:!f,section:0,value:0),time:(from:'2017-08-22T04:31:51-0600',mode:absolute,to:'2017-08-22T07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/stypes="*4005*201708221*"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42969.505324074074</v>
      </c>
      <c r="W10" s="45" t="str">
        <f t="shared" si="4"/>
        <v>EC</v>
      </c>
      <c r="X10" s="22">
        <f t="shared" si="5"/>
        <v>110</v>
      </c>
      <c r="Y10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Arrival","project_id":79,"tracker_id":40,"status_id":1,"priority_id":2,"assigned_to_id":23,"start_date":"2017-08-22","description":"","custom_fields":[{"id":1,"name":"Subdivision","value":"EC"},{"id":4,"name":"Milepost","value":"5.8301"},{"id":17,"name":"Train ID","value":"110-22"},{"id":16,"name":"Locomotive ID","value":"4005"},{"id":130,"name":"Impact","value":""},{"id":150,"name":"Time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/c/Users/stu/AppData/Local/Temp/OnboardLogs/RTDC4005 --include="*4005*201708221*"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"%USERPROFILE%\AppData\Local\Temp\OnboardLogs"\RTDC4005\*4005*201708221* &gt;&gt; 2017-08-22-SliceDisagreementCheck.txt</v>
      </c>
      <c r="AE10" s="145" t="str">
        <f t="shared" si="9"/>
        <v>start /low /b %USERPROFILE%\Documents\GitHub\eaglep3\Utilities\DownloadLogsFromS3.py --loco 4005 --day 2017-08-22</v>
      </c>
    </row>
    <row r="11" spans="1:32" s="1" customFormat="1" x14ac:dyDescent="0.25">
      <c r="A11" s="31">
        <v>42969.332546296297</v>
      </c>
      <c r="B11" s="30" t="s">
        <v>369</v>
      </c>
      <c r="C11" s="30" t="s">
        <v>563</v>
      </c>
      <c r="D11" s="30" t="s">
        <v>49</v>
      </c>
      <c r="E11" s="30" t="s">
        <v>187</v>
      </c>
      <c r="F11" s="42">
        <v>0</v>
      </c>
      <c r="G11" s="42">
        <v>445</v>
      </c>
      <c r="H11" s="42">
        <v>62793</v>
      </c>
      <c r="I11" s="42">
        <v>63865</v>
      </c>
      <c r="J11" s="30" t="s">
        <v>188</v>
      </c>
      <c r="K11" s="42">
        <v>63069</v>
      </c>
      <c r="L11" s="131" t="s">
        <v>50</v>
      </c>
      <c r="M11" s="132">
        <f t="shared" si="0"/>
        <v>-420.28800000000001</v>
      </c>
      <c r="N11" s="133" t="str">
        <f>VLOOKUP(C11,'Trips&amp;Operators'!$C$1:$G$99911,5,FALSE)</f>
        <v>MAELZER KURT</v>
      </c>
      <c r="O11" s="203" t="s">
        <v>180</v>
      </c>
      <c r="P11" s="134" t="s">
        <v>399</v>
      </c>
      <c r="Q11" s="30"/>
      <c r="R11" s="81" t="str">
        <f>VLOOKUP(C11,'Train Runs'!$A$13:$AE$9916,31,0)</f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S11" s="84" t="str">
        <f>VLOOKUP(C11,'Train Runs'!$A$13:$AE$9916,22,0)</f>
        <v>https://d0f6bd738d7f1b3e5a7ca70fe4ff75f0.us-east-1.aws.found.io/app/kibana#/discover/Steve-Slow-Train-Analysis-(2080s-and-2083s)?_g=(refreshInterval:(display:Off,pause:!f,section:0,value:0),time:(from:'2017-08-22T06:40:37-0600',mode:absolute,to:'2017-08-22T09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86" t="str">
        <f t="shared" si="1"/>
        <v>"C:\Program Files (x86)\AstroGrep\AstroGrep.exe" /e /r /s /spath="%USERPROFILE%\AppData\Local\Temp\OnboardLogs" /stypes="*4018*201708221*"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4018</v>
      </c>
      <c r="V11" s="31">
        <f t="shared" si="3"/>
        <v>42969.582546296297</v>
      </c>
      <c r="W11" s="45" t="str">
        <f t="shared" si="4"/>
        <v>EC</v>
      </c>
      <c r="X11" s="22">
        <f t="shared" si="5"/>
        <v>133</v>
      </c>
      <c r="Y11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Arrival","project_id":79,"tracker_id":40,"status_id":1,"priority_id":2,"assigned_to_id":23,"start_date":"2017-08-22","description":"","custom_fields":[{"id":1,"name":"Subdivision","value":"EC"},{"id":4,"name":"Milepost","value":"6.3069"},{"id":17,"name":"Train ID","value":"133-22"},{"id":16,"name":"Locomotive ID","value":"4018"},{"id":130,"name":"Impact","value":""},{"id":150,"name":"Time of Event (Mountain Time)","value":"07:58:52"},{"id":151,"name":"Denver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/c/Users/stu/AppData/Local/Temp/OnboardLogs/RTDC4018 --include="*4018*201708221*"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"%USERPROFILE%\AppData\Local\Temp\OnboardLogs"\RTDC4018\*4018*201708221* &gt;&gt; 2017-08-22-SliceDisagreementCheck.txt</v>
      </c>
      <c r="AE11" s="145" t="str">
        <f t="shared" si="9"/>
        <v>start /low /b %USERPROFILE%\Documents\GitHub\eaglep3\Utilities\DownloadLogsFromS3.py --loco 4018 --day 2017-08-22</v>
      </c>
    </row>
    <row r="12" spans="1:32" x14ac:dyDescent="0.25">
      <c r="A12" s="31">
        <v>42969.442881944444</v>
      </c>
      <c r="B12" s="30" t="s">
        <v>392</v>
      </c>
      <c r="C12" s="30" t="s">
        <v>566</v>
      </c>
      <c r="D12" s="30" t="s">
        <v>49</v>
      </c>
      <c r="E12" s="30" t="s">
        <v>187</v>
      </c>
      <c r="F12" s="42">
        <v>110</v>
      </c>
      <c r="G12" s="42">
        <v>464</v>
      </c>
      <c r="H12" s="42">
        <v>66323</v>
      </c>
      <c r="I12" s="42">
        <v>65002</v>
      </c>
      <c r="J12" s="30" t="s">
        <v>188</v>
      </c>
      <c r="K12" s="42">
        <v>63309</v>
      </c>
      <c r="L12" s="131" t="s">
        <v>51</v>
      </c>
      <c r="M12" s="132">
        <f t="shared" si="0"/>
        <v>893.904</v>
      </c>
      <c r="N12" s="133" t="str">
        <f>VLOOKUP(C12,'Trips&amp;Operators'!$C$1:$G$99911,5,FALSE)</f>
        <v>LANGERAK WILLIAM</v>
      </c>
      <c r="O12" s="203" t="s">
        <v>180</v>
      </c>
      <c r="P12" s="134" t="s">
        <v>399</v>
      </c>
      <c r="Q12" s="30"/>
      <c r="R12" s="81" t="str">
        <f>VLOOKUP(C12,'Train Runs'!$A$13:$AE$9916,31,0)</f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S12" s="84" t="str">
        <f>VLOOKUP(C12,'Train Runs'!$A$13:$AE$9916,22,0)</f>
        <v>https://d0f6bd738d7f1b3e5a7ca70fe4ff75f0.us-east-1.aws.found.io/app/kibana#/discover/Steve-Slow-Train-Analysis-(2080s-and-2083s)?_g=(refreshInterval:(display:Off,pause:!f,section:0,value:0),time:(from:'2017-08-22T09:09:09-0600',mode:absolute,to:'2017-08-22T11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6" t="str">
        <f t="shared" si="1"/>
        <v>"C:\Program Files (x86)\AstroGrep\AstroGrep.exe" /e /r /s /spath="%USERPROFILE%\AppData\Local\Temp\OnboardLogs" /stypes="*4011*201708221*"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4011</v>
      </c>
      <c r="V12" s="31">
        <f t="shared" si="3"/>
        <v>42969.692881944444</v>
      </c>
      <c r="W12" s="45" t="str">
        <f t="shared" si="4"/>
        <v>EC</v>
      </c>
      <c r="X12" s="22">
        <f t="shared" si="5"/>
        <v>146</v>
      </c>
      <c r="Y12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Arrival","project_id":79,"tracker_id":40,"status_id":1,"priority_id":2,"assigned_to_id":23,"start_date":"2017-08-22","description":"","custom_fields":[{"id":1,"name":"Subdivision","value":"EC"},{"id":4,"name":"Milepost","value":"6.3309"},{"id":17,"name":"Train ID","value":"146-22"},{"id":16,"name":"Locomotive ID","value":"4011"},{"id":130,"name":"Impact","value":""},{"id":150,"name":"Time of Event (Mountain Time)","value":"10:37:45"},{"id":151,"name":"Denver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/c/Users/stu/AppData/Local/Temp/OnboardLogs/RTDC4011 --include="*4011*201708221*"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"%USERPROFILE%\AppData\Local\Temp\OnboardLogs"\RTDC4011\*4011*201708221* &gt;&gt; 2017-08-22-SliceDisagreementCheck.txt</v>
      </c>
      <c r="AE12" s="145" t="str">
        <f t="shared" si="9"/>
        <v>start /low /b %USERPROFILE%\Documents\GitHub\eaglep3\Utilities\DownloadLogsFromS3.py --loco 4011 --day 2017-08-22</v>
      </c>
      <c r="AF12" s="1"/>
    </row>
    <row r="13" spans="1:32" x14ac:dyDescent="0.25">
      <c r="A13" s="31">
        <v>42969.452465277776</v>
      </c>
      <c r="B13" s="30" t="s">
        <v>568</v>
      </c>
      <c r="C13" s="30" t="s">
        <v>569</v>
      </c>
      <c r="D13" s="30" t="s">
        <v>49</v>
      </c>
      <c r="E13" s="30" t="s">
        <v>187</v>
      </c>
      <c r="F13" s="42">
        <v>720</v>
      </c>
      <c r="G13" s="42">
        <v>777</v>
      </c>
      <c r="H13" s="42">
        <v>106581</v>
      </c>
      <c r="I13" s="42">
        <v>110495</v>
      </c>
      <c r="J13" s="30" t="s">
        <v>188</v>
      </c>
      <c r="K13" s="42">
        <v>108954</v>
      </c>
      <c r="L13" s="131" t="s">
        <v>50</v>
      </c>
      <c r="M13" s="132">
        <f t="shared" si="0"/>
        <v>-813.64800000000002</v>
      </c>
      <c r="N13" s="133" t="str">
        <f>VLOOKUP(C13,'Trips&amp;Operators'!$C$1:$G$99911,5,FALSE)</f>
        <v>MACDONALD THOMAS</v>
      </c>
      <c r="O13" s="203" t="s">
        <v>180</v>
      </c>
      <c r="P13" s="134" t="s">
        <v>399</v>
      </c>
      <c r="Q13" s="30"/>
      <c r="R13" s="81" t="str">
        <f>VLOOKUP(C13,'Train Runs'!$A$13:$AE$9916,31,0)</f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S13" s="84" t="str">
        <f>VLOOKUP(C13,'Train Runs'!$A$13:$AE$9916,22,0)</f>
        <v>https://d0f6bd738d7f1b3e5a7ca70fe4ff75f0.us-east-1.aws.found.io/app/kibana#/discover/Steve-Slow-Train-Analysis-(2080s-and-2083s)?_g=(refreshInterval:(display:Off,pause:!f,section:0,value:0),time:(from:'2017-08-22T09:18:38-0600',mode:absolute,to:'2017-08-22T12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3" s="86" t="str">
        <f t="shared" si="1"/>
        <v>"C:\Program Files (x86)\AstroGrep\AstroGrep.exe" /e /r /s /spath="%USERPROFILE%\AppData\Local\Temp\OnboardLogs" /stypes="*4056*201708221*"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4056</v>
      </c>
      <c r="V13" s="31">
        <f t="shared" si="3"/>
        <v>42969.702465277776</v>
      </c>
      <c r="W13" s="45" t="str">
        <f t="shared" si="4"/>
        <v>EC</v>
      </c>
      <c r="X13" s="22">
        <f t="shared" si="5"/>
        <v>155</v>
      </c>
      <c r="Y13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Arrival","project_id":79,"tracker_id":40,"status_id":1,"priority_id":2,"assigned_to_id":23,"start_date":"2017-08-22","description":"","custom_fields":[{"id":1,"name":"Subdivision","value":"EC"},{"id":4,"name":"Milepost","value":"10.8954"},{"id":17,"name":"Train ID","value":"155-22"},{"id":16,"name":"Locomotive ID","value":"4056"},{"id":130,"name":"Impact","value":""},{"id":150,"name":"Time of Event (Mountain Time)","value":"10:51:33"},{"id":151,"name":"Denver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/c/Users/stu/AppData/Local/Temp/OnboardLogs/RTDC4056 --include="*4056*201708221*"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"%USERPROFILE%\AppData\Local\Temp\OnboardLogs"\RTDC4056\*4056*201708221* &gt;&gt; 2017-08-22-SliceDisagreementCheck.txt</v>
      </c>
      <c r="AE13" s="145" t="str">
        <f t="shared" si="9"/>
        <v>start /low /b %USERPROFILE%\Documents\GitHub\eaglep3\Utilities\DownloadLogsFromS3.py --loco 4056 --day 2017-08-22</v>
      </c>
      <c r="AF13" s="1"/>
    </row>
    <row r="14" spans="1:32" x14ac:dyDescent="0.25">
      <c r="A14" s="31">
        <v>42969.33353009259</v>
      </c>
      <c r="B14" s="30" t="s">
        <v>559</v>
      </c>
      <c r="C14" s="30" t="s">
        <v>560</v>
      </c>
      <c r="D14" s="30" t="s">
        <v>49</v>
      </c>
      <c r="E14" s="30" t="s">
        <v>187</v>
      </c>
      <c r="F14" s="42">
        <v>340</v>
      </c>
      <c r="G14" s="42">
        <v>400</v>
      </c>
      <c r="H14" s="42">
        <v>110117</v>
      </c>
      <c r="I14" s="42">
        <v>108946</v>
      </c>
      <c r="J14" s="30" t="s">
        <v>188</v>
      </c>
      <c r="K14" s="42">
        <v>109135</v>
      </c>
      <c r="L14" s="131" t="s">
        <v>51</v>
      </c>
      <c r="M14" s="132">
        <f t="shared" si="0"/>
        <v>-99.792000000000002</v>
      </c>
      <c r="N14" s="133" t="str">
        <f>VLOOKUP(C14,'Trips&amp;Operators'!$C$1:$G$99911,5,FALSE)</f>
        <v>STARKS ANGELINA</v>
      </c>
      <c r="O14" s="203" t="s">
        <v>180</v>
      </c>
      <c r="P14" s="134" t="s">
        <v>399</v>
      </c>
      <c r="Q14" s="30"/>
      <c r="R14" s="81" t="str">
        <f>VLOOKUP(C14,'Train Runs'!$A$13:$AE$9916,31,0)</f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S14" s="84" t="str">
        <f>VLOOKUP(C14,'Train Runs'!$A$13:$AE$9916,22,0)</f>
        <v>https://d0f6bd738d7f1b3e5a7ca70fe4ff75f0.us-east-1.aws.found.io/app/kibana#/discover/Steve-Slow-Train-Analysis-(2080s-and-2083s)?_g=(refreshInterval:(display:Off,pause:!f,section:0,value:0),time:(from:'2017-08-22T06:35:48-0600',mode:absolute,to:'2017-08-22T09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4" s="86" t="str">
        <f t="shared" si="1"/>
        <v>"C:\Program Files (x86)\AstroGrep\AstroGrep.exe" /e /r /s /spath="%USERPROFILE%\AppData\Local\Temp\OnboardLogs" /stypes="*4055*201708221*"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4055</v>
      </c>
      <c r="V14" s="31">
        <f t="shared" si="3"/>
        <v>42969.58353009259</v>
      </c>
      <c r="W14" s="45" t="str">
        <f t="shared" si="4"/>
        <v>EC</v>
      </c>
      <c r="X14" s="22">
        <f t="shared" si="5"/>
        <v>126</v>
      </c>
      <c r="Y14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Arrival","project_id":79,"tracker_id":40,"status_id":1,"priority_id":2,"assigned_to_id":23,"start_date":"2017-08-22","description":"","custom_fields":[{"id":1,"name":"Subdivision","value":"EC"},{"id":4,"name":"Milepost","value":"10.9135"},{"id":17,"name":"Train ID","value":"126-22"},{"id":16,"name":"Locomotive ID","value":"4055"},{"id":130,"name":"Impact","value":""},{"id":150,"name":"Time of Event (Mountain Time)","value":"08:00:17"},{"id":151,"name":"Denver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/c/Users/stu/AppData/Local/Temp/OnboardLogs/RTDC4055 --include="*4055*201708221*"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"%USERPROFILE%\AppData\Local\Temp\OnboardLogs"\RTDC4055\*4055*201708221* &gt;&gt; 2017-08-22-SliceDisagreementCheck.txt</v>
      </c>
      <c r="AE14" s="145" t="str">
        <f t="shared" si="9"/>
        <v>start /low /b %USERPROFILE%\Documents\GitHub\eaglep3\Utilities\DownloadLogsFromS3.py --loco 4055 --day 2017-08-22</v>
      </c>
      <c r="AF14" s="1"/>
    </row>
    <row r="15" spans="1:32" x14ac:dyDescent="0.25">
      <c r="A15" s="31">
        <v>42969.520312499997</v>
      </c>
      <c r="B15" s="30" t="s">
        <v>371</v>
      </c>
      <c r="C15" s="30" t="s">
        <v>573</v>
      </c>
      <c r="D15" s="30" t="s">
        <v>49</v>
      </c>
      <c r="E15" s="30" t="s">
        <v>187</v>
      </c>
      <c r="F15" s="42">
        <v>370</v>
      </c>
      <c r="G15" s="42">
        <v>424</v>
      </c>
      <c r="H15" s="42">
        <v>110313</v>
      </c>
      <c r="I15" s="42">
        <v>108997</v>
      </c>
      <c r="J15" s="30" t="s">
        <v>188</v>
      </c>
      <c r="K15" s="42">
        <v>109135</v>
      </c>
      <c r="L15" s="131" t="s">
        <v>51</v>
      </c>
      <c r="M15" s="132">
        <f t="shared" si="0"/>
        <v>-72.864000000000004</v>
      </c>
      <c r="N15" s="133" t="str">
        <f>VLOOKUP(C15,'Trips&amp;Operators'!$C$1:$G$99911,5,FALSE)</f>
        <v>STEWART MICHAEL</v>
      </c>
      <c r="O15" s="203" t="s">
        <v>180</v>
      </c>
      <c r="P15" s="134" t="s">
        <v>399</v>
      </c>
      <c r="Q15" s="30"/>
      <c r="R15" s="81" t="str">
        <f>VLOOKUP(C15,'Train Runs'!$A$13:$AE$9916,31,0)</f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S15" s="84" t="str">
        <f>VLOOKUP(C15,'Train Runs'!$A$13:$AE$9916,22,0)</f>
        <v>https://d0f6bd738d7f1b3e5a7ca70fe4ff75f0.us-east-1.aws.found.io/app/kibana#/discover/Steve-Slow-Train-Analysis-(2080s-and-2083s)?_g=(refreshInterval:(display:Off,pause:!f,section:0,value:0),time:(from:'2017-08-22T11:09:49-0600',mode:absolute,to:'2017-08-22T13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 t="shared" si="1"/>
        <v>"C:\Program Files (x86)\AstroGrep\AstroGrep.exe" /e /r /s /spath="%USERPROFILE%\AppData\Local\Temp\OnboardLogs" /stypes="*4017*201708221*"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42969.770312499997</v>
      </c>
      <c r="W15" s="45" t="str">
        <f t="shared" si="4"/>
        <v>EC</v>
      </c>
      <c r="X15" s="22">
        <f t="shared" si="5"/>
        <v>162</v>
      </c>
      <c r="Y15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Arrival","project_id":79,"tracker_id":40,"status_id":1,"priority_id":2,"assigned_to_id":23,"start_date":"2017-08-22","description":"","custom_fields":[{"id":1,"name":"Subdivision","value":"EC"},{"id":4,"name":"Milepost","value":"10.9135"},{"id":17,"name":"Train ID","value":"162-22"},{"id":16,"name":"Locomotive ID","value":"4017"},{"id":130,"name":"Impact","value":""},{"id":150,"name":"Time of Event (Mountain Time)","value":"12:29:15"},{"id":151,"name":"Denver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/c/Users/stu/AppData/Local/Temp/OnboardLogs/RTDC4017 --include="*4017*201708221*"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"%USERPROFILE%\AppData\Local\Temp\OnboardLogs"\RTDC4017\*4017*201708221* &gt;&gt; 2017-08-22-SliceDisagreementCheck.txt</v>
      </c>
      <c r="AE15" s="145" t="str">
        <f t="shared" si="9"/>
        <v>start /low /b %USERPROFILE%\Documents\GitHub\eaglep3\Utilities\DownloadLogsFromS3.py --loco 4017 --day 2017-08-22</v>
      </c>
      <c r="AF15" s="1"/>
    </row>
    <row r="16" spans="1:32" x14ac:dyDescent="0.25">
      <c r="A16" s="31">
        <v>42969.780787037038</v>
      </c>
      <c r="B16" s="30" t="s">
        <v>559</v>
      </c>
      <c r="C16" s="30" t="s">
        <v>590</v>
      </c>
      <c r="D16" s="30" t="s">
        <v>96</v>
      </c>
      <c r="E16" s="30" t="s">
        <v>187</v>
      </c>
      <c r="F16" s="42">
        <v>380</v>
      </c>
      <c r="G16" s="42">
        <v>433</v>
      </c>
      <c r="H16" s="42">
        <v>108952</v>
      </c>
      <c r="I16" s="42">
        <v>107228</v>
      </c>
      <c r="J16" s="30" t="s">
        <v>188</v>
      </c>
      <c r="K16" s="42">
        <v>109135</v>
      </c>
      <c r="L16" s="131" t="s">
        <v>51</v>
      </c>
      <c r="M16" s="132">
        <f t="shared" si="0"/>
        <v>-1006.896</v>
      </c>
      <c r="N16" s="133" t="str">
        <f>VLOOKUP(C16,'Trips&amp;Operators'!$C$1:$G$99911,5,FALSE)</f>
        <v>THOMPSON LESTER</v>
      </c>
      <c r="O16" s="203" t="s">
        <v>180</v>
      </c>
      <c r="P16" s="134" t="s">
        <v>399</v>
      </c>
      <c r="Q16" s="30"/>
      <c r="R16" s="81" t="str">
        <f>VLOOKUP(C16,'Train Runs'!$A$13:$AE$9916,31,0)</f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S16" s="84" t="str">
        <f>VLOOKUP(C16,'Train Runs'!$A$13:$AE$9916,22,0)</f>
        <v>https://d0f6bd738d7f1b3e5a7ca70fe4ff75f0.us-east-1.aws.found.io/app/kibana#/discover/Steve-Slow-Train-Analysis-(2080s-and-2083s)?_g=(refreshInterval:(display:Off,pause:!f,section:0,value:0),time:(from:'2017-08-22T17:24:17-0600',mode:absolute,to:'2017-08-22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6" s="86" t="str">
        <f t="shared" si="1"/>
        <v>"C:\Program Files (x86)\AstroGrep\AstroGrep.exe" /e /r /s /spath="%USERPROFILE%\AppData\Local\Temp\OnboardLogs" /stypes="*4055*201708230*" /stext=" 00:.+((SYSTEM_STATE.+slice.+state.+changed )|(ment ac)|(multiple cpu faults)|(system.+state.+changed )|(\[timeout)|(PRM\|1\|D)|(kpr)|(kdp)|(train st.+moving)|(\|lc)|(penalty))"</v>
      </c>
      <c r="U16" s="9" t="str">
        <f t="shared" si="2"/>
        <v>4055</v>
      </c>
      <c r="V16" s="31">
        <f t="shared" si="3"/>
        <v>42970.030787037038</v>
      </c>
      <c r="W16" s="45" t="str">
        <f t="shared" si="4"/>
        <v>EC</v>
      </c>
      <c r="X16" s="22">
        <f t="shared" si="5"/>
        <v>212</v>
      </c>
      <c r="Y16" s="96" t="str">
        <f t="shared" si="6"/>
        <v>echo {"issue":{"subject":"Early Arrival","project_id":79,"tracker_id":40,"status_id":1,"priority_id":2,"assigned_to_id":23,"start_date":"2017-08-22","description":"","custom_fields":[{"id":1,"name":"Subdivision","value":"EC"},{"id":4,"name":"Milepost","value":"10.9135"},{"id":17,"name":"Train ID","value":"212-22"},{"id":16,"name":"Locomotive ID","value":"4055"},{"id":130,"name":"Impact","value":""},{"id":150,"name":"Time of Event (Mountain Time)","value":"18:44:20"},{"id":151,"name":"Denver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/c/Users/stu/AppData/Local/Temp/OnboardLogs/RTDC4055 --include="*4055*201708230*"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"%USERPROFILE%\AppData\Local\Temp\OnboardLogs"\RTDC4055\*4055*201708230* &gt;&gt; 2017-08-22-SliceDisagreementCheck.txt</v>
      </c>
      <c r="AE16" s="145" t="str">
        <f t="shared" si="9"/>
        <v>start /low /b %USERPROFILE%\Documents\GitHub\eaglep3\Utilities\DownloadLogsFromS3.py --loco 4055 --day 2017-08-23</v>
      </c>
      <c r="AF16" s="1"/>
    </row>
    <row r="17" spans="1:32" x14ac:dyDescent="0.25">
      <c r="A17" s="31">
        <v>42969.793009259258</v>
      </c>
      <c r="B17" s="30" t="s">
        <v>591</v>
      </c>
      <c r="C17" s="30" t="s">
        <v>592</v>
      </c>
      <c r="D17" s="30" t="s">
        <v>96</v>
      </c>
      <c r="E17" s="30" t="s">
        <v>196</v>
      </c>
      <c r="F17" s="42">
        <v>150</v>
      </c>
      <c r="G17" s="42">
        <v>201</v>
      </c>
      <c r="H17" s="42">
        <v>3233</v>
      </c>
      <c r="I17" s="42">
        <v>3495</v>
      </c>
      <c r="J17" s="30" t="s">
        <v>197</v>
      </c>
      <c r="K17" s="42">
        <v>0</v>
      </c>
      <c r="L17" s="131" t="s">
        <v>50</v>
      </c>
      <c r="M17" s="132">
        <f t="shared" si="0"/>
        <v>-1845.36</v>
      </c>
      <c r="N17" s="133" t="str">
        <f>VLOOKUP(C17,'Trips&amp;Operators'!$C$1:$G$99911,5,FALSE)</f>
        <v>MAGEE KENYA</v>
      </c>
      <c r="O17" s="203" t="s">
        <v>180</v>
      </c>
      <c r="P17" s="134"/>
      <c r="Q17" s="30"/>
      <c r="R17" s="81" t="str">
        <f>VLOOKUP(C17,'Train Runs'!$A$13:$AE$9916,31,0)</f>
        <v>aws s3 cp s3://rtdc.mdm.uploadarchive.raw/RTDC4006/ "%USERPROFILE%\AppData\Local\Temp\OnboardLogs"\RTDC4006\2017-08-22 --exclude "*" --recursive --include "*20170822*" &amp; "%USERPROFILE%\Documents\GitHub\mrs-test-scripts\Headless Mode &amp; Sideloading\WalkAndUnGZ.bat" "%USERPROFILE%\AppData\Local\Temp\OnboardLogs"\RTDC4006\2017-08-22 &amp; aws s3 cp s3://rtdc.mdm.uploadarchive.raw/RTDC4006/ "%USERPROFILE%\AppData\Local\Temp\OnboardLogs"\RTDC4006\2017-08-23 --exclude "*" --recursive --include "*20170823*" &amp; "%USERPROFILE%\Documents\GitHub\mrs-test-scripts\Headless Mode &amp; Sideloading\WalkAndUnGZ.bat" "%USERPROFILE%\AppData\Local\Temp\OnboardLogs"\RTDC4006\2017-08-23</v>
      </c>
      <c r="S17" s="84" t="str">
        <f>VLOOKUP(C17,'Train Runs'!$A$13:$AE$9916,22,0)</f>
        <v>https://d0f6bd738d7f1b3e5a7ca70fe4ff75f0.us-east-1.aws.found.io/app/kibana#/discover/Steve-Slow-Train-Analysis-(2080s-and-2083s)?_g=(refreshInterval:(display:Off,pause:!f,section:0,value:0),time:(from:'2017-08-22T17:55:37-0600',mode:absolute,to:'2017-08-22T20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86" t="str">
        <f t="shared" si="1"/>
        <v>"C:\Program Files (x86)\AstroGrep\AstroGrep.exe" /e /r /s /spath="%USERPROFILE%\AppData\Local\Temp\OnboardLogs" /stypes="*4006*201708230*"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4006</v>
      </c>
      <c r="V17" s="31">
        <f t="shared" si="3"/>
        <v>42970.043009259258</v>
      </c>
      <c r="W17" s="45" t="str">
        <f t="shared" si="4"/>
        <v>EC</v>
      </c>
      <c r="X17" s="22">
        <f t="shared" si="5"/>
        <v>221</v>
      </c>
      <c r="Y17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{"issue":{"subject":"","project_id":79,"tracker_id":40,"status_id":1,"priority_id":2,"assigned_to_id":23,"start_date":"2017-08-22","description":"","custom_fields":[{"id":1,"name":"Subdivision","value":"EC"},{"id":4,"name":"Milepost","value":"0"},{"id":17,"name":"Train ID","value":"221-22"},{"id":16,"name":"Locomotive ID","value":"4006"},{"id":130,"name":"Impact","value":""},{"id":150,"name":"Time of Event (Mountain Time)","value":"19:01:56"},{"id":151,"name":"Denver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/c/Users/stu/AppData/Local/Temp/OnboardLogs/RTDC4006 --include="*4006*201708230*"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"%USERPROFILE%\AppData\Local\Temp\OnboardLogs"\RTDC4006\*4006*201708230* &gt;&gt; 2017-08-22-SliceDisagreementCheck.txt</v>
      </c>
      <c r="AE17" s="145" t="str">
        <f t="shared" si="9"/>
        <v>start /low /b %USERPROFILE%\Documents\GitHub\eaglep3\Utilities\DownloadLogsFromS3.py --loco 4006 --day 2017-08-23</v>
      </c>
      <c r="AF17" s="1"/>
    </row>
    <row r="18" spans="1:32" x14ac:dyDescent="0.25">
      <c r="A18" s="31">
        <v>42969.83662037037</v>
      </c>
      <c r="B18" s="30" t="s">
        <v>369</v>
      </c>
      <c r="C18" s="30" t="s">
        <v>593</v>
      </c>
      <c r="D18" s="30" t="s">
        <v>49</v>
      </c>
      <c r="E18" s="30" t="s">
        <v>196</v>
      </c>
      <c r="F18" s="42">
        <v>400</v>
      </c>
      <c r="G18" s="42">
        <v>524</v>
      </c>
      <c r="H18" s="42">
        <v>17267</v>
      </c>
      <c r="I18" s="42">
        <v>18067</v>
      </c>
      <c r="J18" s="30" t="s">
        <v>197</v>
      </c>
      <c r="K18" s="42">
        <v>17867</v>
      </c>
      <c r="L18" s="131" t="s">
        <v>50</v>
      </c>
      <c r="M18" s="132">
        <f t="shared" si="0"/>
        <v>-105.6</v>
      </c>
      <c r="N18" s="133" t="str">
        <f>VLOOKUP(C18,'Trips&amp;Operators'!$C$1:$G$99911,5,FALSE)</f>
        <v>FORTUNATO FRANK</v>
      </c>
      <c r="O18" s="203" t="s">
        <v>180</v>
      </c>
      <c r="P18" s="134"/>
      <c r="Q18" s="30"/>
      <c r="R18" s="81" t="str">
        <f>VLOOKUP(C18,'Train Runs'!$A$13:$AE$9916,31,0)</f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S18" s="84" t="str">
        <f>VLOOKUP(C18,'Train Runs'!$A$13:$AE$9916,22,0)</f>
        <v>https://d0f6bd738d7f1b3e5a7ca70fe4ff75f0.us-east-1.aws.found.io/app/kibana#/discover/Steve-Slow-Train-Analysis-(2080s-and-2083s)?_g=(refreshInterval:(display:Off,pause:!f,section:0,value:0),time:(from:'2017-08-22T18:54:11-0600',mode:absolute,to:'2017-08-22T21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8" s="86" t="str">
        <f t="shared" si="1"/>
        <v>"C:\Program Files (x86)\AstroGrep\AstroGrep.exe" /e /r /s /spath="%USERPROFILE%\AppData\Local\Temp\OnboardLogs" /stypes="*4018*201708230*" /stext=" 02:.+((SYSTEM_STATE.+slice.+state.+changed )|(ment ac)|(multiple cpu faults)|(system.+state.+changed )|(\[timeout)|(PRM\|1\|D)|(kpr)|(kdp)|(train st.+moving)|(\|lc)|(penalty))"</v>
      </c>
      <c r="U18" s="9" t="str">
        <f t="shared" si="2"/>
        <v>4018</v>
      </c>
      <c r="V18" s="31">
        <f t="shared" si="3"/>
        <v>42970.08662037037</v>
      </c>
      <c r="W18" s="45" t="str">
        <f t="shared" si="4"/>
        <v>EC</v>
      </c>
      <c r="X18" s="22">
        <f t="shared" si="5"/>
        <v>225</v>
      </c>
      <c r="Y18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{"issue":{"subject":"","project_id":79,"tracker_id":40,"status_id":1,"priority_id":2,"assigned_to_id":23,"start_date":"2017-08-22","description":"","custom_fields":[{"id":1,"name":"Subdivision","value":"EC"},{"id":4,"name":"Milepost","value":"1.7867"},{"id":17,"name":"Train ID","value":"225-22"},{"id":16,"name":"Locomotive ID","value":"4018"},{"id":130,"name":"Impact","value":""},{"id":150,"name":"Time of Event (Mountain Time)","value":"20:04:44"},{"id":151,"name":"Denver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/c/Users/stu/AppData/Local/Temp/OnboardLogs/RTDC4018 --include="*4018*201708230*"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"%USERPROFILE%\AppData\Local\Temp\OnboardLogs"\RTDC4018\*4018*201708230* &gt;&gt; 2017-08-22-SliceDisagreementCheck.txt</v>
      </c>
      <c r="AE18" s="145" t="str">
        <f t="shared" si="9"/>
        <v>start /low /b %USERPROFILE%\Documents\GitHub\eaglep3\Utilities\DownloadLogsFromS3.py --loco 4018 --day 2017-08-23</v>
      </c>
      <c r="AF18" s="1"/>
    </row>
    <row r="19" spans="1:32" x14ac:dyDescent="0.25">
      <c r="A19" s="31">
        <v>42969.591851851852</v>
      </c>
      <c r="B19" s="30" t="s">
        <v>392</v>
      </c>
      <c r="C19" s="30" t="s">
        <v>578</v>
      </c>
      <c r="D19" s="30" t="s">
        <v>49</v>
      </c>
      <c r="E19" s="30" t="s">
        <v>196</v>
      </c>
      <c r="F19" s="42">
        <v>200</v>
      </c>
      <c r="G19" s="42">
        <v>256</v>
      </c>
      <c r="H19" s="42">
        <v>31255</v>
      </c>
      <c r="I19" s="42">
        <v>30775</v>
      </c>
      <c r="J19" s="30" t="s">
        <v>197</v>
      </c>
      <c r="K19" s="42">
        <v>30562</v>
      </c>
      <c r="L19" s="131" t="s">
        <v>51</v>
      </c>
      <c r="M19" s="132">
        <f t="shared" si="0"/>
        <v>112.464</v>
      </c>
      <c r="N19" s="133" t="str">
        <f>VLOOKUP(C19,'Trips&amp;Operators'!$C$1:$G$99911,5,FALSE)</f>
        <v>MCREYNOLDS KYLE</v>
      </c>
      <c r="O19" s="203" t="s">
        <v>180</v>
      </c>
      <c r="P19" s="134"/>
      <c r="Q19" s="30"/>
      <c r="R19" s="81" t="str">
        <f>VLOOKUP(C19,'Train Runs'!$A$13:$AE$9916,31,0)</f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S19" s="84" t="str">
        <f>VLOOKUP(C19,'Train Runs'!$A$13:$AE$9916,22,0)</f>
        <v>https://d0f6bd738d7f1b3e5a7ca70fe4ff75f0.us-east-1.aws.found.io/app/kibana#/discover/Steve-Slow-Train-Analysis-(2080s-and-2083s)?_g=(refreshInterval:(display:Off,pause:!f,section:0,value:0),time:(from:'2017-08-22T12:33:50-0600',mode:absolute,to:'2017-08-22T15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9" s="86" t="str">
        <f t="shared" si="1"/>
        <v>"C:\Program Files (x86)\AstroGrep\AstroGrep.exe" /e /r /s /spath="%USERPROFILE%\AppData\Local\Temp\OnboardLogs" /stypes="*4011*201708222*"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4011</v>
      </c>
      <c r="V19" s="31">
        <f t="shared" si="3"/>
        <v>42969.841851851852</v>
      </c>
      <c r="W19" s="45" t="str">
        <f t="shared" si="4"/>
        <v>EC</v>
      </c>
      <c r="X19" s="22">
        <f t="shared" si="5"/>
        <v>174</v>
      </c>
      <c r="Y19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{"issue":{"subject":"","project_id":79,"tracker_id":40,"status_id":1,"priority_id":2,"assigned_to_id":23,"start_date":"2017-08-22","description":"","custom_fields":[{"id":1,"name":"Subdivision","value":"EC"},{"id":4,"name":"Milepost","value":"3.0562"},{"id":17,"name":"Train ID","value":"174-22"},{"id":16,"name":"Locomotive ID","value":"4011"},{"id":130,"name":"Impact","value":""},{"id":150,"name":"Time of Event (Mountain Time)","value":"14:12:16"},{"id":151,"name":"Denver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/c/Users/stu/AppData/Local/Temp/OnboardLogs/RTDC4011 --include="*4011*201708222*"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"%USERPROFILE%\AppData\Local\Temp\OnboardLogs"\RTDC4011\*4011*201708222* &gt;&gt; 2017-08-22-SliceDisagreementCheck.txt</v>
      </c>
      <c r="AE19" s="145" t="str">
        <f t="shared" si="9"/>
        <v>start /low /b %USERPROFILE%\Documents\GitHub\eaglep3\Utilities\DownloadLogsFromS3.py --loco 4011 --day 2017-08-22</v>
      </c>
      <c r="AF19" s="1"/>
    </row>
    <row r="20" spans="1:32" x14ac:dyDescent="0.25">
      <c r="A20" s="31">
        <v>42969.459328703706</v>
      </c>
      <c r="B20" s="30" t="s">
        <v>568</v>
      </c>
      <c r="C20" s="30" t="s">
        <v>569</v>
      </c>
      <c r="D20" s="30" t="s">
        <v>49</v>
      </c>
      <c r="E20" s="30" t="s">
        <v>196</v>
      </c>
      <c r="F20" s="42">
        <v>600</v>
      </c>
      <c r="G20" s="42">
        <v>736</v>
      </c>
      <c r="H20" s="42">
        <v>181057</v>
      </c>
      <c r="I20" s="42">
        <v>183927</v>
      </c>
      <c r="J20" s="30" t="s">
        <v>197</v>
      </c>
      <c r="K20" s="42">
        <v>183829</v>
      </c>
      <c r="L20" s="131" t="s">
        <v>50</v>
      </c>
      <c r="M20" s="132">
        <f t="shared" si="0"/>
        <v>-51.744</v>
      </c>
      <c r="N20" s="133" t="str">
        <f>VLOOKUP(C20,'Trips&amp;Operators'!$C$1:$G$99911,5,FALSE)</f>
        <v>MACDONALD THOMAS</v>
      </c>
      <c r="O20" s="203" t="s">
        <v>180</v>
      </c>
      <c r="P20" s="134"/>
      <c r="Q20" s="30"/>
      <c r="R20" s="81" t="str">
        <f>VLOOKUP(C20,'Train Runs'!$A$13:$AE$9916,31,0)</f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S20" s="84" t="str">
        <f>VLOOKUP(C20,'Train Runs'!$A$13:$AE$9916,22,0)</f>
        <v>https://d0f6bd738d7f1b3e5a7ca70fe4ff75f0.us-east-1.aws.found.io/app/kibana#/discover/Steve-Slow-Train-Analysis-(2080s-and-2083s)?_g=(refreshInterval:(display:Off,pause:!f,section:0,value:0),time:(from:'2017-08-22T09:18:38-0600',mode:absolute,to:'2017-08-22T12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 t="shared" si="1"/>
        <v>"C:\Program Files (x86)\AstroGrep\AstroGrep.exe" /e /r /s /spath="%USERPROFILE%\AppData\Local\Temp\OnboardLogs" /stypes="*4056*201708221*"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4056</v>
      </c>
      <c r="V20" s="31">
        <f t="shared" si="3"/>
        <v>42969.709328703706</v>
      </c>
      <c r="W20" s="45" t="str">
        <f t="shared" si="4"/>
        <v>EC</v>
      </c>
      <c r="X20" s="22">
        <f t="shared" si="5"/>
        <v>155</v>
      </c>
      <c r="Y20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{"issue":{"subject":"","project_id":79,"tracker_id":40,"status_id":1,"priority_id":2,"assigned_to_id":23,"start_date":"2017-08-22","description":"","custom_fields":[{"id":1,"name":"Subdivision","value":"EC"},{"id":4,"name":"Milepost","value":"18.3829"},{"id":17,"name":"Train ID","value":"155-22"},{"id":16,"name":"Locomotive ID","value":"4056"},{"id":130,"name":"Impact","value":""},{"id":150,"name":"Time of Event (Mountain Time)","value":"11:01:26"},{"id":151,"name":"Denver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/c/Users/stu/AppData/Local/Temp/OnboardLogs/RTDC4056 --include="*4056*201708221*"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"%USERPROFILE%\AppData\Local\Temp\OnboardLogs"\RTDC4056\*4056*201708221* &gt;&gt; 2017-08-22-SliceDisagreementCheck.txt</v>
      </c>
      <c r="AE20" s="145" t="str">
        <f t="shared" si="9"/>
        <v>start /low /b %USERPROFILE%\Documents\GitHub\eaglep3\Utilities\DownloadLogsFromS3.py --loco 4056 --day 2017-08-22</v>
      </c>
      <c r="AF20" s="1"/>
    </row>
    <row r="21" spans="1:32" x14ac:dyDescent="0.25">
      <c r="A21" s="31">
        <v>42969.325104166666</v>
      </c>
      <c r="B21" s="30" t="s">
        <v>559</v>
      </c>
      <c r="C21" s="30" t="s">
        <v>560</v>
      </c>
      <c r="D21" s="30" t="s">
        <v>49</v>
      </c>
      <c r="E21" s="30" t="s">
        <v>196</v>
      </c>
      <c r="F21" s="42">
        <v>450</v>
      </c>
      <c r="G21" s="42">
        <v>500</v>
      </c>
      <c r="H21" s="42">
        <v>193142</v>
      </c>
      <c r="I21" s="42">
        <v>191479</v>
      </c>
      <c r="J21" s="30" t="s">
        <v>197</v>
      </c>
      <c r="K21" s="42">
        <v>191108</v>
      </c>
      <c r="L21" s="131" t="s">
        <v>51</v>
      </c>
      <c r="M21" s="132">
        <f t="shared" si="0"/>
        <v>195.88800000000001</v>
      </c>
      <c r="N21" s="133" t="str">
        <f>VLOOKUP(C21,'Trips&amp;Operators'!$C$1:$G$99911,5,FALSE)</f>
        <v>STARKS ANGELINA</v>
      </c>
      <c r="O21" s="203" t="s">
        <v>180</v>
      </c>
      <c r="P21" s="134"/>
      <c r="Q21" s="30"/>
      <c r="R21" s="81" t="str">
        <f>VLOOKUP(C21,'Train Runs'!$A$13:$AE$9916,31,0)</f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S21" s="84" t="str">
        <f>VLOOKUP(C21,'Train Runs'!$A$13:$AE$9916,22,0)</f>
        <v>https://d0f6bd738d7f1b3e5a7ca70fe4ff75f0.us-east-1.aws.found.io/app/kibana#/discover/Steve-Slow-Train-Analysis-(2080s-and-2083s)?_g=(refreshInterval:(display:Off,pause:!f,section:0,value:0),time:(from:'2017-08-22T06:35:48-0600',mode:absolute,to:'2017-08-22T09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/stypes="*4055*201708221*"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42969.575104166666</v>
      </c>
      <c r="W21" s="45" t="str">
        <f t="shared" si="4"/>
        <v>EC</v>
      </c>
      <c r="X21" s="22">
        <f t="shared" si="5"/>
        <v>126</v>
      </c>
      <c r="Y21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{"issue":{"subject":"","project_id":79,"tracker_id":40,"status_id":1,"priority_id":2,"assigned_to_id":23,"start_date":"2017-08-22","description":"","custom_fields":[{"id":1,"name":"Subdivision","value":"EC"},{"id":4,"name":"Milepost","value":"19.1108"},{"id":17,"name":"Train ID","value":"126-22"},{"id":16,"name":"Locomotive ID","value":"4055"},{"id":130,"name":"Impact","value":""},{"id":150,"name":"Time of Event (Mountain Time)","value":"07:48:09"},{"id":151,"name":"Denver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/c/Users/stu/AppData/Local/Temp/OnboardLogs/RTDC4055 --include="*4055*201708221*"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"%USERPROFILE%\AppData\Local\Temp\OnboardLogs"\RTDC4055\*4055*201708221* &gt;&gt; 2017-08-22-SliceDisagreementCheck.txt</v>
      </c>
      <c r="AE21" s="145" t="str">
        <f t="shared" si="9"/>
        <v>start /low /b %USERPROFILE%\Documents\GitHub\eaglep3\Utilities\DownloadLogsFromS3.py --loco 4055 --day 2017-08-22</v>
      </c>
      <c r="AF21" s="1"/>
    </row>
    <row r="22" spans="1:32" x14ac:dyDescent="0.25">
      <c r="A22" s="31">
        <v>42969.617719907408</v>
      </c>
      <c r="B22" s="30" t="s">
        <v>369</v>
      </c>
      <c r="C22" s="30" t="s">
        <v>581</v>
      </c>
      <c r="D22" s="30" t="s">
        <v>96</v>
      </c>
      <c r="E22" s="30" t="s">
        <v>377</v>
      </c>
      <c r="F22" s="42">
        <v>0</v>
      </c>
      <c r="G22" s="42">
        <v>114</v>
      </c>
      <c r="H22" s="42">
        <v>2815</v>
      </c>
      <c r="I22" s="42">
        <v>2981</v>
      </c>
      <c r="J22" s="30" t="s">
        <v>378</v>
      </c>
      <c r="K22" s="42">
        <v>4677</v>
      </c>
      <c r="L22" s="131" t="s">
        <v>51</v>
      </c>
      <c r="M22" s="132">
        <f t="shared" si="0"/>
        <v>-895.48800000000006</v>
      </c>
      <c r="N22" s="133" t="str">
        <f>VLOOKUP(C22,'Trips&amp;Operators'!$C$1:$G$99911,5,FALSE)</f>
        <v>TOUSIGNAUT CARL</v>
      </c>
      <c r="O22" s="203" t="s">
        <v>380</v>
      </c>
      <c r="P22" s="134" t="s">
        <v>998</v>
      </c>
      <c r="Q22" s="30"/>
      <c r="R22" s="81" t="str">
        <f>VLOOKUP(C22,'Train Runs'!$A$13:$AE$9916,31,0)</f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S22" s="84" t="str">
        <f>VLOOKUP(C22,'Train Runs'!$A$13:$AE$9916,22,0)</f>
        <v>https://d0f6bd738d7f1b3e5a7ca70fe4ff75f0.us-east-1.aws.found.io/app/kibana#/discover/Steve-Slow-Train-Analysis-(2080s-and-2083s)?_g=(refreshInterval:(display:Off,pause:!f,section:0,value:0),time:(from:'2017-08-22T13:53:21-0600',mode:absolute,to:'2017-08-22T16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86" t="str">
        <f t="shared" si="1"/>
        <v>"C:\Program Files (x86)\AstroGrep\AstroGrep.exe" /e /r /s /spath="%USERPROFILE%\AppData\Local\Temp\OnboardLogs" /stypes="*4018*201708222*"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4018</v>
      </c>
      <c r="V22" s="31">
        <f t="shared" si="3"/>
        <v>42969.867719907408</v>
      </c>
      <c r="W22" s="45" t="str">
        <f t="shared" si="4"/>
        <v>EC</v>
      </c>
      <c r="X22" s="22">
        <f t="shared" si="5"/>
        <v>189</v>
      </c>
      <c r="Y22" s="96" t="str">
        <f t="shared" si="6"/>
        <v>echo {"issue":{"subject":"Went active too close to signal","project_id":79,"tracker_id":40,"status_id":1,"priority_id":2,"assigned_to_id":23,"start_date":"2017-08-22","description":"","custom_fields":[{"id":1,"name":"Subdivision","value":"EC"},{"id":4,"name":"Milepost","value":"0.4677"},{"id":17,"name":"Train ID","value":"189-22"},{"id":16,"name":"Locomotive ID","value":"4018"},{"id":130,"name":"Impact","value":""},{"id":150,"name":"Time of Event (Mountain Time)","value":"14:49:31"},{"id":151,"name":"Denver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/c/Users/stu/AppData/Local/Temp/OnboardLogs/RTDC4018 --include="*4018*201708222*"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"%USERPROFILE%\AppData\Local\Temp\OnboardLogs"\RTDC4018\*4018*201708222* &gt;&gt; 2017-08-22-SliceDisagreementCheck.txt</v>
      </c>
      <c r="AE22" s="145" t="str">
        <f t="shared" si="9"/>
        <v>start /low /b %USERPROFILE%\Documents\GitHub\eaglep3\Utilities\DownloadLogsFromS3.py --loco 4018 --day 2017-08-22</v>
      </c>
      <c r="AF22" s="1"/>
    </row>
    <row r="23" spans="1:32" x14ac:dyDescent="0.25">
      <c r="A23" s="31">
        <v>42969.621550925927</v>
      </c>
      <c r="B23" s="30" t="s">
        <v>369</v>
      </c>
      <c r="C23" s="30" t="s">
        <v>581</v>
      </c>
      <c r="D23" s="30" t="s">
        <v>96</v>
      </c>
      <c r="E23" s="30" t="s">
        <v>377</v>
      </c>
      <c r="F23" s="42">
        <v>200</v>
      </c>
      <c r="G23" s="42">
        <v>260</v>
      </c>
      <c r="H23" s="42">
        <v>19801</v>
      </c>
      <c r="I23" s="42">
        <v>20588</v>
      </c>
      <c r="J23" s="30" t="s">
        <v>378</v>
      </c>
      <c r="K23" s="42">
        <v>10800</v>
      </c>
      <c r="L23" s="131" t="s">
        <v>50</v>
      </c>
      <c r="M23" s="132">
        <f t="shared" si="0"/>
        <v>-5168.0640000000003</v>
      </c>
      <c r="N23" s="133" t="str">
        <f>VLOOKUP(C23,'Trips&amp;Operators'!$C$1:$G$99911,5,FALSE)</f>
        <v>TOUSIGNAUT CARL</v>
      </c>
      <c r="O23" s="203" t="s">
        <v>380</v>
      </c>
      <c r="P23" s="134" t="s">
        <v>998</v>
      </c>
      <c r="Q23" s="30"/>
      <c r="R23" s="81" t="str">
        <f>VLOOKUP(C23,'Train Runs'!$A$13:$AE$9916,31,0)</f>
        <v>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 &amp; 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</v>
      </c>
      <c r="S23" s="84" t="str">
        <f>VLOOKUP(C23,'Train Runs'!$A$13:$AE$9916,22,0)</f>
        <v>https://d0f6bd738d7f1b3e5a7ca70fe4ff75f0.us-east-1.aws.found.io/app/kibana#/discover/Steve-Slow-Train-Analysis-(2080s-and-2083s)?_g=(refreshInterval:(display:Off,pause:!f,section:0,value:0),time:(from:'2017-08-22T13:53:21-0600',mode:absolute,to:'2017-08-22T16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3" s="86" t="str">
        <f t="shared" si="1"/>
        <v>"C:\Program Files (x86)\AstroGrep\AstroGrep.exe" /e /r /s /spath="%USERPROFILE%\AppData\Local\Temp\OnboardLogs" /stypes="*4018*201708222*"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4018</v>
      </c>
      <c r="V23" s="31">
        <f t="shared" si="3"/>
        <v>42969.871550925927</v>
      </c>
      <c r="W23" s="45" t="str">
        <f t="shared" si="4"/>
        <v>EC</v>
      </c>
      <c r="X23" s="22">
        <f t="shared" si="5"/>
        <v>189</v>
      </c>
      <c r="Y23" s="96" t="str">
        <f t="shared" si="6"/>
        <v>echo {"issue":{"subject":"Went active too close to signal","project_id":79,"tracker_id":40,"status_id":1,"priority_id":2,"assigned_to_id":23,"start_date":"2017-08-22","description":"","custom_fields":[{"id":1,"name":"Subdivision","value":"EC"},{"id":4,"name":"Milepost","value":"1.08"},{"id":17,"name":"Train ID","value":"189-22"},{"id":16,"name":"Locomotive ID","value":"4018"},{"id":130,"name":"Impact","value":""},{"id":150,"name":"Time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/c/Users/stu/AppData/Local/Temp/OnboardLogs/RTDC4018 --include="*4018*201708222*"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"%USERPROFILE%\AppData\Local\Temp\OnboardLogs"\RTDC4018\*4018*201708222* &gt;&gt; 2017-08-22-SliceDisagreementCheck.txt</v>
      </c>
      <c r="AE23" s="145" t="str">
        <f t="shared" si="9"/>
        <v>start /low /b %USERPROFILE%\Documents\GitHub\eaglep3\Utilities\DownloadLogsFromS3.py --loco 4018 --day 2017-08-22</v>
      </c>
      <c r="AF23" s="1"/>
    </row>
    <row r="24" spans="1:32" x14ac:dyDescent="0.25">
      <c r="A24" s="31">
        <v>42969.681967592594</v>
      </c>
      <c r="B24" s="30" t="s">
        <v>434</v>
      </c>
      <c r="C24" s="30" t="s">
        <v>586</v>
      </c>
      <c r="D24" s="30" t="s">
        <v>49</v>
      </c>
      <c r="E24" s="30" t="s">
        <v>377</v>
      </c>
      <c r="F24" s="42">
        <v>0</v>
      </c>
      <c r="G24" s="42">
        <v>431</v>
      </c>
      <c r="H24" s="42">
        <v>61923</v>
      </c>
      <c r="I24" s="42">
        <v>63381</v>
      </c>
      <c r="J24" s="30" t="s">
        <v>378</v>
      </c>
      <c r="K24" s="42">
        <v>63995</v>
      </c>
      <c r="L24" s="131" t="s">
        <v>50</v>
      </c>
      <c r="M24" s="132">
        <f t="shared" si="0"/>
        <v>324.19200000000001</v>
      </c>
      <c r="N24" s="133" t="str">
        <f>VLOOKUP(C24,'Trips&amp;Operators'!$C$1:$G$99911,5,FALSE)</f>
        <v>DAVIS MICHAEL</v>
      </c>
      <c r="O24" s="203" t="s">
        <v>380</v>
      </c>
      <c r="P24" s="134" t="s">
        <v>996</v>
      </c>
      <c r="Q24" s="30"/>
      <c r="R24" s="81" t="str">
        <f>VLOOKUP(C24,'Train Runs'!$A$13:$AE$9916,31,0)</f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S24" s="84" t="str">
        <f>VLOOKUP(C24,'Train Runs'!$A$13:$AE$9916,22,0)</f>
        <v>https://d0f6bd738d7f1b3e5a7ca70fe4ff75f0.us-east-1.aws.found.io/app/kibana#/discover/Steve-Slow-Train-Analysis-(2080s-and-2083s)?_g=(refreshInterval:(display:Off,pause:!f,section:0,value:0),time:(from:'2017-08-22T15:05:08-0600',mode:absolute,to:'2017-08-22T17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4" s="86" t="str">
        <f t="shared" si="1"/>
        <v>"C:\Program Files (x86)\AstroGrep\AstroGrep.exe" /e /r /s /spath="%USERPROFILE%\AppData\Local\Temp\OnboardLogs" /stypes="*4054*201708222*"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4054</v>
      </c>
      <c r="V24" s="31">
        <f t="shared" si="3"/>
        <v>42969.931967592594</v>
      </c>
      <c r="W24" s="45" t="str">
        <f t="shared" si="4"/>
        <v>EC</v>
      </c>
      <c r="X24" s="22">
        <f t="shared" si="5"/>
        <v>199</v>
      </c>
      <c r="Y24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drop","project_id":79,"tracker_id":40,"status_id":1,"priority_id":2,"assigned_to_id":23,"start_date":"2017-08-22","description":"","custom_fields":[{"id":1,"name":"Subdivision","value":"EC"},{"id":4,"name":"Milepost","value":"6.3995"},{"id":17,"name":"Train ID","value":"199-22"},{"id":16,"name":"Locomotive ID","value":"4054"},{"id":130,"name":"Impact","value":""},{"id":150,"name":"Time of Event (Mountain Time)","value":"16:22:02"},{"id":151,"name":"Denver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/c/Users/stu/AppData/Local/Temp/OnboardLogs/RTDC4054 --include="*4054*201708222*"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"%USERPROFILE%\AppData\Local\Temp\OnboardLogs"\RTDC4054\*4054*201708222* &gt;&gt; 2017-08-22-SliceDisagreementCheck.txt</v>
      </c>
      <c r="AE24" s="145" t="str">
        <f t="shared" si="9"/>
        <v>start /low /b %USERPROFILE%\Documents\GitHub\eaglep3\Utilities\DownloadLogsFromS3.py --loco 4054 --day 2017-08-22</v>
      </c>
      <c r="AF24" s="1"/>
    </row>
    <row r="25" spans="1:32" x14ac:dyDescent="0.25">
      <c r="A25" s="31">
        <v>42969.308356481481</v>
      </c>
      <c r="B25" s="30" t="s">
        <v>434</v>
      </c>
      <c r="C25" s="30" t="s">
        <v>558</v>
      </c>
      <c r="D25" s="30" t="s">
        <v>49</v>
      </c>
      <c r="E25" s="30" t="s">
        <v>377</v>
      </c>
      <c r="F25" s="42">
        <v>0</v>
      </c>
      <c r="G25" s="42">
        <v>399</v>
      </c>
      <c r="H25" s="42">
        <v>129799</v>
      </c>
      <c r="I25" s="42">
        <v>131405</v>
      </c>
      <c r="J25" s="30" t="s">
        <v>378</v>
      </c>
      <c r="K25" s="42">
        <v>133155</v>
      </c>
      <c r="L25" s="131" t="s">
        <v>50</v>
      </c>
      <c r="M25" s="132">
        <f t="shared" si="0"/>
        <v>924</v>
      </c>
      <c r="N25" s="133" t="str">
        <f>VLOOKUP(C25,'Trips&amp;Operators'!$C$1:$G$99911,5,FALSE)</f>
        <v>LOZA FIDEL</v>
      </c>
      <c r="O25" s="203" t="s">
        <v>380</v>
      </c>
      <c r="P25" s="134" t="s">
        <v>996</v>
      </c>
      <c r="Q25" s="30"/>
      <c r="R25" s="81" t="str">
        <f>VLOOKUP(C25,'Train Runs'!$A$13:$AE$9916,31,0)</f>
        <v>aws s3 cp s3://rtdc.mdm.uploadarchive.raw/RTDC4054/ "%USERPROFILE%\AppData\Local\Temp\OnboardLogs"\RTDC4054\2017-08-22 --exclude "*" --recursive --include "*20170822*" &amp; "%USERPROFILE%\Documents\GitHub\mrs-test-scripts\Headless Mode &amp; Sideloading\WalkAndUnGZ.bat" "%USERPROFILE%\AppData\Local\Temp\OnboardLogs"\RTDC4054\2017-08-22 &amp; aws s3 cp s3://rtdc.mdm.uploadarchive.raw/RTDC4054/ "%USERPROFILE%\AppData\Local\Temp\OnboardLogs"\RTDC4054\2017-08-23 --exclude "*" --recursive --include "*20170823*" &amp; "%USERPROFILE%\Documents\GitHub\mrs-test-scripts\Headless Mode &amp; Sideloading\WalkAndUnGZ.bat" "%USERPROFILE%\AppData\Local\Temp\OnboardLogs"\RTDC4054\2017-08-23</v>
      </c>
      <c r="S25" s="84" t="str">
        <f>VLOOKUP(C25,'Train Runs'!$A$13:$AE$9916,22,0)</f>
        <v>https://d0f6bd738d7f1b3e5a7ca70fe4ff75f0.us-east-1.aws.found.io/app/kibana#/discover/Steve-Slow-Train-Analysis-(2080s-and-2083s)?_g=(refreshInterval:(display:Off,pause:!f,section:0,value:0),time:(from:'2017-08-22T05:56:35-0600',mode:absolute,to:'2017-08-22T08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 t="shared" si="1"/>
        <v>"C:\Program Files (x86)\AstroGrep\AstroGrep.exe" /e /r /s /spath="%USERPROFILE%\AppData\Local\Temp\OnboardLogs" /stypes="*4054*201708221*"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4054</v>
      </c>
      <c r="V25" s="31">
        <f t="shared" si="3"/>
        <v>42969.558356481481</v>
      </c>
      <c r="W25" s="45" t="str">
        <f t="shared" si="4"/>
        <v>EC</v>
      </c>
      <c r="X25" s="22">
        <f t="shared" si="5"/>
        <v>127</v>
      </c>
      <c r="Y25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drop","project_id":79,"tracker_id":40,"status_id":1,"priority_id":2,"assigned_to_id":23,"start_date":"2017-08-22","description":"","custom_fields":[{"id":1,"name":"Subdivision","value":"EC"},{"id":4,"name":"Milepost","value":"13.3155"},{"id":17,"name":"Train ID","value":"127-22"},{"id":16,"name":"Locomotive ID","value":"4054"},{"id":130,"name":"Impact","value":""},{"id":150,"name":"Time of Event (Mountain Time)","value":"07:24:02"},{"id":151,"name":"Denver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/c/Users/stu/AppData/Local/Temp/OnboardLogs/RTDC4054 --include="*4054*201708221*"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"%USERPROFILE%\AppData\Local\Temp\OnboardLogs"\RTDC4054\*4054*201708221* &gt;&gt; 2017-08-22-SliceDisagreementCheck.txt</v>
      </c>
      <c r="AE25" s="145" t="str">
        <f t="shared" si="9"/>
        <v>start /low /b %USERPROFILE%\Documents\GitHub\eaglep3\Utilities\DownloadLogsFromS3.py --loco 4054 --day 2017-08-22</v>
      </c>
      <c r="AF25" s="1"/>
    </row>
    <row r="26" spans="1:32" x14ac:dyDescent="0.25">
      <c r="A26" s="31">
        <v>42969.352210648147</v>
      </c>
      <c r="B26" s="30" t="s">
        <v>559</v>
      </c>
      <c r="C26" s="30" t="s">
        <v>560</v>
      </c>
      <c r="D26" s="30" t="s">
        <v>49</v>
      </c>
      <c r="E26" s="30" t="s">
        <v>181</v>
      </c>
      <c r="F26" s="42">
        <v>0</v>
      </c>
      <c r="G26" s="42">
        <v>49</v>
      </c>
      <c r="H26" s="42">
        <v>134</v>
      </c>
      <c r="I26" s="42">
        <v>110</v>
      </c>
      <c r="J26" s="30" t="s">
        <v>182</v>
      </c>
      <c r="K26" s="42">
        <v>1</v>
      </c>
      <c r="L26" s="131" t="s">
        <v>51</v>
      </c>
      <c r="M26" s="132">
        <f t="shared" si="0"/>
        <v>57.552</v>
      </c>
      <c r="N26" s="133" t="str">
        <f>VLOOKUP(C26,'Trips&amp;Operators'!$C$1:$G$99911,5,FALSE)</f>
        <v>STARKS ANGELINA</v>
      </c>
      <c r="O26" s="203" t="s">
        <v>180</v>
      </c>
      <c r="P26" s="134"/>
      <c r="Q26" s="30"/>
      <c r="R26" s="81" t="str">
        <f>VLOOKUP(C26,'Train Runs'!$A$13:$AE$9916,31,0)</f>
        <v>aws s3 cp s3://rtdc.mdm.uploadarchive.raw/RTDC4055/ "%USERPROFILE%\AppData\Local\Temp\OnboardLogs"\RTDC4055\2017-08-22 --exclude "*" --recursive --include "*20170822*" &amp; "%USERPROFILE%\Documents\GitHub\mrs-test-scripts\Headless Mode &amp; Sideloading\WalkAndUnGZ.bat" "%USERPROFILE%\AppData\Local\Temp\OnboardLogs"\RTDC4055\2017-08-22 &amp; 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</v>
      </c>
      <c r="S26" s="84" t="str">
        <f>VLOOKUP(C26,'Train Runs'!$A$13:$AE$9916,22,0)</f>
        <v>https://d0f6bd738d7f1b3e5a7ca70fe4ff75f0.us-east-1.aws.found.io/app/kibana#/discover/Steve-Slow-Train-Analysis-(2080s-and-2083s)?_g=(refreshInterval:(display:Off,pause:!f,section:0,value:0),time:(from:'2017-08-22T06:35:48-0600',mode:absolute,to:'2017-08-22T09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6" s="86" t="str">
        <f t="shared" si="1"/>
        <v>"C:\Program Files (x86)\AstroGrep\AstroGrep.exe" /e /r /s /spath="%USERPROFILE%\AppData\Local\Temp\OnboardLogs" /stypes="*4055*201708221*"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4055</v>
      </c>
      <c r="V26" s="31">
        <f t="shared" si="3"/>
        <v>42969.602210648147</v>
      </c>
      <c r="W26" s="45" t="str">
        <f t="shared" si="4"/>
        <v>EC</v>
      </c>
      <c r="X26" s="22">
        <f t="shared" si="5"/>
        <v>126</v>
      </c>
      <c r="Y26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{"issue":{"subject":"","project_id":79,"tracker_id":40,"status_id":1,"priority_id":2,"assigned_to_id":23,"start_date":"2017-08-22","description":"","custom_fields":[{"id":1,"name":"Subdivision","value":"EC"},{"id":4,"name":"Milepost","value":"0.0001"},{"id":17,"name":"Train ID","value":"126-22"},{"id":16,"name":"Locomotive ID","value":"4055"},{"id":130,"name":"Impact","value":""},{"id":150,"name":"Time of Event (Mountain Time)","value":"08:27:11"},{"id":151,"name":"Denver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/c/Users/stu/AppData/Local/Temp/OnboardLogs/RTDC4055 --include="*4055*201708221*"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"%USERPROFILE%\AppData\Local\Temp\OnboardLogs"\RTDC4055\*4055*201708221* &gt;&gt; 2017-08-22-SliceDisagreementCheck.txt</v>
      </c>
      <c r="AE26" s="145" t="str">
        <f t="shared" si="9"/>
        <v>start /low /b %USERPROFILE%\Documents\GitHub\eaglep3\Utilities\DownloadLogsFromS3.py --loco 4055 --day 2017-08-22</v>
      </c>
      <c r="AF26" s="1"/>
    </row>
    <row r="27" spans="1:32" x14ac:dyDescent="0.25">
      <c r="A27" s="31">
        <v>42969.497199074074</v>
      </c>
      <c r="B27" s="30" t="s">
        <v>556</v>
      </c>
      <c r="C27" s="30" t="s">
        <v>570</v>
      </c>
      <c r="D27" s="30" t="s">
        <v>49</v>
      </c>
      <c r="E27" s="30" t="s">
        <v>181</v>
      </c>
      <c r="F27" s="42">
        <v>0</v>
      </c>
      <c r="G27" s="42">
        <v>61</v>
      </c>
      <c r="H27" s="42">
        <v>212</v>
      </c>
      <c r="I27" s="42">
        <v>156</v>
      </c>
      <c r="J27" s="30" t="s">
        <v>182</v>
      </c>
      <c r="K27" s="42">
        <v>1</v>
      </c>
      <c r="L27" s="131" t="s">
        <v>51</v>
      </c>
      <c r="M27" s="132">
        <f t="shared" si="0"/>
        <v>81.84</v>
      </c>
      <c r="N27" s="133" t="str">
        <f>VLOOKUP(C27,'Trips&amp;Operators'!$C$1:$G$99911,5,FALSE)</f>
        <v>HELVIE ADAM</v>
      </c>
      <c r="O27" s="203" t="s">
        <v>180</v>
      </c>
      <c r="P27" s="134"/>
      <c r="Q27" s="30"/>
      <c r="R27" s="81" t="str">
        <f>VLOOKUP(C27,'Train Runs'!$A$13:$AE$9916,31,0)</f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S27" s="84" t="str">
        <f>VLOOKUP(C27,'Train Runs'!$A$13:$AE$9916,22,0)</f>
        <v>https://d0f6bd738d7f1b3e5a7ca70fe4ff75f0.us-east-1.aws.found.io/app/kibana#/discover/Steve-Slow-Train-Analysis-(2080s-and-2083s)?_g=(refreshInterval:(display:Off,pause:!f,section:0,value:0),time:(from:'2017-08-22T10:08:28-0600',mode:absolute,to:'2017-08-22T12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 t="shared" si="1"/>
        <v>"C:\Program Files (x86)\AstroGrep\AstroGrep.exe" /e /r /s /spath="%USERPROFILE%\AppData\Local\Temp\OnboardLogs" /stypes="*4005*201708221*" /stext=" 17:.+((SYSTEM_STATE.+slice.+state.+changed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42969.747199074074</v>
      </c>
      <c r="W27" s="45" t="str">
        <f t="shared" si="4"/>
        <v>EC</v>
      </c>
      <c r="X27" s="22">
        <f t="shared" si="5"/>
        <v>154</v>
      </c>
      <c r="Y27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{"issue":{"subject":"","project_id":79,"tracker_id":40,"status_id":1,"priority_id":2,"assigned_to_id":23,"start_date":"2017-08-22","description":"","custom_fields":[{"id":1,"name":"Subdivision","value":"EC"},{"id":4,"name":"Milepost","value":"0.0001"},{"id":17,"name":"Train ID","value":"154-22"},{"id":16,"name":"Locomotive ID","value":"4005"},{"id":130,"name":"Impact","value":""},{"id":150,"name":"Time of Event (Mountain Time)","value":"11:55:58"},{"id":151,"name":"Denver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/c/Users/stu/AppData/Local/Temp/OnboardLogs/RTDC4005 --include="*4005*201708221*"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"%USERPROFILE%\AppData\Local\Temp\OnboardLogs"\RTDC4005\*4005*201708221* &gt;&gt; 2017-08-22-SliceDisagreementCheck.txt</v>
      </c>
      <c r="AE27" s="145" t="str">
        <f t="shared" si="9"/>
        <v>start /low /b %USERPROFILE%\Documents\GitHub\eaglep3\Utilities\DownloadLogsFromS3.py --loco 4005 --day 2017-08-22</v>
      </c>
      <c r="AF27" s="1"/>
    </row>
    <row r="28" spans="1:32" x14ac:dyDescent="0.25">
      <c r="A28" s="31">
        <v>42969.569456018522</v>
      </c>
      <c r="B28" s="30" t="s">
        <v>556</v>
      </c>
      <c r="C28" s="30" t="s">
        <v>575</v>
      </c>
      <c r="D28" s="30" t="s">
        <v>49</v>
      </c>
      <c r="E28" s="30" t="s">
        <v>181</v>
      </c>
      <c r="F28" s="42">
        <v>0</v>
      </c>
      <c r="G28" s="42">
        <v>56</v>
      </c>
      <c r="H28" s="42">
        <v>231</v>
      </c>
      <c r="I28" s="42">
        <v>174</v>
      </c>
      <c r="J28" s="30" t="s">
        <v>182</v>
      </c>
      <c r="K28" s="42">
        <v>1</v>
      </c>
      <c r="L28" s="131" t="s">
        <v>51</v>
      </c>
      <c r="M28" s="132">
        <f t="shared" si="0"/>
        <v>91.343999999999994</v>
      </c>
      <c r="N28" s="133" t="str">
        <f>VLOOKUP(C28,'Trips&amp;Operators'!$C$1:$G$99911,5,FALSE)</f>
        <v>GUNTHIER ERIC</v>
      </c>
      <c r="O28" s="203" t="s">
        <v>180</v>
      </c>
      <c r="P28" s="134"/>
      <c r="Q28" s="30"/>
      <c r="R28" s="81" t="str">
        <f>VLOOKUP(C28,'Train Runs'!$A$13:$AE$9916,31,0)</f>
        <v>aws s3 cp s3://rtdc.mdm.uploadarchive.raw/RTDC4005/ "%USERPROFILE%\AppData\Local\Temp\OnboardLogs"\RTDC4005\2017-08-22 --exclude "*" --recursive --include "*20170822*" &amp; "%USERPROFILE%\Documents\GitHub\mrs-test-scripts\Headless Mode &amp; Sideloading\WalkAndUnGZ.bat" "%USERPROFILE%\AppData\Local\Temp\OnboardLogs"\RTDC4005\2017-08-22 &amp; aws s3 cp s3://rtdc.mdm.uploadarchive.raw/RTDC4005/ "%USERPROFILE%\AppData\Local\Temp\OnboardLogs"\RTDC4005\2017-08-23 --exclude "*" --recursive --include "*20170823*" &amp; "%USERPROFILE%\Documents\GitHub\mrs-test-scripts\Headless Mode &amp; Sideloading\WalkAndUnGZ.bat" "%USERPROFILE%\AppData\Local\Temp\OnboardLogs"\RTDC4005\2017-08-23</v>
      </c>
      <c r="S28" s="84" t="str">
        <f>VLOOKUP(C28,'Train Runs'!$A$13:$AE$9916,22,0)</f>
        <v>https://d0f6bd738d7f1b3e5a7ca70fe4ff75f0.us-east-1.aws.found.io/app/kibana#/discover/Steve-Slow-Train-Analysis-(2080s-and-2083s)?_g=(refreshInterval:(display:Off,pause:!f,section:0,value:0),time:(from:'2017-08-22T11:46:59-0600',mode:absolute,to:'2017-08-22T14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86" t="str">
        <f t="shared" si="1"/>
        <v>"C:\Program Files (x86)\AstroGrep\AstroGrep.exe" /e /r /s /spath="%USERPROFILE%\AppData\Local\Temp\OnboardLogs" /stypes="*4005*201708221*"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4005</v>
      </c>
      <c r="V28" s="31">
        <f t="shared" si="3"/>
        <v>42969.819456018522</v>
      </c>
      <c r="W28" s="45" t="str">
        <f t="shared" si="4"/>
        <v>EC</v>
      </c>
      <c r="X28" s="22">
        <f t="shared" si="5"/>
        <v>168</v>
      </c>
      <c r="Y28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{"issue":{"subject":"","project_id":79,"tracker_id":40,"status_id":1,"priority_id":2,"assigned_to_id":23,"start_date":"2017-08-22","description":"","custom_fields":[{"id":1,"name":"Subdivision","value":"EC"},{"id":4,"name":"Milepost","value":"0.0001"},{"id":17,"name":"Train ID","value":"168-22"},{"id":16,"name":"Locomotive ID","value":"4005"},{"id":130,"name":"Impact","value":""},{"id":150,"name":"Time of Event (Mountain Time)","value":"13:40:01"},{"id":151,"name":"Denver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/c/Users/stu/AppData/Local/Temp/OnboardLogs/RTDC4005 --include="*4005*201708221*"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"%USERPROFILE%\AppData\Local\Temp\OnboardLogs"\RTDC4005\*4005*201708221* &gt;&gt; 2017-08-22-SliceDisagreementCheck.txt</v>
      </c>
      <c r="AE28" s="145" t="str">
        <f t="shared" si="9"/>
        <v>start /low /b %USERPROFILE%\Documents\GitHub\eaglep3\Utilities\DownloadLogsFromS3.py --loco 4005 --day 2017-08-22</v>
      </c>
      <c r="AF28" s="1"/>
    </row>
    <row r="29" spans="1:32" x14ac:dyDescent="0.25">
      <c r="A29" s="31">
        <v>42969.900972222225</v>
      </c>
      <c r="B29" s="30" t="s">
        <v>371</v>
      </c>
      <c r="C29" s="30" t="s">
        <v>594</v>
      </c>
      <c r="D29" s="30" t="s">
        <v>49</v>
      </c>
      <c r="E29" s="30" t="s">
        <v>181</v>
      </c>
      <c r="F29" s="42">
        <v>0</v>
      </c>
      <c r="G29" s="42">
        <v>162</v>
      </c>
      <c r="H29" s="42">
        <v>914</v>
      </c>
      <c r="I29" s="42">
        <v>690</v>
      </c>
      <c r="J29" s="30" t="s">
        <v>182</v>
      </c>
      <c r="K29" s="42">
        <v>1</v>
      </c>
      <c r="L29" s="131" t="s">
        <v>51</v>
      </c>
      <c r="M29" s="132">
        <f t="shared" si="0"/>
        <v>363.79199999999997</v>
      </c>
      <c r="N29" s="133" t="str">
        <f>VLOOKUP(C29,'Trips&amp;Operators'!$C$1:$G$99911,5,FALSE)</f>
        <v>FORTUNATO FRANK</v>
      </c>
      <c r="O29" s="203" t="s">
        <v>180</v>
      </c>
      <c r="P29" s="134"/>
      <c r="Q29" s="30"/>
      <c r="R29" s="81" t="str">
        <f>VLOOKUP(C29,'Train Runs'!$A$13:$AE$9916,31,0)</f>
        <v>aws s3 cp s3://rtdc.mdm.uploadarchive.raw/RTDC4017/ "%USERPROFILE%\AppData\Local\Temp\OnboardLogs"\RTDC4017\2017-08-22 --exclude "*" --recursive --include "*20170822*" &amp; "%USERPROFILE%\Documents\GitHub\mrs-test-scripts\Headless Mode &amp; Sideloading\WalkAndUnGZ.bat" "%USERPROFILE%\AppData\Local\Temp\OnboardLogs"\RTDC4017\2017-08-22 &amp; aws s3 cp s3://rtdc.mdm.uploadarchive.raw/RTDC4017/ "%USERPROFILE%\AppData\Local\Temp\OnboardLogs"\RTDC4017\2017-08-23 --exclude "*" --recursive --include "*20170823*" &amp; "%USERPROFILE%\Documents\GitHub\mrs-test-scripts\Headless Mode &amp; Sideloading\WalkAndUnGZ.bat" "%USERPROFILE%\AppData\Local\Temp\OnboardLogs"\RTDC4017\2017-08-23</v>
      </c>
      <c r="S29" s="84" t="str">
        <f>VLOOKUP(C29,'Train Runs'!$A$13:$AE$9916,22,0)</f>
        <v>https://d0f6bd738d7f1b3e5a7ca70fe4ff75f0.us-east-1.aws.found.io/app/kibana#/discover/Steve-Slow-Train-Analysis-(2080s-and-2083s)?_g=(refreshInterval:(display:Off,pause:!f,section:0,value:0),time:(from:'2017-08-22T19:39:04-0600',mode:absolute,to:'2017-08-22T22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9" s="86" t="str">
        <f t="shared" si="1"/>
        <v>"C:\Program Files (x86)\AstroGrep\AstroGrep.exe" /e /r /s /spath="%USERPROFILE%\AppData\Local\Temp\OnboardLogs" /stypes="*4017*201708230*" /stext=" 03:.+((SYSTEM_STATE.+slice.+state.+changed )|(ment ac)|(multiple cpu faults)|(system.+state.+changed )|(\[timeout)|(PRM\|1\|D)|(kpr)|(kdp)|(train st.+moving)|(\|lc)|(penalty))"</v>
      </c>
      <c r="U29" s="9" t="str">
        <f t="shared" si="2"/>
        <v>4017</v>
      </c>
      <c r="V29" s="31">
        <f t="shared" si="3"/>
        <v>42970.150972222225</v>
      </c>
      <c r="W29" s="45" t="str">
        <f t="shared" si="4"/>
        <v>EC</v>
      </c>
      <c r="X29" s="22">
        <f t="shared" si="5"/>
        <v>226</v>
      </c>
      <c r="Y29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{"issue":{"subject":"","project_id":79,"tracker_id":40,"status_id":1,"priority_id":2,"assigned_to_id":23,"start_date":"2017-08-22","description":"","custom_fields":[{"id":1,"name":"Subdivision","value":"EC"},{"id":4,"name":"Milepost","value":"0.0001"},{"id":17,"name":"Train ID","value":"226-22"},{"id":16,"name":"Locomotive ID","value":"4017"},{"id":130,"name":"Impact","value":""},{"id":150,"name":"Time of Event (Mountain Time)","value":"21:37:24"},{"id":151,"name":"Denver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/c/Users/stu/AppData/Local/Temp/OnboardLogs/RTDC4017 --include="*4017*201708230*"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"%USERPROFILE%\AppData\Local\Temp\OnboardLogs"\RTDC4017\*4017*201708230* &gt;&gt; 2017-08-22-SliceDisagreementCheck.txt</v>
      </c>
      <c r="AE29" s="145" t="str">
        <f t="shared" si="9"/>
        <v>start /low /b %USERPROFILE%\Documents\GitHub\eaglep3\Utilities\DownloadLogsFromS3.py --loco 4017 --day 2017-08-23</v>
      </c>
      <c r="AF29" s="1"/>
    </row>
    <row r="30" spans="1:32" x14ac:dyDescent="0.25">
      <c r="A30" s="31">
        <v>42969.448645833334</v>
      </c>
      <c r="B30" s="30" t="s">
        <v>435</v>
      </c>
      <c r="C30" s="30" t="s">
        <v>567</v>
      </c>
      <c r="D30" s="30" t="s">
        <v>49</v>
      </c>
      <c r="E30" s="30" t="s">
        <v>181</v>
      </c>
      <c r="F30" s="42">
        <v>0</v>
      </c>
      <c r="G30" s="42">
        <v>51</v>
      </c>
      <c r="H30" s="42">
        <v>1013</v>
      </c>
      <c r="I30" s="42">
        <v>969</v>
      </c>
      <c r="J30" s="30" t="s">
        <v>182</v>
      </c>
      <c r="K30" s="42">
        <v>839</v>
      </c>
      <c r="L30" s="131" t="s">
        <v>51</v>
      </c>
      <c r="M30" s="132">
        <f t="shared" si="0"/>
        <v>68.64</v>
      </c>
      <c r="N30" s="133" t="str">
        <f>VLOOKUP(C30,'Trips&amp;Operators'!$C$1:$G$99911,5,FALSE)</f>
        <v>BONDS REYNALDO</v>
      </c>
      <c r="O30" s="203" t="s">
        <v>180</v>
      </c>
      <c r="P30" s="134"/>
      <c r="Q30" s="30"/>
      <c r="R30" s="81" t="str">
        <f>VLOOKUP(C30,'Train Runs'!$A$13:$AE$9916,31,0)</f>
        <v>aws s3 cp s3://rtdc.mdm.uploadarchive.raw/RTDC4057/ "%USERPROFILE%\AppData\Local\Temp\OnboardLogs"\RTDC4057\2017-08-22 --exclude "*" --recursive --include "*20170822*" &amp; "%USERPROFILE%\Documents\GitHub\mrs-test-scripts\Headless Mode &amp; Sideloading\WalkAndUnGZ.bat" "%USERPROFILE%\AppData\Local\Temp\OnboardLogs"\RTDC4057\2017-08-22 &amp; 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</v>
      </c>
      <c r="S30" s="84" t="str">
        <f>VLOOKUP(C30,'Train Runs'!$A$13:$AE$9916,22,0)</f>
        <v>https://d0f6bd738d7f1b3e5a7ca70fe4ff75f0.us-east-1.aws.found.io/app/kibana#/discover/Steve-Slow-Train-Analysis-(2080s-and-2083s)?_g=(refreshInterval:(display:Off,pause:!f,section:0,value:0),time:(from:'2017-08-22T08:54:53-0600',mode:absolute,to:'2017-08-22T11:46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0" s="86" t="str">
        <f t="shared" si="1"/>
        <v>"C:\Program Files (x86)\AstroGrep\AstroGrep.exe" /e /r /s /spath="%USERPROFILE%\AppData\Local\Temp\OnboardLogs" /stypes="*4057*201708221*"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4057</v>
      </c>
      <c r="V30" s="31">
        <f t="shared" si="3"/>
        <v>42969.698645833334</v>
      </c>
      <c r="W30" s="45" t="str">
        <f t="shared" si="4"/>
        <v>EC</v>
      </c>
      <c r="X30" s="22">
        <f t="shared" si="5"/>
        <v>144</v>
      </c>
      <c r="Y30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{"issue":{"subject":"","project_id":79,"tracker_id":40,"status_id":1,"priority_id":2,"assigned_to_id":23,"start_date":"2017-08-22","description":"","custom_fields":[{"id":1,"name":"Subdivision","value":"EC"},{"id":4,"name":"Milepost","value":"0.0839"},{"id":17,"name":"Train ID","value":"144-22"},{"id":16,"name":"Locomotive ID","value":"4057"},{"id":130,"name":"Impact","value":""},{"id":150,"name":"Time of Event (Mountain Time)","value":"10:46:03"},{"id":151,"name":"Denver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/c/Users/stu/AppData/Local/Temp/OnboardLogs/RTDC4057 --include="*4057*201708221*"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"%USERPROFILE%\AppData\Local\Temp\OnboardLogs"\RTDC4057\*4057*201708221* &gt;&gt; 2017-08-22-SliceDisagreementCheck.txt</v>
      </c>
      <c r="AE30" s="145" t="str">
        <f t="shared" si="9"/>
        <v>start /low /b %USERPROFILE%\Documents\GitHub\eaglep3\Utilities\DownloadLogsFromS3.py --loco 4057 --day 2017-08-22</v>
      </c>
      <c r="AF30" s="1"/>
    </row>
    <row r="31" spans="1:32" x14ac:dyDescent="0.25">
      <c r="A31" s="31">
        <v>42969.182534722226</v>
      </c>
      <c r="B31" s="30" t="s">
        <v>436</v>
      </c>
      <c r="C31" s="30" t="s">
        <v>552</v>
      </c>
      <c r="D31" s="30" t="s">
        <v>49</v>
      </c>
      <c r="E31" s="30" t="s">
        <v>181</v>
      </c>
      <c r="F31" s="42">
        <v>0</v>
      </c>
      <c r="G31" s="42">
        <v>32</v>
      </c>
      <c r="H31" s="42">
        <v>233416</v>
      </c>
      <c r="I31" s="42">
        <v>233441</v>
      </c>
      <c r="J31" s="30" t="s">
        <v>182</v>
      </c>
      <c r="K31" s="42">
        <v>233491</v>
      </c>
      <c r="L31" s="131" t="s">
        <v>50</v>
      </c>
      <c r="M31" s="132">
        <f t="shared" si="0"/>
        <v>26.4</v>
      </c>
      <c r="N31" s="133" t="str">
        <f>VLOOKUP(C31,'Trips&amp;Operators'!$C$1:$G$99911,5,FALSE)</f>
        <v>BONDS REYNALDO</v>
      </c>
      <c r="O31" s="203" t="s">
        <v>180</v>
      </c>
      <c r="P31" s="134"/>
      <c r="Q31" s="30"/>
      <c r="R31" s="81" t="str">
        <f>VLOOKUP(C31,'Train Runs'!$A$13:$AE$9916,31,0)</f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S31" s="84" t="str">
        <f>VLOOKUP(C31,'Train Runs'!$A$13:$AE$9916,22,0)</f>
        <v>https://d0f6bd738d7f1b3e5a7ca70fe4ff75f0.us-east-1.aws.found.io/app/kibana#/discover/Steve-Slow-Train-Analysis-(2080s-and-2083s)?_g=(refreshInterval:(display:Off,pause:!f,section:0,value:0),time:(from:'2017-08-22T02:40:41-0600',mode:absolute,to:'2017-08-22T05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1" s="86" t="str">
        <f t="shared" si="1"/>
        <v>"C:\Program Files (x86)\AstroGrep\AstroGrep.exe" /e /r /s /spath="%USERPROFILE%\AppData\Local\Temp\OnboardLogs" /stypes="*4058*201708221*" /stext=" 10:.+((SYSTEM_STATE.+slice.+state.+changed )|(ment ac)|(multiple cpu faults)|(system.+state.+changed )|(\[timeout)|(PRM\|1\|D)|(kpr)|(kdp)|(train st.+moving)|(\|lc)|(penalty))"</v>
      </c>
      <c r="U31" s="9" t="str">
        <f t="shared" si="2"/>
        <v>4058</v>
      </c>
      <c r="V31" s="31">
        <f t="shared" si="3"/>
        <v>42969.432534722226</v>
      </c>
      <c r="W31" s="45" t="str">
        <f t="shared" si="4"/>
        <v>EC</v>
      </c>
      <c r="X31" s="22">
        <f t="shared" si="5"/>
        <v>103</v>
      </c>
      <c r="Y31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{"issue":{"subject":"","project_id":79,"tracker_id":40,"status_id":1,"priority_id":2,"assigned_to_id":23,"start_date":"2017-08-22","description":"","custom_fields":[{"id":1,"name":"Subdivision","value":"EC"},{"id":4,"name":"Milepost","value":"23.3491"},{"id":17,"name":"Train ID","value":"103-22"},{"id":16,"name":"Locomotive ID","value":"4058"},{"id":130,"name":"Impact","value":""},{"id":150,"name":"Time of Event (Mountain Time)","value":"04:22:51"},{"id":151,"name":"Denver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/c/Users/stu/AppData/Local/Temp/OnboardLogs/RTDC4058 --include="*4058*201708221*"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"%USERPROFILE%\AppData\Local\Temp\OnboardLogs"\RTDC4058\*4058*201708221* &gt;&gt; 2017-08-22-SliceDisagreementCheck.txt</v>
      </c>
      <c r="AE31" s="145" t="str">
        <f t="shared" si="9"/>
        <v>start /low /b %USERPROFILE%\Documents\GitHub\eaglep3\Utilities\DownloadLogsFromS3.py --loco 4058 --day 2017-08-22</v>
      </c>
      <c r="AF31" s="1"/>
    </row>
    <row r="32" spans="1:32" x14ac:dyDescent="0.25">
      <c r="A32" s="31">
        <v>42969.254953703705</v>
      </c>
      <c r="B32" s="30" t="s">
        <v>436</v>
      </c>
      <c r="C32" s="30" t="s">
        <v>555</v>
      </c>
      <c r="D32" s="30" t="s">
        <v>49</v>
      </c>
      <c r="E32" s="30" t="s">
        <v>181</v>
      </c>
      <c r="F32" s="42">
        <v>0</v>
      </c>
      <c r="G32" s="42">
        <v>31</v>
      </c>
      <c r="H32" s="42">
        <v>233416</v>
      </c>
      <c r="I32" s="42">
        <v>233437</v>
      </c>
      <c r="J32" s="30" t="s">
        <v>182</v>
      </c>
      <c r="K32" s="42">
        <v>233491</v>
      </c>
      <c r="L32" s="131" t="s">
        <v>50</v>
      </c>
      <c r="M32" s="132">
        <f t="shared" si="0"/>
        <v>28.512</v>
      </c>
      <c r="N32" s="133" t="str">
        <f>VLOOKUP(C32,'Trips&amp;Operators'!$C$1:$G$99911,5,FALSE)</f>
        <v>BONDS REYNALDO</v>
      </c>
      <c r="O32" s="203" t="s">
        <v>180</v>
      </c>
      <c r="P32" s="134"/>
      <c r="Q32" s="30"/>
      <c r="R32" s="81" t="str">
        <f>VLOOKUP(C32,'Train Runs'!$A$13:$AE$9916,31,0)</f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S32" s="84" t="str">
        <f>VLOOKUP(C32,'Train Runs'!$A$13:$AE$9916,22,0)</f>
        <v>https://d0f6bd738d7f1b3e5a7ca70fe4ff75f0.us-east-1.aws.found.io/app/kibana#/discover/Steve-Slow-Train-Analysis-(2080s-and-2083s)?_g=(refreshInterval:(display:Off,pause:!f,section:0,value:0),time:(from:'2017-08-22T04:27:14-0600',mode:absolute,to:'2017-08-22T07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2" s="86" t="str">
        <f t="shared" si="1"/>
        <v>"C:\Program Files (x86)\AstroGrep\AstroGrep.exe" /e /r /s /spath="%USERPROFILE%\AppData\Local\Temp\OnboardLogs" /stypes="*4058*201708221*"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4058</v>
      </c>
      <c r="V32" s="31">
        <f t="shared" si="3"/>
        <v>42969.504953703705</v>
      </c>
      <c r="W32" s="45" t="str">
        <f t="shared" si="4"/>
        <v>EC</v>
      </c>
      <c r="X32" s="22">
        <f t="shared" si="5"/>
        <v>115</v>
      </c>
      <c r="Y32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{"issue":{"subject":"","project_id":79,"tracker_id":40,"status_id":1,"priority_id":2,"assigned_to_id":23,"start_date":"2017-08-22","description":"","custom_fields":[{"id":1,"name":"Subdivision","value":"EC"},{"id":4,"name":"Milepost","value":"23.3491"},{"id":17,"name":"Train ID","value":"115-22"},{"id":16,"name":"Locomotive ID","value":"4058"},{"id":130,"name":"Impact","value":""},{"id":150,"name":"Time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/c/Users/stu/AppData/Local/Temp/OnboardLogs/RTDC4058 --include="*4058*201708221*"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"%USERPROFILE%\AppData\Local\Temp\OnboardLogs"\RTDC4058\*4058*201708221* &gt;&gt; 2017-08-22-SliceDisagreementCheck.txt</v>
      </c>
      <c r="AE32" s="145" t="str">
        <f t="shared" si="9"/>
        <v>start /low /b %USERPROFILE%\Documents\GitHub\eaglep3\Utilities\DownloadLogsFromS3.py --loco 4058 --day 2017-08-22</v>
      </c>
      <c r="AF32" s="1"/>
    </row>
    <row r="33" spans="1:32" x14ac:dyDescent="0.25">
      <c r="A33" s="31">
        <v>42969.328101851854</v>
      </c>
      <c r="B33" s="30" t="s">
        <v>436</v>
      </c>
      <c r="C33" s="30" t="s">
        <v>561</v>
      </c>
      <c r="D33" s="30" t="s">
        <v>49</v>
      </c>
      <c r="E33" s="30" t="s">
        <v>181</v>
      </c>
      <c r="F33" s="42">
        <v>0</v>
      </c>
      <c r="G33" s="42">
        <v>49</v>
      </c>
      <c r="H33" s="42">
        <v>233329</v>
      </c>
      <c r="I33" s="42">
        <v>233378</v>
      </c>
      <c r="J33" s="30" t="s">
        <v>182</v>
      </c>
      <c r="K33" s="42">
        <v>233491</v>
      </c>
      <c r="L33" s="131" t="s">
        <v>50</v>
      </c>
      <c r="M33" s="132">
        <f t="shared" si="0"/>
        <v>59.664000000000001</v>
      </c>
      <c r="N33" s="133" t="str">
        <f>VLOOKUP(C33,'Trips&amp;Operators'!$C$1:$G$99911,5,FALSE)</f>
        <v>BONDS REYNALDO</v>
      </c>
      <c r="O33" s="203" t="s">
        <v>180</v>
      </c>
      <c r="P33" s="134"/>
      <c r="Q33" s="30"/>
      <c r="R33" s="81" t="str">
        <f>VLOOKUP(C33,'Train Runs'!$A$13:$AE$9916,31,0)</f>
        <v>aws s3 cp s3://rtdc.mdm.uploadarchive.raw/RTDC4058/ "%USERPROFILE%\AppData\Local\Temp\OnboardLogs"\RTDC4058\2017-08-22 --exclude "*" --recursive --include "*20170822*" &amp; "%USERPROFILE%\Documents\GitHub\mrs-test-scripts\Headless Mode &amp; Sideloading\WalkAndUnGZ.bat" "%USERPROFILE%\AppData\Local\Temp\OnboardLogs"\RTDC4058\2017-08-22 &amp; 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</v>
      </c>
      <c r="S33" s="84" t="str">
        <f>VLOOKUP(C33,'Train Runs'!$A$13:$AE$9916,22,0)</f>
        <v>https://d0f6bd738d7f1b3e5a7ca70fe4ff75f0.us-east-1.aws.found.io/app/kibana#/discover/Steve-Slow-Train-Analysis-(2080s-and-2083s)?_g=(refreshInterval:(display:Off,pause:!f,section:0,value:0),time:(from:'2017-08-22T06:12:02-0600',mode:absolute,to:'2017-08-22T08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3" s="86" t="str">
        <f t="shared" si="1"/>
        <v>"C:\Program Files (x86)\AstroGrep\AstroGrep.exe" /e /r /s /spath="%USERPROFILE%\AppData\Local\Temp\OnboardLogs" /stypes="*4058*201708221*"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4058</v>
      </c>
      <c r="V33" s="31">
        <f t="shared" si="3"/>
        <v>42969.578101851854</v>
      </c>
      <c r="W33" s="45" t="str">
        <f t="shared" si="4"/>
        <v>EC</v>
      </c>
      <c r="X33" s="22">
        <f t="shared" si="5"/>
        <v>129</v>
      </c>
      <c r="Y33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{"issue":{"subject":"","project_id":79,"tracker_id":40,"status_id":1,"priority_id":2,"assigned_to_id":23,"start_date":"2017-08-22","description":"","custom_fields":[{"id":1,"name":"Subdivision","value":"EC"},{"id":4,"name":"Milepost","value":"23.3491"},{"id":17,"name":"Train ID","value":"129-22"},{"id":16,"name":"Locomotive ID","value":"4058"},{"id":130,"name":"Impact","value":""},{"id":150,"name":"Time of Event (Mountain Time)","value":"07:52:28"},{"id":151,"name":"Denver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/c/Users/stu/AppData/Local/Temp/OnboardLogs/RTDC4058 --include="*4058*201708221*"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"%USERPROFILE%\AppData\Local\Temp\OnboardLogs"\RTDC4058\*4058*201708221* &gt;&gt; 2017-08-22-SliceDisagreementCheck.txt</v>
      </c>
      <c r="AE33" s="145" t="str">
        <f t="shared" si="9"/>
        <v>start /low /b %USERPROFILE%\Documents\GitHub\eaglep3\Utilities\DownloadLogsFromS3.py --loco 4058 --day 2017-08-22</v>
      </c>
      <c r="AF33" s="1"/>
    </row>
    <row r="34" spans="1:32" x14ac:dyDescent="0.25">
      <c r="A34" s="31">
        <v>42969.543298611112</v>
      </c>
      <c r="B34" s="30" t="s">
        <v>568</v>
      </c>
      <c r="C34" s="30" t="s">
        <v>574</v>
      </c>
      <c r="D34" s="30" t="s">
        <v>49</v>
      </c>
      <c r="E34" s="30" t="s">
        <v>181</v>
      </c>
      <c r="F34" s="42">
        <v>0</v>
      </c>
      <c r="G34" s="42">
        <v>49</v>
      </c>
      <c r="H34" s="42">
        <v>233338</v>
      </c>
      <c r="I34" s="42">
        <v>233376</v>
      </c>
      <c r="J34" s="30" t="s">
        <v>182</v>
      </c>
      <c r="K34" s="42">
        <v>233491</v>
      </c>
      <c r="L34" s="131" t="s">
        <v>50</v>
      </c>
      <c r="M34" s="132">
        <f t="shared" si="0"/>
        <v>60.72</v>
      </c>
      <c r="N34" s="133" t="str">
        <f>VLOOKUP(C34,'Trips&amp;Operators'!$C$1:$G$99911,5,FALSE)</f>
        <v>THOMPSON LESTER</v>
      </c>
      <c r="O34" s="203" t="s">
        <v>180</v>
      </c>
      <c r="P34" s="134"/>
      <c r="Q34" s="30"/>
      <c r="R34" s="81" t="str">
        <f>VLOOKUP(C34,'Train Runs'!$A$13:$AE$9916,31,0)</f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S34" s="84" t="str">
        <f>VLOOKUP(C34,'Train Runs'!$A$13:$AE$9916,22,0)</f>
        <v>https://d0f6bd738d7f1b3e5a7ca70fe4ff75f0.us-east-1.aws.found.io/app/kibana#/discover/Steve-Slow-Train-Analysis-(2080s-and-2083s)?_g=(refreshInterval:(display:Off,pause:!f,section:0,value:0),time:(from:'2017-08-22T11:30:00-0600',mode:absolute,to:'2017-08-22T14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4" s="86" t="str">
        <f t="shared" si="1"/>
        <v>"C:\Program Files (x86)\AstroGrep\AstroGrep.exe" /e /r /s /spath="%USERPROFILE%\AppData\Local\Temp\OnboardLogs" /stypes="*4056*201708221*"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4056</v>
      </c>
      <c r="V34" s="31">
        <f t="shared" si="3"/>
        <v>42969.793298611112</v>
      </c>
      <c r="W34" s="45" t="str">
        <f t="shared" si="4"/>
        <v>EC</v>
      </c>
      <c r="X34" s="22">
        <f t="shared" si="5"/>
        <v>169</v>
      </c>
      <c r="Y34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{"issue":{"subject":"","project_id":79,"tracker_id":40,"status_id":1,"priority_id":2,"assigned_to_id":23,"start_date":"2017-08-22","description":"","custom_fields":[{"id":1,"name":"Subdivision","value":"EC"},{"id":4,"name":"Milepost","value":"23.3491"},{"id":17,"name":"Train ID","value":"169-22"},{"id":16,"name":"Locomotive ID","value":"4056"},{"id":130,"name":"Impact","value":""},{"id":150,"name":"Time of Event (Mountain Time)","value":"13:02:21"},{"id":151,"name":"Denver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/c/Users/stu/AppData/Local/Temp/OnboardLogs/RTDC4056 --include="*4056*201708221*"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"%USERPROFILE%\AppData\Local\Temp\OnboardLogs"\RTDC4056\*4056*201708221* &gt;&gt; 2017-08-22-SliceDisagreementCheck.txt</v>
      </c>
      <c r="AE34" s="145" t="str">
        <f t="shared" si="9"/>
        <v>start /low /b %USERPROFILE%\Documents\GitHub\eaglep3\Utilities\DownloadLogsFromS3.py --loco 4056 --day 2017-08-22</v>
      </c>
      <c r="AF34" s="1"/>
    </row>
    <row r="35" spans="1:32" x14ac:dyDescent="0.25">
      <c r="A35" s="31">
        <v>42969.587673611109</v>
      </c>
      <c r="B35" s="30" t="s">
        <v>576</v>
      </c>
      <c r="C35" s="30" t="s">
        <v>577</v>
      </c>
      <c r="D35" s="30" t="s">
        <v>49</v>
      </c>
      <c r="E35" s="30" t="s">
        <v>181</v>
      </c>
      <c r="F35" s="42">
        <v>0</v>
      </c>
      <c r="G35" s="42">
        <v>35</v>
      </c>
      <c r="H35" s="42">
        <v>233414</v>
      </c>
      <c r="I35" s="42">
        <v>233428</v>
      </c>
      <c r="J35" s="30" t="s">
        <v>182</v>
      </c>
      <c r="K35" s="42">
        <v>233491</v>
      </c>
      <c r="L35" s="131" t="s">
        <v>50</v>
      </c>
      <c r="M35" s="132">
        <f t="shared" si="0"/>
        <v>33.264000000000003</v>
      </c>
      <c r="N35" s="133" t="str">
        <f>VLOOKUP(C35,'Trips&amp;Operators'!$C$1:$G$99911,5,FALSE)</f>
        <v>LEVIN SCOTT</v>
      </c>
      <c r="O35" s="203" t="s">
        <v>180</v>
      </c>
      <c r="P35" s="134"/>
      <c r="Q35" s="30"/>
      <c r="R35" s="81" t="str">
        <f>VLOOKUP(C35,'Train Runs'!$A$13:$AE$9916,31,0)</f>
        <v>aws s3 cp s3://rtdc.mdm.uploadarchive.raw/RTDC4004/ "%USERPROFILE%\AppData\Local\Temp\OnboardLogs"\RTDC4004\2017-08-22 --exclude "*" --recursive --include "*20170822*" &amp; "%USERPROFILE%\Documents\GitHub\mrs-test-scripts\Headless Mode &amp; Sideloading\WalkAndUnGZ.bat" "%USERPROFILE%\AppData\Local\Temp\OnboardLogs"\RTDC4004\2017-08-22 &amp; aws s3 cp s3://rtdc.mdm.uploadarchive.raw/RTDC4004/ "%USERPROFILE%\AppData\Local\Temp\OnboardLogs"\RTDC4004\2017-08-23 --exclude "*" --recursive --include "*20170823*" &amp; "%USERPROFILE%\Documents\GitHub\mrs-test-scripts\Headless Mode &amp; Sideloading\WalkAndUnGZ.bat" "%USERPROFILE%\AppData\Local\Temp\OnboardLogs"\RTDC4004\2017-08-23</v>
      </c>
      <c r="S35" s="84" t="str">
        <f>VLOOKUP(C35,'Train Runs'!$A$13:$AE$9916,22,0)</f>
        <v>https://d0f6bd738d7f1b3e5a7ca70fe4ff75f0.us-east-1.aws.found.io/app/kibana#/discover/Steve-Slow-Train-Analysis-(2080s-and-2083s)?_g=(refreshInterval:(display:Off,pause:!f,section:0,value:0),time:(from:'2017-08-22T12:28:04-0600',mode:absolute,to:'2017-08-22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5" s="86" t="str">
        <f t="shared" si="1"/>
        <v>"C:\Program Files (x86)\AstroGrep\AstroGrep.exe" /e /r /s /spath="%USERPROFILE%\AppData\Local\Temp\OnboardLogs" /stypes="*4004*201708222*"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4004</v>
      </c>
      <c r="V35" s="31">
        <f t="shared" si="3"/>
        <v>42969.837673611109</v>
      </c>
      <c r="W35" s="45" t="str">
        <f t="shared" si="4"/>
        <v>EC</v>
      </c>
      <c r="X35" s="22">
        <f t="shared" si="5"/>
        <v>179</v>
      </c>
      <c r="Y35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{"issue":{"subject":"","project_id":79,"tracker_id":40,"status_id":1,"priority_id":2,"assigned_to_id":23,"start_date":"2017-08-22","description":"","custom_fields":[{"id":1,"name":"Subdivision","value":"EC"},{"id":4,"name":"Milepost","value":"23.3491"},{"id":17,"name":"Train ID","value":"179-22"},{"id":16,"name":"Locomotive ID","value":"4004"},{"id":130,"name":"Impact","value":""},{"id":150,"name":"Time of Event (Mountain Time)","value":"14:06:15"},{"id":151,"name":"Denver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/c/Users/stu/AppData/Local/Temp/OnboardLogs/RTDC4004 --include="*4004*201708222*"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"%USERPROFILE%\AppData\Local\Temp\OnboardLogs"\RTDC4004\*4004*201708222* &gt;&gt; 2017-08-22-SliceDisagreementCheck.txt</v>
      </c>
      <c r="AE35" s="145" t="str">
        <f t="shared" si="9"/>
        <v>start /low /b %USERPROFILE%\Documents\GitHub\eaglep3\Utilities\DownloadLogsFromS3.py --loco 4004 --day 2017-08-22</v>
      </c>
      <c r="AF35" s="1"/>
    </row>
    <row r="36" spans="1:32" x14ac:dyDescent="0.25">
      <c r="A36" s="31">
        <v>42969.75576388889</v>
      </c>
      <c r="B36" s="30" t="s">
        <v>568</v>
      </c>
      <c r="C36" s="30" t="s">
        <v>588</v>
      </c>
      <c r="D36" s="30" t="s">
        <v>49</v>
      </c>
      <c r="E36" s="30" t="s">
        <v>181</v>
      </c>
      <c r="F36" s="42">
        <v>0</v>
      </c>
      <c r="G36" s="42">
        <v>86</v>
      </c>
      <c r="H36" s="42">
        <v>233153</v>
      </c>
      <c r="I36" s="42">
        <v>233236</v>
      </c>
      <c r="J36" s="30" t="s">
        <v>182</v>
      </c>
      <c r="K36" s="42">
        <v>233491</v>
      </c>
      <c r="L36" s="131" t="s">
        <v>50</v>
      </c>
      <c r="M36" s="132">
        <f t="shared" si="0"/>
        <v>134.63999999999999</v>
      </c>
      <c r="N36" s="133" t="str">
        <f>VLOOKUP(C36,'Trips&amp;Operators'!$C$1:$G$99911,5,FALSE)</f>
        <v>THOMPSON LESTER</v>
      </c>
      <c r="O36" s="203" t="s">
        <v>180</v>
      </c>
      <c r="P36" s="134"/>
      <c r="Q36" s="30"/>
      <c r="R36" s="81" t="str">
        <f>VLOOKUP(C36,'Train Runs'!$A$13:$AE$9916,31,0)</f>
        <v>aws s3 cp s3://rtdc.mdm.uploadarchive.raw/RTDC4056/ "%USERPROFILE%\AppData\Local\Temp\OnboardLogs"\RTDC4056\2017-08-22 --exclude "*" --recursive --include "*20170822*" &amp; "%USERPROFILE%\Documents\GitHub\mrs-test-scripts\Headless Mode &amp; Sideloading\WalkAndUnGZ.bat" "%USERPROFILE%\AppData\Local\Temp\OnboardLogs"\RTDC4056\2017-08-22 &amp; 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</v>
      </c>
      <c r="S36" s="84" t="str">
        <f>VLOOKUP(C36,'Train Runs'!$A$13:$AE$9916,22,0)</f>
        <v>https://d0f6bd738d7f1b3e5a7ca70fe4ff75f0.us-east-1.aws.found.io/app/kibana#/discover/Steve-Slow-Train-Analysis-(2080s-and-2083s)?_g=(refreshInterval:(display:Off,pause:!f,section:0,value:0),time:(from:'2017-08-22T16:26:49-0600',mode:absolute,to:'2017-08-22T19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 t="shared" si="1"/>
        <v>"C:\Program Files (x86)\AstroGrep\AstroGrep.exe" /e /r /s /spath="%USERPROFILE%\AppData\Local\Temp\OnboardLogs" /stypes="*4056*201708230*"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4056</v>
      </c>
      <c r="V36" s="31">
        <f t="shared" si="3"/>
        <v>42970.00576388889</v>
      </c>
      <c r="W36" s="45" t="str">
        <f t="shared" si="4"/>
        <v>EC</v>
      </c>
      <c r="X36" s="22">
        <f t="shared" si="5"/>
        <v>211</v>
      </c>
      <c r="Y36" s="96" t="str">
        <f t="shared" si="6"/>
        <v>echo {"issue":{"subject":"","project_id":79,"tracker_id":40,"status_id":1,"priority_id":2,"assigned_to_id":23,"start_date":"2017-08-22","description":"","custom_fields":[{"id":1,"name":"Subdivision","value":"EC"},{"id":4,"name":"Milepost","value":"23.3491"},{"id":17,"name":"Train ID","value":"211-22"},{"id":16,"name":"Locomotive ID","value":"4056"},{"id":130,"name":"Impact","value":""},{"id":150,"name":"Time of Event (Mountain Time)","value":"18:08:18"},{"id":151,"name":"Denver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/c/Users/stu/AppData/Local/Temp/OnboardLogs/RTDC4056 --include="*4056*201708230*"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"%USERPROFILE%\AppData\Local\Temp\OnboardLogs"\RTDC4056\*4056*201708230* &gt;&gt; 2017-08-22-SliceDisagreementCheck.txt</v>
      </c>
      <c r="AE36" s="145" t="str">
        <f t="shared" si="9"/>
        <v>start /low /b %USERPROFILE%\Documents\GitHub\eaglep3\Utilities\DownloadLogsFromS3.py --loco 4056 --day 2017-08-23</v>
      </c>
      <c r="AF36" s="1"/>
    </row>
    <row r="37" spans="1:32" x14ac:dyDescent="0.25">
      <c r="A37" s="31">
        <v>42969.601203703707</v>
      </c>
      <c r="B37" s="30" t="s">
        <v>579</v>
      </c>
      <c r="C37" s="30" t="s">
        <v>580</v>
      </c>
      <c r="D37" s="30" t="s">
        <v>96</v>
      </c>
      <c r="E37" s="30" t="s">
        <v>377</v>
      </c>
      <c r="F37" s="42">
        <v>200</v>
      </c>
      <c r="G37" s="42">
        <v>254</v>
      </c>
      <c r="H37" s="42">
        <v>9108</v>
      </c>
      <c r="I37" s="42">
        <v>9809</v>
      </c>
      <c r="J37" s="30" t="s">
        <v>378</v>
      </c>
      <c r="K37" s="42">
        <v>6798</v>
      </c>
      <c r="L37" s="131" t="s">
        <v>50</v>
      </c>
      <c r="M37" s="132">
        <f t="shared" si="0"/>
        <v>-1589.808</v>
      </c>
      <c r="N37" s="133" t="str">
        <f>VLOOKUP(C37,'Trips&amp;Operators'!$C$1:$G$99911,5,FALSE)</f>
        <v>BRUDER RICHARD</v>
      </c>
      <c r="O37" s="203" t="s">
        <v>180</v>
      </c>
      <c r="P37" s="134" t="s">
        <v>1000</v>
      </c>
      <c r="Q37" s="30"/>
      <c r="R37" s="81" t="str">
        <f>VLOOKUP(C37,'Train Runs'!$A$13:$AE$9916,31,0)</f>
        <v>aws s3 cp s3://rtdc.mdm.uploadarchive.raw/RTDC4030/ "%USERPROFILE%\AppData\Local\Temp\OnboardLogs"\RTDC4030\2017-08-22 --exclude "*" --recursive --include "*20170822*" &amp; "%USERPROFILE%\Documents\GitHub\mrs-test-scripts\Headless Mode &amp; Sideloading\WalkAndUnGZ.bat" "%USERPROFILE%\AppData\Local\Temp\OnboardLogs"\RTDC4030\2017-08-22 &amp; 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</v>
      </c>
      <c r="S37" s="84" t="str">
        <f>VLOOKUP(C37,'Train Runs'!$A$13:$AE$9916,22,0)</f>
        <v>https://d0f6bd738d7f1b3e5a7ca70fe4ff75f0.us-east-1.aws.found.io/app/kibana#/discover/Steve-Slow-Train-Analysis-(2080s-and-2083s)?_g=(refreshInterval:(display:Off,pause:!f,section:0,value:0),time:(from:'2017-08-22T13:16:03-0600',mode:absolute,to:'2017-08-22T15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6" t="str">
        <f t="shared" si="1"/>
        <v>"C:\Program Files (x86)\AstroGrep\AstroGrep.exe" /e /r /s /spath="%USERPROFILE%\AppData\Local\Temp\OnboardLogs" /stypes="*4030*201708222*" /stext=" 20:.+((SYSTEM_STATE.+slice.+state.+changed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42969.851203703707</v>
      </c>
      <c r="W37" s="45" t="str">
        <f t="shared" si="4"/>
        <v>NW</v>
      </c>
      <c r="X37" s="22">
        <f t="shared" si="5"/>
        <v>823</v>
      </c>
      <c r="Y37" s="96" t="str">
        <f t="shared" si="6"/>
        <v>echo {"issue":{"subject":"Overspeed","project_id":79,"tracker_id":40,"status_id":1,"priority_id":2,"assigned_to_id":23,"start_date":"2017-08-22","description":"","custom_fields":[{"id":1,"name":"Subdivision","value":"NW"},{"id":4,"name":"Milepost","value":"0.6798"},{"id":17,"name":"Train ID","value":"823-22"},{"id":16,"name":"Locomotive ID","value":"4030"},{"id":130,"name":"Impact","value":""},{"id":150,"name":"Time of Event (Mountain Time)","value":"14:25:44"},{"id":151,"name":"Denver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/c/Users/stu/AppData/Local/Temp/OnboardLogs/RTDC4030 --include="*4030*201708222*"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"%USERPROFILE%\AppData\Local\Temp\OnboardLogs"\RTDC4030\*4030*201708222* &gt;&gt; 2017-08-22-SliceDisagreementCheck.txt</v>
      </c>
      <c r="AE37" s="145" t="str">
        <f t="shared" si="9"/>
        <v>start /low /b %USERPROFILE%\Documents\GitHub\eaglep3\Utilities\DownloadLogsFromS3.py --loco 4030 --day 2017-08-22</v>
      </c>
      <c r="AF37" s="1"/>
    </row>
    <row r="38" spans="1:32" x14ac:dyDescent="0.25">
      <c r="A38" s="31">
        <v>42969.332083333335</v>
      </c>
      <c r="B38" s="30" t="s">
        <v>553</v>
      </c>
      <c r="C38" s="30" t="s">
        <v>562</v>
      </c>
      <c r="D38" s="30" t="s">
        <v>49</v>
      </c>
      <c r="E38" s="30" t="s">
        <v>377</v>
      </c>
      <c r="F38" s="42">
        <v>0</v>
      </c>
      <c r="G38" s="42">
        <v>454</v>
      </c>
      <c r="H38" s="42">
        <v>33860</v>
      </c>
      <c r="I38" s="42">
        <v>35095</v>
      </c>
      <c r="J38" s="30" t="s">
        <v>378</v>
      </c>
      <c r="K38" s="42">
        <v>34583</v>
      </c>
      <c r="L38" s="131" t="s">
        <v>50</v>
      </c>
      <c r="M38" s="132">
        <f t="shared" si="0"/>
        <v>-270.33600000000001</v>
      </c>
      <c r="N38" s="133" t="str">
        <f>VLOOKUP(C38,'Trips&amp;Operators'!$C$1:$G$99911,5,FALSE)</f>
        <v>HELVIE ADAM</v>
      </c>
      <c r="O38" s="203" t="s">
        <v>380</v>
      </c>
      <c r="P38" s="134" t="s">
        <v>996</v>
      </c>
      <c r="Q38" s="30"/>
      <c r="R38" s="81" t="str">
        <f>VLOOKUP(C38,'Train Runs'!$A$13:$AE$9916,31,0)</f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S38" s="84" t="str">
        <f>VLOOKUP(C38,'Train Runs'!$A$13:$AE$9916,22,0)</f>
        <v>https://d0f6bd738d7f1b3e5a7ca70fe4ff75f0.us-east-1.aws.found.io/app/kibana#/discover/Steve-Slow-Train-Analysis-(2080s-and-2083s)?_g=(refreshInterval:(display:Off,pause:!f,section:0,value:0),time:(from:'2017-08-22T06:45:31-0600',mode:absolute,to:'2017-08-22T09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8" s="86" t="str">
        <f t="shared" si="1"/>
        <v>"C:\Program Files (x86)\AstroGrep\AstroGrep.exe" /e /r /s /spath="%USERPROFILE%\AppData\Local\Temp\OnboardLogs" /stypes="*4026*201708221*"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4026</v>
      </c>
      <c r="V38" s="31">
        <f t="shared" si="3"/>
        <v>42969.582083333335</v>
      </c>
      <c r="W38" s="45" t="str">
        <f t="shared" si="4"/>
        <v>NW</v>
      </c>
      <c r="X38" s="22">
        <f t="shared" si="5"/>
        <v>809</v>
      </c>
      <c r="Y38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drop","project_id":79,"tracker_id":40,"status_id":1,"priority_id":2,"assigned_to_id":23,"start_date":"2017-08-22","description":"","custom_fields":[{"id":1,"name":"Subdivision","value":"NW"},{"id":4,"name":"Milepost","value":"3.4583"},{"id":17,"name":"Train ID","value":"809-22"},{"id":16,"name":"Locomotive ID","value":"4026"},{"id":130,"name":"Impact","value":""},{"id":150,"name":"Time of Event (Mountain Time)","value":"07:58:12"},{"id":151,"name":"Denver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/c/Users/stu/AppData/Local/Temp/OnboardLogs/RTDC4026 --include="*4026*201708221*"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"%USERPROFILE%\AppData\Local\Temp\OnboardLogs"\RTDC4026\*4026*201708221* &gt;&gt; 2017-08-22-SliceDisagreementCheck.txt</v>
      </c>
      <c r="AE38" s="145" t="str">
        <f t="shared" si="9"/>
        <v>start /low /b %USERPROFILE%\Documents\GitHub\eaglep3\Utilities\DownloadLogsFromS3.py --loco 4026 --day 2017-08-22</v>
      </c>
      <c r="AF38" s="1"/>
    </row>
    <row r="39" spans="1:32" x14ac:dyDescent="0.25">
      <c r="A39" s="31">
        <v>42969.346064814818</v>
      </c>
      <c r="B39" s="30" t="s">
        <v>564</v>
      </c>
      <c r="C39" s="30" t="s">
        <v>565</v>
      </c>
      <c r="D39" s="30" t="s">
        <v>49</v>
      </c>
      <c r="E39" s="30" t="s">
        <v>390</v>
      </c>
      <c r="F39" s="42">
        <v>0</v>
      </c>
      <c r="G39" s="42">
        <v>401</v>
      </c>
      <c r="H39" s="42">
        <v>25539</v>
      </c>
      <c r="I39" s="42">
        <v>24551</v>
      </c>
      <c r="J39" s="30" t="s">
        <v>391</v>
      </c>
      <c r="K39" s="42">
        <v>24235</v>
      </c>
      <c r="L39" s="131" t="s">
        <v>51</v>
      </c>
      <c r="M39" s="132">
        <f t="shared" si="0"/>
        <v>166.84800000000001</v>
      </c>
      <c r="N39" s="133" t="str">
        <f>VLOOKUP(C39,'Trips&amp;Operators'!$C$1:$G$99911,5,FALSE)</f>
        <v>HELVIE ADAM</v>
      </c>
      <c r="O39" s="203" t="s">
        <v>380</v>
      </c>
      <c r="P39" s="134" t="s">
        <v>996</v>
      </c>
      <c r="Q39" s="30"/>
      <c r="R39" s="81" t="str">
        <f>VLOOKUP(C39,'Train Runs'!$A$13:$AE$9916,31,0)</f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S39" s="84" t="str">
        <f>VLOOKUP(C39,'Train Runs'!$A$13:$AE$9916,22,0)</f>
        <v>https://d0f6bd738d7f1b3e5a7ca70fe4ff75f0.us-east-1.aws.found.io/app/kibana#/discover/Steve-Slow-Train-Analysis-(2080s-and-2083s)?_g=(refreshInterval:(display:Off,pause:!f,section:0,value:0),time:(from:'2017-08-22T07:07:11-0600',mode:absolute,to:'2017-08-22T09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9" s="86" t="str">
        <f t="shared" si="1"/>
        <v>"C:\Program Files (x86)\AstroGrep\AstroGrep.exe" /e /r /s /spath="%USERPROFILE%\AppData\Local\Temp\OnboardLogs" /stypes="*4025*201708221*" /stext=" 14:.+((SYSTEM_STATE.+slice.+state.+changed )|(ment ac)|(multiple cpu faults)|(system.+state.+changed )|(\[timeout)|(PRM\|1\|D)|(kpr)|(kdp)|(train st.+moving)|(\|lc)|(penalty))"</v>
      </c>
      <c r="U39" s="9" t="str">
        <f t="shared" si="2"/>
        <v>4025</v>
      </c>
      <c r="V39" s="31">
        <f t="shared" si="3"/>
        <v>42969.596064814818</v>
      </c>
      <c r="W39" s="45" t="str">
        <f t="shared" si="4"/>
        <v>NW</v>
      </c>
      <c r="X39" s="22">
        <f t="shared" si="5"/>
        <v>810</v>
      </c>
      <c r="Y39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drop","project_id":79,"tracker_id":40,"status_id":1,"priority_id":2,"assigned_to_id":23,"start_date":"2017-08-22","description":"","custom_fields":[{"id":1,"name":"Subdivision","value":"NW"},{"id":4,"name":"Milepost","value":"2.4235"},{"id":17,"name":"Train ID","value":"810-22"},{"id":16,"name":"Locomotive ID","value":"4025"},{"id":130,"name":"Impact","value":""},{"id":150,"name":"Time of Event (Mountain Time)","value":"08:18:20"},{"id":151,"name":"Denver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/c/Users/stu/AppData/Local/Temp/OnboardLogs/RTDC4025 --include="*4025*201708221*"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"%USERPROFILE%\AppData\Local\Temp\OnboardLogs"\RTDC4025\*4025*201708221* &gt;&gt; 2017-08-22-SliceDisagreementCheck.txt</v>
      </c>
      <c r="AE39" s="145" t="str">
        <f t="shared" si="9"/>
        <v>start /low /b %USERPROFILE%\Documents\GitHub\eaglep3\Utilities\DownloadLogsFromS3.py --loco 4025 --day 2017-08-22</v>
      </c>
      <c r="AF39" s="1"/>
    </row>
    <row r="40" spans="1:32" x14ac:dyDescent="0.25">
      <c r="A40" s="31">
        <v>42969.763136574074</v>
      </c>
      <c r="B40" s="30" t="s">
        <v>564</v>
      </c>
      <c r="C40" s="30" t="s">
        <v>589</v>
      </c>
      <c r="D40" s="30" t="s">
        <v>49</v>
      </c>
      <c r="E40" s="30" t="s">
        <v>390</v>
      </c>
      <c r="F40" s="42">
        <v>0</v>
      </c>
      <c r="G40" s="42">
        <v>306</v>
      </c>
      <c r="H40" s="42">
        <v>24368</v>
      </c>
      <c r="I40" s="42">
        <v>23677</v>
      </c>
      <c r="J40" s="30" t="s">
        <v>391</v>
      </c>
      <c r="K40" s="42">
        <v>24235</v>
      </c>
      <c r="L40" s="131" t="s">
        <v>51</v>
      </c>
      <c r="M40" s="132">
        <f t="shared" si="0"/>
        <v>-294.62400000000002</v>
      </c>
      <c r="N40" s="133" t="str">
        <f>VLOOKUP(C40,'Trips&amp;Operators'!$C$1:$G$99911,5,FALSE)</f>
        <v>BARRON PERLA</v>
      </c>
      <c r="O40" s="203" t="s">
        <v>380</v>
      </c>
      <c r="P40" s="134" t="s">
        <v>996</v>
      </c>
      <c r="Q40" s="30"/>
      <c r="R40" s="81" t="str">
        <f>VLOOKUP(C40,'Train Runs'!$A$13:$AE$9916,31,0)</f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S40" s="84" t="str">
        <f>VLOOKUP(C40,'Train Runs'!$A$13:$AE$9916,22,0)</f>
        <v>https://d0f6bd738d7f1b3e5a7ca70fe4ff75f0.us-east-1.aws.found.io/app/kibana#/discover/Steve-Slow-Train-Analysis-(2080s-and-2083s)?_g=(refreshInterval:(display:Off,pause:!f,section:0,value:0),time:(from:'2017-08-22T17:20:22-0600',mode:absolute,to:'2017-08-22T19:30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0" s="86" t="str">
        <f t="shared" si="1"/>
        <v>"C:\Program Files (x86)\AstroGrep\AstroGrep.exe" /e /r /s /spath="%USERPROFILE%\AppData\Local\Temp\OnboardLogs" /stypes="*4025*201708230*" /stext=" 00:.+((SYSTEM_STATE.+slice.+state.+changed )|(ment ac)|(multiple cpu faults)|(system.+state.+changed )|(\[timeout)|(PRM\|1\|D)|(kpr)|(kdp)|(train st.+moving)|(\|lc)|(penalty))"</v>
      </c>
      <c r="U40" s="9" t="str">
        <f t="shared" si="2"/>
        <v>4025</v>
      </c>
      <c r="V40" s="31">
        <f t="shared" si="3"/>
        <v>42970.013136574074</v>
      </c>
      <c r="W40" s="45" t="str">
        <f t="shared" si="4"/>
        <v>NW</v>
      </c>
      <c r="X40" s="22">
        <f t="shared" si="5"/>
        <v>836</v>
      </c>
      <c r="Y40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drop","project_id":79,"tracker_id":40,"status_id":1,"priority_id":2,"assigned_to_id":23,"start_date":"2017-08-22","description":"","custom_fields":[{"id":1,"name":"Subdivision","value":"NW"},{"id":4,"name":"Milepost","value":"2.4235"},{"id":17,"name":"Train ID","value":"836-22"},{"id":16,"name":"Locomotive ID","value":"4025"},{"id":130,"name":"Impact","value":""},{"id":150,"name":"Time of Event (Mountain Time)","value":"18:18:55"},{"id":151,"name":"Denver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/c/Users/stu/AppData/Local/Temp/OnboardLogs/RTDC4025 --include="*4025*201708230*"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"%USERPROFILE%\AppData\Local\Temp\OnboardLogs"\RTDC4025\*4025*201708230* &gt;&gt; 2017-08-22-SliceDisagreementCheck.txt</v>
      </c>
      <c r="AE40" s="145" t="str">
        <f t="shared" si="9"/>
        <v>start /low /b %USERPROFILE%\Documents\GitHub\eaglep3\Utilities\DownloadLogsFromS3.py --loco 4025 --day 2017-08-23</v>
      </c>
      <c r="AF40" s="1"/>
    </row>
    <row r="41" spans="1:32" x14ac:dyDescent="0.25">
      <c r="A41" s="31">
        <v>42969.249537037038</v>
      </c>
      <c r="B41" s="30" t="s">
        <v>553</v>
      </c>
      <c r="C41" s="30" t="s">
        <v>554</v>
      </c>
      <c r="D41" s="30" t="s">
        <v>49</v>
      </c>
      <c r="E41" s="30" t="s">
        <v>390</v>
      </c>
      <c r="F41" s="42">
        <v>0</v>
      </c>
      <c r="G41" s="42">
        <v>304</v>
      </c>
      <c r="H41" s="42">
        <v>38259</v>
      </c>
      <c r="I41" s="42">
        <v>39010</v>
      </c>
      <c r="J41" s="30" t="s">
        <v>391</v>
      </c>
      <c r="K41" s="42">
        <v>39609</v>
      </c>
      <c r="L41" s="131" t="s">
        <v>50</v>
      </c>
      <c r="M41" s="132">
        <f t="shared" si="0"/>
        <v>316.27199999999999</v>
      </c>
      <c r="N41" s="133" t="str">
        <f>VLOOKUP(C41,'Trips&amp;Operators'!$C$1:$G$99911,5,FALSE)</f>
        <v>HELVIE ADAM</v>
      </c>
      <c r="O41" s="203" t="s">
        <v>380</v>
      </c>
      <c r="P41" s="134" t="s">
        <v>996</v>
      </c>
      <c r="Q41" s="30"/>
      <c r="R41" s="81" t="str">
        <f>VLOOKUP(C41,'Train Runs'!$A$13:$AE$9916,31,0)</f>
        <v>aws s3 cp s3://rtdc.mdm.uploadarchive.raw/RTDC4026/ "%USERPROFILE%\AppData\Local\Temp\OnboardLogs"\RTDC4026\2017-08-22 --exclude "*" --recursive --include "*20170822*" &amp; "%USERPROFILE%\Documents\GitHub\mrs-test-scripts\Headless Mode &amp; Sideloading\WalkAndUnGZ.bat" "%USERPROFILE%\AppData\Local\Temp\OnboardLogs"\RTDC4026\2017-08-22 &amp; aws s3 cp s3://rtdc.mdm.uploadarchive.raw/RTDC4026/ "%USERPROFILE%\AppData\Local\Temp\OnboardLogs"\RTDC4026\2017-08-23 --exclude "*" --recursive --include "*20170823*" &amp; "%USERPROFILE%\Documents\GitHub\mrs-test-scripts\Headless Mode &amp; Sideloading\WalkAndUnGZ.bat" "%USERPROFILE%\AppData\Local\Temp\OnboardLogs"\RTDC4026\2017-08-23</v>
      </c>
      <c r="S41" s="84" t="str">
        <f>VLOOKUP(C41,'Train Runs'!$A$13:$AE$9916,22,0)</f>
        <v>https://d0f6bd738d7f1b3e5a7ca70fe4ff75f0.us-east-1.aws.found.io/app/kibana#/discover/Steve-Slow-Train-Analysis-(2080s-and-2083s)?_g=(refreshInterval:(display:Off,pause:!f,section:0,value:0),time:(from:'2017-08-22T04:46:17-0600',mode:absolute,to:'2017-08-22T07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86" t="str">
        <f t="shared" si="1"/>
        <v>"C:\Program Files (x86)\AstroGrep\AstroGrep.exe" /e /r /s /spath="%USERPROFILE%\AppData\Local\Temp\OnboardLogs" /stypes="*4026*201708221*" /stext=" 11:.+((SYSTEM_STATE.+slice.+state.+changed )|(ment ac)|(multiple cpu faults)|(system.+state.+changed )|(\[timeout)|(PRM\|1\|D)|(kpr)|(kdp)|(train st.+moving)|(\|lc)|(penalty))"</v>
      </c>
      <c r="U41" s="9" t="str">
        <f t="shared" si="2"/>
        <v>4026</v>
      </c>
      <c r="V41" s="31">
        <f t="shared" si="3"/>
        <v>42969.499537037038</v>
      </c>
      <c r="W41" s="45" t="str">
        <f t="shared" si="4"/>
        <v>NW</v>
      </c>
      <c r="X41" s="22">
        <f t="shared" si="5"/>
        <v>801</v>
      </c>
      <c r="Y41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drop","project_id":79,"tracker_id":40,"status_id":1,"priority_id":2,"assigned_to_id":23,"start_date":"2017-08-22","description":"","custom_fields":[{"id":1,"name":"Subdivision","value":"NW"},{"id":4,"name":"Milepost","value":"3.9609"},{"id":17,"name":"Train ID","value":"801-22"},{"id":16,"name":"Locomotive ID","value":"4026"},{"id":130,"name":"Impact","value":""},{"id":150,"name":"Time of Event (Mountain Time)","value":"05:59:20"},{"id":151,"name":"Denver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/c/Users/stu/AppData/Local/Temp/OnboardLogs/RTDC4026 --include="*4026*201708221*"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"%USERPROFILE%\AppData\Local\Temp\OnboardLogs"\RTDC4026\*4026*201708221* &gt;&gt; 2017-08-22-SliceDisagreementCheck.txt</v>
      </c>
      <c r="AE41" s="145" t="str">
        <f t="shared" si="9"/>
        <v>start /low /b %USERPROFILE%\Documents\GitHub\eaglep3\Utilities\DownloadLogsFromS3.py --loco 4026 --day 2017-08-22</v>
      </c>
      <c r="AF41" s="1"/>
    </row>
    <row r="42" spans="1:32" x14ac:dyDescent="0.25">
      <c r="A42" s="31">
        <v>42969.677997685183</v>
      </c>
      <c r="B42" s="30" t="s">
        <v>564</v>
      </c>
      <c r="C42" s="30" t="s">
        <v>585</v>
      </c>
      <c r="D42" s="30" t="s">
        <v>49</v>
      </c>
      <c r="E42" s="30" t="s">
        <v>390</v>
      </c>
      <c r="F42" s="42">
        <v>0</v>
      </c>
      <c r="G42" s="42">
        <v>286</v>
      </c>
      <c r="H42" s="42">
        <v>42479</v>
      </c>
      <c r="I42" s="42">
        <v>41934</v>
      </c>
      <c r="J42" s="30" t="s">
        <v>391</v>
      </c>
      <c r="K42" s="42">
        <v>41769</v>
      </c>
      <c r="L42" s="131" t="s">
        <v>51</v>
      </c>
      <c r="M42" s="132">
        <f t="shared" si="0"/>
        <v>87.12</v>
      </c>
      <c r="N42" s="133" t="str">
        <f>VLOOKUP(C42,'Trips&amp;Operators'!$C$1:$G$99911,5,FALSE)</f>
        <v>BARRON PERLA</v>
      </c>
      <c r="O42" s="203" t="s">
        <v>380</v>
      </c>
      <c r="P42" s="134" t="s">
        <v>996</v>
      </c>
      <c r="Q42" s="30"/>
      <c r="R42" s="81" t="str">
        <f>VLOOKUP(C42,'Train Runs'!$A$13:$AE$9916,31,0)</f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S42" s="84" t="str">
        <f>VLOOKUP(C42,'Train Runs'!$A$13:$AE$9916,22,0)</f>
        <v>https://d0f6bd738d7f1b3e5a7ca70fe4ff75f0.us-east-1.aws.found.io/app/kibana#/discover/Steve-Slow-Train-Analysis-(2080s-and-2083s)?_g=(refreshInterval:(display:Off,pause:!f,section:0,value:0),time:(from:'2017-08-22T15:09:35-0600',mode:absolute,to:'2017-08-22T17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2" s="86" t="str">
        <f t="shared" si="1"/>
        <v>"C:\Program Files (x86)\AstroGrep\AstroGrep.exe" /e /r /s /spath="%USERPROFILE%\AppData\Local\Temp\OnboardLogs" /stypes="*4025*201708222*" /stext=" 22:.+((SYSTEM_STATE.+slice.+state.+changed )|(ment ac)|(multiple cpu faults)|(system.+state.+changed )|(\[timeout)|(PRM\|1\|D)|(kpr)|(kdp)|(train st.+moving)|(\|lc)|(penalty))"</v>
      </c>
      <c r="U42" s="9" t="str">
        <f t="shared" si="2"/>
        <v>4025</v>
      </c>
      <c r="V42" s="31">
        <f t="shared" si="3"/>
        <v>42969.927997685183</v>
      </c>
      <c r="W42" s="45" t="str">
        <f t="shared" si="4"/>
        <v>NW</v>
      </c>
      <c r="X42" s="22">
        <f t="shared" si="5"/>
        <v>828</v>
      </c>
      <c r="Y42" s="96" t="str">
        <f t="shared" si="6"/>
        <v>echo {"issue":{"subject":"Wi-MAX data drop","project_id":79,"tracker_id":40,"status_id":1,"priority_id":2,"assigned_to_id":23,"start_date":"2017-08-22","description":"","custom_fields":[{"id":1,"name":"Subdivision","value":"NW"},{"id":4,"name":"Milepost","value":"4.1769"},{"id":17,"name":"Train ID","value":"828-22"},{"id":16,"name":"Locomotive ID","value":"4025"},{"id":130,"name":"Impact","value":""},{"id":150,"name":"Time of Event (Mountain Time)","value":"16:16:19"},{"id":151,"name":"Denver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/c/Users/stu/AppData/Local/Temp/OnboardLogs/RTDC4025 --include="*4025*201708222*"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"%USERPROFILE%\AppData\Local\Temp\OnboardLogs"\RTDC4025\*4025*201708222* &gt;&gt; 2017-08-22-SliceDisagreementCheck.txt</v>
      </c>
      <c r="AE42" s="145" t="str">
        <f t="shared" si="9"/>
        <v>start /low /b %USERPROFILE%\Documents\GitHub\eaglep3\Utilities\DownloadLogsFromS3.py --loco 4025 --day 2017-08-22</v>
      </c>
      <c r="AF42" s="1"/>
    </row>
    <row r="43" spans="1:32" x14ac:dyDescent="0.25">
      <c r="A43" s="31">
        <v>42969.68546296296</v>
      </c>
      <c r="B43" s="30" t="s">
        <v>564</v>
      </c>
      <c r="C43" s="30" t="s">
        <v>585</v>
      </c>
      <c r="D43" s="30" t="s">
        <v>49</v>
      </c>
      <c r="E43" s="30" t="s">
        <v>181</v>
      </c>
      <c r="F43" s="42">
        <v>0</v>
      </c>
      <c r="G43" s="42">
        <v>30</v>
      </c>
      <c r="H43" s="42">
        <v>670</v>
      </c>
      <c r="I43" s="42">
        <v>647</v>
      </c>
      <c r="J43" s="30" t="s">
        <v>182</v>
      </c>
      <c r="K43" s="42">
        <v>575</v>
      </c>
      <c r="L43" s="131" t="s">
        <v>51</v>
      </c>
      <c r="M43" s="132">
        <f t="shared" si="0"/>
        <v>38.015999999999998</v>
      </c>
      <c r="N43" s="133" t="str">
        <f>VLOOKUP(C43,'Trips&amp;Operators'!$C$1:$G$99911,5,FALSE)</f>
        <v>BARRON PERLA</v>
      </c>
      <c r="O43" s="203" t="s">
        <v>180</v>
      </c>
      <c r="P43" s="134"/>
      <c r="Q43" s="30"/>
      <c r="R43" s="81" t="str">
        <f>VLOOKUP(C43,'Train Runs'!$A$13:$AE$9916,31,0)</f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S43" s="84" t="str">
        <f>VLOOKUP(C43,'Train Runs'!$A$13:$AE$9916,22,0)</f>
        <v>https://d0f6bd738d7f1b3e5a7ca70fe4ff75f0.us-east-1.aws.found.io/app/kibana#/discover/Steve-Slow-Train-Analysis-(2080s-and-2083s)?_g=(refreshInterval:(display:Off,pause:!f,section:0,value:0),time:(from:'2017-08-22T15:09:35-0600',mode:absolute,to:'2017-08-22T17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86" t="str">
        <f t="shared" si="1"/>
        <v>"C:\Program Files (x86)\AstroGrep\AstroGrep.exe" /e /r /s /spath="%USERPROFILE%\AppData\Local\Temp\OnboardLogs" /stypes="*4025*201708222*" /stext=" 22:.+((SYSTEM_STATE.+slice.+state.+changed )|(ment ac)|(multiple cpu faults)|(system.+state.+changed )|(\[timeout)|(PRM\|1\|D)|(kpr)|(kdp)|(train st.+moving)|(\|lc)|(penalty))"</v>
      </c>
      <c r="U43" s="9" t="str">
        <f t="shared" si="2"/>
        <v>4025</v>
      </c>
      <c r="V43" s="31">
        <f t="shared" si="3"/>
        <v>42969.93546296296</v>
      </c>
      <c r="W43" s="45" t="str">
        <f t="shared" si="4"/>
        <v>NW</v>
      </c>
      <c r="X43" s="22">
        <f t="shared" si="5"/>
        <v>828</v>
      </c>
      <c r="Y43" s="96" t="str">
        <f t="shared" si="6"/>
        <v>echo {"issue":{"subject":"","project_id":79,"tracker_id":40,"status_id":1,"priority_id":2,"assigned_to_id":23,"start_date":"2017-08-22","description":"","custom_fields":[{"id":1,"name":"Subdivision","value":"NW"},{"id":4,"name":"Milepost","value":"0.0575"},{"id":17,"name":"Train ID","value":"828-22"},{"id":16,"name":"Locomotive ID","value":"4025"},{"id":130,"name":"Impact","value":""},{"id":150,"name":"Time of Event (Mountain Time)","value":"16:27:04"},{"id":151,"name":"Denver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/c/Users/stu/AppData/Local/Temp/OnboardLogs/RTDC4025 --include="*4025*201708222*"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"%USERPROFILE%\AppData\Local\Temp\OnboardLogs"\RTDC4025\*4025*201708222* &gt;&gt; 2017-08-22-SliceDisagreementCheck.txt</v>
      </c>
      <c r="AE43" s="145" t="str">
        <f t="shared" si="9"/>
        <v>start /low /b %USERPROFILE%\Documents\GitHub\eaglep3\Utilities\DownloadLogsFromS3.py --loco 4025 --day 2017-08-22</v>
      </c>
      <c r="AF43" s="1"/>
    </row>
    <row r="44" spans="1:32" x14ac:dyDescent="0.25">
      <c r="A44" s="31">
        <v>42969.117534722223</v>
      </c>
      <c r="B44" s="30" t="s">
        <v>392</v>
      </c>
      <c r="C44" s="30" t="s">
        <v>498</v>
      </c>
      <c r="D44" s="30" t="s">
        <v>49</v>
      </c>
      <c r="E44" s="30" t="s">
        <v>377</v>
      </c>
      <c r="F44" s="42">
        <v>0</v>
      </c>
      <c r="G44" s="42">
        <v>168</v>
      </c>
      <c r="H44" s="42">
        <v>19622</v>
      </c>
      <c r="I44" s="42">
        <v>19344</v>
      </c>
      <c r="J44" s="30" t="s">
        <v>378</v>
      </c>
      <c r="K44" s="42">
        <v>19000</v>
      </c>
      <c r="L44" s="131" t="s">
        <v>51</v>
      </c>
      <c r="M44" s="132">
        <f t="shared" si="0"/>
        <v>181.63200000000001</v>
      </c>
      <c r="N44" s="133" t="str">
        <f>VLOOKUP(C44,'Trips&amp;Operators'!$C$1:$G$99911,5,FALSE)</f>
        <v>STARKS ANGELINA</v>
      </c>
      <c r="O44" s="203" t="s">
        <v>180</v>
      </c>
      <c r="P44" s="134"/>
      <c r="Q44" s="30"/>
      <c r="R44" s="81" t="str">
        <f>VLOOKUP(C44,'Train Runs'!$A$13:$AE$9916,31,0)</f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S44" s="84" t="str">
        <f>VLOOKUP(C44,'Train Runs'!$A$13:$AE$9916,22,0)</f>
        <v>https://d0f6bd738d7f1b3e5a7ca70fe4ff75f0.us-east-1.aws.found.io/app/kibana#/discover/Steve-Slow-Train-Analysis-(2080s-and-2083s)?_g=(refreshInterval:(display:Off,pause:!f,section:0,value:0),time:(from:'2017-08-22T01:42:54-0600',mode:absolute,to:'2017-08-22T03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4" s="86" t="str">
        <f t="shared" si="1"/>
        <v>"C:\Program Files (x86)\AstroGrep\AstroGrep.exe" /e /r /s /spath="%USERPROFILE%\AppData\Local\Temp\OnboardLogs" /stypes="*4011*201708220*" /stext=" 08:.+((SYSTEM_STATE.+slice.+state.+changed )|(ment ac)|(multiple cpu faults)|(system.+state.+changed )|(\[timeout)|(PRM\|1\|D)|(kpr)|(kdp)|(train st.+moving)|(\|lc)|(penalty))"</v>
      </c>
      <c r="U44" s="9" t="str">
        <f t="shared" si="2"/>
        <v>4011</v>
      </c>
      <c r="V44" s="31">
        <f t="shared" si="3"/>
        <v>42969.367534722223</v>
      </c>
      <c r="W44" s="45" t="str">
        <f t="shared" si="4"/>
        <v>Other</v>
      </c>
      <c r="X44" s="22">
        <f t="shared" si="5"/>
        <v>300</v>
      </c>
      <c r="Y44" s="96" t="str">
        <f t="shared" si="6"/>
        <v>echo {"issue":{"subject":"","project_id":79,"tracker_id":40,"status_id":1,"priority_id":2,"assigned_to_id":23,"start_date":"2017-08-22","description":"","custom_fields":[{"id":1,"name":"Subdivision","value":"Other"},{"id":4,"name":"Milepost","value":"1.9"},{"id":17,"name":"Train ID","value":"300-22"},{"id":16,"name":"Locomotive ID","value":"4011"},{"id":130,"name":"Impact","value":""},{"id":150,"name":"Time of Event (Mountain Time)","value":"02:49:15"},{"id":151,"name":"Denver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/c/Users/stu/AppData/Local/Temp/OnboardLogs/RTDC4011 --include="*4011*201708220*"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"%USERPROFILE%\AppData\Local\Temp\OnboardLogs"\RTDC4011\*4011*201708220* &gt;&gt; 2017-08-22-SliceDisagreementCheck.txt</v>
      </c>
      <c r="AE44" s="145" t="str">
        <f t="shared" si="9"/>
        <v>start /low /b %USERPROFILE%\Documents\GitHub\eaglep3\Utilities\DownloadLogsFromS3.py --loco 4011 --day 2017-08-22</v>
      </c>
      <c r="AF44" s="1"/>
    </row>
    <row r="45" spans="1:32" x14ac:dyDescent="0.25">
      <c r="A45" s="31">
        <v>42969.11822916667</v>
      </c>
      <c r="B45" s="30" t="s">
        <v>392</v>
      </c>
      <c r="C45" s="30" t="s">
        <v>498</v>
      </c>
      <c r="D45" s="30" t="s">
        <v>49</v>
      </c>
      <c r="E45" s="30" t="s">
        <v>377</v>
      </c>
      <c r="F45" s="42">
        <v>0</v>
      </c>
      <c r="G45" s="42">
        <v>168</v>
      </c>
      <c r="H45" s="42">
        <v>19622</v>
      </c>
      <c r="I45" s="42">
        <v>18282</v>
      </c>
      <c r="J45" s="30" t="s">
        <v>378</v>
      </c>
      <c r="K45" s="42">
        <v>19000</v>
      </c>
      <c r="L45" s="131" t="s">
        <v>51</v>
      </c>
      <c r="M45" s="132">
        <f t="shared" si="0"/>
        <v>-379.10399999999998</v>
      </c>
      <c r="N45" s="133" t="str">
        <f>VLOOKUP(C45,'Trips&amp;Operators'!$C$1:$G$99911,5,FALSE)</f>
        <v>STARKS ANGELINA</v>
      </c>
      <c r="O45" s="203" t="s">
        <v>180</v>
      </c>
      <c r="P45" s="134"/>
      <c r="Q45" s="30"/>
      <c r="R45" s="81" t="str">
        <f>VLOOKUP(C45,'Train Runs'!$A$13:$AE$9916,31,0)</f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S45" s="84" t="str">
        <f>VLOOKUP(C45,'Train Runs'!$A$13:$AE$9916,22,0)</f>
        <v>https://d0f6bd738d7f1b3e5a7ca70fe4ff75f0.us-east-1.aws.found.io/app/kibana#/discover/Steve-Slow-Train-Analysis-(2080s-and-2083s)?_g=(refreshInterval:(display:Off,pause:!f,section:0,value:0),time:(from:'2017-08-22T01:42:54-0600',mode:absolute,to:'2017-08-22T03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5" s="86" t="str">
        <f t="shared" si="1"/>
        <v>"C:\Program Files (x86)\AstroGrep\AstroGrep.exe" /e /r /s /spath="%USERPROFILE%\AppData\Local\Temp\OnboardLogs" /stypes="*4011*201708220*" /stext=" 08:.+((SYSTEM_STATE.+slice.+state.+changed )|(ment ac)|(multiple cpu faults)|(system.+state.+changed )|(\[timeout)|(PRM\|1\|D)|(kpr)|(kdp)|(train st.+moving)|(\|lc)|(penalty))"</v>
      </c>
      <c r="U45" s="9" t="str">
        <f t="shared" si="2"/>
        <v>4011</v>
      </c>
      <c r="V45" s="31">
        <f t="shared" si="3"/>
        <v>42969.36822916667</v>
      </c>
      <c r="W45" s="45" t="str">
        <f t="shared" si="4"/>
        <v>Other</v>
      </c>
      <c r="X45" s="22">
        <f t="shared" si="5"/>
        <v>300</v>
      </c>
      <c r="Y45" s="96" t="str">
        <f t="shared" si="6"/>
        <v>echo {"issue":{"subject":"","project_id":79,"tracker_id":40,"status_id":1,"priority_id":2,"assigned_to_id":23,"start_date":"2017-08-22","description":"","custom_fields":[{"id":1,"name":"Subdivision","value":"Other"},{"id":4,"name":"Milepost","value":"1.9"},{"id":17,"name":"Train ID","value":"300-22"},{"id":16,"name":"Locomotive ID","value":"4011"},{"id":130,"name":"Impact","value":""},{"id":150,"name":"Time of Event (Mountain Time)","value":"02:50:15"},{"id":151,"name":"Denver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/c/Users/stu/AppData/Local/Temp/OnboardLogs/RTDC4011 --include="*4011*201708220*"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"%USERPROFILE%\AppData\Local\Temp\OnboardLogs"\RTDC4011\*4011*201708220* &gt;&gt; 2017-08-22-SliceDisagreementCheck.txt</v>
      </c>
      <c r="AE45" s="145" t="str">
        <f t="shared" si="9"/>
        <v>start /low /b %USERPROFILE%\Documents\GitHub\eaglep3\Utilities\DownloadLogsFromS3.py --loco 4011 --day 2017-08-22</v>
      </c>
      <c r="AF45" s="1"/>
    </row>
    <row r="46" spans="1:32" x14ac:dyDescent="0.25">
      <c r="A46" s="31">
        <v>42969.642314814817</v>
      </c>
      <c r="B46" s="30" t="s">
        <v>564</v>
      </c>
      <c r="C46" s="30" t="s">
        <v>583</v>
      </c>
      <c r="D46" s="30" t="s">
        <v>49</v>
      </c>
      <c r="E46" s="30" t="s">
        <v>181</v>
      </c>
      <c r="F46" s="42">
        <v>0</v>
      </c>
      <c r="G46" s="42">
        <v>40</v>
      </c>
      <c r="H46" s="42">
        <v>703</v>
      </c>
      <c r="I46" s="42">
        <v>680</v>
      </c>
      <c r="J46" s="30" t="s">
        <v>182</v>
      </c>
      <c r="K46" s="42">
        <v>575</v>
      </c>
      <c r="L46" s="131" t="s">
        <v>51</v>
      </c>
      <c r="M46" s="132">
        <f t="shared" si="0"/>
        <v>55.44</v>
      </c>
      <c r="N46" s="133" t="str">
        <f>VLOOKUP(C46,'Trips&amp;Operators'!$C$1:$G$99911,5,FALSE)</f>
        <v>BARRON PERLA</v>
      </c>
      <c r="O46" s="203" t="s">
        <v>180</v>
      </c>
      <c r="P46" s="134"/>
      <c r="Q46" s="30"/>
      <c r="R46" s="81" t="str">
        <f>VLOOKUP(C46,'Train Runs'!$A$13:$AE$9916,31,0)</f>
        <v>aws s3 cp s3://rtdc.mdm.uploadarchive.raw/RTDC4025/ "%USERPROFILE%\AppData\Local\Temp\OnboardLogs"\RTDC4025\2017-08-22 --exclude "*" --recursive --include "*20170822*" &amp; "%USERPROFILE%\Documents\GitHub\mrs-test-scripts\Headless Mode &amp; Sideloading\WalkAndUnGZ.bat" "%USERPROFILE%\AppData\Local\Temp\OnboardLogs"\RTDC4025\2017-08-22 &amp; aws s3 cp s3://rtdc.mdm.uploadarchive.raw/RTDC4025/ "%USERPROFILE%\AppData\Local\Temp\OnboardLogs"\RTDC4025\2017-08-23 --exclude "*" --recursive --include "*20170823*" &amp; "%USERPROFILE%\Documents\GitHub\mrs-test-scripts\Headless Mode &amp; Sideloading\WalkAndUnGZ.bat" "%USERPROFILE%\AppData\Local\Temp\OnboardLogs"\RTDC4025\2017-08-23</v>
      </c>
      <c r="S46" s="84" t="str">
        <f>VLOOKUP(C46,'Train Runs'!$A$13:$AE$9916,22,0)</f>
        <v>https://d0f6bd738d7f1b3e5a7ca70fe4ff75f0.us-east-1.aws.found.io/app/kibana#/discover/Steve-Slow-Train-Analysis-(2080s-and-2083s)?_g=(refreshInterval:(display:Off,pause:!f,section:0,value:0),time:(from:'2017-08-22T14:10:23-0600',mode:absolute,to:'2017-08-22T16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6" s="86" t="str">
        <f t="shared" si="1"/>
        <v>"C:\Program Files (x86)\AstroGrep\AstroGrep.exe" /e /r /s /spath="%USERPROFILE%\AppData\Local\Temp\OnboardLogs" /stypes="*4025*201708222*" /stext=" 21:.+((SYSTEM_STATE.+slice.+state.+changed )|(ment ac)|(multiple cpu faults)|(system.+state.+changed )|(\[timeout)|(PRM\|1\|D)|(kpr)|(kdp)|(train st.+moving)|(\|lc)|(penalty))"</v>
      </c>
      <c r="U46" s="9" t="str">
        <f t="shared" si="2"/>
        <v>4025</v>
      </c>
      <c r="V46" s="31">
        <f t="shared" si="3"/>
        <v>42969.892314814817</v>
      </c>
      <c r="W46" s="45" t="str">
        <f t="shared" si="4"/>
        <v>Other</v>
      </c>
      <c r="X46" s="22">
        <f t="shared" si="5"/>
        <v>904</v>
      </c>
      <c r="Y46" s="96" t="str">
        <f t="shared" si="6"/>
        <v>echo {"issue":{"subject":"","project_id":79,"tracker_id":40,"status_id":1,"priority_id":2,"assigned_to_id":23,"start_date":"2017-08-22","description":"","custom_fields":[{"id":1,"name":"Subdivision","value":"Other"},{"id":4,"name":"Milepost","value":"0.0575"},{"id":17,"name":"Train ID","value":"904-22"},{"id":16,"name":"Locomotive ID","value":"4025"},{"id":130,"name":"Impact","value":""},{"id":150,"name":"Time of Event (Mountain Time)","value":"15:24:56"},{"id":151,"name":"Denver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/c/Users/stu/AppData/Local/Temp/OnboardLogs/RTDC4025 --include="*4025*201708222*"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"%USERPROFILE%\AppData\Local\Temp\OnboardLogs"\RTDC4025\*4025*201708222* &gt;&gt; 2017-08-22-SliceDisagreementCheck.txt</v>
      </c>
      <c r="AE46" s="145" t="str">
        <f t="shared" si="9"/>
        <v>start /low /b %USERPROFILE%\Documents\GitHub\eaglep3\Utilities\DownloadLogsFromS3.py --loco 4025 --day 2017-08-22</v>
      </c>
      <c r="AF46" s="1"/>
    </row>
    <row r="47" spans="1:32" x14ac:dyDescent="0.25">
      <c r="A47" s="31">
        <v>42969.518159722225</v>
      </c>
      <c r="B47" s="30" t="s">
        <v>571</v>
      </c>
      <c r="C47" s="30" t="s">
        <v>572</v>
      </c>
      <c r="D47" s="30" t="s">
        <v>96</v>
      </c>
      <c r="E47" s="30" t="s">
        <v>181</v>
      </c>
      <c r="F47" s="42">
        <v>0</v>
      </c>
      <c r="G47" s="42">
        <v>9</v>
      </c>
      <c r="H47" s="42">
        <v>826</v>
      </c>
      <c r="I47" s="42">
        <v>0</v>
      </c>
      <c r="J47" s="30" t="s">
        <v>182</v>
      </c>
      <c r="K47" s="42">
        <v>826</v>
      </c>
      <c r="L47" s="131" t="s">
        <v>51</v>
      </c>
      <c r="M47" s="132">
        <f t="shared" si="0"/>
        <v>-436.12799999999999</v>
      </c>
      <c r="N47" s="133" t="str">
        <f>VLOOKUP(C47,'Trips&amp;Operators'!$C$1:$G$99911,5,FALSE)</f>
        <v>MOSES BRADLEY</v>
      </c>
      <c r="O47" s="203" t="s">
        <v>180</v>
      </c>
      <c r="P47" s="134"/>
      <c r="Q47" s="30"/>
      <c r="R47" s="81" t="str">
        <f>VLOOKUP(C47,'Train Runs'!$A$13:$AE$9916,31,0)</f>
        <v>aws s3 cp s3://rtdc.mdm.uploadarchive.raw/RTDC4023/ "%USERPROFILE%\AppData\Local\Temp\OnboardLogs"\RTDC4023\2017-08-22 --exclude "*" --recursive --include "*20170822*" &amp; "%USERPROFILE%\Documents\GitHub\mrs-test-scripts\Headless Mode &amp; Sideloading\WalkAndUnGZ.bat" "%USERPROFILE%\AppData\Local\Temp\OnboardLogs"\RTDC4023\2017-08-22 &amp; aws s3 cp s3://rtdc.mdm.uploadarchive.raw/RTDC4023/ "%USERPROFILE%\AppData\Local\Temp\OnboardLogs"\RTDC4023\2017-08-23 --exclude "*" --recursive --include "*20170823*" &amp; "%USERPROFILE%\Documents\GitHub\mrs-test-scripts\Headless Mode &amp; Sideloading\WalkAndUnGZ.bat" "%USERPROFILE%\AppData\Local\Temp\OnboardLogs"\RTDC4023\2017-08-23</v>
      </c>
      <c r="S47" s="84" t="str">
        <f>VLOOKUP(C47,'Train Runs'!$A$13:$AE$9916,22,0)</f>
        <v>https://d0f6bd738d7f1b3e5a7ca70fe4ff75f0.us-east-1.aws.found.io/app/kibana#/discover/Steve-Slow-Train-Analysis-(2080s-and-2083s)?_g=(refreshInterval:(display:Off,pause:!f,section:0,value:0),time:(from:'2017-08-22T11:06:45-0600',mode:absolute,to:'2017-08-22T13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7" s="86" t="str">
        <f t="shared" si="1"/>
        <v>"C:\Program Files (x86)\AstroGrep\AstroGrep.exe" /e /r /s /spath="%USERPROFILE%\AppData\Local\Temp\OnboardLogs" /stypes="*4023*201708221*" /stext=" 18:.+((SYSTEM_STATE.+slice.+state.+changed )|(ment ac)|(multiple cpu faults)|(system.+state.+changed )|(\[timeout)|(PRM\|1\|D)|(kpr)|(kdp)|(train st.+moving)|(\|lc)|(penalty))"</v>
      </c>
      <c r="U47" s="9" t="str">
        <f t="shared" si="2"/>
        <v>4023</v>
      </c>
      <c r="V47" s="31">
        <f t="shared" si="3"/>
        <v>42969.768159722225</v>
      </c>
      <c r="W47" s="45" t="str">
        <f t="shared" si="4"/>
        <v>Shuttle/Test</v>
      </c>
      <c r="X47" s="22">
        <f t="shared" si="5"/>
        <v>59</v>
      </c>
      <c r="Y47" s="96" t="str">
        <f t="shared" si="6"/>
        <v>echo {"issue":{"subject":"","project_id":79,"tracker_id":40,"status_id":1,"priority_id":2,"assigned_to_id":23,"start_date":"2017-08-22","description":"","custom_fields":[{"id":1,"name":"Subdivision","value":"Shuttle/Test"},{"id":4,"name":"Milepost","value":"0.0826"},{"id":17,"name":"Train ID","value":"59-22"},{"id":16,"name":"Locomotive ID","value":"4023"},{"id":130,"name":"Impact","value":""},{"id":150,"name":"Time of Event (Mountain Time)","value":"12:26:09"},{"id":151,"name":"Denver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/c/Users/stu/AppData/Local/Temp/OnboardLogs/RTDC4023 --include="*4023*201708221*"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"%USERPROFILE%\AppData\Local\Temp\OnboardLogs"\RTDC4023\*4023*201708221* &gt;&gt; 2017-08-22-SliceDisagreementCheck.txt</v>
      </c>
      <c r="AE47" s="145" t="str">
        <f t="shared" si="9"/>
        <v>start /low /b %USERPROFILE%\Documents\GitHub\eaglep3\Utilities\DownloadLogsFromS3.py --loco 4023 --day 2017-08-22</v>
      </c>
      <c r="AF47" s="1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7"/>
      <sortCondition ref="E7:E47"/>
      <sortCondition ref="K7:K47"/>
      <sortCondition ref="F7:F47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9" t="str">
        <f>"Trips that did not appear in PTC Data "&amp;TEXT(Variables!$A$2,"YYYY-mm-dd")</f>
        <v>Trips that did not appear in PTC Data 2017-08-22</v>
      </c>
      <c r="C1" s="219"/>
      <c r="D1" s="219"/>
      <c r="E1" s="219"/>
      <c r="F1" s="219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-22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0" t="e">
        <f>VLOOKUP(B3,'Train Runs'!$A$13:$A$99913,1,FALSE)</f>
        <v>#N/A</v>
      </c>
    </row>
    <row r="4" spans="1:10" x14ac:dyDescent="0.25">
      <c r="A4" s="195"/>
      <c r="B4" s="42" t="str">
        <f>A4&amp;"-"&amp;IF(DAY(Variables!$A$2)&lt;10,0,"")&amp;DAY(Variables!$A$2)</f>
        <v>-22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Runs'!$A$13:$A$99913,1,FALSE)</f>
        <v>#N/A</v>
      </c>
    </row>
    <row r="5" spans="1:10" x14ac:dyDescent="0.25">
      <c r="A5" s="195"/>
      <c r="B5" s="42" t="str">
        <f>A5&amp;"-"&amp;IF(DAY(Variables!$A$2)&lt;10,0,"")&amp;DAY(Variables!$A$2)</f>
        <v>-22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Runs'!$A$13:$A$99913,1,FALSE)</f>
        <v>#N/A</v>
      </c>
    </row>
    <row r="6" spans="1:10" x14ac:dyDescent="0.25">
      <c r="A6" s="195"/>
      <c r="B6" s="42" t="str">
        <f>A6&amp;"-"&amp;IF(DAY(Variables!$A$2)&lt;10,0,"")&amp;DAY(Variables!$A$2)</f>
        <v>-22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Runs'!$A$13:$A$99913,1,FALSE)</f>
        <v>#N/A</v>
      </c>
    </row>
    <row r="7" spans="1:10" x14ac:dyDescent="0.25">
      <c r="A7" s="195"/>
      <c r="B7" s="42" t="str">
        <f>A7&amp;"-"&amp;IF(DAY(Variables!$A$2)&lt;10,0,"")&amp;DAY(Variables!$A$2)</f>
        <v>-22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Runs'!$A$13:$A$99913,1,FALSE)</f>
        <v>#N/A</v>
      </c>
    </row>
    <row r="8" spans="1:10" x14ac:dyDescent="0.25">
      <c r="A8" s="195"/>
      <c r="B8" s="42" t="str">
        <f>A8&amp;"-"&amp;IF(DAY(Variables!$A$2)&lt;10,0,"")&amp;DAY(Variables!$A$2)</f>
        <v>-22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Runs'!$A$13:$A$99913,1,FALSE)</f>
        <v>#N/A</v>
      </c>
    </row>
    <row r="9" spans="1:10" x14ac:dyDescent="0.25">
      <c r="A9" s="195"/>
      <c r="B9" s="42" t="str">
        <f>A9&amp;"-"&amp;IF(DAY(Variables!$A$2)&lt;10,0,"")&amp;DAY(Variables!$A$2)</f>
        <v>-22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Runs'!$A$13:$A$99913,1,FALSE)</f>
        <v>#N/A</v>
      </c>
    </row>
    <row r="10" spans="1:10" x14ac:dyDescent="0.25">
      <c r="A10" s="195"/>
      <c r="B10" s="42" t="str">
        <f>A10&amp;"-"&amp;IF(DAY(Variables!$A$2)&lt;10,0,"")&amp;DAY(Variables!$A$2)</f>
        <v>-22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Runs'!$A$13:$A$99913,1,FALSE)</f>
        <v>#N/A</v>
      </c>
    </row>
    <row r="11" spans="1:10" x14ac:dyDescent="0.25">
      <c r="A11" s="195"/>
      <c r="B11" s="42" t="str">
        <f>A11&amp;"-"&amp;IF(DAY(Variables!$A$2)&lt;10,0,"")&amp;DAY(Variables!$A$2)</f>
        <v>-22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Runs'!$A$13:$A$99913,1,FALSE)</f>
        <v>#N/A</v>
      </c>
    </row>
    <row r="12" spans="1:10" x14ac:dyDescent="0.25">
      <c r="A12" s="195"/>
      <c r="B12" s="42" t="str">
        <f>A12&amp;"-"&amp;IF(DAY(Variables!$A$2)&lt;10,0,"")&amp;DAY(Variables!$A$2)</f>
        <v>-22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Runs'!$A$13:$A$99913,1,FALSE)</f>
        <v>#N/A</v>
      </c>
    </row>
    <row r="13" spans="1:10" x14ac:dyDescent="0.25">
      <c r="A13" s="195"/>
      <c r="B13" s="42" t="str">
        <f>A13&amp;"-"&amp;IF(DAY(Variables!$A$2)&lt;10,0,"")&amp;DAY(Variables!$A$2)</f>
        <v>-22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Runs'!$A$13:$A$99913,1,FALSE)</f>
        <v>#N/A</v>
      </c>
    </row>
    <row r="14" spans="1:10" x14ac:dyDescent="0.25">
      <c r="A14" s="195"/>
      <c r="B14" s="42" t="str">
        <f>A14&amp;"-"&amp;IF(DAY(Variables!$A$2)&lt;10,0,"")&amp;DAY(Variables!$A$2)</f>
        <v>-22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Runs'!$A$13:$A$99913,1,FALSE)</f>
        <v>#N/A</v>
      </c>
    </row>
    <row r="15" spans="1:10" x14ac:dyDescent="0.25">
      <c r="A15" s="195"/>
      <c r="B15" s="42" t="str">
        <f>A15&amp;"-"&amp;IF(DAY(Variables!$A$2)&lt;10,0,"")&amp;DAY(Variables!$A$2)</f>
        <v>-22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Runs'!$A$13:$A$99913,1,FALSE)</f>
        <v>#N/A</v>
      </c>
    </row>
    <row r="16" spans="1:10" x14ac:dyDescent="0.25">
      <c r="A16" s="195"/>
      <c r="B16" s="42" t="str">
        <f>A16&amp;"-"&amp;IF(DAY(Variables!$A$2)&lt;10,0,"")&amp;DAY(Variables!$A$2)</f>
        <v>-22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Runs'!$A$13:$A$99913,1,FALSE)</f>
        <v>#N/A</v>
      </c>
    </row>
    <row r="17" spans="1:10" x14ac:dyDescent="0.25">
      <c r="A17" s="195"/>
      <c r="B17" s="42" t="str">
        <f>A17&amp;"-"&amp;IF(DAY(Variables!$A$2)&lt;10,0,"")&amp;DAY(Variables!$A$2)</f>
        <v>-22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Runs'!$A$13:$A$99913,1,FALSE)</f>
        <v>#N/A</v>
      </c>
    </row>
    <row r="18" spans="1:10" x14ac:dyDescent="0.25">
      <c r="A18" s="195"/>
      <c r="B18" s="42" t="str">
        <f>A18&amp;"-"&amp;IF(DAY(Variables!$A$2)&lt;10,0,"")&amp;DAY(Variables!$A$2)</f>
        <v>-22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Runs'!$A$13:$A$99913,1,FALSE)</f>
        <v>#N/A</v>
      </c>
    </row>
    <row r="19" spans="1:10" x14ac:dyDescent="0.25">
      <c r="A19" s="195"/>
      <c r="B19" s="42" t="str">
        <f>A19&amp;"-"&amp;IF(DAY(Variables!$A$2)&lt;10,0,"")&amp;DAY(Variables!$A$2)</f>
        <v>-22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Runs'!$A$13:$A$99913,1,FALSE)</f>
        <v>#N/A</v>
      </c>
    </row>
    <row r="20" spans="1:10" x14ac:dyDescent="0.25">
      <c r="A20" s="195"/>
      <c r="B20" s="42" t="str">
        <f>A20&amp;"-"&amp;IF(DAY(Variables!$A$2)&lt;10,0,"")&amp;DAY(Variables!$A$2)</f>
        <v>-22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Runs'!$A$13:$A$99913,1,FALSE)</f>
        <v>#N/A</v>
      </c>
    </row>
    <row r="21" spans="1:10" x14ac:dyDescent="0.25">
      <c r="A21" s="195"/>
      <c r="B21" s="42" t="str">
        <f>A21&amp;"-"&amp;IF(DAY(Variables!$A$2)&lt;10,0,"")&amp;DAY(Variables!$A$2)</f>
        <v>-22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Runs'!$A$13:$A$99913,1,FALSE)</f>
        <v>#N/A</v>
      </c>
    </row>
    <row r="22" spans="1:10" x14ac:dyDescent="0.25">
      <c r="A22" s="195"/>
      <c r="B22" s="42" t="str">
        <f>A22&amp;"-"&amp;IF(DAY(Variables!$A$2)&lt;10,0,"")&amp;DAY(Variables!$A$2)</f>
        <v>-22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Runs'!$A$13:$A$99913,1,FALSE)</f>
        <v>#N/A</v>
      </c>
    </row>
    <row r="23" spans="1:10" x14ac:dyDescent="0.25">
      <c r="A23" s="195"/>
      <c r="B23" s="42" t="str">
        <f>A23&amp;"-"&amp;IF(DAY(Variables!$A$2)&lt;10,0,"")&amp;DAY(Variables!$A$2)</f>
        <v>-22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Runs'!$A$13:$A$99913,1,FALSE)</f>
        <v>#N/A</v>
      </c>
    </row>
    <row r="24" spans="1:10" x14ac:dyDescent="0.25">
      <c r="A24" s="195"/>
      <c r="B24" s="42" t="str">
        <f>A24&amp;"-"&amp;IF(DAY(Variables!$A$2)&lt;10,0,"")&amp;DAY(Variables!$A$2)</f>
        <v>-22</v>
      </c>
      <c r="C24" s="135"/>
      <c r="D24" s="153"/>
      <c r="E24" s="30"/>
      <c r="F24" s="21" t="e">
        <f>VLOOKUP(B24,'Trips&amp;Operators'!$C$2:$E$9912,3,FALSE)</f>
        <v>#N/A</v>
      </c>
      <c r="G24" s="21" t="e">
        <f>VLOOKUP(B24,'Trips&amp;Operators'!$C$1:$F$9912,4,FALSE)</f>
        <v>#N/A</v>
      </c>
      <c r="H24" s="29" t="e">
        <f>VLOOKUP(B24,'Trips&amp;Operators'!$C$1:$H$9912,5,FALSE)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Runs'!$A$13:$A$99913,1,FALSE)</f>
        <v>#N/A</v>
      </c>
    </row>
    <row r="25" spans="1:10" x14ac:dyDescent="0.25">
      <c r="A25" s="195"/>
      <c r="B25" s="42" t="str">
        <f>A25&amp;"-"&amp;IF(DAY(Variables!$A$2)&lt;10,0,"")&amp;DAY(Variables!$A$2)</f>
        <v>-22</v>
      </c>
      <c r="C25" s="135"/>
      <c r="D25" s="153"/>
      <c r="E25" s="30"/>
      <c r="F25" s="21" t="e">
        <f>VLOOKUP(B25,'Trips&amp;Operators'!$C$2:$E$9912,3,FALSE)</f>
        <v>#N/A</v>
      </c>
      <c r="G25" s="21" t="e">
        <f>VLOOKUP(B25,'Trips&amp;Operators'!$C$1:$F$9912,4,FALSE)</f>
        <v>#N/A</v>
      </c>
      <c r="H25" s="29" t="e">
        <f>VLOOKUP(B25,'Trips&amp;Operators'!$C$1:$H$9912,5,FALSE)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Runs'!$A$13:$A$99913,1,FALSE)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49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42969.032534722224</v>
      </c>
      <c r="B2" s="20" t="s">
        <v>465</v>
      </c>
      <c r="C2" s="20" t="s">
        <v>492</v>
      </c>
      <c r="D2" s="138">
        <v>2620000</v>
      </c>
      <c r="E2" s="20" t="s">
        <v>422</v>
      </c>
      <c r="F2" s="20" t="s">
        <v>423</v>
      </c>
      <c r="G2" s="8" t="str">
        <f>E2&amp;" "&amp;F2</f>
        <v>PERKINS DARREN</v>
      </c>
    </row>
    <row r="3" spans="1:7" x14ac:dyDescent="0.25">
      <c r="A3" s="8">
        <v>42969.038587962961</v>
      </c>
      <c r="B3" s="20" t="s">
        <v>463</v>
      </c>
      <c r="C3" s="20" t="s">
        <v>493</v>
      </c>
      <c r="D3" s="138">
        <v>2610000</v>
      </c>
      <c r="E3" s="20" t="s">
        <v>490</v>
      </c>
      <c r="F3" s="20" t="s">
        <v>491</v>
      </c>
      <c r="G3" s="8" t="str">
        <f t="shared" ref="G3:G66" si="0">E3&amp;" "&amp;F3</f>
        <v>MAGEE KENYA</v>
      </c>
    </row>
    <row r="4" spans="1:7" x14ac:dyDescent="0.25">
      <c r="A4" s="8">
        <v>42969.047581018516</v>
      </c>
      <c r="B4" s="20" t="s">
        <v>464</v>
      </c>
      <c r="C4" s="20" t="s">
        <v>494</v>
      </c>
      <c r="D4" s="138">
        <v>3490000</v>
      </c>
      <c r="E4" s="20" t="s">
        <v>488</v>
      </c>
      <c r="F4" s="20" t="s">
        <v>489</v>
      </c>
      <c r="G4" s="8" t="str">
        <f t="shared" si="0"/>
        <v>WEST BRYAN</v>
      </c>
    </row>
    <row r="5" spans="1:7" x14ac:dyDescent="0.25">
      <c r="A5" s="8">
        <v>42969.048877314817</v>
      </c>
      <c r="B5" s="20" t="s">
        <v>464</v>
      </c>
      <c r="C5" s="20" t="s">
        <v>494</v>
      </c>
      <c r="D5" s="138">
        <v>3490000</v>
      </c>
      <c r="E5" s="20" t="s">
        <v>488</v>
      </c>
      <c r="F5" s="20" t="s">
        <v>489</v>
      </c>
      <c r="G5" s="8" t="str">
        <f t="shared" si="0"/>
        <v>WEST BRYAN</v>
      </c>
    </row>
    <row r="6" spans="1:7" x14ac:dyDescent="0.25">
      <c r="A6" s="8">
        <v>42969.050138888888</v>
      </c>
      <c r="B6" s="20" t="s">
        <v>420</v>
      </c>
      <c r="C6" s="20" t="s">
        <v>495</v>
      </c>
      <c r="D6" s="138">
        <v>2970000</v>
      </c>
      <c r="E6" s="20" t="s">
        <v>350</v>
      </c>
      <c r="F6" s="20" t="s">
        <v>351</v>
      </c>
      <c r="G6" s="8" t="str">
        <f t="shared" si="0"/>
        <v>GUZMAN DANNY</v>
      </c>
    </row>
    <row r="7" spans="1:7" x14ac:dyDescent="0.25">
      <c r="A7" s="8">
        <v>42969.068692129629</v>
      </c>
      <c r="B7" s="20" t="s">
        <v>470</v>
      </c>
      <c r="C7" s="20" t="s">
        <v>496</v>
      </c>
      <c r="D7" s="138">
        <v>2610000</v>
      </c>
      <c r="E7" s="20" t="s">
        <v>490</v>
      </c>
      <c r="F7" s="20" t="s">
        <v>491</v>
      </c>
      <c r="G7" s="8" t="str">
        <f t="shared" si="0"/>
        <v>MAGEE KENYA</v>
      </c>
    </row>
    <row r="8" spans="1:7" x14ac:dyDescent="0.25">
      <c r="A8" s="8">
        <v>42969.089606481481</v>
      </c>
      <c r="B8" s="20" t="s">
        <v>421</v>
      </c>
      <c r="C8" s="20" t="s">
        <v>497</v>
      </c>
      <c r="D8" s="138">
        <v>2970000</v>
      </c>
      <c r="E8" s="20" t="s">
        <v>350</v>
      </c>
      <c r="F8" s="20" t="s">
        <v>351</v>
      </c>
      <c r="G8" s="8" t="str">
        <f t="shared" si="0"/>
        <v>GUZMAN DANNY</v>
      </c>
    </row>
    <row r="9" spans="1:7" ht="15.75" thickBot="1" x14ac:dyDescent="0.3">
      <c r="A9" s="24">
        <v>42969.11377314815</v>
      </c>
      <c r="B9" s="20" t="s">
        <v>392</v>
      </c>
      <c r="C9" s="20" t="s">
        <v>498</v>
      </c>
      <c r="D9" s="138">
        <v>1110000</v>
      </c>
      <c r="E9" s="20" t="s">
        <v>468</v>
      </c>
      <c r="F9" s="20" t="s">
        <v>469</v>
      </c>
      <c r="G9" s="8" t="str">
        <f t="shared" si="0"/>
        <v>STARKS ANGELINA</v>
      </c>
    </row>
    <row r="10" spans="1:7" x14ac:dyDescent="0.25">
      <c r="A10" s="8">
        <v>42969.12709490741</v>
      </c>
      <c r="B10" s="20" t="s">
        <v>568</v>
      </c>
      <c r="C10" s="20" t="s">
        <v>595</v>
      </c>
      <c r="D10" s="138">
        <v>1110000</v>
      </c>
      <c r="E10" s="20" t="s">
        <v>468</v>
      </c>
      <c r="F10" s="20" t="s">
        <v>469</v>
      </c>
      <c r="G10" s="8" t="str">
        <f t="shared" si="0"/>
        <v>STARKS ANGELINA</v>
      </c>
    </row>
    <row r="11" spans="1:7" x14ac:dyDescent="0.25">
      <c r="A11" s="8">
        <v>42969.127893518518</v>
      </c>
      <c r="B11" s="20" t="s">
        <v>389</v>
      </c>
      <c r="C11" s="20" t="s">
        <v>596</v>
      </c>
      <c r="D11" s="138">
        <v>1090000</v>
      </c>
      <c r="E11" s="20" t="s">
        <v>597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42969.140752314815</v>
      </c>
      <c r="B12" s="20" t="s">
        <v>435</v>
      </c>
      <c r="C12" s="20" t="s">
        <v>598</v>
      </c>
      <c r="D12" s="138">
        <v>940000</v>
      </c>
      <c r="E12" s="20" t="s">
        <v>477</v>
      </c>
      <c r="F12" s="20" t="s">
        <v>478</v>
      </c>
      <c r="G12" s="8" t="str">
        <f t="shared" si="0"/>
        <v>BONDS REYNALDO</v>
      </c>
    </row>
    <row r="13" spans="1:7" x14ac:dyDescent="0.25">
      <c r="A13" s="8">
        <v>42969.141655092593</v>
      </c>
      <c r="B13" s="20" t="s">
        <v>392</v>
      </c>
      <c r="C13" s="20" t="s">
        <v>599</v>
      </c>
      <c r="D13" s="138">
        <v>1090000</v>
      </c>
      <c r="E13" s="20" t="s">
        <v>597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42969.153726851851</v>
      </c>
      <c r="B14" s="20" t="s">
        <v>436</v>
      </c>
      <c r="C14" s="20" t="s">
        <v>552</v>
      </c>
      <c r="D14" s="138">
        <v>940000</v>
      </c>
      <c r="E14" s="20" t="s">
        <v>477</v>
      </c>
      <c r="F14" s="20" t="s">
        <v>478</v>
      </c>
      <c r="G14" s="8" t="str">
        <f t="shared" si="0"/>
        <v>BONDS REYNALDO</v>
      </c>
    </row>
    <row r="15" spans="1:7" x14ac:dyDescent="0.25">
      <c r="A15" s="8">
        <v>42969.160196759258</v>
      </c>
      <c r="B15" s="20" t="s">
        <v>371</v>
      </c>
      <c r="C15" s="20" t="s">
        <v>600</v>
      </c>
      <c r="D15" s="138">
        <v>2010000</v>
      </c>
      <c r="E15" s="20" t="s">
        <v>439</v>
      </c>
      <c r="F15" s="20" t="s">
        <v>440</v>
      </c>
      <c r="G15" s="8" t="str">
        <f t="shared" si="0"/>
        <v>MAELZER KURT</v>
      </c>
    </row>
    <row r="16" spans="1:7" x14ac:dyDescent="0.25">
      <c r="A16" s="8">
        <v>42969.163495370369</v>
      </c>
      <c r="B16" s="20" t="s">
        <v>559</v>
      </c>
      <c r="C16" s="20" t="s">
        <v>601</v>
      </c>
      <c r="D16" s="138">
        <v>1110000</v>
      </c>
      <c r="E16" s="20" t="s">
        <v>468</v>
      </c>
      <c r="F16" s="20" t="s">
        <v>469</v>
      </c>
      <c r="G16" s="8" t="str">
        <f t="shared" si="0"/>
        <v>STARKS ANGELINA</v>
      </c>
    </row>
    <row r="17" spans="1:7" x14ac:dyDescent="0.25">
      <c r="A17" s="8">
        <v>42969.167546296296</v>
      </c>
      <c r="B17" s="20" t="s">
        <v>466</v>
      </c>
      <c r="C17" s="20" t="s">
        <v>602</v>
      </c>
      <c r="D17" s="138">
        <v>2530000</v>
      </c>
      <c r="E17" s="20" t="s">
        <v>437</v>
      </c>
      <c r="F17" s="20" t="s">
        <v>438</v>
      </c>
      <c r="G17" s="8" t="str">
        <f t="shared" si="0"/>
        <v>LALONDE GREGORY</v>
      </c>
    </row>
    <row r="18" spans="1:7" x14ac:dyDescent="0.25">
      <c r="A18" s="8">
        <v>42969.170601851853</v>
      </c>
      <c r="B18" s="20" t="s">
        <v>369</v>
      </c>
      <c r="C18" s="20" t="s">
        <v>603</v>
      </c>
      <c r="D18" s="138">
        <v>2010000</v>
      </c>
      <c r="E18" s="20" t="s">
        <v>439</v>
      </c>
      <c r="F18" s="20" t="s">
        <v>440</v>
      </c>
      <c r="G18" s="8" t="str">
        <f t="shared" si="0"/>
        <v>MAELZER KURT</v>
      </c>
    </row>
    <row r="19" spans="1:7" x14ac:dyDescent="0.25">
      <c r="A19" s="8">
        <v>42969.178310185183</v>
      </c>
      <c r="B19" s="20" t="s">
        <v>467</v>
      </c>
      <c r="C19" s="20" t="s">
        <v>604</v>
      </c>
      <c r="D19" s="138">
        <v>2530000</v>
      </c>
      <c r="E19" s="20" t="s">
        <v>437</v>
      </c>
      <c r="F19" s="20" t="s">
        <v>438</v>
      </c>
      <c r="G19" s="8" t="str">
        <f t="shared" si="0"/>
        <v>LALONDE GREGORY</v>
      </c>
    </row>
    <row r="20" spans="1:7" x14ac:dyDescent="0.25">
      <c r="A20" s="8">
        <v>42969.181979166664</v>
      </c>
      <c r="B20" s="20" t="s">
        <v>556</v>
      </c>
      <c r="C20" s="20" t="s">
        <v>605</v>
      </c>
      <c r="D20" s="138">
        <v>2560000</v>
      </c>
      <c r="E20" s="20" t="s">
        <v>442</v>
      </c>
      <c r="F20" s="20" t="s">
        <v>349</v>
      </c>
      <c r="G20" s="8" t="str">
        <f t="shared" si="0"/>
        <v>MACDONALD THOMAS</v>
      </c>
    </row>
    <row r="21" spans="1:7" x14ac:dyDescent="0.25">
      <c r="A21" s="8">
        <v>42969.193576388891</v>
      </c>
      <c r="B21" s="20" t="s">
        <v>435</v>
      </c>
      <c r="C21" s="20" t="s">
        <v>606</v>
      </c>
      <c r="D21" s="138">
        <v>940000</v>
      </c>
      <c r="E21" s="20" t="s">
        <v>477</v>
      </c>
      <c r="F21" s="20" t="s">
        <v>478</v>
      </c>
      <c r="G21" s="8" t="str">
        <f t="shared" si="0"/>
        <v>BONDS REYNALDO</v>
      </c>
    </row>
    <row r="22" spans="1:7" x14ac:dyDescent="0.25">
      <c r="A22" s="26">
        <v>42969.194039351853</v>
      </c>
      <c r="B22" s="20" t="s">
        <v>591</v>
      </c>
      <c r="C22" s="20" t="s">
        <v>607</v>
      </c>
      <c r="D22" s="138">
        <v>2560000</v>
      </c>
      <c r="E22" s="20" t="s">
        <v>442</v>
      </c>
      <c r="F22" s="20" t="s">
        <v>349</v>
      </c>
      <c r="G22" s="8" t="str">
        <f t="shared" si="0"/>
        <v>MACDONALD THOMAS</v>
      </c>
    </row>
    <row r="23" spans="1:7" x14ac:dyDescent="0.25">
      <c r="A23" s="8">
        <v>42969.200104166666</v>
      </c>
      <c r="B23" s="20" t="s">
        <v>553</v>
      </c>
      <c r="C23" s="20" t="s">
        <v>608</v>
      </c>
      <c r="D23" s="138">
        <v>1540000</v>
      </c>
      <c r="E23" s="20" t="s">
        <v>609</v>
      </c>
      <c r="F23" s="20" t="s">
        <v>610</v>
      </c>
      <c r="G23" s="8" t="str">
        <f t="shared" si="0"/>
        <v>HELVIE ADAM</v>
      </c>
    </row>
    <row r="24" spans="1:7" x14ac:dyDescent="0.25">
      <c r="A24" s="8">
        <v>42969.204583333332</v>
      </c>
      <c r="B24" s="20" t="s">
        <v>611</v>
      </c>
      <c r="C24" s="20" t="s">
        <v>612</v>
      </c>
      <c r="D24" s="138">
        <v>890000</v>
      </c>
      <c r="E24" s="20" t="s">
        <v>475</v>
      </c>
      <c r="F24" s="20" t="s">
        <v>476</v>
      </c>
      <c r="G24" s="8" t="str">
        <f t="shared" si="0"/>
        <v>LOZA FIDEL</v>
      </c>
    </row>
    <row r="25" spans="1:7" x14ac:dyDescent="0.25">
      <c r="A25" s="8">
        <v>42969.206388888888</v>
      </c>
      <c r="B25" s="20" t="s">
        <v>568</v>
      </c>
      <c r="C25" s="20" t="s">
        <v>613</v>
      </c>
      <c r="D25" s="138">
        <v>1110000</v>
      </c>
      <c r="E25" s="20" t="s">
        <v>468</v>
      </c>
      <c r="F25" s="20" t="s">
        <v>469</v>
      </c>
      <c r="G25" s="8" t="str">
        <f t="shared" si="0"/>
        <v>STARKS ANGELINA</v>
      </c>
    </row>
    <row r="26" spans="1:7" x14ac:dyDescent="0.25">
      <c r="A26" s="8">
        <v>42969.208611111113</v>
      </c>
      <c r="B26" s="20" t="s">
        <v>371</v>
      </c>
      <c r="C26" s="20" t="s">
        <v>614</v>
      </c>
      <c r="D26" s="138">
        <v>2010000</v>
      </c>
      <c r="E26" s="20" t="s">
        <v>439</v>
      </c>
      <c r="F26" s="20" t="s">
        <v>440</v>
      </c>
      <c r="G26" s="8" t="str">
        <f t="shared" si="0"/>
        <v>MAELZER KURT</v>
      </c>
    </row>
    <row r="27" spans="1:7" x14ac:dyDescent="0.25">
      <c r="A27" s="8">
        <v>42969.210543981484</v>
      </c>
      <c r="B27" s="20" t="s">
        <v>564</v>
      </c>
      <c r="C27" s="20" t="s">
        <v>615</v>
      </c>
      <c r="D27" s="138">
        <v>1540000</v>
      </c>
      <c r="E27" s="20" t="s">
        <v>609</v>
      </c>
      <c r="F27" s="20" t="s">
        <v>610</v>
      </c>
      <c r="G27" s="8" t="str">
        <f t="shared" si="0"/>
        <v>HELVIE ADAM</v>
      </c>
    </row>
    <row r="28" spans="1:7" x14ac:dyDescent="0.25">
      <c r="A28" s="8">
        <v>42969.215162037035</v>
      </c>
      <c r="B28" s="20" t="s">
        <v>571</v>
      </c>
      <c r="C28" s="20" t="s">
        <v>616</v>
      </c>
      <c r="D28" s="138">
        <v>2600000</v>
      </c>
      <c r="E28" s="20" t="s">
        <v>473</v>
      </c>
      <c r="F28" s="20" t="s">
        <v>474</v>
      </c>
      <c r="G28" s="8" t="str">
        <f t="shared" si="0"/>
        <v>DAVIDSON DAVID</v>
      </c>
    </row>
    <row r="29" spans="1:7" x14ac:dyDescent="0.25">
      <c r="A29" s="8">
        <v>42969.216064814813</v>
      </c>
      <c r="B29" s="20" t="s">
        <v>466</v>
      </c>
      <c r="C29" s="20" t="s">
        <v>617</v>
      </c>
      <c r="D29" s="138">
        <v>2530000</v>
      </c>
      <c r="E29" s="20" t="s">
        <v>437</v>
      </c>
      <c r="F29" s="20" t="s">
        <v>438</v>
      </c>
      <c r="G29" s="8" t="str">
        <f t="shared" si="0"/>
        <v>LALONDE GREGORY</v>
      </c>
    </row>
    <row r="30" spans="1:7" x14ac:dyDescent="0.25">
      <c r="A30" s="8">
        <v>42969.216631944444</v>
      </c>
      <c r="B30" s="20" t="s">
        <v>434</v>
      </c>
      <c r="C30" s="20" t="s">
        <v>618</v>
      </c>
      <c r="D30" s="138">
        <v>890000</v>
      </c>
      <c r="E30" s="20" t="s">
        <v>475</v>
      </c>
      <c r="F30" s="20" t="s">
        <v>476</v>
      </c>
      <c r="G30" s="8" t="str">
        <f t="shared" si="0"/>
        <v>LOZA FIDEL</v>
      </c>
    </row>
    <row r="31" spans="1:7" x14ac:dyDescent="0.25">
      <c r="A31" s="8">
        <v>42969.22755787037</v>
      </c>
      <c r="B31" s="20" t="s">
        <v>436</v>
      </c>
      <c r="C31" s="20" t="s">
        <v>555</v>
      </c>
      <c r="D31" s="138">
        <v>940000</v>
      </c>
      <c r="E31" s="20" t="s">
        <v>477</v>
      </c>
      <c r="F31" s="20" t="s">
        <v>478</v>
      </c>
      <c r="G31" s="8" t="str">
        <f t="shared" si="0"/>
        <v>BONDS REYNALDO</v>
      </c>
    </row>
    <row r="32" spans="1:7" x14ac:dyDescent="0.25">
      <c r="A32" s="8">
        <v>42969.231956018521</v>
      </c>
      <c r="B32" s="20" t="s">
        <v>619</v>
      </c>
      <c r="C32" s="20" t="s">
        <v>620</v>
      </c>
      <c r="D32" s="138">
        <v>2600000</v>
      </c>
      <c r="E32" s="20" t="s">
        <v>473</v>
      </c>
      <c r="F32" s="20" t="s">
        <v>474</v>
      </c>
      <c r="G32" s="8" t="str">
        <f t="shared" si="0"/>
        <v>DAVIDSON DAVID</v>
      </c>
    </row>
    <row r="33" spans="1:7" x14ac:dyDescent="0.25">
      <c r="A33" s="8">
        <v>42969.236493055556</v>
      </c>
      <c r="B33" s="20" t="s">
        <v>556</v>
      </c>
      <c r="C33" s="20" t="s">
        <v>557</v>
      </c>
      <c r="D33" s="138">
        <v>2560000</v>
      </c>
      <c r="E33" s="20" t="s">
        <v>442</v>
      </c>
      <c r="F33" s="20" t="s">
        <v>349</v>
      </c>
      <c r="G33" s="8" t="str">
        <f t="shared" si="0"/>
        <v>MACDONALD THOMAS</v>
      </c>
    </row>
    <row r="34" spans="1:7" x14ac:dyDescent="0.25">
      <c r="A34" s="8">
        <v>42969.241041666668</v>
      </c>
      <c r="B34" s="20" t="s">
        <v>553</v>
      </c>
      <c r="C34" s="20" t="s">
        <v>554</v>
      </c>
      <c r="D34" s="138">
        <v>1540000</v>
      </c>
      <c r="E34" s="20" t="s">
        <v>609</v>
      </c>
      <c r="F34" s="20" t="s">
        <v>610</v>
      </c>
      <c r="G34" s="8" t="str">
        <f t="shared" si="0"/>
        <v>HELVIE ADAM</v>
      </c>
    </row>
    <row r="35" spans="1:7" x14ac:dyDescent="0.25">
      <c r="A35" s="8">
        <v>42969.24291666667</v>
      </c>
      <c r="B35" s="20" t="s">
        <v>559</v>
      </c>
      <c r="C35" s="20" t="s">
        <v>621</v>
      </c>
      <c r="D35" s="138">
        <v>1110000</v>
      </c>
      <c r="E35" s="20" t="s">
        <v>468</v>
      </c>
      <c r="F35" s="20" t="s">
        <v>469</v>
      </c>
      <c r="G35" s="8" t="str">
        <f t="shared" si="0"/>
        <v>STARKS ANGELINA</v>
      </c>
    </row>
    <row r="36" spans="1:7" x14ac:dyDescent="0.25">
      <c r="A36" s="8">
        <v>42969.245659722219</v>
      </c>
      <c r="B36" s="20" t="s">
        <v>369</v>
      </c>
      <c r="C36" s="20" t="s">
        <v>622</v>
      </c>
      <c r="D36" s="138">
        <v>2010000</v>
      </c>
      <c r="E36" s="20" t="s">
        <v>439</v>
      </c>
      <c r="F36" s="20" t="s">
        <v>440</v>
      </c>
      <c r="G36" s="8" t="str">
        <f t="shared" si="0"/>
        <v>MAELZER KURT</v>
      </c>
    </row>
    <row r="37" spans="1:7" x14ac:dyDescent="0.25">
      <c r="A37" s="8">
        <v>42969.255497685182</v>
      </c>
      <c r="B37" s="20" t="s">
        <v>467</v>
      </c>
      <c r="C37" s="20" t="s">
        <v>623</v>
      </c>
      <c r="D37" s="138">
        <v>2530000</v>
      </c>
      <c r="E37" s="20" t="s">
        <v>437</v>
      </c>
      <c r="F37" s="20" t="s">
        <v>438</v>
      </c>
      <c r="G37" s="8" t="str">
        <f t="shared" si="0"/>
        <v>LALONDE GREGORY</v>
      </c>
    </row>
    <row r="38" spans="1:7" x14ac:dyDescent="0.25">
      <c r="A38" s="8">
        <v>42969.255729166667</v>
      </c>
      <c r="B38" s="20" t="s">
        <v>564</v>
      </c>
      <c r="C38" s="20" t="s">
        <v>624</v>
      </c>
      <c r="D38" s="138">
        <v>1540000</v>
      </c>
      <c r="E38" s="20" t="s">
        <v>609</v>
      </c>
      <c r="F38" s="20" t="s">
        <v>610</v>
      </c>
      <c r="G38" s="8" t="str">
        <f t="shared" si="0"/>
        <v>HELVIE ADAM</v>
      </c>
    </row>
    <row r="39" spans="1:7" x14ac:dyDescent="0.25">
      <c r="A39" s="8">
        <v>42969.255983796298</v>
      </c>
      <c r="B39" s="20" t="s">
        <v>611</v>
      </c>
      <c r="C39" s="20" t="s">
        <v>625</v>
      </c>
      <c r="D39" s="138">
        <v>890000</v>
      </c>
      <c r="E39" s="20" t="s">
        <v>475</v>
      </c>
      <c r="F39" s="20" t="s">
        <v>476</v>
      </c>
      <c r="G39" s="8" t="str">
        <f t="shared" si="0"/>
        <v>LOZA FIDEL</v>
      </c>
    </row>
    <row r="40" spans="1:7" x14ac:dyDescent="0.25">
      <c r="A40" s="8">
        <v>42969.264120370368</v>
      </c>
      <c r="B40" s="25" t="s">
        <v>579</v>
      </c>
      <c r="C40" s="20" t="s">
        <v>626</v>
      </c>
      <c r="D40" s="138">
        <v>3300000</v>
      </c>
      <c r="E40" s="20" t="s">
        <v>471</v>
      </c>
      <c r="F40" s="20" t="s">
        <v>472</v>
      </c>
      <c r="G40" s="8" t="str">
        <f t="shared" si="0"/>
        <v>LANGERAK WILLIAM</v>
      </c>
    </row>
    <row r="41" spans="1:7" x14ac:dyDescent="0.25">
      <c r="A41" s="8">
        <v>42969.265532407408</v>
      </c>
      <c r="B41" s="20" t="s">
        <v>435</v>
      </c>
      <c r="C41" s="20" t="s">
        <v>627</v>
      </c>
      <c r="D41" s="138">
        <v>940000</v>
      </c>
      <c r="E41" s="20" t="s">
        <v>477</v>
      </c>
      <c r="F41" s="20" t="s">
        <v>478</v>
      </c>
      <c r="G41" s="8" t="str">
        <f t="shared" si="0"/>
        <v>BONDS REYNALDO</v>
      </c>
    </row>
    <row r="42" spans="1:7" x14ac:dyDescent="0.25">
      <c r="A42" s="8">
        <v>42969.269444444442</v>
      </c>
      <c r="B42" s="20" t="s">
        <v>591</v>
      </c>
      <c r="C42" s="20" t="s">
        <v>628</v>
      </c>
      <c r="D42" s="138">
        <v>2560000</v>
      </c>
      <c r="E42" s="20" t="s">
        <v>442</v>
      </c>
      <c r="F42" s="20" t="s">
        <v>349</v>
      </c>
      <c r="G42" s="8" t="str">
        <f t="shared" si="0"/>
        <v>MACDONALD THOMAS</v>
      </c>
    </row>
    <row r="43" spans="1:7" x14ac:dyDescent="0.25">
      <c r="A43" s="8">
        <v>42969.273043981484</v>
      </c>
      <c r="B43" s="20" t="s">
        <v>571</v>
      </c>
      <c r="C43" s="20" t="s">
        <v>629</v>
      </c>
      <c r="D43" s="138">
        <v>2600000</v>
      </c>
      <c r="E43" s="20" t="s">
        <v>473</v>
      </c>
      <c r="F43" s="20" t="s">
        <v>474</v>
      </c>
      <c r="G43" s="8" t="str">
        <f t="shared" si="0"/>
        <v>DAVIDSON DAVID</v>
      </c>
    </row>
    <row r="44" spans="1:7" x14ac:dyDescent="0.25">
      <c r="A44" s="8">
        <v>42969.278969907406</v>
      </c>
      <c r="B44" s="20" t="s">
        <v>568</v>
      </c>
      <c r="C44" s="20" t="s">
        <v>630</v>
      </c>
      <c r="D44" s="138">
        <v>1110000</v>
      </c>
      <c r="E44" s="20" t="s">
        <v>468</v>
      </c>
      <c r="F44" s="20" t="s">
        <v>469</v>
      </c>
      <c r="G44" s="8" t="str">
        <f t="shared" si="0"/>
        <v>STARKS ANGELINA</v>
      </c>
    </row>
    <row r="45" spans="1:7" x14ac:dyDescent="0.25">
      <c r="A45" s="8">
        <v>42969.279305555552</v>
      </c>
      <c r="B45" s="20" t="s">
        <v>631</v>
      </c>
      <c r="C45" s="20" t="s">
        <v>632</v>
      </c>
      <c r="D45" s="138">
        <v>3300000</v>
      </c>
      <c r="E45" s="20" t="s">
        <v>471</v>
      </c>
      <c r="F45" s="20" t="s">
        <v>472</v>
      </c>
      <c r="G45" s="8" t="str">
        <f t="shared" si="0"/>
        <v>LANGERAK WILLIAM</v>
      </c>
    </row>
    <row r="46" spans="1:7" x14ac:dyDescent="0.25">
      <c r="A46" s="8">
        <v>42969.283182870371</v>
      </c>
      <c r="B46" s="20" t="s">
        <v>553</v>
      </c>
      <c r="C46" s="20" t="s">
        <v>633</v>
      </c>
      <c r="D46" s="138">
        <v>1540000</v>
      </c>
      <c r="E46" s="20" t="s">
        <v>609</v>
      </c>
      <c r="F46" s="20" t="s">
        <v>610</v>
      </c>
      <c r="G46" s="8" t="str">
        <f t="shared" si="0"/>
        <v>HELVIE ADAM</v>
      </c>
    </row>
    <row r="47" spans="1:7" x14ac:dyDescent="0.25">
      <c r="A47" s="8">
        <v>42969.284305555557</v>
      </c>
      <c r="B47" s="20" t="s">
        <v>371</v>
      </c>
      <c r="C47" s="20" t="s">
        <v>634</v>
      </c>
      <c r="D47" s="138">
        <v>2010000</v>
      </c>
      <c r="E47" s="20" t="s">
        <v>439</v>
      </c>
      <c r="F47" s="20" t="s">
        <v>440</v>
      </c>
      <c r="G47" s="8" t="str">
        <f t="shared" si="0"/>
        <v>MAELZER KURT</v>
      </c>
    </row>
    <row r="48" spans="1:7" x14ac:dyDescent="0.25">
      <c r="A48" s="8">
        <v>42969.287673611114</v>
      </c>
      <c r="B48" s="20" t="s">
        <v>466</v>
      </c>
      <c r="C48" s="20" t="s">
        <v>635</v>
      </c>
      <c r="D48" s="138">
        <v>2530000</v>
      </c>
      <c r="E48" s="20" t="s">
        <v>437</v>
      </c>
      <c r="F48" s="20" t="s">
        <v>438</v>
      </c>
      <c r="G48" s="8" t="str">
        <f t="shared" si="0"/>
        <v>LALONDE GREGORY</v>
      </c>
    </row>
    <row r="49" spans="1:7" x14ac:dyDescent="0.25">
      <c r="A49" s="8">
        <v>42969.289618055554</v>
      </c>
      <c r="B49" s="20" t="s">
        <v>434</v>
      </c>
      <c r="C49" s="20" t="s">
        <v>558</v>
      </c>
      <c r="D49" s="138">
        <v>890000</v>
      </c>
      <c r="E49" s="20" t="s">
        <v>475</v>
      </c>
      <c r="F49" s="20" t="s">
        <v>476</v>
      </c>
      <c r="G49" s="8" t="str">
        <f t="shared" si="0"/>
        <v>LOZA FIDEL</v>
      </c>
    </row>
    <row r="50" spans="1:7" x14ac:dyDescent="0.25">
      <c r="A50" s="8">
        <v>42969.296539351853</v>
      </c>
      <c r="B50" s="20" t="s">
        <v>564</v>
      </c>
      <c r="C50" s="20" t="s">
        <v>636</v>
      </c>
      <c r="D50" s="138">
        <v>1540000</v>
      </c>
      <c r="E50" s="20" t="s">
        <v>609</v>
      </c>
      <c r="F50" s="20" t="s">
        <v>610</v>
      </c>
      <c r="G50" s="8" t="str">
        <f t="shared" si="0"/>
        <v>HELVIE ADAM</v>
      </c>
    </row>
    <row r="51" spans="1:7" x14ac:dyDescent="0.25">
      <c r="A51" s="8">
        <v>42969.300335648149</v>
      </c>
      <c r="B51" s="20" t="s">
        <v>436</v>
      </c>
      <c r="C51" s="20" t="s">
        <v>561</v>
      </c>
      <c r="D51" s="138">
        <v>940000</v>
      </c>
      <c r="E51" s="20" t="s">
        <v>477</v>
      </c>
      <c r="F51" s="20" t="s">
        <v>478</v>
      </c>
      <c r="G51" s="8" t="str">
        <f t="shared" si="0"/>
        <v>BONDS REYNALDO</v>
      </c>
    </row>
    <row r="52" spans="1:7" x14ac:dyDescent="0.25">
      <c r="A52" s="8">
        <v>42969.301203703704</v>
      </c>
      <c r="B52" s="20" t="s">
        <v>389</v>
      </c>
      <c r="C52" s="20" t="s">
        <v>637</v>
      </c>
      <c r="D52" s="138">
        <v>1090000</v>
      </c>
      <c r="E52" s="20" t="s">
        <v>597</v>
      </c>
      <c r="F52" s="20" t="s">
        <v>192</v>
      </c>
      <c r="G52" s="8" t="str">
        <f t="shared" si="0"/>
        <v>SPECTOR MICHAEL</v>
      </c>
    </row>
    <row r="53" spans="1:7" x14ac:dyDescent="0.25">
      <c r="A53" s="8">
        <v>42969.303599537037</v>
      </c>
      <c r="B53" s="20" t="s">
        <v>579</v>
      </c>
      <c r="C53" s="20" t="s">
        <v>638</v>
      </c>
      <c r="D53" s="138">
        <v>3300000</v>
      </c>
      <c r="E53" s="20" t="s">
        <v>471</v>
      </c>
      <c r="F53" s="20" t="s">
        <v>472</v>
      </c>
      <c r="G53" s="8" t="str">
        <f t="shared" si="0"/>
        <v>LANGERAK WILLIAM</v>
      </c>
    </row>
    <row r="54" spans="1:7" x14ac:dyDescent="0.25">
      <c r="A54" s="8">
        <v>42969.30809027778</v>
      </c>
      <c r="B54" s="20" t="s">
        <v>556</v>
      </c>
      <c r="C54" s="20" t="s">
        <v>639</v>
      </c>
      <c r="D54" s="138">
        <v>2560000</v>
      </c>
      <c r="E54" s="20" t="s">
        <v>442</v>
      </c>
      <c r="F54" s="20" t="s">
        <v>349</v>
      </c>
      <c r="G54" s="8" t="str">
        <f t="shared" si="0"/>
        <v>MACDONALD THOMAS</v>
      </c>
    </row>
    <row r="55" spans="1:7" x14ac:dyDescent="0.25">
      <c r="A55" s="8">
        <v>42969.310636574075</v>
      </c>
      <c r="B55" s="20" t="s">
        <v>389</v>
      </c>
      <c r="C55" s="20" t="s">
        <v>637</v>
      </c>
      <c r="D55" s="138">
        <v>2600000</v>
      </c>
      <c r="E55" s="20" t="s">
        <v>473</v>
      </c>
      <c r="F55" s="20" t="s">
        <v>474</v>
      </c>
      <c r="G55" s="8" t="str">
        <f t="shared" si="0"/>
        <v>DAVIDSON DAVID</v>
      </c>
    </row>
    <row r="56" spans="1:7" x14ac:dyDescent="0.25">
      <c r="A56" s="8">
        <v>42969.316967592589</v>
      </c>
      <c r="B56" s="20" t="s">
        <v>559</v>
      </c>
      <c r="C56" s="20" t="s">
        <v>560</v>
      </c>
      <c r="D56" s="138">
        <v>1110000</v>
      </c>
      <c r="E56" s="20" t="s">
        <v>468</v>
      </c>
      <c r="F56" s="20" t="s">
        <v>469</v>
      </c>
      <c r="G56" s="8" t="str">
        <f t="shared" si="0"/>
        <v>STARKS ANGELINA</v>
      </c>
    </row>
    <row r="57" spans="1:7" x14ac:dyDescent="0.25">
      <c r="A57" s="8">
        <v>42969.31753472222</v>
      </c>
      <c r="B57" s="20" t="s">
        <v>631</v>
      </c>
      <c r="C57" s="20" t="s">
        <v>640</v>
      </c>
      <c r="D57" s="138">
        <v>3300000</v>
      </c>
      <c r="E57" s="20" t="s">
        <v>471</v>
      </c>
      <c r="F57" s="20" t="s">
        <v>472</v>
      </c>
      <c r="G57" s="8" t="str">
        <f t="shared" si="0"/>
        <v>LANGERAK WILLIAM</v>
      </c>
    </row>
    <row r="58" spans="1:7" x14ac:dyDescent="0.25">
      <c r="A58" s="8">
        <v>42969.320185185185</v>
      </c>
      <c r="B58" s="20" t="s">
        <v>369</v>
      </c>
      <c r="C58" s="20" t="s">
        <v>563</v>
      </c>
      <c r="D58" s="138">
        <v>2010000</v>
      </c>
      <c r="E58" s="20" t="s">
        <v>439</v>
      </c>
      <c r="F58" s="20" t="s">
        <v>440</v>
      </c>
      <c r="G58" s="8" t="str">
        <f t="shared" si="0"/>
        <v>MAELZER KURT</v>
      </c>
    </row>
    <row r="59" spans="1:7" x14ac:dyDescent="0.25">
      <c r="A59" s="8">
        <v>42969.323784722219</v>
      </c>
      <c r="B59" s="20" t="s">
        <v>553</v>
      </c>
      <c r="C59" s="20" t="s">
        <v>562</v>
      </c>
      <c r="D59" s="138">
        <v>1540000</v>
      </c>
      <c r="E59" s="20" t="s">
        <v>609</v>
      </c>
      <c r="F59" s="20" t="s">
        <v>610</v>
      </c>
      <c r="G59" s="8" t="str">
        <f t="shared" si="0"/>
        <v>HELVIE ADAM</v>
      </c>
    </row>
    <row r="60" spans="1:7" x14ac:dyDescent="0.25">
      <c r="A60" s="8">
        <v>42969.327592592592</v>
      </c>
      <c r="B60" s="20" t="s">
        <v>611</v>
      </c>
      <c r="C60" s="20" t="s">
        <v>641</v>
      </c>
      <c r="D60" s="138">
        <v>890000</v>
      </c>
      <c r="E60" s="20" t="s">
        <v>475</v>
      </c>
      <c r="F60" s="20" t="s">
        <v>476</v>
      </c>
      <c r="G60" s="8" t="str">
        <f t="shared" si="0"/>
        <v>LOZA FIDEL</v>
      </c>
    </row>
    <row r="61" spans="1:7" x14ac:dyDescent="0.25">
      <c r="A61" s="8">
        <v>42969.331446759257</v>
      </c>
      <c r="B61" s="20" t="s">
        <v>467</v>
      </c>
      <c r="C61" s="20" t="s">
        <v>642</v>
      </c>
      <c r="D61" s="138">
        <v>2530000</v>
      </c>
      <c r="E61" s="20" t="s">
        <v>437</v>
      </c>
      <c r="F61" s="20" t="s">
        <v>438</v>
      </c>
      <c r="G61" s="8" t="str">
        <f t="shared" si="0"/>
        <v>LALONDE GREGORY</v>
      </c>
    </row>
    <row r="62" spans="1:7" x14ac:dyDescent="0.25">
      <c r="A62" s="8">
        <v>42969.338090277779</v>
      </c>
      <c r="B62" s="20" t="s">
        <v>435</v>
      </c>
      <c r="C62" s="20" t="s">
        <v>643</v>
      </c>
      <c r="D62" s="138">
        <v>940000</v>
      </c>
      <c r="E62" s="20" t="s">
        <v>477</v>
      </c>
      <c r="F62" s="20" t="s">
        <v>478</v>
      </c>
      <c r="G62" s="8" t="str">
        <f t="shared" si="0"/>
        <v>BONDS REYNALDO</v>
      </c>
    </row>
    <row r="63" spans="1:7" x14ac:dyDescent="0.25">
      <c r="A63" s="8">
        <v>42969.338726851849</v>
      </c>
      <c r="B63" s="20" t="s">
        <v>564</v>
      </c>
      <c r="C63" s="20" t="s">
        <v>565</v>
      </c>
      <c r="D63" s="138">
        <v>1540000</v>
      </c>
      <c r="E63" s="20" t="s">
        <v>609</v>
      </c>
      <c r="F63" s="20" t="s">
        <v>610</v>
      </c>
      <c r="G63" s="8" t="str">
        <f t="shared" si="0"/>
        <v>HELVIE ADAM</v>
      </c>
    </row>
    <row r="64" spans="1:7" x14ac:dyDescent="0.25">
      <c r="A64" s="26">
        <v>42969.340046296296</v>
      </c>
      <c r="B64" s="20" t="s">
        <v>392</v>
      </c>
      <c r="C64" s="20" t="s">
        <v>644</v>
      </c>
      <c r="D64" s="138">
        <v>2600000</v>
      </c>
      <c r="E64" s="20" t="s">
        <v>473</v>
      </c>
      <c r="F64" s="20" t="s">
        <v>474</v>
      </c>
      <c r="G64" s="8" t="str">
        <f t="shared" si="0"/>
        <v>DAVIDSON DAVID</v>
      </c>
    </row>
    <row r="65" spans="1:7" x14ac:dyDescent="0.25">
      <c r="A65" s="8">
        <v>42969.344224537039</v>
      </c>
      <c r="B65" s="20" t="s">
        <v>579</v>
      </c>
      <c r="C65" s="20" t="s">
        <v>645</v>
      </c>
      <c r="D65" s="138">
        <v>2730000</v>
      </c>
      <c r="E65" s="20" t="s">
        <v>646</v>
      </c>
      <c r="F65" s="20" t="s">
        <v>647</v>
      </c>
      <c r="G65" s="8" t="str">
        <f t="shared" si="0"/>
        <v>YANG JAN</v>
      </c>
    </row>
    <row r="66" spans="1:7" x14ac:dyDescent="0.25">
      <c r="A66" s="8">
        <v>42969.344583333332</v>
      </c>
      <c r="B66" s="20" t="s">
        <v>591</v>
      </c>
      <c r="C66" s="20" t="s">
        <v>648</v>
      </c>
      <c r="D66" s="138">
        <v>2560000</v>
      </c>
      <c r="E66" s="20" t="s">
        <v>442</v>
      </c>
      <c r="F66" s="20" t="s">
        <v>349</v>
      </c>
      <c r="G66" s="8" t="str">
        <f t="shared" si="0"/>
        <v>MACDONALD THOMAS</v>
      </c>
    </row>
    <row r="67" spans="1:7" x14ac:dyDescent="0.25">
      <c r="A67" s="8">
        <v>42969.353414351855</v>
      </c>
      <c r="B67" s="20" t="s">
        <v>568</v>
      </c>
      <c r="C67" s="20" t="s">
        <v>649</v>
      </c>
      <c r="D67" s="138">
        <v>1110000</v>
      </c>
      <c r="E67" s="20" t="s">
        <v>468</v>
      </c>
      <c r="F67" s="20" t="s">
        <v>469</v>
      </c>
      <c r="G67" s="8" t="str">
        <f t="shared" ref="G67:G130" si="1">E67&amp;" "&amp;F67</f>
        <v>STARKS ANGELINA</v>
      </c>
    </row>
    <row r="68" spans="1:7" x14ac:dyDescent="0.25">
      <c r="A68" s="8">
        <v>42969.353773148148</v>
      </c>
      <c r="B68" s="20" t="s">
        <v>553</v>
      </c>
      <c r="C68" s="20" t="s">
        <v>650</v>
      </c>
      <c r="D68" s="138">
        <v>1540000</v>
      </c>
      <c r="E68" s="20" t="s">
        <v>609</v>
      </c>
      <c r="F68" s="20" t="s">
        <v>610</v>
      </c>
      <c r="G68" s="8" t="str">
        <f t="shared" si="1"/>
        <v>HELVIE ADAM</v>
      </c>
    </row>
    <row r="69" spans="1:7" x14ac:dyDescent="0.25">
      <c r="A69" s="8">
        <v>42969.354004629633</v>
      </c>
      <c r="B69" s="20" t="s">
        <v>371</v>
      </c>
      <c r="C69" s="20" t="s">
        <v>651</v>
      </c>
      <c r="D69" s="138">
        <v>2010000</v>
      </c>
      <c r="E69" s="20" t="s">
        <v>439</v>
      </c>
      <c r="F69" s="20" t="s">
        <v>440</v>
      </c>
      <c r="G69" s="8" t="str">
        <f t="shared" si="1"/>
        <v>MAELZER KURT</v>
      </c>
    </row>
    <row r="70" spans="1:7" x14ac:dyDescent="0.25">
      <c r="A70" s="8">
        <v>42969.354722222219</v>
      </c>
      <c r="B70" s="20" t="s">
        <v>568</v>
      </c>
      <c r="C70" s="20" t="s">
        <v>649</v>
      </c>
      <c r="D70" s="138">
        <v>1110000</v>
      </c>
      <c r="E70" s="20" t="s">
        <v>468</v>
      </c>
      <c r="F70" s="20" t="s">
        <v>469</v>
      </c>
      <c r="G70" s="8" t="str">
        <f t="shared" si="1"/>
        <v>STARKS ANGELINA</v>
      </c>
    </row>
    <row r="71" spans="1:7" x14ac:dyDescent="0.25">
      <c r="A71" s="8">
        <v>42969.359224537038</v>
      </c>
      <c r="B71" s="20" t="s">
        <v>466</v>
      </c>
      <c r="C71" s="20" t="s">
        <v>652</v>
      </c>
      <c r="D71" s="138">
        <v>2530000</v>
      </c>
      <c r="E71" s="20" t="s">
        <v>437</v>
      </c>
      <c r="F71" s="20" t="s">
        <v>438</v>
      </c>
      <c r="G71" s="8" t="str">
        <f t="shared" si="1"/>
        <v>LALONDE GREGORY</v>
      </c>
    </row>
    <row r="72" spans="1:7" x14ac:dyDescent="0.25">
      <c r="A72" s="8">
        <v>42969.359513888892</v>
      </c>
      <c r="B72" s="20" t="s">
        <v>631</v>
      </c>
      <c r="C72" s="20" t="s">
        <v>653</v>
      </c>
      <c r="D72" s="138">
        <v>2730000</v>
      </c>
      <c r="E72" s="20" t="s">
        <v>646</v>
      </c>
      <c r="F72" s="20" t="s">
        <v>647</v>
      </c>
      <c r="G72" s="8" t="str">
        <f t="shared" si="1"/>
        <v>YANG JAN</v>
      </c>
    </row>
    <row r="73" spans="1:7" x14ac:dyDescent="0.25">
      <c r="A73" s="8">
        <v>42969.361226851855</v>
      </c>
      <c r="B73" s="20" t="s">
        <v>568</v>
      </c>
      <c r="C73" s="20" t="s">
        <v>649</v>
      </c>
      <c r="D73" s="138">
        <v>1110000</v>
      </c>
      <c r="E73" s="20" t="s">
        <v>468</v>
      </c>
      <c r="F73" s="20" t="s">
        <v>469</v>
      </c>
      <c r="G73" s="8" t="str">
        <f t="shared" si="1"/>
        <v>STARKS ANGELINA</v>
      </c>
    </row>
    <row r="74" spans="1:7" x14ac:dyDescent="0.25">
      <c r="A74" s="8">
        <v>42969.365115740744</v>
      </c>
      <c r="B74" s="20" t="s">
        <v>434</v>
      </c>
      <c r="C74" s="20" t="s">
        <v>654</v>
      </c>
      <c r="D74" s="138">
        <v>890000</v>
      </c>
      <c r="E74" s="20" t="s">
        <v>475</v>
      </c>
      <c r="F74" s="20" t="s">
        <v>476</v>
      </c>
      <c r="G74" s="8" t="str">
        <f t="shared" si="1"/>
        <v>LOZA FIDEL</v>
      </c>
    </row>
    <row r="75" spans="1:7" x14ac:dyDescent="0.25">
      <c r="A75" s="8">
        <v>42969.373645833337</v>
      </c>
      <c r="B75" s="20" t="s">
        <v>436</v>
      </c>
      <c r="C75" s="20" t="s">
        <v>655</v>
      </c>
      <c r="D75" s="138">
        <v>940000</v>
      </c>
      <c r="E75" s="20" t="s">
        <v>477</v>
      </c>
      <c r="F75" s="20" t="s">
        <v>478</v>
      </c>
      <c r="G75" s="8" t="str">
        <f t="shared" si="1"/>
        <v>BONDS REYNALDO</v>
      </c>
    </row>
    <row r="76" spans="1:7" x14ac:dyDescent="0.25">
      <c r="A76" s="8">
        <v>42969.382002314815</v>
      </c>
      <c r="B76" s="20" t="s">
        <v>556</v>
      </c>
      <c r="C76" s="20" t="s">
        <v>656</v>
      </c>
      <c r="D76" s="138">
        <v>2560000</v>
      </c>
      <c r="E76" s="20" t="s">
        <v>442</v>
      </c>
      <c r="F76" s="20" t="s">
        <v>349</v>
      </c>
      <c r="G76" s="8" t="str">
        <f t="shared" si="1"/>
        <v>MACDONALD THOMAS</v>
      </c>
    </row>
    <row r="77" spans="1:7" x14ac:dyDescent="0.25">
      <c r="A77" s="8">
        <v>42969.384826388887</v>
      </c>
      <c r="B77" s="20" t="s">
        <v>389</v>
      </c>
      <c r="C77" s="20" t="s">
        <v>657</v>
      </c>
      <c r="D77" s="138">
        <v>3300000</v>
      </c>
      <c r="E77" s="20" t="s">
        <v>471</v>
      </c>
      <c r="F77" s="20" t="s">
        <v>472</v>
      </c>
      <c r="G77" s="8" t="str">
        <f t="shared" si="1"/>
        <v>LANGERAK WILLIAM</v>
      </c>
    </row>
    <row r="78" spans="1:7" x14ac:dyDescent="0.25">
      <c r="A78" s="8">
        <v>42969.387650462966</v>
      </c>
      <c r="B78" s="20" t="s">
        <v>579</v>
      </c>
      <c r="C78" s="20" t="s">
        <v>658</v>
      </c>
      <c r="D78" s="138">
        <v>2730000</v>
      </c>
      <c r="E78" s="20" t="s">
        <v>646</v>
      </c>
      <c r="F78" s="20" t="s">
        <v>647</v>
      </c>
      <c r="G78" s="8" t="str">
        <f t="shared" si="1"/>
        <v>YANG JAN</v>
      </c>
    </row>
    <row r="79" spans="1:7" x14ac:dyDescent="0.25">
      <c r="A79" s="8">
        <v>42969.39166666667</v>
      </c>
      <c r="B79" s="20" t="s">
        <v>559</v>
      </c>
      <c r="C79" s="20" t="s">
        <v>659</v>
      </c>
      <c r="D79" s="138">
        <v>1110000</v>
      </c>
      <c r="E79" s="20" t="s">
        <v>468</v>
      </c>
      <c r="F79" s="20" t="s">
        <v>469</v>
      </c>
      <c r="G79" s="8" t="str">
        <f t="shared" si="1"/>
        <v>STARKS ANGELINA</v>
      </c>
    </row>
    <row r="80" spans="1:7" x14ac:dyDescent="0.25">
      <c r="A80" s="8">
        <v>42969.394016203703</v>
      </c>
      <c r="B80" s="20" t="s">
        <v>611</v>
      </c>
      <c r="C80" s="20" t="s">
        <v>660</v>
      </c>
      <c r="D80" s="138">
        <v>890000</v>
      </c>
      <c r="E80" s="20" t="s">
        <v>475</v>
      </c>
      <c r="F80" s="20" t="s">
        <v>476</v>
      </c>
      <c r="G80" s="8" t="str">
        <f t="shared" si="1"/>
        <v>LOZA FIDEL</v>
      </c>
    </row>
    <row r="81" spans="1:7" x14ac:dyDescent="0.25">
      <c r="A81" s="8">
        <v>42969.394872685189</v>
      </c>
      <c r="B81" s="20" t="s">
        <v>369</v>
      </c>
      <c r="C81" s="20" t="s">
        <v>661</v>
      </c>
      <c r="D81" s="138">
        <v>2010000</v>
      </c>
      <c r="E81" s="20" t="s">
        <v>439</v>
      </c>
      <c r="F81" s="20" t="s">
        <v>440</v>
      </c>
      <c r="G81" s="8" t="str">
        <f t="shared" si="1"/>
        <v>MAELZER KURT</v>
      </c>
    </row>
    <row r="82" spans="1:7" x14ac:dyDescent="0.25">
      <c r="A82" s="8">
        <v>42969.401261574072</v>
      </c>
      <c r="B82" s="20" t="s">
        <v>631</v>
      </c>
      <c r="C82" s="20" t="s">
        <v>662</v>
      </c>
      <c r="D82" s="138">
        <v>2730000</v>
      </c>
      <c r="E82" s="20" t="s">
        <v>646</v>
      </c>
      <c r="F82" s="20" t="s">
        <v>647</v>
      </c>
      <c r="G82" s="8" t="str">
        <f t="shared" si="1"/>
        <v>YANG JAN</v>
      </c>
    </row>
    <row r="83" spans="1:7" x14ac:dyDescent="0.25">
      <c r="A83" s="8">
        <v>42969.405300925922</v>
      </c>
      <c r="B83" s="20" t="s">
        <v>467</v>
      </c>
      <c r="C83" s="20" t="s">
        <v>663</v>
      </c>
      <c r="D83" s="138">
        <v>2530000</v>
      </c>
      <c r="E83" s="20" t="s">
        <v>437</v>
      </c>
      <c r="F83" s="20" t="s">
        <v>438</v>
      </c>
      <c r="G83" s="8" t="str">
        <f t="shared" si="1"/>
        <v>LALONDE GREGORY</v>
      </c>
    </row>
    <row r="84" spans="1:7" x14ac:dyDescent="0.25">
      <c r="A84" s="8">
        <v>42969.413391203707</v>
      </c>
      <c r="B84" s="20" t="s">
        <v>435</v>
      </c>
      <c r="C84" s="20" t="s">
        <v>567</v>
      </c>
      <c r="D84" s="138">
        <v>940000</v>
      </c>
      <c r="E84" s="20" t="s">
        <v>477</v>
      </c>
      <c r="F84" s="20" t="s">
        <v>478</v>
      </c>
      <c r="G84" s="8" t="str">
        <f t="shared" si="1"/>
        <v>BONDS REYNALDO</v>
      </c>
    </row>
    <row r="85" spans="1:7" x14ac:dyDescent="0.25">
      <c r="A85" s="8">
        <v>42969.414293981485</v>
      </c>
      <c r="B85" s="20" t="s">
        <v>576</v>
      </c>
      <c r="C85" s="20" t="s">
        <v>664</v>
      </c>
      <c r="D85" s="138">
        <v>1360000</v>
      </c>
      <c r="E85" s="20" t="s">
        <v>665</v>
      </c>
      <c r="F85" s="20" t="s">
        <v>666</v>
      </c>
      <c r="G85" s="8" t="str">
        <f t="shared" si="1"/>
        <v>SANTIZO D. EDY</v>
      </c>
    </row>
    <row r="86" spans="1:7" x14ac:dyDescent="0.25">
      <c r="A86" s="8">
        <v>42969.422523148147</v>
      </c>
      <c r="B86" s="20" t="s">
        <v>591</v>
      </c>
      <c r="C86" s="20" t="s">
        <v>667</v>
      </c>
      <c r="D86" s="138">
        <v>1540000</v>
      </c>
      <c r="E86" s="20" t="s">
        <v>609</v>
      </c>
      <c r="F86" s="20" t="s">
        <v>610</v>
      </c>
      <c r="G86" s="8" t="str">
        <f t="shared" si="1"/>
        <v>HELVIE ADAM</v>
      </c>
    </row>
    <row r="87" spans="1:7" x14ac:dyDescent="0.25">
      <c r="A87" s="8">
        <v>42969.423750000002</v>
      </c>
      <c r="B87" s="20" t="s">
        <v>392</v>
      </c>
      <c r="C87" s="20" t="s">
        <v>566</v>
      </c>
      <c r="D87" s="138">
        <v>3300000</v>
      </c>
      <c r="E87" s="20" t="s">
        <v>471</v>
      </c>
      <c r="F87" s="20" t="s">
        <v>472</v>
      </c>
      <c r="G87" s="8" t="str">
        <f t="shared" si="1"/>
        <v>LANGERAK WILLIAM</v>
      </c>
    </row>
    <row r="88" spans="1:7" x14ac:dyDescent="0.25">
      <c r="A88" s="8">
        <v>42969.426550925928</v>
      </c>
      <c r="B88" s="20" t="s">
        <v>579</v>
      </c>
      <c r="C88" s="20" t="s">
        <v>668</v>
      </c>
      <c r="D88" s="138">
        <v>2730000</v>
      </c>
      <c r="E88" s="20" t="s">
        <v>646</v>
      </c>
      <c r="F88" s="20" t="s">
        <v>647</v>
      </c>
      <c r="G88" s="8" t="str">
        <f t="shared" si="1"/>
        <v>YANG JAN</v>
      </c>
    </row>
    <row r="89" spans="1:7" x14ac:dyDescent="0.25">
      <c r="A89" s="8">
        <v>42969.429629629631</v>
      </c>
      <c r="B89" s="20" t="s">
        <v>371</v>
      </c>
      <c r="C89" s="20" t="s">
        <v>669</v>
      </c>
      <c r="D89" s="138">
        <v>2010000</v>
      </c>
      <c r="E89" s="20" t="s">
        <v>439</v>
      </c>
      <c r="F89" s="20" t="s">
        <v>440</v>
      </c>
      <c r="G89" s="8" t="str">
        <f t="shared" si="1"/>
        <v>MAELZER KURT</v>
      </c>
    </row>
    <row r="90" spans="1:7" x14ac:dyDescent="0.25">
      <c r="A90" s="8">
        <v>42969.43037037037</v>
      </c>
      <c r="B90" s="20" t="s">
        <v>568</v>
      </c>
      <c r="C90" s="20" t="s">
        <v>569</v>
      </c>
      <c r="D90" s="138">
        <v>2560000</v>
      </c>
      <c r="E90" s="20" t="s">
        <v>442</v>
      </c>
      <c r="F90" s="20" t="s">
        <v>349</v>
      </c>
      <c r="G90" s="8" t="str">
        <f t="shared" si="1"/>
        <v>MACDONALD THOMAS</v>
      </c>
    </row>
    <row r="91" spans="1:7" x14ac:dyDescent="0.25">
      <c r="A91" s="8">
        <v>42969.435717592591</v>
      </c>
      <c r="B91" s="20" t="s">
        <v>466</v>
      </c>
      <c r="C91" s="20" t="s">
        <v>670</v>
      </c>
      <c r="D91" s="138">
        <v>2530000</v>
      </c>
      <c r="E91" s="20" t="s">
        <v>437</v>
      </c>
      <c r="F91" s="20" t="s">
        <v>438</v>
      </c>
      <c r="G91" s="8" t="str">
        <f t="shared" si="1"/>
        <v>LALONDE GREGORY</v>
      </c>
    </row>
    <row r="92" spans="1:7" x14ac:dyDescent="0.25">
      <c r="A92" s="8">
        <v>42969.44122685185</v>
      </c>
      <c r="B92" s="20" t="s">
        <v>434</v>
      </c>
      <c r="C92" s="20" t="s">
        <v>671</v>
      </c>
      <c r="D92" s="138">
        <v>1780000</v>
      </c>
      <c r="E92" s="20" t="s">
        <v>672</v>
      </c>
      <c r="F92" s="20" t="s">
        <v>673</v>
      </c>
      <c r="G92" s="8" t="str">
        <f t="shared" si="1"/>
        <v>DE LA ROSA ALEX</v>
      </c>
    </row>
    <row r="93" spans="1:7" x14ac:dyDescent="0.25">
      <c r="A93" s="8">
        <v>42969.442893518521</v>
      </c>
      <c r="B93" s="20" t="s">
        <v>631</v>
      </c>
      <c r="C93" s="20" t="s">
        <v>674</v>
      </c>
      <c r="D93" s="138">
        <v>2730000</v>
      </c>
      <c r="E93" s="20" t="s">
        <v>646</v>
      </c>
      <c r="F93" s="20" t="s">
        <v>647</v>
      </c>
      <c r="G93" s="8" t="str">
        <f t="shared" si="1"/>
        <v>YANG JAN</v>
      </c>
    </row>
    <row r="94" spans="1:7" x14ac:dyDescent="0.25">
      <c r="A94" s="8">
        <v>42969.445543981485</v>
      </c>
      <c r="B94" s="20" t="s">
        <v>487</v>
      </c>
      <c r="C94" s="20" t="s">
        <v>675</v>
      </c>
      <c r="D94" s="138">
        <v>1360000</v>
      </c>
      <c r="E94" s="20" t="s">
        <v>665</v>
      </c>
      <c r="F94" s="20" t="s">
        <v>666</v>
      </c>
      <c r="G94" s="8" t="str">
        <f t="shared" si="1"/>
        <v>SANTIZO D. EDY</v>
      </c>
    </row>
    <row r="95" spans="1:7" x14ac:dyDescent="0.25">
      <c r="A95" s="8">
        <v>42969.459513888891</v>
      </c>
      <c r="B95" s="20" t="s">
        <v>389</v>
      </c>
      <c r="C95" s="20" t="s">
        <v>676</v>
      </c>
      <c r="D95" s="138">
        <v>2600000</v>
      </c>
      <c r="E95" s="20" t="s">
        <v>473</v>
      </c>
      <c r="F95" s="20" t="s">
        <v>474</v>
      </c>
      <c r="G95" s="8" t="str">
        <f t="shared" si="1"/>
        <v>DAVIDSON DAVID</v>
      </c>
    </row>
    <row r="96" spans="1:7" x14ac:dyDescent="0.25">
      <c r="A96" s="8">
        <v>42969.465208333335</v>
      </c>
      <c r="B96" s="20" t="s">
        <v>556</v>
      </c>
      <c r="C96" s="20" t="s">
        <v>570</v>
      </c>
      <c r="D96" s="138">
        <v>1540000</v>
      </c>
      <c r="E96" s="20" t="s">
        <v>609</v>
      </c>
      <c r="F96" s="20" t="s">
        <v>610</v>
      </c>
      <c r="G96" s="8" t="str">
        <f t="shared" si="1"/>
        <v>HELVIE ADAM</v>
      </c>
    </row>
    <row r="97" spans="1:7" x14ac:dyDescent="0.25">
      <c r="A97" s="8">
        <v>42969.466643518521</v>
      </c>
      <c r="B97" s="20" t="s">
        <v>559</v>
      </c>
      <c r="C97" s="20" t="s">
        <v>677</v>
      </c>
      <c r="D97" s="138">
        <v>2560000</v>
      </c>
      <c r="E97" s="20" t="s">
        <v>442</v>
      </c>
      <c r="F97" s="20" t="s">
        <v>349</v>
      </c>
      <c r="G97" s="8" t="str">
        <f t="shared" si="1"/>
        <v>MACDONALD THOMAS</v>
      </c>
    </row>
    <row r="98" spans="1:7" x14ac:dyDescent="0.25">
      <c r="A98" s="8">
        <v>42969.468773148146</v>
      </c>
      <c r="B98" s="20" t="s">
        <v>579</v>
      </c>
      <c r="C98" s="20" t="s">
        <v>678</v>
      </c>
      <c r="D98" s="138">
        <v>2730000</v>
      </c>
      <c r="E98" s="20" t="s">
        <v>646</v>
      </c>
      <c r="F98" s="20" t="s">
        <v>647</v>
      </c>
      <c r="G98" s="8" t="str">
        <f t="shared" si="1"/>
        <v>YANG JAN</v>
      </c>
    </row>
    <row r="99" spans="1:7" x14ac:dyDescent="0.25">
      <c r="A99" s="8">
        <v>42969.470914351848</v>
      </c>
      <c r="B99" s="20" t="s">
        <v>369</v>
      </c>
      <c r="C99" s="20" t="s">
        <v>679</v>
      </c>
      <c r="D99" s="138">
        <v>880000</v>
      </c>
      <c r="E99" s="20" t="s">
        <v>680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42969.480046296296</v>
      </c>
      <c r="B100" s="20" t="s">
        <v>467</v>
      </c>
      <c r="C100" s="20" t="s">
        <v>681</v>
      </c>
      <c r="D100" s="138">
        <v>2470000</v>
      </c>
      <c r="E100" s="20" t="s">
        <v>443</v>
      </c>
      <c r="F100" s="20" t="s">
        <v>444</v>
      </c>
      <c r="G100" s="8" t="str">
        <f t="shared" si="1"/>
        <v>ROMERO CHAD</v>
      </c>
    </row>
    <row r="101" spans="1:7" x14ac:dyDescent="0.25">
      <c r="A101" s="8">
        <v>42969.48164351852</v>
      </c>
      <c r="B101" s="20" t="s">
        <v>611</v>
      </c>
      <c r="C101" s="20" t="s">
        <v>682</v>
      </c>
      <c r="D101" s="138">
        <v>1780000</v>
      </c>
      <c r="E101" s="20" t="s">
        <v>672</v>
      </c>
      <c r="F101" s="20" t="s">
        <v>673</v>
      </c>
      <c r="G101" s="8" t="str">
        <f t="shared" si="1"/>
        <v>DE LA ROSA ALEX</v>
      </c>
    </row>
    <row r="102" spans="1:7" x14ac:dyDescent="0.25">
      <c r="A102" s="8">
        <v>42969.484618055554</v>
      </c>
      <c r="B102" s="20" t="s">
        <v>631</v>
      </c>
      <c r="C102" s="20" t="s">
        <v>683</v>
      </c>
      <c r="D102" s="138">
        <v>2730000</v>
      </c>
      <c r="E102" s="20" t="s">
        <v>646</v>
      </c>
      <c r="F102" s="20" t="s">
        <v>647</v>
      </c>
      <c r="G102" s="8" t="str">
        <f t="shared" si="1"/>
        <v>YANG JAN</v>
      </c>
    </row>
    <row r="103" spans="1:7" x14ac:dyDescent="0.25">
      <c r="A103" s="8">
        <v>42969.487812500003</v>
      </c>
      <c r="B103" s="20" t="s">
        <v>392</v>
      </c>
      <c r="C103" s="20" t="s">
        <v>684</v>
      </c>
      <c r="D103" s="138">
        <v>2600000</v>
      </c>
      <c r="E103" s="20" t="s">
        <v>473</v>
      </c>
      <c r="F103" s="20" t="s">
        <v>474</v>
      </c>
      <c r="G103" s="8" t="str">
        <f t="shared" si="1"/>
        <v>DAVIDSON DAVID</v>
      </c>
    </row>
    <row r="104" spans="1:7" x14ac:dyDescent="0.25">
      <c r="A104" s="8">
        <v>42969.489675925928</v>
      </c>
      <c r="B104" s="20" t="s">
        <v>576</v>
      </c>
      <c r="C104" s="20" t="s">
        <v>685</v>
      </c>
      <c r="D104" s="138">
        <v>1300000</v>
      </c>
      <c r="E104" s="20" t="s">
        <v>483</v>
      </c>
      <c r="F104" s="20" t="s">
        <v>484</v>
      </c>
      <c r="G104" s="8" t="str">
        <f t="shared" si="1"/>
        <v>LEVIN SCOTT</v>
      </c>
    </row>
    <row r="105" spans="1:7" x14ac:dyDescent="0.25">
      <c r="A105" s="8">
        <v>42969.497141203705</v>
      </c>
      <c r="B105" s="20" t="s">
        <v>619</v>
      </c>
      <c r="C105" s="20" t="s">
        <v>572</v>
      </c>
      <c r="D105" s="138">
        <v>2040000</v>
      </c>
      <c r="E105" s="20" t="s">
        <v>393</v>
      </c>
      <c r="F105" s="20" t="s">
        <v>394</v>
      </c>
      <c r="G105" s="8" t="str">
        <f t="shared" si="1"/>
        <v>MOSES BRADLEY</v>
      </c>
    </row>
    <row r="106" spans="1:7" x14ac:dyDescent="0.25">
      <c r="A106" s="8">
        <v>42969.498333333337</v>
      </c>
      <c r="B106" s="20" t="s">
        <v>619</v>
      </c>
      <c r="C106" s="20" t="s">
        <v>572</v>
      </c>
      <c r="D106" s="138">
        <v>2040000</v>
      </c>
      <c r="E106" s="20" t="s">
        <v>393</v>
      </c>
      <c r="F106" s="20" t="s">
        <v>394</v>
      </c>
      <c r="G106" s="8" t="str">
        <f t="shared" si="1"/>
        <v>MOSES BRADLEY</v>
      </c>
    </row>
    <row r="107" spans="1:7" x14ac:dyDescent="0.25">
      <c r="A107" s="8">
        <v>42969.499097222222</v>
      </c>
      <c r="B107" s="20" t="s">
        <v>619</v>
      </c>
      <c r="C107" s="20" t="s">
        <v>572</v>
      </c>
      <c r="D107" s="138">
        <v>2040000</v>
      </c>
      <c r="E107" s="20" t="s">
        <v>393</v>
      </c>
      <c r="F107" s="20" t="s">
        <v>394</v>
      </c>
      <c r="G107" s="8" t="str">
        <f t="shared" si="1"/>
        <v>MOSES BRADLEY</v>
      </c>
    </row>
    <row r="108" spans="1:7" x14ac:dyDescent="0.25">
      <c r="A108" s="8">
        <v>42969.499456018515</v>
      </c>
      <c r="B108" s="20" t="s">
        <v>591</v>
      </c>
      <c r="C108" s="20" t="s">
        <v>686</v>
      </c>
      <c r="D108" s="138">
        <v>3500000</v>
      </c>
      <c r="E108" s="20" t="s">
        <v>479</v>
      </c>
      <c r="F108" s="20" t="s">
        <v>480</v>
      </c>
      <c r="G108" s="8" t="str">
        <f t="shared" si="1"/>
        <v>GUNTHIER ERIC</v>
      </c>
    </row>
    <row r="109" spans="1:7" x14ac:dyDescent="0.25">
      <c r="A109" s="8">
        <v>42969.505185185182</v>
      </c>
      <c r="B109" s="20" t="s">
        <v>571</v>
      </c>
      <c r="C109" s="20" t="s">
        <v>572</v>
      </c>
      <c r="D109" s="138">
        <v>2040000</v>
      </c>
      <c r="E109" s="20" t="s">
        <v>393</v>
      </c>
      <c r="F109" s="20" t="s">
        <v>394</v>
      </c>
      <c r="G109" s="8" t="str">
        <f t="shared" si="1"/>
        <v>MOSES BRADLEY</v>
      </c>
    </row>
    <row r="110" spans="1:7" x14ac:dyDescent="0.25">
      <c r="A110" s="8">
        <v>42969.506585648145</v>
      </c>
      <c r="B110" s="20" t="s">
        <v>371</v>
      </c>
      <c r="C110" s="20" t="s">
        <v>679</v>
      </c>
      <c r="D110" s="138">
        <v>880000</v>
      </c>
      <c r="E110" s="20" t="s">
        <v>680</v>
      </c>
      <c r="F110" s="20" t="s">
        <v>192</v>
      </c>
      <c r="G110" s="8" t="str">
        <f t="shared" si="1"/>
        <v>STEWART MICHAEL</v>
      </c>
    </row>
    <row r="111" spans="1:7" x14ac:dyDescent="0.25">
      <c r="A111" s="8">
        <v>42969.507199074076</v>
      </c>
      <c r="B111" s="20" t="s">
        <v>466</v>
      </c>
      <c r="C111" s="20" t="s">
        <v>687</v>
      </c>
      <c r="D111" s="138">
        <v>2470000</v>
      </c>
      <c r="E111" s="20" t="s">
        <v>443</v>
      </c>
      <c r="F111" s="20" t="s">
        <v>444</v>
      </c>
      <c r="G111" s="8" t="str">
        <f t="shared" si="1"/>
        <v>ROMERO CHAD</v>
      </c>
    </row>
    <row r="112" spans="1:7" x14ac:dyDescent="0.25">
      <c r="A112" s="8">
        <v>42969.507245370369</v>
      </c>
      <c r="B112" s="20" t="s">
        <v>371</v>
      </c>
      <c r="C112" s="20" t="s">
        <v>573</v>
      </c>
      <c r="D112" s="138">
        <v>880000</v>
      </c>
      <c r="E112" s="20" t="s">
        <v>680</v>
      </c>
      <c r="F112" s="20" t="s">
        <v>192</v>
      </c>
      <c r="G112" s="8" t="str">
        <f t="shared" si="1"/>
        <v>STEWART MICHAEL</v>
      </c>
    </row>
    <row r="113" spans="1:7" x14ac:dyDescent="0.25">
      <c r="A113" s="8">
        <v>42969.509236111109</v>
      </c>
      <c r="B113" s="20" t="s">
        <v>579</v>
      </c>
      <c r="C113" s="20" t="s">
        <v>688</v>
      </c>
      <c r="D113" s="138">
        <v>3300000</v>
      </c>
      <c r="E113" s="20" t="s">
        <v>471</v>
      </c>
      <c r="F113" s="20" t="s">
        <v>472</v>
      </c>
      <c r="G113" s="8" t="str">
        <f t="shared" si="1"/>
        <v>LANGERAK WILLIAM</v>
      </c>
    </row>
    <row r="114" spans="1:7" x14ac:dyDescent="0.25">
      <c r="A114" s="8">
        <v>42969.510439814818</v>
      </c>
      <c r="B114" s="20" t="s">
        <v>579</v>
      </c>
      <c r="C114" s="20" t="s">
        <v>688</v>
      </c>
      <c r="D114" s="138">
        <v>3300000</v>
      </c>
      <c r="E114" s="20" t="s">
        <v>471</v>
      </c>
      <c r="F114" s="20" t="s">
        <v>472</v>
      </c>
      <c r="G114" s="8" t="str">
        <f t="shared" si="1"/>
        <v>LANGERAK WILLIAM</v>
      </c>
    </row>
    <row r="115" spans="1:7" x14ac:dyDescent="0.25">
      <c r="A115" s="8">
        <v>42969.51122685185</v>
      </c>
      <c r="B115" s="20" t="s">
        <v>579</v>
      </c>
      <c r="C115" s="20" t="s">
        <v>688</v>
      </c>
      <c r="D115" s="138">
        <v>3300000</v>
      </c>
      <c r="E115" s="20" t="s">
        <v>471</v>
      </c>
      <c r="F115" s="20" t="s">
        <v>472</v>
      </c>
      <c r="G115" s="8" t="str">
        <f t="shared" si="1"/>
        <v>LANGERAK WILLIAM</v>
      </c>
    </row>
    <row r="116" spans="1:7" x14ac:dyDescent="0.25">
      <c r="A116" s="8">
        <v>42969.511770833335</v>
      </c>
      <c r="B116" s="20" t="s">
        <v>568</v>
      </c>
      <c r="C116" s="20" t="s">
        <v>574</v>
      </c>
      <c r="D116" s="138">
        <v>3120000</v>
      </c>
      <c r="E116" s="20" t="s">
        <v>445</v>
      </c>
      <c r="F116" s="20" t="s">
        <v>446</v>
      </c>
      <c r="G116" s="8" t="str">
        <f t="shared" si="1"/>
        <v>THOMPSON LESTER</v>
      </c>
    </row>
    <row r="117" spans="1:7" x14ac:dyDescent="0.25">
      <c r="A117" s="8">
        <v>42969.521180555559</v>
      </c>
      <c r="B117" s="20" t="s">
        <v>568</v>
      </c>
      <c r="C117" s="20" t="s">
        <v>574</v>
      </c>
      <c r="D117" s="138">
        <v>3120000</v>
      </c>
      <c r="E117" s="20" t="s">
        <v>445</v>
      </c>
      <c r="F117" s="20" t="s">
        <v>446</v>
      </c>
      <c r="G117" s="8" t="str">
        <f t="shared" si="1"/>
        <v>THOMPSON LESTER</v>
      </c>
    </row>
    <row r="118" spans="1:7" x14ac:dyDescent="0.25">
      <c r="A118" s="8">
        <v>42969.522766203707</v>
      </c>
      <c r="B118" s="20" t="s">
        <v>434</v>
      </c>
      <c r="C118" s="20" t="s">
        <v>689</v>
      </c>
      <c r="D118" s="138">
        <v>920000</v>
      </c>
      <c r="E118" s="20" t="s">
        <v>354</v>
      </c>
      <c r="F118" s="20" t="s">
        <v>192</v>
      </c>
      <c r="G118" s="8" t="str">
        <f t="shared" si="1"/>
        <v>DAVIS MICHAEL</v>
      </c>
    </row>
    <row r="119" spans="1:7" x14ac:dyDescent="0.25">
      <c r="A119" s="8">
        <v>42969.526967592596</v>
      </c>
      <c r="B119" s="20" t="s">
        <v>631</v>
      </c>
      <c r="C119" s="20" t="s">
        <v>690</v>
      </c>
      <c r="D119" s="138">
        <v>3300000</v>
      </c>
      <c r="E119" s="20" t="s">
        <v>471</v>
      </c>
      <c r="F119" s="20" t="s">
        <v>472</v>
      </c>
      <c r="G119" s="8" t="str">
        <f t="shared" si="1"/>
        <v>LANGERAK WILLIAM</v>
      </c>
    </row>
    <row r="120" spans="1:7" x14ac:dyDescent="0.25">
      <c r="A120" s="8">
        <v>42969.528483796297</v>
      </c>
      <c r="B120" s="20" t="s">
        <v>487</v>
      </c>
      <c r="C120" s="20" t="s">
        <v>691</v>
      </c>
      <c r="D120" s="138">
        <v>1300000</v>
      </c>
      <c r="E120" s="20" t="s">
        <v>483</v>
      </c>
      <c r="F120" s="20" t="s">
        <v>484</v>
      </c>
      <c r="G120" s="8" t="str">
        <f t="shared" si="1"/>
        <v>LEVIN SCOTT</v>
      </c>
    </row>
    <row r="121" spans="1:7" x14ac:dyDescent="0.25">
      <c r="A121" s="8">
        <v>42969.533148148148</v>
      </c>
      <c r="B121" s="20" t="s">
        <v>556</v>
      </c>
      <c r="C121" s="20" t="s">
        <v>575</v>
      </c>
      <c r="D121" s="138">
        <v>3500000</v>
      </c>
      <c r="E121" s="20" t="s">
        <v>479</v>
      </c>
      <c r="F121" s="20" t="s">
        <v>480</v>
      </c>
      <c r="G121" s="8" t="str">
        <f t="shared" si="1"/>
        <v>GUNTHIER ERIC</v>
      </c>
    </row>
    <row r="122" spans="1:7" x14ac:dyDescent="0.25">
      <c r="A122" s="8">
        <v>42969.533402777779</v>
      </c>
      <c r="B122" s="25" t="s">
        <v>389</v>
      </c>
      <c r="C122" s="20" t="s">
        <v>692</v>
      </c>
      <c r="D122" s="138">
        <v>2540000</v>
      </c>
      <c r="E122" s="20" t="s">
        <v>693</v>
      </c>
      <c r="F122" s="20" t="s">
        <v>694</v>
      </c>
      <c r="G122" s="8" t="str">
        <f t="shared" si="1"/>
        <v>MCREYNOLDS KYLE</v>
      </c>
    </row>
    <row r="123" spans="1:7" x14ac:dyDescent="0.25">
      <c r="A123" s="8">
        <v>42969.543668981481</v>
      </c>
      <c r="B123" s="20" t="s">
        <v>369</v>
      </c>
      <c r="C123" s="20" t="s">
        <v>695</v>
      </c>
      <c r="D123" s="138">
        <v>880000</v>
      </c>
      <c r="E123" s="20" t="s">
        <v>680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42969.548981481479</v>
      </c>
      <c r="B124" s="20" t="s">
        <v>559</v>
      </c>
      <c r="C124" s="20" t="s">
        <v>696</v>
      </c>
      <c r="D124" s="138">
        <v>3120000</v>
      </c>
      <c r="E124" s="20" t="s">
        <v>445</v>
      </c>
      <c r="F124" s="20" t="s">
        <v>446</v>
      </c>
      <c r="G124" s="8" t="str">
        <f t="shared" si="1"/>
        <v>THOMPSON LESTER</v>
      </c>
    </row>
    <row r="125" spans="1:7" x14ac:dyDescent="0.25">
      <c r="A125" s="8">
        <v>42969.552569444444</v>
      </c>
      <c r="B125" s="20" t="s">
        <v>467</v>
      </c>
      <c r="C125" s="20" t="s">
        <v>697</v>
      </c>
      <c r="D125" s="138">
        <v>2470000</v>
      </c>
      <c r="E125" s="20" t="s">
        <v>443</v>
      </c>
      <c r="F125" s="20" t="s">
        <v>444</v>
      </c>
      <c r="G125" s="8" t="str">
        <f t="shared" si="1"/>
        <v>ROMERO CHAD</v>
      </c>
    </row>
    <row r="126" spans="1:7" x14ac:dyDescent="0.25">
      <c r="A126" s="8">
        <v>42969.553425925929</v>
      </c>
      <c r="B126" s="20" t="s">
        <v>579</v>
      </c>
      <c r="C126" s="20" t="s">
        <v>698</v>
      </c>
      <c r="D126" s="138">
        <v>1770000</v>
      </c>
      <c r="E126" s="20" t="s">
        <v>447</v>
      </c>
      <c r="F126" s="20" t="s">
        <v>448</v>
      </c>
      <c r="G126" s="8" t="str">
        <f t="shared" si="1"/>
        <v>BRUDER RICHARD</v>
      </c>
    </row>
    <row r="127" spans="1:7" x14ac:dyDescent="0.25">
      <c r="A127" s="8">
        <v>42969.559687499997</v>
      </c>
      <c r="B127" s="20" t="s">
        <v>611</v>
      </c>
      <c r="C127" s="20" t="s">
        <v>699</v>
      </c>
      <c r="D127" s="138">
        <v>920000</v>
      </c>
      <c r="E127" s="20" t="s">
        <v>354</v>
      </c>
      <c r="F127" s="20" t="s">
        <v>192</v>
      </c>
      <c r="G127" s="8" t="str">
        <f t="shared" si="1"/>
        <v>DAVIS MICHAEL</v>
      </c>
    </row>
    <row r="128" spans="1:7" x14ac:dyDescent="0.25">
      <c r="A128" s="8">
        <v>42969.561516203707</v>
      </c>
      <c r="B128" s="20" t="s">
        <v>576</v>
      </c>
      <c r="C128" s="20" t="s">
        <v>577</v>
      </c>
      <c r="D128" s="138">
        <v>1300000</v>
      </c>
      <c r="E128" s="20" t="s">
        <v>483</v>
      </c>
      <c r="F128" s="20" t="s">
        <v>484</v>
      </c>
      <c r="G128" s="8" t="str">
        <f t="shared" si="1"/>
        <v>LEVIN SCOTT</v>
      </c>
    </row>
    <row r="129" spans="1:7" x14ac:dyDescent="0.25">
      <c r="A129" s="8">
        <v>42969.565717592595</v>
      </c>
      <c r="B129" s="20" t="s">
        <v>392</v>
      </c>
      <c r="C129" s="20" t="s">
        <v>578</v>
      </c>
      <c r="D129" s="138">
        <v>2540000</v>
      </c>
      <c r="E129" s="20" t="s">
        <v>693</v>
      </c>
      <c r="F129" s="20" t="s">
        <v>694</v>
      </c>
      <c r="G129" s="8" t="str">
        <f t="shared" si="1"/>
        <v>MCREYNOLDS KYLE</v>
      </c>
    </row>
    <row r="130" spans="1:7" x14ac:dyDescent="0.25">
      <c r="A130" s="8">
        <v>42969.568564814814</v>
      </c>
      <c r="B130" s="20" t="s">
        <v>631</v>
      </c>
      <c r="C130" s="20" t="s">
        <v>700</v>
      </c>
      <c r="D130" s="138">
        <v>1770000</v>
      </c>
      <c r="E130" s="20" t="s">
        <v>447</v>
      </c>
      <c r="F130" s="20" t="s">
        <v>448</v>
      </c>
      <c r="G130" s="8" t="str">
        <f t="shared" si="1"/>
        <v>BRUDER RICHARD</v>
      </c>
    </row>
    <row r="131" spans="1:7" x14ac:dyDescent="0.25">
      <c r="A131" s="8">
        <v>42969.571261574078</v>
      </c>
      <c r="B131" s="20" t="s">
        <v>591</v>
      </c>
      <c r="C131" s="20" t="s">
        <v>701</v>
      </c>
      <c r="D131" s="138">
        <v>3500000</v>
      </c>
      <c r="E131" s="20" t="s">
        <v>479</v>
      </c>
      <c r="F131" s="20" t="s">
        <v>480</v>
      </c>
      <c r="G131" s="8" t="str">
        <f t="shared" ref="G131:G194" si="2">E131&amp;" "&amp;F131</f>
        <v>GUNTHIER ERIC</v>
      </c>
    </row>
    <row r="132" spans="1:7" x14ac:dyDescent="0.25">
      <c r="A132" s="8">
        <v>42969.580891203703</v>
      </c>
      <c r="B132" s="20" t="s">
        <v>371</v>
      </c>
      <c r="C132" s="20" t="s">
        <v>702</v>
      </c>
      <c r="D132" s="138">
        <v>880000</v>
      </c>
      <c r="E132" s="20" t="s">
        <v>680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42969.582175925927</v>
      </c>
      <c r="B133" s="20" t="s">
        <v>466</v>
      </c>
      <c r="C133" s="20" t="s">
        <v>703</v>
      </c>
      <c r="D133" s="138">
        <v>1810000</v>
      </c>
      <c r="E133" s="20" t="s">
        <v>441</v>
      </c>
      <c r="F133" s="20" t="s">
        <v>189</v>
      </c>
      <c r="G133" s="8" t="str">
        <f t="shared" si="2"/>
        <v>NEWELL JAMES</v>
      </c>
    </row>
    <row r="134" spans="1:7" x14ac:dyDescent="0.25">
      <c r="A134" s="8">
        <v>42969.583032407405</v>
      </c>
      <c r="B134" s="20" t="s">
        <v>568</v>
      </c>
      <c r="C134" s="20" t="s">
        <v>704</v>
      </c>
      <c r="D134" s="138">
        <v>3120000</v>
      </c>
      <c r="E134" s="20" t="s">
        <v>445</v>
      </c>
      <c r="F134" s="20" t="s">
        <v>446</v>
      </c>
      <c r="G134" s="8" t="str">
        <f t="shared" si="2"/>
        <v>THOMPSON LESTER</v>
      </c>
    </row>
    <row r="135" spans="1:7" x14ac:dyDescent="0.25">
      <c r="A135" s="8">
        <v>42969.594375000001</v>
      </c>
      <c r="B135" s="20" t="s">
        <v>434</v>
      </c>
      <c r="C135" s="20" t="s">
        <v>705</v>
      </c>
      <c r="D135" s="138">
        <v>920000</v>
      </c>
      <c r="E135" s="20" t="s">
        <v>354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42969.595370370371</v>
      </c>
      <c r="B136" s="20" t="s">
        <v>579</v>
      </c>
      <c r="C136" s="20" t="s">
        <v>580</v>
      </c>
      <c r="D136" s="138">
        <v>1770000</v>
      </c>
      <c r="E136" s="20" t="s">
        <v>447</v>
      </c>
      <c r="F136" s="20" t="s">
        <v>448</v>
      </c>
      <c r="G136" s="8" t="str">
        <f t="shared" si="2"/>
        <v>BRUDER RICHARD</v>
      </c>
    </row>
    <row r="137" spans="1:7" x14ac:dyDescent="0.25">
      <c r="A137" s="8">
        <v>42969.600092592591</v>
      </c>
      <c r="B137" s="20" t="s">
        <v>389</v>
      </c>
      <c r="C137" s="20" t="s">
        <v>706</v>
      </c>
      <c r="D137" s="138">
        <v>2540000</v>
      </c>
      <c r="E137" s="20" t="s">
        <v>693</v>
      </c>
      <c r="F137" s="20" t="s">
        <v>694</v>
      </c>
      <c r="G137" s="8" t="str">
        <f t="shared" si="2"/>
        <v>MCREYNOLDS KYLE</v>
      </c>
    </row>
    <row r="138" spans="1:7" x14ac:dyDescent="0.25">
      <c r="A138" s="8">
        <v>42969.601076388892</v>
      </c>
      <c r="B138" s="20" t="s">
        <v>487</v>
      </c>
      <c r="C138" s="20" t="s">
        <v>582</v>
      </c>
      <c r="D138" s="138">
        <v>1300000</v>
      </c>
      <c r="E138" s="20" t="s">
        <v>483</v>
      </c>
      <c r="F138" s="20" t="s">
        <v>484</v>
      </c>
      <c r="G138" s="8" t="str">
        <f t="shared" si="2"/>
        <v>LEVIN SCOTT</v>
      </c>
    </row>
    <row r="139" spans="1:7" x14ac:dyDescent="0.25">
      <c r="A139" s="8">
        <v>42969.602824074071</v>
      </c>
      <c r="B139" s="20" t="s">
        <v>434</v>
      </c>
      <c r="C139" s="20" t="s">
        <v>705</v>
      </c>
      <c r="D139" s="138">
        <v>920000</v>
      </c>
      <c r="E139" s="20" t="s">
        <v>354</v>
      </c>
      <c r="F139" s="20" t="s">
        <v>192</v>
      </c>
      <c r="G139" s="8" t="str">
        <f t="shared" si="2"/>
        <v>DAVIS MICHAEL</v>
      </c>
    </row>
    <row r="140" spans="1:7" x14ac:dyDescent="0.25">
      <c r="A140" s="8">
        <v>42969.610173611109</v>
      </c>
      <c r="B140" s="20" t="s">
        <v>631</v>
      </c>
      <c r="C140" s="20" t="s">
        <v>707</v>
      </c>
      <c r="D140" s="138">
        <v>1770000</v>
      </c>
      <c r="E140" s="20" t="s">
        <v>447</v>
      </c>
      <c r="F140" s="20" t="s">
        <v>448</v>
      </c>
      <c r="G140" s="8" t="str">
        <f t="shared" si="2"/>
        <v>BRUDER RICHARD</v>
      </c>
    </row>
    <row r="141" spans="1:7" x14ac:dyDescent="0.25">
      <c r="A141" s="8">
        <v>42969.610590277778</v>
      </c>
      <c r="B141" s="20" t="s">
        <v>556</v>
      </c>
      <c r="C141" s="20" t="s">
        <v>708</v>
      </c>
      <c r="D141" s="138">
        <v>3500000</v>
      </c>
      <c r="E141" s="20" t="s">
        <v>479</v>
      </c>
      <c r="F141" s="20" t="s">
        <v>480</v>
      </c>
      <c r="G141" s="8" t="str">
        <f t="shared" si="2"/>
        <v>GUNTHIER ERIC</v>
      </c>
    </row>
    <row r="142" spans="1:7" x14ac:dyDescent="0.25">
      <c r="A142" s="8">
        <v>42969.614618055559</v>
      </c>
      <c r="B142" s="20" t="s">
        <v>369</v>
      </c>
      <c r="C142" s="20" t="s">
        <v>581</v>
      </c>
      <c r="D142" s="138">
        <v>3520000</v>
      </c>
      <c r="E142" s="20" t="s">
        <v>481</v>
      </c>
      <c r="F142" s="20" t="s">
        <v>482</v>
      </c>
      <c r="G142" s="8" t="str">
        <f t="shared" si="2"/>
        <v>TOUSIGNAUT CARL</v>
      </c>
    </row>
    <row r="143" spans="1:7" x14ac:dyDescent="0.25">
      <c r="A143" s="8">
        <v>42969.620555555557</v>
      </c>
      <c r="B143" s="20" t="s">
        <v>369</v>
      </c>
      <c r="C143" s="20" t="s">
        <v>581</v>
      </c>
      <c r="D143" s="138">
        <v>3520000</v>
      </c>
      <c r="E143" s="20" t="s">
        <v>481</v>
      </c>
      <c r="F143" s="20" t="s">
        <v>482</v>
      </c>
      <c r="G143" s="8" t="str">
        <f t="shared" si="2"/>
        <v>TOUSIGNAUT CARL</v>
      </c>
    </row>
    <row r="144" spans="1:7" x14ac:dyDescent="0.25">
      <c r="A144" s="8">
        <v>42969.622291666667</v>
      </c>
      <c r="B144" s="20" t="s">
        <v>559</v>
      </c>
      <c r="C144" s="20" t="s">
        <v>709</v>
      </c>
      <c r="D144" s="138">
        <v>3120000</v>
      </c>
      <c r="E144" s="20" t="s">
        <v>445</v>
      </c>
      <c r="F144" s="20" t="s">
        <v>446</v>
      </c>
      <c r="G144" s="8" t="str">
        <f t="shared" si="2"/>
        <v>THOMPSON LESTER</v>
      </c>
    </row>
    <row r="145" spans="1:7" x14ac:dyDescent="0.25">
      <c r="A145" s="8">
        <v>42969.624895833331</v>
      </c>
      <c r="B145" s="20" t="s">
        <v>467</v>
      </c>
      <c r="C145" s="20" t="s">
        <v>710</v>
      </c>
      <c r="D145" s="138">
        <v>1810000</v>
      </c>
      <c r="E145" s="20" t="s">
        <v>441</v>
      </c>
      <c r="F145" s="20" t="s">
        <v>189</v>
      </c>
      <c r="G145" s="8" t="str">
        <f t="shared" si="2"/>
        <v>NEWELL JAMES</v>
      </c>
    </row>
    <row r="146" spans="1:7" x14ac:dyDescent="0.25">
      <c r="A146" s="8">
        <v>42969.632395833331</v>
      </c>
      <c r="B146" s="20" t="s">
        <v>611</v>
      </c>
      <c r="C146" s="20" t="s">
        <v>711</v>
      </c>
      <c r="D146" s="138">
        <v>920000</v>
      </c>
      <c r="E146" s="20" t="s">
        <v>354</v>
      </c>
      <c r="F146" s="20" t="s">
        <v>192</v>
      </c>
      <c r="G146" s="8" t="str">
        <f t="shared" si="2"/>
        <v>DAVIS MICHAEL</v>
      </c>
    </row>
    <row r="147" spans="1:7" x14ac:dyDescent="0.25">
      <c r="A147" s="8">
        <v>42969.6328587963</v>
      </c>
      <c r="B147" s="20" t="s">
        <v>564</v>
      </c>
      <c r="C147" s="20" t="s">
        <v>583</v>
      </c>
      <c r="D147" s="138">
        <v>3510000</v>
      </c>
      <c r="E147" s="20" t="s">
        <v>485</v>
      </c>
      <c r="F147" s="20" t="s">
        <v>486</v>
      </c>
      <c r="G147" s="8" t="str">
        <f t="shared" si="2"/>
        <v>BARRON PERLA</v>
      </c>
    </row>
    <row r="148" spans="1:7" x14ac:dyDescent="0.25">
      <c r="A148" s="8">
        <v>42969.633368055554</v>
      </c>
      <c r="B148" s="20" t="s">
        <v>392</v>
      </c>
      <c r="C148" s="20" t="s">
        <v>712</v>
      </c>
      <c r="D148" s="138">
        <v>2540000</v>
      </c>
      <c r="E148" s="20" t="s">
        <v>693</v>
      </c>
      <c r="F148" s="20" t="s">
        <v>694</v>
      </c>
      <c r="G148" s="8" t="str">
        <f t="shared" si="2"/>
        <v>MCREYNOLDS KYLE</v>
      </c>
    </row>
    <row r="149" spans="1:7" x14ac:dyDescent="0.25">
      <c r="A149" s="8">
        <v>42969.633414351854</v>
      </c>
      <c r="B149" s="20" t="s">
        <v>559</v>
      </c>
      <c r="C149" s="20" t="s">
        <v>709</v>
      </c>
      <c r="D149" s="138">
        <v>3120000</v>
      </c>
      <c r="E149" s="20" t="s">
        <v>445</v>
      </c>
      <c r="F149" s="20" t="s">
        <v>446</v>
      </c>
      <c r="G149" s="8" t="str">
        <f t="shared" si="2"/>
        <v>THOMPSON LESTER</v>
      </c>
    </row>
    <row r="150" spans="1:7" x14ac:dyDescent="0.25">
      <c r="A150" s="8">
        <v>42969.633564814816</v>
      </c>
      <c r="B150" s="20" t="s">
        <v>576</v>
      </c>
      <c r="C150" s="20" t="s">
        <v>713</v>
      </c>
      <c r="D150" s="138">
        <v>1300000</v>
      </c>
      <c r="E150" s="20" t="s">
        <v>483</v>
      </c>
      <c r="F150" s="20" t="s">
        <v>484</v>
      </c>
      <c r="G150" s="8" t="str">
        <f t="shared" si="2"/>
        <v>LEVIN SCOTT</v>
      </c>
    </row>
    <row r="151" spans="1:7" x14ac:dyDescent="0.25">
      <c r="A151" s="8">
        <v>42969.637071759258</v>
      </c>
      <c r="B151" s="20" t="s">
        <v>579</v>
      </c>
      <c r="C151" s="20" t="s">
        <v>714</v>
      </c>
      <c r="D151" s="138">
        <v>1770000</v>
      </c>
      <c r="E151" s="20" t="s">
        <v>447</v>
      </c>
      <c r="F151" s="20" t="s">
        <v>448</v>
      </c>
      <c r="G151" s="8" t="str">
        <f t="shared" si="2"/>
        <v>BRUDER RICHARD</v>
      </c>
    </row>
    <row r="152" spans="1:7" x14ac:dyDescent="0.25">
      <c r="A152" s="8">
        <v>42969.643414351849</v>
      </c>
      <c r="B152" s="20" t="s">
        <v>591</v>
      </c>
      <c r="C152" s="20" t="s">
        <v>715</v>
      </c>
      <c r="D152" s="138">
        <v>3500000</v>
      </c>
      <c r="E152" s="20" t="s">
        <v>479</v>
      </c>
      <c r="F152" s="20" t="s">
        <v>480</v>
      </c>
      <c r="G152" s="8" t="str">
        <f t="shared" si="2"/>
        <v>GUNTHIER ERIC</v>
      </c>
    </row>
    <row r="153" spans="1:7" x14ac:dyDescent="0.25">
      <c r="A153" s="8">
        <v>42969.644687499997</v>
      </c>
      <c r="B153" s="20" t="s">
        <v>553</v>
      </c>
      <c r="C153" s="20" t="s">
        <v>716</v>
      </c>
      <c r="D153" s="138">
        <v>3510000</v>
      </c>
      <c r="E153" s="20" t="s">
        <v>485</v>
      </c>
      <c r="F153" s="20" t="s">
        <v>486</v>
      </c>
      <c r="G153" s="8" t="str">
        <f t="shared" si="2"/>
        <v>BARRON PERLA</v>
      </c>
    </row>
    <row r="154" spans="1:7" x14ac:dyDescent="0.25">
      <c r="A154" s="8">
        <v>42969.650995370372</v>
      </c>
      <c r="B154" s="20" t="s">
        <v>631</v>
      </c>
      <c r="C154" s="20" t="s">
        <v>717</v>
      </c>
      <c r="D154" s="138">
        <v>1770000</v>
      </c>
      <c r="E154" s="20" t="s">
        <v>447</v>
      </c>
      <c r="F154" s="20" t="s">
        <v>448</v>
      </c>
      <c r="G154" s="8" t="str">
        <f t="shared" si="2"/>
        <v>BRUDER RICHARD</v>
      </c>
    </row>
    <row r="155" spans="1:7" x14ac:dyDescent="0.25">
      <c r="A155" s="8">
        <v>42969.654803240737</v>
      </c>
      <c r="B155" s="20" t="s">
        <v>371</v>
      </c>
      <c r="C155" s="20" t="s">
        <v>584</v>
      </c>
      <c r="D155" s="138">
        <v>3520000</v>
      </c>
      <c r="E155" s="20" t="s">
        <v>481</v>
      </c>
      <c r="F155" s="20" t="s">
        <v>482</v>
      </c>
      <c r="G155" s="8" t="str">
        <f t="shared" si="2"/>
        <v>TOUSIGNAUT CARL</v>
      </c>
    </row>
    <row r="156" spans="1:7" x14ac:dyDescent="0.25">
      <c r="A156" s="8">
        <v>42969.658796296295</v>
      </c>
      <c r="B156" s="20" t="s">
        <v>466</v>
      </c>
      <c r="C156" s="20" t="s">
        <v>718</v>
      </c>
      <c r="D156" s="138">
        <v>2470000</v>
      </c>
      <c r="E156" s="20" t="s">
        <v>443</v>
      </c>
      <c r="F156" s="20" t="s">
        <v>444</v>
      </c>
      <c r="G156" s="8" t="str">
        <f t="shared" si="2"/>
        <v>ROMERO CHAD</v>
      </c>
    </row>
    <row r="157" spans="1:7" x14ac:dyDescent="0.25">
      <c r="A157" s="8">
        <v>42969.660925925928</v>
      </c>
      <c r="B157" s="20" t="s">
        <v>568</v>
      </c>
      <c r="C157" s="20" t="s">
        <v>719</v>
      </c>
      <c r="D157" s="138">
        <v>3120000</v>
      </c>
      <c r="E157" s="20" t="s">
        <v>445</v>
      </c>
      <c r="F157" s="20" t="s">
        <v>446</v>
      </c>
      <c r="G157" s="8" t="str">
        <f t="shared" si="2"/>
        <v>THOMPSON LESTER</v>
      </c>
    </row>
    <row r="158" spans="1:7" x14ac:dyDescent="0.25">
      <c r="A158" s="8">
        <v>42969.666412037041</v>
      </c>
      <c r="B158" s="20" t="s">
        <v>568</v>
      </c>
      <c r="C158" s="20" t="s">
        <v>719</v>
      </c>
      <c r="D158" s="138">
        <v>3120000</v>
      </c>
      <c r="E158" s="20" t="s">
        <v>445</v>
      </c>
      <c r="F158" s="20" t="s">
        <v>446</v>
      </c>
      <c r="G158" s="8" t="str">
        <f t="shared" si="2"/>
        <v>THOMPSON LESTER</v>
      </c>
    </row>
    <row r="159" spans="1:7" x14ac:dyDescent="0.25">
      <c r="A159" s="8">
        <v>42969.670810185184</v>
      </c>
      <c r="B159" s="20" t="s">
        <v>434</v>
      </c>
      <c r="C159" s="20" t="s">
        <v>586</v>
      </c>
      <c r="D159" s="138">
        <v>920000</v>
      </c>
      <c r="E159" s="20" t="s">
        <v>354</v>
      </c>
      <c r="F159" s="20" t="s">
        <v>192</v>
      </c>
      <c r="G159" s="8" t="str">
        <f t="shared" si="2"/>
        <v>DAVIS MICHAEL</v>
      </c>
    </row>
    <row r="160" spans="1:7" x14ac:dyDescent="0.25">
      <c r="A160" s="8">
        <v>42969.671759259261</v>
      </c>
      <c r="B160" s="20" t="s">
        <v>564</v>
      </c>
      <c r="C160" s="20" t="s">
        <v>716</v>
      </c>
      <c r="D160" s="138">
        <v>3510000</v>
      </c>
      <c r="E160" s="20" t="s">
        <v>485</v>
      </c>
      <c r="F160" s="20" t="s">
        <v>486</v>
      </c>
      <c r="G160" s="8" t="str">
        <f t="shared" si="2"/>
        <v>BARRON PERLA</v>
      </c>
    </row>
    <row r="161" spans="1:7" x14ac:dyDescent="0.25">
      <c r="A161" s="8">
        <v>42969.673726851855</v>
      </c>
      <c r="B161" s="20" t="s">
        <v>487</v>
      </c>
      <c r="C161" s="20" t="s">
        <v>720</v>
      </c>
      <c r="D161" s="138">
        <v>1300000</v>
      </c>
      <c r="E161" s="20" t="s">
        <v>483</v>
      </c>
      <c r="F161" s="20" t="s">
        <v>484</v>
      </c>
      <c r="G161" s="8" t="str">
        <f t="shared" si="2"/>
        <v>LEVIN SCOTT</v>
      </c>
    </row>
    <row r="162" spans="1:7" x14ac:dyDescent="0.25">
      <c r="A162" s="8">
        <v>42969.673761574071</v>
      </c>
      <c r="B162" s="20" t="s">
        <v>564</v>
      </c>
      <c r="C162" s="20" t="s">
        <v>585</v>
      </c>
      <c r="D162" s="138">
        <v>3510000</v>
      </c>
      <c r="E162" s="20" t="s">
        <v>485</v>
      </c>
      <c r="F162" s="20" t="s">
        <v>486</v>
      </c>
      <c r="G162" s="8" t="str">
        <f t="shared" si="2"/>
        <v>BARRON PERLA</v>
      </c>
    </row>
    <row r="163" spans="1:7" x14ac:dyDescent="0.25">
      <c r="A163" s="8">
        <v>42969.675451388888</v>
      </c>
      <c r="B163" s="20" t="s">
        <v>389</v>
      </c>
      <c r="C163" s="20" t="s">
        <v>721</v>
      </c>
      <c r="D163" s="138">
        <v>2540000</v>
      </c>
      <c r="E163" s="20" t="s">
        <v>693</v>
      </c>
      <c r="F163" s="20" t="s">
        <v>694</v>
      </c>
      <c r="G163" s="8" t="str">
        <f t="shared" si="2"/>
        <v>MCREYNOLDS KYLE</v>
      </c>
    </row>
    <row r="164" spans="1:7" x14ac:dyDescent="0.25">
      <c r="A164" s="8">
        <v>42969.67869212963</v>
      </c>
      <c r="B164" s="20" t="s">
        <v>579</v>
      </c>
      <c r="C164" s="20" t="s">
        <v>722</v>
      </c>
      <c r="D164" s="138">
        <v>1770000</v>
      </c>
      <c r="E164" s="20" t="s">
        <v>447</v>
      </c>
      <c r="F164" s="20" t="s">
        <v>448</v>
      </c>
      <c r="G164" s="8" t="str">
        <f t="shared" si="2"/>
        <v>BRUDER RICHARD</v>
      </c>
    </row>
    <row r="165" spans="1:7" x14ac:dyDescent="0.25">
      <c r="A165" s="8">
        <v>42969.678819444445</v>
      </c>
      <c r="B165" s="20" t="s">
        <v>556</v>
      </c>
      <c r="C165" s="20" t="s">
        <v>723</v>
      </c>
      <c r="D165" s="138">
        <v>3500000</v>
      </c>
      <c r="E165" s="20" t="s">
        <v>479</v>
      </c>
      <c r="F165" s="20" t="s">
        <v>480</v>
      </c>
      <c r="G165" s="8" t="str">
        <f t="shared" si="2"/>
        <v>GUNTHIER ERIC</v>
      </c>
    </row>
    <row r="166" spans="1:7" x14ac:dyDescent="0.25">
      <c r="A166" s="8">
        <v>42969.687557870369</v>
      </c>
      <c r="B166" s="20" t="s">
        <v>369</v>
      </c>
      <c r="C166" s="20" t="s">
        <v>587</v>
      </c>
      <c r="D166" s="138">
        <v>3520000</v>
      </c>
      <c r="E166" s="20" t="s">
        <v>481</v>
      </c>
      <c r="F166" s="20" t="s">
        <v>482</v>
      </c>
      <c r="G166" s="8" t="str">
        <f t="shared" si="2"/>
        <v>TOUSIGNAUT CARL</v>
      </c>
    </row>
    <row r="167" spans="1:7" x14ac:dyDescent="0.25">
      <c r="A167" s="8">
        <v>42969.688738425924</v>
      </c>
      <c r="B167" s="20" t="s">
        <v>619</v>
      </c>
      <c r="C167" s="20" t="s">
        <v>572</v>
      </c>
      <c r="D167" s="138">
        <v>1740000</v>
      </c>
      <c r="E167" s="20" t="s">
        <v>724</v>
      </c>
      <c r="F167" s="20" t="s">
        <v>725</v>
      </c>
      <c r="G167" s="8" t="str">
        <f t="shared" si="2"/>
        <v>STORY SAMANTHA</v>
      </c>
    </row>
    <row r="168" spans="1:7" x14ac:dyDescent="0.25">
      <c r="A168" s="8">
        <v>42969.692847222221</v>
      </c>
      <c r="B168" s="20" t="s">
        <v>631</v>
      </c>
      <c r="C168" s="20" t="s">
        <v>726</v>
      </c>
      <c r="D168" s="138">
        <v>1770000</v>
      </c>
      <c r="E168" s="20" t="s">
        <v>447</v>
      </c>
      <c r="F168" s="20" t="s">
        <v>448</v>
      </c>
      <c r="G168" s="8" t="str">
        <f t="shared" si="2"/>
        <v>BRUDER RICHARD</v>
      </c>
    </row>
    <row r="169" spans="1:7" x14ac:dyDescent="0.25">
      <c r="A169" s="8">
        <v>42969.695914351854</v>
      </c>
      <c r="B169" s="20" t="s">
        <v>467</v>
      </c>
      <c r="C169" s="20" t="s">
        <v>727</v>
      </c>
      <c r="D169" s="138">
        <v>2470000</v>
      </c>
      <c r="E169" s="20" t="s">
        <v>443</v>
      </c>
      <c r="F169" s="20" t="s">
        <v>444</v>
      </c>
      <c r="G169" s="8" t="str">
        <f t="shared" si="2"/>
        <v>ROMERO CHAD</v>
      </c>
    </row>
    <row r="170" spans="1:7" x14ac:dyDescent="0.25">
      <c r="A170" s="8">
        <v>42969.695972222224</v>
      </c>
      <c r="B170" s="20" t="s">
        <v>559</v>
      </c>
      <c r="C170" s="20" t="s">
        <v>728</v>
      </c>
      <c r="D170" s="138">
        <v>3120000</v>
      </c>
      <c r="E170" s="20" t="s">
        <v>445</v>
      </c>
      <c r="F170" s="20" t="s">
        <v>446</v>
      </c>
      <c r="G170" s="8" t="str">
        <f t="shared" si="2"/>
        <v>THOMPSON LESTER</v>
      </c>
    </row>
    <row r="171" spans="1:7" x14ac:dyDescent="0.25">
      <c r="A171" s="8">
        <v>42969.697951388887</v>
      </c>
      <c r="B171" s="20" t="s">
        <v>553</v>
      </c>
      <c r="C171" s="20" t="s">
        <v>729</v>
      </c>
      <c r="D171" s="138">
        <v>3510000</v>
      </c>
      <c r="E171" s="20" t="s">
        <v>485</v>
      </c>
      <c r="F171" s="20" t="s">
        <v>486</v>
      </c>
      <c r="G171" s="8" t="str">
        <f t="shared" si="2"/>
        <v>BARRON PERLA</v>
      </c>
    </row>
    <row r="172" spans="1:7" x14ac:dyDescent="0.25">
      <c r="A172" s="8">
        <v>42969.705995370372</v>
      </c>
      <c r="B172" s="20" t="s">
        <v>611</v>
      </c>
      <c r="C172" s="20" t="s">
        <v>730</v>
      </c>
      <c r="D172" s="138">
        <v>920000</v>
      </c>
      <c r="E172" s="20" t="s">
        <v>354</v>
      </c>
      <c r="F172" s="20" t="s">
        <v>192</v>
      </c>
      <c r="G172" s="8" t="str">
        <f t="shared" si="2"/>
        <v>DAVIS MICHAEL</v>
      </c>
    </row>
    <row r="173" spans="1:7" x14ac:dyDescent="0.25">
      <c r="A173" s="8">
        <v>42969.706018518518</v>
      </c>
      <c r="B173" s="20" t="s">
        <v>576</v>
      </c>
      <c r="C173" s="20" t="s">
        <v>731</v>
      </c>
      <c r="D173" s="138">
        <v>1300000</v>
      </c>
      <c r="E173" s="20" t="s">
        <v>483</v>
      </c>
      <c r="F173" s="20" t="s">
        <v>484</v>
      </c>
      <c r="G173" s="8" t="str">
        <f t="shared" si="2"/>
        <v>LEVIN SCOTT</v>
      </c>
    </row>
    <row r="174" spans="1:7" x14ac:dyDescent="0.25">
      <c r="A174" s="8">
        <v>42969.70685185185</v>
      </c>
      <c r="B174" s="20" t="s">
        <v>436</v>
      </c>
      <c r="C174" s="20" t="s">
        <v>732</v>
      </c>
      <c r="D174" s="138">
        <v>1810000</v>
      </c>
      <c r="E174" s="20" t="s">
        <v>441</v>
      </c>
      <c r="F174" s="20" t="s">
        <v>189</v>
      </c>
      <c r="G174" s="8" t="str">
        <f t="shared" si="2"/>
        <v>NEWELL JAMES</v>
      </c>
    </row>
    <row r="175" spans="1:7" x14ac:dyDescent="0.25">
      <c r="A175" s="8">
        <v>42969.708402777775</v>
      </c>
      <c r="B175" s="20" t="s">
        <v>436</v>
      </c>
      <c r="C175" s="20" t="s">
        <v>732</v>
      </c>
      <c r="D175" s="138">
        <v>1810000</v>
      </c>
      <c r="E175" s="20" t="s">
        <v>441</v>
      </c>
      <c r="F175" s="20" t="s">
        <v>189</v>
      </c>
      <c r="G175" s="8" t="str">
        <f t="shared" si="2"/>
        <v>NEWELL JAMES</v>
      </c>
    </row>
    <row r="176" spans="1:7" x14ac:dyDescent="0.25">
      <c r="A176" s="8">
        <v>42969.710104166668</v>
      </c>
      <c r="B176" s="20" t="s">
        <v>392</v>
      </c>
      <c r="C176" s="20" t="s">
        <v>733</v>
      </c>
      <c r="D176" s="138">
        <v>2540000</v>
      </c>
      <c r="E176" s="20" t="s">
        <v>693</v>
      </c>
      <c r="F176" s="20" t="s">
        <v>694</v>
      </c>
      <c r="G176" s="8" t="str">
        <f t="shared" si="2"/>
        <v>MCREYNOLDS KYLE</v>
      </c>
    </row>
    <row r="177" spans="1:7" x14ac:dyDescent="0.25">
      <c r="A177" s="8">
        <v>42969.713275462964</v>
      </c>
      <c r="B177" s="20" t="s">
        <v>564</v>
      </c>
      <c r="C177" s="20" t="s">
        <v>734</v>
      </c>
      <c r="D177" s="138">
        <v>3510000</v>
      </c>
      <c r="E177" s="20" t="s">
        <v>485</v>
      </c>
      <c r="F177" s="20" t="s">
        <v>486</v>
      </c>
      <c r="G177" s="8" t="str">
        <f t="shared" si="2"/>
        <v>BARRON PERLA</v>
      </c>
    </row>
    <row r="178" spans="1:7" x14ac:dyDescent="0.25">
      <c r="A178" s="8">
        <v>42969.715509259258</v>
      </c>
      <c r="B178" s="20" t="s">
        <v>591</v>
      </c>
      <c r="C178" s="20" t="s">
        <v>735</v>
      </c>
      <c r="D178" s="138">
        <v>3500000</v>
      </c>
      <c r="E178" s="20" t="s">
        <v>479</v>
      </c>
      <c r="F178" s="20" t="s">
        <v>480</v>
      </c>
      <c r="G178" s="8" t="str">
        <f t="shared" si="2"/>
        <v>GUNTHIER ERIC</v>
      </c>
    </row>
    <row r="179" spans="1:7" x14ac:dyDescent="0.25">
      <c r="A179" s="8">
        <v>42969.720868055556</v>
      </c>
      <c r="B179" s="20" t="s">
        <v>579</v>
      </c>
      <c r="C179" s="20" t="s">
        <v>736</v>
      </c>
      <c r="D179" s="138">
        <v>1770000</v>
      </c>
      <c r="E179" s="20" t="s">
        <v>447</v>
      </c>
      <c r="F179" s="20" t="s">
        <v>448</v>
      </c>
      <c r="G179" s="8" t="str">
        <f t="shared" si="2"/>
        <v>BRUDER RICHARD</v>
      </c>
    </row>
    <row r="180" spans="1:7" x14ac:dyDescent="0.25">
      <c r="A180" s="8">
        <v>42969.724699074075</v>
      </c>
      <c r="B180" s="20" t="s">
        <v>466</v>
      </c>
      <c r="C180" s="20" t="s">
        <v>737</v>
      </c>
      <c r="D180" s="138">
        <v>2470000</v>
      </c>
      <c r="E180" s="20" t="s">
        <v>443</v>
      </c>
      <c r="F180" s="20" t="s">
        <v>444</v>
      </c>
      <c r="G180" s="8" t="str">
        <f t="shared" si="2"/>
        <v>ROMERO CHAD</v>
      </c>
    </row>
    <row r="181" spans="1:7" x14ac:dyDescent="0.25">
      <c r="A181" s="8">
        <v>42969.725428240738</v>
      </c>
      <c r="B181" s="20" t="s">
        <v>371</v>
      </c>
      <c r="C181" s="20" t="s">
        <v>738</v>
      </c>
      <c r="D181" s="138">
        <v>3520000</v>
      </c>
      <c r="E181" s="20" t="s">
        <v>481</v>
      </c>
      <c r="F181" s="20" t="s">
        <v>482</v>
      </c>
      <c r="G181" s="8" t="str">
        <f t="shared" si="2"/>
        <v>TOUSIGNAUT CARL</v>
      </c>
    </row>
    <row r="182" spans="1:7" x14ac:dyDescent="0.25">
      <c r="A182" s="8">
        <v>42969.727349537039</v>
      </c>
      <c r="B182" s="20" t="s">
        <v>568</v>
      </c>
      <c r="C182" s="20" t="s">
        <v>588</v>
      </c>
      <c r="D182" s="138">
        <v>3120000</v>
      </c>
      <c r="E182" s="20" t="s">
        <v>445</v>
      </c>
      <c r="F182" s="20" t="s">
        <v>446</v>
      </c>
      <c r="G182" s="8" t="str">
        <f t="shared" si="2"/>
        <v>THOMPSON LESTER</v>
      </c>
    </row>
    <row r="183" spans="1:7" x14ac:dyDescent="0.25">
      <c r="A183" s="8">
        <v>42969.72792824074</v>
      </c>
      <c r="B183" s="20" t="s">
        <v>553</v>
      </c>
      <c r="C183" s="20" t="s">
        <v>739</v>
      </c>
      <c r="D183" s="138">
        <v>3510000</v>
      </c>
      <c r="E183" s="20" t="s">
        <v>485</v>
      </c>
      <c r="F183" s="20" t="s">
        <v>486</v>
      </c>
      <c r="G183" s="8" t="str">
        <f t="shared" si="2"/>
        <v>BARRON PERLA</v>
      </c>
    </row>
    <row r="184" spans="1:7" x14ac:dyDescent="0.25">
      <c r="A184" s="8">
        <v>42969.734525462962</v>
      </c>
      <c r="B184" s="20" t="s">
        <v>631</v>
      </c>
      <c r="C184" s="20" t="s">
        <v>740</v>
      </c>
      <c r="D184" s="138">
        <v>1770000</v>
      </c>
      <c r="E184" s="20" t="s">
        <v>447</v>
      </c>
      <c r="F184" s="20" t="s">
        <v>448</v>
      </c>
      <c r="G184" s="8" t="str">
        <f t="shared" si="2"/>
        <v>BRUDER RICHARD</v>
      </c>
    </row>
    <row r="185" spans="1:7" x14ac:dyDescent="0.25">
      <c r="A185" s="8">
        <v>42969.739502314813</v>
      </c>
      <c r="B185" s="20" t="s">
        <v>434</v>
      </c>
      <c r="C185" s="20" t="s">
        <v>741</v>
      </c>
      <c r="D185" s="138">
        <v>3490000</v>
      </c>
      <c r="E185" s="20" t="s">
        <v>488</v>
      </c>
      <c r="F185" s="20" t="s">
        <v>489</v>
      </c>
      <c r="G185" s="8" t="str">
        <f t="shared" si="2"/>
        <v>WEST BRYAN</v>
      </c>
    </row>
    <row r="186" spans="1:7" x14ac:dyDescent="0.25">
      <c r="A186" s="8">
        <v>42969.74082175926</v>
      </c>
      <c r="B186" s="20" t="s">
        <v>742</v>
      </c>
      <c r="C186" s="20" t="s">
        <v>743</v>
      </c>
      <c r="D186" s="138">
        <v>2630000</v>
      </c>
      <c r="E186" s="20" t="s">
        <v>744</v>
      </c>
      <c r="F186" s="20" t="s">
        <v>745</v>
      </c>
      <c r="G186" s="8" t="str">
        <f t="shared" si="2"/>
        <v>SAFIEF AEIMEN</v>
      </c>
    </row>
    <row r="187" spans="1:7" x14ac:dyDescent="0.25">
      <c r="A187" s="8">
        <v>42969.746701388889</v>
      </c>
      <c r="B187" s="20" t="s">
        <v>487</v>
      </c>
      <c r="C187" s="20" t="s">
        <v>746</v>
      </c>
      <c r="D187" s="138">
        <v>1300000</v>
      </c>
      <c r="E187" s="20" t="s">
        <v>483</v>
      </c>
      <c r="F187" s="20" t="s">
        <v>484</v>
      </c>
      <c r="G187" s="8" t="str">
        <f t="shared" si="2"/>
        <v>LEVIN SCOTT</v>
      </c>
    </row>
    <row r="188" spans="1:7" x14ac:dyDescent="0.25">
      <c r="A188" s="8">
        <v>42969.746967592589</v>
      </c>
      <c r="B188" s="20" t="s">
        <v>389</v>
      </c>
      <c r="C188" s="20" t="s">
        <v>747</v>
      </c>
      <c r="D188" s="138">
        <v>2540000</v>
      </c>
      <c r="E188" s="20" t="s">
        <v>693</v>
      </c>
      <c r="F188" s="20" t="s">
        <v>694</v>
      </c>
      <c r="G188" s="8" t="str">
        <f t="shared" si="2"/>
        <v>MCREYNOLDS KYLE</v>
      </c>
    </row>
    <row r="189" spans="1:7" x14ac:dyDescent="0.25">
      <c r="A189" s="8">
        <v>42969.754062499997</v>
      </c>
      <c r="B189" s="20" t="s">
        <v>556</v>
      </c>
      <c r="C189" s="20" t="s">
        <v>748</v>
      </c>
      <c r="D189" s="138">
        <v>3500000</v>
      </c>
      <c r="E189" s="20" t="s">
        <v>479</v>
      </c>
      <c r="F189" s="20" t="s">
        <v>480</v>
      </c>
      <c r="G189" s="8" t="str">
        <f t="shared" si="2"/>
        <v>GUNTHIER ERIC</v>
      </c>
    </row>
    <row r="190" spans="1:7" x14ac:dyDescent="0.25">
      <c r="A190" s="8">
        <v>42969.755532407406</v>
      </c>
      <c r="B190" s="20" t="s">
        <v>564</v>
      </c>
      <c r="C190" s="20" t="s">
        <v>589</v>
      </c>
      <c r="D190" s="138">
        <v>3510000</v>
      </c>
      <c r="E190" s="20" t="s">
        <v>485</v>
      </c>
      <c r="F190" s="20" t="s">
        <v>486</v>
      </c>
      <c r="G190" s="8" t="str">
        <f t="shared" si="2"/>
        <v>BARRON PERLA</v>
      </c>
    </row>
    <row r="191" spans="1:7" x14ac:dyDescent="0.25">
      <c r="A191" s="8">
        <v>42969.757997685185</v>
      </c>
      <c r="B191" s="20" t="s">
        <v>369</v>
      </c>
      <c r="C191" s="20" t="s">
        <v>749</v>
      </c>
      <c r="D191" s="138">
        <v>3000000</v>
      </c>
      <c r="E191" s="20" t="s">
        <v>750</v>
      </c>
      <c r="F191" s="20" t="s">
        <v>751</v>
      </c>
      <c r="G191" s="8" t="str">
        <f t="shared" si="2"/>
        <v>FORTUNATO FRANK</v>
      </c>
    </row>
    <row r="192" spans="1:7" x14ac:dyDescent="0.25">
      <c r="A192" s="8">
        <v>42969.761793981481</v>
      </c>
      <c r="B192" s="20" t="s">
        <v>579</v>
      </c>
      <c r="C192" s="20" t="s">
        <v>752</v>
      </c>
      <c r="D192" s="138">
        <v>1770000</v>
      </c>
      <c r="E192" s="20" t="s">
        <v>447</v>
      </c>
      <c r="F192" s="20" t="s">
        <v>448</v>
      </c>
      <c r="G192" s="8" t="str">
        <f t="shared" si="2"/>
        <v>BRUDER RICHARD</v>
      </c>
    </row>
    <row r="193" spans="1:7" x14ac:dyDescent="0.25">
      <c r="A193" s="8">
        <v>42969.764537037037</v>
      </c>
      <c r="B193" s="20" t="s">
        <v>564</v>
      </c>
      <c r="C193" s="20" t="s">
        <v>589</v>
      </c>
      <c r="D193" s="138">
        <v>3510000</v>
      </c>
      <c r="E193" s="20" t="s">
        <v>485</v>
      </c>
      <c r="F193" s="20" t="s">
        <v>486</v>
      </c>
      <c r="G193" s="8" t="str">
        <f t="shared" si="2"/>
        <v>BARRON PERLA</v>
      </c>
    </row>
    <row r="194" spans="1:7" x14ac:dyDescent="0.25">
      <c r="A194" s="8">
        <v>42969.767210648148</v>
      </c>
      <c r="B194" s="20" t="s">
        <v>559</v>
      </c>
      <c r="C194" s="20" t="s">
        <v>590</v>
      </c>
      <c r="D194" s="138">
        <v>3120000</v>
      </c>
      <c r="E194" s="20" t="s">
        <v>445</v>
      </c>
      <c r="F194" s="20" t="s">
        <v>446</v>
      </c>
      <c r="G194" s="8" t="str">
        <f t="shared" si="2"/>
        <v>THOMPSON LESTER</v>
      </c>
    </row>
    <row r="195" spans="1:7" x14ac:dyDescent="0.25">
      <c r="A195" s="8">
        <v>42969.768819444442</v>
      </c>
      <c r="B195" s="20" t="s">
        <v>467</v>
      </c>
      <c r="C195" s="20" t="s">
        <v>753</v>
      </c>
      <c r="D195" s="138">
        <v>2450000</v>
      </c>
      <c r="E195" s="20" t="s">
        <v>754</v>
      </c>
      <c r="F195" s="20" t="s">
        <v>755</v>
      </c>
      <c r="G195" s="8" t="str">
        <f t="shared" ref="G195:G249" si="3">E195&amp;" "&amp;F195</f>
        <v>NELSON ARIANE</v>
      </c>
    </row>
    <row r="196" spans="1:7" x14ac:dyDescent="0.25">
      <c r="A196" s="8">
        <v>42969.770833333336</v>
      </c>
      <c r="B196" s="20" t="s">
        <v>611</v>
      </c>
      <c r="C196" s="20" t="s">
        <v>756</v>
      </c>
      <c r="D196" s="138">
        <v>3490000</v>
      </c>
      <c r="E196" s="20" t="s">
        <v>488</v>
      </c>
      <c r="F196" s="20" t="s">
        <v>489</v>
      </c>
      <c r="G196" s="8" t="str">
        <f t="shared" si="3"/>
        <v>WEST BRYAN</v>
      </c>
    </row>
    <row r="197" spans="1:7" x14ac:dyDescent="0.25">
      <c r="A197" s="8">
        <v>42969.776504629626</v>
      </c>
      <c r="B197" s="20" t="s">
        <v>631</v>
      </c>
      <c r="C197" s="20" t="s">
        <v>757</v>
      </c>
      <c r="D197" s="138">
        <v>1770000</v>
      </c>
      <c r="E197" s="20" t="s">
        <v>447</v>
      </c>
      <c r="F197" s="20" t="s">
        <v>448</v>
      </c>
      <c r="G197" s="8" t="str">
        <f t="shared" si="3"/>
        <v>BRUDER RICHARD</v>
      </c>
    </row>
    <row r="198" spans="1:7" x14ac:dyDescent="0.25">
      <c r="A198" s="8">
        <v>42969.777939814812</v>
      </c>
      <c r="B198" s="20" t="s">
        <v>576</v>
      </c>
      <c r="C198" s="20" t="s">
        <v>758</v>
      </c>
      <c r="D198" s="138">
        <v>1300000</v>
      </c>
      <c r="E198" s="20" t="s">
        <v>483</v>
      </c>
      <c r="F198" s="20" t="s">
        <v>484</v>
      </c>
      <c r="G198" s="8" t="str">
        <f t="shared" si="3"/>
        <v>LEVIN SCOTT</v>
      </c>
    </row>
    <row r="199" spans="1:7" x14ac:dyDescent="0.25">
      <c r="A199" s="8">
        <v>42969.783229166664</v>
      </c>
      <c r="B199" s="20" t="s">
        <v>553</v>
      </c>
      <c r="C199" s="20" t="s">
        <v>759</v>
      </c>
      <c r="D199" s="138">
        <v>3510000</v>
      </c>
      <c r="E199" s="20" t="s">
        <v>485</v>
      </c>
      <c r="F199" s="20" t="s">
        <v>486</v>
      </c>
      <c r="G199" s="8" t="str">
        <f t="shared" si="3"/>
        <v>BARRON PERLA</v>
      </c>
    </row>
    <row r="200" spans="1:7" x14ac:dyDescent="0.25">
      <c r="A200" s="8">
        <v>42969.783854166664</v>
      </c>
      <c r="B200" s="20" t="s">
        <v>392</v>
      </c>
      <c r="C200" s="20" t="s">
        <v>760</v>
      </c>
      <c r="D200" s="138">
        <v>2540000</v>
      </c>
      <c r="E200" s="20" t="s">
        <v>693</v>
      </c>
      <c r="F200" s="20" t="s">
        <v>694</v>
      </c>
      <c r="G200" s="8" t="str">
        <f t="shared" si="3"/>
        <v>MCREYNOLDS KYLE</v>
      </c>
    </row>
    <row r="201" spans="1:7" x14ac:dyDescent="0.25">
      <c r="A201" s="8">
        <v>42969.789305555554</v>
      </c>
      <c r="B201" s="20" t="s">
        <v>591</v>
      </c>
      <c r="C201" s="20" t="s">
        <v>592</v>
      </c>
      <c r="D201" s="138">
        <v>2610000</v>
      </c>
      <c r="E201" s="20" t="s">
        <v>490</v>
      </c>
      <c r="F201" s="20" t="s">
        <v>491</v>
      </c>
      <c r="G201" s="8" t="str">
        <f t="shared" si="3"/>
        <v>MAGEE KENYA</v>
      </c>
    </row>
    <row r="202" spans="1:7" x14ac:dyDescent="0.25">
      <c r="A202" s="26">
        <v>42969.78943287037</v>
      </c>
      <c r="B202" s="20" t="s">
        <v>371</v>
      </c>
      <c r="C202" s="20" t="s">
        <v>761</v>
      </c>
      <c r="D202" s="138">
        <v>3000000</v>
      </c>
      <c r="E202" s="20" t="s">
        <v>750</v>
      </c>
      <c r="F202" s="20" t="s">
        <v>751</v>
      </c>
      <c r="G202" s="8" t="str">
        <f t="shared" si="3"/>
        <v>FORTUNATO FRANK</v>
      </c>
    </row>
    <row r="203" spans="1:7" x14ac:dyDescent="0.25">
      <c r="A203" s="8">
        <v>42969.796249999999</v>
      </c>
      <c r="B203" s="20" t="s">
        <v>564</v>
      </c>
      <c r="C203" s="20" t="s">
        <v>762</v>
      </c>
      <c r="D203" s="138">
        <v>3510000</v>
      </c>
      <c r="E203" s="20" t="s">
        <v>485</v>
      </c>
      <c r="F203" s="20" t="s">
        <v>486</v>
      </c>
      <c r="G203" s="8" t="str">
        <f t="shared" si="3"/>
        <v>BARRON PERLA</v>
      </c>
    </row>
    <row r="204" spans="1:7" x14ac:dyDescent="0.25">
      <c r="A204" s="8">
        <v>42969.799375000002</v>
      </c>
      <c r="B204" s="20" t="s">
        <v>568</v>
      </c>
      <c r="C204" s="20" t="s">
        <v>763</v>
      </c>
      <c r="D204" s="138">
        <v>3120000</v>
      </c>
      <c r="E204" s="20" t="s">
        <v>445</v>
      </c>
      <c r="F204" s="20" t="s">
        <v>446</v>
      </c>
      <c r="G204" s="8" t="str">
        <f t="shared" si="3"/>
        <v>THOMPSON LESTER</v>
      </c>
    </row>
    <row r="205" spans="1:7" x14ac:dyDescent="0.25">
      <c r="A205" s="8">
        <v>42969.803576388891</v>
      </c>
      <c r="B205" s="20" t="s">
        <v>579</v>
      </c>
      <c r="C205" s="20" t="s">
        <v>764</v>
      </c>
      <c r="D205" s="138">
        <v>1770000</v>
      </c>
      <c r="E205" s="20" t="s">
        <v>447</v>
      </c>
      <c r="F205" s="20" t="s">
        <v>448</v>
      </c>
      <c r="G205" s="8" t="str">
        <f t="shared" si="3"/>
        <v>BRUDER RICHARD</v>
      </c>
    </row>
    <row r="206" spans="1:7" x14ac:dyDescent="0.25">
      <c r="A206" s="8">
        <v>42969.810081018521</v>
      </c>
      <c r="B206" s="20" t="s">
        <v>466</v>
      </c>
      <c r="C206" s="20" t="s">
        <v>765</v>
      </c>
      <c r="D206" s="138">
        <v>2450000</v>
      </c>
      <c r="E206" s="20" t="s">
        <v>754</v>
      </c>
      <c r="F206" s="20" t="s">
        <v>755</v>
      </c>
      <c r="G206" s="8" t="str">
        <f t="shared" si="3"/>
        <v>NELSON ARIANE</v>
      </c>
    </row>
    <row r="207" spans="1:7" x14ac:dyDescent="0.25">
      <c r="A207" s="8">
        <v>42969.810127314813</v>
      </c>
      <c r="B207" s="20" t="s">
        <v>434</v>
      </c>
      <c r="C207" s="20" t="s">
        <v>766</v>
      </c>
      <c r="D207" s="138">
        <v>3490000</v>
      </c>
      <c r="E207" s="20" t="s">
        <v>488</v>
      </c>
      <c r="F207" s="20" t="s">
        <v>489</v>
      </c>
      <c r="G207" s="8" t="str">
        <f t="shared" si="3"/>
        <v>WEST BRYAN</v>
      </c>
    </row>
    <row r="208" spans="1:7" x14ac:dyDescent="0.25">
      <c r="A208" s="8">
        <v>42969.817280092589</v>
      </c>
      <c r="B208" s="20" t="s">
        <v>631</v>
      </c>
      <c r="C208" s="20" t="s">
        <v>767</v>
      </c>
      <c r="D208" s="138">
        <v>1770000</v>
      </c>
      <c r="E208" s="20" t="s">
        <v>447</v>
      </c>
      <c r="F208" s="20" t="s">
        <v>448</v>
      </c>
      <c r="G208" s="8" t="str">
        <f t="shared" si="3"/>
        <v>BRUDER RICHARD</v>
      </c>
    </row>
    <row r="209" spans="1:7" x14ac:dyDescent="0.25">
      <c r="A209" s="8">
        <v>42969.820254629631</v>
      </c>
      <c r="B209" s="20" t="s">
        <v>389</v>
      </c>
      <c r="C209" s="20" t="s">
        <v>768</v>
      </c>
      <c r="D209" s="138">
        <v>2540000</v>
      </c>
      <c r="E209" s="20" t="s">
        <v>693</v>
      </c>
      <c r="F209" s="20" t="s">
        <v>694</v>
      </c>
      <c r="G209" s="8" t="str">
        <f t="shared" si="3"/>
        <v>MCREYNOLDS KYLE</v>
      </c>
    </row>
    <row r="210" spans="1:7" x14ac:dyDescent="0.25">
      <c r="A210" s="8">
        <v>42969.829652777778</v>
      </c>
      <c r="B210" s="20" t="s">
        <v>369</v>
      </c>
      <c r="C210" s="20" t="s">
        <v>593</v>
      </c>
      <c r="D210" s="138">
        <v>3000000</v>
      </c>
      <c r="E210" s="20" t="s">
        <v>750</v>
      </c>
      <c r="F210" s="20" t="s">
        <v>751</v>
      </c>
      <c r="G210" s="8" t="str">
        <f t="shared" si="3"/>
        <v>FORTUNATO FRANK</v>
      </c>
    </row>
    <row r="211" spans="1:7" x14ac:dyDescent="0.25">
      <c r="A211" s="8">
        <v>42969.829861111109</v>
      </c>
      <c r="B211" s="20" t="s">
        <v>556</v>
      </c>
      <c r="C211" s="20" t="s">
        <v>769</v>
      </c>
      <c r="D211" s="138">
        <v>2610000</v>
      </c>
      <c r="E211" s="20" t="s">
        <v>490</v>
      </c>
      <c r="F211" s="20" t="s">
        <v>491</v>
      </c>
      <c r="G211" s="8" t="str">
        <f t="shared" si="3"/>
        <v>MAGEE KENYA</v>
      </c>
    </row>
    <row r="212" spans="1:7" x14ac:dyDescent="0.25">
      <c r="A212" s="8">
        <v>42969.842615740738</v>
      </c>
      <c r="B212" s="20" t="s">
        <v>467</v>
      </c>
      <c r="C212" s="20" t="s">
        <v>770</v>
      </c>
      <c r="D212" s="138">
        <v>2450000</v>
      </c>
      <c r="E212" s="20" t="s">
        <v>754</v>
      </c>
      <c r="F212" s="20" t="s">
        <v>755</v>
      </c>
      <c r="G212" s="8" t="str">
        <f t="shared" si="3"/>
        <v>NELSON ARIANE</v>
      </c>
    </row>
    <row r="213" spans="1:7" x14ac:dyDescent="0.25">
      <c r="A213" s="8">
        <v>42969.845000000001</v>
      </c>
      <c r="B213" s="20" t="s">
        <v>579</v>
      </c>
      <c r="C213" s="20" t="s">
        <v>771</v>
      </c>
      <c r="D213" s="138">
        <v>1770000</v>
      </c>
      <c r="E213" s="20" t="s">
        <v>447</v>
      </c>
      <c r="F213" s="20" t="s">
        <v>448</v>
      </c>
      <c r="G213" s="8" t="str">
        <f t="shared" si="3"/>
        <v>BRUDER RICHARD</v>
      </c>
    </row>
    <row r="214" spans="1:7" x14ac:dyDescent="0.25">
      <c r="A214" s="8">
        <v>42969.847071759257</v>
      </c>
      <c r="B214" s="20" t="s">
        <v>611</v>
      </c>
      <c r="C214" s="20" t="s">
        <v>772</v>
      </c>
      <c r="D214" s="138">
        <v>3490000</v>
      </c>
      <c r="E214" s="20" t="s">
        <v>488</v>
      </c>
      <c r="F214" s="20" t="s">
        <v>489</v>
      </c>
      <c r="G214" s="8" t="str">
        <f t="shared" si="3"/>
        <v>WEST BRYAN</v>
      </c>
    </row>
    <row r="215" spans="1:7" x14ac:dyDescent="0.25">
      <c r="A215" s="8">
        <v>42969.859884259262</v>
      </c>
      <c r="B215" s="20" t="s">
        <v>631</v>
      </c>
      <c r="C215" s="20" t="s">
        <v>773</v>
      </c>
      <c r="D215" s="138">
        <v>1770000</v>
      </c>
      <c r="E215" s="20" t="s">
        <v>447</v>
      </c>
      <c r="F215" s="20" t="s">
        <v>448</v>
      </c>
      <c r="G215" s="8" t="str">
        <f t="shared" si="3"/>
        <v>BRUDER RICHARD</v>
      </c>
    </row>
    <row r="216" spans="1:7" x14ac:dyDescent="0.25">
      <c r="A216" s="8">
        <v>42969.86074074074</v>
      </c>
      <c r="B216" s="20" t="s">
        <v>371</v>
      </c>
      <c r="C216" s="20" t="s">
        <v>594</v>
      </c>
      <c r="D216" s="138">
        <v>3000000</v>
      </c>
      <c r="E216" s="20" t="s">
        <v>750</v>
      </c>
      <c r="F216" s="20" t="s">
        <v>751</v>
      </c>
      <c r="G216" s="8" t="str">
        <f t="shared" si="3"/>
        <v>FORTUNATO FRANK</v>
      </c>
    </row>
    <row r="217" spans="1:7" x14ac:dyDescent="0.25">
      <c r="A217" s="8">
        <v>42969.866446759261</v>
      </c>
      <c r="B217" s="20" t="s">
        <v>591</v>
      </c>
      <c r="C217" s="20" t="s">
        <v>774</v>
      </c>
      <c r="D217" s="138">
        <v>2610000</v>
      </c>
      <c r="E217" s="20" t="s">
        <v>490</v>
      </c>
      <c r="F217" s="20" t="s">
        <v>491</v>
      </c>
      <c r="G217" s="8" t="str">
        <f t="shared" si="3"/>
        <v>MAGEE KENYA</v>
      </c>
    </row>
    <row r="218" spans="1:7" x14ac:dyDescent="0.25">
      <c r="A218" s="8">
        <v>42969.883993055555</v>
      </c>
      <c r="B218" s="20" t="s">
        <v>579</v>
      </c>
      <c r="C218" s="20" t="s">
        <v>775</v>
      </c>
      <c r="D218" s="138">
        <v>3510000</v>
      </c>
      <c r="E218" s="20" t="s">
        <v>485</v>
      </c>
      <c r="F218" s="20" t="s">
        <v>486</v>
      </c>
      <c r="G218" s="8" t="str">
        <f t="shared" si="3"/>
        <v>BARRON PERLA</v>
      </c>
    </row>
    <row r="219" spans="1:7" x14ac:dyDescent="0.25">
      <c r="A219" s="8">
        <v>42969.89267361111</v>
      </c>
      <c r="B219" s="20" t="s">
        <v>466</v>
      </c>
      <c r="C219" s="20" t="s">
        <v>776</v>
      </c>
      <c r="D219" s="138">
        <v>2450000</v>
      </c>
      <c r="E219" s="20" t="s">
        <v>754</v>
      </c>
      <c r="F219" s="20" t="s">
        <v>755</v>
      </c>
      <c r="G219" s="8" t="str">
        <f t="shared" si="3"/>
        <v>NELSON ARIANE</v>
      </c>
    </row>
    <row r="220" spans="1:7" x14ac:dyDescent="0.25">
      <c r="A220" s="8">
        <v>42969.892997685187</v>
      </c>
      <c r="B220" s="20" t="s">
        <v>434</v>
      </c>
      <c r="C220" s="20" t="s">
        <v>777</v>
      </c>
      <c r="D220" s="138">
        <v>3490000</v>
      </c>
      <c r="E220" s="20" t="s">
        <v>488</v>
      </c>
      <c r="F220" s="20" t="s">
        <v>489</v>
      </c>
      <c r="G220" s="8" t="str">
        <f t="shared" si="3"/>
        <v>WEST BRYAN</v>
      </c>
    </row>
    <row r="221" spans="1:7" x14ac:dyDescent="0.25">
      <c r="A221" s="8">
        <v>42969.90152777778</v>
      </c>
      <c r="B221" s="20" t="s">
        <v>631</v>
      </c>
      <c r="C221" s="20" t="s">
        <v>778</v>
      </c>
      <c r="D221" s="138">
        <v>3510000</v>
      </c>
      <c r="E221" s="20" t="s">
        <v>485</v>
      </c>
      <c r="F221" s="20" t="s">
        <v>486</v>
      </c>
      <c r="G221" s="8" t="str">
        <f t="shared" si="3"/>
        <v>BARRON PERLA</v>
      </c>
    </row>
    <row r="222" spans="1:7" x14ac:dyDescent="0.25">
      <c r="A222" s="8">
        <v>42969.90388888889</v>
      </c>
      <c r="B222" s="20" t="s">
        <v>369</v>
      </c>
      <c r="C222" s="20" t="s">
        <v>779</v>
      </c>
      <c r="D222" s="138">
        <v>3000000</v>
      </c>
      <c r="E222" s="20" t="s">
        <v>750</v>
      </c>
      <c r="F222" s="20" t="s">
        <v>751</v>
      </c>
      <c r="G222" s="8" t="str">
        <f t="shared" si="3"/>
        <v>FORTUNATO FRANK</v>
      </c>
    </row>
    <row r="223" spans="1:7" x14ac:dyDescent="0.25">
      <c r="A223" s="8">
        <v>42969.912905092591</v>
      </c>
      <c r="B223" s="20" t="s">
        <v>556</v>
      </c>
      <c r="C223" s="20" t="s">
        <v>780</v>
      </c>
      <c r="D223" s="138">
        <v>2610000</v>
      </c>
      <c r="E223" s="20" t="s">
        <v>490</v>
      </c>
      <c r="F223" s="20" t="s">
        <v>491</v>
      </c>
      <c r="G223" s="8" t="str">
        <f t="shared" si="3"/>
        <v>MAGEE KENYA</v>
      </c>
    </row>
    <row r="224" spans="1:7" x14ac:dyDescent="0.25">
      <c r="A224" s="8">
        <v>42969.926516203705</v>
      </c>
      <c r="B224" t="s">
        <v>579</v>
      </c>
      <c r="C224" t="s">
        <v>781</v>
      </c>
      <c r="D224" s="138">
        <v>3510000</v>
      </c>
      <c r="E224" t="s">
        <v>485</v>
      </c>
      <c r="F224" s="20" t="s">
        <v>486</v>
      </c>
      <c r="G224" s="8" t="str">
        <f t="shared" si="3"/>
        <v>BARRON PERLA</v>
      </c>
    </row>
    <row r="225" spans="1:7" x14ac:dyDescent="0.25">
      <c r="A225" s="8">
        <v>42969.931979166664</v>
      </c>
      <c r="B225" t="s">
        <v>611</v>
      </c>
      <c r="C225" t="s">
        <v>782</v>
      </c>
      <c r="D225" s="138">
        <v>3490000</v>
      </c>
      <c r="E225" t="s">
        <v>488</v>
      </c>
      <c r="F225" s="20" t="s">
        <v>489</v>
      </c>
      <c r="G225" s="8" t="str">
        <f t="shared" si="3"/>
        <v>WEST BRYAN</v>
      </c>
    </row>
    <row r="226" spans="1:7" x14ac:dyDescent="0.25">
      <c r="A226" s="8">
        <v>42969.936828703707</v>
      </c>
      <c r="B226" t="s">
        <v>467</v>
      </c>
      <c r="C226" t="s">
        <v>783</v>
      </c>
      <c r="D226" s="138">
        <v>2450000</v>
      </c>
      <c r="E226" t="s">
        <v>754</v>
      </c>
      <c r="F226" s="20" t="s">
        <v>755</v>
      </c>
      <c r="G226" s="8" t="str">
        <f t="shared" si="3"/>
        <v>NELSON ARIANE</v>
      </c>
    </row>
    <row r="227" spans="1:7" x14ac:dyDescent="0.25">
      <c r="A227" s="8">
        <v>42969.942094907405</v>
      </c>
      <c r="B227" t="s">
        <v>631</v>
      </c>
      <c r="C227" t="s">
        <v>784</v>
      </c>
      <c r="D227" s="138">
        <v>3510000</v>
      </c>
      <c r="E227" t="s">
        <v>485</v>
      </c>
      <c r="F227" s="20" t="s">
        <v>486</v>
      </c>
      <c r="G227" s="8" t="str">
        <f t="shared" si="3"/>
        <v>BARRON PERLA</v>
      </c>
    </row>
    <row r="228" spans="1:7" x14ac:dyDescent="0.25">
      <c r="A228" s="8">
        <v>42969.944247685184</v>
      </c>
      <c r="B228" t="s">
        <v>371</v>
      </c>
      <c r="C228" t="s">
        <v>785</v>
      </c>
      <c r="D228" s="138">
        <v>3000000</v>
      </c>
      <c r="E228" t="s">
        <v>750</v>
      </c>
      <c r="F228" s="20" t="s">
        <v>751</v>
      </c>
      <c r="G228" s="8" t="str">
        <f t="shared" si="3"/>
        <v>FORTUNATO FRANK</v>
      </c>
    </row>
    <row r="229" spans="1:7" x14ac:dyDescent="0.25">
      <c r="A229" s="8">
        <v>42969.957604166666</v>
      </c>
      <c r="B229" t="s">
        <v>591</v>
      </c>
      <c r="C229" t="s">
        <v>786</v>
      </c>
      <c r="D229" s="138">
        <v>2610000</v>
      </c>
      <c r="E229" t="s">
        <v>490</v>
      </c>
      <c r="F229" s="20" t="s">
        <v>491</v>
      </c>
      <c r="G229" s="8" t="str">
        <f t="shared" si="3"/>
        <v>MAGEE KENYA</v>
      </c>
    </row>
    <row r="230" spans="1:7" x14ac:dyDescent="0.25">
      <c r="A230" s="8">
        <v>42969.966469907406</v>
      </c>
      <c r="B230" t="s">
        <v>434</v>
      </c>
      <c r="C230" t="s">
        <v>787</v>
      </c>
      <c r="D230" s="138">
        <v>3490000</v>
      </c>
      <c r="E230" t="s">
        <v>488</v>
      </c>
      <c r="F230" s="20" t="s">
        <v>489</v>
      </c>
      <c r="G230" s="8" t="str">
        <f t="shared" si="3"/>
        <v>WEST BRYAN</v>
      </c>
    </row>
    <row r="231" spans="1:7" x14ac:dyDescent="0.25">
      <c r="A231" s="8">
        <v>42969.976180555554</v>
      </c>
      <c r="B231" t="s">
        <v>466</v>
      </c>
      <c r="C231" t="s">
        <v>788</v>
      </c>
      <c r="D231" s="138">
        <v>2450000</v>
      </c>
      <c r="E231" t="s">
        <v>754</v>
      </c>
      <c r="F231" s="20" t="s">
        <v>755</v>
      </c>
      <c r="G231" s="8" t="str">
        <f t="shared" si="3"/>
        <v>NELSON ARIANE</v>
      </c>
    </row>
    <row r="232" spans="1:7" x14ac:dyDescent="0.25">
      <c r="A232" s="8">
        <v>42969.995937500003</v>
      </c>
      <c r="B232" t="s">
        <v>556</v>
      </c>
      <c r="C232" t="s">
        <v>789</v>
      </c>
      <c r="D232" s="138">
        <v>2610000</v>
      </c>
      <c r="E232" t="s">
        <v>490</v>
      </c>
      <c r="F232" s="20" t="s">
        <v>491</v>
      </c>
      <c r="G232" s="8" t="str">
        <f t="shared" si="3"/>
        <v>MAGEE KENYA</v>
      </c>
    </row>
    <row r="233" spans="1:7" x14ac:dyDescent="0.25">
      <c r="A233" s="8">
        <v>42969.997499999998</v>
      </c>
      <c r="B233" t="s">
        <v>369</v>
      </c>
      <c r="C233" t="s">
        <v>790</v>
      </c>
      <c r="D233" s="138">
        <v>3000000</v>
      </c>
      <c r="E233" t="s">
        <v>750</v>
      </c>
      <c r="F233" s="20" t="s">
        <v>751</v>
      </c>
      <c r="G233" s="8" t="str">
        <f t="shared" si="3"/>
        <v>FORTUNATO FRANK</v>
      </c>
    </row>
    <row r="234" spans="1:7" x14ac:dyDescent="0.25">
      <c r="A234" s="8">
        <v>42970.015162037038</v>
      </c>
      <c r="B234" t="s">
        <v>611</v>
      </c>
      <c r="C234" t="s">
        <v>791</v>
      </c>
      <c r="D234" s="138">
        <v>3490000</v>
      </c>
      <c r="E234" t="s">
        <v>488</v>
      </c>
      <c r="F234" s="20" t="s">
        <v>489</v>
      </c>
      <c r="G234" s="8" t="str">
        <f t="shared" si="3"/>
        <v>WEST BRYAN</v>
      </c>
    </row>
    <row r="235" spans="1:7" x14ac:dyDescent="0.25">
      <c r="A235" s="8">
        <v>42970.019942129627</v>
      </c>
      <c r="B235" t="s">
        <v>467</v>
      </c>
      <c r="C235" t="s">
        <v>792</v>
      </c>
      <c r="D235" s="138">
        <v>2450000</v>
      </c>
      <c r="E235" t="s">
        <v>754</v>
      </c>
      <c r="F235" s="20" t="s">
        <v>755</v>
      </c>
      <c r="G235" s="8" t="str">
        <f t="shared" si="3"/>
        <v>NELSON ARIANE</v>
      </c>
    </row>
    <row r="236" spans="1:7" x14ac:dyDescent="0.25">
      <c r="A236" s="8">
        <v>42970.028148148151</v>
      </c>
      <c r="B236" t="s">
        <v>371</v>
      </c>
      <c r="C236" t="s">
        <v>793</v>
      </c>
      <c r="D236" s="138">
        <v>3000000</v>
      </c>
      <c r="E236" t="s">
        <v>750</v>
      </c>
      <c r="F236" s="20" t="s">
        <v>751</v>
      </c>
      <c r="G236" s="8" t="str">
        <f t="shared" si="3"/>
        <v>FORTUNATO FRANK</v>
      </c>
    </row>
    <row r="237" spans="1:7" x14ac:dyDescent="0.25">
      <c r="A237" s="8">
        <v>42970.028831018521</v>
      </c>
      <c r="B237" t="s">
        <v>591</v>
      </c>
      <c r="C237" t="s">
        <v>794</v>
      </c>
      <c r="D237" s="138">
        <v>2610000</v>
      </c>
      <c r="E237" t="s">
        <v>490</v>
      </c>
      <c r="F237" s="20" t="s">
        <v>491</v>
      </c>
      <c r="G237" s="8" t="str">
        <f t="shared" si="3"/>
        <v>MAGEE KENYA</v>
      </c>
    </row>
    <row r="238" spans="1:7" x14ac:dyDescent="0.25">
      <c r="A238" s="8">
        <v>42970.048229166663</v>
      </c>
      <c r="B238" t="s">
        <v>434</v>
      </c>
      <c r="C238" t="s">
        <v>795</v>
      </c>
      <c r="D238" s="138">
        <v>3490000</v>
      </c>
      <c r="E238" t="s">
        <v>488</v>
      </c>
      <c r="F238" s="20" t="s">
        <v>489</v>
      </c>
      <c r="G238" s="8" t="str">
        <f t="shared" si="3"/>
        <v>WEST BRYAN</v>
      </c>
    </row>
    <row r="239" spans="1:7" x14ac:dyDescent="0.25">
      <c r="A239" s="8">
        <v>42970.057233796295</v>
      </c>
      <c r="B239" t="s">
        <v>466</v>
      </c>
      <c r="C239" t="s">
        <v>796</v>
      </c>
      <c r="D239" s="138">
        <v>2450000</v>
      </c>
      <c r="E239" t="s">
        <v>754</v>
      </c>
      <c r="F239" s="20" t="s">
        <v>755</v>
      </c>
      <c r="G239" s="8" t="str">
        <f t="shared" si="3"/>
        <v>NELSON ARIANE</v>
      </c>
    </row>
    <row r="240" spans="1:7" x14ac:dyDescent="0.25">
      <c r="A240" s="8">
        <v>42970.069918981484</v>
      </c>
      <c r="B240" t="s">
        <v>369</v>
      </c>
      <c r="C240" t="s">
        <v>797</v>
      </c>
      <c r="D240" s="138">
        <v>3000000</v>
      </c>
      <c r="E240" t="s">
        <v>750</v>
      </c>
      <c r="F240" s="20" t="s">
        <v>751</v>
      </c>
      <c r="G240" s="8" t="str">
        <f t="shared" si="3"/>
        <v>FORTUNATO FRANK</v>
      </c>
    </row>
    <row r="241" spans="1:7" x14ac:dyDescent="0.25">
      <c r="A241" s="8">
        <v>42970.092118055552</v>
      </c>
      <c r="B241" t="s">
        <v>467</v>
      </c>
      <c r="C241" t="s">
        <v>798</v>
      </c>
      <c r="D241" s="138">
        <v>2450000</v>
      </c>
      <c r="E241" t="s">
        <v>754</v>
      </c>
      <c r="F241" s="20" t="s">
        <v>755</v>
      </c>
      <c r="G241" s="8" t="str">
        <f t="shared" si="3"/>
        <v>NELSON ARIANE</v>
      </c>
    </row>
    <row r="242" spans="1:7" x14ac:dyDescent="0.25">
      <c r="A242" s="8">
        <v>42969.032534722224</v>
      </c>
      <c r="B242" t="s">
        <v>465</v>
      </c>
      <c r="C242" t="s">
        <v>492</v>
      </c>
      <c r="D242" s="138">
        <v>2620000</v>
      </c>
      <c r="E242" t="s">
        <v>422</v>
      </c>
      <c r="F242" s="20" t="s">
        <v>423</v>
      </c>
      <c r="G242" s="8" t="str">
        <f t="shared" si="3"/>
        <v>PERKINS DARREN</v>
      </c>
    </row>
    <row r="243" spans="1:7" x14ac:dyDescent="0.25">
      <c r="A243" s="8">
        <v>42969.038587962961</v>
      </c>
      <c r="B243" t="s">
        <v>463</v>
      </c>
      <c r="C243" t="s">
        <v>493</v>
      </c>
      <c r="D243" s="138">
        <v>2610000</v>
      </c>
      <c r="E243" t="s">
        <v>490</v>
      </c>
      <c r="F243" s="20" t="s">
        <v>491</v>
      </c>
      <c r="G243" s="8" t="str">
        <f t="shared" si="3"/>
        <v>MAGEE KENYA</v>
      </c>
    </row>
    <row r="244" spans="1:7" x14ac:dyDescent="0.25">
      <c r="A244" s="8">
        <v>42969.047581018516</v>
      </c>
      <c r="B244" t="s">
        <v>464</v>
      </c>
      <c r="C244" t="s">
        <v>494</v>
      </c>
      <c r="D244" s="138">
        <v>3490000</v>
      </c>
      <c r="E244" t="s">
        <v>488</v>
      </c>
      <c r="F244" s="20" t="s">
        <v>489</v>
      </c>
      <c r="G244" s="8" t="str">
        <f t="shared" si="3"/>
        <v>WEST BRYAN</v>
      </c>
    </row>
    <row r="245" spans="1:7" x14ac:dyDescent="0.25">
      <c r="A245" s="8">
        <v>42969.048877314817</v>
      </c>
      <c r="B245" t="s">
        <v>464</v>
      </c>
      <c r="C245" t="s">
        <v>494</v>
      </c>
      <c r="D245" s="138">
        <v>3490000</v>
      </c>
      <c r="E245" t="s">
        <v>488</v>
      </c>
      <c r="F245" s="20" t="s">
        <v>489</v>
      </c>
      <c r="G245" s="8" t="str">
        <f t="shared" si="3"/>
        <v>WEST BRYAN</v>
      </c>
    </row>
    <row r="246" spans="1:7" x14ac:dyDescent="0.25">
      <c r="A246" s="8">
        <v>42969.050138888888</v>
      </c>
      <c r="B246" t="s">
        <v>420</v>
      </c>
      <c r="C246" t="s">
        <v>495</v>
      </c>
      <c r="D246" s="138">
        <v>2970000</v>
      </c>
      <c r="E246" t="s">
        <v>350</v>
      </c>
      <c r="F246" s="20" t="s">
        <v>351</v>
      </c>
      <c r="G246" s="8" t="str">
        <f t="shared" si="3"/>
        <v>GUZMAN DANNY</v>
      </c>
    </row>
    <row r="247" spans="1:7" x14ac:dyDescent="0.25">
      <c r="A247" s="8">
        <v>42969.068692129629</v>
      </c>
      <c r="B247" t="s">
        <v>470</v>
      </c>
      <c r="C247" t="s">
        <v>496</v>
      </c>
      <c r="D247" s="138">
        <v>2610000</v>
      </c>
      <c r="E247" t="s">
        <v>490</v>
      </c>
      <c r="F247" s="20" t="s">
        <v>491</v>
      </c>
      <c r="G247" s="8" t="str">
        <f t="shared" si="3"/>
        <v>MAGEE KENYA</v>
      </c>
    </row>
    <row r="248" spans="1:7" x14ac:dyDescent="0.25">
      <c r="A248" s="8">
        <v>42969.089606481481</v>
      </c>
      <c r="B248" t="s">
        <v>421</v>
      </c>
      <c r="C248" t="s">
        <v>497</v>
      </c>
      <c r="D248" s="138">
        <v>2970000</v>
      </c>
      <c r="E248" t="s">
        <v>350</v>
      </c>
      <c r="F248" s="20" t="s">
        <v>351</v>
      </c>
      <c r="G248" s="8" t="str">
        <f t="shared" si="3"/>
        <v>GUZMAN DANNY</v>
      </c>
    </row>
    <row r="249" spans="1:7" x14ac:dyDescent="0.25">
      <c r="A249" s="8">
        <v>42969.11377314815</v>
      </c>
      <c r="B249" t="s">
        <v>392</v>
      </c>
      <c r="C249" t="s">
        <v>498</v>
      </c>
      <c r="D249" s="138">
        <v>1110000</v>
      </c>
      <c r="E249" t="s">
        <v>468</v>
      </c>
      <c r="F249" s="20" t="s">
        <v>469</v>
      </c>
      <c r="G249" s="8" t="str">
        <f t="shared" si="3"/>
        <v>STARKS ANGELINA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358</v>
      </c>
      <c r="O1" s="171" t="s">
        <v>156</v>
      </c>
      <c r="P1" s="171" t="s">
        <v>163</v>
      </c>
      <c r="Q1" s="171" t="s">
        <v>359</v>
      </c>
      <c r="R1" s="171" t="s">
        <v>160</v>
      </c>
      <c r="S1"/>
    </row>
    <row r="2" spans="1:19" x14ac:dyDescent="0.25">
      <c r="A2" s="172">
        <v>65.28</v>
      </c>
      <c r="B2" s="172">
        <v>0.21</v>
      </c>
      <c r="C2" s="172">
        <v>51.11</v>
      </c>
      <c r="D2" s="8">
        <v>42969</v>
      </c>
      <c r="E2" s="172">
        <v>0.6</v>
      </c>
      <c r="F2" s="172" t="s">
        <v>388</v>
      </c>
      <c r="G2" s="172">
        <v>286.17</v>
      </c>
      <c r="H2" s="172">
        <v>0</v>
      </c>
      <c r="I2" s="172">
        <v>0</v>
      </c>
      <c r="J2" s="172">
        <v>1018.83</v>
      </c>
      <c r="K2" s="172" t="s">
        <v>387</v>
      </c>
      <c r="L2" s="172">
        <v>65.28</v>
      </c>
      <c r="M2" s="172">
        <v>1503381600</v>
      </c>
      <c r="N2" s="172">
        <v>0</v>
      </c>
      <c r="O2" s="172">
        <v>5.09</v>
      </c>
      <c r="P2" s="172">
        <v>4</v>
      </c>
      <c r="Q2" s="172">
        <v>2.0699999999999998</v>
      </c>
      <c r="R2" s="172">
        <v>0.48</v>
      </c>
      <c r="S2"/>
    </row>
    <row r="3" spans="1:19" x14ac:dyDescent="0.25">
      <c r="A3" s="172">
        <v>63.33</v>
      </c>
      <c r="B3" s="172">
        <v>0.25</v>
      </c>
      <c r="C3" s="172">
        <v>51.06</v>
      </c>
      <c r="D3" s="8">
        <v>42969.041666666664</v>
      </c>
      <c r="E3" s="172">
        <v>0.64</v>
      </c>
      <c r="F3" s="172" t="s">
        <v>499</v>
      </c>
      <c r="G3" s="172">
        <v>286.06</v>
      </c>
      <c r="H3" s="172">
        <v>0</v>
      </c>
      <c r="I3" s="172">
        <v>0</v>
      </c>
      <c r="J3" s="172">
        <v>1018.89</v>
      </c>
      <c r="K3" s="172" t="s">
        <v>500</v>
      </c>
      <c r="L3" s="172">
        <v>63.33</v>
      </c>
      <c r="M3" s="172">
        <v>1503385200</v>
      </c>
      <c r="N3" s="172">
        <v>0</v>
      </c>
      <c r="O3" s="172">
        <v>4.84</v>
      </c>
      <c r="P3" s="172">
        <v>40</v>
      </c>
      <c r="Q3" s="172">
        <v>1.82</v>
      </c>
      <c r="R3" s="172">
        <v>0.38</v>
      </c>
      <c r="S3"/>
    </row>
    <row r="4" spans="1:19" x14ac:dyDescent="0.25">
      <c r="A4" s="172">
        <v>62.27</v>
      </c>
      <c r="B4" s="172">
        <v>0.49</v>
      </c>
      <c r="C4" s="172">
        <v>50.77</v>
      </c>
      <c r="D4" s="8">
        <v>42969.083333333336</v>
      </c>
      <c r="E4" s="172">
        <v>0.66</v>
      </c>
      <c r="F4" s="172" t="s">
        <v>499</v>
      </c>
      <c r="G4" s="172">
        <v>285.48</v>
      </c>
      <c r="H4" s="172">
        <v>0</v>
      </c>
      <c r="I4" s="172">
        <v>0</v>
      </c>
      <c r="J4" s="172">
        <v>1019.28</v>
      </c>
      <c r="K4" s="172" t="s">
        <v>500</v>
      </c>
      <c r="L4" s="172">
        <v>62.27</v>
      </c>
      <c r="M4" s="172">
        <v>1503388800</v>
      </c>
      <c r="N4" s="172">
        <v>0</v>
      </c>
      <c r="O4" s="172">
        <v>3.69</v>
      </c>
      <c r="P4" s="172">
        <v>4</v>
      </c>
      <c r="Q4" s="172">
        <v>2.0699999999999998</v>
      </c>
      <c r="R4" s="172">
        <v>0.33</v>
      </c>
      <c r="S4"/>
    </row>
    <row r="5" spans="1:19" x14ac:dyDescent="0.25">
      <c r="A5" s="172">
        <v>60.86</v>
      </c>
      <c r="B5" s="172">
        <v>0.2</v>
      </c>
      <c r="C5" s="172">
        <v>50.18</v>
      </c>
      <c r="D5" s="8">
        <v>42969.125</v>
      </c>
      <c r="E5" s="172">
        <v>0.68</v>
      </c>
      <c r="F5" s="172" t="s">
        <v>388</v>
      </c>
      <c r="G5" s="172">
        <v>284.89</v>
      </c>
      <c r="H5" s="172">
        <v>0</v>
      </c>
      <c r="I5" s="172">
        <v>0</v>
      </c>
      <c r="J5" s="172">
        <v>1019.68</v>
      </c>
      <c r="K5" s="172" t="s">
        <v>387</v>
      </c>
      <c r="L5" s="172">
        <v>60.86</v>
      </c>
      <c r="M5" s="172">
        <v>1503392400</v>
      </c>
      <c r="N5" s="172">
        <v>0</v>
      </c>
      <c r="O5" s="172">
        <v>3.69</v>
      </c>
      <c r="P5" s="172">
        <v>50</v>
      </c>
      <c r="Q5" s="172">
        <v>2.78</v>
      </c>
      <c r="R5" s="172">
        <v>0.41</v>
      </c>
      <c r="S5"/>
    </row>
    <row r="6" spans="1:19" x14ac:dyDescent="0.25">
      <c r="A6" s="172">
        <v>59.87</v>
      </c>
      <c r="B6" s="172">
        <v>0.12</v>
      </c>
      <c r="C6" s="172">
        <v>50.54</v>
      </c>
      <c r="D6" s="8">
        <v>42969.166666666664</v>
      </c>
      <c r="E6" s="172">
        <v>0.71</v>
      </c>
      <c r="F6" s="172" t="s">
        <v>388</v>
      </c>
      <c r="G6" s="172">
        <v>284.42</v>
      </c>
      <c r="H6" s="172">
        <v>0</v>
      </c>
      <c r="I6" s="172">
        <v>0</v>
      </c>
      <c r="J6" s="172">
        <v>1019.56</v>
      </c>
      <c r="K6" s="172" t="s">
        <v>387</v>
      </c>
      <c r="L6" s="172">
        <v>59.87</v>
      </c>
      <c r="M6" s="172">
        <v>1503396000</v>
      </c>
      <c r="N6" s="172">
        <v>0</v>
      </c>
      <c r="O6" s="172">
        <v>3.61</v>
      </c>
      <c r="P6" s="172">
        <v>66</v>
      </c>
      <c r="Q6" s="172">
        <v>2.87</v>
      </c>
      <c r="R6" s="172">
        <v>0.17</v>
      </c>
      <c r="S6"/>
    </row>
    <row r="7" spans="1:19" x14ac:dyDescent="0.25">
      <c r="A7" s="172">
        <v>58.94</v>
      </c>
      <c r="B7" s="172">
        <v>0.09</v>
      </c>
      <c r="C7" s="172">
        <v>50.9</v>
      </c>
      <c r="D7" s="8">
        <v>42969.208333333336</v>
      </c>
      <c r="E7" s="172">
        <v>0.75</v>
      </c>
      <c r="F7" s="172" t="s">
        <v>388</v>
      </c>
      <c r="G7" s="172">
        <v>283.83999999999997</v>
      </c>
      <c r="H7" s="172">
        <v>0</v>
      </c>
      <c r="I7" s="172">
        <v>0</v>
      </c>
      <c r="J7" s="172">
        <v>1019.72</v>
      </c>
      <c r="K7" s="172" t="s">
        <v>387</v>
      </c>
      <c r="L7" s="172">
        <v>58.94</v>
      </c>
      <c r="M7" s="172">
        <v>1503399600</v>
      </c>
      <c r="N7" s="172">
        <v>0</v>
      </c>
      <c r="O7" s="172">
        <v>3.69</v>
      </c>
      <c r="P7" s="172">
        <v>228</v>
      </c>
      <c r="Q7" s="172">
        <v>2.91</v>
      </c>
      <c r="R7" s="172">
        <v>0.19</v>
      </c>
      <c r="S7"/>
    </row>
    <row r="8" spans="1:19" x14ac:dyDescent="0.25">
      <c r="A8" s="172">
        <v>57.78</v>
      </c>
      <c r="B8" s="172">
        <v>0.26</v>
      </c>
      <c r="C8" s="172">
        <v>50.09</v>
      </c>
      <c r="D8" s="8">
        <v>42969.25</v>
      </c>
      <c r="E8" s="172">
        <v>0.76</v>
      </c>
      <c r="F8" s="172" t="s">
        <v>499</v>
      </c>
      <c r="G8" s="172">
        <v>284.52</v>
      </c>
      <c r="H8" s="172">
        <v>0</v>
      </c>
      <c r="I8" s="172">
        <v>0</v>
      </c>
      <c r="J8" s="172">
        <v>1019.97</v>
      </c>
      <c r="K8" s="172" t="s">
        <v>500</v>
      </c>
      <c r="L8" s="172">
        <v>57.78</v>
      </c>
      <c r="M8" s="172">
        <v>1503403200</v>
      </c>
      <c r="N8" s="172">
        <v>0</v>
      </c>
      <c r="O8" s="172">
        <v>3.66</v>
      </c>
      <c r="P8" s="172">
        <v>269</v>
      </c>
      <c r="Q8" s="172">
        <v>2.41</v>
      </c>
      <c r="R8" s="172">
        <v>0.24</v>
      </c>
      <c r="S8"/>
    </row>
    <row r="9" spans="1:19" x14ac:dyDescent="0.25">
      <c r="A9" s="172">
        <v>56.99</v>
      </c>
      <c r="B9" s="172">
        <v>7.0000000000000007E-2</v>
      </c>
      <c r="C9" s="172">
        <v>50.05</v>
      </c>
      <c r="D9" s="8">
        <v>42969.291666666664</v>
      </c>
      <c r="E9" s="172">
        <v>0.78</v>
      </c>
      <c r="F9" s="172" t="s">
        <v>386</v>
      </c>
      <c r="G9" s="172">
        <v>284.17</v>
      </c>
      <c r="H9" s="172">
        <v>0</v>
      </c>
      <c r="I9" s="172">
        <v>0</v>
      </c>
      <c r="J9" s="172">
        <v>1020.43</v>
      </c>
      <c r="K9" s="172" t="s">
        <v>387</v>
      </c>
      <c r="L9" s="172">
        <v>56.99</v>
      </c>
      <c r="M9" s="172">
        <v>1503406800</v>
      </c>
      <c r="N9" s="172">
        <v>0</v>
      </c>
      <c r="O9" s="172">
        <v>4.7300000000000004</v>
      </c>
      <c r="P9" s="172">
        <v>168</v>
      </c>
      <c r="Q9" s="172">
        <v>2.39</v>
      </c>
      <c r="R9" s="172">
        <v>0.34</v>
      </c>
      <c r="S9"/>
    </row>
    <row r="10" spans="1:19" x14ac:dyDescent="0.25">
      <c r="A10" s="172">
        <v>61.28</v>
      </c>
      <c r="B10" s="172">
        <v>0.06</v>
      </c>
      <c r="C10" s="172">
        <v>51.19</v>
      </c>
      <c r="D10" s="8">
        <v>42969.333333333336</v>
      </c>
      <c r="E10" s="172">
        <v>0.69</v>
      </c>
      <c r="F10" s="172" t="s">
        <v>386</v>
      </c>
      <c r="G10" s="172">
        <v>283.94</v>
      </c>
      <c r="H10" s="172">
        <v>0</v>
      </c>
      <c r="I10" s="172">
        <v>0</v>
      </c>
      <c r="J10" s="172">
        <v>1020.59</v>
      </c>
      <c r="K10" s="172" t="s">
        <v>387</v>
      </c>
      <c r="L10" s="172">
        <v>61.28</v>
      </c>
      <c r="M10" s="172">
        <v>1503410400</v>
      </c>
      <c r="N10" s="172">
        <v>1</v>
      </c>
      <c r="O10" s="172">
        <v>3.41</v>
      </c>
      <c r="P10" s="172">
        <v>143</v>
      </c>
      <c r="Q10" s="172">
        <v>3.38</v>
      </c>
      <c r="R10" s="172">
        <v>0.43</v>
      </c>
      <c r="S10"/>
    </row>
    <row r="11" spans="1:19" x14ac:dyDescent="0.25">
      <c r="A11" s="172">
        <v>65.430000000000007</v>
      </c>
      <c r="B11" s="172">
        <v>0.3</v>
      </c>
      <c r="C11" s="172">
        <v>52.95</v>
      </c>
      <c r="D11" s="8">
        <v>42969.375</v>
      </c>
      <c r="E11" s="172">
        <v>0.64</v>
      </c>
      <c r="F11" s="172" t="s">
        <v>799</v>
      </c>
      <c r="G11" s="172">
        <v>283.60000000000002</v>
      </c>
      <c r="H11" s="172">
        <v>0</v>
      </c>
      <c r="I11" s="172">
        <v>0</v>
      </c>
      <c r="J11" s="172">
        <v>1020.84</v>
      </c>
      <c r="K11" s="172" t="s">
        <v>500</v>
      </c>
      <c r="L11" s="172">
        <v>65.430000000000007</v>
      </c>
      <c r="M11" s="172">
        <v>1503414000</v>
      </c>
      <c r="N11" s="172">
        <v>2</v>
      </c>
      <c r="O11" s="172">
        <v>3.68</v>
      </c>
      <c r="P11" s="172">
        <v>88</v>
      </c>
      <c r="Q11" s="172">
        <v>4.2699999999999996</v>
      </c>
      <c r="R11" s="172">
        <v>0.64</v>
      </c>
      <c r="S11"/>
    </row>
    <row r="12" spans="1:19" x14ac:dyDescent="0.25">
      <c r="A12" s="172">
        <v>69.09</v>
      </c>
      <c r="B12" s="172">
        <v>0.3</v>
      </c>
      <c r="C12" s="172">
        <v>54.1</v>
      </c>
      <c r="D12" s="8">
        <v>42969.416666666664</v>
      </c>
      <c r="E12" s="172">
        <v>0.59</v>
      </c>
      <c r="F12" s="172" t="s">
        <v>799</v>
      </c>
      <c r="G12" s="172">
        <v>283.37</v>
      </c>
      <c r="H12" s="172">
        <v>0</v>
      </c>
      <c r="I12" s="172">
        <v>0</v>
      </c>
      <c r="J12" s="172">
        <v>1020.71</v>
      </c>
      <c r="K12" s="172" t="s">
        <v>500</v>
      </c>
      <c r="L12" s="172">
        <v>69.09</v>
      </c>
      <c r="M12" s="172">
        <v>1503417600</v>
      </c>
      <c r="N12" s="172">
        <v>3</v>
      </c>
      <c r="O12" s="172">
        <v>3.69</v>
      </c>
      <c r="P12" s="172">
        <v>66</v>
      </c>
      <c r="Q12" s="172">
        <v>4.83</v>
      </c>
      <c r="R12" s="172">
        <v>0.48</v>
      </c>
      <c r="S12"/>
    </row>
    <row r="13" spans="1:19" x14ac:dyDescent="0.25">
      <c r="A13" s="172">
        <v>72.53</v>
      </c>
      <c r="B13" s="172">
        <v>0.31</v>
      </c>
      <c r="C13" s="172">
        <v>54.15</v>
      </c>
      <c r="D13" s="8">
        <v>42969.458333333336</v>
      </c>
      <c r="E13" s="172">
        <v>0.53</v>
      </c>
      <c r="F13" s="172" t="s">
        <v>799</v>
      </c>
      <c r="G13" s="172">
        <v>283.26</v>
      </c>
      <c r="H13" s="172">
        <v>0</v>
      </c>
      <c r="I13" s="172">
        <v>0</v>
      </c>
      <c r="J13" s="172">
        <v>1019.65</v>
      </c>
      <c r="K13" s="172" t="s">
        <v>500</v>
      </c>
      <c r="L13" s="172">
        <v>72.53</v>
      </c>
      <c r="M13" s="172">
        <v>1503421200</v>
      </c>
      <c r="N13" s="172">
        <v>6</v>
      </c>
      <c r="O13" s="172">
        <v>3.92</v>
      </c>
      <c r="P13" s="172">
        <v>101</v>
      </c>
      <c r="Q13" s="172">
        <v>5.59</v>
      </c>
      <c r="R13" s="172">
        <v>1</v>
      </c>
      <c r="S13"/>
    </row>
    <row r="14" spans="1:19" x14ac:dyDescent="0.25">
      <c r="A14" s="172">
        <v>75.53</v>
      </c>
      <c r="B14" s="172">
        <v>0.2</v>
      </c>
      <c r="C14" s="172">
        <v>54.3</v>
      </c>
      <c r="D14" s="8">
        <v>42969.5</v>
      </c>
      <c r="E14" s="172">
        <v>0.48</v>
      </c>
      <c r="F14" s="172" t="s">
        <v>386</v>
      </c>
      <c r="G14" s="172">
        <v>284.31</v>
      </c>
      <c r="H14" s="172">
        <v>0</v>
      </c>
      <c r="I14" s="172">
        <v>0</v>
      </c>
      <c r="J14" s="172">
        <v>1018.72</v>
      </c>
      <c r="K14" s="172" t="s">
        <v>387</v>
      </c>
      <c r="L14" s="172">
        <v>75.53</v>
      </c>
      <c r="M14" s="172">
        <v>1503424800</v>
      </c>
      <c r="N14" s="172">
        <v>8</v>
      </c>
      <c r="O14" s="172">
        <v>3.78</v>
      </c>
      <c r="P14" s="172">
        <v>73</v>
      </c>
      <c r="Q14" s="172">
        <v>5.49</v>
      </c>
      <c r="R14" s="172">
        <v>1.1200000000000001</v>
      </c>
      <c r="S14"/>
    </row>
    <row r="15" spans="1:19" x14ac:dyDescent="0.25">
      <c r="A15" s="172">
        <v>78.64</v>
      </c>
      <c r="B15" s="172">
        <v>0.1</v>
      </c>
      <c r="C15" s="172">
        <v>54.08</v>
      </c>
      <c r="D15" s="8">
        <v>42969.541666666664</v>
      </c>
      <c r="E15" s="172">
        <v>0.43</v>
      </c>
      <c r="F15" s="172" t="s">
        <v>386</v>
      </c>
      <c r="G15" s="172">
        <v>284.08999999999997</v>
      </c>
      <c r="H15" s="172">
        <v>0</v>
      </c>
      <c r="I15" s="172">
        <v>0</v>
      </c>
      <c r="J15" s="172">
        <v>1017.48</v>
      </c>
      <c r="K15" s="172" t="s">
        <v>387</v>
      </c>
      <c r="L15" s="172">
        <v>78.64</v>
      </c>
      <c r="M15" s="172">
        <v>1503428400</v>
      </c>
      <c r="N15" s="172">
        <v>10</v>
      </c>
      <c r="O15" s="172">
        <v>3.78</v>
      </c>
      <c r="P15" s="172">
        <v>31</v>
      </c>
      <c r="Q15" s="172">
        <v>6.34</v>
      </c>
      <c r="R15" s="172">
        <v>0.56000000000000005</v>
      </c>
      <c r="S15"/>
    </row>
    <row r="16" spans="1:19" x14ac:dyDescent="0.25">
      <c r="A16" s="172">
        <v>80.84</v>
      </c>
      <c r="B16" s="172">
        <v>0.09</v>
      </c>
      <c r="C16" s="172">
        <v>54.6</v>
      </c>
      <c r="D16" s="8">
        <v>42969.583333333336</v>
      </c>
      <c r="E16" s="172">
        <v>0.41</v>
      </c>
      <c r="F16" s="172" t="s">
        <v>386</v>
      </c>
      <c r="G16" s="172">
        <v>283.74</v>
      </c>
      <c r="H16" s="172">
        <v>0</v>
      </c>
      <c r="I16" s="172">
        <v>0</v>
      </c>
      <c r="J16" s="172">
        <v>1016.98</v>
      </c>
      <c r="K16" s="172" t="s">
        <v>387</v>
      </c>
      <c r="L16" s="172">
        <v>80.84</v>
      </c>
      <c r="M16" s="172">
        <v>1503432000</v>
      </c>
      <c r="N16" s="172">
        <v>9</v>
      </c>
      <c r="O16" s="172">
        <v>3.59</v>
      </c>
      <c r="P16" s="172">
        <v>17</v>
      </c>
      <c r="Q16" s="172">
        <v>5.9</v>
      </c>
      <c r="R16" s="172">
        <v>0.87</v>
      </c>
      <c r="S16"/>
    </row>
    <row r="17" spans="1:19" x14ac:dyDescent="0.25">
      <c r="A17" s="172">
        <v>81.66</v>
      </c>
      <c r="B17" s="172">
        <v>0.06</v>
      </c>
      <c r="C17" s="172">
        <v>55.03</v>
      </c>
      <c r="D17" s="8">
        <v>42969.625</v>
      </c>
      <c r="E17" s="172">
        <v>0.4</v>
      </c>
      <c r="F17" s="172" t="s">
        <v>386</v>
      </c>
      <c r="G17" s="172">
        <v>283.29000000000002</v>
      </c>
      <c r="H17" s="172">
        <v>0</v>
      </c>
      <c r="I17" s="172">
        <v>0</v>
      </c>
      <c r="J17" s="172">
        <v>1016.31</v>
      </c>
      <c r="K17" s="172" t="s">
        <v>387</v>
      </c>
      <c r="L17" s="172">
        <v>81.66</v>
      </c>
      <c r="M17" s="172">
        <v>1503435600</v>
      </c>
      <c r="N17" s="172">
        <v>7</v>
      </c>
      <c r="O17" s="172">
        <v>3.57</v>
      </c>
      <c r="P17" s="172">
        <v>292</v>
      </c>
      <c r="Q17" s="172">
        <v>6.85</v>
      </c>
      <c r="R17" s="172">
        <v>1.1200000000000001</v>
      </c>
      <c r="S17"/>
    </row>
    <row r="18" spans="1:19" x14ac:dyDescent="0.25">
      <c r="A18" s="172">
        <v>81.09</v>
      </c>
      <c r="B18" s="172">
        <v>7.0000000000000007E-2</v>
      </c>
      <c r="C18" s="172">
        <v>55.26</v>
      </c>
      <c r="D18" s="8">
        <v>42969.666666666664</v>
      </c>
      <c r="E18" s="172">
        <v>0.41</v>
      </c>
      <c r="F18" s="172" t="s">
        <v>386</v>
      </c>
      <c r="G18" s="172">
        <v>282.82</v>
      </c>
      <c r="H18" s="172">
        <v>0</v>
      </c>
      <c r="I18" s="172">
        <v>0</v>
      </c>
      <c r="J18" s="172">
        <v>1016.17</v>
      </c>
      <c r="K18" s="172" t="s">
        <v>387</v>
      </c>
      <c r="L18" s="172">
        <v>81.09</v>
      </c>
      <c r="M18" s="172">
        <v>1503439200</v>
      </c>
      <c r="N18" s="172">
        <v>4</v>
      </c>
      <c r="O18" s="172">
        <v>3.83</v>
      </c>
      <c r="P18" s="172">
        <v>288</v>
      </c>
      <c r="Q18" s="172">
        <v>8.1199999999999992</v>
      </c>
      <c r="R18" s="172">
        <v>1.63</v>
      </c>
      <c r="S18"/>
    </row>
    <row r="19" spans="1:19" x14ac:dyDescent="0.25">
      <c r="A19" s="172">
        <v>81.58</v>
      </c>
      <c r="B19" s="172">
        <v>0.11</v>
      </c>
      <c r="C19" s="172">
        <v>56.2</v>
      </c>
      <c r="D19" s="8">
        <v>42969.708333333336</v>
      </c>
      <c r="E19" s="172">
        <v>0.42</v>
      </c>
      <c r="F19" s="172" t="s">
        <v>386</v>
      </c>
      <c r="G19" s="172">
        <v>282.13</v>
      </c>
      <c r="H19" s="172">
        <v>0</v>
      </c>
      <c r="I19" s="172">
        <v>0</v>
      </c>
      <c r="J19" s="172">
        <v>1016.06</v>
      </c>
      <c r="K19" s="172" t="s">
        <v>387</v>
      </c>
      <c r="L19" s="172">
        <v>81.58</v>
      </c>
      <c r="M19" s="172">
        <v>1503442800</v>
      </c>
      <c r="N19" s="172">
        <v>2</v>
      </c>
      <c r="O19" s="172">
        <v>3.83</v>
      </c>
      <c r="P19" s="172">
        <v>265</v>
      </c>
      <c r="Q19" s="172">
        <v>7.65</v>
      </c>
      <c r="R19" s="172">
        <v>1.48</v>
      </c>
      <c r="S19"/>
    </row>
    <row r="20" spans="1:19" x14ac:dyDescent="0.25">
      <c r="A20" s="172">
        <v>79.709999999999994</v>
      </c>
      <c r="B20" s="172">
        <v>0.08</v>
      </c>
      <c r="C20" s="172">
        <v>53.92</v>
      </c>
      <c r="D20" s="8">
        <v>42969.75</v>
      </c>
      <c r="E20" s="172">
        <v>0.41</v>
      </c>
      <c r="F20" s="172" t="s">
        <v>386</v>
      </c>
      <c r="G20" s="172">
        <v>279.89</v>
      </c>
      <c r="H20" s="172">
        <v>0</v>
      </c>
      <c r="I20" s="172">
        <v>0</v>
      </c>
      <c r="J20" s="172">
        <v>1015.92</v>
      </c>
      <c r="K20" s="172" t="s">
        <v>387</v>
      </c>
      <c r="L20" s="172">
        <v>79.709999999999994</v>
      </c>
      <c r="M20" s="172">
        <v>1503446400</v>
      </c>
      <c r="N20" s="172">
        <v>1</v>
      </c>
      <c r="O20" s="172">
        <v>3.69</v>
      </c>
      <c r="P20" s="172">
        <v>204</v>
      </c>
      <c r="Q20" s="172">
        <v>8.3000000000000007</v>
      </c>
      <c r="R20" s="172">
        <v>2.0099999999999998</v>
      </c>
      <c r="S20"/>
    </row>
    <row r="21" spans="1:19" x14ac:dyDescent="0.25">
      <c r="A21" s="172">
        <v>77.680000000000007</v>
      </c>
      <c r="B21" s="172">
        <v>0.06</v>
      </c>
      <c r="C21" s="172">
        <v>51.56</v>
      </c>
      <c r="D21" s="8">
        <v>42969.791666666664</v>
      </c>
      <c r="E21" s="172">
        <v>0.4</v>
      </c>
      <c r="F21" s="172" t="s">
        <v>386</v>
      </c>
      <c r="G21" s="172">
        <v>279.52</v>
      </c>
      <c r="H21" s="172">
        <v>0</v>
      </c>
      <c r="I21" s="172">
        <v>0</v>
      </c>
      <c r="J21" s="172">
        <v>1016.46</v>
      </c>
      <c r="K21" s="172" t="s">
        <v>387</v>
      </c>
      <c r="L21" s="172">
        <v>77.680000000000007</v>
      </c>
      <c r="M21" s="172">
        <v>1503450000</v>
      </c>
      <c r="N21" s="172">
        <v>0</v>
      </c>
      <c r="O21" s="172">
        <v>3.69</v>
      </c>
      <c r="P21" s="172">
        <v>203</v>
      </c>
      <c r="Q21" s="172">
        <v>7.51</v>
      </c>
      <c r="R21" s="172">
        <v>2.5</v>
      </c>
      <c r="S21"/>
    </row>
    <row r="22" spans="1:19" x14ac:dyDescent="0.25">
      <c r="A22" s="172">
        <v>75.31</v>
      </c>
      <c r="B22" s="172">
        <v>0.14000000000000001</v>
      </c>
      <c r="C22" s="172">
        <v>49.74</v>
      </c>
      <c r="D22" s="8">
        <v>42969.833333333336</v>
      </c>
      <c r="E22" s="172">
        <v>0.41</v>
      </c>
      <c r="F22" s="172" t="s">
        <v>388</v>
      </c>
      <c r="G22" s="172">
        <v>279.51</v>
      </c>
      <c r="H22" s="172">
        <v>0</v>
      </c>
      <c r="I22" s="172">
        <v>0</v>
      </c>
      <c r="J22" s="172">
        <v>1016.33</v>
      </c>
      <c r="K22" s="172" t="s">
        <v>387</v>
      </c>
      <c r="L22" s="172">
        <v>75.31</v>
      </c>
      <c r="M22" s="172">
        <v>1503453600</v>
      </c>
      <c r="N22" s="172">
        <v>0</v>
      </c>
      <c r="O22" s="172">
        <v>3.49</v>
      </c>
      <c r="P22" s="172">
        <v>197</v>
      </c>
      <c r="Q22" s="172">
        <v>6.48</v>
      </c>
      <c r="R22" s="172">
        <v>2.3199999999999998</v>
      </c>
      <c r="S22"/>
    </row>
    <row r="23" spans="1:19" x14ac:dyDescent="0.25">
      <c r="A23" s="172">
        <v>74.14</v>
      </c>
      <c r="B23" s="172">
        <v>0.1</v>
      </c>
      <c r="C23" s="172">
        <v>47.82</v>
      </c>
      <c r="D23" s="8">
        <v>42969.875</v>
      </c>
      <c r="E23" s="172">
        <v>0.39</v>
      </c>
      <c r="F23" s="172" t="s">
        <v>388</v>
      </c>
      <c r="G23" s="172">
        <v>279.51</v>
      </c>
      <c r="H23" s="172">
        <v>0</v>
      </c>
      <c r="I23" s="172">
        <v>0</v>
      </c>
      <c r="J23" s="172">
        <v>1016.63</v>
      </c>
      <c r="K23" s="172" t="s">
        <v>387</v>
      </c>
      <c r="L23" s="172">
        <v>74.14</v>
      </c>
      <c r="M23" s="172">
        <v>1503457200</v>
      </c>
      <c r="N23" s="172">
        <v>0</v>
      </c>
      <c r="O23" s="172">
        <v>3.66</v>
      </c>
      <c r="P23" s="172">
        <v>211</v>
      </c>
      <c r="Q23" s="172">
        <v>8.2100000000000009</v>
      </c>
      <c r="R23" s="172">
        <v>3.11</v>
      </c>
      <c r="S23"/>
    </row>
    <row r="24" spans="1:19" x14ac:dyDescent="0.25">
      <c r="A24" s="172">
        <v>73.010000000000005</v>
      </c>
      <c r="B24" s="172">
        <v>0.01</v>
      </c>
      <c r="C24" s="172">
        <v>45.7</v>
      </c>
      <c r="D24" s="8">
        <v>42969.916666666664</v>
      </c>
      <c r="E24" s="172">
        <v>0.38</v>
      </c>
      <c r="F24" s="172" t="s">
        <v>388</v>
      </c>
      <c r="G24" s="172">
        <v>279.5</v>
      </c>
      <c r="H24" s="172">
        <v>0</v>
      </c>
      <c r="I24" s="172">
        <v>0</v>
      </c>
      <c r="J24" s="172">
        <v>1016.13</v>
      </c>
      <c r="K24" s="172" t="s">
        <v>387</v>
      </c>
      <c r="L24" s="172">
        <v>73.010000000000005</v>
      </c>
      <c r="M24" s="172">
        <v>1503460800</v>
      </c>
      <c r="N24" s="172">
        <v>0</v>
      </c>
      <c r="O24" s="172">
        <v>3.66</v>
      </c>
      <c r="P24" s="172">
        <v>206</v>
      </c>
      <c r="Q24" s="172">
        <v>7.41</v>
      </c>
      <c r="R24" s="172">
        <v>2.9</v>
      </c>
      <c r="S24"/>
    </row>
    <row r="25" spans="1:19" x14ac:dyDescent="0.25">
      <c r="A25" s="172">
        <v>71.680000000000007</v>
      </c>
      <c r="B25" s="172">
        <v>0.01</v>
      </c>
      <c r="C25" s="172">
        <v>45.25</v>
      </c>
      <c r="D25" s="8">
        <v>42969.958333333336</v>
      </c>
      <c r="E25" s="172">
        <v>0.39</v>
      </c>
      <c r="F25" s="172" t="s">
        <v>388</v>
      </c>
      <c r="G25" s="172">
        <v>279.5</v>
      </c>
      <c r="H25" s="172">
        <v>0</v>
      </c>
      <c r="I25" s="172">
        <v>0</v>
      </c>
      <c r="J25" s="172">
        <v>1015.73</v>
      </c>
      <c r="K25" s="172" t="s">
        <v>387</v>
      </c>
      <c r="L25" s="172">
        <v>71.680000000000007</v>
      </c>
      <c r="M25" s="172">
        <v>1503464400</v>
      </c>
      <c r="N25" s="172">
        <v>0</v>
      </c>
      <c r="O25" s="172">
        <v>3.83</v>
      </c>
      <c r="P25" s="172">
        <v>202</v>
      </c>
      <c r="Q25" s="172">
        <v>7.53</v>
      </c>
      <c r="R25" s="172">
        <v>2.8</v>
      </c>
      <c r="S25"/>
    </row>
    <row r="26" spans="1:19" x14ac:dyDescent="0.25">
      <c r="A26" s="172">
        <v>69.67</v>
      </c>
      <c r="B26" s="172">
        <v>0.02</v>
      </c>
      <c r="C26" s="172">
        <v>45.34</v>
      </c>
      <c r="D26" s="8">
        <v>42970</v>
      </c>
      <c r="E26" s="172">
        <v>0.42</v>
      </c>
      <c r="F26" s="172" t="s">
        <v>388</v>
      </c>
      <c r="G26" s="172">
        <v>279.62</v>
      </c>
      <c r="H26" s="172">
        <v>0</v>
      </c>
      <c r="I26" s="172">
        <v>0</v>
      </c>
      <c r="J26" s="172">
        <v>1015.3</v>
      </c>
      <c r="K26" s="172" t="s">
        <v>387</v>
      </c>
      <c r="L26" s="172">
        <v>69.67</v>
      </c>
      <c r="M26" s="172">
        <v>1503468000</v>
      </c>
      <c r="N26" s="172">
        <v>0</v>
      </c>
      <c r="O26" s="172">
        <v>3.71</v>
      </c>
      <c r="P26" s="172">
        <v>192</v>
      </c>
      <c r="Q26" s="172">
        <v>6.3</v>
      </c>
      <c r="R26" s="172">
        <v>2.39</v>
      </c>
      <c r="S26"/>
    </row>
    <row r="27" spans="1:19" x14ac:dyDescent="0.25">
      <c r="A27" s="172">
        <v>67.099999999999994</v>
      </c>
      <c r="B27" s="172">
        <v>0.02</v>
      </c>
      <c r="C27" s="172">
        <v>45.77</v>
      </c>
      <c r="D27" s="8">
        <v>42970.041666666664</v>
      </c>
      <c r="E27" s="172">
        <v>0.46</v>
      </c>
      <c r="F27" s="172" t="s">
        <v>388</v>
      </c>
      <c r="G27" s="172">
        <v>279.74</v>
      </c>
      <c r="H27" s="172">
        <v>0</v>
      </c>
      <c r="I27" s="172">
        <v>0</v>
      </c>
      <c r="J27" s="172">
        <v>1014.94</v>
      </c>
      <c r="K27" s="172" t="s">
        <v>387</v>
      </c>
      <c r="L27" s="172">
        <v>67.099999999999994</v>
      </c>
      <c r="M27" s="172">
        <v>1503471600</v>
      </c>
      <c r="N27" s="172">
        <v>0</v>
      </c>
      <c r="O27" s="172">
        <v>3.69</v>
      </c>
      <c r="P27" s="172">
        <v>194</v>
      </c>
      <c r="Q27" s="172">
        <v>4.3</v>
      </c>
      <c r="R27" s="172">
        <v>1.59</v>
      </c>
      <c r="S27"/>
    </row>
    <row r="28" spans="1:19" x14ac:dyDescent="0.25">
      <c r="A28" s="172">
        <v>64.87</v>
      </c>
      <c r="B28" s="172">
        <v>0.06</v>
      </c>
      <c r="C28" s="172">
        <v>46.22</v>
      </c>
      <c r="D28" s="8">
        <v>42970.083333333336</v>
      </c>
      <c r="E28" s="172">
        <v>0.51</v>
      </c>
      <c r="F28" s="172" t="s">
        <v>388</v>
      </c>
      <c r="G28" s="172">
        <v>279.86</v>
      </c>
      <c r="H28" s="172">
        <v>0</v>
      </c>
      <c r="I28" s="172">
        <v>0</v>
      </c>
      <c r="J28" s="172">
        <v>1014.96</v>
      </c>
      <c r="K28" s="172" t="s">
        <v>387</v>
      </c>
      <c r="L28" s="172">
        <v>64.87</v>
      </c>
      <c r="M28" s="172">
        <v>1503475200</v>
      </c>
      <c r="N28" s="172">
        <v>0</v>
      </c>
      <c r="O28" s="172">
        <v>2.98</v>
      </c>
      <c r="P28" s="172">
        <v>211</v>
      </c>
      <c r="Q28" s="172">
        <v>3.62</v>
      </c>
      <c r="R28" s="172">
        <v>1.35</v>
      </c>
      <c r="S28"/>
    </row>
    <row r="29" spans="1:19" x14ac:dyDescent="0.25">
      <c r="A29" s="172">
        <v>62.54</v>
      </c>
      <c r="B29" s="172">
        <v>0.09</v>
      </c>
      <c r="C29" s="172">
        <v>47.93</v>
      </c>
      <c r="D29" s="8">
        <v>42970.125</v>
      </c>
      <c r="E29" s="172">
        <v>0.59</v>
      </c>
      <c r="F29" s="172" t="s">
        <v>388</v>
      </c>
      <c r="G29" s="172">
        <v>279.98</v>
      </c>
      <c r="H29" s="172">
        <v>0</v>
      </c>
      <c r="I29" s="172">
        <v>0</v>
      </c>
      <c r="J29" s="172">
        <v>1014.86</v>
      </c>
      <c r="K29" s="172" t="s">
        <v>387</v>
      </c>
      <c r="L29" s="172">
        <v>62.54</v>
      </c>
      <c r="M29" s="172">
        <v>1503478800</v>
      </c>
      <c r="N29" s="172">
        <v>0</v>
      </c>
      <c r="O29" s="172">
        <v>3.6</v>
      </c>
      <c r="P29" s="172">
        <v>210</v>
      </c>
      <c r="Q29" s="172">
        <v>3.14</v>
      </c>
      <c r="R29" s="172">
        <v>1.33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362</v>
      </c>
      <c r="AE2" s="56" t="s">
        <v>365</v>
      </c>
      <c r="AF2" s="56" t="s">
        <v>366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363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355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367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975</v>
      </c>
      <c r="J20" s="140" t="s">
        <v>87</v>
      </c>
      <c r="M20" s="154" t="s">
        <v>348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976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980</v>
      </c>
      <c r="J25" s="140" t="s">
        <v>146</v>
      </c>
      <c r="M25" s="154" t="b">
        <v>1</v>
      </c>
    </row>
    <row r="26" spans="3:24" x14ac:dyDescent="0.25">
      <c r="C26" t="s">
        <v>981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C:\Users\stu\Documents\GitHub\eaglep3-reporting\EC\2017-08-22-refined-times.txt</v>
      </c>
    </row>
    <row r="27" spans="3:24" x14ac:dyDescent="0.25">
      <c r="C27" t="s">
        <v>982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C:\Users\stu\Documents\GitHub\eaglep3-reporting\EC\2017-08-22-Enforcements.txt</v>
      </c>
    </row>
    <row r="28" spans="3:24" x14ac:dyDescent="0.25">
      <c r="C28" t="s">
        <v>551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C:\Users\stu\Documents\GitHub\eaglep3-reporting\EC\2017-08-22-Runs-refined.txt</v>
      </c>
    </row>
    <row r="29" spans="3:24" x14ac:dyDescent="0.25">
      <c r="C29" t="s">
        <v>983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C:\Users\stu\Documents\GitHub\eaglep3-reporting\EC\2017-08-22-Trips.txt</v>
      </c>
    </row>
    <row r="30" spans="3:24" x14ac:dyDescent="0.25">
      <c r="C30" t="s">
        <v>984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C:\Users\stu\Documents\GitHub\eaglep3-reporting\EC\2017-08-22-Weather.txt</v>
      </c>
    </row>
    <row r="31" spans="3:24" x14ac:dyDescent="0.25">
      <c r="C31" t="s">
        <v>985</v>
      </c>
      <c r="J31" s="140" t="s">
        <v>194</v>
      </c>
      <c r="M31" s="154" t="s">
        <v>195</v>
      </c>
    </row>
    <row r="32" spans="3:24" x14ac:dyDescent="0.25">
      <c r="C32" t="s">
        <v>986</v>
      </c>
    </row>
    <row r="33" spans="3:3" x14ac:dyDescent="0.25">
      <c r="C33" t="s">
        <v>987</v>
      </c>
    </row>
    <row r="34" spans="3:3" x14ac:dyDescent="0.25">
      <c r="C34" t="s">
        <v>988</v>
      </c>
    </row>
    <row r="35" spans="3:3" x14ac:dyDescent="0.25">
      <c r="C35" t="s">
        <v>989</v>
      </c>
    </row>
    <row r="36" spans="3:3" x14ac:dyDescent="0.25">
      <c r="C36" t="s">
        <v>990</v>
      </c>
    </row>
    <row r="37" spans="3:3" x14ac:dyDescent="0.25">
      <c r="C37" t="s">
        <v>991</v>
      </c>
    </row>
    <row r="38" spans="3:3" x14ac:dyDescent="0.25">
      <c r="C38" t="s">
        <v>992</v>
      </c>
    </row>
    <row r="39" spans="3:3" x14ac:dyDescent="0.25">
      <c r="C39" t="s">
        <v>993</v>
      </c>
    </row>
    <row r="40" spans="3:3" x14ac:dyDescent="0.25">
      <c r="C40" t="s">
        <v>994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336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337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2017-08-23T17:39:12Z</dcterms:modified>
</cp:coreProperties>
</file>