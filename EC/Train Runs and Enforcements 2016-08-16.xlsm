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Enforcements!$A$6:$V$60</definedName>
    <definedName name="_xlnm._FilterDatabase" localSheetId="2" hidden="1">'Missing Trips'!$A$2:$H$2</definedName>
    <definedName name="_xlnm._FilterDatabase" localSheetId="0" hidden="1">'Train Runs'!$A$12:$AG$225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83" i="1" l="1"/>
  <c r="Y154" i="1"/>
  <c r="Y155" i="1"/>
  <c r="Y156" i="1"/>
  <c r="Y157" i="1"/>
  <c r="V147" i="1"/>
  <c r="V14" i="1" l="1"/>
  <c r="V15" i="1"/>
  <c r="V16" i="1"/>
  <c r="V17" i="1"/>
  <c r="V18" i="1"/>
  <c r="V19" i="1"/>
  <c r="V20" i="1"/>
  <c r="V21" i="1"/>
  <c r="V22" i="1"/>
  <c r="Q37" i="3" s="1"/>
  <c r="V23" i="1"/>
  <c r="V24" i="1"/>
  <c r="Q21" i="3" s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Q34" i="3" s="1"/>
  <c r="V42" i="1"/>
  <c r="V43" i="1"/>
  <c r="V44" i="1"/>
  <c r="V45" i="1"/>
  <c r="V46" i="1"/>
  <c r="V47" i="1"/>
  <c r="V48" i="1"/>
  <c r="V49" i="1"/>
  <c r="Q12" i="3" s="1"/>
  <c r="V50" i="1"/>
  <c r="V51" i="1"/>
  <c r="V52" i="1"/>
  <c r="V53" i="1"/>
  <c r="V54" i="1"/>
  <c r="V55" i="1"/>
  <c r="V56" i="1"/>
  <c r="V57" i="1"/>
  <c r="V58" i="1"/>
  <c r="V59" i="1"/>
  <c r="V60" i="1"/>
  <c r="V61" i="1"/>
  <c r="Q30" i="3" s="1"/>
  <c r="V62" i="1"/>
  <c r="Q33" i="3" s="1"/>
  <c r="V63" i="1"/>
  <c r="V64" i="1"/>
  <c r="V65" i="1"/>
  <c r="V66" i="1"/>
  <c r="V67" i="1"/>
  <c r="V68" i="1"/>
  <c r="V69" i="1"/>
  <c r="V70" i="1"/>
  <c r="V71" i="1"/>
  <c r="V72" i="1"/>
  <c r="V73" i="1"/>
  <c r="Q11" i="3" s="1"/>
  <c r="V74" i="1"/>
  <c r="Q24" i="3" s="1"/>
  <c r="V75" i="1"/>
  <c r="V76" i="1"/>
  <c r="V77" i="1"/>
  <c r="V78" i="1"/>
  <c r="V79" i="1"/>
  <c r="V80" i="1"/>
  <c r="Q8" i="3" s="1"/>
  <c r="V81" i="1"/>
  <c r="V82" i="1"/>
  <c r="V83" i="1"/>
  <c r="V84" i="1"/>
  <c r="V85" i="1"/>
  <c r="V86" i="1"/>
  <c r="V87" i="1"/>
  <c r="V88" i="1"/>
  <c r="V89" i="1"/>
  <c r="V90" i="1"/>
  <c r="V91" i="1"/>
  <c r="Q48" i="3" s="1"/>
  <c r="V92" i="1"/>
  <c r="V93" i="1"/>
  <c r="V94" i="1"/>
  <c r="V95" i="1"/>
  <c r="V96" i="1"/>
  <c r="V97" i="1"/>
  <c r="V98" i="1"/>
  <c r="Q41" i="3" s="1"/>
  <c r="V99" i="1"/>
  <c r="V100" i="1"/>
  <c r="V101" i="1"/>
  <c r="Q25" i="3" s="1"/>
  <c r="V102" i="1"/>
  <c r="Q27" i="3" s="1"/>
  <c r="V103" i="1"/>
  <c r="V104" i="1"/>
  <c r="V105" i="1"/>
  <c r="V106" i="1"/>
  <c r="V107" i="1"/>
  <c r="V108" i="1"/>
  <c r="Q28" i="3" s="1"/>
  <c r="V109" i="1"/>
  <c r="V110" i="1"/>
  <c r="V111" i="1"/>
  <c r="V112" i="1"/>
  <c r="V113" i="1"/>
  <c r="V114" i="1"/>
  <c r="V115" i="1"/>
  <c r="V116" i="1"/>
  <c r="Q14" i="3" s="1"/>
  <c r="V117" i="1"/>
  <c r="Q9" i="3" s="1"/>
  <c r="V118" i="1"/>
  <c r="V119" i="1"/>
  <c r="V120" i="1"/>
  <c r="V121" i="1"/>
  <c r="V122" i="1"/>
  <c r="V123" i="1"/>
  <c r="V124" i="1"/>
  <c r="V125" i="1"/>
  <c r="V126" i="1"/>
  <c r="Q17" i="3" s="1"/>
  <c r="V127" i="1"/>
  <c r="V128" i="1"/>
  <c r="V129" i="1"/>
  <c r="V130" i="1"/>
  <c r="V131" i="1"/>
  <c r="V132" i="1"/>
  <c r="Q22" i="3" s="1"/>
  <c r="V133" i="1"/>
  <c r="V134" i="1"/>
  <c r="V135" i="1"/>
  <c r="V136" i="1"/>
  <c r="V137" i="1"/>
  <c r="V138" i="1"/>
  <c r="V139" i="1"/>
  <c r="V140" i="1"/>
  <c r="V141" i="1"/>
  <c r="V142" i="1"/>
  <c r="V143" i="1"/>
  <c r="Q43" i="3" s="1"/>
  <c r="V144" i="1"/>
  <c r="V145" i="1"/>
  <c r="V146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Q16" i="3" s="1"/>
  <c r="V160" i="1"/>
  <c r="V161" i="1"/>
  <c r="V162" i="1"/>
  <c r="V163" i="1"/>
  <c r="V164" i="1"/>
  <c r="V165" i="1"/>
  <c r="V166" i="1"/>
  <c r="V167" i="1"/>
  <c r="V168" i="1"/>
  <c r="V169" i="1"/>
  <c r="V170" i="1"/>
  <c r="Q51" i="3" s="1"/>
  <c r="V171" i="1"/>
  <c r="V172" i="1"/>
  <c r="V173" i="1"/>
  <c r="Q50" i="3" s="1"/>
  <c r="V174" i="1"/>
  <c r="V175" i="1"/>
  <c r="V176" i="1"/>
  <c r="V177" i="1"/>
  <c r="Q60" i="3" s="1"/>
  <c r="V178" i="1"/>
  <c r="Q58" i="3" s="1"/>
  <c r="V179" i="1"/>
  <c r="V180" i="1"/>
  <c r="V181" i="1"/>
  <c r="V182" i="1"/>
  <c r="Q54" i="3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Q59" i="3" s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13" i="1"/>
  <c r="K166" i="1"/>
  <c r="L166" i="1"/>
  <c r="M166" i="1"/>
  <c r="P166" i="1" s="1"/>
  <c r="Y166" i="1"/>
  <c r="Z166" i="1"/>
  <c r="AA166" i="1" s="1"/>
  <c r="W166" i="1" s="1"/>
  <c r="AB166" i="1"/>
  <c r="AC166" i="1"/>
  <c r="AD166" i="1"/>
  <c r="AG166" i="1" s="1"/>
  <c r="AE166" i="1"/>
  <c r="AF166" i="1"/>
  <c r="AH166" i="1"/>
  <c r="AH163" i="1"/>
  <c r="AF163" i="1"/>
  <c r="AE163" i="1"/>
  <c r="AD163" i="1"/>
  <c r="AC163" i="1"/>
  <c r="AB163" i="1"/>
  <c r="AA163" i="1"/>
  <c r="M163" i="1"/>
  <c r="P163" i="1" s="1"/>
  <c r="L163" i="1"/>
  <c r="K163" i="1"/>
  <c r="AH162" i="1"/>
  <c r="AF162" i="1"/>
  <c r="AE162" i="1"/>
  <c r="AD162" i="1"/>
  <c r="AG162" i="1" s="1"/>
  <c r="AC162" i="1"/>
  <c r="AB162" i="1"/>
  <c r="Z162" i="1"/>
  <c r="Y162" i="1"/>
  <c r="L162" i="1"/>
  <c r="K162" i="1"/>
  <c r="K160" i="1"/>
  <c r="L160" i="1"/>
  <c r="M160" i="1"/>
  <c r="P160" i="1" s="1"/>
  <c r="AA160" i="1"/>
  <c r="AB160" i="1"/>
  <c r="AC160" i="1"/>
  <c r="AD160" i="1"/>
  <c r="AG160" i="1" s="1"/>
  <c r="AE160" i="1"/>
  <c r="AF160" i="1"/>
  <c r="AH160" i="1"/>
  <c r="K158" i="1"/>
  <c r="L158" i="1"/>
  <c r="M158" i="1"/>
  <c r="P158" i="1" s="1"/>
  <c r="AA158" i="1"/>
  <c r="AB158" i="1"/>
  <c r="AC158" i="1"/>
  <c r="AD158" i="1"/>
  <c r="T158" i="1" s="1"/>
  <c r="AE158" i="1"/>
  <c r="AF158" i="1"/>
  <c r="AH158" i="1"/>
  <c r="K33" i="1"/>
  <c r="K32" i="1"/>
  <c r="K30" i="1"/>
  <c r="AH33" i="1"/>
  <c r="AF33" i="1"/>
  <c r="AE33" i="1"/>
  <c r="AD33" i="1"/>
  <c r="AC33" i="1"/>
  <c r="AB33" i="1"/>
  <c r="Z33" i="1"/>
  <c r="Y33" i="1"/>
  <c r="L33" i="1"/>
  <c r="AH32" i="1"/>
  <c r="AF32" i="1"/>
  <c r="AE32" i="1"/>
  <c r="AD32" i="1"/>
  <c r="AG32" i="1" s="1"/>
  <c r="AC32" i="1"/>
  <c r="AB32" i="1"/>
  <c r="Z32" i="1"/>
  <c r="Y32" i="1"/>
  <c r="L32" i="1"/>
  <c r="AH30" i="1"/>
  <c r="AF30" i="1"/>
  <c r="AE30" i="1"/>
  <c r="AD30" i="1"/>
  <c r="T30" i="1" s="1"/>
  <c r="AC30" i="1"/>
  <c r="AB30" i="1"/>
  <c r="Z30" i="1"/>
  <c r="Y30" i="1"/>
  <c r="L30" i="1"/>
  <c r="Y16" i="1"/>
  <c r="Z16" i="1"/>
  <c r="AB16" i="1"/>
  <c r="AC16" i="1"/>
  <c r="AD16" i="1"/>
  <c r="T16" i="1" s="1"/>
  <c r="AE16" i="1"/>
  <c r="AF16" i="1"/>
  <c r="AH16" i="1"/>
  <c r="Y17" i="1"/>
  <c r="Z17" i="1"/>
  <c r="AB17" i="1"/>
  <c r="AC17" i="1"/>
  <c r="AD17" i="1"/>
  <c r="T17" i="1" s="1"/>
  <c r="AE17" i="1"/>
  <c r="AF17" i="1"/>
  <c r="AH17" i="1"/>
  <c r="Y18" i="1"/>
  <c r="Z18" i="1"/>
  <c r="AB18" i="1"/>
  <c r="AC18" i="1"/>
  <c r="AD18" i="1"/>
  <c r="T18" i="1" s="1"/>
  <c r="AE18" i="1"/>
  <c r="AF18" i="1"/>
  <c r="AH18" i="1"/>
  <c r="Y19" i="1"/>
  <c r="Z19" i="1"/>
  <c r="AB19" i="1"/>
  <c r="AC19" i="1"/>
  <c r="AD19" i="1"/>
  <c r="T19" i="1" s="1"/>
  <c r="AE19" i="1"/>
  <c r="AF19" i="1"/>
  <c r="AH19" i="1"/>
  <c r="Y20" i="1"/>
  <c r="Z20" i="1"/>
  <c r="AB20" i="1"/>
  <c r="AC20" i="1"/>
  <c r="AD20" i="1"/>
  <c r="T20" i="1" s="1"/>
  <c r="AE20" i="1"/>
  <c r="AF20" i="1"/>
  <c r="AH20" i="1"/>
  <c r="L16" i="1"/>
  <c r="L17" i="1"/>
  <c r="L18" i="1"/>
  <c r="L19" i="1"/>
  <c r="L20" i="1"/>
  <c r="K16" i="1"/>
  <c r="K19" i="1"/>
  <c r="L45" i="3"/>
  <c r="S45" i="3"/>
  <c r="R45" i="3" s="1"/>
  <c r="T45" i="3"/>
  <c r="U45" i="3"/>
  <c r="V45" i="3"/>
  <c r="L46" i="3"/>
  <c r="S46" i="3"/>
  <c r="R46" i="3" s="1"/>
  <c r="T46" i="3"/>
  <c r="U46" i="3"/>
  <c r="V46" i="3"/>
  <c r="L19" i="3"/>
  <c r="S19" i="3"/>
  <c r="R19" i="3" s="1"/>
  <c r="T19" i="3"/>
  <c r="U19" i="3"/>
  <c r="V19" i="3"/>
  <c r="L26" i="3"/>
  <c r="S26" i="3"/>
  <c r="R26" i="3" s="1"/>
  <c r="T26" i="3"/>
  <c r="U26" i="3"/>
  <c r="V26" i="3"/>
  <c r="L36" i="3"/>
  <c r="S36" i="3"/>
  <c r="R36" i="3" s="1"/>
  <c r="T36" i="3"/>
  <c r="U36" i="3"/>
  <c r="V36" i="3"/>
  <c r="L20" i="3"/>
  <c r="S20" i="3"/>
  <c r="R20" i="3" s="1"/>
  <c r="T20" i="3"/>
  <c r="U20" i="3"/>
  <c r="V20" i="3"/>
  <c r="L52" i="3"/>
  <c r="S52" i="3"/>
  <c r="R52" i="3" s="1"/>
  <c r="T52" i="3"/>
  <c r="U52" i="3"/>
  <c r="V52" i="3"/>
  <c r="L37" i="3"/>
  <c r="S37" i="3"/>
  <c r="R37" i="3" s="1"/>
  <c r="T37" i="3"/>
  <c r="U37" i="3"/>
  <c r="V37" i="3"/>
  <c r="L21" i="3"/>
  <c r="S21" i="3"/>
  <c r="R21" i="3" s="1"/>
  <c r="T21" i="3"/>
  <c r="U21" i="3"/>
  <c r="V21" i="3"/>
  <c r="L38" i="3"/>
  <c r="S38" i="3"/>
  <c r="R38" i="3" s="1"/>
  <c r="T38" i="3"/>
  <c r="U38" i="3"/>
  <c r="V38" i="3"/>
  <c r="L18" i="3"/>
  <c r="S18" i="3"/>
  <c r="R18" i="3" s="1"/>
  <c r="T18" i="3"/>
  <c r="U18" i="3"/>
  <c r="V18" i="3"/>
  <c r="L23" i="3"/>
  <c r="Q23" i="3"/>
  <c r="S23" i="3"/>
  <c r="R23" i="3" s="1"/>
  <c r="T23" i="3"/>
  <c r="U23" i="3"/>
  <c r="V23" i="3"/>
  <c r="L49" i="3"/>
  <c r="S49" i="3"/>
  <c r="R49" i="3" s="1"/>
  <c r="T49" i="3"/>
  <c r="U49" i="3"/>
  <c r="V49" i="3"/>
  <c r="L51" i="3"/>
  <c r="S51" i="3"/>
  <c r="R51" i="3" s="1"/>
  <c r="T51" i="3"/>
  <c r="U51" i="3"/>
  <c r="V51" i="3"/>
  <c r="L39" i="3"/>
  <c r="S39" i="3"/>
  <c r="R39" i="3" s="1"/>
  <c r="T39" i="3"/>
  <c r="U39" i="3"/>
  <c r="V39" i="3"/>
  <c r="L55" i="3"/>
  <c r="S55" i="3"/>
  <c r="R55" i="3" s="1"/>
  <c r="T55" i="3"/>
  <c r="U55" i="3"/>
  <c r="V55" i="3"/>
  <c r="L56" i="3"/>
  <c r="S56" i="3"/>
  <c r="R56" i="3" s="1"/>
  <c r="T56" i="3"/>
  <c r="U56" i="3"/>
  <c r="V56" i="3"/>
  <c r="L57" i="3"/>
  <c r="S57" i="3"/>
  <c r="R57" i="3" s="1"/>
  <c r="T57" i="3"/>
  <c r="U57" i="3"/>
  <c r="V57" i="3"/>
  <c r="L50" i="3"/>
  <c r="S50" i="3"/>
  <c r="R50" i="3" s="1"/>
  <c r="T50" i="3"/>
  <c r="U50" i="3"/>
  <c r="V50" i="3"/>
  <c r="L7" i="3"/>
  <c r="S7" i="3"/>
  <c r="R7" i="3" s="1"/>
  <c r="T7" i="3"/>
  <c r="U7" i="3"/>
  <c r="V7" i="3"/>
  <c r="L31" i="3"/>
  <c r="S31" i="3"/>
  <c r="R31" i="3" s="1"/>
  <c r="T31" i="3"/>
  <c r="U31" i="3"/>
  <c r="V31" i="3"/>
  <c r="L34" i="3"/>
  <c r="S34" i="3"/>
  <c r="R34" i="3" s="1"/>
  <c r="T34" i="3"/>
  <c r="U34" i="3"/>
  <c r="V34" i="3"/>
  <c r="L35" i="3"/>
  <c r="S35" i="3"/>
  <c r="R35" i="3" s="1"/>
  <c r="T35" i="3"/>
  <c r="U35" i="3"/>
  <c r="V35" i="3"/>
  <c r="L32" i="3"/>
  <c r="S32" i="3"/>
  <c r="R32" i="3" s="1"/>
  <c r="T32" i="3"/>
  <c r="U32" i="3"/>
  <c r="V32" i="3"/>
  <c r="L29" i="3"/>
  <c r="Q29" i="3"/>
  <c r="S29" i="3"/>
  <c r="R29" i="3" s="1"/>
  <c r="T29" i="3"/>
  <c r="U29" i="3"/>
  <c r="V29" i="3"/>
  <c r="L47" i="3"/>
  <c r="S47" i="3"/>
  <c r="R47" i="3" s="1"/>
  <c r="T47" i="3"/>
  <c r="U47" i="3"/>
  <c r="V47" i="3"/>
  <c r="L60" i="3"/>
  <c r="S60" i="3"/>
  <c r="R60" i="3" s="1"/>
  <c r="T60" i="3"/>
  <c r="U60" i="3"/>
  <c r="V60" i="3"/>
  <c r="L40" i="3"/>
  <c r="S40" i="3"/>
  <c r="R40" i="3" s="1"/>
  <c r="T40" i="3"/>
  <c r="U40" i="3"/>
  <c r="V40" i="3"/>
  <c r="L15" i="3"/>
  <c r="S15" i="3"/>
  <c r="R15" i="3" s="1"/>
  <c r="T15" i="3"/>
  <c r="U15" i="3"/>
  <c r="V15" i="3"/>
  <c r="L10" i="3"/>
  <c r="S10" i="3"/>
  <c r="R10" i="3" s="1"/>
  <c r="T10" i="3"/>
  <c r="U10" i="3"/>
  <c r="V10" i="3"/>
  <c r="L30" i="3"/>
  <c r="S30" i="3"/>
  <c r="R30" i="3" s="1"/>
  <c r="T30" i="3"/>
  <c r="U30" i="3"/>
  <c r="V30" i="3"/>
  <c r="L58" i="3"/>
  <c r="S58" i="3"/>
  <c r="R58" i="3" s="1"/>
  <c r="T58" i="3"/>
  <c r="U58" i="3"/>
  <c r="V58" i="3"/>
  <c r="L12" i="3"/>
  <c r="S12" i="3"/>
  <c r="R12" i="3" s="1"/>
  <c r="T12" i="3"/>
  <c r="U12" i="3"/>
  <c r="V12" i="3"/>
  <c r="L33" i="3"/>
  <c r="S33" i="3"/>
  <c r="R33" i="3" s="1"/>
  <c r="T33" i="3"/>
  <c r="U33" i="3"/>
  <c r="V33" i="3"/>
  <c r="L11" i="3"/>
  <c r="S11" i="3"/>
  <c r="R11" i="3" s="1"/>
  <c r="T11" i="3"/>
  <c r="U11" i="3"/>
  <c r="V11" i="3"/>
  <c r="L24" i="3"/>
  <c r="S24" i="3"/>
  <c r="R24" i="3" s="1"/>
  <c r="T24" i="3"/>
  <c r="U24" i="3"/>
  <c r="V24" i="3"/>
  <c r="L53" i="3"/>
  <c r="S53" i="3"/>
  <c r="R53" i="3" s="1"/>
  <c r="T53" i="3"/>
  <c r="U53" i="3"/>
  <c r="V53" i="3"/>
  <c r="L54" i="3"/>
  <c r="S54" i="3"/>
  <c r="R54" i="3" s="1"/>
  <c r="T54" i="3"/>
  <c r="U54" i="3"/>
  <c r="V54" i="3"/>
  <c r="L8" i="3"/>
  <c r="S8" i="3"/>
  <c r="R8" i="3" s="1"/>
  <c r="T8" i="3"/>
  <c r="U8" i="3"/>
  <c r="V8" i="3"/>
  <c r="L48" i="3"/>
  <c r="S48" i="3"/>
  <c r="R48" i="3" s="1"/>
  <c r="T48" i="3"/>
  <c r="U48" i="3"/>
  <c r="V48" i="3"/>
  <c r="L25" i="3"/>
  <c r="S25" i="3"/>
  <c r="R25" i="3" s="1"/>
  <c r="T25" i="3"/>
  <c r="U25" i="3"/>
  <c r="V25" i="3"/>
  <c r="L27" i="3"/>
  <c r="S27" i="3"/>
  <c r="R27" i="3" s="1"/>
  <c r="T27" i="3"/>
  <c r="U27" i="3"/>
  <c r="V27" i="3"/>
  <c r="L41" i="3"/>
  <c r="S41" i="3"/>
  <c r="R41" i="3" s="1"/>
  <c r="T41" i="3"/>
  <c r="U41" i="3"/>
  <c r="V41" i="3"/>
  <c r="L28" i="3"/>
  <c r="S28" i="3"/>
  <c r="R28" i="3" s="1"/>
  <c r="T28" i="3"/>
  <c r="U28" i="3"/>
  <c r="V28" i="3"/>
  <c r="L14" i="3"/>
  <c r="S14" i="3"/>
  <c r="R14" i="3" s="1"/>
  <c r="T14" i="3"/>
  <c r="U14" i="3"/>
  <c r="V14" i="3"/>
  <c r="L13" i="3"/>
  <c r="S13" i="3"/>
  <c r="R13" i="3" s="1"/>
  <c r="T13" i="3"/>
  <c r="U13" i="3"/>
  <c r="V13" i="3"/>
  <c r="L42" i="3"/>
  <c r="S42" i="3"/>
  <c r="R42" i="3" s="1"/>
  <c r="T42" i="3"/>
  <c r="U42" i="3"/>
  <c r="V42" i="3"/>
  <c r="L9" i="3"/>
  <c r="S9" i="3"/>
  <c r="R9" i="3" s="1"/>
  <c r="T9" i="3"/>
  <c r="U9" i="3"/>
  <c r="V9" i="3"/>
  <c r="L17" i="3"/>
  <c r="S17" i="3"/>
  <c r="R17" i="3" s="1"/>
  <c r="T17" i="3"/>
  <c r="U17" i="3"/>
  <c r="V17" i="3"/>
  <c r="L22" i="3"/>
  <c r="S22" i="3"/>
  <c r="R22" i="3" s="1"/>
  <c r="T22" i="3"/>
  <c r="U22" i="3"/>
  <c r="V22" i="3"/>
  <c r="L59" i="3"/>
  <c r="S59" i="3"/>
  <c r="R59" i="3" s="1"/>
  <c r="T59" i="3"/>
  <c r="U59" i="3"/>
  <c r="V59" i="3"/>
  <c r="L43" i="3"/>
  <c r="S43" i="3"/>
  <c r="R43" i="3" s="1"/>
  <c r="T43" i="3"/>
  <c r="U43" i="3"/>
  <c r="V43" i="3"/>
  <c r="L16" i="3"/>
  <c r="S16" i="3"/>
  <c r="R16" i="3" s="1"/>
  <c r="T16" i="3"/>
  <c r="U16" i="3"/>
  <c r="V16" i="3"/>
  <c r="K14" i="1"/>
  <c r="L14" i="1"/>
  <c r="M14" i="1"/>
  <c r="N14" i="1" s="1"/>
  <c r="Y14" i="1"/>
  <c r="Z14" i="1"/>
  <c r="AB14" i="1"/>
  <c r="AC14" i="1"/>
  <c r="AD14" i="1"/>
  <c r="AE14" i="1"/>
  <c r="AF14" i="1"/>
  <c r="AH14" i="1"/>
  <c r="K15" i="1"/>
  <c r="L15" i="1"/>
  <c r="M15" i="1"/>
  <c r="N15" i="1" s="1"/>
  <c r="Q46" i="3"/>
  <c r="Y15" i="1"/>
  <c r="Z15" i="1"/>
  <c r="AB15" i="1"/>
  <c r="AC15" i="1"/>
  <c r="AD15" i="1"/>
  <c r="X15" i="1" s="1"/>
  <c r="AE15" i="1"/>
  <c r="P46" i="3" s="1"/>
  <c r="AF15" i="1"/>
  <c r="AH15" i="1"/>
  <c r="K20" i="1"/>
  <c r="M20" i="1"/>
  <c r="N20" i="1" s="1"/>
  <c r="K21" i="1"/>
  <c r="L21" i="1"/>
  <c r="M21" i="1"/>
  <c r="N21" i="1" s="1"/>
  <c r="Y21" i="1"/>
  <c r="Z21" i="1"/>
  <c r="AB21" i="1"/>
  <c r="AC21" i="1"/>
  <c r="AD21" i="1"/>
  <c r="AE21" i="1"/>
  <c r="AF21" i="1"/>
  <c r="AH21" i="1"/>
  <c r="K22" i="1"/>
  <c r="L22" i="1"/>
  <c r="M22" i="1"/>
  <c r="N22" i="1" s="1"/>
  <c r="Y22" i="1"/>
  <c r="Z22" i="1"/>
  <c r="AB22" i="1"/>
  <c r="AC22" i="1"/>
  <c r="AD22" i="1"/>
  <c r="AG22" i="1" s="1"/>
  <c r="AE22" i="1"/>
  <c r="P36" i="3" s="1"/>
  <c r="AF22" i="1"/>
  <c r="AH22" i="1"/>
  <c r="K23" i="1"/>
  <c r="L23" i="1"/>
  <c r="M23" i="1"/>
  <c r="N23" i="1" s="1"/>
  <c r="Y23" i="1"/>
  <c r="Z23" i="1"/>
  <c r="AB23" i="1"/>
  <c r="AC23" i="1"/>
  <c r="AD23" i="1"/>
  <c r="AE23" i="1"/>
  <c r="AF23" i="1"/>
  <c r="AH23" i="1"/>
  <c r="K24" i="1"/>
  <c r="L24" i="1"/>
  <c r="M24" i="1"/>
  <c r="Y24" i="1"/>
  <c r="Z24" i="1"/>
  <c r="AB24" i="1"/>
  <c r="AC24" i="1"/>
  <c r="AD24" i="1"/>
  <c r="AG24" i="1" s="1"/>
  <c r="AE24" i="1"/>
  <c r="P20" i="3" s="1"/>
  <c r="AF24" i="1"/>
  <c r="AH24" i="1"/>
  <c r="K25" i="1"/>
  <c r="L25" i="1"/>
  <c r="M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P27" i="1" s="1"/>
  <c r="Q38" i="3"/>
  <c r="Y27" i="1"/>
  <c r="Z27" i="1"/>
  <c r="AB27" i="1"/>
  <c r="AC27" i="1"/>
  <c r="AD27" i="1"/>
  <c r="X27" i="1" s="1"/>
  <c r="AE27" i="1"/>
  <c r="P38" i="3" s="1"/>
  <c r="AF27" i="1"/>
  <c r="AH27" i="1"/>
  <c r="K28" i="1"/>
  <c r="L28" i="1"/>
  <c r="M28" i="1"/>
  <c r="N28" i="1" s="1"/>
  <c r="Y28" i="1"/>
  <c r="Z28" i="1"/>
  <c r="AB28" i="1"/>
  <c r="AC28" i="1"/>
  <c r="AD28" i="1"/>
  <c r="AG28" i="1" s="1"/>
  <c r="AE28" i="1"/>
  <c r="AF28" i="1"/>
  <c r="AH28" i="1"/>
  <c r="K29" i="1"/>
  <c r="L29" i="1"/>
  <c r="M29" i="1"/>
  <c r="N29" i="1" s="1"/>
  <c r="Y29" i="1"/>
  <c r="Z29" i="1"/>
  <c r="AB29" i="1"/>
  <c r="AC29" i="1"/>
  <c r="AD29" i="1"/>
  <c r="AE29" i="1"/>
  <c r="AF29" i="1"/>
  <c r="AH29" i="1"/>
  <c r="K31" i="1"/>
  <c r="L31" i="1"/>
  <c r="M31" i="1"/>
  <c r="N31" i="1" s="1"/>
  <c r="Q39" i="3"/>
  <c r="Y31" i="1"/>
  <c r="Z31" i="1"/>
  <c r="AB31" i="1"/>
  <c r="AC31" i="1"/>
  <c r="AD31" i="1"/>
  <c r="AG31" i="1" s="1"/>
  <c r="AE31" i="1"/>
  <c r="P23" i="3" s="1"/>
  <c r="AF31" i="1"/>
  <c r="AH31" i="1"/>
  <c r="K34" i="1"/>
  <c r="L34" i="1"/>
  <c r="M34" i="1"/>
  <c r="P34" i="1" s="1"/>
  <c r="Y34" i="1"/>
  <c r="Z34" i="1"/>
  <c r="AB34" i="1"/>
  <c r="AC34" i="1"/>
  <c r="AD34" i="1"/>
  <c r="AE34" i="1"/>
  <c r="AF34" i="1"/>
  <c r="AH34" i="1"/>
  <c r="K35" i="1"/>
  <c r="L35" i="1"/>
  <c r="M35" i="1"/>
  <c r="N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Y38" i="1"/>
  <c r="Z38" i="1"/>
  <c r="AB38" i="1"/>
  <c r="AC38" i="1"/>
  <c r="AD38" i="1"/>
  <c r="AE38" i="1"/>
  <c r="AF38" i="1"/>
  <c r="AH38" i="1"/>
  <c r="K39" i="1"/>
  <c r="L39" i="1"/>
  <c r="M39" i="1"/>
  <c r="N39" i="1" s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Y40" i="1"/>
  <c r="Z40" i="1"/>
  <c r="AB40" i="1"/>
  <c r="AC40" i="1"/>
  <c r="AD40" i="1"/>
  <c r="AE40" i="1"/>
  <c r="AF40" i="1"/>
  <c r="AH40" i="1"/>
  <c r="K41" i="1"/>
  <c r="L41" i="1"/>
  <c r="M41" i="1"/>
  <c r="N41" i="1" s="1"/>
  <c r="Y41" i="1"/>
  <c r="Z41" i="1"/>
  <c r="AB41" i="1"/>
  <c r="AC41" i="1"/>
  <c r="AD41" i="1"/>
  <c r="AG41" i="1" s="1"/>
  <c r="AE41" i="1"/>
  <c r="P34" i="3" s="1"/>
  <c r="AF41" i="1"/>
  <c r="AH41" i="1"/>
  <c r="K42" i="1"/>
  <c r="L42" i="1"/>
  <c r="M42" i="1"/>
  <c r="N42" i="1" s="1"/>
  <c r="Y42" i="1"/>
  <c r="Z42" i="1"/>
  <c r="AB42" i="1"/>
  <c r="AC42" i="1"/>
  <c r="AD42" i="1"/>
  <c r="AE42" i="1"/>
  <c r="AF42" i="1"/>
  <c r="AH42" i="1"/>
  <c r="K43" i="1"/>
  <c r="L43" i="1"/>
  <c r="M43" i="1"/>
  <c r="N43" i="1" s="1"/>
  <c r="Q35" i="3"/>
  <c r="Y43" i="1"/>
  <c r="Z43" i="1"/>
  <c r="AB43" i="1"/>
  <c r="AC43" i="1"/>
  <c r="AD43" i="1"/>
  <c r="AG43" i="1" s="1"/>
  <c r="AE43" i="1"/>
  <c r="P32" i="3" s="1"/>
  <c r="AF43" i="1"/>
  <c r="AH43" i="1"/>
  <c r="K44" i="1"/>
  <c r="L44" i="1"/>
  <c r="M44" i="1"/>
  <c r="N44" i="1" s="1"/>
  <c r="Y44" i="1"/>
  <c r="Z44" i="1"/>
  <c r="AB44" i="1"/>
  <c r="AC44" i="1"/>
  <c r="AD44" i="1"/>
  <c r="AE44" i="1"/>
  <c r="AF44" i="1"/>
  <c r="AH44" i="1"/>
  <c r="K45" i="1"/>
  <c r="L45" i="1"/>
  <c r="M45" i="1"/>
  <c r="N45" i="1" s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Q7" i="3"/>
  <c r="Y46" i="1"/>
  <c r="Z46" i="1"/>
  <c r="AB46" i="1"/>
  <c r="AC46" i="1"/>
  <c r="AD46" i="1"/>
  <c r="AE46" i="1"/>
  <c r="P7" i="3" s="1"/>
  <c r="AF46" i="1"/>
  <c r="AH46" i="1"/>
  <c r="K47" i="1"/>
  <c r="L47" i="1"/>
  <c r="M47" i="1"/>
  <c r="N47" i="1" s="1"/>
  <c r="Q40" i="3"/>
  <c r="Y47" i="1"/>
  <c r="Z47" i="1"/>
  <c r="AB47" i="1"/>
  <c r="AC47" i="1"/>
  <c r="AD47" i="1"/>
  <c r="AG47" i="1" s="1"/>
  <c r="AE47" i="1"/>
  <c r="P40" i="3" s="1"/>
  <c r="AF47" i="1"/>
  <c r="AH47" i="1"/>
  <c r="K48" i="1"/>
  <c r="L48" i="1"/>
  <c r="M48" i="1"/>
  <c r="P48" i="1" s="1"/>
  <c r="Y48" i="1"/>
  <c r="Z48" i="1"/>
  <c r="AB48" i="1"/>
  <c r="AC48" i="1"/>
  <c r="AD48" i="1"/>
  <c r="AG48" i="1" s="1"/>
  <c r="AE48" i="1"/>
  <c r="P29" i="3" s="1"/>
  <c r="AF48" i="1"/>
  <c r="AH48" i="1"/>
  <c r="K49" i="1"/>
  <c r="L49" i="1"/>
  <c r="M49" i="1"/>
  <c r="Y49" i="1"/>
  <c r="Z49" i="1"/>
  <c r="AB49" i="1"/>
  <c r="AC49" i="1"/>
  <c r="AD49" i="1"/>
  <c r="AE49" i="1"/>
  <c r="P12" i="3" s="1"/>
  <c r="AF49" i="1"/>
  <c r="AH49" i="1"/>
  <c r="K50" i="1"/>
  <c r="L50" i="1"/>
  <c r="M50" i="1"/>
  <c r="Y50" i="1"/>
  <c r="Z50" i="1"/>
  <c r="AB50" i="1"/>
  <c r="AC50" i="1"/>
  <c r="AD50" i="1"/>
  <c r="AE50" i="1"/>
  <c r="AF50" i="1"/>
  <c r="AH50" i="1"/>
  <c r="K51" i="1"/>
  <c r="L51" i="1"/>
  <c r="M51" i="1"/>
  <c r="P51" i="1" s="1"/>
  <c r="Y51" i="1"/>
  <c r="Z51" i="1"/>
  <c r="AB51" i="1"/>
  <c r="AC51" i="1"/>
  <c r="AD51" i="1"/>
  <c r="AE51" i="1"/>
  <c r="AF51" i="1"/>
  <c r="AH51" i="1"/>
  <c r="K52" i="1"/>
  <c r="L52" i="1"/>
  <c r="M52" i="1"/>
  <c r="P52" i="1" s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Y53" i="1"/>
  <c r="Z53" i="1"/>
  <c r="AB53" i="1"/>
  <c r="AC53" i="1"/>
  <c r="AD53" i="1"/>
  <c r="AE53" i="1"/>
  <c r="AF53" i="1"/>
  <c r="AH53" i="1"/>
  <c r="K54" i="1"/>
  <c r="L54" i="1"/>
  <c r="M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Q47" i="3"/>
  <c r="Y56" i="1"/>
  <c r="Z56" i="1"/>
  <c r="AB56" i="1"/>
  <c r="AC56" i="1"/>
  <c r="AD56" i="1"/>
  <c r="AG56" i="1" s="1"/>
  <c r="AE56" i="1"/>
  <c r="P47" i="3" s="1"/>
  <c r="AF56" i="1"/>
  <c r="AH56" i="1"/>
  <c r="K57" i="1"/>
  <c r="L57" i="1"/>
  <c r="M57" i="1"/>
  <c r="N57" i="1" s="1"/>
  <c r="Y57" i="1"/>
  <c r="Z57" i="1"/>
  <c r="AB57" i="1"/>
  <c r="AC57" i="1"/>
  <c r="AD57" i="1"/>
  <c r="AE57" i="1"/>
  <c r="AF57" i="1"/>
  <c r="AH57" i="1"/>
  <c r="K58" i="1"/>
  <c r="L58" i="1"/>
  <c r="M58" i="1"/>
  <c r="P58" i="1" s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P59" i="1" s="1"/>
  <c r="Y59" i="1"/>
  <c r="Z59" i="1"/>
  <c r="AB59" i="1"/>
  <c r="AC59" i="1"/>
  <c r="AD59" i="1"/>
  <c r="AE59" i="1"/>
  <c r="AF59" i="1"/>
  <c r="AH59" i="1"/>
  <c r="K60" i="1"/>
  <c r="L60" i="1"/>
  <c r="M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P61" i="1" s="1"/>
  <c r="Y61" i="1"/>
  <c r="AA61" i="1" s="1"/>
  <c r="Z61" i="1"/>
  <c r="AB61" i="1"/>
  <c r="AC61" i="1"/>
  <c r="AD61" i="1"/>
  <c r="AE61" i="1"/>
  <c r="P15" i="3" s="1"/>
  <c r="AF61" i="1"/>
  <c r="AH61" i="1"/>
  <c r="K62" i="1"/>
  <c r="L62" i="1"/>
  <c r="M62" i="1"/>
  <c r="Y62" i="1"/>
  <c r="Z62" i="1"/>
  <c r="AB62" i="1"/>
  <c r="AC62" i="1"/>
  <c r="AD62" i="1"/>
  <c r="AE62" i="1"/>
  <c r="P33" i="3" s="1"/>
  <c r="AF62" i="1"/>
  <c r="AH62" i="1"/>
  <c r="K63" i="1"/>
  <c r="L63" i="1"/>
  <c r="M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P64" i="1" s="1"/>
  <c r="Y64" i="1"/>
  <c r="Z64" i="1"/>
  <c r="AB64" i="1"/>
  <c r="AC64" i="1"/>
  <c r="AD64" i="1"/>
  <c r="AE64" i="1"/>
  <c r="AF64" i="1"/>
  <c r="AH64" i="1"/>
  <c r="K65" i="1"/>
  <c r="L65" i="1"/>
  <c r="M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Y66" i="1"/>
  <c r="Z66" i="1"/>
  <c r="AB66" i="1"/>
  <c r="AC66" i="1"/>
  <c r="AD66" i="1"/>
  <c r="AE66" i="1"/>
  <c r="AF66" i="1"/>
  <c r="AH66" i="1"/>
  <c r="K67" i="1"/>
  <c r="L67" i="1"/>
  <c r="M67" i="1"/>
  <c r="P67" i="1" s="1"/>
  <c r="Q10" i="3"/>
  <c r="Y67" i="1"/>
  <c r="Z67" i="1"/>
  <c r="AB67" i="1"/>
  <c r="AC67" i="1"/>
  <c r="AD67" i="1"/>
  <c r="AG67" i="1" s="1"/>
  <c r="AE67" i="1"/>
  <c r="P10" i="3" s="1"/>
  <c r="AF67" i="1"/>
  <c r="AH67" i="1"/>
  <c r="K68" i="1"/>
  <c r="L68" i="1"/>
  <c r="M68" i="1"/>
  <c r="N68" i="1" s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Y69" i="1"/>
  <c r="Z69" i="1"/>
  <c r="AB69" i="1"/>
  <c r="AC69" i="1"/>
  <c r="AD69" i="1"/>
  <c r="AE69" i="1"/>
  <c r="AF69" i="1"/>
  <c r="AH69" i="1"/>
  <c r="K70" i="1"/>
  <c r="L70" i="1"/>
  <c r="M70" i="1"/>
  <c r="N70" i="1" s="1"/>
  <c r="Y70" i="1"/>
  <c r="Z70" i="1"/>
  <c r="AB70" i="1"/>
  <c r="AC70" i="1"/>
  <c r="AD70" i="1"/>
  <c r="AE70" i="1"/>
  <c r="AF70" i="1"/>
  <c r="AH70" i="1"/>
  <c r="K71" i="1"/>
  <c r="L71" i="1"/>
  <c r="M71" i="1"/>
  <c r="N71" i="1" s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Y73" i="1"/>
  <c r="Z73" i="1"/>
  <c r="AB73" i="1"/>
  <c r="AC73" i="1"/>
  <c r="AD73" i="1"/>
  <c r="AE73" i="1"/>
  <c r="P11" i="3" s="1"/>
  <c r="AF73" i="1"/>
  <c r="AH73" i="1"/>
  <c r="K74" i="1"/>
  <c r="L74" i="1"/>
  <c r="M74" i="1"/>
  <c r="N74" i="1" s="1"/>
  <c r="Y74" i="1"/>
  <c r="Z74" i="1"/>
  <c r="AB74" i="1"/>
  <c r="AC74" i="1"/>
  <c r="AD74" i="1"/>
  <c r="T74" i="1" s="1"/>
  <c r="AE74" i="1"/>
  <c r="P24" i="3" s="1"/>
  <c r="AF74" i="1"/>
  <c r="AH74" i="1"/>
  <c r="K75" i="1"/>
  <c r="L75" i="1"/>
  <c r="M75" i="1"/>
  <c r="N75" i="1" s="1"/>
  <c r="Y75" i="1"/>
  <c r="Z75" i="1"/>
  <c r="AB75" i="1"/>
  <c r="AC75" i="1"/>
  <c r="AD75" i="1"/>
  <c r="T75" i="1" s="1"/>
  <c r="AE75" i="1"/>
  <c r="AF75" i="1"/>
  <c r="AH75" i="1"/>
  <c r="K76" i="1"/>
  <c r="L76" i="1"/>
  <c r="M76" i="1"/>
  <c r="P76" i="1" s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Y78" i="1"/>
  <c r="Z78" i="1"/>
  <c r="AB78" i="1"/>
  <c r="AC78" i="1"/>
  <c r="AD78" i="1"/>
  <c r="AE78" i="1"/>
  <c r="AF78" i="1"/>
  <c r="AH78" i="1"/>
  <c r="K79" i="1"/>
  <c r="L79" i="1"/>
  <c r="M79" i="1"/>
  <c r="N79" i="1" s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Y80" i="1"/>
  <c r="Z80" i="1"/>
  <c r="AB80" i="1"/>
  <c r="AC80" i="1"/>
  <c r="AD80" i="1"/>
  <c r="AE80" i="1"/>
  <c r="P8" i="3" s="1"/>
  <c r="AF80" i="1"/>
  <c r="AH80" i="1"/>
  <c r="K81" i="1"/>
  <c r="L81" i="1"/>
  <c r="M81" i="1"/>
  <c r="N81" i="1" s="1"/>
  <c r="Y81" i="1"/>
  <c r="Z81" i="1"/>
  <c r="AB81" i="1"/>
  <c r="AC81" i="1"/>
  <c r="AD81" i="1"/>
  <c r="AE81" i="1"/>
  <c r="AF81" i="1"/>
  <c r="AH81" i="1"/>
  <c r="K82" i="1"/>
  <c r="L82" i="1"/>
  <c r="M82" i="1"/>
  <c r="N82" i="1" s="1"/>
  <c r="Y82" i="1"/>
  <c r="Z82" i="1"/>
  <c r="AB82" i="1"/>
  <c r="AC82" i="1"/>
  <c r="AD82" i="1"/>
  <c r="AE82" i="1"/>
  <c r="AF82" i="1"/>
  <c r="AH82" i="1"/>
  <c r="K83" i="1"/>
  <c r="L83" i="1"/>
  <c r="M83" i="1"/>
  <c r="N83" i="1" s="1"/>
  <c r="Y83" i="1"/>
  <c r="Z83" i="1"/>
  <c r="AB83" i="1"/>
  <c r="AC83" i="1"/>
  <c r="AD83" i="1"/>
  <c r="AE83" i="1"/>
  <c r="AF83" i="1"/>
  <c r="AH83" i="1"/>
  <c r="K84" i="1"/>
  <c r="L84" i="1"/>
  <c r="M84" i="1"/>
  <c r="N84" i="1" s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Y85" i="1"/>
  <c r="Z85" i="1"/>
  <c r="AB85" i="1"/>
  <c r="AC85" i="1"/>
  <c r="AD85" i="1"/>
  <c r="AE85" i="1"/>
  <c r="AF85" i="1"/>
  <c r="AH85" i="1"/>
  <c r="K86" i="1"/>
  <c r="L86" i="1"/>
  <c r="M86" i="1"/>
  <c r="N86" i="1" s="1"/>
  <c r="Y86" i="1"/>
  <c r="AB86" i="1"/>
  <c r="AC86" i="1"/>
  <c r="AD86" i="1"/>
  <c r="AE86" i="1"/>
  <c r="AF86" i="1"/>
  <c r="AH86" i="1"/>
  <c r="K87" i="1"/>
  <c r="L87" i="1"/>
  <c r="M87" i="1"/>
  <c r="N87" i="1" s="1"/>
  <c r="Y87" i="1"/>
  <c r="Z87" i="1"/>
  <c r="AB87" i="1"/>
  <c r="AC87" i="1"/>
  <c r="AD87" i="1"/>
  <c r="AE87" i="1"/>
  <c r="AF87" i="1"/>
  <c r="AH87" i="1"/>
  <c r="K88" i="1"/>
  <c r="L88" i="1"/>
  <c r="M88" i="1"/>
  <c r="N88" i="1" s="1"/>
  <c r="Y88" i="1"/>
  <c r="Z88" i="1"/>
  <c r="AB88" i="1"/>
  <c r="AC88" i="1"/>
  <c r="AD88" i="1"/>
  <c r="AE88" i="1"/>
  <c r="AF88" i="1"/>
  <c r="AH88" i="1"/>
  <c r="K89" i="1"/>
  <c r="L89" i="1"/>
  <c r="M89" i="1"/>
  <c r="N89" i="1" s="1"/>
  <c r="Y89" i="1"/>
  <c r="Z89" i="1"/>
  <c r="AB89" i="1"/>
  <c r="AC89" i="1"/>
  <c r="AD89" i="1"/>
  <c r="AE89" i="1"/>
  <c r="AF89" i="1"/>
  <c r="AH89" i="1"/>
  <c r="K90" i="1"/>
  <c r="L90" i="1"/>
  <c r="M90" i="1"/>
  <c r="N90" i="1" s="1"/>
  <c r="Y90" i="1"/>
  <c r="Z90" i="1"/>
  <c r="AB90" i="1"/>
  <c r="AC90" i="1"/>
  <c r="AD90" i="1"/>
  <c r="AE90" i="1"/>
  <c r="AF90" i="1"/>
  <c r="AH90" i="1"/>
  <c r="K91" i="1"/>
  <c r="L91" i="1"/>
  <c r="M91" i="1"/>
  <c r="N91" i="1" s="1"/>
  <c r="Y91" i="1"/>
  <c r="Z91" i="1"/>
  <c r="AB91" i="1"/>
  <c r="AC91" i="1"/>
  <c r="AD91" i="1"/>
  <c r="AE91" i="1"/>
  <c r="P48" i="3" s="1"/>
  <c r="AF91" i="1"/>
  <c r="AH91" i="1"/>
  <c r="K92" i="1"/>
  <c r="L92" i="1"/>
  <c r="M92" i="1"/>
  <c r="N92" i="1" s="1"/>
  <c r="Y92" i="1"/>
  <c r="Z92" i="1"/>
  <c r="AB92" i="1"/>
  <c r="AC92" i="1"/>
  <c r="AD92" i="1"/>
  <c r="AE92" i="1"/>
  <c r="AF92" i="1"/>
  <c r="AH92" i="1"/>
  <c r="K93" i="1"/>
  <c r="L93" i="1"/>
  <c r="M93" i="1"/>
  <c r="N93" i="1" s="1"/>
  <c r="Y93" i="1"/>
  <c r="Z93" i="1"/>
  <c r="AB93" i="1"/>
  <c r="AC93" i="1"/>
  <c r="AD93" i="1"/>
  <c r="AE93" i="1"/>
  <c r="AF93" i="1"/>
  <c r="AH93" i="1"/>
  <c r="K94" i="1"/>
  <c r="L94" i="1"/>
  <c r="M94" i="1"/>
  <c r="N94" i="1" s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Y98" i="1"/>
  <c r="Z98" i="1"/>
  <c r="AB98" i="1"/>
  <c r="AC98" i="1"/>
  <c r="AD98" i="1"/>
  <c r="T98" i="1" s="1"/>
  <c r="AE98" i="1"/>
  <c r="P41" i="3" s="1"/>
  <c r="AF98" i="1"/>
  <c r="AH98" i="1"/>
  <c r="K99" i="1"/>
  <c r="L99" i="1"/>
  <c r="M99" i="1"/>
  <c r="N99" i="1" s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Y101" i="1"/>
  <c r="Z101" i="1"/>
  <c r="AB101" i="1"/>
  <c r="AC101" i="1"/>
  <c r="AD101" i="1"/>
  <c r="X101" i="1" s="1"/>
  <c r="AE101" i="1"/>
  <c r="P25" i="3" s="1"/>
  <c r="AF101" i="1"/>
  <c r="AH101" i="1"/>
  <c r="K102" i="1"/>
  <c r="L102" i="1"/>
  <c r="M102" i="1"/>
  <c r="N102" i="1" s="1"/>
  <c r="Y102" i="1"/>
  <c r="Z102" i="1"/>
  <c r="AB102" i="1"/>
  <c r="AC102" i="1"/>
  <c r="AD102" i="1"/>
  <c r="AE102" i="1"/>
  <c r="P27" i="3" s="1"/>
  <c r="AF102" i="1"/>
  <c r="AH102" i="1"/>
  <c r="K103" i="1"/>
  <c r="L103" i="1"/>
  <c r="M103" i="1"/>
  <c r="N103" i="1" s="1"/>
  <c r="Y103" i="1"/>
  <c r="Z103" i="1"/>
  <c r="AB103" i="1"/>
  <c r="AC103" i="1"/>
  <c r="AD103" i="1"/>
  <c r="AE103" i="1"/>
  <c r="AF103" i="1"/>
  <c r="AH103" i="1"/>
  <c r="K104" i="1"/>
  <c r="L104" i="1"/>
  <c r="M104" i="1"/>
  <c r="P104" i="1" s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Y105" i="1"/>
  <c r="Z105" i="1"/>
  <c r="AB105" i="1"/>
  <c r="AC105" i="1"/>
  <c r="AD105" i="1"/>
  <c r="X105" i="1" s="1"/>
  <c r="AE105" i="1"/>
  <c r="AF105" i="1"/>
  <c r="AH105" i="1"/>
  <c r="K106" i="1"/>
  <c r="L106" i="1"/>
  <c r="M106" i="1"/>
  <c r="N106" i="1" s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Y108" i="1"/>
  <c r="Z108" i="1"/>
  <c r="AB108" i="1"/>
  <c r="AC108" i="1"/>
  <c r="AD108" i="1"/>
  <c r="T108" i="1" s="1"/>
  <c r="AE108" i="1"/>
  <c r="P13" i="3" s="1"/>
  <c r="AF108" i="1"/>
  <c r="AH108" i="1"/>
  <c r="K109" i="1"/>
  <c r="L109" i="1"/>
  <c r="M109" i="1"/>
  <c r="N109" i="1" s="1"/>
  <c r="Y109" i="1"/>
  <c r="Z109" i="1"/>
  <c r="AB109" i="1"/>
  <c r="AC109" i="1"/>
  <c r="AD109" i="1"/>
  <c r="AE109" i="1"/>
  <c r="AF109" i="1"/>
  <c r="AH109" i="1"/>
  <c r="K110" i="1"/>
  <c r="L110" i="1"/>
  <c r="M110" i="1"/>
  <c r="Y110" i="1"/>
  <c r="Z110" i="1"/>
  <c r="AB110" i="1"/>
  <c r="AC110" i="1"/>
  <c r="AD110" i="1"/>
  <c r="X110" i="1" s="1"/>
  <c r="AE110" i="1"/>
  <c r="AF110" i="1"/>
  <c r="AH110" i="1"/>
  <c r="K111" i="1"/>
  <c r="L111" i="1"/>
  <c r="M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Y113" i="1"/>
  <c r="Z113" i="1"/>
  <c r="AB113" i="1"/>
  <c r="AC113" i="1"/>
  <c r="AD113" i="1"/>
  <c r="AE113" i="1"/>
  <c r="AF113" i="1"/>
  <c r="AH113" i="1"/>
  <c r="K114" i="1"/>
  <c r="L114" i="1"/>
  <c r="M114" i="1"/>
  <c r="P114" i="1" s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Y116" i="1"/>
  <c r="Z116" i="1"/>
  <c r="AB116" i="1"/>
  <c r="AC116" i="1"/>
  <c r="AD116" i="1"/>
  <c r="AE116" i="1"/>
  <c r="P14" i="3" s="1"/>
  <c r="AF116" i="1"/>
  <c r="AH116" i="1"/>
  <c r="K117" i="1"/>
  <c r="L117" i="1"/>
  <c r="M117" i="1"/>
  <c r="N117" i="1" s="1"/>
  <c r="Y117" i="1"/>
  <c r="Z117" i="1"/>
  <c r="AB117" i="1"/>
  <c r="AC117" i="1"/>
  <c r="AD117" i="1"/>
  <c r="T117" i="1" s="1"/>
  <c r="AE117" i="1"/>
  <c r="P9" i="3" s="1"/>
  <c r="AF117" i="1"/>
  <c r="AH117" i="1"/>
  <c r="K118" i="1"/>
  <c r="L118" i="1"/>
  <c r="M118" i="1"/>
  <c r="N118" i="1" s="1"/>
  <c r="Y118" i="1"/>
  <c r="Z118" i="1"/>
  <c r="AB118" i="1"/>
  <c r="AC118" i="1"/>
  <c r="AD118" i="1"/>
  <c r="AE118" i="1"/>
  <c r="AF118" i="1"/>
  <c r="AH118" i="1"/>
  <c r="K119" i="1"/>
  <c r="L119" i="1"/>
  <c r="M119" i="1"/>
  <c r="P119" i="1" s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P121" i="1" s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P125" i="1" s="1"/>
  <c r="Y125" i="1"/>
  <c r="Z125" i="1"/>
  <c r="AB125" i="1"/>
  <c r="AC125" i="1"/>
  <c r="AD125" i="1"/>
  <c r="AE125" i="1"/>
  <c r="AF125" i="1"/>
  <c r="AH125" i="1"/>
  <c r="K126" i="1"/>
  <c r="L126" i="1"/>
  <c r="M126" i="1"/>
  <c r="Y126" i="1"/>
  <c r="Z126" i="1"/>
  <c r="AB126" i="1"/>
  <c r="AC126" i="1"/>
  <c r="AD126" i="1"/>
  <c r="AE126" i="1"/>
  <c r="P17" i="3" s="1"/>
  <c r="AF126" i="1"/>
  <c r="AH126" i="1"/>
  <c r="K127" i="1"/>
  <c r="L127" i="1"/>
  <c r="M127" i="1"/>
  <c r="Y127" i="1"/>
  <c r="Z127" i="1"/>
  <c r="AB127" i="1"/>
  <c r="AC127" i="1"/>
  <c r="AD127" i="1"/>
  <c r="AE127" i="1"/>
  <c r="AF127" i="1"/>
  <c r="AH127" i="1"/>
  <c r="K128" i="1"/>
  <c r="L128" i="1"/>
  <c r="M128" i="1"/>
  <c r="P128" i="1" s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Y129" i="1"/>
  <c r="Z129" i="1"/>
  <c r="AB129" i="1"/>
  <c r="AC129" i="1"/>
  <c r="AD129" i="1"/>
  <c r="AE129" i="1"/>
  <c r="AF129" i="1"/>
  <c r="AH129" i="1"/>
  <c r="K130" i="1"/>
  <c r="L130" i="1"/>
  <c r="M130" i="1"/>
  <c r="P130" i="1" s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Y131" i="1"/>
  <c r="Z131" i="1"/>
  <c r="AB131" i="1"/>
  <c r="AC131" i="1"/>
  <c r="AD131" i="1"/>
  <c r="AE131" i="1"/>
  <c r="AF131" i="1"/>
  <c r="AH131" i="1"/>
  <c r="K132" i="1"/>
  <c r="L132" i="1"/>
  <c r="M132" i="1"/>
  <c r="N132" i="1" s="1"/>
  <c r="Y132" i="1"/>
  <c r="Z132" i="1"/>
  <c r="AB132" i="1"/>
  <c r="AC132" i="1"/>
  <c r="AD132" i="1"/>
  <c r="AE132" i="1"/>
  <c r="P22" i="3" s="1"/>
  <c r="AF132" i="1"/>
  <c r="AH132" i="1"/>
  <c r="K133" i="1"/>
  <c r="L133" i="1"/>
  <c r="M133" i="1"/>
  <c r="P133" i="1" s="1"/>
  <c r="Y133" i="1"/>
  <c r="Z133" i="1"/>
  <c r="AB133" i="1"/>
  <c r="AC133" i="1"/>
  <c r="AD133" i="1"/>
  <c r="AE133" i="1"/>
  <c r="AF133" i="1"/>
  <c r="AH133" i="1"/>
  <c r="K134" i="1"/>
  <c r="L134" i="1"/>
  <c r="M134" i="1"/>
  <c r="N134" i="1" s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Y135" i="1"/>
  <c r="Z135" i="1"/>
  <c r="AB135" i="1"/>
  <c r="AC135" i="1"/>
  <c r="AD135" i="1"/>
  <c r="AE135" i="1"/>
  <c r="AF135" i="1"/>
  <c r="AH135" i="1"/>
  <c r="K136" i="1"/>
  <c r="L136" i="1"/>
  <c r="M136" i="1"/>
  <c r="N136" i="1" s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Y141" i="1"/>
  <c r="Z141" i="1"/>
  <c r="AB141" i="1"/>
  <c r="AC141" i="1"/>
  <c r="AD141" i="1"/>
  <c r="AE141" i="1"/>
  <c r="AF141" i="1"/>
  <c r="AH141" i="1"/>
  <c r="K142" i="1"/>
  <c r="L142" i="1"/>
  <c r="M142" i="1"/>
  <c r="N142" i="1" s="1"/>
  <c r="Y142" i="1"/>
  <c r="Z142" i="1"/>
  <c r="AB142" i="1"/>
  <c r="AC142" i="1"/>
  <c r="AD142" i="1"/>
  <c r="AE142" i="1"/>
  <c r="AF142" i="1"/>
  <c r="AH142" i="1"/>
  <c r="K143" i="1"/>
  <c r="L143" i="1"/>
  <c r="M143" i="1"/>
  <c r="N143" i="1" s="1"/>
  <c r="Y143" i="1"/>
  <c r="Z143" i="1"/>
  <c r="AB143" i="1"/>
  <c r="AC143" i="1"/>
  <c r="AD143" i="1"/>
  <c r="AE143" i="1"/>
  <c r="P43" i="3" s="1"/>
  <c r="AF143" i="1"/>
  <c r="AH143" i="1"/>
  <c r="K144" i="1"/>
  <c r="L144" i="1"/>
  <c r="M144" i="1"/>
  <c r="N144" i="1" s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Y145" i="1"/>
  <c r="Z145" i="1"/>
  <c r="AB145" i="1"/>
  <c r="AC145" i="1"/>
  <c r="AD145" i="1"/>
  <c r="AE145" i="1"/>
  <c r="AF145" i="1"/>
  <c r="AH145" i="1"/>
  <c r="K146" i="1"/>
  <c r="L146" i="1"/>
  <c r="M146" i="1"/>
  <c r="N146" i="1" s="1"/>
  <c r="Y146" i="1"/>
  <c r="Z146" i="1"/>
  <c r="AB146" i="1"/>
  <c r="AC146" i="1"/>
  <c r="AD146" i="1"/>
  <c r="AE146" i="1"/>
  <c r="AF146" i="1"/>
  <c r="AH146" i="1"/>
  <c r="K147" i="1"/>
  <c r="L147" i="1"/>
  <c r="M147" i="1"/>
  <c r="P147" i="1" s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Y150" i="1"/>
  <c r="Z150" i="1"/>
  <c r="AB150" i="1"/>
  <c r="AC150" i="1"/>
  <c r="AD150" i="1"/>
  <c r="AE150" i="1"/>
  <c r="AF150" i="1"/>
  <c r="AH150" i="1"/>
  <c r="K151" i="1"/>
  <c r="L151" i="1"/>
  <c r="M151" i="1"/>
  <c r="P151" i="1" s="1"/>
  <c r="Y151" i="1"/>
  <c r="Z151" i="1"/>
  <c r="AB151" i="1"/>
  <c r="AC151" i="1"/>
  <c r="AD151" i="1"/>
  <c r="AE151" i="1"/>
  <c r="AF151" i="1"/>
  <c r="AH151" i="1"/>
  <c r="K152" i="1"/>
  <c r="L152" i="1"/>
  <c r="M152" i="1"/>
  <c r="N152" i="1" s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Z154" i="1"/>
  <c r="AB154" i="1"/>
  <c r="AC154" i="1"/>
  <c r="AD154" i="1"/>
  <c r="AE154" i="1"/>
  <c r="AF154" i="1"/>
  <c r="AH154" i="1"/>
  <c r="K155" i="1"/>
  <c r="L155" i="1"/>
  <c r="M155" i="1"/>
  <c r="N155" i="1" s="1"/>
  <c r="Z155" i="1"/>
  <c r="AB155" i="1"/>
  <c r="AC155" i="1"/>
  <c r="AD155" i="1"/>
  <c r="X155" i="1" s="1"/>
  <c r="AE155" i="1"/>
  <c r="AF155" i="1"/>
  <c r="AH155" i="1"/>
  <c r="K156" i="1"/>
  <c r="L156" i="1"/>
  <c r="M156" i="1"/>
  <c r="N156" i="1" s="1"/>
  <c r="Z156" i="1"/>
  <c r="AB156" i="1"/>
  <c r="AC156" i="1"/>
  <c r="AD156" i="1"/>
  <c r="AE156" i="1"/>
  <c r="AF156" i="1"/>
  <c r="AH156" i="1"/>
  <c r="K157" i="1"/>
  <c r="L157" i="1"/>
  <c r="M157" i="1"/>
  <c r="N157" i="1" s="1"/>
  <c r="Z157" i="1"/>
  <c r="AB157" i="1"/>
  <c r="AC157" i="1"/>
  <c r="AD157" i="1"/>
  <c r="AE157" i="1"/>
  <c r="AF157" i="1"/>
  <c r="AH157" i="1"/>
  <c r="K159" i="1"/>
  <c r="L159" i="1"/>
  <c r="M159" i="1"/>
  <c r="N159" i="1" s="1"/>
  <c r="Y159" i="1"/>
  <c r="Z159" i="1"/>
  <c r="AB159" i="1"/>
  <c r="AC159" i="1"/>
  <c r="AD159" i="1"/>
  <c r="AG159" i="1" s="1"/>
  <c r="AE159" i="1"/>
  <c r="P16" i="3" s="1"/>
  <c r="AF159" i="1"/>
  <c r="AH159" i="1"/>
  <c r="K161" i="1"/>
  <c r="L161" i="1"/>
  <c r="M161" i="1"/>
  <c r="N161" i="1" s="1"/>
  <c r="Y161" i="1"/>
  <c r="Z161" i="1"/>
  <c r="AB161" i="1"/>
  <c r="AC161" i="1"/>
  <c r="AD161" i="1"/>
  <c r="AG161" i="1" s="1"/>
  <c r="AE161" i="1"/>
  <c r="AF161" i="1"/>
  <c r="AH161" i="1"/>
  <c r="K164" i="1"/>
  <c r="L164" i="1"/>
  <c r="M164" i="1"/>
  <c r="N164" i="1" s="1"/>
  <c r="Y164" i="1"/>
  <c r="Z164" i="1"/>
  <c r="AB164" i="1"/>
  <c r="AC164" i="1"/>
  <c r="AD164" i="1"/>
  <c r="AG164" i="1" s="1"/>
  <c r="AE164" i="1"/>
  <c r="AF164" i="1"/>
  <c r="AH164" i="1"/>
  <c r="K211" i="1"/>
  <c r="L211" i="1"/>
  <c r="M211" i="1"/>
  <c r="N211" i="1" s="1"/>
  <c r="Y211" i="1"/>
  <c r="Z211" i="1"/>
  <c r="AB211" i="1"/>
  <c r="AC211" i="1"/>
  <c r="AD211" i="1"/>
  <c r="AG211" i="1" s="1"/>
  <c r="AE211" i="1"/>
  <c r="AF211" i="1"/>
  <c r="AH165" i="1"/>
  <c r="K212" i="1"/>
  <c r="L212" i="1"/>
  <c r="M212" i="1"/>
  <c r="N212" i="1" s="1"/>
  <c r="Y212" i="1"/>
  <c r="Z212" i="1"/>
  <c r="AB212" i="1"/>
  <c r="AC212" i="1"/>
  <c r="AD212" i="1"/>
  <c r="AG212" i="1" s="1"/>
  <c r="AE212" i="1"/>
  <c r="AF212" i="1"/>
  <c r="AH167" i="1"/>
  <c r="K213" i="1"/>
  <c r="L213" i="1"/>
  <c r="M213" i="1"/>
  <c r="N213" i="1" s="1"/>
  <c r="Y213" i="1"/>
  <c r="Z213" i="1"/>
  <c r="AA213" i="1" s="1"/>
  <c r="W213" i="1" s="1"/>
  <c r="AB213" i="1"/>
  <c r="AC213" i="1"/>
  <c r="AD213" i="1"/>
  <c r="AG213" i="1" s="1"/>
  <c r="AE213" i="1"/>
  <c r="AF213" i="1"/>
  <c r="AH168" i="1"/>
  <c r="K214" i="1"/>
  <c r="L214" i="1"/>
  <c r="M214" i="1"/>
  <c r="N214" i="1" s="1"/>
  <c r="Y214" i="1"/>
  <c r="Z214" i="1"/>
  <c r="AB214" i="1"/>
  <c r="AC214" i="1"/>
  <c r="AD214" i="1"/>
  <c r="AG214" i="1" s="1"/>
  <c r="AE214" i="1"/>
  <c r="AF214" i="1"/>
  <c r="AH169" i="1"/>
  <c r="K215" i="1"/>
  <c r="L215" i="1"/>
  <c r="M215" i="1"/>
  <c r="N215" i="1" s="1"/>
  <c r="Y215" i="1"/>
  <c r="Z215" i="1"/>
  <c r="AB215" i="1"/>
  <c r="AC215" i="1"/>
  <c r="AD215" i="1"/>
  <c r="AG215" i="1" s="1"/>
  <c r="AE215" i="1"/>
  <c r="AF215" i="1"/>
  <c r="AH170" i="1"/>
  <c r="K216" i="1"/>
  <c r="L216" i="1"/>
  <c r="M216" i="1"/>
  <c r="N216" i="1" s="1"/>
  <c r="Y216" i="1"/>
  <c r="Z216" i="1"/>
  <c r="AB216" i="1"/>
  <c r="AC216" i="1"/>
  <c r="AD216" i="1"/>
  <c r="AG216" i="1" s="1"/>
  <c r="AE216" i="1"/>
  <c r="AF216" i="1"/>
  <c r="AH171" i="1"/>
  <c r="K217" i="1"/>
  <c r="L217" i="1"/>
  <c r="M217" i="1"/>
  <c r="N217" i="1" s="1"/>
  <c r="Y217" i="1"/>
  <c r="Z217" i="1"/>
  <c r="AA217" i="1" s="1"/>
  <c r="W217" i="1" s="1"/>
  <c r="AB217" i="1"/>
  <c r="AC217" i="1"/>
  <c r="AD217" i="1"/>
  <c r="AG217" i="1" s="1"/>
  <c r="AE217" i="1"/>
  <c r="AF217" i="1"/>
  <c r="AH172" i="1"/>
  <c r="K218" i="1"/>
  <c r="L218" i="1"/>
  <c r="M218" i="1"/>
  <c r="N218" i="1" s="1"/>
  <c r="Y218" i="1"/>
  <c r="Z218" i="1"/>
  <c r="AB218" i="1"/>
  <c r="AC218" i="1"/>
  <c r="AD218" i="1"/>
  <c r="AG218" i="1" s="1"/>
  <c r="AE218" i="1"/>
  <c r="AF218" i="1"/>
  <c r="AH173" i="1"/>
  <c r="K219" i="1"/>
  <c r="L219" i="1"/>
  <c r="M219" i="1"/>
  <c r="N219" i="1" s="1"/>
  <c r="Y219" i="1"/>
  <c r="Z219" i="1"/>
  <c r="AB219" i="1"/>
  <c r="AC219" i="1"/>
  <c r="AD219" i="1"/>
  <c r="AG219" i="1" s="1"/>
  <c r="AE219" i="1"/>
  <c r="AF219" i="1"/>
  <c r="AH174" i="1"/>
  <c r="K220" i="1"/>
  <c r="L220" i="1"/>
  <c r="M220" i="1"/>
  <c r="N220" i="1" s="1"/>
  <c r="Y220" i="1"/>
  <c r="Z220" i="1"/>
  <c r="AB220" i="1"/>
  <c r="AC220" i="1"/>
  <c r="AD220" i="1"/>
  <c r="AG220" i="1" s="1"/>
  <c r="AE220" i="1"/>
  <c r="AF220" i="1"/>
  <c r="AH175" i="1"/>
  <c r="K225" i="1"/>
  <c r="L225" i="1"/>
  <c r="M225" i="1"/>
  <c r="N225" i="1" s="1"/>
  <c r="Y225" i="1"/>
  <c r="Z225" i="1"/>
  <c r="AB225" i="1"/>
  <c r="AC225" i="1"/>
  <c r="AD225" i="1"/>
  <c r="AG225" i="1" s="1"/>
  <c r="AE225" i="1"/>
  <c r="AF225" i="1"/>
  <c r="AH176" i="1"/>
  <c r="K165" i="1"/>
  <c r="L165" i="1"/>
  <c r="M165" i="1"/>
  <c r="N165" i="1" s="1"/>
  <c r="Y165" i="1"/>
  <c r="Z165" i="1"/>
  <c r="AB165" i="1"/>
  <c r="AC165" i="1"/>
  <c r="AD165" i="1"/>
  <c r="AG165" i="1" s="1"/>
  <c r="AE165" i="1"/>
  <c r="AF165" i="1"/>
  <c r="AH177" i="1"/>
  <c r="K167" i="1"/>
  <c r="L167" i="1"/>
  <c r="M167" i="1"/>
  <c r="N167" i="1" s="1"/>
  <c r="Q52" i="3"/>
  <c r="Y167" i="1"/>
  <c r="Z167" i="1"/>
  <c r="AB167" i="1"/>
  <c r="AC167" i="1"/>
  <c r="AD167" i="1"/>
  <c r="AG167" i="1" s="1"/>
  <c r="AE167" i="1"/>
  <c r="P52" i="3" s="1"/>
  <c r="AF167" i="1"/>
  <c r="AH178" i="1"/>
  <c r="K168" i="1"/>
  <c r="L168" i="1"/>
  <c r="M168" i="1"/>
  <c r="N168" i="1" s="1"/>
  <c r="Y168" i="1"/>
  <c r="Z168" i="1"/>
  <c r="AB168" i="1"/>
  <c r="AC168" i="1"/>
  <c r="AD168" i="1"/>
  <c r="AG168" i="1" s="1"/>
  <c r="AE168" i="1"/>
  <c r="AF168" i="1"/>
  <c r="AH179" i="1"/>
  <c r="K169" i="1"/>
  <c r="L169" i="1"/>
  <c r="M169" i="1"/>
  <c r="N169" i="1" s="1"/>
  <c r="Q49" i="3"/>
  <c r="Y169" i="1"/>
  <c r="Z169" i="1"/>
  <c r="AB169" i="1"/>
  <c r="AC169" i="1"/>
  <c r="AD169" i="1"/>
  <c r="AG169" i="1" s="1"/>
  <c r="AE169" i="1"/>
  <c r="P49" i="3" s="1"/>
  <c r="AF169" i="1"/>
  <c r="AH180" i="1"/>
  <c r="K170" i="1"/>
  <c r="L170" i="1"/>
  <c r="M170" i="1"/>
  <c r="P170" i="1" s="1"/>
  <c r="Y170" i="1"/>
  <c r="Z170" i="1"/>
  <c r="AB170" i="1"/>
  <c r="AC170" i="1"/>
  <c r="AD170" i="1"/>
  <c r="AG170" i="1" s="1"/>
  <c r="AE170" i="1"/>
  <c r="P51" i="3" s="1"/>
  <c r="AF170" i="1"/>
  <c r="AH181" i="1"/>
  <c r="K171" i="1"/>
  <c r="L171" i="1"/>
  <c r="M171" i="1"/>
  <c r="N171" i="1" s="1"/>
  <c r="Y171" i="1"/>
  <c r="Z171" i="1"/>
  <c r="AB171" i="1"/>
  <c r="AC171" i="1"/>
  <c r="AD171" i="1"/>
  <c r="AG171" i="1" s="1"/>
  <c r="AE171" i="1"/>
  <c r="AF171" i="1"/>
  <c r="AH182" i="1"/>
  <c r="K172" i="1"/>
  <c r="L172" i="1"/>
  <c r="M172" i="1"/>
  <c r="N172" i="1" s="1"/>
  <c r="Y172" i="1"/>
  <c r="Z172" i="1"/>
  <c r="AB172" i="1"/>
  <c r="AC172" i="1"/>
  <c r="AD172" i="1"/>
  <c r="AG172" i="1" s="1"/>
  <c r="AE172" i="1"/>
  <c r="AF172" i="1"/>
  <c r="AH183" i="1"/>
  <c r="K173" i="1"/>
  <c r="L173" i="1"/>
  <c r="M173" i="1"/>
  <c r="N173" i="1" s="1"/>
  <c r="Y173" i="1"/>
  <c r="Z173" i="1"/>
  <c r="AB173" i="1"/>
  <c r="AC173" i="1"/>
  <c r="AD173" i="1"/>
  <c r="AG173" i="1" s="1"/>
  <c r="AE173" i="1"/>
  <c r="P50" i="3" s="1"/>
  <c r="AF173" i="1"/>
  <c r="AH184" i="1"/>
  <c r="K174" i="1"/>
  <c r="L174" i="1"/>
  <c r="M174" i="1"/>
  <c r="Y174" i="1"/>
  <c r="AB174" i="1"/>
  <c r="AC174" i="1"/>
  <c r="AD174" i="1"/>
  <c r="AG174" i="1" s="1"/>
  <c r="AE174" i="1"/>
  <c r="AF174" i="1"/>
  <c r="AH185" i="1"/>
  <c r="K175" i="1"/>
  <c r="L175" i="1"/>
  <c r="M175" i="1"/>
  <c r="N175" i="1" s="1"/>
  <c r="Y175" i="1"/>
  <c r="Z175" i="1"/>
  <c r="AB175" i="1"/>
  <c r="AC175" i="1"/>
  <c r="AD175" i="1"/>
  <c r="AG175" i="1" s="1"/>
  <c r="AE175" i="1"/>
  <c r="AF175" i="1"/>
  <c r="AH186" i="1"/>
  <c r="K176" i="1"/>
  <c r="L176" i="1"/>
  <c r="M176" i="1"/>
  <c r="N176" i="1" s="1"/>
  <c r="Y176" i="1"/>
  <c r="Z176" i="1"/>
  <c r="AB176" i="1"/>
  <c r="AC176" i="1"/>
  <c r="AD176" i="1"/>
  <c r="AE176" i="1"/>
  <c r="AF176" i="1"/>
  <c r="AH187" i="1"/>
  <c r="K177" i="1"/>
  <c r="L177" i="1"/>
  <c r="M177" i="1"/>
  <c r="N177" i="1" s="1"/>
  <c r="Y177" i="1"/>
  <c r="Z177" i="1"/>
  <c r="AB177" i="1"/>
  <c r="AC177" i="1"/>
  <c r="AD177" i="1"/>
  <c r="AG177" i="1" s="1"/>
  <c r="AE177" i="1"/>
  <c r="P60" i="3" s="1"/>
  <c r="AF177" i="1"/>
  <c r="AH188" i="1"/>
  <c r="K178" i="1"/>
  <c r="L178" i="1"/>
  <c r="M178" i="1"/>
  <c r="N178" i="1" s="1"/>
  <c r="Y178" i="1"/>
  <c r="Z178" i="1"/>
  <c r="AB178" i="1"/>
  <c r="AC178" i="1"/>
  <c r="AD178" i="1"/>
  <c r="AE178" i="1"/>
  <c r="P58" i="3" s="1"/>
  <c r="AF178" i="1"/>
  <c r="AH189" i="1"/>
  <c r="K179" i="1"/>
  <c r="L179" i="1"/>
  <c r="M179" i="1"/>
  <c r="N179" i="1" s="1"/>
  <c r="Y179" i="1"/>
  <c r="Z179" i="1"/>
  <c r="AB179" i="1"/>
  <c r="AC179" i="1"/>
  <c r="AD179" i="1"/>
  <c r="AG179" i="1" s="1"/>
  <c r="AE179" i="1"/>
  <c r="AF179" i="1"/>
  <c r="AH190" i="1"/>
  <c r="K180" i="1"/>
  <c r="L180" i="1"/>
  <c r="M180" i="1"/>
  <c r="N180" i="1" s="1"/>
  <c r="Y180" i="1"/>
  <c r="Z180" i="1"/>
  <c r="AB180" i="1"/>
  <c r="AC180" i="1"/>
  <c r="AD180" i="1"/>
  <c r="AG180" i="1" s="1"/>
  <c r="AE180" i="1"/>
  <c r="AF180" i="1"/>
  <c r="AH191" i="1"/>
  <c r="K181" i="1"/>
  <c r="L181" i="1"/>
  <c r="M181" i="1"/>
  <c r="N181" i="1" s="1"/>
  <c r="Y181" i="1"/>
  <c r="Z181" i="1"/>
  <c r="AB181" i="1"/>
  <c r="AC181" i="1"/>
  <c r="AD181" i="1"/>
  <c r="AG181" i="1" s="1"/>
  <c r="AE181" i="1"/>
  <c r="AF181" i="1"/>
  <c r="AH192" i="1"/>
  <c r="K182" i="1"/>
  <c r="L182" i="1"/>
  <c r="M182" i="1"/>
  <c r="N182" i="1" s="1"/>
  <c r="Y182" i="1"/>
  <c r="Z182" i="1"/>
  <c r="AB182" i="1"/>
  <c r="AC182" i="1"/>
  <c r="AD182" i="1"/>
  <c r="AG182" i="1" s="1"/>
  <c r="AE182" i="1"/>
  <c r="AF182" i="1"/>
  <c r="AH193" i="1"/>
  <c r="K183" i="1"/>
  <c r="L183" i="1"/>
  <c r="M183" i="1"/>
  <c r="P183" i="1" s="1"/>
  <c r="Y183" i="1"/>
  <c r="Z183" i="1"/>
  <c r="AB183" i="1"/>
  <c r="AC183" i="1"/>
  <c r="AD183" i="1"/>
  <c r="AE183" i="1"/>
  <c r="P54" i="3" s="1"/>
  <c r="AF183" i="1"/>
  <c r="AH194" i="1"/>
  <c r="K184" i="1"/>
  <c r="L184" i="1"/>
  <c r="M184" i="1"/>
  <c r="N184" i="1" s="1"/>
  <c r="Y184" i="1"/>
  <c r="Z184" i="1"/>
  <c r="AB184" i="1"/>
  <c r="AC184" i="1"/>
  <c r="AD184" i="1"/>
  <c r="AG184" i="1" s="1"/>
  <c r="AE184" i="1"/>
  <c r="AF184" i="1"/>
  <c r="AH195" i="1"/>
  <c r="K185" i="1"/>
  <c r="L185" i="1"/>
  <c r="M185" i="1"/>
  <c r="N185" i="1" s="1"/>
  <c r="Y185" i="1"/>
  <c r="Z185" i="1"/>
  <c r="AB185" i="1"/>
  <c r="AC185" i="1"/>
  <c r="AD185" i="1"/>
  <c r="AE185" i="1"/>
  <c r="AF185" i="1"/>
  <c r="AH196" i="1"/>
  <c r="K186" i="1"/>
  <c r="L186" i="1"/>
  <c r="M186" i="1"/>
  <c r="N186" i="1" s="1"/>
  <c r="Y186" i="1"/>
  <c r="Z186" i="1"/>
  <c r="AB186" i="1"/>
  <c r="AC186" i="1"/>
  <c r="AD186" i="1"/>
  <c r="T186" i="1" s="1"/>
  <c r="AE186" i="1"/>
  <c r="AF186" i="1"/>
  <c r="AH197" i="1"/>
  <c r="K187" i="1"/>
  <c r="L187" i="1"/>
  <c r="M187" i="1"/>
  <c r="N187" i="1" s="1"/>
  <c r="Y187" i="1"/>
  <c r="Z187" i="1"/>
  <c r="AB187" i="1"/>
  <c r="AC187" i="1"/>
  <c r="AD187" i="1"/>
  <c r="T187" i="1" s="1"/>
  <c r="AE187" i="1"/>
  <c r="AF187" i="1"/>
  <c r="AH198" i="1"/>
  <c r="K188" i="1"/>
  <c r="L188" i="1"/>
  <c r="M188" i="1"/>
  <c r="N188" i="1" s="1"/>
  <c r="Y188" i="1"/>
  <c r="Z188" i="1"/>
  <c r="AB188" i="1"/>
  <c r="AC188" i="1"/>
  <c r="AD188" i="1"/>
  <c r="AE188" i="1"/>
  <c r="AF188" i="1"/>
  <c r="AH199" i="1"/>
  <c r="K189" i="1"/>
  <c r="L189" i="1"/>
  <c r="M189" i="1"/>
  <c r="P189" i="1" s="1"/>
  <c r="Y189" i="1"/>
  <c r="Z189" i="1"/>
  <c r="AB189" i="1"/>
  <c r="AC189" i="1"/>
  <c r="AD189" i="1"/>
  <c r="AE189" i="1"/>
  <c r="AF189" i="1"/>
  <c r="AH200" i="1"/>
  <c r="K190" i="1"/>
  <c r="L190" i="1"/>
  <c r="M190" i="1"/>
  <c r="N190" i="1" s="1"/>
  <c r="Y190" i="1"/>
  <c r="Z190" i="1"/>
  <c r="AB190" i="1"/>
  <c r="AC190" i="1"/>
  <c r="AD190" i="1"/>
  <c r="AE190" i="1"/>
  <c r="AF190" i="1"/>
  <c r="AH201" i="1"/>
  <c r="K191" i="1"/>
  <c r="L191" i="1"/>
  <c r="M191" i="1"/>
  <c r="N191" i="1" s="1"/>
  <c r="Y191" i="1"/>
  <c r="Z191" i="1"/>
  <c r="AB191" i="1"/>
  <c r="AC191" i="1"/>
  <c r="AD191" i="1"/>
  <c r="AE191" i="1"/>
  <c r="AF191" i="1"/>
  <c r="AH202" i="1"/>
  <c r="K192" i="1"/>
  <c r="L192" i="1"/>
  <c r="M192" i="1"/>
  <c r="N192" i="1" s="1"/>
  <c r="Y192" i="1"/>
  <c r="Z192" i="1"/>
  <c r="AB192" i="1"/>
  <c r="AC192" i="1"/>
  <c r="AD192" i="1"/>
  <c r="AE192" i="1"/>
  <c r="AF192" i="1"/>
  <c r="AH203" i="1"/>
  <c r="K193" i="1"/>
  <c r="L193" i="1"/>
  <c r="M193" i="1"/>
  <c r="N193" i="1" s="1"/>
  <c r="Y193" i="1"/>
  <c r="Z193" i="1"/>
  <c r="AB193" i="1"/>
  <c r="AC193" i="1"/>
  <c r="AD193" i="1"/>
  <c r="AE193" i="1"/>
  <c r="AF193" i="1"/>
  <c r="AH204" i="1"/>
  <c r="K194" i="1"/>
  <c r="L194" i="1"/>
  <c r="M194" i="1"/>
  <c r="N194" i="1" s="1"/>
  <c r="Y194" i="1"/>
  <c r="Z194" i="1"/>
  <c r="AB194" i="1"/>
  <c r="AC194" i="1"/>
  <c r="AD194" i="1"/>
  <c r="AE194" i="1"/>
  <c r="AF194" i="1"/>
  <c r="K195" i="1"/>
  <c r="L195" i="1"/>
  <c r="M195" i="1"/>
  <c r="N195" i="1" s="1"/>
  <c r="Y195" i="1"/>
  <c r="Z195" i="1"/>
  <c r="AB195" i="1"/>
  <c r="AC195" i="1"/>
  <c r="AD195" i="1"/>
  <c r="AE195" i="1"/>
  <c r="AF195" i="1"/>
  <c r="AH205" i="1"/>
  <c r="K196" i="1"/>
  <c r="L196" i="1"/>
  <c r="M196" i="1"/>
  <c r="N196" i="1" s="1"/>
  <c r="Y196" i="1"/>
  <c r="Z196" i="1"/>
  <c r="AB196" i="1"/>
  <c r="AC196" i="1"/>
  <c r="AD196" i="1"/>
  <c r="AE196" i="1"/>
  <c r="AF196" i="1"/>
  <c r="AH206" i="1"/>
  <c r="K197" i="1"/>
  <c r="L197" i="1"/>
  <c r="M197" i="1"/>
  <c r="N197" i="1" s="1"/>
  <c r="Y197" i="1"/>
  <c r="Z197" i="1"/>
  <c r="AB197" i="1"/>
  <c r="AC197" i="1"/>
  <c r="AD197" i="1"/>
  <c r="AE197" i="1"/>
  <c r="AF197" i="1"/>
  <c r="AH207" i="1"/>
  <c r="K198" i="1"/>
  <c r="L198" i="1"/>
  <c r="M198" i="1"/>
  <c r="N198" i="1" s="1"/>
  <c r="Y198" i="1"/>
  <c r="Z198" i="1"/>
  <c r="AB198" i="1"/>
  <c r="AC198" i="1"/>
  <c r="AD198" i="1"/>
  <c r="AE198" i="1"/>
  <c r="AF198" i="1"/>
  <c r="AH208" i="1"/>
  <c r="K199" i="1"/>
  <c r="L199" i="1"/>
  <c r="M199" i="1"/>
  <c r="N199" i="1" s="1"/>
  <c r="Y199" i="1"/>
  <c r="Z199" i="1"/>
  <c r="AB199" i="1"/>
  <c r="AC199" i="1"/>
  <c r="AD199" i="1"/>
  <c r="AE199" i="1"/>
  <c r="AF199" i="1"/>
  <c r="AH209" i="1"/>
  <c r="K200" i="1"/>
  <c r="L200" i="1"/>
  <c r="M200" i="1"/>
  <c r="N200" i="1" s="1"/>
  <c r="Y200" i="1"/>
  <c r="Z200" i="1"/>
  <c r="AB200" i="1"/>
  <c r="AC200" i="1"/>
  <c r="AD200" i="1"/>
  <c r="AE200" i="1"/>
  <c r="AF200" i="1"/>
  <c r="AH210" i="1"/>
  <c r="K201" i="1"/>
  <c r="L201" i="1"/>
  <c r="M201" i="1"/>
  <c r="N201" i="1" s="1"/>
  <c r="Y201" i="1"/>
  <c r="Z201" i="1"/>
  <c r="AB201" i="1"/>
  <c r="AC201" i="1"/>
  <c r="AD201" i="1"/>
  <c r="AE201" i="1"/>
  <c r="AF201" i="1"/>
  <c r="AH211" i="1"/>
  <c r="K202" i="1"/>
  <c r="L202" i="1"/>
  <c r="M202" i="1"/>
  <c r="N202" i="1" s="1"/>
  <c r="Y202" i="1"/>
  <c r="Z202" i="1"/>
  <c r="AB202" i="1"/>
  <c r="AC202" i="1"/>
  <c r="AD202" i="1"/>
  <c r="AE202" i="1"/>
  <c r="P59" i="3" s="1"/>
  <c r="AF202" i="1"/>
  <c r="AH212" i="1"/>
  <c r="K203" i="1"/>
  <c r="L203" i="1"/>
  <c r="M203" i="1"/>
  <c r="N203" i="1" s="1"/>
  <c r="Y203" i="1"/>
  <c r="Z203" i="1"/>
  <c r="AB203" i="1"/>
  <c r="AC203" i="1"/>
  <c r="AD203" i="1"/>
  <c r="AE203" i="1"/>
  <c r="AF203" i="1"/>
  <c r="AH213" i="1"/>
  <c r="K204" i="1"/>
  <c r="L204" i="1"/>
  <c r="M204" i="1"/>
  <c r="N204" i="1" s="1"/>
  <c r="Y204" i="1"/>
  <c r="Z204" i="1"/>
  <c r="AB204" i="1"/>
  <c r="AC204" i="1"/>
  <c r="AD204" i="1"/>
  <c r="AE204" i="1"/>
  <c r="AF204" i="1"/>
  <c r="AH214" i="1"/>
  <c r="AH215" i="1"/>
  <c r="K205" i="1"/>
  <c r="L205" i="1"/>
  <c r="M205" i="1"/>
  <c r="N205" i="1" s="1"/>
  <c r="Y205" i="1"/>
  <c r="Z205" i="1"/>
  <c r="AB205" i="1"/>
  <c r="AC205" i="1"/>
  <c r="AD205" i="1"/>
  <c r="AE205" i="1"/>
  <c r="AF205" i="1"/>
  <c r="AH216" i="1"/>
  <c r="K206" i="1"/>
  <c r="L206" i="1"/>
  <c r="M206" i="1"/>
  <c r="N206" i="1" s="1"/>
  <c r="Y206" i="1"/>
  <c r="Z206" i="1"/>
  <c r="AB206" i="1"/>
  <c r="AC206" i="1"/>
  <c r="AD206" i="1"/>
  <c r="AE206" i="1"/>
  <c r="AF206" i="1"/>
  <c r="AH217" i="1"/>
  <c r="K207" i="1"/>
  <c r="L207" i="1"/>
  <c r="M207" i="1"/>
  <c r="N207" i="1" s="1"/>
  <c r="Y207" i="1"/>
  <c r="Z207" i="1"/>
  <c r="AA207" i="1" s="1"/>
  <c r="AB207" i="1"/>
  <c r="AC207" i="1"/>
  <c r="AD207" i="1"/>
  <c r="AE207" i="1"/>
  <c r="AF207" i="1"/>
  <c r="AH218" i="1"/>
  <c r="K208" i="1"/>
  <c r="L208" i="1"/>
  <c r="M208" i="1"/>
  <c r="N208" i="1" s="1"/>
  <c r="Y208" i="1"/>
  <c r="Z208" i="1"/>
  <c r="AB208" i="1"/>
  <c r="AC208" i="1"/>
  <c r="AD208" i="1"/>
  <c r="AE208" i="1"/>
  <c r="AF208" i="1"/>
  <c r="AH219" i="1"/>
  <c r="K209" i="1"/>
  <c r="L209" i="1"/>
  <c r="M209" i="1"/>
  <c r="N209" i="1" s="1"/>
  <c r="Y209" i="1"/>
  <c r="Z209" i="1"/>
  <c r="AB209" i="1"/>
  <c r="AC209" i="1"/>
  <c r="AD209" i="1"/>
  <c r="AE209" i="1"/>
  <c r="AF209" i="1"/>
  <c r="AH220" i="1"/>
  <c r="K210" i="1"/>
  <c r="L210" i="1"/>
  <c r="M210" i="1"/>
  <c r="N210" i="1" s="1"/>
  <c r="Y210" i="1"/>
  <c r="Z210" i="1"/>
  <c r="AB210" i="1"/>
  <c r="AC210" i="1"/>
  <c r="AD210" i="1"/>
  <c r="AE210" i="1"/>
  <c r="AF210" i="1"/>
  <c r="AH221" i="1"/>
  <c r="K221" i="1"/>
  <c r="L221" i="1"/>
  <c r="M221" i="1"/>
  <c r="N221" i="1" s="1"/>
  <c r="Y221" i="1"/>
  <c r="Z221" i="1"/>
  <c r="AB221" i="1"/>
  <c r="AC221" i="1"/>
  <c r="AD221" i="1"/>
  <c r="AG221" i="1" s="1"/>
  <c r="AE221" i="1"/>
  <c r="AF221" i="1"/>
  <c r="AH222" i="1"/>
  <c r="K222" i="1"/>
  <c r="L222" i="1"/>
  <c r="M222" i="1"/>
  <c r="N222" i="1" s="1"/>
  <c r="Y222" i="1"/>
  <c r="Z222" i="1"/>
  <c r="AB222" i="1"/>
  <c r="AC222" i="1"/>
  <c r="AD222" i="1"/>
  <c r="AE222" i="1"/>
  <c r="AF222" i="1"/>
  <c r="AH223" i="1"/>
  <c r="K223" i="1"/>
  <c r="L223" i="1"/>
  <c r="M223" i="1"/>
  <c r="N223" i="1" s="1"/>
  <c r="Y223" i="1"/>
  <c r="Z223" i="1"/>
  <c r="AB223" i="1"/>
  <c r="AC223" i="1"/>
  <c r="AD223" i="1"/>
  <c r="AE223" i="1"/>
  <c r="AF223" i="1"/>
  <c r="AH224" i="1"/>
  <c r="K224" i="1"/>
  <c r="L224" i="1"/>
  <c r="M224" i="1"/>
  <c r="N224" i="1" s="1"/>
  <c r="Y224" i="1"/>
  <c r="Z224" i="1"/>
  <c r="AB224" i="1"/>
  <c r="AC224" i="1"/>
  <c r="AD224" i="1"/>
  <c r="AE224" i="1"/>
  <c r="AF224" i="1"/>
  <c r="AH225" i="1"/>
  <c r="X204" i="1" l="1"/>
  <c r="Q42" i="3"/>
  <c r="X33" i="1"/>
  <c r="X207" i="1"/>
  <c r="X202" i="1"/>
  <c r="X203" i="1"/>
  <c r="P123" i="1"/>
  <c r="X103" i="1"/>
  <c r="X99" i="1"/>
  <c r="X91" i="1"/>
  <c r="X87" i="1"/>
  <c r="P49" i="1"/>
  <c r="AA30" i="1"/>
  <c r="Q19" i="3"/>
  <c r="T33" i="1"/>
  <c r="W160" i="1"/>
  <c r="X206" i="1"/>
  <c r="X205" i="1"/>
  <c r="AG183" i="1"/>
  <c r="T183" i="1"/>
  <c r="X156" i="1"/>
  <c r="X154" i="1"/>
  <c r="X109" i="1"/>
  <c r="X100" i="1"/>
  <c r="AG30" i="1"/>
  <c r="W30" i="1" s="1"/>
  <c r="X104" i="1"/>
  <c r="AG157" i="1"/>
  <c r="X157" i="1"/>
  <c r="P126" i="1"/>
  <c r="P110" i="1"/>
  <c r="AA108" i="1"/>
  <c r="X106" i="1"/>
  <c r="X102" i="1"/>
  <c r="X90" i="1"/>
  <c r="X83" i="1"/>
  <c r="X62" i="1"/>
  <c r="X31" i="1"/>
  <c r="X108" i="1"/>
  <c r="N174" i="1"/>
  <c r="AA224" i="1"/>
  <c r="AA215" i="1"/>
  <c r="W215" i="1" s="1"/>
  <c r="X86" i="1"/>
  <c r="AA52" i="1"/>
  <c r="W52" i="1" s="1"/>
  <c r="X51" i="1"/>
  <c r="AA36" i="1"/>
  <c r="X29" i="1"/>
  <c r="X23" i="1"/>
  <c r="Q36" i="3"/>
  <c r="AA20" i="1"/>
  <c r="AA19" i="1"/>
  <c r="AA18" i="1"/>
  <c r="AA17" i="1"/>
  <c r="AA16" i="1"/>
  <c r="X163" i="1"/>
  <c r="X169" i="1"/>
  <c r="X88" i="1"/>
  <c r="X85" i="1"/>
  <c r="X49" i="1"/>
  <c r="T41" i="1"/>
  <c r="X20" i="1"/>
  <c r="X107" i="1"/>
  <c r="X89" i="1"/>
  <c r="AA73" i="1"/>
  <c r="P62" i="1"/>
  <c r="AA33" i="1"/>
  <c r="AA206" i="1"/>
  <c r="AA197" i="1"/>
  <c r="AA193" i="1"/>
  <c r="AA181" i="1"/>
  <c r="W181" i="1" s="1"/>
  <c r="AA179" i="1"/>
  <c r="AG74" i="1"/>
  <c r="P54" i="1"/>
  <c r="AA47" i="1"/>
  <c r="W47" i="1" s="1"/>
  <c r="AA46" i="1"/>
  <c r="AA45" i="1"/>
  <c r="W45" i="1" s="1"/>
  <c r="AA15" i="1"/>
  <c r="X164" i="1"/>
  <c r="X84" i="1"/>
  <c r="P24" i="1"/>
  <c r="AA195" i="1"/>
  <c r="AA220" i="1"/>
  <c r="W220" i="1" s="1"/>
  <c r="AA154" i="1"/>
  <c r="X78" i="1"/>
  <c r="AA78" i="1"/>
  <c r="AA64" i="1"/>
  <c r="X25" i="1"/>
  <c r="AA162" i="1"/>
  <c r="W162" i="1" s="1"/>
  <c r="N166" i="1"/>
  <c r="AA222" i="1"/>
  <c r="AA184" i="1"/>
  <c r="W184" i="1" s="1"/>
  <c r="AA183" i="1"/>
  <c r="W183" i="1" s="1"/>
  <c r="AA182" i="1"/>
  <c r="W182" i="1" s="1"/>
  <c r="AA171" i="1"/>
  <c r="W171" i="1" s="1"/>
  <c r="AA214" i="1"/>
  <c r="W214" i="1" s="1"/>
  <c r="AA135" i="1"/>
  <c r="AA89" i="1"/>
  <c r="X81" i="1"/>
  <c r="AG71" i="1"/>
  <c r="X67" i="1"/>
  <c r="X66" i="1"/>
  <c r="T52" i="1"/>
  <c r="U52" i="1" s="1"/>
  <c r="S52" i="1" s="1"/>
  <c r="AA35" i="1"/>
  <c r="X28" i="1"/>
  <c r="X24" i="1"/>
  <c r="X16" i="1"/>
  <c r="AA32" i="1"/>
  <c r="AG33" i="1"/>
  <c r="X165" i="1"/>
  <c r="X158" i="1"/>
  <c r="AG163" i="1"/>
  <c r="W163" i="1" s="1"/>
  <c r="X166" i="1"/>
  <c r="X170" i="1"/>
  <c r="X35" i="1"/>
  <c r="X47" i="1"/>
  <c r="U33" i="1"/>
  <c r="S33" i="1" s="1"/>
  <c r="X34" i="1"/>
  <c r="X50" i="1"/>
  <c r="AA192" i="1"/>
  <c r="AA175" i="1"/>
  <c r="W175" i="1" s="1"/>
  <c r="AA225" i="1"/>
  <c r="W225" i="1" s="1"/>
  <c r="AA216" i="1"/>
  <c r="W216" i="1" s="1"/>
  <c r="AA212" i="1"/>
  <c r="W212" i="1" s="1"/>
  <c r="AA147" i="1"/>
  <c r="AG119" i="1"/>
  <c r="U119" i="1" s="1"/>
  <c r="S119" i="1" s="1"/>
  <c r="AA97" i="1"/>
  <c r="AA79" i="1"/>
  <c r="AA67" i="1"/>
  <c r="W67" i="1" s="1"/>
  <c r="AA42" i="1"/>
  <c r="AA27" i="1"/>
  <c r="X30" i="1"/>
  <c r="X26" i="1"/>
  <c r="X22" i="1"/>
  <c r="X161" i="1"/>
  <c r="X162" i="1"/>
  <c r="X172" i="1"/>
  <c r="X168" i="1"/>
  <c r="X37" i="1"/>
  <c r="X32" i="1"/>
  <c r="X159" i="1"/>
  <c r="T160" i="1"/>
  <c r="U160" i="1" s="1"/>
  <c r="S160" i="1" s="1"/>
  <c r="X171" i="1"/>
  <c r="X167" i="1"/>
  <c r="X48" i="1"/>
  <c r="U30" i="1"/>
  <c r="S30" i="1" s="1"/>
  <c r="W32" i="1"/>
  <c r="T166" i="1"/>
  <c r="U166" i="1" s="1"/>
  <c r="S166" i="1" s="1"/>
  <c r="T163" i="1"/>
  <c r="U163" i="1" s="1"/>
  <c r="S163" i="1" s="1"/>
  <c r="T162" i="1"/>
  <c r="U162" i="1" s="1"/>
  <c r="S162" i="1" s="1"/>
  <c r="X160" i="1"/>
  <c r="AG158" i="1"/>
  <c r="T32" i="1"/>
  <c r="U32" i="1" s="1"/>
  <c r="S32" i="1" s="1"/>
  <c r="X18" i="1"/>
  <c r="X21" i="1"/>
  <c r="X17" i="1"/>
  <c r="X19" i="1"/>
  <c r="AG20" i="1"/>
  <c r="AG19" i="1"/>
  <c r="W19" i="1" s="1"/>
  <c r="AG18" i="1"/>
  <c r="AG17" i="1"/>
  <c r="AG16" i="1"/>
  <c r="P42" i="3"/>
  <c r="P35" i="3"/>
  <c r="P18" i="3"/>
  <c r="P19" i="3"/>
  <c r="P37" i="3"/>
  <c r="Q15" i="3"/>
  <c r="X177" i="1"/>
  <c r="AG79" i="1"/>
  <c r="W79" i="1" s="1"/>
  <c r="AA63" i="1"/>
  <c r="AA62" i="1"/>
  <c r="Q56" i="3"/>
  <c r="AA202" i="1"/>
  <c r="AA198" i="1"/>
  <c r="T66" i="1"/>
  <c r="Q31" i="3"/>
  <c r="Q26" i="3"/>
  <c r="T184" i="1"/>
  <c r="AA177" i="1"/>
  <c r="W177" i="1" s="1"/>
  <c r="AA127" i="1"/>
  <c r="AA98" i="1"/>
  <c r="X80" i="1"/>
  <c r="AA75" i="1"/>
  <c r="AA34" i="1"/>
  <c r="AA31" i="1"/>
  <c r="W31" i="1" s="1"/>
  <c r="AA23" i="1"/>
  <c r="AA22" i="1"/>
  <c r="W22" i="1" s="1"/>
  <c r="Q53" i="3"/>
  <c r="Q55" i="3"/>
  <c r="P30" i="3"/>
  <c r="Q32" i="3"/>
  <c r="P39" i="3"/>
  <c r="AA53" i="1"/>
  <c r="AA49" i="1"/>
  <c r="P28" i="3"/>
  <c r="P55" i="3"/>
  <c r="P26" i="3"/>
  <c r="Q45" i="3"/>
  <c r="W35" i="1"/>
  <c r="AG63" i="1"/>
  <c r="U63" i="1" s="1"/>
  <c r="AA221" i="1"/>
  <c r="W221" i="1" s="1"/>
  <c r="AG186" i="1"/>
  <c r="U186" i="1" s="1"/>
  <c r="S186" i="1" s="1"/>
  <c r="AA168" i="1"/>
  <c r="W168" i="1" s="1"/>
  <c r="AA219" i="1"/>
  <c r="W219" i="1" s="1"/>
  <c r="AA119" i="1"/>
  <c r="W119" i="1" s="1"/>
  <c r="AG98" i="1"/>
  <c r="X98" i="1"/>
  <c r="AA83" i="1"/>
  <c r="AA80" i="1"/>
  <c r="AG77" i="1"/>
  <c r="AG72" i="1"/>
  <c r="X72" i="1"/>
  <c r="AG66" i="1"/>
  <c r="AA24" i="1"/>
  <c r="W24" i="1" s="1"/>
  <c r="Q13" i="3"/>
  <c r="P53" i="3"/>
  <c r="P31" i="3"/>
  <c r="Q57" i="3"/>
  <c r="P56" i="3"/>
  <c r="P21" i="3"/>
  <c r="Q20" i="3"/>
  <c r="P45" i="3"/>
  <c r="AA201" i="1"/>
  <c r="AA189" i="1"/>
  <c r="AA188" i="1"/>
  <c r="AA187" i="1"/>
  <c r="AA173" i="1"/>
  <c r="W173" i="1" s="1"/>
  <c r="AA172" i="1"/>
  <c r="W172" i="1" s="1"/>
  <c r="AA167" i="1"/>
  <c r="W167" i="1" s="1"/>
  <c r="AA164" i="1"/>
  <c r="W164" i="1" s="1"/>
  <c r="AA161" i="1"/>
  <c r="W161" i="1" s="1"/>
  <c r="AA159" i="1"/>
  <c r="W159" i="1" s="1"/>
  <c r="AA143" i="1"/>
  <c r="AA142" i="1"/>
  <c r="AA141" i="1"/>
  <c r="AA131" i="1"/>
  <c r="AA55" i="1"/>
  <c r="AA50" i="1"/>
  <c r="AA37" i="1"/>
  <c r="W37" i="1" s="1"/>
  <c r="P57" i="3"/>
  <c r="Q18" i="3"/>
  <c r="AG185" i="1"/>
  <c r="X185" i="1"/>
  <c r="T111" i="1"/>
  <c r="AG111" i="1"/>
  <c r="W179" i="1"/>
  <c r="AA169" i="1"/>
  <c r="W169" i="1" s="1"/>
  <c r="T85" i="1"/>
  <c r="AG85" i="1"/>
  <c r="T83" i="1"/>
  <c r="AG83" i="1"/>
  <c r="AA208" i="1"/>
  <c r="AG178" i="1"/>
  <c r="T178" i="1"/>
  <c r="AA178" i="1"/>
  <c r="T69" i="1"/>
  <c r="U69" i="1" s="1"/>
  <c r="S69" i="1" s="1"/>
  <c r="X69" i="1"/>
  <c r="AG69" i="1"/>
  <c r="T64" i="1"/>
  <c r="X64" i="1"/>
  <c r="AG64" i="1"/>
  <c r="AG176" i="1"/>
  <c r="T176" i="1"/>
  <c r="X179" i="1"/>
  <c r="AA203" i="1"/>
  <c r="AA196" i="1"/>
  <c r="AA194" i="1"/>
  <c r="AA185" i="1"/>
  <c r="AA176" i="1"/>
  <c r="T113" i="1"/>
  <c r="X113" i="1"/>
  <c r="AG113" i="1"/>
  <c r="T92" i="1"/>
  <c r="AG92" i="1"/>
  <c r="AG50" i="1"/>
  <c r="AA137" i="1"/>
  <c r="AA129" i="1"/>
  <c r="AA112" i="1"/>
  <c r="AA107" i="1"/>
  <c r="AA96" i="1"/>
  <c r="AA82" i="1"/>
  <c r="T81" i="1"/>
  <c r="AA72" i="1"/>
  <c r="W72" i="1" s="1"/>
  <c r="AA68" i="1"/>
  <c r="W68" i="1" s="1"/>
  <c r="AA48" i="1"/>
  <c r="W48" i="1" s="1"/>
  <c r="AA38" i="1"/>
  <c r="AA26" i="1"/>
  <c r="W26" i="1" s="1"/>
  <c r="AA210" i="1"/>
  <c r="AA209" i="1"/>
  <c r="AA204" i="1"/>
  <c r="AA200" i="1"/>
  <c r="AA199" i="1"/>
  <c r="AA186" i="1"/>
  <c r="AA180" i="1"/>
  <c r="W180" i="1" s="1"/>
  <c r="AA174" i="1"/>
  <c r="W174" i="1" s="1"/>
  <c r="AA170" i="1"/>
  <c r="W170" i="1" s="1"/>
  <c r="AA165" i="1"/>
  <c r="W165" i="1" s="1"/>
  <c r="AA218" i="1"/>
  <c r="W218" i="1" s="1"/>
  <c r="AA211" i="1"/>
  <c r="W211" i="1" s="1"/>
  <c r="AA151" i="1"/>
  <c r="AA133" i="1"/>
  <c r="AA125" i="1"/>
  <c r="AA124" i="1"/>
  <c r="AG123" i="1"/>
  <c r="U123" i="1" s="1"/>
  <c r="S123" i="1" s="1"/>
  <c r="X121" i="1"/>
  <c r="AA120" i="1"/>
  <c r="AA113" i="1"/>
  <c r="AA111" i="1"/>
  <c r="AG107" i="1"/>
  <c r="U107" i="1" s="1"/>
  <c r="S107" i="1" s="1"/>
  <c r="AA105" i="1"/>
  <c r="AG96" i="1"/>
  <c r="U96" i="1" s="1"/>
  <c r="S96" i="1" s="1"/>
  <c r="X93" i="1"/>
  <c r="AA92" i="1"/>
  <c r="AA85" i="1"/>
  <c r="AG84" i="1"/>
  <c r="U84" i="1" s="1"/>
  <c r="S84" i="1" s="1"/>
  <c r="AG81" i="1"/>
  <c r="AA76" i="1"/>
  <c r="AA71" i="1"/>
  <c r="W71" i="1" s="1"/>
  <c r="AA70" i="1"/>
  <c r="X68" i="1"/>
  <c r="X65" i="1"/>
  <c r="AA65" i="1"/>
  <c r="AA60" i="1"/>
  <c r="W60" i="1" s="1"/>
  <c r="AA59" i="1"/>
  <c r="AA58" i="1"/>
  <c r="W58" i="1" s="1"/>
  <c r="AA57" i="1"/>
  <c r="AA56" i="1"/>
  <c r="W56" i="1" s="1"/>
  <c r="AA54" i="1"/>
  <c r="W54" i="1" s="1"/>
  <c r="T48" i="1"/>
  <c r="U48" i="1" s="1"/>
  <c r="S48" i="1" s="1"/>
  <c r="AA44" i="1"/>
  <c r="AA43" i="1"/>
  <c r="W43" i="1" s="1"/>
  <c r="AA41" i="1"/>
  <c r="W41" i="1" s="1"/>
  <c r="AA40" i="1"/>
  <c r="AA39" i="1"/>
  <c r="W39" i="1" s="1"/>
  <c r="AA28" i="1"/>
  <c r="W28" i="1" s="1"/>
  <c r="T173" i="1"/>
  <c r="U173" i="1" s="1"/>
  <c r="S173" i="1" s="1"/>
  <c r="T171" i="1"/>
  <c r="T169" i="1"/>
  <c r="U169" i="1" s="1"/>
  <c r="S169" i="1" s="1"/>
  <c r="T165" i="1"/>
  <c r="U165" i="1" s="1"/>
  <c r="S165" i="1" s="1"/>
  <c r="T220" i="1"/>
  <c r="U220" i="1" s="1"/>
  <c r="S220" i="1" s="1"/>
  <c r="T219" i="1"/>
  <c r="U219" i="1" s="1"/>
  <c r="S219" i="1" s="1"/>
  <c r="T217" i="1"/>
  <c r="U217" i="1" s="1"/>
  <c r="S217" i="1" s="1"/>
  <c r="T216" i="1"/>
  <c r="U216" i="1" s="1"/>
  <c r="S216" i="1" s="1"/>
  <c r="AG187" i="1"/>
  <c r="U187" i="1" s="1"/>
  <c r="S187" i="1" s="1"/>
  <c r="AA223" i="1"/>
  <c r="AA205" i="1"/>
  <c r="AA191" i="1"/>
  <c r="X186" i="1"/>
  <c r="X183" i="1"/>
  <c r="T180" i="1"/>
  <c r="U180" i="1" s="1"/>
  <c r="S180" i="1" s="1"/>
  <c r="T179" i="1"/>
  <c r="U179" i="1" s="1"/>
  <c r="S179" i="1" s="1"/>
  <c r="X175" i="1"/>
  <c r="X173" i="1"/>
  <c r="X225" i="1"/>
  <c r="X219" i="1"/>
  <c r="X217" i="1"/>
  <c r="X215" i="1"/>
  <c r="X213" i="1"/>
  <c r="T161" i="1"/>
  <c r="AA156" i="1"/>
  <c r="AA153" i="1"/>
  <c r="AA149" i="1"/>
  <c r="AA145" i="1"/>
  <c r="T115" i="1"/>
  <c r="X115" i="1"/>
  <c r="AG115" i="1"/>
  <c r="T114" i="1"/>
  <c r="X114" i="1"/>
  <c r="AG114" i="1"/>
  <c r="T88" i="1"/>
  <c r="AG88" i="1"/>
  <c r="T82" i="1"/>
  <c r="X82" i="1"/>
  <c r="AG82" i="1"/>
  <c r="X75" i="1"/>
  <c r="AG75" i="1"/>
  <c r="W75" i="1" s="1"/>
  <c r="AA190" i="1"/>
  <c r="T182" i="1"/>
  <c r="U182" i="1" s="1"/>
  <c r="S182" i="1" s="1"/>
  <c r="T181" i="1"/>
  <c r="U181" i="1" s="1"/>
  <c r="S181" i="1" s="1"/>
  <c r="T211" i="1"/>
  <c r="U211" i="1" s="1"/>
  <c r="S211" i="1" s="1"/>
  <c r="AA157" i="1"/>
  <c r="W157" i="1" s="1"/>
  <c r="T157" i="1"/>
  <c r="U157" i="1" s="1"/>
  <c r="S157" i="1" s="1"/>
  <c r="AA155" i="1"/>
  <c r="AA152" i="1"/>
  <c r="AA148" i="1"/>
  <c r="AA139" i="1"/>
  <c r="T100" i="1"/>
  <c r="AG100" i="1"/>
  <c r="AG99" i="1"/>
  <c r="T99" i="1"/>
  <c r="U72" i="1"/>
  <c r="S72" i="1" s="1"/>
  <c r="T174" i="1"/>
  <c r="U174" i="1" s="1"/>
  <c r="S174" i="1" s="1"/>
  <c r="T168" i="1"/>
  <c r="U168" i="1" s="1"/>
  <c r="S168" i="1" s="1"/>
  <c r="T167" i="1"/>
  <c r="U167" i="1" s="1"/>
  <c r="S167" i="1" s="1"/>
  <c r="T225" i="1"/>
  <c r="U225" i="1" s="1"/>
  <c r="S225" i="1" s="1"/>
  <c r="T175" i="1"/>
  <c r="U175" i="1" s="1"/>
  <c r="S175" i="1" s="1"/>
  <c r="T172" i="1"/>
  <c r="U172" i="1" s="1"/>
  <c r="S172" i="1" s="1"/>
  <c r="T170" i="1"/>
  <c r="U170" i="1" s="1"/>
  <c r="S170" i="1" s="1"/>
  <c r="T218" i="1"/>
  <c r="U218" i="1" s="1"/>
  <c r="S218" i="1" s="1"/>
  <c r="T215" i="1"/>
  <c r="U215" i="1" s="1"/>
  <c r="S215" i="1" s="1"/>
  <c r="T214" i="1"/>
  <c r="U214" i="1" s="1"/>
  <c r="S214" i="1" s="1"/>
  <c r="T213" i="1"/>
  <c r="T185" i="1"/>
  <c r="U185" i="1" s="1"/>
  <c r="S185" i="1" s="1"/>
  <c r="X181" i="1"/>
  <c r="T177" i="1"/>
  <c r="U177" i="1" s="1"/>
  <c r="S177" i="1" s="1"/>
  <c r="X211" i="1"/>
  <c r="AA150" i="1"/>
  <c r="AA146" i="1"/>
  <c r="X122" i="1"/>
  <c r="T110" i="1"/>
  <c r="T103" i="1"/>
  <c r="AG103" i="1"/>
  <c r="X92" i="1"/>
  <c r="T91" i="1"/>
  <c r="X76" i="1"/>
  <c r="X77" i="1"/>
  <c r="AG76" i="1"/>
  <c r="U76" i="1" s="1"/>
  <c r="S76" i="1" s="1"/>
  <c r="T73" i="1"/>
  <c r="X74" i="1"/>
  <c r="X73" i="1"/>
  <c r="AG73" i="1"/>
  <c r="W73" i="1" s="1"/>
  <c r="U71" i="1"/>
  <c r="S71" i="1" s="1"/>
  <c r="T70" i="1"/>
  <c r="X70" i="1"/>
  <c r="AG70" i="1"/>
  <c r="X71" i="1"/>
  <c r="T58" i="1"/>
  <c r="T47" i="1"/>
  <c r="U47" i="1" s="1"/>
  <c r="S47" i="1" s="1"/>
  <c r="T31" i="1"/>
  <c r="U31" i="1" s="1"/>
  <c r="S31" i="1" s="1"/>
  <c r="T22" i="1"/>
  <c r="U22" i="1" s="1"/>
  <c r="S22" i="1" s="1"/>
  <c r="AA144" i="1"/>
  <c r="AA140" i="1"/>
  <c r="AA136" i="1"/>
  <c r="AA132" i="1"/>
  <c r="AA128" i="1"/>
  <c r="AA121" i="1"/>
  <c r="AA115" i="1"/>
  <c r="AA109" i="1"/>
  <c r="T106" i="1"/>
  <c r="AA104" i="1"/>
  <c r="AA93" i="1"/>
  <c r="T80" i="1"/>
  <c r="T78" i="1"/>
  <c r="AA77" i="1"/>
  <c r="W77" i="1" s="1"/>
  <c r="AA74" i="1"/>
  <c r="W74" i="1" s="1"/>
  <c r="T65" i="1"/>
  <c r="T62" i="1"/>
  <c r="X60" i="1"/>
  <c r="T56" i="1"/>
  <c r="U56" i="1" s="1"/>
  <c r="S56" i="1" s="1"/>
  <c r="X54" i="1"/>
  <c r="T50" i="1"/>
  <c r="T45" i="1"/>
  <c r="U45" i="1" s="1"/>
  <c r="S45" i="1" s="1"/>
  <c r="T43" i="1"/>
  <c r="U43" i="1" s="1"/>
  <c r="S43" i="1" s="1"/>
  <c r="T37" i="1"/>
  <c r="T28" i="1"/>
  <c r="U28" i="1" s="1"/>
  <c r="S28" i="1" s="1"/>
  <c r="AA25" i="1"/>
  <c r="AA14" i="1"/>
  <c r="X95" i="1"/>
  <c r="T68" i="1"/>
  <c r="U68" i="1" s="1"/>
  <c r="S68" i="1" s="1"/>
  <c r="T67" i="1"/>
  <c r="U67" i="1" s="1"/>
  <c r="S67" i="1" s="1"/>
  <c r="X58" i="1"/>
  <c r="T26" i="1"/>
  <c r="U26" i="1" s="1"/>
  <c r="S26" i="1" s="1"/>
  <c r="AA138" i="1"/>
  <c r="AA134" i="1"/>
  <c r="AA130" i="1"/>
  <c r="AA126" i="1"/>
  <c r="AA103" i="1"/>
  <c r="AA100" i="1"/>
  <c r="AA94" i="1"/>
  <c r="AA88" i="1"/>
  <c r="AA86" i="1"/>
  <c r="AA84" i="1"/>
  <c r="AA81" i="1"/>
  <c r="AG80" i="1"/>
  <c r="X79" i="1"/>
  <c r="AG78" i="1"/>
  <c r="AA69" i="1"/>
  <c r="W69" i="1" s="1"/>
  <c r="AA66" i="1"/>
  <c r="AG65" i="1"/>
  <c r="X63" i="1"/>
  <c r="AG62" i="1"/>
  <c r="W62" i="1" s="1"/>
  <c r="T60" i="1"/>
  <c r="T54" i="1"/>
  <c r="U54" i="1" s="1"/>
  <c r="S54" i="1" s="1"/>
  <c r="AA51" i="1"/>
  <c r="T39" i="1"/>
  <c r="U39" i="1" s="1"/>
  <c r="S39" i="1" s="1"/>
  <c r="T35" i="1"/>
  <c r="AA29" i="1"/>
  <c r="T24" i="1"/>
  <c r="U24" i="1" s="1"/>
  <c r="S24" i="1" s="1"/>
  <c r="AA21" i="1"/>
  <c r="T205" i="1"/>
  <c r="T209" i="1"/>
  <c r="X209" i="1"/>
  <c r="AG209" i="1"/>
  <c r="T154" i="1"/>
  <c r="AG154" i="1"/>
  <c r="T151" i="1"/>
  <c r="X151" i="1"/>
  <c r="AG151" i="1"/>
  <c r="X147" i="1"/>
  <c r="AG147" i="1"/>
  <c r="U147" i="1" s="1"/>
  <c r="S147" i="1" s="1"/>
  <c r="T143" i="1"/>
  <c r="X143" i="1"/>
  <c r="AG143" i="1"/>
  <c r="T139" i="1"/>
  <c r="X139" i="1"/>
  <c r="AG139" i="1"/>
  <c r="T135" i="1"/>
  <c r="X135" i="1"/>
  <c r="AG135" i="1"/>
  <c r="W135" i="1" s="1"/>
  <c r="T131" i="1"/>
  <c r="X131" i="1"/>
  <c r="AG131" i="1"/>
  <c r="T127" i="1"/>
  <c r="X127" i="1"/>
  <c r="AG127" i="1"/>
  <c r="AA123" i="1"/>
  <c r="T87" i="1"/>
  <c r="AG87" i="1"/>
  <c r="T223" i="1"/>
  <c r="X223" i="1"/>
  <c r="T207" i="1"/>
  <c r="AG207" i="1"/>
  <c r="AG205" i="1"/>
  <c r="T224" i="1"/>
  <c r="X224" i="1"/>
  <c r="T210" i="1"/>
  <c r="X210" i="1"/>
  <c r="T206" i="1"/>
  <c r="T204" i="1"/>
  <c r="AG204" i="1"/>
  <c r="T203" i="1"/>
  <c r="AG203" i="1"/>
  <c r="T202" i="1"/>
  <c r="AG202" i="1"/>
  <c r="T201" i="1"/>
  <c r="X201" i="1"/>
  <c r="AG201" i="1"/>
  <c r="T200" i="1"/>
  <c r="X200" i="1"/>
  <c r="AG200" i="1"/>
  <c r="T199" i="1"/>
  <c r="X199" i="1"/>
  <c r="AG199" i="1"/>
  <c r="T198" i="1"/>
  <c r="X198" i="1"/>
  <c r="AG198" i="1"/>
  <c r="T197" i="1"/>
  <c r="X197" i="1"/>
  <c r="AG197" i="1"/>
  <c r="T196" i="1"/>
  <c r="X196" i="1"/>
  <c r="AG196" i="1"/>
  <c r="T195" i="1"/>
  <c r="X195" i="1"/>
  <c r="AG195" i="1"/>
  <c r="T194" i="1"/>
  <c r="X194" i="1"/>
  <c r="AG194" i="1"/>
  <c r="T193" i="1"/>
  <c r="X193" i="1"/>
  <c r="AG193" i="1"/>
  <c r="T192" i="1"/>
  <c r="X192" i="1"/>
  <c r="AG192" i="1"/>
  <c r="T191" i="1"/>
  <c r="X191" i="1"/>
  <c r="AG191" i="1"/>
  <c r="T190" i="1"/>
  <c r="X190" i="1"/>
  <c r="AG190" i="1"/>
  <c r="T189" i="1"/>
  <c r="X189" i="1"/>
  <c r="AG189" i="1"/>
  <c r="T188" i="1"/>
  <c r="X188" i="1"/>
  <c r="AG188" i="1"/>
  <c r="AG102" i="1"/>
  <c r="T102" i="1"/>
  <c r="T221" i="1"/>
  <c r="U221" i="1" s="1"/>
  <c r="S221" i="1" s="1"/>
  <c r="X221" i="1"/>
  <c r="AG223" i="1"/>
  <c r="T222" i="1"/>
  <c r="X222" i="1"/>
  <c r="T208" i="1"/>
  <c r="X208" i="1"/>
  <c r="AG224" i="1"/>
  <c r="AG222" i="1"/>
  <c r="AG210" i="1"/>
  <c r="AG208" i="1"/>
  <c r="AG206" i="1"/>
  <c r="U184" i="1"/>
  <c r="S184" i="1" s="1"/>
  <c r="T150" i="1"/>
  <c r="X150" i="1"/>
  <c r="AG150" i="1"/>
  <c r="T146" i="1"/>
  <c r="X146" i="1"/>
  <c r="AG146" i="1"/>
  <c r="T142" i="1"/>
  <c r="X142" i="1"/>
  <c r="AG142" i="1"/>
  <c r="T138" i="1"/>
  <c r="X138" i="1"/>
  <c r="AG138" i="1"/>
  <c r="T134" i="1"/>
  <c r="X134" i="1"/>
  <c r="AG134" i="1"/>
  <c r="T130" i="1"/>
  <c r="X130" i="1"/>
  <c r="AG130" i="1"/>
  <c r="T126" i="1"/>
  <c r="X126" i="1"/>
  <c r="AG126" i="1"/>
  <c r="X116" i="1"/>
  <c r="AG116" i="1"/>
  <c r="T116" i="1"/>
  <c r="U98" i="1"/>
  <c r="S98" i="1" s="1"/>
  <c r="AG90" i="1"/>
  <c r="T90" i="1"/>
  <c r="T212" i="1"/>
  <c r="U212" i="1" s="1"/>
  <c r="S212" i="1" s="1"/>
  <c r="T164" i="1"/>
  <c r="U164" i="1" s="1"/>
  <c r="S164" i="1" s="1"/>
  <c r="T159" i="1"/>
  <c r="U159" i="1" s="1"/>
  <c r="S159" i="1" s="1"/>
  <c r="T156" i="1"/>
  <c r="AG156" i="1"/>
  <c r="T153" i="1"/>
  <c r="X153" i="1"/>
  <c r="AG153" i="1"/>
  <c r="T149" i="1"/>
  <c r="X149" i="1"/>
  <c r="AG149" i="1"/>
  <c r="T145" i="1"/>
  <c r="X145" i="1"/>
  <c r="AG145" i="1"/>
  <c r="T141" i="1"/>
  <c r="X141" i="1"/>
  <c r="AG141" i="1"/>
  <c r="T137" i="1"/>
  <c r="X137" i="1"/>
  <c r="AG137" i="1"/>
  <c r="T133" i="1"/>
  <c r="X133" i="1"/>
  <c r="AG133" i="1"/>
  <c r="T129" i="1"/>
  <c r="X129" i="1"/>
  <c r="AG129" i="1"/>
  <c r="T125" i="1"/>
  <c r="X125" i="1"/>
  <c r="AG125" i="1"/>
  <c r="T118" i="1"/>
  <c r="X118" i="1"/>
  <c r="AG118" i="1"/>
  <c r="X119" i="1"/>
  <c r="AG101" i="1"/>
  <c r="T101" i="1"/>
  <c r="X187" i="1"/>
  <c r="X184" i="1"/>
  <c r="X182" i="1"/>
  <c r="X180" i="1"/>
  <c r="X178" i="1"/>
  <c r="X176" i="1"/>
  <c r="X174" i="1"/>
  <c r="U171" i="1"/>
  <c r="S171" i="1" s="1"/>
  <c r="X220" i="1"/>
  <c r="X218" i="1"/>
  <c r="X216" i="1"/>
  <c r="X214" i="1"/>
  <c r="U213" i="1"/>
  <c r="S213" i="1" s="1"/>
  <c r="X212" i="1"/>
  <c r="U161" i="1"/>
  <c r="S161" i="1" s="1"/>
  <c r="T155" i="1"/>
  <c r="AG155" i="1"/>
  <c r="T152" i="1"/>
  <c r="X152" i="1"/>
  <c r="AG152" i="1"/>
  <c r="T148" i="1"/>
  <c r="X148" i="1"/>
  <c r="AG148" i="1"/>
  <c r="T144" i="1"/>
  <c r="X144" i="1"/>
  <c r="AG144" i="1"/>
  <c r="T140" i="1"/>
  <c r="X140" i="1"/>
  <c r="AG140" i="1"/>
  <c r="T136" i="1"/>
  <c r="X136" i="1"/>
  <c r="AG136" i="1"/>
  <c r="T132" i="1"/>
  <c r="X132" i="1"/>
  <c r="AG132" i="1"/>
  <c r="T128" i="1"/>
  <c r="X128" i="1"/>
  <c r="AG128" i="1"/>
  <c r="X117" i="1"/>
  <c r="AG117" i="1"/>
  <c r="T121" i="1"/>
  <c r="X120" i="1"/>
  <c r="AG120" i="1"/>
  <c r="T105" i="1"/>
  <c r="AG104" i="1"/>
  <c r="X94" i="1"/>
  <c r="AG94" i="1"/>
  <c r="U77" i="1"/>
  <c r="S77" i="1" s="1"/>
  <c r="AG44" i="1"/>
  <c r="X44" i="1"/>
  <c r="T44" i="1"/>
  <c r="X45" i="1"/>
  <c r="X124" i="1"/>
  <c r="AG124" i="1"/>
  <c r="X123" i="1"/>
  <c r="AG122" i="1"/>
  <c r="AG121" i="1"/>
  <c r="T109" i="1"/>
  <c r="AG108" i="1"/>
  <c r="W108" i="1" s="1"/>
  <c r="AG106" i="1"/>
  <c r="AG105" i="1"/>
  <c r="AG91" i="1"/>
  <c r="AG51" i="1"/>
  <c r="T51" i="1"/>
  <c r="X52" i="1"/>
  <c r="AA117" i="1"/>
  <c r="AA116" i="1"/>
  <c r="W116" i="1" s="1"/>
  <c r="X112" i="1"/>
  <c r="AG112" i="1"/>
  <c r="X111" i="1"/>
  <c r="AG110" i="1"/>
  <c r="AG109" i="1"/>
  <c r="AA102" i="1"/>
  <c r="AA101" i="1"/>
  <c r="X97" i="1"/>
  <c r="AG97" i="1"/>
  <c r="X96" i="1"/>
  <c r="AG95" i="1"/>
  <c r="AA90" i="1"/>
  <c r="AG59" i="1"/>
  <c r="X59" i="1"/>
  <c r="T59" i="1"/>
  <c r="T93" i="1"/>
  <c r="T89" i="1"/>
  <c r="W88" i="1"/>
  <c r="T86" i="1"/>
  <c r="AG55" i="1"/>
  <c r="X55" i="1"/>
  <c r="AA122" i="1"/>
  <c r="AA118" i="1"/>
  <c r="AA114" i="1"/>
  <c r="AA110" i="1"/>
  <c r="AA106" i="1"/>
  <c r="AA99" i="1"/>
  <c r="AA95" i="1"/>
  <c r="AG93" i="1"/>
  <c r="AA91" i="1"/>
  <c r="AG89" i="1"/>
  <c r="AA87" i="1"/>
  <c r="AG86" i="1"/>
  <c r="U74" i="1"/>
  <c r="S74" i="1" s="1"/>
  <c r="X56" i="1"/>
  <c r="AG42" i="1"/>
  <c r="X42" i="1"/>
  <c r="T42" i="1"/>
  <c r="AG40" i="1"/>
  <c r="X40" i="1"/>
  <c r="T40" i="1"/>
  <c r="AG38" i="1"/>
  <c r="X38" i="1"/>
  <c r="T38" i="1"/>
  <c r="AG36" i="1"/>
  <c r="T36" i="1"/>
  <c r="AG34" i="1"/>
  <c r="T34" i="1"/>
  <c r="AG27" i="1"/>
  <c r="T27" i="1"/>
  <c r="AG23" i="1"/>
  <c r="T23" i="1"/>
  <c r="AG15" i="1"/>
  <c r="T15" i="1"/>
  <c r="AG61" i="1"/>
  <c r="X61" i="1"/>
  <c r="T61" i="1"/>
  <c r="AG57" i="1"/>
  <c r="X57" i="1"/>
  <c r="T57" i="1"/>
  <c r="AG53" i="1"/>
  <c r="X53" i="1"/>
  <c r="T53" i="1"/>
  <c r="AG49" i="1"/>
  <c r="T49" i="1"/>
  <c r="AG46" i="1"/>
  <c r="X46" i="1"/>
  <c r="T46" i="1"/>
  <c r="X43" i="1"/>
  <c r="X41" i="1"/>
  <c r="X39" i="1"/>
  <c r="AG29" i="1"/>
  <c r="T29" i="1"/>
  <c r="AG25" i="1"/>
  <c r="T25" i="1"/>
  <c r="AG21" i="1"/>
  <c r="T21" i="1"/>
  <c r="U60" i="1"/>
  <c r="U58" i="1"/>
  <c r="S58" i="1" s="1"/>
  <c r="U41" i="1"/>
  <c r="S41" i="1" s="1"/>
  <c r="U37" i="1"/>
  <c r="S37" i="1" s="1"/>
  <c r="U35" i="1"/>
  <c r="S35" i="1" s="1"/>
  <c r="T14" i="1"/>
  <c r="AG14" i="1"/>
  <c r="L44" i="3"/>
  <c r="S44" i="3"/>
  <c r="R44" i="3" s="1"/>
  <c r="T44" i="3"/>
  <c r="U44" i="3"/>
  <c r="V44" i="3"/>
  <c r="W40" i="1" l="1"/>
  <c r="W82" i="1"/>
  <c r="W85" i="1"/>
  <c r="W101" i="1"/>
  <c r="W50" i="1"/>
  <c r="U183" i="1"/>
  <c r="S183" i="1" s="1"/>
  <c r="W33" i="1"/>
  <c r="U66" i="1"/>
  <c r="S66" i="1" s="1"/>
  <c r="W16" i="1"/>
  <c r="W154" i="1"/>
  <c r="W147" i="1"/>
  <c r="W151" i="1"/>
  <c r="W78" i="1"/>
  <c r="U114" i="1"/>
  <c r="S114" i="1" s="1"/>
  <c r="W34" i="1"/>
  <c r="U62" i="1"/>
  <c r="S62" i="1" s="1"/>
  <c r="W80" i="1"/>
  <c r="W98" i="1"/>
  <c r="W63" i="1"/>
  <c r="W139" i="1"/>
  <c r="W44" i="1"/>
  <c r="W99" i="1"/>
  <c r="W81" i="1"/>
  <c r="W103" i="1"/>
  <c r="U85" i="1"/>
  <c r="S85" i="1" s="1"/>
  <c r="W87" i="1"/>
  <c r="U176" i="1"/>
  <c r="S176" i="1" s="1"/>
  <c r="W83" i="1"/>
  <c r="W127" i="1"/>
  <c r="W114" i="1"/>
  <c r="W190" i="1"/>
  <c r="W123" i="1"/>
  <c r="W131" i="1"/>
  <c r="W65" i="1"/>
  <c r="W100" i="1"/>
  <c r="U79" i="1"/>
  <c r="S79" i="1" s="1"/>
  <c r="U64" i="1"/>
  <c r="S64" i="1" s="1"/>
  <c r="W21" i="1"/>
  <c r="W91" i="1"/>
  <c r="W118" i="1"/>
  <c r="W109" i="1"/>
  <c r="W143" i="1"/>
  <c r="W66" i="1"/>
  <c r="U158" i="1"/>
  <c r="S158" i="1" s="1"/>
  <c r="W158" i="1"/>
  <c r="U18" i="1"/>
  <c r="S18" i="1" s="1"/>
  <c r="U19" i="1"/>
  <c r="S19" i="1" s="1"/>
  <c r="U16" i="1"/>
  <c r="S16" i="1" s="1"/>
  <c r="U20" i="1"/>
  <c r="S20" i="1" s="1"/>
  <c r="W20" i="1"/>
  <c r="U17" i="1"/>
  <c r="S17" i="1" s="1"/>
  <c r="W18" i="1"/>
  <c r="W17" i="1"/>
  <c r="U100" i="1"/>
  <c r="S100" i="1" s="1"/>
  <c r="U115" i="1"/>
  <c r="S115" i="1" s="1"/>
  <c r="W113" i="1"/>
  <c r="U178" i="1"/>
  <c r="S178" i="1" s="1"/>
  <c r="W70" i="1"/>
  <c r="U103" i="1"/>
  <c r="S103" i="1" s="1"/>
  <c r="W122" i="1"/>
  <c r="U88" i="1"/>
  <c r="S88" i="1" s="1"/>
  <c r="W186" i="1"/>
  <c r="W185" i="1"/>
  <c r="W29" i="1"/>
  <c r="W38" i="1"/>
  <c r="U70" i="1"/>
  <c r="S70" i="1" s="1"/>
  <c r="W86" i="1"/>
  <c r="W209" i="1"/>
  <c r="W107" i="1"/>
  <c r="U99" i="1"/>
  <c r="S99" i="1" s="1"/>
  <c r="U73" i="1"/>
  <c r="S73" i="1" s="1"/>
  <c r="W121" i="1"/>
  <c r="W59" i="1"/>
  <c r="U81" i="1"/>
  <c r="S81" i="1" s="1"/>
  <c r="W96" i="1"/>
  <c r="U92" i="1"/>
  <c r="S92" i="1" s="1"/>
  <c r="U113" i="1"/>
  <c r="S113" i="1" s="1"/>
  <c r="W178" i="1"/>
  <c r="W64" i="1"/>
  <c r="W111" i="1"/>
  <c r="U50" i="1"/>
  <c r="W51" i="1"/>
  <c r="W84" i="1"/>
  <c r="U65" i="1"/>
  <c r="U80" i="1"/>
  <c r="S80" i="1" s="1"/>
  <c r="W115" i="1"/>
  <c r="U83" i="1"/>
  <c r="S83" i="1" s="1"/>
  <c r="W106" i="1"/>
  <c r="U82" i="1"/>
  <c r="S82" i="1" s="1"/>
  <c r="W102" i="1"/>
  <c r="W105" i="1"/>
  <c r="W176" i="1"/>
  <c r="W92" i="1"/>
  <c r="U78" i="1"/>
  <c r="S78" i="1" s="1"/>
  <c r="U111" i="1"/>
  <c r="W117" i="1"/>
  <c r="W76" i="1"/>
  <c r="U75" i="1"/>
  <c r="S75" i="1" s="1"/>
  <c r="W95" i="1"/>
  <c r="W110" i="1"/>
  <c r="W90" i="1"/>
  <c r="W187" i="1"/>
  <c r="U14" i="1"/>
  <c r="S14" i="1" s="1"/>
  <c r="U29" i="1"/>
  <c r="S29" i="1" s="1"/>
  <c r="U49" i="1"/>
  <c r="W49" i="1"/>
  <c r="U15" i="1"/>
  <c r="S15" i="1" s="1"/>
  <c r="U36" i="1"/>
  <c r="S36" i="1" s="1"/>
  <c r="U89" i="1"/>
  <c r="S89" i="1" s="1"/>
  <c r="U109" i="1"/>
  <c r="S109" i="1" s="1"/>
  <c r="U112" i="1"/>
  <c r="S112" i="1" s="1"/>
  <c r="W112" i="1"/>
  <c r="U122" i="1"/>
  <c r="S122" i="1" s="1"/>
  <c r="U44" i="1"/>
  <c r="S44" i="1" s="1"/>
  <c r="U120" i="1"/>
  <c r="S120" i="1" s="1"/>
  <c r="U128" i="1"/>
  <c r="S128" i="1" s="1"/>
  <c r="U132" i="1"/>
  <c r="S132" i="1" s="1"/>
  <c r="U136" i="1"/>
  <c r="S136" i="1" s="1"/>
  <c r="U140" i="1"/>
  <c r="S140" i="1" s="1"/>
  <c r="U144" i="1"/>
  <c r="S144" i="1" s="1"/>
  <c r="U148" i="1"/>
  <c r="S148" i="1" s="1"/>
  <c r="U152" i="1"/>
  <c r="S152" i="1" s="1"/>
  <c r="U155" i="1"/>
  <c r="S155" i="1" s="1"/>
  <c r="W120" i="1"/>
  <c r="W128" i="1"/>
  <c r="W132" i="1"/>
  <c r="W136" i="1"/>
  <c r="W140" i="1"/>
  <c r="W144" i="1"/>
  <c r="W148" i="1"/>
  <c r="W152" i="1"/>
  <c r="W155" i="1"/>
  <c r="U90" i="1"/>
  <c r="S90" i="1" s="1"/>
  <c r="U116" i="1"/>
  <c r="S116" i="1" s="1"/>
  <c r="U208" i="1"/>
  <c r="S208" i="1" s="1"/>
  <c r="W208" i="1"/>
  <c r="U223" i="1"/>
  <c r="S223" i="1" s="1"/>
  <c r="U189" i="1"/>
  <c r="S189" i="1" s="1"/>
  <c r="U193" i="1"/>
  <c r="S193" i="1" s="1"/>
  <c r="W193" i="1"/>
  <c r="U197" i="1"/>
  <c r="S197" i="1" s="1"/>
  <c r="W197" i="1"/>
  <c r="U201" i="1"/>
  <c r="S201" i="1" s="1"/>
  <c r="W201" i="1"/>
  <c r="U205" i="1"/>
  <c r="S205" i="1" s="1"/>
  <c r="U127" i="1"/>
  <c r="U131" i="1"/>
  <c r="S131" i="1" s="1"/>
  <c r="U135" i="1"/>
  <c r="S135" i="1" s="1"/>
  <c r="U139" i="1"/>
  <c r="S139" i="1" s="1"/>
  <c r="U143" i="1"/>
  <c r="S143" i="1" s="1"/>
  <c r="U151" i="1"/>
  <c r="S151" i="1" s="1"/>
  <c r="U154" i="1"/>
  <c r="S154" i="1" s="1"/>
  <c r="W205" i="1"/>
  <c r="U25" i="1"/>
  <c r="U46" i="1"/>
  <c r="S46" i="1" s="1"/>
  <c r="W46" i="1"/>
  <c r="U61" i="1"/>
  <c r="S61" i="1" s="1"/>
  <c r="W61" i="1"/>
  <c r="U34" i="1"/>
  <c r="S34" i="1" s="1"/>
  <c r="U42" i="1"/>
  <c r="S42" i="1" s="1"/>
  <c r="U55" i="1"/>
  <c r="U59" i="1"/>
  <c r="S59" i="1" s="1"/>
  <c r="U110" i="1"/>
  <c r="S110" i="1" s="1"/>
  <c r="U51" i="1"/>
  <c r="S51" i="1" s="1"/>
  <c r="U91" i="1"/>
  <c r="S91" i="1" s="1"/>
  <c r="U105" i="1"/>
  <c r="S105" i="1" s="1"/>
  <c r="U108" i="1"/>
  <c r="S108" i="1" s="1"/>
  <c r="U94" i="1"/>
  <c r="S94" i="1" s="1"/>
  <c r="U104" i="1"/>
  <c r="S104" i="1" s="1"/>
  <c r="U117" i="1"/>
  <c r="S117" i="1" s="1"/>
  <c r="U118" i="1"/>
  <c r="S118" i="1" s="1"/>
  <c r="U125" i="1"/>
  <c r="S125" i="1" s="1"/>
  <c r="U129" i="1"/>
  <c r="S129" i="1" s="1"/>
  <c r="U133" i="1"/>
  <c r="S133" i="1" s="1"/>
  <c r="U137" i="1"/>
  <c r="S137" i="1" s="1"/>
  <c r="U141" i="1"/>
  <c r="S141" i="1" s="1"/>
  <c r="U145" i="1"/>
  <c r="S145" i="1" s="1"/>
  <c r="U149" i="1"/>
  <c r="S149" i="1" s="1"/>
  <c r="U153" i="1"/>
  <c r="S153" i="1" s="1"/>
  <c r="U156" i="1"/>
  <c r="S156" i="1" s="1"/>
  <c r="W210" i="1"/>
  <c r="U210" i="1"/>
  <c r="S210" i="1" s="1"/>
  <c r="W15" i="1"/>
  <c r="U188" i="1"/>
  <c r="S188" i="1" s="1"/>
  <c r="U192" i="1"/>
  <c r="S192" i="1" s="1"/>
  <c r="U196" i="1"/>
  <c r="S196" i="1" s="1"/>
  <c r="W196" i="1"/>
  <c r="U200" i="1"/>
  <c r="S200" i="1" s="1"/>
  <c r="W200" i="1"/>
  <c r="U204" i="1"/>
  <c r="S204" i="1" s="1"/>
  <c r="W204" i="1"/>
  <c r="U207" i="1"/>
  <c r="S207" i="1" s="1"/>
  <c r="W188" i="1"/>
  <c r="W207" i="1"/>
  <c r="U21" i="1"/>
  <c r="S21" i="1" s="1"/>
  <c r="W25" i="1"/>
  <c r="U57" i="1"/>
  <c r="S57" i="1" s="1"/>
  <c r="W57" i="1"/>
  <c r="U27" i="1"/>
  <c r="S27" i="1" s="1"/>
  <c r="U40" i="1"/>
  <c r="S40" i="1" s="1"/>
  <c r="U86" i="1"/>
  <c r="S86" i="1" s="1"/>
  <c r="U93" i="1"/>
  <c r="S93" i="1" s="1"/>
  <c r="W55" i="1"/>
  <c r="W93" i="1"/>
  <c r="U97" i="1"/>
  <c r="S97" i="1" s="1"/>
  <c r="W97" i="1"/>
  <c r="U106" i="1"/>
  <c r="S106" i="1" s="1"/>
  <c r="W104" i="1"/>
  <c r="W94" i="1"/>
  <c r="U101" i="1"/>
  <c r="S101" i="1" s="1"/>
  <c r="W125" i="1"/>
  <c r="W129" i="1"/>
  <c r="W133" i="1"/>
  <c r="W137" i="1"/>
  <c r="W141" i="1"/>
  <c r="W145" i="1"/>
  <c r="W149" i="1"/>
  <c r="W153" i="1"/>
  <c r="W156" i="1"/>
  <c r="U222" i="1"/>
  <c r="S222" i="1" s="1"/>
  <c r="W222" i="1"/>
  <c r="W27" i="1"/>
  <c r="U191" i="1"/>
  <c r="S191" i="1" s="1"/>
  <c r="U195" i="1"/>
  <c r="S195" i="1" s="1"/>
  <c r="W195" i="1"/>
  <c r="U199" i="1"/>
  <c r="S199" i="1" s="1"/>
  <c r="W199" i="1"/>
  <c r="U203" i="1"/>
  <c r="S203" i="1" s="1"/>
  <c r="W203" i="1"/>
  <c r="W42" i="1"/>
  <c r="W192" i="1"/>
  <c r="W14" i="1"/>
  <c r="U53" i="1"/>
  <c r="S53" i="1" s="1"/>
  <c r="W53" i="1"/>
  <c r="U23" i="1"/>
  <c r="S23" i="1" s="1"/>
  <c r="U38" i="1"/>
  <c r="S38" i="1" s="1"/>
  <c r="W23" i="1"/>
  <c r="U95" i="1"/>
  <c r="S95" i="1" s="1"/>
  <c r="W89" i="1"/>
  <c r="U121" i="1"/>
  <c r="S121" i="1" s="1"/>
  <c r="U124" i="1"/>
  <c r="W124" i="1"/>
  <c r="U126" i="1"/>
  <c r="S126" i="1" s="1"/>
  <c r="U130" i="1"/>
  <c r="S130" i="1" s="1"/>
  <c r="U134" i="1"/>
  <c r="S134" i="1" s="1"/>
  <c r="U138" i="1"/>
  <c r="S138" i="1" s="1"/>
  <c r="U142" i="1"/>
  <c r="S142" i="1" s="1"/>
  <c r="U146" i="1"/>
  <c r="S146" i="1" s="1"/>
  <c r="U150" i="1"/>
  <c r="S150" i="1" s="1"/>
  <c r="U206" i="1"/>
  <c r="S206" i="1" s="1"/>
  <c r="W206" i="1"/>
  <c r="U224" i="1"/>
  <c r="S224" i="1" s="1"/>
  <c r="W224" i="1"/>
  <c r="W36" i="1"/>
  <c r="U102" i="1"/>
  <c r="S102" i="1" s="1"/>
  <c r="U190" i="1"/>
  <c r="S190" i="1" s="1"/>
  <c r="U194" i="1"/>
  <c r="S194" i="1" s="1"/>
  <c r="W194" i="1"/>
  <c r="U198" i="1"/>
  <c r="S198" i="1" s="1"/>
  <c r="W198" i="1"/>
  <c r="U202" i="1"/>
  <c r="S202" i="1" s="1"/>
  <c r="W202" i="1"/>
  <c r="U87" i="1"/>
  <c r="S87" i="1" s="1"/>
  <c r="W126" i="1"/>
  <c r="W130" i="1"/>
  <c r="W134" i="1"/>
  <c r="W138" i="1"/>
  <c r="W142" i="1"/>
  <c r="W146" i="1"/>
  <c r="W150" i="1"/>
  <c r="U209" i="1"/>
  <c r="S209" i="1" s="1"/>
  <c r="W189" i="1"/>
  <c r="W191" i="1"/>
  <c r="W223" i="1"/>
  <c r="S49" i="1" l="1"/>
  <c r="K13" i="1"/>
  <c r="AH13" i="1" l="1"/>
  <c r="E3" i="6" l="1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X6" i="1" l="1"/>
  <c r="W6" i="1"/>
  <c r="V6" i="1"/>
  <c r="S6" i="1"/>
  <c r="R2" i="1"/>
  <c r="I2" i="1"/>
  <c r="O6" i="1"/>
  <c r="N6" i="1"/>
  <c r="M6" i="1"/>
  <c r="J6" i="1"/>
  <c r="P3" i="5" l="1"/>
  <c r="Q44" i="3" l="1"/>
  <c r="AF13" i="1" l="1"/>
  <c r="AE13" i="1" l="1"/>
  <c r="P44" i="3" s="1"/>
  <c r="M18" i="5" l="1"/>
  <c r="AD13" i="1" l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<sst xmlns="http://schemas.openxmlformats.org/spreadsheetml/2006/main" count="2225" uniqueCount="716">
  <si>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</si>
  <si>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</si>
  <si>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</si>
  <si>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</si>
  <si>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</si>
  <si>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</si>
  <si>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</si>
  <si>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</si>
  <si>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</si>
  <si>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</si>
  <si>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</si>
  <si>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</si>
  <si>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</si>
  <si>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</si>
  <si>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</si>
  <si>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</si>
  <si>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</si>
  <si>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</si>
  <si>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</si>
  <si>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</si>
  <si>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</si>
  <si>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</si>
  <si>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</si>
  <si>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</si>
  <si>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</si>
  <si>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</si>
  <si>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</si>
  <si>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</si>
  <si>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</si>
  <si>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</si>
  <si>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</si>
  <si>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</si>
  <si>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</si>
  <si>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</si>
  <si>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</si>
  <si>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</si>
  <si>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</si>
  <si>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</si>
  <si>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</si>
  <si>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</si>
  <si>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</si>
  <si>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</si>
  <si>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</si>
  <si>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</si>
  <si>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</si>
  <si>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</si>
  <si>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</si>
  <si>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</si>
  <si>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</si>
  <si>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</si>
  <si>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</si>
  <si>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</si>
  <si>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</si>
  <si>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</si>
  <si>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</si>
  <si>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</si>
  <si>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</si>
  <si>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</si>
  <si>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</si>
  <si>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</si>
  <si>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</si>
  <si>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204:460</t>
  </si>
  <si>
    <t>204:232977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</si>
  <si>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</si>
  <si>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</si>
  <si>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</si>
  <si>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</si>
  <si>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</si>
  <si>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</si>
  <si>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</si>
  <si>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</si>
  <si>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</si>
  <si>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</si>
  <si>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</si>
  <si>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</si>
  <si>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</si>
  <si>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</si>
  <si>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</si>
  <si>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</si>
  <si>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</si>
  <si>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</si>
  <si>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</si>
  <si>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</si>
  <si>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</si>
  <si>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</si>
  <si>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</si>
  <si>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</si>
  <si>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</si>
  <si>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</si>
  <si>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</si>
  <si>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</si>
  <si>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</si>
  <si>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</si>
  <si>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</si>
  <si>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</si>
  <si>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</si>
  <si>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</si>
  <si>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</si>
  <si>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</si>
  <si>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</si>
  <si>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</si>
  <si>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</si>
  <si>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</si>
  <si>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</si>
  <si>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</si>
  <si>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</si>
  <si>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</si>
  <si>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</si>
  <si>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</si>
  <si>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</si>
  <si>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</si>
  <si>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rtdc.l.rtdc.4015:itc</t>
  </si>
  <si>
    <t>EC or NWGL</t>
  </si>
  <si>
    <t>204:464</t>
  </si>
  <si>
    <t>204:462</t>
  </si>
  <si>
    <t>Omit due to TWC &lt; 1</t>
  </si>
  <si>
    <t>Reactive Enforcement (3)</t>
  </si>
  <si>
    <t>204:233293</t>
  </si>
  <si>
    <t>rtdc.l.rtdc.4014:itc</t>
  </si>
  <si>
    <t>DE.1.0.7.0</t>
  </si>
  <si>
    <t>rtdc.l.rtdc.4031:itc</t>
  </si>
  <si>
    <t>rtdc.l.rtdc.4032:itc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</si>
  <si>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</si>
  <si>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</si>
  <si>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</si>
  <si>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</si>
  <si>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</si>
  <si>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</si>
  <si>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</si>
  <si>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</si>
  <si>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</si>
  <si>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</si>
  <si>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204:232998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</si>
  <si>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</si>
  <si>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</si>
  <si>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</si>
  <si>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</si>
  <si>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</si>
  <si>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</si>
  <si>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</si>
  <si>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</si>
  <si>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</si>
  <si>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204:233289</t>
  </si>
  <si>
    <t>204:232994</t>
  </si>
  <si>
    <t>204:449</t>
  </si>
  <si>
    <t>204:149</t>
  </si>
  <si>
    <t>204:232996</t>
  </si>
  <si>
    <t>204:233312</t>
  </si>
  <si>
    <t>204:232959</t>
  </si>
  <si>
    <t>ISHMAEL</t>
  </si>
  <si>
    <t>204:232983</t>
  </si>
  <si>
    <t>204:469</t>
  </si>
  <si>
    <t>204:458</t>
  </si>
  <si>
    <t>204:232978</t>
  </si>
  <si>
    <t>204:467</t>
  </si>
  <si>
    <t>LEVIN</t>
  </si>
  <si>
    <t>204:163</t>
  </si>
  <si>
    <t>204:457</t>
  </si>
  <si>
    <t>204:233310</t>
  </si>
  <si>
    <t>204:233320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</si>
  <si>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</si>
  <si>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</si>
  <si>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</si>
  <si>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</si>
  <si>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</si>
  <si>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</si>
  <si>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</si>
  <si>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204:466</t>
  </si>
  <si>
    <t>204:442</t>
  </si>
  <si>
    <t>204:165</t>
  </si>
  <si>
    <t>rtdc.l.rtdc.4028:itc</t>
  </si>
  <si>
    <t>rtdc.l.rtdc.4042:itc</t>
  </si>
  <si>
    <t>rtdc.l.rtdc.4038:itc</t>
  </si>
  <si>
    <t>204:232985</t>
  </si>
  <si>
    <t>204:150</t>
  </si>
  <si>
    <t>204:156</t>
  </si>
  <si>
    <t>204:233297</t>
  </si>
  <si>
    <t>204:232981</t>
  </si>
  <si>
    <t>204:451</t>
  </si>
  <si>
    <t>204:233291</t>
  </si>
  <si>
    <t>204:154</t>
  </si>
  <si>
    <t>204:232965</t>
  </si>
  <si>
    <t>204:477</t>
  </si>
  <si>
    <t>204:232976</t>
  </si>
  <si>
    <t>230-12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</si>
  <si>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</si>
  <si>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</si>
  <si>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</si>
  <si>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</si>
  <si>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</si>
  <si>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</si>
  <si>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</si>
  <si>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</si>
  <si>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</si>
  <si>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</si>
  <si>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</si>
  <si>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</si>
  <si>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</si>
  <si>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</si>
  <si>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</si>
  <si>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64-12</t>
  </si>
  <si>
    <t>908-12</t>
  </si>
  <si>
    <t>rtdc.l.rtdc.4008:itc</t>
  </si>
  <si>
    <t>rtdc.l.rtdc.4020:itc</t>
  </si>
  <si>
    <t>SWITCH UNKNOWN</t>
  </si>
  <si>
    <t>Track device (7)</t>
  </si>
  <si>
    <t>rtdc.l.rtdc.4019:itc</t>
  </si>
  <si>
    <t>DAVIS</t>
  </si>
  <si>
    <t>STEWART</t>
  </si>
  <si>
    <t>MAYBERRY</t>
  </si>
  <si>
    <t>NELSON</t>
  </si>
  <si>
    <t>YANAI</t>
  </si>
  <si>
    <t>rtdc.l.rtdc.4022:itc</t>
  </si>
  <si>
    <t>HOMIK</t>
  </si>
  <si>
    <t>313-12</t>
  </si>
  <si>
    <t>204:233295</t>
  </si>
  <si>
    <t>204:446</t>
  </si>
  <si>
    <t>204:426</t>
  </si>
  <si>
    <t>204:167</t>
  </si>
  <si>
    <t>204:233308</t>
  </si>
  <si>
    <t>204:152</t>
  </si>
  <si>
    <t>204:748</t>
  </si>
  <si>
    <t>204:233341</t>
  </si>
  <si>
    <t>204:480</t>
  </si>
  <si>
    <t>204:475</t>
  </si>
  <si>
    <t>204:233305</t>
  </si>
  <si>
    <t>rtdc.l.rtdc.4044:itc</t>
  </si>
  <si>
    <t>rtdc.l.rtdc.4011:itc</t>
  </si>
  <si>
    <t>rtdc.l.rtdc.4043:itc</t>
  </si>
  <si>
    <t>GRADE CROSSING</t>
  </si>
  <si>
    <t>Bulletin (2)</t>
  </si>
  <si>
    <t>rtdc.l.rtdc.4009:itc</t>
  </si>
  <si>
    <t>ACKERMAN</t>
  </si>
  <si>
    <t>STORY</t>
  </si>
  <si>
    <t>rtdc.l.rtdc.4010:itc</t>
  </si>
  <si>
    <t>BARTLETT</t>
  </si>
  <si>
    <t>BRUDER</t>
  </si>
  <si>
    <t>NEWELL</t>
  </si>
  <si>
    <t>204:232987</t>
  </si>
  <si>
    <t>204:232971</t>
  </si>
  <si>
    <t>204:232989</t>
  </si>
  <si>
    <t>204:141</t>
  </si>
  <si>
    <t>204:161</t>
  </si>
  <si>
    <t>204:482</t>
  </si>
  <si>
    <t>204:233309</t>
  </si>
  <si>
    <t>204:687</t>
  </si>
  <si>
    <t>300:58924</t>
  </si>
  <si>
    <t>204:473</t>
  </si>
  <si>
    <t>204:233007</t>
  </si>
  <si>
    <t>204:233324</t>
  </si>
  <si>
    <t>rtdc.l.rtdc.4016:itc</t>
  </si>
  <si>
    <t>STARKS</t>
  </si>
  <si>
    <t>204:232964</t>
  </si>
  <si>
    <t>204:232975</t>
  </si>
  <si>
    <t>204:233017</t>
  </si>
  <si>
    <t>204:232972</t>
  </si>
  <si>
    <t>204:232988</t>
  </si>
  <si>
    <t>204:174</t>
  </si>
  <si>
    <t>242-15</t>
  </si>
  <si>
    <t>244-15</t>
  </si>
  <si>
    <t>309-15</t>
  </si>
  <si>
    <t>313-15</t>
  </si>
  <si>
    <t>315-15</t>
  </si>
  <si>
    <t>300:23123</t>
  </si>
  <si>
    <t>300:58950</t>
  </si>
  <si>
    <t>300:58922</t>
  </si>
  <si>
    <t>300:58608</t>
  </si>
  <si>
    <t>204:680</t>
  </si>
  <si>
    <t>204:934</t>
  </si>
  <si>
    <t>300:58604</t>
  </si>
  <si>
    <t>300:58918</t>
  </si>
  <si>
    <t>300:58602</t>
  </si>
  <si>
    <t>300:58914</t>
  </si>
  <si>
    <t>204:965</t>
  </si>
  <si>
    <t>300:58926</t>
  </si>
  <si>
    <t>204:635</t>
  </si>
  <si>
    <t>SWANSON</t>
  </si>
  <si>
    <t>SPECTOR</t>
  </si>
  <si>
    <t>ROCHA</t>
  </si>
  <si>
    <t>HAITHCOX</t>
  </si>
  <si>
    <t>HELVIE</t>
  </si>
  <si>
    <t>OUN</t>
  </si>
  <si>
    <t>CHANDLER</t>
  </si>
  <si>
    <t>Wi-MAX outage</t>
  </si>
  <si>
    <t>Onboard in-route failure</t>
  </si>
  <si>
    <t>Early arrival</t>
  </si>
  <si>
    <t>101-16</t>
  </si>
  <si>
    <t>204:746</t>
  </si>
  <si>
    <t>204:233449</t>
  </si>
  <si>
    <t>102-16</t>
  </si>
  <si>
    <t>204:232637</t>
  </si>
  <si>
    <t>103-16</t>
  </si>
  <si>
    <t>204:233410</t>
  </si>
  <si>
    <t>108-16</t>
  </si>
  <si>
    <t>109-16</t>
  </si>
  <si>
    <t>110-16</t>
  </si>
  <si>
    <t>204:371</t>
  </si>
  <si>
    <t>111-16</t>
  </si>
  <si>
    <t>204:741</t>
  </si>
  <si>
    <t>112-16</t>
  </si>
  <si>
    <t>204:64145</t>
  </si>
  <si>
    <t>204:36782</t>
  </si>
  <si>
    <t>204:36464</t>
  </si>
  <si>
    <t>113-16</t>
  </si>
  <si>
    <t>204:233284</t>
  </si>
  <si>
    <t>114-16</t>
  </si>
  <si>
    <t>204:232967</t>
  </si>
  <si>
    <t>204:153988</t>
  </si>
  <si>
    <t>115-16</t>
  </si>
  <si>
    <t>204:790</t>
  </si>
  <si>
    <t>116-16</t>
  </si>
  <si>
    <t>204:232991</t>
  </si>
  <si>
    <t>204:1188</t>
  </si>
  <si>
    <t>118-16</t>
  </si>
  <si>
    <t>204:232950</t>
  </si>
  <si>
    <t>121-16</t>
  </si>
  <si>
    <t>204:37162</t>
  </si>
  <si>
    <t>204:233318</t>
  </si>
  <si>
    <t>122-16</t>
  </si>
  <si>
    <t>204:232990</t>
  </si>
  <si>
    <t>123-16</t>
  </si>
  <si>
    <t>204:684</t>
  </si>
  <si>
    <t>124-16</t>
  </si>
  <si>
    <t>125-16</t>
  </si>
  <si>
    <t>126-16</t>
  </si>
  <si>
    <t>204:1182</t>
  </si>
  <si>
    <t>127-16</t>
  </si>
  <si>
    <t>128-16</t>
  </si>
  <si>
    <t>129-16</t>
  </si>
  <si>
    <t>130-16</t>
  </si>
  <si>
    <t>204:232973</t>
  </si>
  <si>
    <t>131-16</t>
  </si>
  <si>
    <t>204:233281</t>
  </si>
  <si>
    <t>132-16</t>
  </si>
  <si>
    <t>133-16</t>
  </si>
  <si>
    <t>134-16</t>
  </si>
  <si>
    <t>135-16</t>
  </si>
  <si>
    <t>204:204409</t>
  </si>
  <si>
    <t>204:484</t>
  </si>
  <si>
    <t>136-16</t>
  </si>
  <si>
    <t>204:127860</t>
  </si>
  <si>
    <t>204:233023</t>
  </si>
  <si>
    <t>204:222886</t>
  </si>
  <si>
    <t>137-16</t>
  </si>
  <si>
    <t>204:189460</t>
  </si>
  <si>
    <t>138-16</t>
  </si>
  <si>
    <t>204:220280</t>
  </si>
  <si>
    <t>139-16</t>
  </si>
  <si>
    <t>140-16</t>
  </si>
  <si>
    <t>204:127849</t>
  </si>
  <si>
    <t>204:205461</t>
  </si>
  <si>
    <t>141-16</t>
  </si>
  <si>
    <t>204:233276</t>
  </si>
  <si>
    <t>142-16</t>
  </si>
  <si>
    <t>204:1184</t>
  </si>
  <si>
    <t>143-16</t>
  </si>
  <si>
    <t>204:1500</t>
  </si>
  <si>
    <t>204:204079</t>
  </si>
  <si>
    <t>144-16</t>
  </si>
  <si>
    <t>204:192124</t>
  </si>
  <si>
    <t>204:204656</t>
  </si>
  <si>
    <t>145-16</t>
  </si>
  <si>
    <t>204:202242</t>
  </si>
  <si>
    <t>146-16</t>
  </si>
  <si>
    <t>204:127861</t>
  </si>
  <si>
    <t>204:136</t>
  </si>
  <si>
    <t>204:233080</t>
  </si>
  <si>
    <t>204:206683</t>
  </si>
  <si>
    <t>147-16</t>
  </si>
  <si>
    <t>204:19134</t>
  </si>
  <si>
    <t>204:202132</t>
  </si>
  <si>
    <t>204:440</t>
  </si>
  <si>
    <t>204:1397</t>
  </si>
  <si>
    <t>148-16</t>
  </si>
  <si>
    <t>204:233011</t>
  </si>
  <si>
    <t>204:96</t>
  </si>
  <si>
    <t>149-16</t>
  </si>
  <si>
    <t>204:199559</t>
  </si>
  <si>
    <t>150-16</t>
  </si>
  <si>
    <t>151-16</t>
  </si>
  <si>
    <t>204:233319</t>
  </si>
  <si>
    <t>152-16</t>
  </si>
  <si>
    <t>204:233008</t>
  </si>
  <si>
    <t>153-16</t>
  </si>
  <si>
    <t>154-16</t>
  </si>
  <si>
    <t>204:233000</t>
  </si>
  <si>
    <t>155-16</t>
  </si>
  <si>
    <t>156-16</t>
  </si>
  <si>
    <t>157-16</t>
  </si>
  <si>
    <t>204:233314</t>
  </si>
  <si>
    <t>158-16</t>
  </si>
  <si>
    <t>204:36785</t>
  </si>
  <si>
    <t>159-16</t>
  </si>
  <si>
    <t>204:433</t>
  </si>
  <si>
    <t>160-16</t>
  </si>
  <si>
    <t>161-16</t>
  </si>
  <si>
    <t>204:406</t>
  </si>
  <si>
    <t>162-16</t>
  </si>
  <si>
    <t>163-16</t>
  </si>
  <si>
    <t>164-16</t>
  </si>
  <si>
    <t>165-16</t>
  </si>
  <si>
    <t>204:233299</t>
  </si>
  <si>
    <t>166-16</t>
  </si>
  <si>
    <t>167-16</t>
  </si>
  <si>
    <t>168-16</t>
  </si>
  <si>
    <t>204:85766</t>
  </si>
  <si>
    <t>169-16</t>
  </si>
  <si>
    <t>204:233322</t>
  </si>
  <si>
    <t>170-16</t>
  </si>
  <si>
    <t>204:1167</t>
  </si>
  <si>
    <t>171-16</t>
  </si>
  <si>
    <t>172-16</t>
  </si>
  <si>
    <t>173-16</t>
  </si>
  <si>
    <t>204:233213</t>
  </si>
  <si>
    <t>174-16</t>
  </si>
  <si>
    <t>204:232884</t>
  </si>
  <si>
    <t>175-16</t>
  </si>
  <si>
    <t>204:233285</t>
  </si>
  <si>
    <t>176-16</t>
  </si>
  <si>
    <t>177-16</t>
  </si>
  <si>
    <t>204:233274</t>
  </si>
  <si>
    <t>178-16</t>
  </si>
  <si>
    <t>204:232980</t>
  </si>
  <si>
    <t>179-16</t>
  </si>
  <si>
    <t>180-16</t>
  </si>
  <si>
    <t>204:130</t>
  </si>
  <si>
    <t>181-16</t>
  </si>
  <si>
    <t>204:233307</t>
  </si>
  <si>
    <t>182-16</t>
  </si>
  <si>
    <t>183-16</t>
  </si>
  <si>
    <t>204:233298</t>
  </si>
  <si>
    <t>184-16</t>
  </si>
  <si>
    <t>185-16</t>
  </si>
  <si>
    <t>204:233266</t>
  </si>
  <si>
    <t>186-16</t>
  </si>
  <si>
    <t>204:18735</t>
  </si>
  <si>
    <t>187-16</t>
  </si>
  <si>
    <t>204:233346</t>
  </si>
  <si>
    <t>188-16</t>
  </si>
  <si>
    <t>189-16</t>
  </si>
  <si>
    <t>190-16</t>
  </si>
  <si>
    <t>204:232957</t>
  </si>
  <si>
    <t>204:236</t>
  </si>
  <si>
    <t>191-16</t>
  </si>
  <si>
    <t>192-16</t>
  </si>
  <si>
    <t>204:194105</t>
  </si>
  <si>
    <t>193-16</t>
  </si>
  <si>
    <t>194-16</t>
  </si>
  <si>
    <t>195-16</t>
  </si>
  <si>
    <t>204:160802</t>
  </si>
  <si>
    <t>196-16</t>
  </si>
  <si>
    <t>204:233002</t>
  </si>
  <si>
    <t>197-16</t>
  </si>
  <si>
    <t>204:233249</t>
  </si>
  <si>
    <t>198-16</t>
  </si>
  <si>
    <t>204:232925</t>
  </si>
  <si>
    <t>199-16</t>
  </si>
  <si>
    <t>204:320</t>
  </si>
  <si>
    <t>204:233323</t>
  </si>
  <si>
    <t>200-16</t>
  </si>
  <si>
    <t>204:233006</t>
  </si>
  <si>
    <t>204:18765</t>
  </si>
  <si>
    <t>201-16</t>
  </si>
  <si>
    <t>204:437</t>
  </si>
  <si>
    <t>204:233336</t>
  </si>
  <si>
    <t>202-16</t>
  </si>
  <si>
    <t>204:180184</t>
  </si>
  <si>
    <t>203-16</t>
  </si>
  <si>
    <t>204:546</t>
  </si>
  <si>
    <t>204-16</t>
  </si>
  <si>
    <t>204:127866</t>
  </si>
  <si>
    <t>204:193344</t>
  </si>
  <si>
    <t>205-16</t>
  </si>
  <si>
    <t>204:157705</t>
  </si>
  <si>
    <t>206-16</t>
  </si>
  <si>
    <t>204:127871</t>
  </si>
  <si>
    <t>204:192996</t>
  </si>
  <si>
    <t>207-16</t>
  </si>
  <si>
    <t>204:159447</t>
  </si>
  <si>
    <t>208-16</t>
  </si>
  <si>
    <t>209-16</t>
  </si>
  <si>
    <t>204:154426</t>
  </si>
  <si>
    <t>210-16</t>
  </si>
  <si>
    <t>211-16</t>
  </si>
  <si>
    <t>204:471</t>
  </si>
  <si>
    <t>212-16</t>
  </si>
  <si>
    <t>204:18800</t>
  </si>
  <si>
    <t>213-16</t>
  </si>
  <si>
    <t>204:1173</t>
  </si>
  <si>
    <t>204:233357</t>
  </si>
  <si>
    <t>214-16</t>
  </si>
  <si>
    <t>204:233055</t>
  </si>
  <si>
    <t>215-16</t>
  </si>
  <si>
    <t>216-16</t>
  </si>
  <si>
    <t>217-16</t>
  </si>
  <si>
    <t>218-16</t>
  </si>
  <si>
    <t>219-16</t>
  </si>
  <si>
    <t>220-16</t>
  </si>
  <si>
    <t>204:232979</t>
  </si>
  <si>
    <t>221-16</t>
  </si>
  <si>
    <t>204:502</t>
  </si>
  <si>
    <t>222-16</t>
  </si>
  <si>
    <t>204:185</t>
  </si>
  <si>
    <t>223-16</t>
  </si>
  <si>
    <t>204:233330</t>
  </si>
  <si>
    <t>224-16</t>
  </si>
  <si>
    <t>204:125</t>
  </si>
  <si>
    <t>225-16</t>
  </si>
  <si>
    <t>226-16</t>
  </si>
  <si>
    <t>204:64155</t>
  </si>
  <si>
    <t>227-16</t>
  </si>
  <si>
    <t>228-16</t>
  </si>
  <si>
    <t>204:169</t>
  </si>
  <si>
    <t>229-16</t>
  </si>
  <si>
    <t>230-16</t>
  </si>
  <si>
    <t>204:62300</t>
  </si>
  <si>
    <t>231-16</t>
  </si>
  <si>
    <t>204:424</t>
  </si>
  <si>
    <t>232-16</t>
  </si>
  <si>
    <t>204:233070</t>
  </si>
  <si>
    <t>233-16</t>
  </si>
  <si>
    <t>234-16</t>
  </si>
  <si>
    <t>235-16</t>
  </si>
  <si>
    <t>236-16</t>
  </si>
  <si>
    <t>237-16</t>
  </si>
  <si>
    <t>239-16</t>
  </si>
  <si>
    <t>241-16</t>
  </si>
  <si>
    <t>244-16</t>
  </si>
  <si>
    <t>204:164</t>
  </si>
  <si>
    <t>302-16</t>
  </si>
  <si>
    <t>300:25138</t>
  </si>
  <si>
    <t>300:24904</t>
  </si>
  <si>
    <t>303-16</t>
  </si>
  <si>
    <t>300:23308</t>
  </si>
  <si>
    <t>307-16</t>
  </si>
  <si>
    <t>204:411</t>
  </si>
  <si>
    <t>300:23346</t>
  </si>
  <si>
    <t>308-16</t>
  </si>
  <si>
    <t>300:23548</t>
  </si>
  <si>
    <t>310-16</t>
  </si>
  <si>
    <t>300:22546</t>
  </si>
  <si>
    <t>300:22352</t>
  </si>
  <si>
    <t>313-16</t>
  </si>
  <si>
    <t>204:332</t>
  </si>
  <si>
    <t>300:23111</t>
  </si>
  <si>
    <t>315-16</t>
  </si>
  <si>
    <t>204:640</t>
  </si>
  <si>
    <t>300:23312</t>
  </si>
  <si>
    <t>52-16</t>
  </si>
  <si>
    <t>300:23293</t>
  </si>
  <si>
    <t>204:1026</t>
  </si>
  <si>
    <t>801-16</t>
  </si>
  <si>
    <t>204:953</t>
  </si>
  <si>
    <t>300:58935</t>
  </si>
  <si>
    <t>803-16</t>
  </si>
  <si>
    <t>204:1028</t>
  </si>
  <si>
    <t>804-16</t>
  </si>
  <si>
    <t>805-16</t>
  </si>
  <si>
    <t>300:58933</t>
  </si>
  <si>
    <t>806-16</t>
  </si>
  <si>
    <t>300:58619</t>
  </si>
  <si>
    <t>300:4883</t>
  </si>
  <si>
    <t>807-16</t>
  </si>
  <si>
    <t>204:1030</t>
  </si>
  <si>
    <t>808-16</t>
  </si>
  <si>
    <t>300:58594</t>
  </si>
  <si>
    <t>204:747</t>
  </si>
  <si>
    <t>809-16</t>
  </si>
  <si>
    <t>204:948</t>
  </si>
  <si>
    <t>810-16</t>
  </si>
  <si>
    <t>300:58630</t>
  </si>
  <si>
    <t>300:38326</t>
  </si>
  <si>
    <t>811-16</t>
  </si>
  <si>
    <t>204:1020</t>
  </si>
  <si>
    <t>812-16</t>
  </si>
  <si>
    <t>204:736</t>
  </si>
  <si>
    <t>813-16</t>
  </si>
  <si>
    <t>204:1021</t>
  </si>
  <si>
    <t>300:58899</t>
  </si>
  <si>
    <t>814-16</t>
  </si>
  <si>
    <t>300:58581</t>
  </si>
  <si>
    <t>204:757</t>
  </si>
  <si>
    <t>815-16</t>
  </si>
  <si>
    <t>204:1044</t>
  </si>
  <si>
    <t>816-16</t>
  </si>
  <si>
    <t>300:58592</t>
  </si>
  <si>
    <t>204:719</t>
  </si>
  <si>
    <t>817-16</t>
  </si>
  <si>
    <t>204:1016</t>
  </si>
  <si>
    <t>818-16</t>
  </si>
  <si>
    <t>204:733</t>
  </si>
  <si>
    <t>819-16</t>
  </si>
  <si>
    <t>204:1013</t>
  </si>
  <si>
    <t>204:1602</t>
  </si>
  <si>
    <t>820-16</t>
  </si>
  <si>
    <t>204:731</t>
  </si>
  <si>
    <t>821-16</t>
  </si>
  <si>
    <t>204:1023</t>
  </si>
  <si>
    <t>300:58916</t>
  </si>
  <si>
    <t>822-16</t>
  </si>
  <si>
    <t>300:58596</t>
  </si>
  <si>
    <t>823-16</t>
  </si>
  <si>
    <t>824-16</t>
  </si>
  <si>
    <t>204:682</t>
  </si>
  <si>
    <t>825-16</t>
  </si>
  <si>
    <t>204:962</t>
  </si>
  <si>
    <t>826-16</t>
  </si>
  <si>
    <t>300:58617</t>
  </si>
  <si>
    <t>204:670</t>
  </si>
  <si>
    <t>827-16</t>
  </si>
  <si>
    <t>204:1007</t>
  </si>
  <si>
    <t>828-16</t>
  </si>
  <si>
    <t>829-16</t>
  </si>
  <si>
    <t>204:971</t>
  </si>
  <si>
    <t>830-16</t>
  </si>
  <si>
    <t>204:678</t>
  </si>
  <si>
    <t>831-16</t>
  </si>
  <si>
    <t>204:997</t>
  </si>
  <si>
    <t>832-16</t>
  </si>
  <si>
    <t>300:58609</t>
  </si>
  <si>
    <t>204:699</t>
  </si>
  <si>
    <t>833-16</t>
  </si>
  <si>
    <t>204:974</t>
  </si>
  <si>
    <t>834-16</t>
  </si>
  <si>
    <t>835-16</t>
  </si>
  <si>
    <t>300:58912</t>
  </si>
  <si>
    <t>836-16</t>
  </si>
  <si>
    <t>204:724</t>
  </si>
  <si>
    <t>837-16</t>
  </si>
  <si>
    <t>838-16</t>
  </si>
  <si>
    <t>204:689</t>
  </si>
  <si>
    <t>839-16</t>
  </si>
  <si>
    <t>204:1002</t>
  </si>
  <si>
    <t>840-16</t>
  </si>
  <si>
    <t>841-16</t>
  </si>
  <si>
    <t>204:979</t>
  </si>
  <si>
    <t>842-16</t>
  </si>
  <si>
    <t>300:58598</t>
  </si>
  <si>
    <t>204:694</t>
  </si>
  <si>
    <t>843-16</t>
  </si>
  <si>
    <t>844-16</t>
  </si>
  <si>
    <t>845-16</t>
  </si>
  <si>
    <t>204:969</t>
  </si>
  <si>
    <t>847-16</t>
  </si>
  <si>
    <t>204:990</t>
  </si>
  <si>
    <t>903-16</t>
  </si>
  <si>
    <t>204:1102</t>
  </si>
  <si>
    <t>300:24241</t>
  </si>
  <si>
    <t>904-16</t>
  </si>
  <si>
    <t>300:23502</t>
  </si>
  <si>
    <t>204:713</t>
  </si>
  <si>
    <t>906-16</t>
  </si>
  <si>
    <t>300:28788</t>
  </si>
  <si>
    <t>908-16</t>
  </si>
  <si>
    <t>300:21765</t>
  </si>
  <si>
    <t>rtdc.l.rtdc.4003:itc</t>
  </si>
  <si>
    <t>rtdc.l.rtdc.4012:itc</t>
  </si>
  <si>
    <t>rtdc.l.rtdc.4002:itc</t>
  </si>
  <si>
    <t>rtdc.l.rtdc.4001:itc</t>
  </si>
  <si>
    <t>rtdc.l.rtdc.4017:itc</t>
  </si>
  <si>
    <t>rtdc.l.rtdc.4018:itc</t>
  </si>
  <si>
    <t>TEMPORARY SPEED RESTRICTION</t>
  </si>
  <si>
    <t>rtdc.l.rtdc.4004:itc</t>
  </si>
  <si>
    <t>Increasing Mileposts (1</t>
  </si>
  <si>
    <t>KILLION</t>
  </si>
  <si>
    <t>BRANNON</t>
  </si>
  <si>
    <t>CLARK</t>
  </si>
  <si>
    <t>GRASTON</t>
  </si>
  <si>
    <t>GEBRETEKLE</t>
  </si>
  <si>
    <t>STURGEON</t>
  </si>
  <si>
    <t>ROBINSON</t>
  </si>
  <si>
    <t>rtdc.l.rtdc.4005:itc</t>
  </si>
  <si>
    <t>CUSH-16</t>
  </si>
  <si>
    <t>CUSHING</t>
  </si>
  <si>
    <t>238-16</t>
  </si>
  <si>
    <t>240-16</t>
  </si>
  <si>
    <t>243-16</t>
  </si>
  <si>
    <t>CHANDLE</t>
  </si>
  <si>
    <t>104-16</t>
  </si>
  <si>
    <t>105-16</t>
  </si>
  <si>
    <t>106-16</t>
  </si>
  <si>
    <t>107-16</t>
  </si>
  <si>
    <t>-</t>
  </si>
  <si>
    <t>Did not initialize</t>
  </si>
  <si>
    <t>117-16</t>
  </si>
  <si>
    <t>119-16</t>
  </si>
  <si>
    <t>120-16</t>
  </si>
  <si>
    <t>242-16</t>
  </si>
  <si>
    <t>802-16</t>
  </si>
  <si>
    <t>Train was being held to restricted speed due to PSS</t>
  </si>
  <si>
    <t>Bad card at 78th: PSS to pass Pena 2N, every signal was STOP afterward</t>
  </si>
  <si>
    <t>Bad card at 78th: 78th 4S stuck at STOP, cut out and re-init at 40th</t>
  </si>
  <si>
    <t>Bad card at 78th, cut out at Pena</t>
  </si>
  <si>
    <t>Bad card at 78th, cut out at 78th</t>
  </si>
  <si>
    <t>Bad card at 78th, initialized at 40th</t>
  </si>
  <si>
    <t>Bad card at 78th, initialized at Pena</t>
  </si>
  <si>
    <t>Bad card at 78th, cut out at ML2044</t>
  </si>
  <si>
    <t>Mechanical issue?</t>
  </si>
  <si>
    <t>Pena 4S was stuck at STOP, no controls sent by TMDS</t>
  </si>
  <si>
    <t>EC1620RH 153-1T 1N stuck at STOP &amp; PROCEED</t>
  </si>
  <si>
    <t>No issue found - cut out at 38th</t>
  </si>
  <si>
    <t>EC1752RH 175-1T 1S stuck at STOP</t>
  </si>
  <si>
    <t>No issue found - cut out at Central Park</t>
  </si>
  <si>
    <t>Quebec 4S took 2+ minutes to clear, waiting for crossing arms</t>
  </si>
  <si>
    <t>Replaced by CUSH-16</t>
  </si>
  <si>
    <t>BOS crashed?</t>
  </si>
  <si>
    <t>TMDS did not send clear control to DUS 32S until after cut out</t>
  </si>
  <si>
    <t>2016-08-16T08:07:44</t>
  </si>
  <si>
    <t>2016-08-16T19:14:24</t>
  </si>
  <si>
    <t>:.+((SYSTEM_STATE.+slice.+state.+changed )|(ment ac)|(system.+state.+changed )|(\|lc)|(penalty)|(\[timeout)|(PRM\|1\|D)|(kpr)|(kdp))</t>
  </si>
  <si>
    <t>Train held to restricted due to PSS</t>
  </si>
  <si>
    <t>Chambers 2N was STOP, cleared a minute later</t>
  </si>
  <si>
    <t>40th 4S was STOP, cleared a minute later</t>
  </si>
  <si>
    <t>61st 2N was STOP, cleared a minute later</t>
  </si>
  <si>
    <t>Bad card at 78th</t>
  </si>
  <si>
    <t>EC1678RH standby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</si>
</sst>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65"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25"/>
  <sheetViews>
    <sheetView tabSelected="1" zoomScaleNormal="100" workbookViewId="0"/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4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23" customWidth="1"/>
    <col min="22" max="22" width="5.7109375" style="109" customWidth="1"/>
    <col min="23" max="23" width="3.85546875" style="23" customWidth="1"/>
    <col min="24" max="24" width="5.28515625" style="127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2" customWidth="1"/>
    <col min="32" max="32" width="6.28515625" style="99" customWidth="1"/>
    <col min="33" max="33" width="5.42578125" customWidth="1"/>
    <col min="34" max="34" width="5" style="10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129</v>
      </c>
      <c r="J1" s="44"/>
      <c r="K1" s="31"/>
      <c r="L1" s="31"/>
      <c r="M1" s="43"/>
      <c r="N1" s="44"/>
      <c r="O1" s="2"/>
      <c r="P1" s="2"/>
      <c r="R1" s="41" t="s">
        <v>130</v>
      </c>
      <c r="S1" s="44"/>
      <c r="T1" s="31"/>
      <c r="U1" s="130"/>
      <c r="V1" s="43"/>
      <c r="W1" s="44"/>
      <c r="X1" s="123"/>
      <c r="Y1" s="68"/>
      <c r="Z1" s="68"/>
      <c r="AA1" s="68"/>
      <c r="AB1" s="65"/>
      <c r="AC1" s="59"/>
      <c r="AD1" s="60"/>
      <c r="AE1" s="1"/>
      <c r="AF1" s="1"/>
      <c r="AG1" s="1"/>
      <c r="AH1" s="56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3">
        <f>Variables!$A$2</f>
        <v>42598</v>
      </c>
      <c r="J2" s="84"/>
      <c r="K2" s="85"/>
      <c r="L2" s="85"/>
      <c r="M2" s="86" t="s">
        <v>8</v>
      </c>
      <c r="N2" s="87"/>
      <c r="O2" s="88"/>
      <c r="P2" s="2"/>
      <c r="R2" s="83">
        <f>Variables!$A$2</f>
        <v>42598</v>
      </c>
      <c r="S2" s="84"/>
      <c r="T2" s="85"/>
      <c r="U2" s="131"/>
      <c r="V2" s="107" t="s">
        <v>8</v>
      </c>
      <c r="W2" s="87"/>
      <c r="X2" s="124"/>
      <c r="Y2" s="68"/>
      <c r="Z2" s="68"/>
      <c r="AA2" s="68"/>
      <c r="AB2" s="65"/>
      <c r="AC2" s="59"/>
      <c r="AD2" s="60"/>
      <c r="AE2" s="1"/>
      <c r="AF2" s="1"/>
      <c r="AG2" s="1"/>
      <c r="AH2" s="56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9" t="s">
        <v>10</v>
      </c>
      <c r="J3" s="90"/>
      <c r="K3" s="91"/>
      <c r="L3" s="91"/>
      <c r="M3" s="45" t="s">
        <v>11</v>
      </c>
      <c r="N3" s="46" t="s">
        <v>12</v>
      </c>
      <c r="O3" s="3" t="s">
        <v>13</v>
      </c>
      <c r="P3" s="2"/>
      <c r="R3" s="89" t="s">
        <v>10</v>
      </c>
      <c r="S3" s="90"/>
      <c r="T3" s="91"/>
      <c r="U3" s="132"/>
      <c r="V3" s="45" t="s">
        <v>11</v>
      </c>
      <c r="W3" s="46" t="s">
        <v>12</v>
      </c>
      <c r="X3" s="125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2" t="s">
        <v>14</v>
      </c>
      <c r="J4" s="58">
        <f>SUM(J5:J7)</f>
        <v>143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2" t="s">
        <v>14</v>
      </c>
      <c r="S4" s="58">
        <f>SUM(S5:S7)</f>
        <v>47</v>
      </c>
      <c r="T4" s="47"/>
      <c r="U4" s="133"/>
      <c r="V4" s="48" t="s">
        <v>15</v>
      </c>
      <c r="W4" s="46" t="s">
        <v>15</v>
      </c>
      <c r="X4" s="125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2" t="s">
        <v>17</v>
      </c>
      <c r="J5" s="58">
        <f>COUNTIFS($N$13:$N$9382,"&gt;0",$AG$13:$AG$9382,I1)</f>
        <v>104</v>
      </c>
      <c r="K5" s="47"/>
      <c r="L5" s="47"/>
      <c r="M5" s="48">
        <f>AVERAGEIFS($N$13:$N$9382,$AG$13:$AG$9382,I1)</f>
        <v>44.647596153976899</v>
      </c>
      <c r="N5" s="46">
        <f t="array" ref="N5">MIN(IF($AG$13:$AG$9382=I1,IF(ISNUMBER($N$13:$N$9382),IF($N$13:$N$9382&gt;0,$N$13:$N$9382))))</f>
        <v>29.333333327667788</v>
      </c>
      <c r="O5" s="3">
        <f t="array" ref="O5">MAX(IF($AG$13:$AG$9382=I1,IF(ISNUMBER($N$13:$N$9382),IF($N$13:$N$9382&gt;0,$N$13:$N$9382))))</f>
        <v>63.366666674846783</v>
      </c>
      <c r="P5" s="2"/>
      <c r="R5" s="92" t="s">
        <v>17</v>
      </c>
      <c r="S5" s="58">
        <f>COUNTIFS($N$13:$N$9382,"&gt;0",$AG$13:$AG$9382,R1)</f>
        <v>43</v>
      </c>
      <c r="T5" s="47"/>
      <c r="U5" s="133"/>
      <c r="V5" s="48">
        <f>AVERAGEIFS($N$13:$N$9382,$AG$13:$AG$9382,R1)</f>
        <v>18.541472868040898</v>
      </c>
      <c r="W5" s="46">
        <f t="array" ref="W5">MIN(IF($AG$13:$AG$9382=R1,IF(ISNUMBER($N$13:$N$9382),IF($N$13:$N$9382&gt;0,$N$13:$N$9382))))</f>
        <v>13.13333333353512</v>
      </c>
      <c r="X5" s="125">
        <f t="array" ref="X5">MAX(IF($AG$13:$AG$9382=R1,IF(ISNUMBER($N$13:$N$9382),IF($N$13:$N$9382&gt;0,$N$13:$N$9382))))</f>
        <v>30.099999995436519</v>
      </c>
      <c r="Y5" s="68"/>
      <c r="Z5" s="68"/>
      <c r="AA5" s="68"/>
      <c r="AB5" s="65"/>
      <c r="AC5" s="59"/>
      <c r="AD5" s="60"/>
      <c r="AE5" s="1"/>
      <c r="AF5" s="1"/>
      <c r="AG5" s="1"/>
      <c r="AH5" s="56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3" t="s">
        <v>43</v>
      </c>
      <c r="J6" s="58">
        <f>COUNT($O$13:$O$124)</f>
        <v>0</v>
      </c>
      <c r="K6" s="47"/>
      <c r="L6" s="47"/>
      <c r="M6" s="48">
        <f>IFERROR(AVERAGE($O$13:$O$124),0)</f>
        <v>0</v>
      </c>
      <c r="N6" s="46">
        <f>MIN($O$13:$O$124)</f>
        <v>0</v>
      </c>
      <c r="O6" s="3">
        <f>MAX($O$13:$O$124)</f>
        <v>0</v>
      </c>
      <c r="P6" s="2"/>
      <c r="R6" s="93" t="s">
        <v>43</v>
      </c>
      <c r="S6" s="58">
        <f>COUNT($O$13:$O$124)</f>
        <v>0</v>
      </c>
      <c r="T6" s="47"/>
      <c r="U6" s="133"/>
      <c r="V6" s="48">
        <f>IFERROR(AVERAGE($O$13:$O$124),0)</f>
        <v>0</v>
      </c>
      <c r="W6" s="46">
        <f>MIN($O$13:$O$124)</f>
        <v>0</v>
      </c>
      <c r="X6" s="125">
        <f>MAX($O$13:$O$124)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4" t="s">
        <v>9</v>
      </c>
      <c r="J7" s="58">
        <f>COUNTIFS($P$13:$P$9382,"&gt;0",$AG$13:$AG$9382,I1)</f>
        <v>39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4" t="s">
        <v>9</v>
      </c>
      <c r="S7" s="58">
        <f>COUNTIFS($P$13:$P$9382,"&gt;0",$AG$13:$AG$9382,R1)</f>
        <v>4</v>
      </c>
      <c r="T7" s="47"/>
      <c r="U7" s="133"/>
      <c r="V7" s="48" t="s">
        <v>15</v>
      </c>
      <c r="W7" s="46" t="s">
        <v>15</v>
      </c>
      <c r="X7" s="125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2" t="s">
        <v>16</v>
      </c>
      <c r="J8" s="58">
        <f>J5</f>
        <v>104</v>
      </c>
      <c r="K8" s="47"/>
      <c r="L8" s="47"/>
      <c r="M8" s="48">
        <f>M5</f>
        <v>44.647596153976899</v>
      </c>
      <c r="N8" s="46">
        <f>N5</f>
        <v>29.333333327667788</v>
      </c>
      <c r="O8" s="3">
        <f>O5</f>
        <v>63.366666674846783</v>
      </c>
      <c r="P8" s="2"/>
      <c r="R8" s="92" t="s">
        <v>16</v>
      </c>
      <c r="S8" s="58">
        <f>S5</f>
        <v>43</v>
      </c>
      <c r="T8" s="47"/>
      <c r="U8" s="133"/>
      <c r="V8" s="48">
        <f>V5</f>
        <v>18.541472868040898</v>
      </c>
      <c r="W8" s="46">
        <f>W5</f>
        <v>13.13333333353512</v>
      </c>
      <c r="X8" s="125">
        <f>X5</f>
        <v>30.099999995436519</v>
      </c>
      <c r="Y8" s="68"/>
      <c r="Z8" s="68"/>
      <c r="AA8" s="68"/>
      <c r="AB8" s="65"/>
      <c r="AC8" s="59"/>
      <c r="AD8" s="60"/>
      <c r="AE8" s="1"/>
      <c r="AF8" s="1"/>
      <c r="AG8" s="1"/>
      <c r="AH8" s="56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2" t="s">
        <v>19</v>
      </c>
      <c r="J9" s="72">
        <f>J8/J4</f>
        <v>0.72727272727272729</v>
      </c>
      <c r="K9" s="49"/>
      <c r="L9" s="49"/>
      <c r="M9" s="95"/>
      <c r="N9" s="44"/>
      <c r="O9" s="96"/>
      <c r="P9" s="2"/>
      <c r="R9" s="92" t="s">
        <v>19</v>
      </c>
      <c r="S9" s="72">
        <f>S8/S4</f>
        <v>0.91489361702127658</v>
      </c>
      <c r="T9" s="49"/>
      <c r="U9" s="130"/>
      <c r="V9" s="95"/>
      <c r="W9" s="44"/>
      <c r="X9" s="126"/>
      <c r="Y9" s="68"/>
      <c r="Z9" s="68"/>
      <c r="AA9" s="68"/>
      <c r="AB9" s="65"/>
      <c r="AC9" s="59"/>
      <c r="AD9" s="60"/>
      <c r="AE9" s="1"/>
      <c r="AF9" s="1"/>
      <c r="AG9" s="1"/>
      <c r="AH9" s="56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3"/>
      <c r="V10" s="108"/>
      <c r="W10" s="23"/>
      <c r="X10" s="127"/>
      <c r="Y10" s="68"/>
      <c r="Z10" s="68"/>
      <c r="AA10" s="68"/>
      <c r="AB10" s="65"/>
      <c r="AC10" s="59"/>
      <c r="AD10" s="60"/>
      <c r="AE10" s="1"/>
      <c r="AF10" s="1"/>
      <c r="AG10" s="1"/>
      <c r="AH10" s="56"/>
    </row>
    <row r="11" spans="1:91" ht="16.5" thickBot="1" x14ac:dyDescent="0.3">
      <c r="A11" s="151" t="str">
        <f>"Eagle P3 System Performance - "&amp;TEXT(Variables!A2,"yyyy-mm-dd")</f>
        <v>Eagle P3 System Performance - 2016-08-16</v>
      </c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S11" s="76">
        <f>AVERAGE(S13:S81)</f>
        <v>0.83730158730158732</v>
      </c>
      <c r="V11" s="108"/>
      <c r="AE11" s="1"/>
      <c r="AF11" s="1"/>
      <c r="AG11" s="1"/>
      <c r="AH11" s="56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8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71</v>
      </c>
      <c r="T12" s="57" t="s">
        <v>72</v>
      </c>
      <c r="U12" s="134" t="s">
        <v>73</v>
      </c>
      <c r="V12" s="110" t="s">
        <v>45</v>
      </c>
      <c r="W12" s="54" t="s">
        <v>23</v>
      </c>
      <c r="X12" s="128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97</v>
      </c>
      <c r="AE12" s="103" t="s">
        <v>104</v>
      </c>
      <c r="AF12" s="100" t="s">
        <v>109</v>
      </c>
      <c r="AG12" s="4" t="s">
        <v>131</v>
      </c>
      <c r="AH12" s="106" t="s">
        <v>135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286</v>
      </c>
      <c r="B13" s="7">
        <v>4011</v>
      </c>
      <c r="C13" s="25" t="s">
        <v>119</v>
      </c>
      <c r="D13" s="25" t="s">
        <v>287</v>
      </c>
      <c r="E13" s="16">
        <v>42598.127256944441</v>
      </c>
      <c r="F13" s="16">
        <v>42598.128229166665</v>
      </c>
      <c r="G13" s="7">
        <v>1</v>
      </c>
      <c r="H13" s="16" t="s">
        <v>288</v>
      </c>
      <c r="I13" s="16">
        <v>42598.160590277781</v>
      </c>
      <c r="J13" s="7">
        <v>1</v>
      </c>
      <c r="K13" s="142" t="str">
        <f>IF(ISEVEN(B13),(B13-1)&amp;"/"&amp;B13,B13&amp;"/"&amp;(B13+1))</f>
        <v>4011/4012</v>
      </c>
      <c r="L13" s="25" t="str">
        <f>VLOOKUP(A13,'Trips&amp;Operators'!$C$1:$E$10000,3,FALSE)</f>
        <v>KILLION</v>
      </c>
      <c r="M13" s="6">
        <f>I13-F13</f>
        <v>3.2361111116188113E-2</v>
      </c>
      <c r="N13" s="7">
        <f>24*60*SUM($M13:$M13)</f>
        <v>46.600000007310882</v>
      </c>
      <c r="O13" s="7"/>
      <c r="P13" s="7"/>
      <c r="Q13" s="26"/>
      <c r="R13" s="26"/>
      <c r="S13" s="38">
        <f>SUM(U13:U13)/IF(AG13="EC",12,1)</f>
        <v>1</v>
      </c>
      <c r="T13" s="53" t="str">
        <f>IF(ISEVEN(LEFT(AD13,4)),"Southbound","NorthBound")</f>
        <v>NorthBound</v>
      </c>
      <c r="U13" s="13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1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https://search-rtdc-monitor-bjffxe2xuh6vdkpspy63sjmuny.us-east-1.es.amazonaws.com/_plugin/kibana/#/discover/Steve-Slow-Train-Analysis-(2080s-and-2083s)?_g=(refreshInterval:(display:Off,section:0,value:0),time:(from:'2016-08-16 02:03:15-0600',mode:absolute,to:'2016-08-16 04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" s="55" t="str">
        <f>IF(AA13&lt;IF(AG13="EC",23,5.65),"Y","N")</f>
        <v>N</v>
      </c>
      <c r="X13" s="129" t="e">
        <f>VALUE(LEFT(AD13,4))-VALUE(LEFT(AD12,4))</f>
        <v>#VALUE!</v>
      </c>
      <c r="Y13" s="70">
        <f>RIGHT(D13,LEN(D13)-4)/10000</f>
        <v>7.46E-2</v>
      </c>
      <c r="Z13" s="70">
        <f>RIGHT(H13,LEN(H13)-4)/10000</f>
        <v>23.344899999999999</v>
      </c>
      <c r="AA13" s="70">
        <f>ABS(Z13-Y13)</f>
        <v>23.270299999999999</v>
      </c>
      <c r="AB13" s="67" t="e">
        <f>VLOOKUP(A13,Enforcements!$C$7:$J$24,8,0)</f>
        <v>#N/A</v>
      </c>
      <c r="AC13" s="63" t="e">
        <f>VLOOKUP(A13,Enforcements!$C$7:$E$24,3,0)</f>
        <v>#N/A</v>
      </c>
      <c r="AD13" s="64" t="str">
        <f>IF(LEN(A13)=6,"0"&amp;A13,A13)</f>
        <v>0101-16</v>
      </c>
      <c r="AE13" s="104" t="str">
        <f t="shared" ref="AE13:AE76" si="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AF13" s="101" t="str">
        <f t="shared" ref="AF13:AF76" si="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/stypes="*4011*20160816*"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5" t="str">
        <f t="shared" ref="AH13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101-16 --locoid 4011 --swversion DE.1.0.7.0 --startMP 204:746 --initTime 2016-08-16T03:03:15 --startdatetime 2016-08-16T03:04:39 --delay 1 --endMP 204:233449 --enddatetime 2016-08-16T03:51:15 --enforcementcount 1</v>
      </c>
    </row>
    <row r="14" spans="1:91" s="1" customFormat="1" x14ac:dyDescent="0.25">
      <c r="A14" s="40" t="s">
        <v>289</v>
      </c>
      <c r="B14" s="7">
        <v>4032</v>
      </c>
      <c r="C14" s="25" t="s">
        <v>119</v>
      </c>
      <c r="D14" s="25" t="s">
        <v>290</v>
      </c>
      <c r="E14" s="16">
        <v>42598.167962962965</v>
      </c>
      <c r="F14" s="16">
        <v>42598.168854166666</v>
      </c>
      <c r="G14" s="7">
        <v>1</v>
      </c>
      <c r="H14" s="16" t="s">
        <v>218</v>
      </c>
      <c r="I14" s="16">
        <v>42598.201990740738</v>
      </c>
      <c r="J14" s="7">
        <v>1</v>
      </c>
      <c r="K14" s="142" t="str">
        <f>IF(ISEVEN(B14),(B14-1)&amp;"/"&amp;B14,B14&amp;"/"&amp;(B14+1))</f>
        <v>4031/4032</v>
      </c>
      <c r="L14" s="25" t="str">
        <f>VLOOKUP(A14,'Trips&amp;Operators'!$C$1:$E$10000,3,FALSE)</f>
        <v>KILLION</v>
      </c>
      <c r="M14" s="6">
        <f>I14-F14</f>
        <v>3.3136574071249925E-2</v>
      </c>
      <c r="N14" s="7">
        <f>24*60*SUM($M14:$M14)</f>
        <v>47.716666662599891</v>
      </c>
      <c r="O14" s="7"/>
      <c r="P14" s="7"/>
      <c r="Q14" s="26"/>
      <c r="R14" s="26"/>
      <c r="S14" s="38">
        <f>SUM(U14:U14)/IF(AG14="EC",12,1)</f>
        <v>1</v>
      </c>
      <c r="T14" s="53" t="str">
        <f>IF(ISEVEN(LEFT(AD14,4)),"Southbound","NorthBound")</f>
        <v>Southbound</v>
      </c>
      <c r="U14" s="13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1" t="str">
        <f t="shared" ref="V14:V77" si="3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https://search-rtdc-monitor-bjffxe2xuh6vdkpspy63sjmuny.us-east-1.es.amazonaws.com/_plugin/kibana/#/discover/Steve-Slow-Train-Analysis-(2080s-and-2083s)?_g=(refreshInterval:(display:Off,section:0,value:0),time:(from:'2016-08-16 03:01:52-0600',mode:absolute,to:'2016-08-16 05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" s="55" t="str">
        <f>IF(AA14&lt;IF(AG14="EC",23,5.65),"Y","N")</f>
        <v>N</v>
      </c>
      <c r="X14" s="129">
        <f>VALUE(LEFT(AD14,4))-VALUE(LEFT(AD13,4))</f>
        <v>1</v>
      </c>
      <c r="Y14" s="70">
        <f>RIGHT(D14,LEN(D14)-4)/10000</f>
        <v>23.2637</v>
      </c>
      <c r="Z14" s="70">
        <f>RIGHT(H14,LEN(H14)-4)/10000</f>
        <v>1.67E-2</v>
      </c>
      <c r="AA14" s="70">
        <f>ABS(Z14-Y14)</f>
        <v>23.247</v>
      </c>
      <c r="AB14" s="67" t="e">
        <f>VLOOKUP(A14,Enforcements!$C$7:$J$24,8,0)</f>
        <v>#N/A</v>
      </c>
      <c r="AC14" s="63" t="e">
        <f>VLOOKUP(A14,Enforcements!$C$7:$E$24,3,0)</f>
        <v>#N/A</v>
      </c>
      <c r="AD14" s="64" t="str">
        <f>IF(LEN(A14)=6,"0"&amp;A14,A14)</f>
        <v>0102-16</v>
      </c>
      <c r="AE14" s="104" t="str">
        <f t="shared" si="0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14" s="101" t="str">
        <f t="shared" si="1"/>
        <v>"C:\Program Files (x86)\AstroGrep\AstroGrep.exe" /spath="%USERPROFILE%\AppData\Local\Temp\OnboardLogs" /stypes="*4032*20160816*"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5" t="str">
        <f t="shared" ref="AH14:AH83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102-16 --locoid 4032 --swversion DE.1.0.7.0 --startMP 204:232637 --initTime 2016-08-16T04:01:52 --startdatetime 2016-08-16T04:03:09 --delay 1 --endMP 204:167 --enddatetime 2016-08-16T04:50:52 --enforcementcount 1</v>
      </c>
    </row>
    <row r="15" spans="1:91" s="1" customFormat="1" x14ac:dyDescent="0.25">
      <c r="A15" s="40" t="s">
        <v>291</v>
      </c>
      <c r="B15" s="7">
        <v>4003</v>
      </c>
      <c r="C15" s="25" t="s">
        <v>119</v>
      </c>
      <c r="D15" s="25" t="s">
        <v>275</v>
      </c>
      <c r="E15" s="16">
        <v>42598.156504629631</v>
      </c>
      <c r="F15" s="16">
        <v>42598.157268518517</v>
      </c>
      <c r="G15" s="7">
        <v>1</v>
      </c>
      <c r="H15" s="16" t="s">
        <v>292</v>
      </c>
      <c r="I15" s="16">
        <v>42598.183518518519</v>
      </c>
      <c r="J15" s="7">
        <v>1</v>
      </c>
      <c r="K15" s="142" t="str">
        <f>IF(ISEVEN(B15),(B15-1)&amp;"/"&amp;B15,B15&amp;"/"&amp;(B15+1))</f>
        <v>4003/4004</v>
      </c>
      <c r="L15" s="25" t="str">
        <f>VLOOKUP(A15,'Trips&amp;Operators'!$C$1:$E$10000,3,FALSE)</f>
        <v>ACKERMAN</v>
      </c>
      <c r="M15" s="6">
        <f>I15-F15</f>
        <v>2.6250000002619345E-2</v>
      </c>
      <c r="N15" s="7">
        <f>24*60*SUM($M15:$M15)</f>
        <v>37.800000003771856</v>
      </c>
      <c r="O15" s="7"/>
      <c r="P15" s="7"/>
      <c r="Q15" s="26"/>
      <c r="R15" s="26"/>
      <c r="S15" s="38">
        <f>SUM(U15:U15)/IF(AG15="EC",12,1)</f>
        <v>1</v>
      </c>
      <c r="T15" s="53" t="str">
        <f>IF(ISEVEN(LEFT(AD15,4)),"Southbound","NorthBound")</f>
        <v>NorthBound</v>
      </c>
      <c r="U15" s="13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02:45:22-0600',mode:absolute,to:'2016-08-16 05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5" s="55" t="str">
        <f>IF(AA15&lt;IF(AG15="EC",23,5.65),"Y","N")</f>
        <v>N</v>
      </c>
      <c r="X15" s="129">
        <f t="shared" ref="X15:X31" si="5">VALUE(LEFT(AD15,4))-VALUE(LEFT(AD14,4))</f>
        <v>1</v>
      </c>
      <c r="Y15" s="70">
        <f>RIGHT(D15,LEN(D15)-4)/10000</f>
        <v>6.3500000000000001E-2</v>
      </c>
      <c r="Z15" s="70">
        <f>RIGHT(H15,LEN(H15)-4)/10000</f>
        <v>23.341000000000001</v>
      </c>
      <c r="AA15" s="70">
        <f>ABS(Z15-Y15)</f>
        <v>23.2775</v>
      </c>
      <c r="AB15" s="67" t="e">
        <f>VLOOKUP(A15,Enforcements!$C$7:$J$24,8,0)</f>
        <v>#N/A</v>
      </c>
      <c r="AC15" s="63" t="e">
        <f>VLOOKUP(A15,Enforcements!$C$7:$E$24,3,0)</f>
        <v>#N/A</v>
      </c>
      <c r="AD15" s="64" t="str">
        <f>IF(LEN(A15)=6,"0"&amp;A15,A15)</f>
        <v>0103-16</v>
      </c>
      <c r="AE15" s="104" t="str">
        <f t="shared" si="0"/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AF15" s="101" t="str">
        <f t="shared" si="1"/>
        <v>"C:\Program Files (x86)\AstroGrep\AstroGrep.exe" /spath="%USERPROFILE%\AppData\Local\Temp\OnboardLogs" /stypes="*4003*20160816*" /stext=" 10:.+((SYSTEM_STATE.+slice.+state.+changed )|(ment ac)|(system.+state.+changed )|(\|lc)|(penalty)|(\[timeout)|(PRM\|1\|D)|(kpr)|(kdp))" /e /r /s</v>
      </c>
      <c r="AG15" s="1" t="str">
        <f>IFERROR(IF(VALUE(LEFT(AD15,2))&lt;=2,"EC",IF(OR(VALUE(LEFT(AD15,2))=8,VALUE(LEFT(AD15,2))=18),"NW","Other")),"Other")</f>
        <v>EC</v>
      </c>
      <c r="AH15" s="105" t="str">
        <f t="shared" si="4"/>
        <v>"%USERPROFILE%\Documents\GitHub\eaglep3\Utilities\RefineRTDCRunTimes.py" --tripid 103-16 --locoid 4003 --swversion DE.1.0.7.0 --startMP 204:635 --initTime 2016-08-16T03:45:22 --startdatetime 2016-08-16T03:46:28 --delay 1 --endMP 204:233410 --enddatetime 2016-08-16T04:24:16 --enforcementcount 1</v>
      </c>
    </row>
    <row r="16" spans="1:91" s="1" customFormat="1" x14ac:dyDescent="0.25">
      <c r="A16" s="40" t="s">
        <v>678</v>
      </c>
      <c r="B16" s="7">
        <v>4003</v>
      </c>
      <c r="C16" s="25"/>
      <c r="D16" s="25"/>
      <c r="E16" s="16"/>
      <c r="F16" s="16" t="s">
        <v>682</v>
      </c>
      <c r="G16" s="7" t="s">
        <v>682</v>
      </c>
      <c r="H16" s="16" t="s">
        <v>682</v>
      </c>
      <c r="I16" s="16" t="s">
        <v>682</v>
      </c>
      <c r="J16" s="7" t="s">
        <v>682</v>
      </c>
      <c r="K16" s="142" t="str">
        <f t="shared" ref="K16:K19" si="6">IF(ISEVEN(B16),(B16-1)&amp;"/"&amp;B16,B16&amp;"/"&amp;(B16+1))</f>
        <v>4003/4004</v>
      </c>
      <c r="L16" s="25" t="e">
        <f>VLOOKUP(A16,'Trips&amp;Operators'!$C$1:$E$10000,3,FALSE)</f>
        <v>#N/A</v>
      </c>
      <c r="M16" s="6"/>
      <c r="N16" s="7"/>
      <c r="O16" s="7"/>
      <c r="P16" s="7">
        <v>1</v>
      </c>
      <c r="Q16" s="26"/>
      <c r="R16" s="26" t="s">
        <v>683</v>
      </c>
      <c r="S16" s="38">
        <f t="shared" ref="S16:S20" si="7">SUM(U16:U16)/IF(AG16="EC",12,1)</f>
        <v>0</v>
      </c>
      <c r="T16" s="53" t="str">
        <f t="shared" ref="T16:T20" si="8">IF(ISEVEN(LEFT(AD16,4)),"Southbound","NorthBound")</f>
        <v>Southbound</v>
      </c>
      <c r="U16" s="13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11" t="e">
        <f t="shared" si="3"/>
        <v>#VALUE!</v>
      </c>
      <c r="W16" s="55" t="e">
        <f t="shared" ref="W16:W20" si="9">IF(AA16&lt;IF(AG16="EC",23,5.65),"Y","N")</f>
        <v>#VALUE!</v>
      </c>
      <c r="X16" s="129">
        <f t="shared" si="5"/>
        <v>1</v>
      </c>
      <c r="Y16" s="70" t="e">
        <f t="shared" ref="Y16:Y20" si="10">RIGHT(D16,LEN(D16)-4)/10000</f>
        <v>#VALUE!</v>
      </c>
      <c r="Z16" s="70" t="e">
        <f t="shared" ref="Z16:Z20" si="11">RIGHT(H16,LEN(H16)-4)/10000</f>
        <v>#VALUE!</v>
      </c>
      <c r="AA16" s="70" t="e">
        <f t="shared" ref="AA16:AA20" si="12">ABS(Z16-Y16)</f>
        <v>#VALUE!</v>
      </c>
      <c r="AB16" s="67" t="e">
        <f>VLOOKUP(A16,Enforcements!$C$7:$J$24,8,0)</f>
        <v>#N/A</v>
      </c>
      <c r="AC16" s="63" t="e">
        <f>VLOOKUP(A16,Enforcements!$C$7:$E$24,3,0)</f>
        <v>#N/A</v>
      </c>
      <c r="AD16" s="64" t="str">
        <f t="shared" ref="AD16:AD20" si="13">IF(LEN(A16)=6,"0"&amp;A16,A16)</f>
        <v>0104-16</v>
      </c>
      <c r="AE16" s="104" t="e">
        <f t="shared" si="0"/>
        <v>#VALUE!</v>
      </c>
      <c r="AF16" s="101" t="e">
        <f t="shared" si="1"/>
        <v>#VALUE!</v>
      </c>
      <c r="AG16" s="1" t="str">
        <f t="shared" ref="AG16:AG20" si="14">IFERROR(IF(VALUE(LEFT(AD16,2))&lt;=2,"EC",IF(OR(VALUE(LEFT(AD16,2))=8,VALUE(LEFT(AD16,2))=18),"NW","Other")),"Other")</f>
        <v>EC</v>
      </c>
      <c r="AH16" s="105" t="str">
        <f t="shared" ref="AH16:AH20" si="15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</f>
        <v>"%USERPROFILE%\Documents\GitHub\eaglep3\Utilities\RefineRTDCRunTimes.py" --tripid 104-16 --locoid 4003 --swversion  --startMP  --initTime 1900-01-00T00:00:00 --startdatetime - --delay - --endMP - --enddatetime - --enforcementcount -</v>
      </c>
    </row>
    <row r="17" spans="1:34" s="1" customFormat="1" x14ac:dyDescent="0.25">
      <c r="A17" s="40" t="s">
        <v>679</v>
      </c>
      <c r="B17" s="150" t="s">
        <v>682</v>
      </c>
      <c r="C17" s="25"/>
      <c r="D17" s="25"/>
      <c r="E17" s="16"/>
      <c r="F17" s="16" t="s">
        <v>682</v>
      </c>
      <c r="G17" s="7" t="s">
        <v>682</v>
      </c>
      <c r="H17" s="16" t="s">
        <v>682</v>
      </c>
      <c r="I17" s="16" t="s">
        <v>682</v>
      </c>
      <c r="J17" s="7" t="s">
        <v>682</v>
      </c>
      <c r="K17" s="142" t="s">
        <v>682</v>
      </c>
      <c r="L17" s="25" t="e">
        <f>VLOOKUP(A17,'Trips&amp;Operators'!$C$1:$E$10000,3,FALSE)</f>
        <v>#N/A</v>
      </c>
      <c r="M17" s="6"/>
      <c r="N17" s="7"/>
      <c r="O17" s="7"/>
      <c r="P17" s="7">
        <v>1</v>
      </c>
      <c r="Q17" s="26"/>
      <c r="R17" s="26" t="s">
        <v>683</v>
      </c>
      <c r="S17" s="38">
        <f t="shared" si="7"/>
        <v>0</v>
      </c>
      <c r="T17" s="53" t="str">
        <f t="shared" si="8"/>
        <v>NorthBound</v>
      </c>
      <c r="U17" s="13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111" t="e">
        <f t="shared" si="3"/>
        <v>#VALUE!</v>
      </c>
      <c r="W17" s="55" t="e">
        <f t="shared" si="9"/>
        <v>#VALUE!</v>
      </c>
      <c r="X17" s="129">
        <f t="shared" si="5"/>
        <v>1</v>
      </c>
      <c r="Y17" s="70" t="e">
        <f t="shared" si="10"/>
        <v>#VALUE!</v>
      </c>
      <c r="Z17" s="70" t="e">
        <f t="shared" si="11"/>
        <v>#VALUE!</v>
      </c>
      <c r="AA17" s="70" t="e">
        <f t="shared" si="12"/>
        <v>#VALUE!</v>
      </c>
      <c r="AB17" s="67" t="e">
        <f>VLOOKUP(A17,Enforcements!$C$7:$J$24,8,0)</f>
        <v>#N/A</v>
      </c>
      <c r="AC17" s="63" t="e">
        <f>VLOOKUP(A17,Enforcements!$C$7:$E$24,3,0)</f>
        <v>#N/A</v>
      </c>
      <c r="AD17" s="64" t="str">
        <f t="shared" si="13"/>
        <v>0105-16</v>
      </c>
      <c r="AE17" s="104" t="e">
        <f t="shared" si="0"/>
        <v>#VALUE!</v>
      </c>
      <c r="AF17" s="101" t="e">
        <f t="shared" si="1"/>
        <v>#VALUE!</v>
      </c>
      <c r="AG17" s="1" t="str">
        <f t="shared" si="14"/>
        <v>EC</v>
      </c>
      <c r="AH17" s="105" t="str">
        <f t="shared" si="15"/>
        <v>"%USERPROFILE%\Documents\GitHub\eaglep3\Utilities\RefineRTDCRunTimes.py" --tripid 105-16 --locoid - --swversion  --startMP  --initTime 1900-01-00T00:00:00 --startdatetime - --delay - --endMP - --enddatetime - --enforcementcount -</v>
      </c>
    </row>
    <row r="18" spans="1:34" s="1" customFormat="1" x14ac:dyDescent="0.25">
      <c r="A18" s="40" t="s">
        <v>680</v>
      </c>
      <c r="B18" s="150" t="s">
        <v>682</v>
      </c>
      <c r="C18" s="25"/>
      <c r="D18" s="25"/>
      <c r="E18" s="16"/>
      <c r="F18" s="16" t="s">
        <v>682</v>
      </c>
      <c r="G18" s="7" t="s">
        <v>682</v>
      </c>
      <c r="H18" s="16" t="s">
        <v>682</v>
      </c>
      <c r="I18" s="16" t="s">
        <v>682</v>
      </c>
      <c r="J18" s="7" t="s">
        <v>682</v>
      </c>
      <c r="K18" s="142" t="s">
        <v>682</v>
      </c>
      <c r="L18" s="25" t="e">
        <f>VLOOKUP(A18,'Trips&amp;Operators'!$C$1:$E$10000,3,FALSE)</f>
        <v>#N/A</v>
      </c>
      <c r="M18" s="6"/>
      <c r="N18" s="7"/>
      <c r="O18" s="7"/>
      <c r="P18" s="7">
        <v>1</v>
      </c>
      <c r="Q18" s="26"/>
      <c r="R18" s="26" t="s">
        <v>683</v>
      </c>
      <c r="S18" s="38">
        <f t="shared" si="7"/>
        <v>0</v>
      </c>
      <c r="T18" s="53" t="str">
        <f t="shared" si="8"/>
        <v>Southbound</v>
      </c>
      <c r="U18" s="13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11" t="e">
        <f t="shared" si="3"/>
        <v>#VALUE!</v>
      </c>
      <c r="W18" s="55" t="e">
        <f t="shared" si="9"/>
        <v>#VALUE!</v>
      </c>
      <c r="X18" s="129">
        <f t="shared" si="5"/>
        <v>1</v>
      </c>
      <c r="Y18" s="70" t="e">
        <f t="shared" si="10"/>
        <v>#VALUE!</v>
      </c>
      <c r="Z18" s="70" t="e">
        <f t="shared" si="11"/>
        <v>#VALUE!</v>
      </c>
      <c r="AA18" s="70" t="e">
        <f t="shared" si="12"/>
        <v>#VALUE!</v>
      </c>
      <c r="AB18" s="67" t="e">
        <f>VLOOKUP(A18,Enforcements!$C$7:$J$24,8,0)</f>
        <v>#N/A</v>
      </c>
      <c r="AC18" s="63" t="e">
        <f>VLOOKUP(A18,Enforcements!$C$7:$E$24,3,0)</f>
        <v>#N/A</v>
      </c>
      <c r="AD18" s="64" t="str">
        <f t="shared" si="13"/>
        <v>0106-16</v>
      </c>
      <c r="AE18" s="104" t="e">
        <f t="shared" si="0"/>
        <v>#VALUE!</v>
      </c>
      <c r="AF18" s="101" t="e">
        <f t="shared" si="1"/>
        <v>#VALUE!</v>
      </c>
      <c r="AG18" s="1" t="str">
        <f t="shared" si="14"/>
        <v>EC</v>
      </c>
      <c r="AH18" s="105" t="str">
        <f t="shared" si="15"/>
        <v>"%USERPROFILE%\Documents\GitHub\eaglep3\Utilities\RefineRTDCRunTimes.py" --tripid 106-16 --locoid - --swversion  --startMP  --initTime 1900-01-00T00:00:00 --startdatetime - --delay - --endMP - --enddatetime - --enforcementcount -</v>
      </c>
    </row>
    <row r="19" spans="1:34" s="1" customFormat="1" x14ac:dyDescent="0.25">
      <c r="A19" s="40" t="s">
        <v>681</v>
      </c>
      <c r="B19" s="7">
        <v>4010</v>
      </c>
      <c r="C19" s="25"/>
      <c r="D19" s="25"/>
      <c r="E19" s="16"/>
      <c r="F19" s="16" t="s">
        <v>682</v>
      </c>
      <c r="G19" s="7" t="s">
        <v>682</v>
      </c>
      <c r="H19" s="16" t="s">
        <v>682</v>
      </c>
      <c r="I19" s="16" t="s">
        <v>682</v>
      </c>
      <c r="J19" s="7" t="s">
        <v>682</v>
      </c>
      <c r="K19" s="142" t="str">
        <f t="shared" si="6"/>
        <v>4009/4010</v>
      </c>
      <c r="L19" s="25" t="e">
        <f>VLOOKUP(A19,'Trips&amp;Operators'!$C$1:$E$10000,3,FALSE)</f>
        <v>#N/A</v>
      </c>
      <c r="M19" s="6"/>
      <c r="N19" s="7"/>
      <c r="O19" s="7"/>
      <c r="P19" s="7">
        <v>1</v>
      </c>
      <c r="Q19" s="26"/>
      <c r="R19" s="26" t="s">
        <v>683</v>
      </c>
      <c r="S19" s="38">
        <f t="shared" si="7"/>
        <v>0</v>
      </c>
      <c r="T19" s="53" t="str">
        <f t="shared" si="8"/>
        <v>NorthBound</v>
      </c>
      <c r="U19" s="13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11" t="e">
        <f t="shared" si="3"/>
        <v>#VALUE!</v>
      </c>
      <c r="W19" s="55" t="e">
        <f t="shared" si="9"/>
        <v>#VALUE!</v>
      </c>
      <c r="X19" s="129">
        <f t="shared" si="5"/>
        <v>1</v>
      </c>
      <c r="Y19" s="70" t="e">
        <f t="shared" si="10"/>
        <v>#VALUE!</v>
      </c>
      <c r="Z19" s="70" t="e">
        <f t="shared" si="11"/>
        <v>#VALUE!</v>
      </c>
      <c r="AA19" s="70" t="e">
        <f t="shared" si="12"/>
        <v>#VALUE!</v>
      </c>
      <c r="AB19" s="67" t="e">
        <f>VLOOKUP(A19,Enforcements!$C$7:$J$24,8,0)</f>
        <v>#N/A</v>
      </c>
      <c r="AC19" s="63" t="e">
        <f>VLOOKUP(A19,Enforcements!$C$7:$E$24,3,0)</f>
        <v>#N/A</v>
      </c>
      <c r="AD19" s="64" t="str">
        <f t="shared" si="13"/>
        <v>0107-16</v>
      </c>
      <c r="AE19" s="104" t="e">
        <f t="shared" si="0"/>
        <v>#VALUE!</v>
      </c>
      <c r="AF19" s="101" t="e">
        <f t="shared" si="1"/>
        <v>#VALUE!</v>
      </c>
      <c r="AG19" s="1" t="str">
        <f t="shared" si="14"/>
        <v>EC</v>
      </c>
      <c r="AH19" s="105" t="str">
        <f t="shared" si="15"/>
        <v>"%USERPROFILE%\Documents\GitHub\eaglep3\Utilities\RefineRTDCRunTimes.py" --tripid 107-16 --locoid 4010 --swversion  --startMP  --initTime 1900-01-00T00:00:00 --startdatetime - --delay - --endMP - --enddatetime - --enforcementcount -</v>
      </c>
    </row>
    <row r="20" spans="1:34" s="1" customFormat="1" x14ac:dyDescent="0.25">
      <c r="A20" s="40" t="s">
        <v>293</v>
      </c>
      <c r="B20" s="7">
        <v>4010</v>
      </c>
      <c r="C20" s="25" t="s">
        <v>119</v>
      </c>
      <c r="D20" s="25" t="s">
        <v>143</v>
      </c>
      <c r="E20" s="16">
        <v>42598.22247685185</v>
      </c>
      <c r="F20" s="16">
        <v>42598.223912037036</v>
      </c>
      <c r="G20" s="7">
        <v>2</v>
      </c>
      <c r="H20" s="16" t="s">
        <v>175</v>
      </c>
      <c r="I20" s="16">
        <v>42598.253935185188</v>
      </c>
      <c r="J20" s="7">
        <v>1</v>
      </c>
      <c r="K20" s="142" t="str">
        <f t="shared" ref="K20:K51" si="16">IF(ISEVEN(B20),(B20-1)&amp;"/"&amp;B20,B20&amp;"/"&amp;(B20+1))</f>
        <v>4009/4010</v>
      </c>
      <c r="L20" s="25" t="str">
        <f>VLOOKUP(A20,'Trips&amp;Operators'!$C$1:$E$10000,3,FALSE)</f>
        <v>SPECTOR</v>
      </c>
      <c r="M20" s="6">
        <f t="shared" ref="M20:M29" si="17">I20-F20</f>
        <v>3.0023148152395152E-2</v>
      </c>
      <c r="N20" s="7">
        <f>24*60*SUM($M20:$M20)</f>
        <v>43.233333339449018</v>
      </c>
      <c r="O20" s="7"/>
      <c r="P20" s="7"/>
      <c r="Q20" s="26"/>
      <c r="R20" s="26"/>
      <c r="S20" s="38">
        <f t="shared" si="7"/>
        <v>1</v>
      </c>
      <c r="T20" s="53" t="str">
        <f t="shared" si="8"/>
        <v>Southbound</v>
      </c>
      <c r="U20" s="13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04:20:22-0600',mode:absolute,to:'2016-08-16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0" s="55" t="str">
        <f t="shared" si="9"/>
        <v>N</v>
      </c>
      <c r="X20" s="129">
        <f t="shared" si="5"/>
        <v>1</v>
      </c>
      <c r="Y20" s="70">
        <f t="shared" si="10"/>
        <v>23.299399999999999</v>
      </c>
      <c r="Z20" s="70">
        <f t="shared" si="11"/>
        <v>1.5599999999999999E-2</v>
      </c>
      <c r="AA20" s="70">
        <f t="shared" si="12"/>
        <v>23.283799999999999</v>
      </c>
      <c r="AB20" s="67" t="e">
        <f>VLOOKUP(A20,Enforcements!$C$7:$J$24,8,0)</f>
        <v>#N/A</v>
      </c>
      <c r="AC20" s="63" t="e">
        <f>VLOOKUP(A20,Enforcements!$C$7:$E$24,3,0)</f>
        <v>#N/A</v>
      </c>
      <c r="AD20" s="64" t="str">
        <f t="shared" si="13"/>
        <v>0108-16</v>
      </c>
      <c r="AE20" s="104" t="str">
        <f t="shared" si="0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20" s="101" t="str">
        <f t="shared" si="1"/>
        <v>"C:\Program Files (x86)\AstroGrep\AstroGrep.exe" /spath="%USERPROFILE%\AppData\Local\Temp\OnboardLogs" /stypes="*4010*20160816*"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5" t="str">
        <f t="shared" si="15"/>
        <v>"%USERPROFILE%\Documents\GitHub\eaglep3\Utilities\RefineRTDCRunTimes.py" --tripid 108-16 --locoid 4010 --swversion DE.1.0.7.0 --startMP 204:232994 --initTime 2016-08-16T05:20:22 --startdatetime 2016-08-16T05:22:26 --delay 2 --endMP 204:156 --enddatetime 2016-08-16T06:05:40 --enforcementcount 1</v>
      </c>
    </row>
    <row r="21" spans="1:34" s="1" customFormat="1" x14ac:dyDescent="0.25">
      <c r="A21" s="40" t="s">
        <v>294</v>
      </c>
      <c r="B21" s="7">
        <v>4044</v>
      </c>
      <c r="C21" s="25" t="s">
        <v>119</v>
      </c>
      <c r="D21" s="25" t="s">
        <v>243</v>
      </c>
      <c r="E21" s="16">
        <v>42598.193831018521</v>
      </c>
      <c r="F21" s="16">
        <v>42598.195115740738</v>
      </c>
      <c r="G21" s="7">
        <v>1</v>
      </c>
      <c r="H21" s="16" t="s">
        <v>222</v>
      </c>
      <c r="I21" s="16">
        <v>42598.226226851853</v>
      </c>
      <c r="J21" s="7">
        <v>1</v>
      </c>
      <c r="K21" s="142" t="str">
        <f t="shared" si="16"/>
        <v>4043/4044</v>
      </c>
      <c r="L21" s="25" t="str">
        <f>VLOOKUP(A21,'Trips&amp;Operators'!$C$1:$E$10000,3,FALSE)</f>
        <v>DAVIS</v>
      </c>
      <c r="M21" s="6">
        <f t="shared" si="17"/>
        <v>3.1111111115023959E-2</v>
      </c>
      <c r="N21" s="7">
        <f>24*60*SUM($M21:$M21)</f>
        <v>44.800000005634502</v>
      </c>
      <c r="O21" s="7"/>
      <c r="P21" s="7"/>
      <c r="Q21" s="26"/>
      <c r="R21" s="26"/>
      <c r="S21" s="38">
        <f>SUM(U21:U21)/IF(AG21="EC",12,1)</f>
        <v>1</v>
      </c>
      <c r="T21" s="53" t="str">
        <f t="shared" ref="T21:T29" si="18">IF(ISEVEN(LEFT(AD21,4)),"Southbound","NorthBound")</f>
        <v>NorthBound</v>
      </c>
      <c r="U21" s="13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03:39:07-0600',mode:absolute,to:'2016-08-16 06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1" s="55" t="str">
        <f t="shared" ref="W21:W29" si="19">IF(AA21&lt;IF(AG21="EC",23,5.65),"Y","N")</f>
        <v>N</v>
      </c>
      <c r="X21" s="129">
        <f t="shared" si="5"/>
        <v>1</v>
      </c>
      <c r="Y21" s="70">
        <f t="shared" ref="Y21:Y29" si="20">RIGHT(D21,LEN(D21)-4)/10000</f>
        <v>4.82E-2</v>
      </c>
      <c r="Z21" s="70">
        <f t="shared" ref="Z21:Z29" si="21">RIGHT(H21,LEN(H21)-4)/10000</f>
        <v>23.334099999999999</v>
      </c>
      <c r="AA21" s="70">
        <f t="shared" ref="AA21:AA29" si="22">ABS(Z21-Y21)</f>
        <v>23.285899999999998</v>
      </c>
      <c r="AB21" s="67" t="e">
        <f>VLOOKUP(A21,Enforcements!$C$7:$J$24,8,0)</f>
        <v>#N/A</v>
      </c>
      <c r="AC21" s="63" t="e">
        <f>VLOOKUP(A21,Enforcements!$C$7:$E$24,3,0)</f>
        <v>#N/A</v>
      </c>
      <c r="AD21" s="64" t="str">
        <f t="shared" ref="AD21:AD29" si="23">IF(LEN(A21)=6,"0"&amp;A21,A21)</f>
        <v>0109-16</v>
      </c>
      <c r="AE21" s="104" t="str">
        <f t="shared" si="0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21" s="101" t="str">
        <f t="shared" si="1"/>
        <v>"C:\Program Files (x86)\AstroGrep\AstroGrep.exe" /spath="%USERPROFILE%\AppData\Local\Temp\OnboardLogs" /stypes="*4044*20160816*" /stext=" 11:.+((SYSTEM_STATE.+slice.+state.+changed )|(ment ac)|(system.+state.+changed )|(\|lc)|(penalty)|(\[timeout)|(PRM\|1\|D)|(kpr)|(kdp))" /e /r /s</v>
      </c>
      <c r="AG21" s="1" t="str">
        <f t="shared" ref="AG21:AG29" si="24">IFERROR(IF(VALUE(LEFT(AD21,2))&lt;=2,"EC",IF(OR(VALUE(LEFT(AD21,2))=8,VALUE(LEFT(AD21,2))=18),"NW","Other")),"Other")</f>
        <v>EC</v>
      </c>
      <c r="AH21" s="105" t="str">
        <f t="shared" si="4"/>
        <v>"%USERPROFILE%\Documents\GitHub\eaglep3\Utilities\RefineRTDCRunTimes.py" --tripid 109-16 --locoid 4044 --swversion DE.1.0.7.0 --startMP 204:482 --initTime 2016-08-16T04:39:07 --startdatetime 2016-08-16T04:40:58 --delay 1 --endMP 204:233341 --enddatetime 2016-08-16T05:25:46 --enforcementcount 1</v>
      </c>
    </row>
    <row r="22" spans="1:34" s="1" customFormat="1" x14ac:dyDescent="0.25">
      <c r="A22" s="40" t="s">
        <v>295</v>
      </c>
      <c r="B22" s="7">
        <v>4043</v>
      </c>
      <c r="C22" s="25" t="s">
        <v>119</v>
      </c>
      <c r="D22" s="25" t="s">
        <v>132</v>
      </c>
      <c r="E22" s="16">
        <v>42598.231736111113</v>
      </c>
      <c r="F22" s="16">
        <v>42598.233206018522</v>
      </c>
      <c r="G22" s="7">
        <v>2</v>
      </c>
      <c r="H22" s="16" t="s">
        <v>296</v>
      </c>
      <c r="I22" s="16">
        <v>42598.268599537034</v>
      </c>
      <c r="J22" s="7">
        <v>1</v>
      </c>
      <c r="K22" s="142" t="str">
        <f t="shared" si="16"/>
        <v>4043/4044</v>
      </c>
      <c r="L22" s="25" t="str">
        <f>VLOOKUP(A22,'Trips&amp;Operators'!$C$1:$E$10000,3,FALSE)</f>
        <v>DAVIS</v>
      </c>
      <c r="M22" s="6">
        <f t="shared" si="17"/>
        <v>3.5393518512137234E-2</v>
      </c>
      <c r="N22" s="7">
        <f>24*60*SUM($M22:$M22)</f>
        <v>50.966666657477617</v>
      </c>
      <c r="O22" s="7"/>
      <c r="P22" s="7"/>
      <c r="Q22" s="26"/>
      <c r="R22" s="26"/>
      <c r="S22" s="38">
        <f>SUM(U22:U22)/IF(AG22="EC",12,1)</f>
        <v>1</v>
      </c>
      <c r="T22" s="53" t="str">
        <f t="shared" si="18"/>
        <v>Southbound</v>
      </c>
      <c r="U22" s="13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04:33:42-0600',mode:absolute,to:'2016-08-16 07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2" s="55" t="str">
        <f t="shared" si="19"/>
        <v>N</v>
      </c>
      <c r="X22" s="129">
        <f t="shared" si="5"/>
        <v>1</v>
      </c>
      <c r="Y22" s="70">
        <f t="shared" si="20"/>
        <v>23.299800000000001</v>
      </c>
      <c r="Z22" s="70">
        <f t="shared" si="21"/>
        <v>3.7100000000000001E-2</v>
      </c>
      <c r="AA22" s="70">
        <f t="shared" si="22"/>
        <v>23.262700000000002</v>
      </c>
      <c r="AB22" s="67" t="e">
        <f>VLOOKUP(A22,Enforcements!$C$7:$J$24,8,0)</f>
        <v>#N/A</v>
      </c>
      <c r="AC22" s="63" t="e">
        <f>VLOOKUP(A22,Enforcements!$C$7:$E$24,3,0)</f>
        <v>#N/A</v>
      </c>
      <c r="AD22" s="64" t="str">
        <f t="shared" si="23"/>
        <v>0110-16</v>
      </c>
      <c r="AE22" s="104" t="str">
        <f t="shared" si="0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22" s="101" t="str">
        <f t="shared" si="1"/>
        <v>"C:\Program Files (x86)\AstroGrep\AstroGrep.exe" /spath="%USERPROFILE%\AppData\Local\Temp\OnboardLogs" /stypes="*4043*20160816*" /stext=" 12:.+((SYSTEM_STATE.+slice.+state.+changed )|(ment ac)|(system.+state.+changed )|(\|lc)|(penalty)|(\[timeout)|(PRM\|1\|D)|(kpr)|(kdp))" /e /r /s</v>
      </c>
      <c r="AG22" s="1" t="str">
        <f t="shared" si="24"/>
        <v>EC</v>
      </c>
      <c r="AH22" s="105" t="str">
        <f t="shared" si="4"/>
        <v>"%USERPROFILE%\Documents\GitHub\eaglep3\Utilities\RefineRTDCRunTimes.py" --tripid 110-16 --locoid 4043 --swversion DE.1.0.7.0 --startMP 204:232998 --initTime 2016-08-16T05:33:42 --startdatetime 2016-08-16T05:35:49 --delay 2 --endMP 204:371 --enddatetime 2016-08-16T06:26:47 --enforcementcount 1</v>
      </c>
    </row>
    <row r="23" spans="1:34" s="1" customFormat="1" x14ac:dyDescent="0.25">
      <c r="A23" s="40" t="s">
        <v>297</v>
      </c>
      <c r="B23" s="7">
        <v>4011</v>
      </c>
      <c r="C23" s="25" t="s">
        <v>119</v>
      </c>
      <c r="D23" s="25" t="s">
        <v>298</v>
      </c>
      <c r="E23" s="16">
        <v>42598.205231481479</v>
      </c>
      <c r="F23" s="16">
        <v>42598.206875000003</v>
      </c>
      <c r="G23" s="7">
        <v>2</v>
      </c>
      <c r="H23" s="16" t="s">
        <v>166</v>
      </c>
      <c r="I23" s="16">
        <v>42598.233888888892</v>
      </c>
      <c r="J23" s="7">
        <v>1</v>
      </c>
      <c r="K23" s="142" t="str">
        <f t="shared" si="16"/>
        <v>4011/4012</v>
      </c>
      <c r="L23" s="25" t="str">
        <f>VLOOKUP(A23,'Trips&amp;Operators'!$C$1:$E$10000,3,FALSE)</f>
        <v>SWANSON</v>
      </c>
      <c r="M23" s="6">
        <f t="shared" si="17"/>
        <v>2.7013888888177462E-2</v>
      </c>
      <c r="N23" s="7">
        <f>24*60*SUM($M23:$M23)</f>
        <v>38.899999998975545</v>
      </c>
      <c r="O23" s="7"/>
      <c r="P23" s="7"/>
      <c r="Q23" s="26"/>
      <c r="R23" s="26"/>
      <c r="S23" s="38">
        <f>SUM(U23:U23)/IF(AG23="EC",12,1)</f>
        <v>1</v>
      </c>
      <c r="T23" s="53" t="str">
        <f t="shared" si="18"/>
        <v>NorthBound</v>
      </c>
      <c r="U23" s="13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03:55:32-0600',mode:absolute,to:'2016-08-16 06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23" s="55" t="str">
        <f t="shared" si="19"/>
        <v>N</v>
      </c>
      <c r="X23" s="129">
        <f t="shared" si="5"/>
        <v>1</v>
      </c>
      <c r="Y23" s="70">
        <f t="shared" si="20"/>
        <v>7.4099999999999999E-2</v>
      </c>
      <c r="Z23" s="70">
        <f t="shared" si="21"/>
        <v>23.33</v>
      </c>
      <c r="AA23" s="70">
        <f t="shared" si="22"/>
        <v>23.255899999999997</v>
      </c>
      <c r="AB23" s="67" t="e">
        <f>VLOOKUP(A23,Enforcements!$C$7:$J$24,8,0)</f>
        <v>#N/A</v>
      </c>
      <c r="AC23" s="63" t="e">
        <f>VLOOKUP(A23,Enforcements!$C$7:$E$24,3,0)</f>
        <v>#N/A</v>
      </c>
      <c r="AD23" s="64" t="str">
        <f t="shared" si="23"/>
        <v>0111-16</v>
      </c>
      <c r="AE23" s="104" t="str">
        <f t="shared" si="0"/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AF23" s="101" t="str">
        <f t="shared" si="1"/>
        <v>"C:\Program Files (x86)\AstroGrep\AstroGrep.exe" /spath="%USERPROFILE%\AppData\Local\Temp\OnboardLogs" /stypes="*4011*20160816*" /stext=" 11:.+((SYSTEM_STATE.+slice.+state.+changed )|(ment ac)|(system.+state.+changed )|(\|lc)|(penalty)|(\[timeout)|(PRM\|1\|D)|(kpr)|(kdp))" /e /r /s</v>
      </c>
      <c r="AG23" s="1" t="str">
        <f t="shared" si="24"/>
        <v>EC</v>
      </c>
      <c r="AH23" s="105" t="str">
        <f t="shared" si="4"/>
        <v>"%USERPROFILE%\Documents\GitHub\eaglep3\Utilities\RefineRTDCRunTimes.py" --tripid 111-16 --locoid 4011 --swversion DE.1.0.7.0 --startMP 204:741 --initTime 2016-08-16T04:55:32 --startdatetime 2016-08-16T04:57:54 --delay 2 --endMP 204:233300 --enddatetime 2016-08-16T05:36:48 --enforcementcount 1</v>
      </c>
    </row>
    <row r="24" spans="1:34" s="1" customFormat="1" x14ac:dyDescent="0.25">
      <c r="A24" s="40" t="s">
        <v>299</v>
      </c>
      <c r="B24" s="7">
        <v>4012</v>
      </c>
      <c r="C24" s="25" t="s">
        <v>119</v>
      </c>
      <c r="D24" s="25" t="s">
        <v>122</v>
      </c>
      <c r="E24" s="16">
        <v>42598.245266203703</v>
      </c>
      <c r="F24" s="16">
        <v>42598.246412037035</v>
      </c>
      <c r="G24" s="7">
        <v>1</v>
      </c>
      <c r="H24" s="16" t="s">
        <v>300</v>
      </c>
      <c r="I24" s="16">
        <v>42598.268518518518</v>
      </c>
      <c r="J24" s="7">
        <v>1</v>
      </c>
      <c r="K24" s="142" t="str">
        <f t="shared" si="16"/>
        <v>4011/4012</v>
      </c>
      <c r="L24" s="25" t="str">
        <f>VLOOKUP(A24,'Trips&amp;Operators'!$C$1:$E$10000,3,FALSE)</f>
        <v>SWANSON</v>
      </c>
      <c r="M24" s="6">
        <f t="shared" si="17"/>
        <v>2.2106481483206153E-2</v>
      </c>
      <c r="N24" s="7"/>
      <c r="O24" s="7"/>
      <c r="P24" s="7">
        <f>24*60*SUM($M24:$M25)</f>
        <v>32.76666666730307</v>
      </c>
      <c r="Q24" s="26"/>
      <c r="R24" s="26" t="s">
        <v>689</v>
      </c>
      <c r="S24" s="38">
        <f>SUM(U24:U24)/IF(AG24="EC",12,1)</f>
        <v>0.25</v>
      </c>
      <c r="T24" s="53" t="str">
        <f t="shared" si="18"/>
        <v>Southbound</v>
      </c>
      <c r="U24" s="13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3</v>
      </c>
      <c r="V24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4" s="55" t="str">
        <f t="shared" si="19"/>
        <v>Y</v>
      </c>
      <c r="X24" s="129">
        <f t="shared" si="5"/>
        <v>1</v>
      </c>
      <c r="Y24" s="70">
        <f t="shared" si="20"/>
        <v>23.299299999999999</v>
      </c>
      <c r="Z24" s="70">
        <f t="shared" si="21"/>
        <v>6.4145000000000003</v>
      </c>
      <c r="AA24" s="70">
        <f t="shared" si="22"/>
        <v>16.884799999999998</v>
      </c>
      <c r="AB24" s="67">
        <f>VLOOKUP(A24,Enforcements!$C$7:$J$24,8,0)</f>
        <v>36657</v>
      </c>
      <c r="AC24" s="63" t="str">
        <f>VLOOKUP(A24,Enforcements!$C$7:$E$24,3,0)</f>
        <v>SIGNAL</v>
      </c>
      <c r="AD24" s="64" t="str">
        <f t="shared" si="23"/>
        <v>0112-16</v>
      </c>
      <c r="AE24" s="104" t="str">
        <f t="shared" si="0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24" s="101" t="str">
        <f t="shared" si="1"/>
        <v>"C:\Program Files (x86)\AstroGrep\AstroGrep.exe" /spath="%USERPROFILE%\AppData\Local\Temp\OnboardLogs" /stypes="*4012*20160816*" /stext=" 12:.+((SYSTEM_STATE.+slice.+state.+changed )|(ment ac)|(system.+state.+changed )|(\|lc)|(penalty)|(\[timeout)|(PRM\|1\|D)|(kpr)|(kdp))" /e /r /s</v>
      </c>
      <c r="AG24" s="1" t="str">
        <f t="shared" si="24"/>
        <v>EC</v>
      </c>
      <c r="AH24" s="105" t="str">
        <f t="shared" si="4"/>
        <v>"%USERPROFILE%\Documents\GitHub\eaglep3\Utilities\RefineRTDCRunTimes.py" --tripid 112-16 --locoid 4012 --swversion DE.1.0.7.0 --startMP 204:232993 --initTime 2016-08-16T05:53:11 --startdatetime 2016-08-16T05:54:50 --delay 1 --endMP 204:64145 --enddatetime 2016-08-16T06:26:40 --enforcementcount 1</v>
      </c>
    </row>
    <row r="25" spans="1:34" s="1" customFormat="1" x14ac:dyDescent="0.25">
      <c r="A25" s="40" t="s">
        <v>299</v>
      </c>
      <c r="B25" s="7">
        <v>4012</v>
      </c>
      <c r="C25" s="25" t="s">
        <v>119</v>
      </c>
      <c r="D25" s="25" t="s">
        <v>301</v>
      </c>
      <c r="E25" s="16">
        <v>42598.272083333337</v>
      </c>
      <c r="F25" s="16">
        <v>42598.272962962961</v>
      </c>
      <c r="G25" s="7">
        <v>1</v>
      </c>
      <c r="H25" s="16" t="s">
        <v>302</v>
      </c>
      <c r="I25" s="16">
        <v>42598.273611111108</v>
      </c>
      <c r="J25" s="7">
        <v>1</v>
      </c>
      <c r="K25" s="142" t="str">
        <f t="shared" si="16"/>
        <v>4011/4012</v>
      </c>
      <c r="L25" s="25" t="str">
        <f>VLOOKUP(A25,'Trips&amp;Operators'!$C$1:$E$10000,3,FALSE)</f>
        <v>SWANSON</v>
      </c>
      <c r="M25" s="6">
        <f t="shared" si="17"/>
        <v>6.4814814686542377E-4</v>
      </c>
      <c r="N25" s="7"/>
      <c r="O25" s="7"/>
      <c r="P25" s="7"/>
      <c r="Q25" s="26"/>
      <c r="R25" s="26"/>
      <c r="S25" s="38"/>
      <c r="T25" s="53" t="str">
        <f t="shared" si="18"/>
        <v>Southbound</v>
      </c>
      <c r="U25" s="13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05:31:48-0600',mode:absolute,to:'2016-08-16 07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5" s="55" t="str">
        <f t="shared" si="19"/>
        <v>Y</v>
      </c>
      <c r="X25" s="129">
        <f t="shared" si="5"/>
        <v>0</v>
      </c>
      <c r="Y25" s="70">
        <f t="shared" si="20"/>
        <v>3.6781999999999999</v>
      </c>
      <c r="Z25" s="70">
        <f t="shared" si="21"/>
        <v>3.6463999999999999</v>
      </c>
      <c r="AA25" s="70">
        <f t="shared" si="22"/>
        <v>3.180000000000005E-2</v>
      </c>
      <c r="AB25" s="67">
        <f>VLOOKUP(A25,Enforcements!$C$7:$J$24,8,0)</f>
        <v>36657</v>
      </c>
      <c r="AC25" s="63" t="str">
        <f>VLOOKUP(A25,Enforcements!$C$7:$E$24,3,0)</f>
        <v>SIGNAL</v>
      </c>
      <c r="AD25" s="64" t="str">
        <f t="shared" si="23"/>
        <v>0112-16</v>
      </c>
      <c r="AE25" s="104" t="str">
        <f t="shared" si="0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25" s="101" t="str">
        <f t="shared" si="1"/>
        <v>"C:\Program Files (x86)\AstroGrep\AstroGrep.exe" /spath="%USERPROFILE%\AppData\Local\Temp\OnboardLogs" /stypes="*4012*20160816*" /stext=" 12:.+((SYSTEM_STATE.+slice.+state.+changed )|(ment ac)|(system.+state.+changed )|(\|lc)|(penalty)|(\[timeout)|(PRM\|1\|D)|(kpr)|(kdp))" /e /r /s</v>
      </c>
      <c r="AG25" s="1" t="str">
        <f t="shared" si="24"/>
        <v>EC</v>
      </c>
      <c r="AH25" s="105" t="str">
        <f t="shared" si="4"/>
        <v>"%USERPROFILE%\Documents\GitHub\eaglep3\Utilities\RefineRTDCRunTimes.py" --tripid 112-16 --locoid 4012 --swversion DE.1.0.7.0 --startMP 204:36782 --initTime 2016-08-16T06:31:48 --startdatetime 2016-08-16T06:33:04 --delay 1 --endMP 204:36464 --enddatetime 2016-08-16T06:34:00 --enforcementcount 1</v>
      </c>
    </row>
    <row r="26" spans="1:34" s="1" customFormat="1" ht="16.5" customHeight="1" x14ac:dyDescent="0.25">
      <c r="A26" s="40" t="s">
        <v>303</v>
      </c>
      <c r="B26" s="7">
        <v>4031</v>
      </c>
      <c r="C26" s="25" t="s">
        <v>119</v>
      </c>
      <c r="D26" s="25" t="s">
        <v>114</v>
      </c>
      <c r="E26" s="16">
        <v>42598.205474537041</v>
      </c>
      <c r="F26" s="16">
        <v>42598.206701388888</v>
      </c>
      <c r="G26" s="7">
        <v>1</v>
      </c>
      <c r="H26" s="16" t="s">
        <v>304</v>
      </c>
      <c r="I26" s="16">
        <v>42598.243587962963</v>
      </c>
      <c r="J26" s="7">
        <v>1</v>
      </c>
      <c r="K26" s="142" t="str">
        <f t="shared" si="16"/>
        <v>4031/4032</v>
      </c>
      <c r="L26" s="25" t="str">
        <f>VLOOKUP(A26,'Trips&amp;Operators'!$C$1:$E$10000,3,FALSE)</f>
        <v>KILLION</v>
      </c>
      <c r="M26" s="6">
        <f t="shared" si="17"/>
        <v>3.6886574074742384E-2</v>
      </c>
      <c r="N26" s="7">
        <f>24*60*SUM($M26:$M26)</f>
        <v>53.116666667629033</v>
      </c>
      <c r="O26" s="7"/>
      <c r="P26" s="7"/>
      <c r="Q26" s="26"/>
      <c r="R26" s="26"/>
      <c r="S26" s="38">
        <f>SUM(U26:U26)/IF(AG26="EC",12,1)</f>
        <v>1</v>
      </c>
      <c r="T26" s="53" t="str">
        <f t="shared" si="18"/>
        <v>NorthBound</v>
      </c>
      <c r="U26" s="13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03:55:53-0600',mode:absolute,to:'2016-08-16 06:50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6" s="55" t="str">
        <f t="shared" si="19"/>
        <v>N</v>
      </c>
      <c r="X26" s="129">
        <f t="shared" si="5"/>
        <v>1</v>
      </c>
      <c r="Y26" s="70">
        <f t="shared" si="20"/>
        <v>4.6199999999999998E-2</v>
      </c>
      <c r="Z26" s="70">
        <f t="shared" si="21"/>
        <v>23.328399999999998</v>
      </c>
      <c r="AA26" s="70">
        <f t="shared" si="22"/>
        <v>23.2822</v>
      </c>
      <c r="AB26" s="67" t="e">
        <f>VLOOKUP(A26,Enforcements!$C$7:$J$24,8,0)</f>
        <v>#N/A</v>
      </c>
      <c r="AC26" s="63" t="e">
        <f>VLOOKUP(A26,Enforcements!$C$7:$E$24,3,0)</f>
        <v>#N/A</v>
      </c>
      <c r="AD26" s="64" t="str">
        <f t="shared" si="23"/>
        <v>0113-16</v>
      </c>
      <c r="AE26" s="104" t="str">
        <f t="shared" si="0"/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AF26" s="101" t="str">
        <f t="shared" si="1"/>
        <v>"C:\Program Files (x86)\AstroGrep\AstroGrep.exe" /spath="%USERPROFILE%\AppData\Local\Temp\OnboardLogs" /stypes="*4031*20160816*" /stext=" 11:.+((SYSTEM_STATE.+slice.+state.+changed )|(ment ac)|(system.+state.+changed )|(\|lc)|(penalty)|(\[timeout)|(PRM\|1\|D)|(kpr)|(kdp))" /e /r /s</v>
      </c>
      <c r="AG26" s="1" t="str">
        <f t="shared" si="24"/>
        <v>EC</v>
      </c>
      <c r="AH26" s="105" t="str">
        <f t="shared" si="4"/>
        <v>"%USERPROFILE%\Documents\GitHub\eaglep3\Utilities\RefineRTDCRunTimes.py" --tripid 113-16 --locoid 4031 --swversion DE.1.0.7.0 --startMP 204:462 --initTime 2016-08-16T04:55:53 --startdatetime 2016-08-16T04:57:39 --delay 1 --endMP 204:233284 --enddatetime 2016-08-16T05:50:46 --enforcementcount 1</v>
      </c>
    </row>
    <row r="27" spans="1:34" s="1" customFormat="1" x14ac:dyDescent="0.25">
      <c r="A27" s="40" t="s">
        <v>305</v>
      </c>
      <c r="B27" s="7">
        <v>4032</v>
      </c>
      <c r="C27" s="25" t="s">
        <v>119</v>
      </c>
      <c r="D27" s="25" t="s">
        <v>306</v>
      </c>
      <c r="E27" s="16">
        <v>42598.249513888892</v>
      </c>
      <c r="F27" s="16">
        <v>42598.250416666669</v>
      </c>
      <c r="G27" s="7">
        <v>1</v>
      </c>
      <c r="H27" s="16" t="s">
        <v>307</v>
      </c>
      <c r="I27" s="16">
        <v>42598.267187500001</v>
      </c>
      <c r="J27" s="7">
        <v>1</v>
      </c>
      <c r="K27" s="142" t="str">
        <f t="shared" si="16"/>
        <v>4031/4032</v>
      </c>
      <c r="L27" s="25" t="str">
        <f>VLOOKUP(A27,'Trips&amp;Operators'!$C$1:$E$10000,3,FALSE)</f>
        <v>KILLION</v>
      </c>
      <c r="M27" s="6">
        <f t="shared" si="17"/>
        <v>1.6770833331975155E-2</v>
      </c>
      <c r="N27" s="7"/>
      <c r="O27" s="7"/>
      <c r="P27" s="7">
        <f>24*60*SUM($M27:$M27)</f>
        <v>24.149999998044223</v>
      </c>
      <c r="Q27" s="26"/>
      <c r="R27" s="26" t="s">
        <v>283</v>
      </c>
      <c r="S27" s="38">
        <f>SUM(U27:U27)/IF(AG27="EC",12,1)</f>
        <v>0</v>
      </c>
      <c r="T27" s="53" t="str">
        <f t="shared" si="18"/>
        <v>Southbound</v>
      </c>
      <c r="U27" s="13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04:59:18-0600',mode:absolute,to:'2016-08-16 07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7" s="55" t="str">
        <f t="shared" si="19"/>
        <v>Y</v>
      </c>
      <c r="X27" s="129">
        <f t="shared" si="5"/>
        <v>1</v>
      </c>
      <c r="Y27" s="70">
        <f t="shared" si="20"/>
        <v>23.296700000000001</v>
      </c>
      <c r="Z27" s="70">
        <f t="shared" si="21"/>
        <v>15.3988</v>
      </c>
      <c r="AA27" s="70">
        <f t="shared" si="22"/>
        <v>7.8979000000000017</v>
      </c>
      <c r="AB27" s="67" t="e">
        <f>VLOOKUP(A27,Enforcements!$C$7:$J$24,8,0)</f>
        <v>#N/A</v>
      </c>
      <c r="AC27" s="63" t="e">
        <f>VLOOKUP(A27,Enforcements!$C$7:$E$24,3,0)</f>
        <v>#N/A</v>
      </c>
      <c r="AD27" s="64" t="str">
        <f t="shared" si="23"/>
        <v>0114-16</v>
      </c>
      <c r="AE27" s="104" t="str">
        <f t="shared" si="0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27" s="101" t="str">
        <f t="shared" si="1"/>
        <v>"C:\Program Files (x86)\AstroGrep\AstroGrep.exe" /spath="%USERPROFILE%\AppData\Local\Temp\OnboardLogs" /stypes="*4032*20160816*" /stext=" 12:.+((SYSTEM_STATE.+slice.+state.+changed )|(ment ac)|(system.+state.+changed )|(\|lc)|(penalty)|(\[timeout)|(PRM\|1\|D)|(kpr)|(kdp))" /e /r /s</v>
      </c>
      <c r="AG27" s="1" t="str">
        <f t="shared" si="24"/>
        <v>EC</v>
      </c>
      <c r="AH27" s="105" t="str">
        <f t="shared" si="4"/>
        <v>"%USERPROFILE%\Documents\GitHub\eaglep3\Utilities\RefineRTDCRunTimes.py" --tripid 114-16 --locoid 4032 --swversion DE.1.0.7.0 --startMP 204:232967 --initTime 2016-08-16T05:59:18 --startdatetime 2016-08-16T06:00:36 --delay 1 --endMP 204:153988 --enddatetime 2016-08-16T06:24:45 --enforcementcount 1</v>
      </c>
    </row>
    <row r="28" spans="1:34" s="32" customFormat="1" x14ac:dyDescent="0.25">
      <c r="A28" s="40" t="s">
        <v>308</v>
      </c>
      <c r="B28" s="7">
        <v>4003</v>
      </c>
      <c r="C28" s="25" t="s">
        <v>119</v>
      </c>
      <c r="D28" s="25" t="s">
        <v>309</v>
      </c>
      <c r="E28" s="16">
        <v>42598.230219907404</v>
      </c>
      <c r="F28" s="16">
        <v>42598.231273148151</v>
      </c>
      <c r="G28" s="7">
        <v>1</v>
      </c>
      <c r="H28" s="16" t="s">
        <v>147</v>
      </c>
      <c r="I28" s="16">
        <v>42598.255868055552</v>
      </c>
      <c r="J28" s="7">
        <v>1</v>
      </c>
      <c r="K28" s="142" t="str">
        <f t="shared" si="16"/>
        <v>4003/4004</v>
      </c>
      <c r="L28" s="25" t="str">
        <f>VLOOKUP(A28,'Trips&amp;Operators'!$C$1:$E$10000,3,FALSE)</f>
        <v>ROCHA</v>
      </c>
      <c r="M28" s="6">
        <f t="shared" si="17"/>
        <v>2.4594907401478849E-2</v>
      </c>
      <c r="N28" s="7">
        <f>24*60*SUM($M28:$M28)</f>
        <v>35.416666658129543</v>
      </c>
      <c r="O28" s="7"/>
      <c r="P28" s="7"/>
      <c r="Q28" s="26"/>
      <c r="R28" s="26"/>
      <c r="S28" s="38">
        <f>SUM(U28:U28)/IF(AG28="EC",12,1)</f>
        <v>1</v>
      </c>
      <c r="T28" s="53" t="str">
        <f t="shared" si="18"/>
        <v>NorthBound</v>
      </c>
      <c r="U28" s="13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04:31:31-0600',mode:absolute,to:'2016-08-16 07:08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8" s="55" t="str">
        <f t="shared" si="19"/>
        <v>N</v>
      </c>
      <c r="X28" s="129">
        <f t="shared" si="5"/>
        <v>1</v>
      </c>
      <c r="Y28" s="70">
        <f t="shared" si="20"/>
        <v>7.9000000000000001E-2</v>
      </c>
      <c r="Z28" s="70">
        <f t="shared" si="21"/>
        <v>23.331199999999999</v>
      </c>
      <c r="AA28" s="70">
        <f t="shared" si="22"/>
        <v>23.252199999999998</v>
      </c>
      <c r="AB28" s="67" t="e">
        <f>VLOOKUP(A28,Enforcements!$C$7:$J$24,8,0)</f>
        <v>#N/A</v>
      </c>
      <c r="AC28" s="63" t="e">
        <f>VLOOKUP(A28,Enforcements!$C$7:$E$24,3,0)</f>
        <v>#N/A</v>
      </c>
      <c r="AD28" s="64" t="str">
        <f t="shared" si="23"/>
        <v>0115-16</v>
      </c>
      <c r="AE28" s="104" t="str">
        <f t="shared" si="0"/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AF28" s="101" t="str">
        <f t="shared" si="1"/>
        <v>"C:\Program Files (x86)\AstroGrep\AstroGrep.exe" /spath="%USERPROFILE%\AppData\Local\Temp\OnboardLogs" /stypes="*4003*20160816*" /stext=" 12:.+((SYSTEM_STATE.+slice.+state.+changed )|(ment ac)|(system.+state.+changed )|(\|lc)|(penalty)|(\[timeout)|(PRM\|1\|D)|(kpr)|(kdp))" /e /r /s</v>
      </c>
      <c r="AG28" s="1" t="str">
        <f t="shared" si="24"/>
        <v>EC</v>
      </c>
      <c r="AH28" s="105" t="str">
        <f t="shared" si="4"/>
        <v>"%USERPROFILE%\Documents\GitHub\eaglep3\Utilities\RefineRTDCRunTimes.py" --tripid 115-16 --locoid 4003 --swversion DE.1.0.7.0 --startMP 204:790 --initTime 2016-08-16T05:31:31 --startdatetime 2016-08-16T05:33:02 --delay 1 --endMP 204:233312 --enddatetime 2016-08-16T06:08:27 --enforcementcount 1</v>
      </c>
    </row>
    <row r="29" spans="1:34" s="1" customFormat="1" x14ac:dyDescent="0.25">
      <c r="A29" s="40" t="s">
        <v>310</v>
      </c>
      <c r="B29" s="7">
        <v>4004</v>
      </c>
      <c r="C29" s="25" t="s">
        <v>119</v>
      </c>
      <c r="D29" s="25" t="s">
        <v>311</v>
      </c>
      <c r="E29" s="16">
        <v>42598.267314814817</v>
      </c>
      <c r="F29" s="16">
        <v>42598.268495370372</v>
      </c>
      <c r="G29" s="7">
        <v>1</v>
      </c>
      <c r="H29" s="16" t="s">
        <v>312</v>
      </c>
      <c r="I29" s="16">
        <v>42598.299884259257</v>
      </c>
      <c r="J29" s="7">
        <v>1</v>
      </c>
      <c r="K29" s="142" t="str">
        <f t="shared" si="16"/>
        <v>4003/4004</v>
      </c>
      <c r="L29" s="25" t="str">
        <f>VLOOKUP(A29,'Trips&amp;Operators'!$C$1:$E$10000,3,FALSE)</f>
        <v>ROCHA</v>
      </c>
      <c r="M29" s="6">
        <f t="shared" si="17"/>
        <v>3.1388888884976041E-2</v>
      </c>
      <c r="N29" s="7">
        <f>24*60*SUM($M29:$M29)</f>
        <v>45.199999994365498</v>
      </c>
      <c r="O29" s="7"/>
      <c r="P29" s="7"/>
      <c r="Q29" s="26"/>
      <c r="R29" s="26"/>
      <c r="S29" s="38">
        <f>SUM(U29:U29)/IF(AG29="EC",12,1)</f>
        <v>1</v>
      </c>
      <c r="T29" s="53" t="str">
        <f t="shared" si="18"/>
        <v>Southbound</v>
      </c>
      <c r="U29" s="13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05:24:56-0600',mode:absolute,to:'2016-08-16 08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9" s="55" t="str">
        <f t="shared" si="19"/>
        <v>N</v>
      </c>
      <c r="X29" s="129">
        <f t="shared" si="5"/>
        <v>1</v>
      </c>
      <c r="Y29" s="70">
        <f t="shared" si="20"/>
        <v>23.299099999999999</v>
      </c>
      <c r="Z29" s="70">
        <f t="shared" si="21"/>
        <v>0.1188</v>
      </c>
      <c r="AA29" s="70">
        <f t="shared" si="22"/>
        <v>23.180299999999999</v>
      </c>
      <c r="AB29" s="67" t="e">
        <f>VLOOKUP(A29,Enforcements!$C$7:$J$24,8,0)</f>
        <v>#N/A</v>
      </c>
      <c r="AC29" s="63" t="e">
        <f>VLOOKUP(A29,Enforcements!$C$7:$E$24,3,0)</f>
        <v>#N/A</v>
      </c>
      <c r="AD29" s="64" t="str">
        <f t="shared" si="23"/>
        <v>0116-16</v>
      </c>
      <c r="AE29" s="104" t="str">
        <f t="shared" si="0"/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AF29" s="101" t="str">
        <f t="shared" si="1"/>
        <v>"C:\Program Files (x86)\AstroGrep\AstroGrep.exe" /spath="%USERPROFILE%\AppData\Local\Temp\OnboardLogs" /stypes="*4004*20160816*" /stext=" 13:.+((SYSTEM_STATE.+slice.+state.+changed )|(ment ac)|(system.+state.+changed )|(\|lc)|(penalty)|(\[timeout)|(PRM\|1\|D)|(kpr)|(kdp))" /e /r /s</v>
      </c>
      <c r="AG29" s="1" t="str">
        <f t="shared" si="24"/>
        <v>EC</v>
      </c>
      <c r="AH29" s="105" t="str">
        <f t="shared" si="4"/>
        <v>"%USERPROFILE%\Documents\GitHub\eaglep3\Utilities\RefineRTDCRunTimes.py" --tripid 116-16 --locoid 4004 --swversion DE.1.0.7.0 --startMP 204:232991 --initTime 2016-08-16T06:24:56 --startdatetime 2016-08-16T06:26:38 --delay 1 --endMP 204:1188 --enddatetime 2016-08-16T07:11:50 --enforcementcount 1</v>
      </c>
    </row>
    <row r="30" spans="1:34" s="1" customFormat="1" x14ac:dyDescent="0.25">
      <c r="A30" s="40" t="s">
        <v>684</v>
      </c>
      <c r="B30" s="150" t="s">
        <v>682</v>
      </c>
      <c r="C30" s="25"/>
      <c r="D30" s="25"/>
      <c r="E30" s="16"/>
      <c r="F30" s="16" t="s">
        <v>682</v>
      </c>
      <c r="G30" s="7" t="s">
        <v>682</v>
      </c>
      <c r="H30" s="16" t="s">
        <v>682</v>
      </c>
      <c r="I30" s="16" t="s">
        <v>682</v>
      </c>
      <c r="J30" s="7" t="s">
        <v>682</v>
      </c>
      <c r="K30" s="142" t="e">
        <f t="shared" si="16"/>
        <v>#VALUE!</v>
      </c>
      <c r="L30" s="25" t="e">
        <f>VLOOKUP(A30,'Trips&amp;Operators'!$C$1:$E$10000,3,FALSE)</f>
        <v>#N/A</v>
      </c>
      <c r="M30" s="6"/>
      <c r="N30" s="7"/>
      <c r="O30" s="7"/>
      <c r="P30" s="7">
        <v>1</v>
      </c>
      <c r="Q30" s="26"/>
      <c r="R30" s="26" t="s">
        <v>683</v>
      </c>
      <c r="S30" s="38">
        <f t="shared" ref="S30" si="25">SUM(U30:U30)/IF(AG30="EC",12,1)</f>
        <v>0</v>
      </c>
      <c r="T30" s="53" t="str">
        <f t="shared" ref="T30" si="26">IF(ISEVEN(LEFT(AD30,4)),"Southbound","NorthBound")</f>
        <v>NorthBound</v>
      </c>
      <c r="U30" s="13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11" t="e">
        <f t="shared" si="3"/>
        <v>#VALUE!</v>
      </c>
      <c r="W30" s="55" t="e">
        <f t="shared" ref="W30" si="27">IF(AA30&lt;IF(AG30="EC",23,5.65),"Y","N")</f>
        <v>#VALUE!</v>
      </c>
      <c r="X30" s="129">
        <f t="shared" si="5"/>
        <v>1</v>
      </c>
      <c r="Y30" s="70" t="e">
        <f t="shared" ref="Y30" si="28">RIGHT(D30,LEN(D30)-4)/10000</f>
        <v>#VALUE!</v>
      </c>
      <c r="Z30" s="70" t="e">
        <f t="shared" ref="Z30" si="29">RIGHT(H30,LEN(H30)-4)/10000</f>
        <v>#VALUE!</v>
      </c>
      <c r="AA30" s="70" t="e">
        <f t="shared" ref="AA30" si="30">ABS(Z30-Y30)</f>
        <v>#VALUE!</v>
      </c>
      <c r="AB30" s="67" t="e">
        <f>VLOOKUP(A30,Enforcements!$C$7:$J$24,8,0)</f>
        <v>#N/A</v>
      </c>
      <c r="AC30" s="63" t="e">
        <f>VLOOKUP(A30,Enforcements!$C$7:$E$24,3,0)</f>
        <v>#N/A</v>
      </c>
      <c r="AD30" s="64" t="str">
        <f t="shared" ref="AD30" si="31">IF(LEN(A30)=6,"0"&amp;A30,A30)</f>
        <v>0117-16</v>
      </c>
      <c r="AE30" s="104" t="e">
        <f t="shared" si="0"/>
        <v>#VALUE!</v>
      </c>
      <c r="AF30" s="101" t="e">
        <f t="shared" si="1"/>
        <v>#VALUE!</v>
      </c>
      <c r="AG30" s="1" t="str">
        <f t="shared" ref="AG30" si="32">IFERROR(IF(VALUE(LEFT(AD30,2))&lt;=2,"EC",IF(OR(VALUE(LEFT(AD30,2))=8,VALUE(LEFT(AD30,2))=18),"NW","Other")),"Other")</f>
        <v>EC</v>
      </c>
      <c r="AH30" s="105" t="str">
        <f t="shared" si="4"/>
        <v>"%USERPROFILE%\Documents\GitHub\eaglep3\Utilities\RefineRTDCRunTimes.py" --tripid 117-16 --locoid - --swversion  --startMP  --initTime 1900-01-00T00:00:00 --startdatetime - --delay - --endMP - --enddatetime - --enforcementcount -</v>
      </c>
    </row>
    <row r="31" spans="1:34" s="1" customFormat="1" x14ac:dyDescent="0.25">
      <c r="A31" s="40" t="s">
        <v>313</v>
      </c>
      <c r="B31" s="7">
        <v>4037</v>
      </c>
      <c r="C31" s="25" t="s">
        <v>119</v>
      </c>
      <c r="D31" s="25" t="s">
        <v>314</v>
      </c>
      <c r="E31" s="16">
        <v>42598.273043981484</v>
      </c>
      <c r="F31" s="16">
        <v>42598.274710648147</v>
      </c>
      <c r="G31" s="7">
        <v>2</v>
      </c>
      <c r="H31" s="16" t="s">
        <v>140</v>
      </c>
      <c r="I31" s="16">
        <v>42598.309189814812</v>
      </c>
      <c r="J31" s="7">
        <v>1</v>
      </c>
      <c r="K31" s="142" t="str">
        <f t="shared" si="16"/>
        <v>4037/4038</v>
      </c>
      <c r="L31" s="25" t="str">
        <f>VLOOKUP(A31,'Trips&amp;Operators'!$C$1:$E$10000,3,FALSE)</f>
        <v>ACKERMAN</v>
      </c>
      <c r="M31" s="6">
        <f>I31-F31</f>
        <v>3.4479166664823424E-2</v>
      </c>
      <c r="N31" s="7">
        <f>24*60*SUM($M31:$M31)</f>
        <v>49.649999997345731</v>
      </c>
      <c r="O31" s="7"/>
      <c r="P31" s="7"/>
      <c r="Q31" s="26"/>
      <c r="R31" s="26"/>
      <c r="S31" s="38">
        <f>SUM(U31:U31)/IF(AG31="EC",12,1)</f>
        <v>1</v>
      </c>
      <c r="T31" s="53" t="str">
        <f>IF(ISEVEN(LEFT(AD31,4)),"Southbound","NorthBound")</f>
        <v>Southbound</v>
      </c>
      <c r="U31" s="13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05:33:11-0600',mode:absolute,to:'2016-08-16 08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1" s="55" t="str">
        <f>IF(AA31&lt;IF(AG31="EC",23,5.65),"Y","N")</f>
        <v>N</v>
      </c>
      <c r="X31" s="129">
        <f t="shared" si="5"/>
        <v>1</v>
      </c>
      <c r="Y31" s="70">
        <f>RIGHT(D31,LEN(D31)-4)/10000</f>
        <v>23.295000000000002</v>
      </c>
      <c r="Z31" s="70">
        <f>RIGHT(H31,LEN(H31)-4)/10000</f>
        <v>1.47E-2</v>
      </c>
      <c r="AA31" s="70">
        <f>ABS(Z31-Y31)</f>
        <v>23.2803</v>
      </c>
      <c r="AB31" s="67">
        <f>VLOOKUP(A31,Enforcements!$C$7:$J$24,8,0)</f>
        <v>127587</v>
      </c>
      <c r="AC31" s="63" t="str">
        <f>VLOOKUP(A31,Enforcements!$C$7:$E$24,3,0)</f>
        <v>SIGNAL</v>
      </c>
      <c r="AD31" s="64" t="str">
        <f>IF(LEN(A31)=6,"0"&amp;A31,A31)</f>
        <v>0118-16</v>
      </c>
      <c r="AE31" s="104" t="str">
        <f t="shared" si="0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31" s="101" t="str">
        <f t="shared" si="1"/>
        <v>"C:\Program Files (x86)\AstroGrep\AstroGrep.exe" /spath="%USERPROFILE%\AppData\Local\Temp\OnboardLogs" /stypes="*4037*20160816*" /stext=" 13:.+((SYSTEM_STATE.+slice.+state.+changed )|(ment ac)|(system.+state.+changed )|(\|lc)|(penalty)|(\[timeout)|(PRM\|1\|D)|(kpr)|(kdp))" /e /r /s</v>
      </c>
      <c r="AG31" s="1" t="str">
        <f>IFERROR(IF(VALUE(LEFT(AD31,2))&lt;=2,"EC",IF(OR(VALUE(LEFT(AD31,2))=8,VALUE(LEFT(AD31,2))=18),"NW","Other")),"Other")</f>
        <v>EC</v>
      </c>
      <c r="AH31" s="105" t="str">
        <f t="shared" si="4"/>
        <v>"%USERPROFILE%\Documents\GitHub\eaglep3\Utilities\RefineRTDCRunTimes.py" --tripid 118-16 --locoid 4037 --swversion DE.1.0.7.0 --startMP 204:232950 --initTime 2016-08-16T06:33:11 --startdatetime 2016-08-16T06:35:35 --delay 2 --endMP 204:147 --enddatetime 2016-08-16T07:25:14 --enforcementcount 1</v>
      </c>
    </row>
    <row r="32" spans="1:34" s="1" customFormat="1" x14ac:dyDescent="0.25">
      <c r="A32" s="40" t="s">
        <v>685</v>
      </c>
      <c r="B32" s="150" t="s">
        <v>682</v>
      </c>
      <c r="C32" s="25"/>
      <c r="D32" s="25"/>
      <c r="E32" s="16"/>
      <c r="F32" s="16" t="s">
        <v>682</v>
      </c>
      <c r="G32" s="7" t="s">
        <v>682</v>
      </c>
      <c r="H32" s="16" t="s">
        <v>682</v>
      </c>
      <c r="I32" s="16" t="s">
        <v>682</v>
      </c>
      <c r="J32" s="7" t="s">
        <v>682</v>
      </c>
      <c r="K32" s="142" t="e">
        <f t="shared" si="16"/>
        <v>#VALUE!</v>
      </c>
      <c r="L32" s="25" t="e">
        <f>VLOOKUP(A32,'Trips&amp;Operators'!$C$1:$E$10000,3,FALSE)</f>
        <v>#N/A</v>
      </c>
      <c r="M32" s="6"/>
      <c r="N32" s="7"/>
      <c r="O32" s="7"/>
      <c r="P32" s="7">
        <v>1</v>
      </c>
      <c r="Q32" s="26"/>
      <c r="R32" s="26" t="s">
        <v>683</v>
      </c>
      <c r="S32" s="38">
        <f t="shared" ref="S32:S33" si="33">SUM(U32:U32)/IF(AG32="EC",12,1)</f>
        <v>0</v>
      </c>
      <c r="T32" s="53" t="str">
        <f t="shared" ref="T32:T33" si="34">IF(ISEVEN(LEFT(AD32,4)),"Southbound","NorthBound")</f>
        <v>NorthBound</v>
      </c>
      <c r="U32" s="13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11" t="e">
        <f t="shared" si="3"/>
        <v>#VALUE!</v>
      </c>
      <c r="W32" s="55" t="e">
        <f t="shared" ref="W32:W33" si="35">IF(AA32&lt;IF(AG32="EC",23,5.65),"Y","N")</f>
        <v>#VALUE!</v>
      </c>
      <c r="X32" s="129">
        <f t="shared" ref="X32:X37" si="36">VALUE(LEFT(AD32,4))-VALUE(LEFT(AD31,4))</f>
        <v>1</v>
      </c>
      <c r="Y32" s="70" t="e">
        <f t="shared" ref="Y32:Y33" si="37">RIGHT(D32,LEN(D32)-4)/10000</f>
        <v>#VALUE!</v>
      </c>
      <c r="Z32" s="70" t="e">
        <f t="shared" ref="Z32:Z33" si="38">RIGHT(H32,LEN(H32)-4)/10000</f>
        <v>#VALUE!</v>
      </c>
      <c r="AA32" s="70" t="e">
        <f t="shared" ref="AA32:AA33" si="39">ABS(Z32-Y32)</f>
        <v>#VALUE!</v>
      </c>
      <c r="AB32" s="67" t="e">
        <f>VLOOKUP(A32,Enforcements!$C$7:$J$24,8,0)</f>
        <v>#N/A</v>
      </c>
      <c r="AC32" s="63" t="e">
        <f>VLOOKUP(A32,Enforcements!$C$7:$E$24,3,0)</f>
        <v>#N/A</v>
      </c>
      <c r="AD32" s="64" t="str">
        <f t="shared" ref="AD32:AD33" si="40">IF(LEN(A32)=6,"0"&amp;A32,A32)</f>
        <v>0119-16</v>
      </c>
      <c r="AE32" s="104" t="e">
        <f t="shared" si="0"/>
        <v>#VALUE!</v>
      </c>
      <c r="AF32" s="101" t="e">
        <f t="shared" si="1"/>
        <v>#VALUE!</v>
      </c>
      <c r="AG32" s="1" t="str">
        <f t="shared" ref="AG32:AG33" si="41">IFERROR(IF(VALUE(LEFT(AD32,2))&lt;=2,"EC",IF(OR(VALUE(LEFT(AD32,2))=8,VALUE(LEFT(AD32,2))=18),"NW","Other")),"Other")</f>
        <v>EC</v>
      </c>
      <c r="AH32" s="105" t="str">
        <f t="shared" ref="AH32:AH33" si="42"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</f>
        <v>"%USERPROFILE%\Documents\GitHub\eaglep3\Utilities\RefineRTDCRunTimes.py" --tripid 119-16 --locoid - --swversion  --startMP  --initTime 1900-01-00T00:00:00 --startdatetime - --delay - --endMP - --enddatetime - --enforcementcount -</v>
      </c>
    </row>
    <row r="33" spans="1:34" s="1" customFormat="1" x14ac:dyDescent="0.25">
      <c r="A33" s="40" t="s">
        <v>686</v>
      </c>
      <c r="B33" s="150">
        <v>4029</v>
      </c>
      <c r="C33" s="25"/>
      <c r="D33" s="25"/>
      <c r="E33" s="16"/>
      <c r="F33" s="16" t="s">
        <v>682</v>
      </c>
      <c r="G33" s="7" t="s">
        <v>682</v>
      </c>
      <c r="H33" s="16" t="s">
        <v>682</v>
      </c>
      <c r="I33" s="16" t="s">
        <v>682</v>
      </c>
      <c r="J33" s="7" t="s">
        <v>682</v>
      </c>
      <c r="K33" s="142" t="str">
        <f t="shared" si="16"/>
        <v>4029/4030</v>
      </c>
      <c r="L33" s="25" t="e">
        <f>VLOOKUP(A33,'Trips&amp;Operators'!$C$1:$E$10000,3,FALSE)</f>
        <v>#N/A</v>
      </c>
      <c r="M33" s="6"/>
      <c r="N33" s="7"/>
      <c r="O33" s="7"/>
      <c r="P33" s="7">
        <v>1</v>
      </c>
      <c r="Q33" s="26"/>
      <c r="R33" s="26" t="s">
        <v>683</v>
      </c>
      <c r="S33" s="38">
        <f t="shared" si="33"/>
        <v>0</v>
      </c>
      <c r="T33" s="53" t="str">
        <f t="shared" si="34"/>
        <v>Southbound</v>
      </c>
      <c r="U33" s="13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0</v>
      </c>
      <c r="V33" s="111" t="e">
        <f t="shared" si="3"/>
        <v>#VALUE!</v>
      </c>
      <c r="W33" s="55" t="e">
        <f t="shared" si="35"/>
        <v>#VALUE!</v>
      </c>
      <c r="X33" s="129">
        <f t="shared" si="36"/>
        <v>1</v>
      </c>
      <c r="Y33" s="70" t="e">
        <f t="shared" si="37"/>
        <v>#VALUE!</v>
      </c>
      <c r="Z33" s="70" t="e">
        <f t="shared" si="38"/>
        <v>#VALUE!</v>
      </c>
      <c r="AA33" s="70" t="e">
        <f t="shared" si="39"/>
        <v>#VALUE!</v>
      </c>
      <c r="AB33" s="67" t="e">
        <f>VLOOKUP(A33,Enforcements!$C$7:$J$24,8,0)</f>
        <v>#N/A</v>
      </c>
      <c r="AC33" s="63" t="e">
        <f>VLOOKUP(A33,Enforcements!$C$7:$E$24,3,0)</f>
        <v>#N/A</v>
      </c>
      <c r="AD33" s="64" t="str">
        <f t="shared" si="40"/>
        <v>0120-16</v>
      </c>
      <c r="AE33" s="104" t="e">
        <f t="shared" si="0"/>
        <v>#VALUE!</v>
      </c>
      <c r="AF33" s="101" t="e">
        <f t="shared" si="1"/>
        <v>#VALUE!</v>
      </c>
      <c r="AG33" s="1" t="str">
        <f t="shared" si="41"/>
        <v>EC</v>
      </c>
      <c r="AH33" s="105" t="str">
        <f t="shared" si="42"/>
        <v>"%USERPROFILE%\Documents\GitHub\eaglep3\Utilities\RefineRTDCRunTimes.py" --tripid 120-16 --locoid 4029 --swversion  --startMP  --initTime 1900-01-00T00:00:00 --startdatetime - --delay - --endMP - --enddatetime - --enforcementcount -</v>
      </c>
    </row>
    <row r="34" spans="1:34" s="1" customFormat="1" ht="14.25" customHeight="1" x14ac:dyDescent="0.25">
      <c r="A34" s="40" t="s">
        <v>315</v>
      </c>
      <c r="B34" s="7">
        <v>4009</v>
      </c>
      <c r="C34" s="25" t="s">
        <v>119</v>
      </c>
      <c r="D34" s="25" t="s">
        <v>316</v>
      </c>
      <c r="E34" s="16">
        <v>42598.269166666665</v>
      </c>
      <c r="F34" s="16">
        <v>42598.269814814812</v>
      </c>
      <c r="G34" s="7">
        <v>0</v>
      </c>
      <c r="H34" s="16" t="s">
        <v>317</v>
      </c>
      <c r="I34" s="16">
        <v>42598.292002314818</v>
      </c>
      <c r="J34" s="7">
        <v>1</v>
      </c>
      <c r="K34" s="142" t="str">
        <f t="shared" si="16"/>
        <v>4009/4010</v>
      </c>
      <c r="L34" s="25" t="str">
        <f>VLOOKUP(A34,'Trips&amp;Operators'!$C$1:$E$10000,3,FALSE)</f>
        <v>SPECTOR</v>
      </c>
      <c r="M34" s="6">
        <f t="shared" ref="M34:M65" si="43">I34-F34</f>
        <v>2.2187500006111804E-2</v>
      </c>
      <c r="N34" s="7"/>
      <c r="O34" s="7"/>
      <c r="P34" s="7">
        <f>24*60*SUM($M34:$M34)</f>
        <v>31.950000008800998</v>
      </c>
      <c r="Q34" s="26"/>
      <c r="R34" s="26" t="s">
        <v>284</v>
      </c>
      <c r="S34" s="38">
        <f t="shared" ref="S34:S48" si="44">SUM(U34:U34)/IF(AG34="EC",12,1)</f>
        <v>0.75</v>
      </c>
      <c r="T34" s="53" t="str">
        <f t="shared" ref="T34:T65" si="45">IF(ISEVEN(LEFT(AD34,4)),"Southbound","NorthBound")</f>
        <v>NorthBound</v>
      </c>
      <c r="U34" s="13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9</v>
      </c>
      <c r="V34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05:27:36-0600',mode:absolute,to:'2016-08-16 08:00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4" s="55" t="str">
        <f t="shared" ref="W34:W65" si="46">IF(AA34&lt;IF(AG34="EC",23,5.65),"Y","N")</f>
        <v>Y</v>
      </c>
      <c r="X34" s="129">
        <f t="shared" si="36"/>
        <v>1</v>
      </c>
      <c r="Y34" s="70">
        <f t="shared" ref="Y34:Y65" si="47">RIGHT(D34,LEN(D34)-4)/10000</f>
        <v>3.7162000000000002</v>
      </c>
      <c r="Z34" s="70">
        <f t="shared" ref="Z34:Z65" si="48">RIGHT(H34,LEN(H34)-4)/10000</f>
        <v>23.331800000000001</v>
      </c>
      <c r="AA34" s="70">
        <f t="shared" ref="AA34:AA65" si="49">ABS(Z34-Y34)</f>
        <v>19.615600000000001</v>
      </c>
      <c r="AB34" s="67" t="e">
        <f>VLOOKUP(A34,Enforcements!$C$7:$J$24,8,0)</f>
        <v>#N/A</v>
      </c>
      <c r="AC34" s="63" t="e">
        <f>VLOOKUP(A34,Enforcements!$C$7:$E$24,3,0)</f>
        <v>#N/A</v>
      </c>
      <c r="AD34" s="64" t="str">
        <f t="shared" ref="AD34:AD65" si="50">IF(LEN(A34)=6,"0"&amp;A34,A34)</f>
        <v>0121-16</v>
      </c>
      <c r="AE34" s="104" t="str">
        <f t="shared" si="0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34" s="101" t="str">
        <f t="shared" si="1"/>
        <v>"C:\Program Files (x86)\AstroGrep\AstroGrep.exe" /spath="%USERPROFILE%\AppData\Local\Temp\OnboardLogs" /stypes="*4009*20160816*" /stext=" 13:.+((SYSTEM_STATE.+slice.+state.+changed )|(ment ac)|(system.+state.+changed )|(\|lc)|(penalty)|(\[timeout)|(PRM\|1\|D)|(kpr)|(kdp))" /e /r /s</v>
      </c>
      <c r="AG34" s="1" t="str">
        <f t="shared" ref="AG34:AG65" si="51">IFERROR(IF(VALUE(LEFT(AD34,2))&lt;=2,"EC",IF(OR(VALUE(LEFT(AD34,2))=8,VALUE(LEFT(AD34,2))=18),"NW","Other")),"Other")</f>
        <v>EC</v>
      </c>
      <c r="AH34" s="105" t="str">
        <f t="shared" si="4"/>
        <v>"%USERPROFILE%\Documents\GitHub\eaglep3\Utilities\RefineRTDCRunTimes.py" --tripid 121-16 --locoid 4009 --swversion DE.1.0.7.0 --startMP 204:37162 --initTime 2016-08-16T06:27:36 --startdatetime 2016-08-16T06:28:32 --delay 0 --endMP 204:233318 --enddatetime 2016-08-16T07:00:29 --enforcementcount 1</v>
      </c>
    </row>
    <row r="35" spans="1:34" s="1" customFormat="1" x14ac:dyDescent="0.25">
      <c r="A35" s="40" t="s">
        <v>318</v>
      </c>
      <c r="B35" s="7">
        <v>4010</v>
      </c>
      <c r="C35" s="25" t="s">
        <v>119</v>
      </c>
      <c r="D35" s="25" t="s">
        <v>319</v>
      </c>
      <c r="E35" s="16">
        <v>42598.294733796298</v>
      </c>
      <c r="F35" s="16">
        <v>42598.295590277776</v>
      </c>
      <c r="G35" s="7">
        <v>1</v>
      </c>
      <c r="H35" s="16" t="s">
        <v>139</v>
      </c>
      <c r="I35" s="16">
        <v>42598.326377314814</v>
      </c>
      <c r="J35" s="7">
        <v>1</v>
      </c>
      <c r="K35" s="142" t="str">
        <f t="shared" si="16"/>
        <v>4009/4010</v>
      </c>
      <c r="L35" s="25" t="str">
        <f>VLOOKUP(A35,'Trips&amp;Operators'!$C$1:$E$10000,3,FALSE)</f>
        <v>SPECTOR</v>
      </c>
      <c r="M35" s="6">
        <f t="shared" si="43"/>
        <v>3.0787037037953269E-2</v>
      </c>
      <c r="N35" s="7">
        <f t="shared" ref="N35:N47" si="52">24*60*SUM($M35:$M35)</f>
        <v>44.333333334652707</v>
      </c>
      <c r="O35" s="7"/>
      <c r="P35" s="7"/>
      <c r="Q35" s="26"/>
      <c r="R35" s="26"/>
      <c r="S35" s="38">
        <f t="shared" si="44"/>
        <v>1</v>
      </c>
      <c r="T35" s="53" t="str">
        <f t="shared" si="45"/>
        <v>Southbound</v>
      </c>
      <c r="U35" s="13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06:04:25-0600',mode:absolute,to:'2016-08-16 08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5" s="55" t="str">
        <f t="shared" si="46"/>
        <v>N</v>
      </c>
      <c r="X35" s="129">
        <f t="shared" si="36"/>
        <v>1</v>
      </c>
      <c r="Y35" s="70">
        <f t="shared" si="47"/>
        <v>23.298999999999999</v>
      </c>
      <c r="Z35" s="70">
        <f t="shared" si="48"/>
        <v>1.5800000000000002E-2</v>
      </c>
      <c r="AA35" s="70">
        <f t="shared" si="49"/>
        <v>23.283200000000001</v>
      </c>
      <c r="AB35" s="67" t="e">
        <f>VLOOKUP(A35,Enforcements!$C$7:$J$24,8,0)</f>
        <v>#N/A</v>
      </c>
      <c r="AC35" s="63" t="e">
        <f>VLOOKUP(A35,Enforcements!$C$7:$E$24,3,0)</f>
        <v>#N/A</v>
      </c>
      <c r="AD35" s="64" t="str">
        <f t="shared" si="50"/>
        <v>0122-16</v>
      </c>
      <c r="AE35" s="104" t="str">
        <f t="shared" si="0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35" s="101" t="str">
        <f t="shared" si="1"/>
        <v>"C:\Program Files (x86)\AstroGrep\AstroGrep.exe" /spath="%USERPROFILE%\AppData\Local\Temp\OnboardLogs" /stypes="*4010*20160816*" /stext=" 13:.+((SYSTEM_STATE.+slice.+state.+changed )|(ment ac)|(system.+state.+changed )|(\|lc)|(penalty)|(\[timeout)|(PRM\|1\|D)|(kpr)|(kdp))" /e /r /s</v>
      </c>
      <c r="AG35" s="1" t="str">
        <f t="shared" si="51"/>
        <v>EC</v>
      </c>
      <c r="AH35" s="105" t="str">
        <f t="shared" si="4"/>
        <v>"%USERPROFILE%\Documents\GitHub\eaglep3\Utilities\RefineRTDCRunTimes.py" --tripid 122-16 --locoid 4010 --swversion DE.1.0.7.0 --startMP 204:232990 --initTime 2016-08-16T07:04:25 --startdatetime 2016-08-16T07:05:39 --delay 1 --endMP 204:158 --enddatetime 2016-08-16T07:49:59 --enforcementcount 1</v>
      </c>
    </row>
    <row r="36" spans="1:34" s="1" customFormat="1" x14ac:dyDescent="0.25">
      <c r="A36" s="40" t="s">
        <v>320</v>
      </c>
      <c r="B36" s="7">
        <v>4044</v>
      </c>
      <c r="C36" s="25" t="s">
        <v>119</v>
      </c>
      <c r="D36" s="25" t="s">
        <v>321</v>
      </c>
      <c r="E36" s="16">
        <v>42598.269502314812</v>
      </c>
      <c r="F36" s="16">
        <v>42598.270497685182</v>
      </c>
      <c r="G36" s="7">
        <v>1</v>
      </c>
      <c r="H36" s="16" t="s">
        <v>158</v>
      </c>
      <c r="I36" s="16">
        <v>42598.299502314818</v>
      </c>
      <c r="J36" s="7">
        <v>1</v>
      </c>
      <c r="K36" s="142" t="str">
        <f t="shared" si="16"/>
        <v>4043/4044</v>
      </c>
      <c r="L36" s="25" t="str">
        <f>VLOOKUP(A36,'Trips&amp;Operators'!$C$1:$E$10000,3,FALSE)</f>
        <v>DAVIS</v>
      </c>
      <c r="M36" s="6">
        <f t="shared" si="43"/>
        <v>2.9004629635892343E-2</v>
      </c>
      <c r="N36" s="7">
        <f t="shared" si="52"/>
        <v>41.766666675684974</v>
      </c>
      <c r="O36" s="7"/>
      <c r="P36" s="7"/>
      <c r="Q36" s="26"/>
      <c r="R36" s="26"/>
      <c r="S36" s="38">
        <f t="shared" si="44"/>
        <v>1</v>
      </c>
      <c r="T36" s="53" t="str">
        <f t="shared" si="45"/>
        <v>NorthBound</v>
      </c>
      <c r="U36" s="13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05:28:05-0600',mode:absolute,to:'2016-08-16 08:11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6" s="55" t="str">
        <f t="shared" si="46"/>
        <v>N</v>
      </c>
      <c r="X36" s="129">
        <f t="shared" si="36"/>
        <v>1</v>
      </c>
      <c r="Y36" s="70">
        <f t="shared" si="47"/>
        <v>6.8400000000000002E-2</v>
      </c>
      <c r="Z36" s="70">
        <f t="shared" si="48"/>
        <v>23.331</v>
      </c>
      <c r="AA36" s="70">
        <f t="shared" si="49"/>
        <v>23.262599999999999</v>
      </c>
      <c r="AB36" s="67" t="e">
        <f>VLOOKUP(A36,Enforcements!$C$7:$J$24,8,0)</f>
        <v>#N/A</v>
      </c>
      <c r="AC36" s="63" t="e">
        <f>VLOOKUP(A36,Enforcements!$C$7:$E$24,3,0)</f>
        <v>#N/A</v>
      </c>
      <c r="AD36" s="64" t="str">
        <f t="shared" si="50"/>
        <v>0123-16</v>
      </c>
      <c r="AE36" s="104" t="str">
        <f t="shared" si="0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36" s="101" t="str">
        <f t="shared" si="1"/>
        <v>"C:\Program Files (x86)\AstroGrep\AstroGrep.exe" /spath="%USERPROFILE%\AppData\Local\Temp\OnboardLogs" /stypes="*4044*20160816*" /stext=" 13:.+((SYSTEM_STATE.+slice.+state.+changed )|(ment ac)|(system.+state.+changed )|(\|lc)|(penalty)|(\[timeout)|(PRM\|1\|D)|(kpr)|(kdp))" /e /r /s</v>
      </c>
      <c r="AG36" s="1" t="str">
        <f t="shared" si="51"/>
        <v>EC</v>
      </c>
      <c r="AH36" s="105" t="str">
        <f t="shared" si="4"/>
        <v>"%USERPROFILE%\Documents\GitHub\eaglep3\Utilities\RefineRTDCRunTimes.py" --tripid 123-16 --locoid 4044 --swversion DE.1.0.7.0 --startMP 204:684 --initTime 2016-08-16T06:28:05 --startdatetime 2016-08-16T06:29:31 --delay 1 --endMP 204:233310 --enddatetime 2016-08-16T07:11:17 --enforcementcount 1</v>
      </c>
    </row>
    <row r="37" spans="1:34" s="1" customFormat="1" x14ac:dyDescent="0.25">
      <c r="A37" s="40" t="s">
        <v>322</v>
      </c>
      <c r="B37" s="7">
        <v>4043</v>
      </c>
      <c r="C37" s="25" t="s">
        <v>119</v>
      </c>
      <c r="D37" s="25" t="s">
        <v>146</v>
      </c>
      <c r="E37" s="16">
        <v>42598.304965277777</v>
      </c>
      <c r="F37" s="16">
        <v>42598.305717592593</v>
      </c>
      <c r="G37" s="7">
        <v>1</v>
      </c>
      <c r="H37" s="16" t="s">
        <v>92</v>
      </c>
      <c r="I37" s="16">
        <v>42598.339641203704</v>
      </c>
      <c r="J37" s="7">
        <v>1</v>
      </c>
      <c r="K37" s="142" t="str">
        <f t="shared" si="16"/>
        <v>4043/4044</v>
      </c>
      <c r="L37" s="25" t="str">
        <f>VLOOKUP(A37,'Trips&amp;Operators'!$C$1:$E$10000,3,FALSE)</f>
        <v>DAVIS</v>
      </c>
      <c r="M37" s="6">
        <f t="shared" si="43"/>
        <v>3.3923611110367347E-2</v>
      </c>
      <c r="N37" s="7">
        <f t="shared" si="52"/>
        <v>48.849999998928979</v>
      </c>
      <c r="O37" s="7"/>
      <c r="P37" s="7"/>
      <c r="Q37" s="26"/>
      <c r="R37" s="26"/>
      <c r="S37" s="38">
        <f t="shared" si="44"/>
        <v>1</v>
      </c>
      <c r="T37" s="53" t="str">
        <f t="shared" si="45"/>
        <v>Southbound</v>
      </c>
      <c r="U37" s="13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06:19:09-0600',mode:absolute,to:'2016-08-16 09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37" s="55" t="str">
        <f t="shared" si="46"/>
        <v>N</v>
      </c>
      <c r="X37" s="129">
        <f t="shared" si="36"/>
        <v>1</v>
      </c>
      <c r="Y37" s="70">
        <f t="shared" si="47"/>
        <v>23.299600000000002</v>
      </c>
      <c r="Z37" s="70">
        <f t="shared" si="48"/>
        <v>1.43E-2</v>
      </c>
      <c r="AA37" s="70">
        <f t="shared" si="49"/>
        <v>23.285300000000003</v>
      </c>
      <c r="AB37" s="67" t="e">
        <f>VLOOKUP(A37,Enforcements!$C$7:$J$24,8,0)</f>
        <v>#N/A</v>
      </c>
      <c r="AC37" s="63" t="e">
        <f>VLOOKUP(A37,Enforcements!$C$7:$E$24,3,0)</f>
        <v>#N/A</v>
      </c>
      <c r="AD37" s="64" t="str">
        <f t="shared" si="50"/>
        <v>0124-16</v>
      </c>
      <c r="AE37" s="104" t="str">
        <f t="shared" si="0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37" s="101" t="str">
        <f t="shared" si="1"/>
        <v>"C:\Program Files (x86)\AstroGrep\AstroGrep.exe" /spath="%USERPROFILE%\AppData\Local\Temp\OnboardLogs" /stypes="*4043*20160816*" /stext=" 14:.+((SYSTEM_STATE.+slice.+state.+changed )|(ment ac)|(system.+state.+changed )|(\|lc)|(penalty)|(\[timeout)|(PRM\|1\|D)|(kpr)|(kdp))" /e /r /s</v>
      </c>
      <c r="AG37" s="1" t="str">
        <f t="shared" si="51"/>
        <v>EC</v>
      </c>
      <c r="AH37" s="105" t="str">
        <f t="shared" si="4"/>
        <v>"%USERPROFILE%\Documents\GitHub\eaglep3\Utilities\RefineRTDCRunTimes.py" --tripid 124-16 --locoid 4043 --swversion DE.1.0.7.0 --startMP 204:232996 --initTime 2016-08-16T07:19:09 --startdatetime 2016-08-16T07:20:14 --delay 1 --endMP 204:143 --enddatetime 2016-08-16T08:09:05 --enforcementcount 1</v>
      </c>
    </row>
    <row r="38" spans="1:34" s="1" customFormat="1" x14ac:dyDescent="0.25">
      <c r="A38" s="40" t="s">
        <v>323</v>
      </c>
      <c r="B38" s="7">
        <v>4011</v>
      </c>
      <c r="C38" s="25" t="s">
        <v>119</v>
      </c>
      <c r="D38" s="25" t="s">
        <v>114</v>
      </c>
      <c r="E38" s="16">
        <v>42598.283136574071</v>
      </c>
      <c r="F38" s="16">
        <v>42598.284062500003</v>
      </c>
      <c r="G38" s="7">
        <v>1</v>
      </c>
      <c r="H38" s="16" t="s">
        <v>176</v>
      </c>
      <c r="I38" s="16">
        <v>42598.313645833332</v>
      </c>
      <c r="J38" s="7">
        <v>1</v>
      </c>
      <c r="K38" s="142" t="str">
        <f t="shared" si="16"/>
        <v>4011/4012</v>
      </c>
      <c r="L38" s="25" t="str">
        <f>VLOOKUP(A38,'Trips&amp;Operators'!$C$1:$E$10000,3,FALSE)</f>
        <v>SWANSON</v>
      </c>
      <c r="M38" s="6">
        <f t="shared" si="43"/>
        <v>2.958333332935581E-2</v>
      </c>
      <c r="N38" s="7">
        <f t="shared" si="52"/>
        <v>42.599999994272366</v>
      </c>
      <c r="O38" s="7"/>
      <c r="P38" s="7"/>
      <c r="Q38" s="26"/>
      <c r="R38" s="26"/>
      <c r="S38" s="38">
        <f t="shared" si="44"/>
        <v>1</v>
      </c>
      <c r="T38" s="53" t="str">
        <f t="shared" si="45"/>
        <v>NorthBound</v>
      </c>
      <c r="U38" s="13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05:47:43-0600',mode:absolute,to:'2016-08-16 08:31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38" s="55" t="str">
        <f t="shared" si="46"/>
        <v>N</v>
      </c>
      <c r="X38" s="129">
        <f t="shared" ref="X38:X46" si="53">VALUE(LEFT(AD38,4))-VALUE(LEFT(AD37,4))</f>
        <v>1</v>
      </c>
      <c r="Y38" s="70">
        <f t="shared" si="47"/>
        <v>4.6199999999999998E-2</v>
      </c>
      <c r="Z38" s="70">
        <f t="shared" si="48"/>
        <v>23.329699999999999</v>
      </c>
      <c r="AA38" s="70">
        <f t="shared" si="49"/>
        <v>23.2835</v>
      </c>
      <c r="AB38" s="67" t="e">
        <f>VLOOKUP(A38,Enforcements!$C$7:$J$24,8,0)</f>
        <v>#N/A</v>
      </c>
      <c r="AC38" s="63" t="e">
        <f>VLOOKUP(A38,Enforcements!$C$7:$E$24,3,0)</f>
        <v>#N/A</v>
      </c>
      <c r="AD38" s="64" t="str">
        <f t="shared" si="50"/>
        <v>0125-16</v>
      </c>
      <c r="AE38" s="104" t="str">
        <f t="shared" si="0"/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AF38" s="101" t="str">
        <f t="shared" si="1"/>
        <v>"C:\Program Files (x86)\AstroGrep\AstroGrep.exe" /spath="%USERPROFILE%\AppData\Local\Temp\OnboardLogs" /stypes="*4011*20160816*" /stext=" 13:.+((SYSTEM_STATE.+slice.+state.+changed )|(ment ac)|(system.+state.+changed )|(\|lc)|(penalty)|(\[timeout)|(PRM\|1\|D)|(kpr)|(kdp))" /e /r /s</v>
      </c>
      <c r="AG38" s="1" t="str">
        <f t="shared" si="51"/>
        <v>EC</v>
      </c>
      <c r="AH38" s="105" t="str">
        <f t="shared" si="4"/>
        <v>"%USERPROFILE%\Documents\GitHub\eaglep3\Utilities\RefineRTDCRunTimes.py" --tripid 125-16 --locoid 4011 --swversion DE.1.0.7.0 --startMP 204:462 --initTime 2016-08-16T06:47:43 --startdatetime 2016-08-16T06:49:03 --delay 1 --endMP 204:233297 --enddatetime 2016-08-16T07:31:39 --enforcementcount 1</v>
      </c>
    </row>
    <row r="39" spans="1:34" s="1" customFormat="1" x14ac:dyDescent="0.25">
      <c r="A39" s="40" t="s">
        <v>324</v>
      </c>
      <c r="B39" s="7">
        <v>4012</v>
      </c>
      <c r="C39" s="25" t="s">
        <v>119</v>
      </c>
      <c r="D39" s="25" t="s">
        <v>153</v>
      </c>
      <c r="E39" s="16">
        <v>42598.319490740738</v>
      </c>
      <c r="F39" s="16">
        <v>42598.320277777777</v>
      </c>
      <c r="G39" s="7">
        <v>1</v>
      </c>
      <c r="H39" s="16" t="s">
        <v>325</v>
      </c>
      <c r="I39" s="16">
        <v>42598.350451388891</v>
      </c>
      <c r="J39" s="7">
        <v>1</v>
      </c>
      <c r="K39" s="142" t="str">
        <f t="shared" si="16"/>
        <v>4011/4012</v>
      </c>
      <c r="L39" s="25" t="str">
        <f>VLOOKUP(A39,'Trips&amp;Operators'!$C$1:$E$10000,3,FALSE)</f>
        <v>SWANSON</v>
      </c>
      <c r="M39" s="6">
        <f t="shared" si="43"/>
        <v>3.0173611114150845E-2</v>
      </c>
      <c r="N39" s="7">
        <f t="shared" si="52"/>
        <v>43.450000004377216</v>
      </c>
      <c r="O39" s="7"/>
      <c r="P39" s="7"/>
      <c r="Q39" s="26"/>
      <c r="R39" s="26"/>
      <c r="S39" s="38">
        <f t="shared" si="44"/>
        <v>1</v>
      </c>
      <c r="T39" s="53" t="str">
        <f t="shared" si="45"/>
        <v>Southbound</v>
      </c>
      <c r="U39" s="13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06:40:04-0600',mode:absolute,to:'2016-08-16 09:24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39" s="55" t="str">
        <f t="shared" si="46"/>
        <v>N</v>
      </c>
      <c r="X39" s="129">
        <f t="shared" si="53"/>
        <v>1</v>
      </c>
      <c r="Y39" s="70">
        <f t="shared" si="47"/>
        <v>23.297799999999999</v>
      </c>
      <c r="Z39" s="70">
        <f t="shared" si="48"/>
        <v>0.1182</v>
      </c>
      <c r="AA39" s="70">
        <f t="shared" si="49"/>
        <v>23.179599999999997</v>
      </c>
      <c r="AB39" s="67" t="e">
        <f>VLOOKUP(A39,Enforcements!$C$7:$J$24,8,0)</f>
        <v>#N/A</v>
      </c>
      <c r="AC39" s="63" t="e">
        <f>VLOOKUP(A39,Enforcements!$C$7:$E$24,3,0)</f>
        <v>#N/A</v>
      </c>
      <c r="AD39" s="64" t="str">
        <f t="shared" si="50"/>
        <v>0126-16</v>
      </c>
      <c r="AE39" s="104" t="str">
        <f t="shared" si="0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39" s="101" t="str">
        <f t="shared" si="1"/>
        <v>"C:\Program Files (x86)\AstroGrep\AstroGrep.exe" /spath="%USERPROFILE%\AppData\Local\Temp\OnboardLogs" /stypes="*4012*20160816*" /stext=" 14:.+((SYSTEM_STATE.+slice.+state.+changed )|(ment ac)|(system.+state.+changed )|(\|lc)|(penalty)|(\[timeout)|(PRM\|1\|D)|(kpr)|(kdp))" /e /r /s</v>
      </c>
      <c r="AG39" s="1" t="str">
        <f t="shared" si="51"/>
        <v>EC</v>
      </c>
      <c r="AH39" s="105" t="str">
        <f t="shared" si="4"/>
        <v>"%USERPROFILE%\Documents\GitHub\eaglep3\Utilities\RefineRTDCRunTimes.py" --tripid 126-16 --locoid 4012 --swversion DE.1.0.7.0 --startMP 204:232978 --initTime 2016-08-16T07:40:04 --startdatetime 2016-08-16T07:41:12 --delay 1 --endMP 204:1182 --enddatetime 2016-08-16T08:24:39 --enforcementcount 1</v>
      </c>
    </row>
    <row r="40" spans="1:34" s="1" customFormat="1" x14ac:dyDescent="0.25">
      <c r="A40" s="40" t="s">
        <v>326</v>
      </c>
      <c r="B40" s="7">
        <v>4031</v>
      </c>
      <c r="C40" s="25" t="s">
        <v>119</v>
      </c>
      <c r="D40" s="25" t="s">
        <v>151</v>
      </c>
      <c r="E40" s="16">
        <v>42598.28769675926</v>
      </c>
      <c r="F40" s="16">
        <v>42598.288726851853</v>
      </c>
      <c r="G40" s="7">
        <v>1</v>
      </c>
      <c r="H40" s="16" t="s">
        <v>166</v>
      </c>
      <c r="I40" s="16">
        <v>42598.319166666668</v>
      </c>
      <c r="J40" s="7">
        <v>1</v>
      </c>
      <c r="K40" s="142" t="str">
        <f t="shared" si="16"/>
        <v>4031/4032</v>
      </c>
      <c r="L40" s="25" t="str">
        <f>VLOOKUP(A40,'Trips&amp;Operators'!$C$1:$E$10000,3,FALSE)</f>
        <v>KILLION</v>
      </c>
      <c r="M40" s="6">
        <f t="shared" si="43"/>
        <v>3.0439814814599231E-2</v>
      </c>
      <c r="N40" s="7">
        <f t="shared" si="52"/>
        <v>43.833333333022892</v>
      </c>
      <c r="O40" s="7"/>
      <c r="P40" s="7"/>
      <c r="Q40" s="26"/>
      <c r="R40" s="26"/>
      <c r="S40" s="38">
        <f t="shared" si="44"/>
        <v>1</v>
      </c>
      <c r="T40" s="53" t="str">
        <f t="shared" si="45"/>
        <v>NorthBound</v>
      </c>
      <c r="U40" s="13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05:54:17-0600',mode:absolute,to:'2016-08-16 08:39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0" s="55" t="str">
        <f t="shared" si="46"/>
        <v>N</v>
      </c>
      <c r="X40" s="129">
        <f t="shared" si="53"/>
        <v>1</v>
      </c>
      <c r="Y40" s="70">
        <f t="shared" si="47"/>
        <v>4.6899999999999997E-2</v>
      </c>
      <c r="Z40" s="70">
        <f t="shared" si="48"/>
        <v>23.33</v>
      </c>
      <c r="AA40" s="70">
        <f t="shared" si="49"/>
        <v>23.283099999999997</v>
      </c>
      <c r="AB40" s="67" t="e">
        <f>VLOOKUP(A40,Enforcements!$C$7:$J$24,8,0)</f>
        <v>#N/A</v>
      </c>
      <c r="AC40" s="63" t="e">
        <f>VLOOKUP(A40,Enforcements!$C$7:$E$24,3,0)</f>
        <v>#N/A</v>
      </c>
      <c r="AD40" s="64" t="str">
        <f t="shared" si="50"/>
        <v>0127-16</v>
      </c>
      <c r="AE40" s="104" t="str">
        <f t="shared" si="0"/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AF40" s="101" t="str">
        <f t="shared" si="1"/>
        <v>"C:\Program Files (x86)\AstroGrep\AstroGrep.exe" /spath="%USERPROFILE%\AppData\Local\Temp\OnboardLogs" /stypes="*4031*20160816*" /stext=" 13:.+((SYSTEM_STATE.+slice.+state.+changed )|(ment ac)|(system.+state.+changed )|(\|lc)|(penalty)|(\[timeout)|(PRM\|1\|D)|(kpr)|(kdp))" /e /r /s</v>
      </c>
      <c r="AG40" s="1" t="str">
        <f t="shared" si="51"/>
        <v>EC</v>
      </c>
      <c r="AH40" s="105" t="str">
        <f t="shared" si="4"/>
        <v>"%USERPROFILE%\Documents\GitHub\eaglep3\Utilities\RefineRTDCRunTimes.py" --tripid 127-16 --locoid 4031 --swversion DE.1.0.7.0 --startMP 204:469 --initTime 2016-08-16T06:54:17 --startdatetime 2016-08-16T06:55:46 --delay 1 --endMP 204:233300 --enddatetime 2016-08-16T07:39:36 --enforcementcount 1</v>
      </c>
    </row>
    <row r="41" spans="1:34" s="1" customFormat="1" x14ac:dyDescent="0.25">
      <c r="A41" s="40" t="s">
        <v>327</v>
      </c>
      <c r="B41" s="7">
        <v>4032</v>
      </c>
      <c r="C41" s="25" t="s">
        <v>119</v>
      </c>
      <c r="D41" s="25" t="s">
        <v>173</v>
      </c>
      <c r="E41" s="16">
        <v>42598.325555555559</v>
      </c>
      <c r="F41" s="16">
        <v>42598.326493055552</v>
      </c>
      <c r="G41" s="7">
        <v>1</v>
      </c>
      <c r="H41" s="16" t="s">
        <v>140</v>
      </c>
      <c r="I41" s="16">
        <v>42598.361539351848</v>
      </c>
      <c r="J41" s="7">
        <v>1</v>
      </c>
      <c r="K41" s="142" t="str">
        <f t="shared" si="16"/>
        <v>4031/4032</v>
      </c>
      <c r="L41" s="25" t="str">
        <f>VLOOKUP(A41,'Trips&amp;Operators'!$C$1:$E$10000,3,FALSE)</f>
        <v>KILLION</v>
      </c>
      <c r="M41" s="6">
        <f t="shared" si="43"/>
        <v>3.5046296296059154E-2</v>
      </c>
      <c r="N41" s="7">
        <f t="shared" si="52"/>
        <v>50.466666666325182</v>
      </c>
      <c r="O41" s="7"/>
      <c r="P41" s="7"/>
      <c r="Q41" s="26"/>
      <c r="R41" s="26"/>
      <c r="S41" s="38">
        <f t="shared" si="44"/>
        <v>1</v>
      </c>
      <c r="T41" s="53" t="str">
        <f t="shared" si="45"/>
        <v>Southbound</v>
      </c>
      <c r="U41" s="13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06:48:48-0600',mode:absolute,to:'2016-08-16 09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41" s="55" t="str">
        <f t="shared" si="46"/>
        <v>N</v>
      </c>
      <c r="X41" s="129">
        <f t="shared" si="53"/>
        <v>1</v>
      </c>
      <c r="Y41" s="70">
        <f t="shared" si="47"/>
        <v>23.298500000000001</v>
      </c>
      <c r="Z41" s="70">
        <f t="shared" si="48"/>
        <v>1.47E-2</v>
      </c>
      <c r="AA41" s="70">
        <f t="shared" si="49"/>
        <v>23.283799999999999</v>
      </c>
      <c r="AB41" s="67" t="e">
        <f>VLOOKUP(A41,Enforcements!$C$7:$J$24,8,0)</f>
        <v>#N/A</v>
      </c>
      <c r="AC41" s="63" t="e">
        <f>VLOOKUP(A41,Enforcements!$C$7:$E$24,3,0)</f>
        <v>#N/A</v>
      </c>
      <c r="AD41" s="64" t="str">
        <f t="shared" si="50"/>
        <v>0128-16</v>
      </c>
      <c r="AE41" s="104" t="str">
        <f t="shared" si="0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41" s="101" t="str">
        <f t="shared" si="1"/>
        <v>"C:\Program Files (x86)\AstroGrep\AstroGrep.exe" /spath="%USERPROFILE%\AppData\Local\Temp\OnboardLogs" /stypes="*4032*20160816*" /stext=" 14:.+((SYSTEM_STATE.+slice.+state.+changed )|(ment ac)|(system.+state.+changed )|(\|lc)|(penalty)|(\[timeout)|(PRM\|1\|D)|(kpr)|(kdp))" /e /r /s</v>
      </c>
      <c r="AG41" s="1" t="str">
        <f t="shared" si="51"/>
        <v>EC</v>
      </c>
      <c r="AH41" s="105" t="str">
        <f t="shared" si="4"/>
        <v>"%USERPROFILE%\Documents\GitHub\eaglep3\Utilities\RefineRTDCRunTimes.py" --tripid 128-16 --locoid 4032 --swversion DE.1.0.7.0 --startMP 204:232985 --initTime 2016-08-16T07:48:48 --startdatetime 2016-08-16T07:50:09 --delay 1 --endMP 204:147 --enddatetime 2016-08-16T08:40:37 --enforcementcount 1</v>
      </c>
    </row>
    <row r="42" spans="1:34" s="1" customFormat="1" x14ac:dyDescent="0.25">
      <c r="A42" s="40" t="s">
        <v>328</v>
      </c>
      <c r="B42" s="7">
        <v>4018</v>
      </c>
      <c r="C42" s="25" t="s">
        <v>119</v>
      </c>
      <c r="D42" s="25" t="s">
        <v>113</v>
      </c>
      <c r="E42" s="16">
        <v>42598.299074074072</v>
      </c>
      <c r="F42" s="16">
        <v>42598.300613425927</v>
      </c>
      <c r="G42" s="7">
        <v>2</v>
      </c>
      <c r="H42" s="16" t="s">
        <v>225</v>
      </c>
      <c r="I42" s="16">
        <v>42598.32885416667</v>
      </c>
      <c r="J42" s="7">
        <v>1</v>
      </c>
      <c r="K42" s="142" t="str">
        <f t="shared" si="16"/>
        <v>4017/4018</v>
      </c>
      <c r="L42" s="25" t="str">
        <f>VLOOKUP(A42,'Trips&amp;Operators'!$C$1:$E$10000,3,FALSE)</f>
        <v>ROCHA</v>
      </c>
      <c r="M42" s="6">
        <f t="shared" si="43"/>
        <v>2.8240740743058268E-2</v>
      </c>
      <c r="N42" s="7">
        <f t="shared" si="52"/>
        <v>40.666666670003906</v>
      </c>
      <c r="O42" s="7"/>
      <c r="P42" s="7"/>
      <c r="Q42" s="26"/>
      <c r="R42" s="26"/>
      <c r="S42" s="38">
        <f t="shared" si="44"/>
        <v>1</v>
      </c>
      <c r="T42" s="53" t="str">
        <f t="shared" si="45"/>
        <v>NorthBound</v>
      </c>
      <c r="U42" s="13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06:10:40-0600',mode:absolute,to:'2016-08-16 08:53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2" s="55" t="str">
        <f t="shared" si="46"/>
        <v>N</v>
      </c>
      <c r="X42" s="129">
        <f t="shared" si="53"/>
        <v>1</v>
      </c>
      <c r="Y42" s="70">
        <f t="shared" si="47"/>
        <v>4.6399999999999997E-2</v>
      </c>
      <c r="Z42" s="70">
        <f t="shared" si="48"/>
        <v>23.330500000000001</v>
      </c>
      <c r="AA42" s="70">
        <f t="shared" si="49"/>
        <v>23.284100000000002</v>
      </c>
      <c r="AB42" s="67" t="e">
        <f>VLOOKUP(A42,Enforcements!$C$7:$J$24,8,0)</f>
        <v>#N/A</v>
      </c>
      <c r="AC42" s="63" t="e">
        <f>VLOOKUP(A42,Enforcements!$C$7:$E$24,3,0)</f>
        <v>#N/A</v>
      </c>
      <c r="AD42" s="64" t="str">
        <f t="shared" si="50"/>
        <v>0129-16</v>
      </c>
      <c r="AE42" s="104" t="str">
        <f t="shared" si="0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42" s="101" t="str">
        <f t="shared" si="1"/>
        <v>"C:\Program Files (x86)\AstroGrep\AstroGrep.exe" /spath="%USERPROFILE%\AppData\Local\Temp\OnboardLogs" /stypes="*4018*20160816*" /stext=" 13:.+((SYSTEM_STATE.+slice.+state.+changed )|(ment ac)|(system.+state.+changed )|(\|lc)|(penalty)|(\[timeout)|(PRM\|1\|D)|(kpr)|(kdp))" /e /r /s</v>
      </c>
      <c r="AG42" s="1" t="str">
        <f t="shared" si="51"/>
        <v>EC</v>
      </c>
      <c r="AH42" s="105" t="str">
        <f t="shared" si="4"/>
        <v>"%USERPROFILE%\Documents\GitHub\eaglep3\Utilities\RefineRTDCRunTimes.py" --tripid 129-16 --locoid 4018 --swversion DE.1.0.7.0 --startMP 204:464 --initTime 2016-08-16T07:10:40 --startdatetime 2016-08-16T07:12:53 --delay 2 --endMP 204:233305 --enddatetime 2016-08-16T07:53:33 --enforcementcount 1</v>
      </c>
    </row>
    <row r="43" spans="1:34" s="1" customFormat="1" x14ac:dyDescent="0.25">
      <c r="A43" s="40" t="s">
        <v>329</v>
      </c>
      <c r="B43" s="7">
        <v>4017</v>
      </c>
      <c r="C43" s="25" t="s">
        <v>119</v>
      </c>
      <c r="D43" s="25" t="s">
        <v>330</v>
      </c>
      <c r="E43" s="16">
        <v>42598.341550925928</v>
      </c>
      <c r="F43" s="16">
        <v>42598.342442129629</v>
      </c>
      <c r="G43" s="7">
        <v>1</v>
      </c>
      <c r="H43" s="16" t="s">
        <v>140</v>
      </c>
      <c r="I43" s="16">
        <v>42598.379837962966</v>
      </c>
      <c r="J43" s="7">
        <v>1</v>
      </c>
      <c r="K43" s="142" t="str">
        <f t="shared" si="16"/>
        <v>4017/4018</v>
      </c>
      <c r="L43" s="25" t="str">
        <f>VLOOKUP(A43,'Trips&amp;Operators'!$C$1:$E$10000,3,FALSE)</f>
        <v>ROCHA</v>
      </c>
      <c r="M43" s="6">
        <f t="shared" si="43"/>
        <v>3.7395833336631767E-2</v>
      </c>
      <c r="N43" s="7">
        <f t="shared" si="52"/>
        <v>53.850000004749745</v>
      </c>
      <c r="O43" s="7"/>
      <c r="P43" s="7"/>
      <c r="Q43" s="26"/>
      <c r="R43" s="26"/>
      <c r="S43" s="38">
        <f t="shared" si="44"/>
        <v>1</v>
      </c>
      <c r="T43" s="53" t="str">
        <f t="shared" si="45"/>
        <v>Southbound</v>
      </c>
      <c r="U43" s="13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07:11:50-0600',mode:absolute,to:'2016-08-16 10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3" s="55" t="str">
        <f t="shared" si="46"/>
        <v>N</v>
      </c>
      <c r="X43" s="129">
        <f t="shared" si="53"/>
        <v>1</v>
      </c>
      <c r="Y43" s="70">
        <f t="shared" si="47"/>
        <v>23.2973</v>
      </c>
      <c r="Z43" s="70">
        <f t="shared" si="48"/>
        <v>1.47E-2</v>
      </c>
      <c r="AA43" s="70">
        <f t="shared" si="49"/>
        <v>23.282599999999999</v>
      </c>
      <c r="AB43" s="67" t="e">
        <f>VLOOKUP(A43,Enforcements!$C$7:$J$24,8,0)</f>
        <v>#N/A</v>
      </c>
      <c r="AC43" s="63" t="e">
        <f>VLOOKUP(A43,Enforcements!$C$7:$E$24,3,0)</f>
        <v>#N/A</v>
      </c>
      <c r="AD43" s="64" t="str">
        <f t="shared" si="50"/>
        <v>0130-16</v>
      </c>
      <c r="AE43" s="104" t="str">
        <f t="shared" si="0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43" s="101" t="str">
        <f t="shared" si="1"/>
        <v>"C:\Program Files (x86)\AstroGrep\AstroGrep.exe" /spath="%USERPROFILE%\AppData\Local\Temp\OnboardLogs" /stypes="*4017*20160816*" /stext=" 15:.+((SYSTEM_STATE.+slice.+state.+changed )|(ment ac)|(system.+state.+changed )|(\|lc)|(penalty)|(\[timeout)|(PRM\|1\|D)|(kpr)|(kdp))" /e /r /s</v>
      </c>
      <c r="AG43" s="1" t="str">
        <f t="shared" si="51"/>
        <v>EC</v>
      </c>
      <c r="AH43" s="105" t="str">
        <f t="shared" si="4"/>
        <v>"%USERPROFILE%\Documents\GitHub\eaglep3\Utilities\RefineRTDCRunTimes.py" --tripid 130-16 --locoid 4017 --swversion DE.1.0.7.0 --startMP 204:232973 --initTime 2016-08-16T08:11:50 --startdatetime 2016-08-16T08:13:07 --delay 1 --endMP 204:147 --enddatetime 2016-08-16T09:06:58 --enforcementcount 1</v>
      </c>
    </row>
    <row r="44" spans="1:34" s="1" customFormat="1" x14ac:dyDescent="0.25">
      <c r="A44" s="40" t="s">
        <v>331</v>
      </c>
      <c r="B44" s="7">
        <v>4038</v>
      </c>
      <c r="C44" s="25" t="s">
        <v>119</v>
      </c>
      <c r="D44" s="25" t="s">
        <v>141</v>
      </c>
      <c r="E44" s="16">
        <v>42598.310254629629</v>
      </c>
      <c r="F44" s="16">
        <v>42598.311307870368</v>
      </c>
      <c r="G44" s="7">
        <v>1</v>
      </c>
      <c r="H44" s="16" t="s">
        <v>332</v>
      </c>
      <c r="I44" s="16">
        <v>42598.340219907404</v>
      </c>
      <c r="J44" s="7">
        <v>1</v>
      </c>
      <c r="K44" s="142" t="str">
        <f t="shared" si="16"/>
        <v>4037/4038</v>
      </c>
      <c r="L44" s="25" t="str">
        <f>VLOOKUP(A44,'Trips&amp;Operators'!$C$1:$E$10000,3,FALSE)</f>
        <v>ACKERMAN</v>
      </c>
      <c r="M44" s="6">
        <f t="shared" si="43"/>
        <v>2.8912037036207039E-2</v>
      </c>
      <c r="N44" s="7">
        <f t="shared" si="52"/>
        <v>41.633333332138136</v>
      </c>
      <c r="O44" s="7"/>
      <c r="P44" s="7"/>
      <c r="Q44" s="26"/>
      <c r="R44" s="26"/>
      <c r="S44" s="38">
        <f t="shared" si="44"/>
        <v>1</v>
      </c>
      <c r="T44" s="53" t="str">
        <f t="shared" si="45"/>
        <v>NorthBound</v>
      </c>
      <c r="U44" s="13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06:26:46-0600',mode:absolute,to:'2016-08-16 09:09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44" s="55" t="str">
        <f t="shared" si="46"/>
        <v>N</v>
      </c>
      <c r="X44" s="129">
        <f t="shared" si="53"/>
        <v>1</v>
      </c>
      <c r="Y44" s="70">
        <f t="shared" si="47"/>
        <v>4.53E-2</v>
      </c>
      <c r="Z44" s="70">
        <f t="shared" si="48"/>
        <v>23.328099999999999</v>
      </c>
      <c r="AA44" s="70">
        <f t="shared" si="49"/>
        <v>23.282799999999998</v>
      </c>
      <c r="AB44" s="67" t="e">
        <f>VLOOKUP(A44,Enforcements!$C$7:$J$24,8,0)</f>
        <v>#N/A</v>
      </c>
      <c r="AC44" s="63" t="e">
        <f>VLOOKUP(A44,Enforcements!$C$7:$E$24,3,0)</f>
        <v>#N/A</v>
      </c>
      <c r="AD44" s="64" t="str">
        <f t="shared" si="50"/>
        <v>0131-16</v>
      </c>
      <c r="AE44" s="104" t="str">
        <f t="shared" si="0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44" s="101" t="str">
        <f t="shared" si="1"/>
        <v>"C:\Program Files (x86)\AstroGrep\AstroGrep.exe" /spath="%USERPROFILE%\AppData\Local\Temp\OnboardLogs" /stypes="*4038*20160816*" /stext=" 14:.+((SYSTEM_STATE.+slice.+state.+changed )|(ment ac)|(system.+state.+changed )|(\|lc)|(penalty)|(\[timeout)|(PRM\|1\|D)|(kpr)|(kdp))" /e /r /s</v>
      </c>
      <c r="AG44" s="1" t="str">
        <f t="shared" si="51"/>
        <v>EC</v>
      </c>
      <c r="AH44" s="105" t="str">
        <f t="shared" si="4"/>
        <v>"%USERPROFILE%\Documents\GitHub\eaglep3\Utilities\RefineRTDCRunTimes.py" --tripid 131-16 --locoid 4038 --swversion DE.1.0.7.0 --startMP 204:453 --initTime 2016-08-16T07:26:46 --startdatetime 2016-08-16T07:28:17 --delay 1 --endMP 204:233281 --enddatetime 2016-08-16T08:09:55 --enforcementcount 1</v>
      </c>
    </row>
    <row r="45" spans="1:34" s="1" customFormat="1" x14ac:dyDescent="0.25">
      <c r="A45" s="40" t="s">
        <v>333</v>
      </c>
      <c r="B45" s="7">
        <v>4037</v>
      </c>
      <c r="C45" s="25" t="s">
        <v>119</v>
      </c>
      <c r="D45" s="25" t="s">
        <v>252</v>
      </c>
      <c r="E45" s="16">
        <v>42598.345856481479</v>
      </c>
      <c r="F45" s="16">
        <v>42598.347129629627</v>
      </c>
      <c r="G45" s="7">
        <v>1</v>
      </c>
      <c r="H45" s="16" t="s">
        <v>92</v>
      </c>
      <c r="I45" s="16">
        <v>42598.391134259262</v>
      </c>
      <c r="J45" s="7">
        <v>1</v>
      </c>
      <c r="K45" s="142" t="str">
        <f t="shared" si="16"/>
        <v>4037/4038</v>
      </c>
      <c r="L45" s="25" t="str">
        <f>VLOOKUP(A45,'Trips&amp;Operators'!$C$1:$E$10000,3,FALSE)</f>
        <v>ACKERMAN</v>
      </c>
      <c r="M45" s="6">
        <f t="shared" si="43"/>
        <v>4.4004629635310266E-2</v>
      </c>
      <c r="N45" s="7">
        <f t="shared" si="52"/>
        <v>63.366666674846783</v>
      </c>
      <c r="O45" s="7"/>
      <c r="P45" s="7"/>
      <c r="Q45" s="26"/>
      <c r="R45" s="26"/>
      <c r="S45" s="38">
        <f t="shared" si="44"/>
        <v>1</v>
      </c>
      <c r="T45" s="53" t="str">
        <f t="shared" si="45"/>
        <v>Southbound</v>
      </c>
      <c r="U45" s="13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07:18:02-0600',mode:absolute,to:'2016-08-16 10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45" s="55" t="str">
        <f t="shared" si="46"/>
        <v>N</v>
      </c>
      <c r="X45" s="129">
        <f t="shared" si="53"/>
        <v>1</v>
      </c>
      <c r="Y45" s="70">
        <f t="shared" si="47"/>
        <v>23.296399999999998</v>
      </c>
      <c r="Z45" s="70">
        <f t="shared" si="48"/>
        <v>1.43E-2</v>
      </c>
      <c r="AA45" s="70">
        <f t="shared" si="49"/>
        <v>23.2821</v>
      </c>
      <c r="AB45" s="67" t="e">
        <f>VLOOKUP(A45,Enforcements!$C$7:$J$24,8,0)</f>
        <v>#N/A</v>
      </c>
      <c r="AC45" s="63" t="e">
        <f>VLOOKUP(A45,Enforcements!$C$7:$E$24,3,0)</f>
        <v>#N/A</v>
      </c>
      <c r="AD45" s="64" t="str">
        <f t="shared" si="50"/>
        <v>0132-16</v>
      </c>
      <c r="AE45" s="104" t="str">
        <f t="shared" si="0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45" s="101" t="str">
        <f t="shared" si="1"/>
        <v>"C:\Program Files (x86)\AstroGrep\AstroGrep.exe" /spath="%USERPROFILE%\AppData\Local\Temp\OnboardLogs" /stypes="*4037*20160816*" /stext=" 15:.+((SYSTEM_STATE.+slice.+state.+changed )|(ment ac)|(system.+state.+changed )|(\|lc)|(penalty)|(\[timeout)|(PRM\|1\|D)|(kpr)|(kdp))" /e /r /s</v>
      </c>
      <c r="AG45" s="1" t="str">
        <f t="shared" si="51"/>
        <v>EC</v>
      </c>
      <c r="AH45" s="105" t="str">
        <f t="shared" si="4"/>
        <v>"%USERPROFILE%\Documents\GitHub\eaglep3\Utilities\RefineRTDCRunTimes.py" --tripid 132-16 --locoid 4037 --swversion DE.1.0.7.0 --startMP 204:232964 --initTime 2016-08-16T08:18:02 --startdatetime 2016-08-16T08:19:52 --delay 1 --endMP 204:143 --enddatetime 2016-08-16T09:23:14 --enforcementcount 1</v>
      </c>
    </row>
    <row r="46" spans="1:34" s="1" customFormat="1" x14ac:dyDescent="0.25">
      <c r="A46" s="40" t="s">
        <v>334</v>
      </c>
      <c r="B46" s="7">
        <v>4029</v>
      </c>
      <c r="C46" s="25" t="s">
        <v>119</v>
      </c>
      <c r="D46" s="25" t="s">
        <v>133</v>
      </c>
      <c r="E46" s="16">
        <v>42598.324236111112</v>
      </c>
      <c r="F46" s="16">
        <v>42598.325810185182</v>
      </c>
      <c r="G46" s="7">
        <v>2</v>
      </c>
      <c r="H46" s="16" t="s">
        <v>249</v>
      </c>
      <c r="I46" s="16">
        <v>42598.353576388887</v>
      </c>
      <c r="J46" s="7">
        <v>1</v>
      </c>
      <c r="K46" s="142" t="str">
        <f t="shared" si="16"/>
        <v>4029/4030</v>
      </c>
      <c r="L46" s="25" t="str">
        <f>VLOOKUP(A46,'Trips&amp;Operators'!$C$1:$E$10000,3,FALSE)</f>
        <v>BRANNON</v>
      </c>
      <c r="M46" s="6">
        <f t="shared" si="43"/>
        <v>2.7766203704231884E-2</v>
      </c>
      <c r="N46" s="7">
        <f t="shared" si="52"/>
        <v>39.983333334093913</v>
      </c>
      <c r="O46" s="7"/>
      <c r="P46" s="7"/>
      <c r="Q46" s="26"/>
      <c r="R46" s="26"/>
      <c r="S46" s="38">
        <f t="shared" si="44"/>
        <v>1</v>
      </c>
      <c r="T46" s="53" t="str">
        <f t="shared" si="45"/>
        <v>NorthBound</v>
      </c>
      <c r="U46" s="13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06:46:54-0600',mode:absolute,to:'2016-08-16 09:29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46" s="55" t="str">
        <f t="shared" si="46"/>
        <v>N</v>
      </c>
      <c r="X46" s="129">
        <f t="shared" si="53"/>
        <v>1</v>
      </c>
      <c r="Y46" s="70">
        <f t="shared" si="47"/>
        <v>4.5499999999999999E-2</v>
      </c>
      <c r="Z46" s="70">
        <f t="shared" si="48"/>
        <v>23.3324</v>
      </c>
      <c r="AA46" s="70">
        <f t="shared" si="49"/>
        <v>23.286899999999999</v>
      </c>
      <c r="AB46" s="67">
        <f>VLOOKUP(A46,Enforcements!$C$7:$J$24,8,0)</f>
        <v>33137</v>
      </c>
      <c r="AC46" s="63" t="str">
        <f>VLOOKUP(A46,Enforcements!$C$7:$E$24,3,0)</f>
        <v>GRADE CROSSING</v>
      </c>
      <c r="AD46" s="64" t="str">
        <f t="shared" si="50"/>
        <v>0133-16</v>
      </c>
      <c r="AE46" s="104" t="str">
        <f t="shared" si="0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46" s="101" t="str">
        <f t="shared" si="1"/>
        <v>"C:\Program Files (x86)\AstroGrep\AstroGrep.exe" /spath="%USERPROFILE%\AppData\Local\Temp\OnboardLogs" /stypes="*4029*20160816*" /stext=" 14:.+((SYSTEM_STATE.+slice.+state.+changed )|(ment ac)|(system.+state.+changed )|(\|lc)|(penalty)|(\[timeout)|(PRM\|1\|D)|(kpr)|(kdp))" /e /r /s</v>
      </c>
      <c r="AG46" s="1" t="str">
        <f t="shared" si="51"/>
        <v>EC</v>
      </c>
      <c r="AH46" s="105" t="str">
        <f t="shared" si="4"/>
        <v>"%USERPROFILE%\Documents\GitHub\eaglep3\Utilities\RefineRTDCRunTimes.py" --tripid 133-16 --locoid 4029 --swversion DE.1.0.7.0 --startMP 204:455 --initTime 2016-08-16T07:46:54 --startdatetime 2016-08-16T07:49:10 --delay 2 --endMP 204:233324 --enddatetime 2016-08-16T08:29:09 --enforcementcount 1</v>
      </c>
    </row>
    <row r="47" spans="1:34" s="1" customFormat="1" x14ac:dyDescent="0.25">
      <c r="A47" s="40" t="s">
        <v>335</v>
      </c>
      <c r="B47" s="7">
        <v>4030</v>
      </c>
      <c r="C47" s="25" t="s">
        <v>119</v>
      </c>
      <c r="D47" s="25" t="s">
        <v>319</v>
      </c>
      <c r="E47" s="16">
        <v>42598.363368055558</v>
      </c>
      <c r="F47" s="16">
        <v>42598.36451388889</v>
      </c>
      <c r="G47" s="7">
        <v>1</v>
      </c>
      <c r="H47" s="16" t="s">
        <v>169</v>
      </c>
      <c r="I47" s="16">
        <v>42598.403391203705</v>
      </c>
      <c r="J47" s="7">
        <v>1</v>
      </c>
      <c r="K47" s="142" t="str">
        <f t="shared" si="16"/>
        <v>4029/4030</v>
      </c>
      <c r="L47" s="25" t="str">
        <f>VLOOKUP(A47,'Trips&amp;Operators'!$C$1:$E$10000,3,FALSE)</f>
        <v>CLARK</v>
      </c>
      <c r="M47" s="6">
        <f t="shared" si="43"/>
        <v>3.8877314815181307E-2</v>
      </c>
      <c r="N47" s="7">
        <f t="shared" si="52"/>
        <v>55.983333333861083</v>
      </c>
      <c r="O47" s="7"/>
      <c r="P47" s="7"/>
      <c r="Q47" s="26"/>
      <c r="R47" s="26"/>
      <c r="S47" s="38">
        <f t="shared" si="44"/>
        <v>1</v>
      </c>
      <c r="T47" s="53" t="str">
        <f t="shared" si="45"/>
        <v>Southbound</v>
      </c>
      <c r="U47" s="13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07:43:15-0600',mode:absolute,to:'2016-08-16 10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47" s="55" t="str">
        <f t="shared" si="46"/>
        <v>N</v>
      </c>
      <c r="X47" s="129">
        <f t="shared" ref="X47:X51" si="54">VALUE(LEFT(AD47,4))-VALUE(LEFT(AD46,4))</f>
        <v>1</v>
      </c>
      <c r="Y47" s="70">
        <f t="shared" si="47"/>
        <v>23.298999999999999</v>
      </c>
      <c r="Z47" s="70">
        <f t="shared" si="48"/>
        <v>1.6500000000000001E-2</v>
      </c>
      <c r="AA47" s="70">
        <f t="shared" si="49"/>
        <v>23.282499999999999</v>
      </c>
      <c r="AB47" s="67" t="e">
        <f>VLOOKUP(A47,Enforcements!$C$7:$J$24,8,0)</f>
        <v>#N/A</v>
      </c>
      <c r="AC47" s="63" t="e">
        <f>VLOOKUP(A47,Enforcements!$C$7:$E$24,3,0)</f>
        <v>#N/A</v>
      </c>
      <c r="AD47" s="64" t="str">
        <f t="shared" si="50"/>
        <v>0134-16</v>
      </c>
      <c r="AE47" s="104" t="str">
        <f t="shared" si="0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47" s="101" t="str">
        <f t="shared" si="1"/>
        <v>"C:\Program Files (x86)\AstroGrep\AstroGrep.exe" /spath="%USERPROFILE%\AppData\Local\Temp\OnboardLogs" /stypes="*4030*20160816*" /stext=" 15:.+((SYSTEM_STATE.+slice.+state.+changed )|(ment ac)|(system.+state.+changed )|(\|lc)|(penalty)|(\[timeout)|(PRM\|1\|D)|(kpr)|(kdp))" /e /r /s</v>
      </c>
      <c r="AG47" s="1" t="str">
        <f t="shared" si="51"/>
        <v>EC</v>
      </c>
      <c r="AH47" s="105" t="str">
        <f t="shared" si="4"/>
        <v>"%USERPROFILE%\Documents\GitHub\eaglep3\Utilities\RefineRTDCRunTimes.py" --tripid 134-16 --locoid 4030 --swversion DE.1.0.7.0 --startMP 204:232990 --initTime 2016-08-16T08:43:15 --startdatetime 2016-08-16T08:44:54 --delay 1 --endMP 204:165 --enddatetime 2016-08-16T09:40:53 --enforcementcount 1</v>
      </c>
    </row>
    <row r="48" spans="1:34" s="1" customFormat="1" x14ac:dyDescent="0.25">
      <c r="A48" s="40" t="s">
        <v>336</v>
      </c>
      <c r="B48" s="7">
        <v>4009</v>
      </c>
      <c r="C48" s="25" t="s">
        <v>119</v>
      </c>
      <c r="D48" s="25" t="s">
        <v>338</v>
      </c>
      <c r="E48" s="16">
        <v>42598.328993055555</v>
      </c>
      <c r="F48" s="16">
        <v>42598.329895833333</v>
      </c>
      <c r="G48" s="7">
        <v>1</v>
      </c>
      <c r="H48" s="16" t="s">
        <v>337</v>
      </c>
      <c r="I48" s="16">
        <v>42598.368773148148</v>
      </c>
      <c r="J48" s="7">
        <v>1</v>
      </c>
      <c r="K48" s="142" t="str">
        <f t="shared" si="16"/>
        <v>4009/4010</v>
      </c>
      <c r="L48" s="25" t="str">
        <f>VLOOKUP(A48,'Trips&amp;Operators'!$C$1:$E$10000,3,FALSE)</f>
        <v>SPECTOR</v>
      </c>
      <c r="M48" s="6">
        <f t="shared" si="43"/>
        <v>3.8877314815181307E-2</v>
      </c>
      <c r="N48" s="7"/>
      <c r="O48" s="7"/>
      <c r="P48" s="7">
        <f>24*60*SUM($M48:$M48)</f>
        <v>55.983333333861083</v>
      </c>
      <c r="Q48" s="26"/>
      <c r="R48" s="26" t="s">
        <v>690</v>
      </c>
      <c r="S48" s="38">
        <f t="shared" si="44"/>
        <v>1</v>
      </c>
      <c r="T48" s="53" t="str">
        <f t="shared" si="45"/>
        <v>NorthBound</v>
      </c>
      <c r="U48" s="13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06:53:45-0600',mode:absolute,to:'2016-08-16 09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48" s="55" t="str">
        <f t="shared" si="46"/>
        <v>Y</v>
      </c>
      <c r="X48" s="129">
        <f t="shared" si="54"/>
        <v>1</v>
      </c>
      <c r="Y48" s="70">
        <f t="shared" si="47"/>
        <v>4.8399999999999999E-2</v>
      </c>
      <c r="Z48" s="70">
        <f t="shared" si="48"/>
        <v>20.440899999999999</v>
      </c>
      <c r="AA48" s="70">
        <f t="shared" si="49"/>
        <v>20.392499999999998</v>
      </c>
      <c r="AB48" s="67" t="e">
        <f>VLOOKUP(A48,Enforcements!$C$7:$J$24,8,0)</f>
        <v>#N/A</v>
      </c>
      <c r="AC48" s="63" t="e">
        <f>VLOOKUP(A48,Enforcements!$C$7:$E$24,3,0)</f>
        <v>#N/A</v>
      </c>
      <c r="AD48" s="64" t="str">
        <f t="shared" si="50"/>
        <v>0135-16</v>
      </c>
      <c r="AE48" s="104" t="str">
        <f t="shared" si="0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48" s="101" t="str">
        <f t="shared" si="1"/>
        <v>"C:\Program Files (x86)\AstroGrep\AstroGrep.exe" /spath="%USERPROFILE%\AppData\Local\Temp\OnboardLogs" /stypes="*4009*20160816*" /stext=" 14:.+((SYSTEM_STATE.+slice.+state.+changed )|(ment ac)|(system.+state.+changed )|(\|lc)|(penalty)|(\[timeout)|(PRM\|1\|D)|(kpr)|(kdp))" /e /r /s</v>
      </c>
      <c r="AG48" s="1" t="str">
        <f t="shared" si="51"/>
        <v>EC</v>
      </c>
      <c r="AH48" s="105" t="str">
        <f t="shared" si="4"/>
        <v>"%USERPROFILE%\Documents\GitHub\eaglep3\Utilities\RefineRTDCRunTimes.py" --tripid 135-16 --locoid 4009 --swversion DE.1.0.7.0 --startMP 204:484 --initTime 2016-08-16T07:53:45 --startdatetime 2016-08-16T07:55:03 --delay 1 --endMP 204:204409 --enddatetime 2016-08-16T08:51:02 --enforcementcount 1</v>
      </c>
    </row>
    <row r="49" spans="1:34" s="1" customFormat="1" x14ac:dyDescent="0.25">
      <c r="A49" s="40" t="s">
        <v>339</v>
      </c>
      <c r="B49" s="7">
        <v>4010</v>
      </c>
      <c r="C49" s="25" t="s">
        <v>119</v>
      </c>
      <c r="D49" s="25" t="s">
        <v>340</v>
      </c>
      <c r="E49" s="16">
        <v>42598.397280092591</v>
      </c>
      <c r="F49" s="16">
        <v>42598.397962962961</v>
      </c>
      <c r="G49" s="7">
        <v>0</v>
      </c>
      <c r="H49" s="16" t="s">
        <v>140</v>
      </c>
      <c r="I49" s="16">
        <v>42598.415833333333</v>
      </c>
      <c r="J49" s="7">
        <v>1</v>
      </c>
      <c r="K49" s="142" t="str">
        <f t="shared" si="16"/>
        <v>4009/4010</v>
      </c>
      <c r="L49" s="25" t="str">
        <f>VLOOKUP(A49,'Trips&amp;Operators'!$C$1:$E$10000,3,FALSE)</f>
        <v>SPECTOR</v>
      </c>
      <c r="M49" s="6">
        <f t="shared" si="43"/>
        <v>1.7870370371383615E-2</v>
      </c>
      <c r="N49" s="7"/>
      <c r="O49" s="7"/>
      <c r="P49" s="7">
        <f>24*60*SUM($M49:$M50)</f>
        <v>30.083333335351199</v>
      </c>
      <c r="Q49" s="26"/>
      <c r="R49" s="26" t="s">
        <v>691</v>
      </c>
      <c r="S49" s="38">
        <f>SUM(U49:U50)/IF(AG49="EC",12,1)</f>
        <v>1</v>
      </c>
      <c r="T49" s="53" t="str">
        <f t="shared" si="45"/>
        <v>Southbound</v>
      </c>
      <c r="U49" s="13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08:32:05-0600',mode:absolute,to:'2016-08-16 10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9" s="55" t="str">
        <f t="shared" si="46"/>
        <v>Y</v>
      </c>
      <c r="X49" s="129">
        <f t="shared" si="54"/>
        <v>1</v>
      </c>
      <c r="Y49" s="70">
        <f t="shared" si="47"/>
        <v>12.786</v>
      </c>
      <c r="Z49" s="70">
        <f t="shared" si="48"/>
        <v>1.47E-2</v>
      </c>
      <c r="AA49" s="70">
        <f t="shared" si="49"/>
        <v>12.7713</v>
      </c>
      <c r="AB49" s="67">
        <f>VLOOKUP(A49,Enforcements!$C$7:$J$24,8,0)</f>
        <v>10694</v>
      </c>
      <c r="AC49" s="63" t="str">
        <f>VLOOKUP(A49,Enforcements!$C$7:$E$24,3,0)</f>
        <v>PERMANENT SPEED RESTRICTION</v>
      </c>
      <c r="AD49" s="64" t="str">
        <f t="shared" si="50"/>
        <v>0136-16</v>
      </c>
      <c r="AE49" s="104" t="str">
        <f t="shared" si="0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49" s="101" t="str">
        <f t="shared" si="1"/>
        <v>"C:\Program Files (x86)\AstroGrep\AstroGrep.exe" /spath="%USERPROFILE%\AppData\Local\Temp\OnboardLogs" /stypes="*4010*20160816*" /stext=" 15:.+((SYSTEM_STATE.+slice.+state.+changed )|(ment ac)|(system.+state.+changed )|(\|lc)|(penalty)|(\[timeout)|(PRM\|1\|D)|(kpr)|(kdp))" /e /r /s</v>
      </c>
      <c r="AG49" s="1" t="str">
        <f t="shared" si="51"/>
        <v>EC</v>
      </c>
      <c r="AH49" s="105" t="str">
        <f t="shared" si="4"/>
        <v>"%USERPROFILE%\Documents\GitHub\eaglep3\Utilities\RefineRTDCRunTimes.py" --tripid 136-16 --locoid 4010 --swversion DE.1.0.7.0 --startMP 204:127860 --initTime 2016-08-16T09:32:05 --startdatetime 2016-08-16T09:33:04 --delay 0 --endMP 204:147 --enddatetime 2016-08-16T09:58:48 --enforcementcount 1</v>
      </c>
    </row>
    <row r="50" spans="1:34" s="1" customFormat="1" x14ac:dyDescent="0.25">
      <c r="A50" s="40" t="s">
        <v>339</v>
      </c>
      <c r="B50" s="7">
        <v>4010</v>
      </c>
      <c r="C50" s="25" t="s">
        <v>119</v>
      </c>
      <c r="D50" s="25" t="s">
        <v>341</v>
      </c>
      <c r="E50" s="16">
        <v>42598.376793981479</v>
      </c>
      <c r="F50" s="16">
        <v>42598.377743055556</v>
      </c>
      <c r="G50" s="7">
        <v>1</v>
      </c>
      <c r="H50" s="16" t="s">
        <v>342</v>
      </c>
      <c r="I50" s="16">
        <v>42598.38076388889</v>
      </c>
      <c r="J50" s="7">
        <v>1</v>
      </c>
      <c r="K50" s="142" t="str">
        <f t="shared" si="16"/>
        <v>4009/4010</v>
      </c>
      <c r="L50" s="25" t="str">
        <f>VLOOKUP(A50,'Trips&amp;Operators'!$C$1:$E$10000,3,FALSE)</f>
        <v>SPECTOR</v>
      </c>
      <c r="M50" s="6">
        <f t="shared" si="43"/>
        <v>3.0208333337213844E-3</v>
      </c>
      <c r="N50" s="7"/>
      <c r="O50" s="7"/>
      <c r="P50" s="7"/>
      <c r="Q50" s="26"/>
      <c r="R50" s="26"/>
      <c r="S50" s="38"/>
      <c r="T50" s="53" t="str">
        <f t="shared" si="45"/>
        <v>Southbound</v>
      </c>
      <c r="U50" s="13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08:02:35-0600',mode:absolute,to:'2016-08-16 10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0" s="55" t="str">
        <f t="shared" si="46"/>
        <v>Y</v>
      </c>
      <c r="X50" s="129">
        <f t="shared" si="54"/>
        <v>0</v>
      </c>
      <c r="Y50" s="70">
        <f t="shared" si="47"/>
        <v>23.302299999999999</v>
      </c>
      <c r="Z50" s="70">
        <f t="shared" si="48"/>
        <v>22.288599999999999</v>
      </c>
      <c r="AA50" s="70">
        <f t="shared" si="49"/>
        <v>1.0137</v>
      </c>
      <c r="AB50" s="67">
        <f>VLOOKUP(A50,Enforcements!$C$7:$J$24,8,0)</f>
        <v>10694</v>
      </c>
      <c r="AC50" s="63" t="str">
        <f>VLOOKUP(A50,Enforcements!$C$7:$E$24,3,0)</f>
        <v>PERMANENT SPEED RESTRICTION</v>
      </c>
      <c r="AD50" s="64" t="str">
        <f t="shared" si="50"/>
        <v>0136-16</v>
      </c>
      <c r="AE50" s="104" t="str">
        <f t="shared" si="0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50" s="101" t="str">
        <f t="shared" si="1"/>
        <v>"C:\Program Files (x86)\AstroGrep\AstroGrep.exe" /spath="%USERPROFILE%\AppData\Local\Temp\OnboardLogs" /stypes="*4010*20160816*" /stext=" 15:.+((SYSTEM_STATE.+slice.+state.+changed )|(ment ac)|(system.+state.+changed )|(\|lc)|(penalty)|(\[timeout)|(PRM\|1\|D)|(kpr)|(kdp))" /e /r /s</v>
      </c>
      <c r="AG50" s="1" t="str">
        <f t="shared" si="51"/>
        <v>EC</v>
      </c>
      <c r="AH50" s="105" t="str">
        <f t="shared" si="4"/>
        <v>"%USERPROFILE%\Documents\GitHub\eaglep3\Utilities\RefineRTDCRunTimes.py" --tripid 136-16 --locoid 4010 --swversion DE.1.0.7.0 --startMP 204:233023 --initTime 2016-08-16T09:02:35 --startdatetime 2016-08-16T09:03:57 --delay 1 --endMP 204:222886 --enddatetime 2016-08-16T09:08:18 --enforcementcount 1</v>
      </c>
    </row>
    <row r="51" spans="1:34" s="1" customFormat="1" x14ac:dyDescent="0.25">
      <c r="A51" s="40" t="s">
        <v>343</v>
      </c>
      <c r="B51" s="7">
        <v>4044</v>
      </c>
      <c r="C51" s="25" t="s">
        <v>119</v>
      </c>
      <c r="D51" s="25" t="s">
        <v>216</v>
      </c>
      <c r="E51" s="16">
        <v>42598.341099537036</v>
      </c>
      <c r="F51" s="16">
        <v>42598.34202546296</v>
      </c>
      <c r="G51" s="7">
        <v>1</v>
      </c>
      <c r="H51" s="16" t="s">
        <v>344</v>
      </c>
      <c r="I51" s="16">
        <v>42598.373113425929</v>
      </c>
      <c r="J51" s="7">
        <v>1</v>
      </c>
      <c r="K51" s="142" t="str">
        <f t="shared" si="16"/>
        <v>4043/4044</v>
      </c>
      <c r="L51" s="25" t="str">
        <f>VLOOKUP(A51,'Trips&amp;Operators'!$C$1:$E$10000,3,FALSE)</f>
        <v>DAVIS</v>
      </c>
      <c r="M51" s="6">
        <f t="shared" si="43"/>
        <v>3.1087962968740612E-2</v>
      </c>
      <c r="N51" s="7"/>
      <c r="O51" s="7"/>
      <c r="P51" s="7">
        <f>24*60*SUM($M51:$M51)</f>
        <v>44.766666674986482</v>
      </c>
      <c r="Q51" s="26"/>
      <c r="R51" s="26" t="s">
        <v>692</v>
      </c>
      <c r="S51" s="38">
        <f>SUM(U51:U51)/IF(AG51="EC",12,1)</f>
        <v>1</v>
      </c>
      <c r="T51" s="53" t="str">
        <f t="shared" si="45"/>
        <v>NorthBound</v>
      </c>
      <c r="U51" s="13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07:11:11-0600',mode:absolute,to:'2016-08-16 09:57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51" s="55" t="str">
        <f t="shared" si="46"/>
        <v>Y</v>
      </c>
      <c r="X51" s="129">
        <f t="shared" si="54"/>
        <v>1</v>
      </c>
      <c r="Y51" s="70">
        <f t="shared" si="47"/>
        <v>4.4600000000000001E-2</v>
      </c>
      <c r="Z51" s="70">
        <f t="shared" si="48"/>
        <v>18.946000000000002</v>
      </c>
      <c r="AA51" s="70">
        <f t="shared" si="49"/>
        <v>18.901400000000002</v>
      </c>
      <c r="AB51" s="67" t="e">
        <f>VLOOKUP(A51,Enforcements!$C$7:$J$24,8,0)</f>
        <v>#N/A</v>
      </c>
      <c r="AC51" s="63" t="e">
        <f>VLOOKUP(A51,Enforcements!$C$7:$E$24,3,0)</f>
        <v>#N/A</v>
      </c>
      <c r="AD51" s="64" t="str">
        <f t="shared" si="50"/>
        <v>0137-16</v>
      </c>
      <c r="AE51" s="104" t="str">
        <f t="shared" si="0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51" s="101" t="str">
        <f t="shared" si="1"/>
        <v>"C:\Program Files (x86)\AstroGrep\AstroGrep.exe" /spath="%USERPROFILE%\AppData\Local\Temp\OnboardLogs" /stypes="*4044*20160816*" /stext=" 14:.+((SYSTEM_STATE.+slice.+state.+changed )|(ment ac)|(system.+state.+changed )|(\|lc)|(penalty)|(\[timeout)|(PRM\|1\|D)|(kpr)|(kdp))" /e /r /s</v>
      </c>
      <c r="AG51" s="1" t="str">
        <f t="shared" si="51"/>
        <v>EC</v>
      </c>
      <c r="AH51" s="105" t="str">
        <f t="shared" si="4"/>
        <v>"%USERPROFILE%\Documents\GitHub\eaglep3\Utilities\RefineRTDCRunTimes.py" --tripid 137-16 --locoid 4044 --swversion DE.1.0.7.0 --startMP 204:446 --initTime 2016-08-16T08:11:11 --startdatetime 2016-08-16T08:12:31 --delay 1 --endMP 204:189460 --enddatetime 2016-08-16T08:57:17 --enforcementcount 1</v>
      </c>
    </row>
    <row r="52" spans="1:34" s="1" customFormat="1" x14ac:dyDescent="0.25">
      <c r="A52" s="40" t="s">
        <v>345</v>
      </c>
      <c r="B52" s="7">
        <v>4043</v>
      </c>
      <c r="C52" s="25" t="s">
        <v>119</v>
      </c>
      <c r="D52" s="25" t="s">
        <v>143</v>
      </c>
      <c r="E52" s="16">
        <v>42598.3828125</v>
      </c>
      <c r="F52" s="16">
        <v>42598.383576388886</v>
      </c>
      <c r="G52" s="7">
        <v>1</v>
      </c>
      <c r="H52" s="16" t="s">
        <v>346</v>
      </c>
      <c r="I52" s="16">
        <v>42598.392060185186</v>
      </c>
      <c r="J52" s="7">
        <v>1</v>
      </c>
      <c r="K52" s="142" t="str">
        <f t="shared" ref="K52:K83" si="55">IF(ISEVEN(B52),(B52-1)&amp;"/"&amp;B52,B52&amp;"/"&amp;(B52+1))</f>
        <v>4043/4044</v>
      </c>
      <c r="L52" s="25" t="str">
        <f>VLOOKUP(A52,'Trips&amp;Operators'!$C$1:$E$10000,3,FALSE)</f>
        <v>DAVIS</v>
      </c>
      <c r="M52" s="6">
        <f t="shared" si="43"/>
        <v>8.4837963004247285E-3</v>
      </c>
      <c r="N52" s="7"/>
      <c r="O52" s="7"/>
      <c r="P52" s="7">
        <f>24*60*SUM($M52:$M52)</f>
        <v>12.216666672611609</v>
      </c>
      <c r="Q52" s="26"/>
      <c r="R52" s="26" t="s">
        <v>693</v>
      </c>
      <c r="S52" s="38">
        <f>SUM(U52:U52)/IF(AG52="EC",12,1)</f>
        <v>0</v>
      </c>
      <c r="T52" s="53" t="str">
        <f t="shared" si="45"/>
        <v>Southbound</v>
      </c>
      <c r="U52" s="13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0</v>
      </c>
      <c r="V52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08:11:15-0600',mode:absolute,to:'2016-08-16 10:24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52" s="55" t="str">
        <f t="shared" si="46"/>
        <v>Y</v>
      </c>
      <c r="X52" s="129">
        <f t="shared" ref="X52:X82" si="56">VALUE(LEFT(AD52,4))-VALUE(LEFT(AD51,4))</f>
        <v>1</v>
      </c>
      <c r="Y52" s="70">
        <f t="shared" si="47"/>
        <v>23.299399999999999</v>
      </c>
      <c r="Z52" s="70">
        <f t="shared" si="48"/>
        <v>22.027999999999999</v>
      </c>
      <c r="AA52" s="70">
        <f t="shared" si="49"/>
        <v>1.2713999999999999</v>
      </c>
      <c r="AB52" s="67" t="e">
        <f>VLOOKUP(A52,Enforcements!$C$7:$J$24,8,0)</f>
        <v>#N/A</v>
      </c>
      <c r="AC52" s="63" t="e">
        <f>VLOOKUP(A52,Enforcements!$C$7:$E$24,3,0)</f>
        <v>#N/A</v>
      </c>
      <c r="AD52" s="64" t="str">
        <f t="shared" si="50"/>
        <v>0138-16</v>
      </c>
      <c r="AE52" s="104" t="str">
        <f t="shared" si="0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52" s="101" t="str">
        <f t="shared" si="1"/>
        <v>"C:\Program Files (x86)\AstroGrep\AstroGrep.exe" /spath="%USERPROFILE%\AppData\Local\Temp\OnboardLogs" /stypes="*4043*20160816*" /stext=" 15:.+((SYSTEM_STATE.+slice.+state.+changed )|(ment ac)|(system.+state.+changed )|(\|lc)|(penalty)|(\[timeout)|(PRM\|1\|D)|(kpr)|(kdp))" /e /r /s</v>
      </c>
      <c r="AG52" s="1" t="str">
        <f t="shared" si="51"/>
        <v>EC</v>
      </c>
      <c r="AH52" s="105" t="str">
        <f t="shared" si="4"/>
        <v>"%USERPROFILE%\Documents\GitHub\eaglep3\Utilities\RefineRTDCRunTimes.py" --tripid 138-16 --locoid 4043 --swversion DE.1.0.7.0 --startMP 204:232994 --initTime 2016-08-16T09:11:15 --startdatetime 2016-08-16T09:12:21 --delay 1 --endMP 204:220280 --enddatetime 2016-08-16T09:24:34 --enforcementcount 1</v>
      </c>
    </row>
    <row r="53" spans="1:34" s="1" customFormat="1" x14ac:dyDescent="0.25">
      <c r="A53" s="40" t="s">
        <v>347</v>
      </c>
      <c r="B53" s="7">
        <v>4003</v>
      </c>
      <c r="C53" s="25" t="s">
        <v>119</v>
      </c>
      <c r="D53" s="25" t="s">
        <v>61</v>
      </c>
      <c r="E53" s="16">
        <v>42598.348796296297</v>
      </c>
      <c r="F53" s="16">
        <v>42598.351099537038</v>
      </c>
      <c r="G53" s="7">
        <v>3</v>
      </c>
      <c r="H53" s="16" t="s">
        <v>215</v>
      </c>
      <c r="I53" s="16">
        <v>42598.387164351851</v>
      </c>
      <c r="J53" s="7">
        <v>1</v>
      </c>
      <c r="K53" s="142" t="str">
        <f t="shared" si="55"/>
        <v>4003/4004</v>
      </c>
      <c r="L53" s="25" t="str">
        <f>VLOOKUP(A53,'Trips&amp;Operators'!$C$1:$E$10000,3,FALSE)</f>
        <v>SWANSON</v>
      </c>
      <c r="M53" s="6">
        <f t="shared" si="43"/>
        <v>3.6064814812561963E-2</v>
      </c>
      <c r="N53" s="7">
        <f>24*60*SUM($M53:$M53)</f>
        <v>51.933333330089226</v>
      </c>
      <c r="O53" s="7"/>
      <c r="P53" s="7"/>
      <c r="Q53" s="26"/>
      <c r="R53" s="26"/>
      <c r="S53" s="38">
        <f>SUM(U53:U53)/IF(AG53="EC",12,1)</f>
        <v>1</v>
      </c>
      <c r="T53" s="53" t="str">
        <f t="shared" si="45"/>
        <v>NorthBound</v>
      </c>
      <c r="U53" s="13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07:22:16-0600',mode:absolute,to:'2016-08-16 10:17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53" s="55" t="str">
        <f t="shared" si="46"/>
        <v>N</v>
      </c>
      <c r="X53" s="129">
        <f t="shared" si="56"/>
        <v>1</v>
      </c>
      <c r="Y53" s="70">
        <f t="shared" si="47"/>
        <v>4.5999999999999999E-2</v>
      </c>
      <c r="Z53" s="70">
        <f t="shared" si="48"/>
        <v>23.329499999999999</v>
      </c>
      <c r="AA53" s="70">
        <f t="shared" si="49"/>
        <v>23.2835</v>
      </c>
      <c r="AB53" s="67" t="e">
        <f>VLOOKUP(A53,Enforcements!$C$7:$J$24,8,0)</f>
        <v>#N/A</v>
      </c>
      <c r="AC53" s="63" t="e">
        <f>VLOOKUP(A53,Enforcements!$C$7:$E$24,3,0)</f>
        <v>#N/A</v>
      </c>
      <c r="AD53" s="64" t="str">
        <f t="shared" si="50"/>
        <v>0139-16</v>
      </c>
      <c r="AE53" s="104" t="str">
        <f t="shared" si="0"/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AF53" s="101" t="str">
        <f t="shared" si="1"/>
        <v>"C:\Program Files (x86)\AstroGrep\AstroGrep.exe" /spath="%USERPROFILE%\AppData\Local\Temp\OnboardLogs" /stypes="*4003*20160816*" /stext=" 15:.+((SYSTEM_STATE.+slice.+state.+changed )|(ment ac)|(system.+state.+changed )|(\|lc)|(penalty)|(\[timeout)|(PRM\|1\|D)|(kpr)|(kdp))" /e /r /s</v>
      </c>
      <c r="AG53" s="1" t="str">
        <f t="shared" si="51"/>
        <v>EC</v>
      </c>
      <c r="AH53" s="105" t="str">
        <f t="shared" si="4"/>
        <v>"%USERPROFILE%\Documents\GitHub\eaglep3\Utilities\RefineRTDCRunTimes.py" --tripid 139-16 --locoid 4003 --swversion DE.1.0.7.0 --startMP 204:460 --initTime 2016-08-16T08:22:16 --startdatetime 2016-08-16T08:25:35 --delay 3 --endMP 204:233295 --enddatetime 2016-08-16T09:17:31 --enforcementcount 1</v>
      </c>
    </row>
    <row r="54" spans="1:34" s="1" customFormat="1" x14ac:dyDescent="0.25">
      <c r="A54" s="40" t="s">
        <v>348</v>
      </c>
      <c r="B54" s="7">
        <v>4004</v>
      </c>
      <c r="C54" s="25" t="s">
        <v>119</v>
      </c>
      <c r="D54" s="25" t="s">
        <v>349</v>
      </c>
      <c r="E54" s="16">
        <v>42598.40892361111</v>
      </c>
      <c r="F54" s="16">
        <v>42598.409583333334</v>
      </c>
      <c r="G54" s="7">
        <v>0</v>
      </c>
      <c r="H54" s="16" t="s">
        <v>220</v>
      </c>
      <c r="I54" s="16">
        <v>42598.427858796298</v>
      </c>
      <c r="J54" s="7">
        <v>1</v>
      </c>
      <c r="K54" s="142" t="str">
        <f t="shared" si="55"/>
        <v>4003/4004</v>
      </c>
      <c r="L54" s="25" t="str">
        <f>VLOOKUP(A54,'Trips&amp;Operators'!$C$1:$E$10000,3,FALSE)</f>
        <v>SWANSON</v>
      </c>
      <c r="M54" s="6">
        <f t="shared" si="43"/>
        <v>1.8275462964083999E-2</v>
      </c>
      <c r="N54" s="7"/>
      <c r="O54" s="7"/>
      <c r="P54" s="7">
        <f>24*60*SUM($M54:$M55)</f>
        <v>41.433333337772638</v>
      </c>
      <c r="Q54" s="26"/>
      <c r="R54" s="26" t="s">
        <v>694</v>
      </c>
      <c r="S54" s="38">
        <f>SUM(U54:U54)/IF(AG54="EC",12,1)</f>
        <v>1</v>
      </c>
      <c r="T54" s="53" t="str">
        <f t="shared" si="45"/>
        <v>Southbound</v>
      </c>
      <c r="U54" s="13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08:48:51-0600',mode:absolute,to:'2016-08-16 11:16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54" s="55" t="str">
        <f t="shared" si="46"/>
        <v>Y</v>
      </c>
      <c r="X54" s="129">
        <f t="shared" si="56"/>
        <v>1</v>
      </c>
      <c r="Y54" s="70">
        <f t="shared" si="47"/>
        <v>12.7849</v>
      </c>
      <c r="Z54" s="70">
        <f t="shared" si="48"/>
        <v>1.52E-2</v>
      </c>
      <c r="AA54" s="70">
        <f t="shared" si="49"/>
        <v>12.7697</v>
      </c>
      <c r="AB54" s="67" t="e">
        <f>VLOOKUP(A54,Enforcements!$C$7:$J$24,8,0)</f>
        <v>#N/A</v>
      </c>
      <c r="AC54" s="63" t="e">
        <f>VLOOKUP(A54,Enforcements!$C$7:$E$24,3,0)</f>
        <v>#N/A</v>
      </c>
      <c r="AD54" s="64" t="str">
        <f t="shared" si="50"/>
        <v>0140-16</v>
      </c>
      <c r="AE54" s="104" t="str">
        <f t="shared" si="0"/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AF54" s="101" t="str">
        <f t="shared" si="1"/>
        <v>"C:\Program Files (x86)\AstroGrep\AstroGrep.exe" /spath="%USERPROFILE%\AppData\Local\Temp\OnboardLogs" /stypes="*4004*20160816*" /stext=" 16:.+((SYSTEM_STATE.+slice.+state.+changed )|(ment ac)|(system.+state.+changed )|(\|lc)|(penalty)|(\[timeout)|(PRM\|1\|D)|(kpr)|(kdp))" /e /r /s</v>
      </c>
      <c r="AG54" s="1" t="str">
        <f t="shared" si="51"/>
        <v>EC</v>
      </c>
      <c r="AH54" s="105" t="str">
        <f t="shared" si="4"/>
        <v>"%USERPROFILE%\Documents\GitHub\eaglep3\Utilities\RefineRTDCRunTimes.py" --tripid 140-16 --locoid 4004 --swversion DE.1.0.7.0 --startMP 204:127849 --initTime 2016-08-16T09:48:51 --startdatetime 2016-08-16T09:49:48 --delay 0 --endMP 204:152 --enddatetime 2016-08-16T10:16:07 --enforcementcount 1</v>
      </c>
    </row>
    <row r="55" spans="1:34" s="1" customFormat="1" x14ac:dyDescent="0.25">
      <c r="A55" s="40" t="s">
        <v>348</v>
      </c>
      <c r="B55" s="7">
        <v>4004</v>
      </c>
      <c r="C55" s="25" t="s">
        <v>119</v>
      </c>
      <c r="D55" s="25" t="s">
        <v>146</v>
      </c>
      <c r="E55" s="16">
        <v>42598.389432870368</v>
      </c>
      <c r="F55" s="16">
        <v>42598.390497685185</v>
      </c>
      <c r="G55" s="7">
        <v>1</v>
      </c>
      <c r="H55" s="16" t="s">
        <v>350</v>
      </c>
      <c r="I55" s="16">
        <v>42598.400995370372</v>
      </c>
      <c r="J55" s="7">
        <v>1</v>
      </c>
      <c r="K55" s="142" t="str">
        <f t="shared" si="55"/>
        <v>4003/4004</v>
      </c>
      <c r="L55" s="25" t="str">
        <f>VLOOKUP(A55,'Trips&amp;Operators'!$C$1:$E$10000,3,FALSE)</f>
        <v>SWANSON</v>
      </c>
      <c r="M55" s="6">
        <f t="shared" si="43"/>
        <v>1.0497685187146999E-2</v>
      </c>
      <c r="N55" s="7"/>
      <c r="O55" s="7"/>
      <c r="P55" s="7"/>
      <c r="Q55" s="26"/>
      <c r="R55" s="26"/>
      <c r="S55" s="38"/>
      <c r="T55" s="53" t="str">
        <f t="shared" si="45"/>
        <v>Southbound</v>
      </c>
      <c r="U55" s="13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0</v>
      </c>
      <c r="V55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08:20:47-0600',mode:absolute,to:'2016-08-16 10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55" s="55" t="str">
        <f t="shared" si="46"/>
        <v>Y</v>
      </c>
      <c r="X55" s="129">
        <f t="shared" si="56"/>
        <v>0</v>
      </c>
      <c r="Y55" s="70">
        <f t="shared" si="47"/>
        <v>23.299600000000002</v>
      </c>
      <c r="Z55" s="70">
        <f t="shared" si="48"/>
        <v>20.546099999999999</v>
      </c>
      <c r="AA55" s="70">
        <f t="shared" si="49"/>
        <v>2.7535000000000025</v>
      </c>
      <c r="AB55" s="67" t="e">
        <f>VLOOKUP(A55,Enforcements!$C$7:$J$24,8,0)</f>
        <v>#N/A</v>
      </c>
      <c r="AC55" s="63" t="e">
        <f>VLOOKUP(A55,Enforcements!$C$7:$E$24,3,0)</f>
        <v>#N/A</v>
      </c>
      <c r="AD55" s="64" t="str">
        <f t="shared" si="50"/>
        <v>0140-16</v>
      </c>
      <c r="AE55" s="104" t="str">
        <f t="shared" si="0"/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AF55" s="101" t="str">
        <f t="shared" si="1"/>
        <v>"C:\Program Files (x86)\AstroGrep\AstroGrep.exe" /spath="%USERPROFILE%\AppData\Local\Temp\OnboardLogs" /stypes="*4004*20160816*" /stext=" 15:.+((SYSTEM_STATE.+slice.+state.+changed )|(ment ac)|(system.+state.+changed )|(\|lc)|(penalty)|(\[timeout)|(PRM\|1\|D)|(kpr)|(kdp))" /e /r /s</v>
      </c>
      <c r="AG55" s="1" t="str">
        <f t="shared" si="51"/>
        <v>EC</v>
      </c>
      <c r="AH55" s="105" t="str">
        <f t="shared" si="4"/>
        <v>"%USERPROFILE%\Documents\GitHub\eaglep3\Utilities\RefineRTDCRunTimes.py" --tripid 140-16 --locoid 4004 --swversion DE.1.0.7.0 --startMP 204:232996 --initTime 2016-08-16T09:20:47 --startdatetime 2016-08-16T09:22:19 --delay 1 --endMP 204:205461 --enddatetime 2016-08-16T09:37:26 --enforcementcount 1</v>
      </c>
    </row>
    <row r="56" spans="1:34" s="1" customFormat="1" x14ac:dyDescent="0.25">
      <c r="A56" s="40" t="s">
        <v>351</v>
      </c>
      <c r="B56" s="7">
        <v>4031</v>
      </c>
      <c r="C56" s="25" t="s">
        <v>119</v>
      </c>
      <c r="D56" s="25" t="s">
        <v>157</v>
      </c>
      <c r="E56" s="16">
        <v>42598.363530092596</v>
      </c>
      <c r="F56" s="16">
        <v>42598.364502314813</v>
      </c>
      <c r="G56" s="7">
        <v>1</v>
      </c>
      <c r="H56" s="16" t="s">
        <v>352</v>
      </c>
      <c r="I56" s="16">
        <v>42598.394606481481</v>
      </c>
      <c r="J56" s="7">
        <v>1</v>
      </c>
      <c r="K56" s="142" t="str">
        <f t="shared" si="55"/>
        <v>4031/4032</v>
      </c>
      <c r="L56" s="25" t="str">
        <f>VLOOKUP(A56,'Trips&amp;Operators'!$C$1:$E$10000,3,FALSE)</f>
        <v>KILLION</v>
      </c>
      <c r="M56" s="6">
        <f t="shared" si="43"/>
        <v>3.0104166668024845E-2</v>
      </c>
      <c r="N56" s="7">
        <f>24*60*SUM($M56:$M56)</f>
        <v>43.350000001955777</v>
      </c>
      <c r="O56" s="7"/>
      <c r="P56" s="7"/>
      <c r="Q56" s="26"/>
      <c r="R56" s="26"/>
      <c r="S56" s="38">
        <f>SUM(U56:U56)/IF(AG56="EC",12,1)</f>
        <v>1</v>
      </c>
      <c r="T56" s="53" t="str">
        <f t="shared" si="45"/>
        <v>NorthBound</v>
      </c>
      <c r="U56" s="13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07:43:29-0600',mode:absolute,to:'2016-08-16 10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56" s="55" t="str">
        <f t="shared" si="46"/>
        <v>N</v>
      </c>
      <c r="X56" s="129">
        <f t="shared" si="56"/>
        <v>1</v>
      </c>
      <c r="Y56" s="70">
        <f t="shared" si="47"/>
        <v>4.5699999999999998E-2</v>
      </c>
      <c r="Z56" s="70">
        <f t="shared" si="48"/>
        <v>23.3276</v>
      </c>
      <c r="AA56" s="70">
        <f t="shared" si="49"/>
        <v>23.2819</v>
      </c>
      <c r="AB56" s="67" t="e">
        <f>VLOOKUP(A56,Enforcements!$C$7:$J$24,8,0)</f>
        <v>#N/A</v>
      </c>
      <c r="AC56" s="63" t="e">
        <f>VLOOKUP(A56,Enforcements!$C$7:$E$24,3,0)</f>
        <v>#N/A</v>
      </c>
      <c r="AD56" s="64" t="str">
        <f t="shared" si="50"/>
        <v>0141-16</v>
      </c>
      <c r="AE56" s="104" t="str">
        <f t="shared" si="0"/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AF56" s="101" t="str">
        <f t="shared" si="1"/>
        <v>"C:\Program Files (x86)\AstroGrep\AstroGrep.exe" /spath="%USERPROFILE%\AppData\Local\Temp\OnboardLogs" /stypes="*4031*20160816*" /stext=" 15:.+((SYSTEM_STATE.+slice.+state.+changed )|(ment ac)|(system.+state.+changed )|(\|lc)|(penalty)|(\[timeout)|(PRM\|1\|D)|(kpr)|(kdp))" /e /r /s</v>
      </c>
      <c r="AG56" s="1" t="str">
        <f t="shared" si="51"/>
        <v>EC</v>
      </c>
      <c r="AH56" s="105" t="str">
        <f t="shared" si="4"/>
        <v>"%USERPROFILE%\Documents\GitHub\eaglep3\Utilities\RefineRTDCRunTimes.py" --tripid 141-16 --locoid 4031 --swversion DE.1.0.7.0 --startMP 204:457 --initTime 2016-08-16T08:43:29 --startdatetime 2016-08-16T08:44:53 --delay 1 --endMP 204:233276 --enddatetime 2016-08-16T09:28:14 --enforcementcount 1</v>
      </c>
    </row>
    <row r="57" spans="1:34" s="1" customFormat="1" x14ac:dyDescent="0.25">
      <c r="A57" s="40" t="s">
        <v>353</v>
      </c>
      <c r="B57" s="7">
        <v>4032</v>
      </c>
      <c r="C57" s="25" t="s">
        <v>119</v>
      </c>
      <c r="D57" s="25" t="s">
        <v>239</v>
      </c>
      <c r="E57" s="16">
        <v>42598.400694444441</v>
      </c>
      <c r="F57" s="16">
        <v>42598.402118055557</v>
      </c>
      <c r="G57" s="7">
        <v>2</v>
      </c>
      <c r="H57" s="16" t="s">
        <v>354</v>
      </c>
      <c r="I57" s="16">
        <v>42598.435243055559</v>
      </c>
      <c r="J57" s="7">
        <v>1</v>
      </c>
      <c r="K57" s="142" t="str">
        <f t="shared" si="55"/>
        <v>4031/4032</v>
      </c>
      <c r="L57" s="25" t="str">
        <f>VLOOKUP(A57,'Trips&amp;Operators'!$C$1:$E$10000,3,FALSE)</f>
        <v>KILLION</v>
      </c>
      <c r="M57" s="6">
        <f t="shared" si="43"/>
        <v>3.312500000174623E-2</v>
      </c>
      <c r="N57" s="7">
        <f>24*60*SUM($M57:$M57)</f>
        <v>47.700000002514571</v>
      </c>
      <c r="O57" s="7"/>
      <c r="P57" s="7"/>
      <c r="Q57" s="26"/>
      <c r="R57" s="26"/>
      <c r="S57" s="38">
        <f>SUM(U57:U57)/IF(AG57="EC",12,1)</f>
        <v>1</v>
      </c>
      <c r="T57" s="53" t="str">
        <f t="shared" si="45"/>
        <v>Southbound</v>
      </c>
      <c r="U57" s="13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08:37:00-0600',mode:absolute,to:'2016-08-16 11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7" s="55" t="str">
        <f t="shared" si="46"/>
        <v>N</v>
      </c>
      <c r="X57" s="129">
        <f t="shared" si="56"/>
        <v>1</v>
      </c>
      <c r="Y57" s="70">
        <f t="shared" si="47"/>
        <v>23.2971</v>
      </c>
      <c r="Z57" s="70">
        <f t="shared" si="48"/>
        <v>0.11840000000000001</v>
      </c>
      <c r="AA57" s="70">
        <f t="shared" si="49"/>
        <v>23.178699999999999</v>
      </c>
      <c r="AB57" s="67" t="e">
        <f>VLOOKUP(A57,Enforcements!$C$7:$J$24,8,0)</f>
        <v>#N/A</v>
      </c>
      <c r="AC57" s="63" t="e">
        <f>VLOOKUP(A57,Enforcements!$C$7:$E$24,3,0)</f>
        <v>#N/A</v>
      </c>
      <c r="AD57" s="64" t="str">
        <f t="shared" si="50"/>
        <v>0142-16</v>
      </c>
      <c r="AE57" s="104" t="str">
        <f t="shared" si="0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57" s="101" t="str">
        <f t="shared" si="1"/>
        <v>"C:\Program Files (x86)\AstroGrep\AstroGrep.exe" /spath="%USERPROFILE%\AppData\Local\Temp\OnboardLogs" /stypes="*4032*20160816*" /stext=" 16:.+((SYSTEM_STATE.+slice.+state.+changed )|(ment ac)|(system.+state.+changed )|(\|lc)|(penalty)|(\[timeout)|(PRM\|1\|D)|(kpr)|(kdp))" /e /r /s</v>
      </c>
      <c r="AG57" s="1" t="str">
        <f t="shared" si="51"/>
        <v>EC</v>
      </c>
      <c r="AH57" s="105" t="str">
        <f t="shared" si="4"/>
        <v>"%USERPROFILE%\Documents\GitHub\eaglep3\Utilities\RefineRTDCRunTimes.py" --tripid 142-16 --locoid 4032 --swversion DE.1.0.7.0 --startMP 204:232971 --initTime 2016-08-16T09:37:00 --startdatetime 2016-08-16T09:39:03 --delay 2 --endMP 204:1184 --enddatetime 2016-08-16T10:26:45 --enforcementcount 1</v>
      </c>
    </row>
    <row r="58" spans="1:34" s="1" customFormat="1" x14ac:dyDescent="0.25">
      <c r="A58" s="40" t="s">
        <v>355</v>
      </c>
      <c r="B58" s="7">
        <v>4011</v>
      </c>
      <c r="C58" s="25" t="s">
        <v>119</v>
      </c>
      <c r="D58" s="25" t="s">
        <v>356</v>
      </c>
      <c r="E58" s="16">
        <v>42598.376238425924</v>
      </c>
      <c r="F58" s="16">
        <v>42598.376967592594</v>
      </c>
      <c r="G58" s="7">
        <v>1</v>
      </c>
      <c r="H58" s="16" t="s">
        <v>357</v>
      </c>
      <c r="I58" s="16">
        <v>42598.400057870371</v>
      </c>
      <c r="J58" s="7">
        <v>1</v>
      </c>
      <c r="K58" s="142" t="str">
        <f t="shared" si="55"/>
        <v>4011/4012</v>
      </c>
      <c r="L58" s="25" t="str">
        <f>VLOOKUP(A58,'Trips&amp;Operators'!$C$1:$E$10000,3,FALSE)</f>
        <v>GRASTON</v>
      </c>
      <c r="M58" s="6">
        <f t="shared" si="43"/>
        <v>2.3090277776645962E-2</v>
      </c>
      <c r="N58" s="7"/>
      <c r="O58" s="7"/>
      <c r="P58" s="7">
        <f>24*60*SUM($M58:$M58)</f>
        <v>33.249999998370185</v>
      </c>
      <c r="Q58" s="26"/>
      <c r="R58" s="26" t="s">
        <v>696</v>
      </c>
      <c r="S58" s="38">
        <f>SUM(U58:U58)/IF(AG58="EC",12,1)</f>
        <v>1</v>
      </c>
      <c r="T58" s="53" t="str">
        <f t="shared" si="45"/>
        <v>NorthBound</v>
      </c>
      <c r="U58" s="13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08:01:47-0600',mode:absolute,to:'2016-08-16 10:36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58" s="55" t="str">
        <f t="shared" si="46"/>
        <v>Y</v>
      </c>
      <c r="X58" s="129">
        <f t="shared" si="56"/>
        <v>1</v>
      </c>
      <c r="Y58" s="70">
        <f t="shared" si="47"/>
        <v>0.15</v>
      </c>
      <c r="Z58" s="70">
        <f t="shared" si="48"/>
        <v>20.407900000000001</v>
      </c>
      <c r="AA58" s="70">
        <f t="shared" si="49"/>
        <v>20.257900000000003</v>
      </c>
      <c r="AB58" s="67" t="e">
        <f>VLOOKUP(A58,Enforcements!$C$7:$J$24,8,0)</f>
        <v>#N/A</v>
      </c>
      <c r="AC58" s="63" t="e">
        <f>VLOOKUP(A58,Enforcements!$C$7:$E$24,3,0)</f>
        <v>#N/A</v>
      </c>
      <c r="AD58" s="64" t="str">
        <f t="shared" si="50"/>
        <v>0143-16</v>
      </c>
      <c r="AE58" s="104" t="str">
        <f t="shared" si="0"/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AF58" s="101" t="str">
        <f t="shared" si="1"/>
        <v>"C:\Program Files (x86)\AstroGrep\AstroGrep.exe" /spath="%USERPROFILE%\AppData\Local\Temp\OnboardLogs" /stypes="*4011*20160816*" /stext=" 15:.+((SYSTEM_STATE.+slice.+state.+changed )|(ment ac)|(system.+state.+changed )|(\|lc)|(penalty)|(\[timeout)|(PRM\|1\|D)|(kpr)|(kdp))" /e /r /s</v>
      </c>
      <c r="AG58" s="1" t="str">
        <f t="shared" si="51"/>
        <v>EC</v>
      </c>
      <c r="AH58" s="105" t="str">
        <f t="shared" si="4"/>
        <v>"%USERPROFILE%\Documents\GitHub\eaglep3\Utilities\RefineRTDCRunTimes.py" --tripid 143-16 --locoid 4011 --swversion DE.1.0.7.0 --startMP 204:1500 --initTime 2016-08-16T09:01:47 --startdatetime 2016-08-16T09:02:50 --delay 1 --endMP 204:204079 --enddatetime 2016-08-16T09:36:05 --enforcementcount 1</v>
      </c>
    </row>
    <row r="59" spans="1:34" s="1" customFormat="1" x14ac:dyDescent="0.25">
      <c r="A59" s="40" t="s">
        <v>358</v>
      </c>
      <c r="B59" s="7">
        <v>4012</v>
      </c>
      <c r="C59" s="25" t="s">
        <v>119</v>
      </c>
      <c r="D59" s="25" t="s">
        <v>359</v>
      </c>
      <c r="E59" s="16">
        <v>42598.420069444444</v>
      </c>
      <c r="F59" s="16">
        <v>42598.420856481483</v>
      </c>
      <c r="G59" s="7">
        <v>1</v>
      </c>
      <c r="H59" s="16" t="s">
        <v>156</v>
      </c>
      <c r="I59" s="16">
        <v>42598.445069444446</v>
      </c>
      <c r="J59" s="7">
        <v>1</v>
      </c>
      <c r="K59" s="142" t="str">
        <f t="shared" si="55"/>
        <v>4011/4012</v>
      </c>
      <c r="L59" s="25" t="str">
        <f>VLOOKUP(A59,'Trips&amp;Operators'!$C$1:$E$10000,3,FALSE)</f>
        <v>GRASTON</v>
      </c>
      <c r="M59" s="6">
        <f t="shared" si="43"/>
        <v>2.421296296233777E-2</v>
      </c>
      <c r="N59" s="7"/>
      <c r="O59" s="7"/>
      <c r="P59" s="7">
        <f>24*60*SUM($M59:$M59)</f>
        <v>34.866666665766388</v>
      </c>
      <c r="Q59" s="26"/>
      <c r="R59" s="26" t="s">
        <v>695</v>
      </c>
      <c r="S59" s="38">
        <f>SUM(U59:U59)/IF(AG59="EC",12,1)</f>
        <v>1</v>
      </c>
      <c r="T59" s="53" t="str">
        <f t="shared" si="45"/>
        <v>Southbound</v>
      </c>
      <c r="U59" s="13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09:04:54-0600',mode:absolute,to:'2016-08-16 11:40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59" s="55" t="str">
        <f t="shared" si="46"/>
        <v>Y</v>
      </c>
      <c r="X59" s="129">
        <f t="shared" si="56"/>
        <v>1</v>
      </c>
      <c r="Y59" s="70">
        <f t="shared" si="47"/>
        <v>19.212399999999999</v>
      </c>
      <c r="Z59" s="70">
        <f t="shared" si="48"/>
        <v>1.6299999999999999E-2</v>
      </c>
      <c r="AA59" s="70">
        <f t="shared" si="49"/>
        <v>19.196099999999998</v>
      </c>
      <c r="AB59" s="67" t="e">
        <f>VLOOKUP(A59,Enforcements!$C$7:$J$24,8,0)</f>
        <v>#N/A</v>
      </c>
      <c r="AC59" s="63" t="e">
        <f>VLOOKUP(A59,Enforcements!$C$7:$E$24,3,0)</f>
        <v>#N/A</v>
      </c>
      <c r="AD59" s="64" t="str">
        <f t="shared" si="50"/>
        <v>0144-16</v>
      </c>
      <c r="AE59" s="104" t="str">
        <f t="shared" si="0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59" s="101" t="str">
        <f t="shared" si="1"/>
        <v>"C:\Program Files (x86)\AstroGrep\AstroGrep.exe" /spath="%USERPROFILE%\AppData\Local\Temp\OnboardLogs" /stypes="*4012*20160816*" /stext=" 16:.+((SYSTEM_STATE.+slice.+state.+changed )|(ment ac)|(system.+state.+changed )|(\|lc)|(penalty)|(\[timeout)|(PRM\|1\|D)|(kpr)|(kdp))" /e /r /s</v>
      </c>
      <c r="AG59" s="1" t="str">
        <f t="shared" si="51"/>
        <v>EC</v>
      </c>
      <c r="AH59" s="105" t="str">
        <f t="shared" si="4"/>
        <v>"%USERPROFILE%\Documents\GitHub\eaglep3\Utilities\RefineRTDCRunTimes.py" --tripid 144-16 --locoid 4012 --swversion DE.1.0.7.0 --startMP 204:192124 --initTime 2016-08-16T10:04:54 --startdatetime 2016-08-16T10:06:02 --delay 1 --endMP 204:163 --enddatetime 2016-08-16T10:40:54 --enforcementcount 1</v>
      </c>
    </row>
    <row r="60" spans="1:34" s="1" customFormat="1" x14ac:dyDescent="0.25">
      <c r="A60" s="40" t="s">
        <v>358</v>
      </c>
      <c r="B60" s="7">
        <v>4012</v>
      </c>
      <c r="C60" s="25" t="s">
        <v>119</v>
      </c>
      <c r="D60" s="25" t="s">
        <v>173</v>
      </c>
      <c r="E60" s="16">
        <v>42598.410624999997</v>
      </c>
      <c r="F60" s="16">
        <v>42598.41138888889</v>
      </c>
      <c r="G60" s="7">
        <v>1</v>
      </c>
      <c r="H60" s="16" t="s">
        <v>360</v>
      </c>
      <c r="I60" s="16">
        <v>42598.417048611111</v>
      </c>
      <c r="J60" s="7">
        <v>1</v>
      </c>
      <c r="K60" s="142" t="str">
        <f t="shared" si="55"/>
        <v>4011/4012</v>
      </c>
      <c r="L60" s="25" t="str">
        <f>VLOOKUP(A60,'Trips&amp;Operators'!$C$1:$E$10000,3,FALSE)</f>
        <v>GRASTON</v>
      </c>
      <c r="M60" s="6">
        <f t="shared" si="43"/>
        <v>5.6597222210257314E-3</v>
      </c>
      <c r="N60" s="7"/>
      <c r="O60" s="7"/>
      <c r="P60" s="7"/>
      <c r="Q60" s="26"/>
      <c r="R60" s="26"/>
      <c r="S60" s="38"/>
      <c r="T60" s="53" t="str">
        <f t="shared" si="45"/>
        <v>Southbound</v>
      </c>
      <c r="U60" s="13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0</v>
      </c>
      <c r="V60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08:51:18-0600',mode:absolute,to:'2016-08-16 11:00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60" s="55" t="str">
        <f t="shared" si="46"/>
        <v>Y</v>
      </c>
      <c r="X60" s="129">
        <f t="shared" si="56"/>
        <v>0</v>
      </c>
      <c r="Y60" s="70">
        <f t="shared" si="47"/>
        <v>23.298500000000001</v>
      </c>
      <c r="Z60" s="70">
        <f t="shared" si="48"/>
        <v>20.465599999999998</v>
      </c>
      <c r="AA60" s="70">
        <f t="shared" si="49"/>
        <v>2.8329000000000022</v>
      </c>
      <c r="AB60" s="67" t="e">
        <f>VLOOKUP(A60,Enforcements!$C$7:$J$24,8,0)</f>
        <v>#N/A</v>
      </c>
      <c r="AC60" s="63" t="e">
        <f>VLOOKUP(A60,Enforcements!$C$7:$E$24,3,0)</f>
        <v>#N/A</v>
      </c>
      <c r="AD60" s="64" t="str">
        <f t="shared" si="50"/>
        <v>0144-16</v>
      </c>
      <c r="AE60" s="104" t="str">
        <f t="shared" si="0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60" s="101" t="str">
        <f t="shared" si="1"/>
        <v>"C:\Program Files (x86)\AstroGrep\AstroGrep.exe" /spath="%USERPROFILE%\AppData\Local\Temp\OnboardLogs" /stypes="*4012*20160816*" /stext=" 16:.+((SYSTEM_STATE.+slice.+state.+changed )|(ment ac)|(system.+state.+changed )|(\|lc)|(penalty)|(\[timeout)|(PRM\|1\|D)|(kpr)|(kdp))" /e /r /s</v>
      </c>
      <c r="AG60" s="1" t="str">
        <f t="shared" si="51"/>
        <v>EC</v>
      </c>
      <c r="AH60" s="105" t="str">
        <f t="shared" si="4"/>
        <v>"%USERPROFILE%\Documents\GitHub\eaglep3\Utilities\RefineRTDCRunTimes.py" --tripid 144-16 --locoid 4012 --swversion DE.1.0.7.0 --startMP 204:232985 --initTime 2016-08-16T09:51:18 --startdatetime 2016-08-16T09:52:24 --delay 1 --endMP 204:204656 --enddatetime 2016-08-16T10:00:33 --enforcementcount 1</v>
      </c>
    </row>
    <row r="61" spans="1:34" x14ac:dyDescent="0.25">
      <c r="A61" s="40" t="s">
        <v>361</v>
      </c>
      <c r="B61" s="7">
        <v>4018</v>
      </c>
      <c r="C61" s="25" t="s">
        <v>119</v>
      </c>
      <c r="D61" s="25" t="s">
        <v>168</v>
      </c>
      <c r="E61" s="16">
        <v>42598.383310185185</v>
      </c>
      <c r="F61" s="16">
        <v>42598.384120370371</v>
      </c>
      <c r="G61" s="7">
        <v>1</v>
      </c>
      <c r="H61" s="16" t="s">
        <v>362</v>
      </c>
      <c r="I61" s="16">
        <v>42598.410057870373</v>
      </c>
      <c r="J61" s="7">
        <v>1</v>
      </c>
      <c r="K61" s="142" t="str">
        <f t="shared" si="55"/>
        <v>4017/4018</v>
      </c>
      <c r="L61" s="25" t="str">
        <f>VLOOKUP(A61,'Trips&amp;Operators'!$C$1:$E$10000,3,FALSE)</f>
        <v>ROCHA</v>
      </c>
      <c r="M61" s="6">
        <f t="shared" si="43"/>
        <v>2.5937500002328306E-2</v>
      </c>
      <c r="N61" s="7"/>
      <c r="O61" s="7"/>
      <c r="P61" s="7">
        <f>24*60*SUM($M61:$M61)</f>
        <v>37.350000003352761</v>
      </c>
      <c r="Q61" s="26"/>
      <c r="R61" s="26" t="s">
        <v>696</v>
      </c>
      <c r="S61" s="38">
        <f>SUM(U61:U61)/IF(AG61="EC",12,1)</f>
        <v>1</v>
      </c>
      <c r="T61" s="53" t="str">
        <f t="shared" si="45"/>
        <v>NorthBound</v>
      </c>
      <c r="U61" s="13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08:11:58-0600',mode:absolute,to:'2016-08-16 10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61" s="55" t="str">
        <f t="shared" si="46"/>
        <v>Y</v>
      </c>
      <c r="X61" s="129">
        <f t="shared" si="56"/>
        <v>1</v>
      </c>
      <c r="Y61" s="70">
        <f t="shared" si="47"/>
        <v>4.4200000000000003E-2</v>
      </c>
      <c r="Z61" s="70">
        <f t="shared" si="48"/>
        <v>20.2242</v>
      </c>
      <c r="AA61" s="70">
        <f t="shared" si="49"/>
        <v>20.18</v>
      </c>
      <c r="AB61" s="67">
        <f>VLOOKUP(A61,Enforcements!$C$7:$J$24,8,0)</f>
        <v>161962</v>
      </c>
      <c r="AC61" s="63" t="str">
        <f>VLOOKUP(A61,Enforcements!$C$7:$E$24,3,0)</f>
        <v>PERMANENT SPEED RESTRICTION</v>
      </c>
      <c r="AD61" s="64" t="str">
        <f t="shared" si="50"/>
        <v>0145-16</v>
      </c>
      <c r="AE61" s="104" t="str">
        <f t="shared" si="0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61" s="101" t="str">
        <f t="shared" si="1"/>
        <v>"C:\Program Files (x86)\AstroGrep\AstroGrep.exe" /spath="%USERPROFILE%\AppData\Local\Temp\OnboardLogs" /stypes="*4018*20160816*" /stext=" 15:.+((SYSTEM_STATE.+slice.+state.+changed )|(ment ac)|(system.+state.+changed )|(\|lc)|(penalty)|(\[timeout)|(PRM\|1\|D)|(kpr)|(kdp))" /e /r /s</v>
      </c>
      <c r="AG61" s="1" t="str">
        <f t="shared" si="51"/>
        <v>EC</v>
      </c>
      <c r="AH61" s="105" t="str">
        <f t="shared" si="4"/>
        <v>"%USERPROFILE%\Documents\GitHub\eaglep3\Utilities\RefineRTDCRunTimes.py" --tripid 145-16 --locoid 4018 --swversion DE.1.0.7.0 --startMP 204:442 --initTime 2016-08-16T09:11:58 --startdatetime 2016-08-16T09:13:08 --delay 1 --endMP 204:202242 --enddatetime 2016-08-16T09:50:29 --enforcementcount 1</v>
      </c>
    </row>
    <row r="62" spans="1:34" x14ac:dyDescent="0.25">
      <c r="A62" s="40" t="s">
        <v>363</v>
      </c>
      <c r="B62" s="7">
        <v>4017</v>
      </c>
      <c r="C62" s="25" t="s">
        <v>119</v>
      </c>
      <c r="D62" s="25" t="s">
        <v>364</v>
      </c>
      <c r="E62" s="16">
        <v>42598.43650462963</v>
      </c>
      <c r="F62" s="16">
        <v>42598.437083333331</v>
      </c>
      <c r="G62" s="7">
        <v>0</v>
      </c>
      <c r="H62" s="16" t="s">
        <v>365</v>
      </c>
      <c r="I62" s="16">
        <v>42598.455590277779</v>
      </c>
      <c r="J62" s="7">
        <v>1</v>
      </c>
      <c r="K62" s="142" t="str">
        <f t="shared" si="55"/>
        <v>4017/4018</v>
      </c>
      <c r="L62" s="25" t="str">
        <f>VLOOKUP(A62,'Trips&amp;Operators'!$C$1:$E$10000,3,FALSE)</f>
        <v>ROCHA</v>
      </c>
      <c r="M62" s="6">
        <f t="shared" si="43"/>
        <v>1.8506944448745344E-2</v>
      </c>
      <c r="N62" s="7"/>
      <c r="O62" s="7"/>
      <c r="P62" s="7">
        <f>24*60*SUM($M62:$M63)</f>
        <v>33.450000003213063</v>
      </c>
      <c r="Q62" s="26"/>
      <c r="R62" s="26" t="s">
        <v>694</v>
      </c>
      <c r="S62" s="38">
        <f>SUM(U62:U62)/IF(AG62="EC",12,1)</f>
        <v>1</v>
      </c>
      <c r="T62" s="53" t="str">
        <f t="shared" si="45"/>
        <v>Southbound</v>
      </c>
      <c r="U62" s="13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09:28:34-0600',mode:absolute,to:'2016-08-16 11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2" s="55" t="str">
        <f t="shared" si="46"/>
        <v>Y</v>
      </c>
      <c r="X62" s="129">
        <f t="shared" si="56"/>
        <v>1</v>
      </c>
      <c r="Y62" s="70">
        <f t="shared" si="47"/>
        <v>12.786099999999999</v>
      </c>
      <c r="Z62" s="70">
        <f t="shared" si="48"/>
        <v>1.3599999999999999E-2</v>
      </c>
      <c r="AA62" s="70">
        <f t="shared" si="49"/>
        <v>12.772499999999999</v>
      </c>
      <c r="AB62" s="67" t="e">
        <f>VLOOKUP(A62,Enforcements!$C$7:$J$24,8,0)</f>
        <v>#N/A</v>
      </c>
      <c r="AC62" s="63" t="e">
        <f>VLOOKUP(A62,Enforcements!$C$7:$E$24,3,0)</f>
        <v>#N/A</v>
      </c>
      <c r="AD62" s="64" t="str">
        <f t="shared" si="50"/>
        <v>0146-16</v>
      </c>
      <c r="AE62" s="104" t="str">
        <f t="shared" si="0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62" s="101" t="str">
        <f t="shared" si="1"/>
        <v>"C:\Program Files (x86)\AstroGrep\AstroGrep.exe" /spath="%USERPROFILE%\AppData\Local\Temp\OnboardLogs" /stypes="*4017*20160816*" /stext=" 16:.+((SYSTEM_STATE.+slice.+state.+changed )|(ment ac)|(system.+state.+changed )|(\|lc)|(penalty)|(\[timeout)|(PRM\|1\|D)|(kpr)|(kdp))" /e /r /s</v>
      </c>
      <c r="AG62" s="1" t="str">
        <f t="shared" si="51"/>
        <v>EC</v>
      </c>
      <c r="AH62" s="105" t="str">
        <f t="shared" si="4"/>
        <v>"%USERPROFILE%\Documents\GitHub\eaglep3\Utilities\RefineRTDCRunTimes.py" --tripid 146-16 --locoid 4017 --swversion DE.1.0.7.0 --startMP 204:127861 --initTime 2016-08-16T10:28:34 --startdatetime 2016-08-16T10:29:24 --delay 0 --endMP 204:136 --enddatetime 2016-08-16T10:56:03 --enforcementcount 1</v>
      </c>
    </row>
    <row r="63" spans="1:34" s="1" customFormat="1" x14ac:dyDescent="0.25">
      <c r="A63" s="40" t="s">
        <v>363</v>
      </c>
      <c r="B63" s="7">
        <v>4017</v>
      </c>
      <c r="C63" s="25" t="s">
        <v>119</v>
      </c>
      <c r="D63" s="25" t="s">
        <v>366</v>
      </c>
      <c r="E63" s="16">
        <v>42598.421875</v>
      </c>
      <c r="F63" s="16">
        <v>42598.423472222225</v>
      </c>
      <c r="G63" s="7">
        <v>2</v>
      </c>
      <c r="H63" s="16" t="s">
        <v>367</v>
      </c>
      <c r="I63" s="16">
        <v>42598.428194444445</v>
      </c>
      <c r="J63" s="7">
        <v>1</v>
      </c>
      <c r="K63" s="142" t="str">
        <f t="shared" si="55"/>
        <v>4017/4018</v>
      </c>
      <c r="L63" s="25" t="str">
        <f>VLOOKUP(A63,'Trips&amp;Operators'!$C$1:$E$10000,3,FALSE)</f>
        <v>ROCHA</v>
      </c>
      <c r="M63" s="6">
        <f t="shared" si="43"/>
        <v>4.7222222201526165E-3</v>
      </c>
      <c r="N63" s="7"/>
      <c r="O63" s="7"/>
      <c r="P63" s="7"/>
      <c r="Q63" s="26"/>
      <c r="R63" s="26"/>
      <c r="S63" s="38"/>
      <c r="T63" s="53" t="str">
        <f t="shared" si="45"/>
        <v>Southbound</v>
      </c>
      <c r="U63" s="13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0</v>
      </c>
      <c r="V63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09:07:30-0600',mode:absolute,to:'2016-08-16 11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3" s="55" t="str">
        <f t="shared" si="46"/>
        <v>Y</v>
      </c>
      <c r="X63" s="129">
        <f t="shared" si="56"/>
        <v>0</v>
      </c>
      <c r="Y63" s="70">
        <f t="shared" si="47"/>
        <v>23.308</v>
      </c>
      <c r="Z63" s="70">
        <f t="shared" si="48"/>
        <v>20.668299999999999</v>
      </c>
      <c r="AA63" s="70">
        <f t="shared" si="49"/>
        <v>2.6397000000000013</v>
      </c>
      <c r="AB63" s="67" t="e">
        <f>VLOOKUP(A63,Enforcements!$C$7:$J$24,8,0)</f>
        <v>#N/A</v>
      </c>
      <c r="AC63" s="63" t="e">
        <f>VLOOKUP(A63,Enforcements!$C$7:$E$24,3,0)</f>
        <v>#N/A</v>
      </c>
      <c r="AD63" s="64" t="str">
        <f t="shared" si="50"/>
        <v>0146-16</v>
      </c>
      <c r="AE63" s="104" t="str">
        <f t="shared" si="0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63" s="101" t="str">
        <f t="shared" si="1"/>
        <v>"C:\Program Files (x86)\AstroGrep\AstroGrep.exe" /spath="%USERPROFILE%\AppData\Local\Temp\OnboardLogs" /stypes="*4017*20160816*" /stext=" 16:.+((SYSTEM_STATE.+slice.+state.+changed )|(ment ac)|(system.+state.+changed )|(\|lc)|(penalty)|(\[timeout)|(PRM\|1\|D)|(kpr)|(kdp))" /e /r /s</v>
      </c>
      <c r="AG63" s="1" t="str">
        <f t="shared" si="51"/>
        <v>EC</v>
      </c>
      <c r="AH63" s="105" t="str">
        <f t="shared" si="4"/>
        <v>"%USERPROFILE%\Documents\GitHub\eaglep3\Utilities\RefineRTDCRunTimes.py" --tripid 146-16 --locoid 4017 --swversion DE.1.0.7.0 --startMP 204:233080 --initTime 2016-08-16T10:07:30 --startdatetime 2016-08-16T10:09:48 --delay 2 --endMP 204:206683 --enddatetime 2016-08-16T10:16:36 --enforcementcount 1</v>
      </c>
    </row>
    <row r="64" spans="1:34" s="1" customFormat="1" x14ac:dyDescent="0.25">
      <c r="A64" s="40" t="s">
        <v>368</v>
      </c>
      <c r="B64" s="7">
        <v>4038</v>
      </c>
      <c r="C64" s="25" t="s">
        <v>119</v>
      </c>
      <c r="D64" s="25" t="s">
        <v>369</v>
      </c>
      <c r="E64" s="16">
        <v>42598.40053240741</v>
      </c>
      <c r="F64" s="16">
        <v>42598.401678240742</v>
      </c>
      <c r="G64" s="7">
        <v>1</v>
      </c>
      <c r="H64" s="16" t="s">
        <v>370</v>
      </c>
      <c r="I64" s="16">
        <v>42598.421481481484</v>
      </c>
      <c r="J64" s="7">
        <v>1</v>
      </c>
      <c r="K64" s="142" t="str">
        <f t="shared" si="55"/>
        <v>4037/4038</v>
      </c>
      <c r="L64" s="25" t="str">
        <f>VLOOKUP(A64,'Trips&amp;Operators'!$C$1:$E$10000,3,FALSE)</f>
        <v>ACKERMAN</v>
      </c>
      <c r="M64" s="6">
        <f t="shared" si="43"/>
        <v>1.9803240742476191E-2</v>
      </c>
      <c r="N64" s="7"/>
      <c r="O64" s="7"/>
      <c r="P64" s="7">
        <f>24*60*SUM($M64:$M64)</f>
        <v>28.516666669165716</v>
      </c>
      <c r="Q64" s="26"/>
      <c r="R64" s="26" t="s">
        <v>696</v>
      </c>
      <c r="S64" s="38">
        <f>SUM(U64:U64)/IF(AG64="EC",12,1)</f>
        <v>1</v>
      </c>
      <c r="T64" s="53" t="str">
        <f t="shared" si="45"/>
        <v>NorthBound</v>
      </c>
      <c r="U64" s="13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08:36:46-0600',mode:absolute,to:'2016-08-16 11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4" s="55" t="str">
        <f t="shared" si="46"/>
        <v>Y</v>
      </c>
      <c r="X64" s="129">
        <f t="shared" si="56"/>
        <v>1</v>
      </c>
      <c r="Y64" s="70">
        <f t="shared" si="47"/>
        <v>1.9134</v>
      </c>
      <c r="Z64" s="70">
        <f t="shared" si="48"/>
        <v>20.213200000000001</v>
      </c>
      <c r="AA64" s="70">
        <f t="shared" si="49"/>
        <v>18.299800000000001</v>
      </c>
      <c r="AB64" s="67" t="e">
        <f>VLOOKUP(A64,Enforcements!$C$7:$J$24,8,0)</f>
        <v>#N/A</v>
      </c>
      <c r="AC64" s="63" t="e">
        <f>VLOOKUP(A64,Enforcements!$C$7:$E$24,3,0)</f>
        <v>#N/A</v>
      </c>
      <c r="AD64" s="64" t="str">
        <f t="shared" si="50"/>
        <v>0147-16</v>
      </c>
      <c r="AE64" s="104" t="str">
        <f t="shared" si="0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64" s="101" t="str">
        <f t="shared" si="1"/>
        <v>"C:\Program Files (x86)\AstroGrep\AstroGrep.exe" /spath="%USERPROFILE%\AppData\Local\Temp\OnboardLogs" /stypes="*4038*20160816*" /stext=" 16:.+((SYSTEM_STATE.+slice.+state.+changed )|(ment ac)|(system.+state.+changed )|(\|lc)|(penalty)|(\[timeout)|(PRM\|1\|D)|(kpr)|(kdp))" /e /r /s</v>
      </c>
      <c r="AG64" s="1" t="str">
        <f t="shared" si="51"/>
        <v>EC</v>
      </c>
      <c r="AH64" s="105" t="str">
        <f t="shared" si="4"/>
        <v>"%USERPROFILE%\Documents\GitHub\eaglep3\Utilities\RefineRTDCRunTimes.py" --tripid 147-16 --locoid 4038 --swversion DE.1.0.7.0 --startMP 204:19134 --initTime 2016-08-16T09:36:46 --startdatetime 2016-08-16T09:38:25 --delay 1 --endMP 204:202132 --enddatetime 2016-08-16T10:06:56 --enforcementcount 1</v>
      </c>
    </row>
    <row r="65" spans="1:34" s="1" customFormat="1" x14ac:dyDescent="0.25">
      <c r="A65" s="40" t="s">
        <v>368</v>
      </c>
      <c r="B65" s="7">
        <v>4038</v>
      </c>
      <c r="C65" s="25" t="s">
        <v>119</v>
      </c>
      <c r="D65" s="25" t="s">
        <v>371</v>
      </c>
      <c r="E65" s="16">
        <v>42598.392476851855</v>
      </c>
      <c r="F65" s="16">
        <v>42598.393587962964</v>
      </c>
      <c r="G65" s="7">
        <v>1</v>
      </c>
      <c r="H65" s="16" t="s">
        <v>372</v>
      </c>
      <c r="I65" s="16">
        <v>42598.396932870368</v>
      </c>
      <c r="J65" s="7">
        <v>1</v>
      </c>
      <c r="K65" s="142" t="str">
        <f t="shared" si="55"/>
        <v>4037/4038</v>
      </c>
      <c r="L65" s="25" t="str">
        <f>VLOOKUP(A65,'Trips&amp;Operators'!$C$1:$E$10000,3,FALSE)</f>
        <v>ACKERMAN</v>
      </c>
      <c r="M65" s="6">
        <f t="shared" si="43"/>
        <v>3.3449074035161175E-3</v>
      </c>
      <c r="N65" s="7"/>
      <c r="O65" s="7"/>
      <c r="P65" s="7"/>
      <c r="Q65" s="26"/>
      <c r="R65" s="26"/>
      <c r="S65" s="38"/>
      <c r="T65" s="53" t="str">
        <f t="shared" si="45"/>
        <v>NorthBound</v>
      </c>
      <c r="U65" s="13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0</v>
      </c>
      <c r="V65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08:25:10-0600',mode:absolute,to:'2016-08-16 10:31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65" s="55" t="str">
        <f t="shared" si="46"/>
        <v>Y</v>
      </c>
      <c r="X65" s="129">
        <f t="shared" si="56"/>
        <v>0</v>
      </c>
      <c r="Y65" s="70">
        <f t="shared" si="47"/>
        <v>4.3999999999999997E-2</v>
      </c>
      <c r="Z65" s="70">
        <f t="shared" si="48"/>
        <v>0.13969999999999999</v>
      </c>
      <c r="AA65" s="70">
        <f t="shared" si="49"/>
        <v>9.5699999999999993E-2</v>
      </c>
      <c r="AB65" s="67" t="e">
        <f>VLOOKUP(A65,Enforcements!$C$7:$J$24,8,0)</f>
        <v>#N/A</v>
      </c>
      <c r="AC65" s="63" t="e">
        <f>VLOOKUP(A65,Enforcements!$C$7:$E$24,3,0)</f>
        <v>#N/A</v>
      </c>
      <c r="AD65" s="64" t="str">
        <f t="shared" si="50"/>
        <v>0147-16</v>
      </c>
      <c r="AE65" s="104" t="str">
        <f t="shared" si="0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65" s="101" t="str">
        <f t="shared" si="1"/>
        <v>"C:\Program Files (x86)\AstroGrep\AstroGrep.exe" /spath="%USERPROFILE%\AppData\Local\Temp\OnboardLogs" /stypes="*4038*20160816*" /stext=" 15:.+((SYSTEM_STATE.+slice.+state.+changed )|(ment ac)|(system.+state.+changed )|(\|lc)|(penalty)|(\[timeout)|(PRM\|1\|D)|(kpr)|(kdp))" /e /r /s</v>
      </c>
      <c r="AG65" s="1" t="str">
        <f t="shared" si="51"/>
        <v>EC</v>
      </c>
      <c r="AH65" s="105" t="str">
        <f t="shared" si="4"/>
        <v>"%USERPROFILE%\Documents\GitHub\eaglep3\Utilities\RefineRTDCRunTimes.py" --tripid 147-16 --locoid 4038 --swversion DE.1.0.7.0 --startMP 204:440 --initTime 2016-08-16T09:25:10 --startdatetime 2016-08-16T09:26:46 --delay 1 --endMP 204:1397 --enddatetime 2016-08-16T09:31:35 --enforcementcount 1</v>
      </c>
    </row>
    <row r="66" spans="1:34" x14ac:dyDescent="0.25">
      <c r="A66" s="40" t="s">
        <v>373</v>
      </c>
      <c r="B66" s="7">
        <v>4037</v>
      </c>
      <c r="C66" s="25" t="s">
        <v>119</v>
      </c>
      <c r="D66" s="25" t="s">
        <v>374</v>
      </c>
      <c r="E66" s="16">
        <v>42598.430462962962</v>
      </c>
      <c r="F66" s="16">
        <v>42598.431574074071</v>
      </c>
      <c r="G66" s="7">
        <v>1</v>
      </c>
      <c r="H66" s="16" t="s">
        <v>375</v>
      </c>
      <c r="I66" s="16">
        <v>42598.466215277775</v>
      </c>
      <c r="J66" s="7">
        <v>1</v>
      </c>
      <c r="K66" s="142" t="str">
        <f t="shared" si="55"/>
        <v>4037/4038</v>
      </c>
      <c r="L66" s="25" t="str">
        <f>VLOOKUP(A66,'Trips&amp;Operators'!$C$1:$E$10000,3,FALSE)</f>
        <v>ACKERMAN</v>
      </c>
      <c r="M66" s="6">
        <f t="shared" ref="M66:M97" si="57">I66-F66</f>
        <v>3.4641203703358769E-2</v>
      </c>
      <c r="N66" s="7">
        <f>24*60*SUM($M66:$M66)</f>
        <v>49.883333332836628</v>
      </c>
      <c r="O66" s="7"/>
      <c r="P66" s="7"/>
      <c r="Q66" s="26"/>
      <c r="R66" s="26"/>
      <c r="S66" s="38">
        <f t="shared" ref="S66:S110" si="58">SUM(U66:U66)/IF(AG66="EC",12,1)</f>
        <v>1</v>
      </c>
      <c r="T66" s="53" t="str">
        <f t="shared" ref="T66:T97" si="59">IF(ISEVEN(LEFT(AD66,4)),"Southbound","NorthBound")</f>
        <v>Southbound</v>
      </c>
      <c r="U66" s="13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09:19:52-0600',mode:absolute,to:'2016-08-16 12:11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66" s="55" t="str">
        <f t="shared" ref="W66:W97" si="60">IF(AA66&lt;IF(AG66="EC",23,5.65),"Y","N")</f>
        <v>N</v>
      </c>
      <c r="X66" s="129">
        <f t="shared" si="56"/>
        <v>1</v>
      </c>
      <c r="Y66" s="70">
        <f t="shared" ref="Y66:Y97" si="61">RIGHT(D66,LEN(D66)-4)/10000</f>
        <v>23.301100000000002</v>
      </c>
      <c r="Z66" s="70">
        <f t="shared" ref="Z66:Z85" si="62">RIGHT(H66,LEN(H66)-4)/10000</f>
        <v>9.5999999999999992E-3</v>
      </c>
      <c r="AA66" s="70">
        <f t="shared" ref="AA66:AA97" si="63">ABS(Z66-Y66)</f>
        <v>23.291500000000003</v>
      </c>
      <c r="AB66" s="67" t="e">
        <f>VLOOKUP(A66,Enforcements!$C$7:$J$24,8,0)</f>
        <v>#N/A</v>
      </c>
      <c r="AC66" s="63" t="e">
        <f>VLOOKUP(A66,Enforcements!$C$7:$E$24,3,0)</f>
        <v>#N/A</v>
      </c>
      <c r="AD66" s="64" t="str">
        <f t="shared" ref="AD66:AD97" si="64">IF(LEN(A66)=6,"0"&amp;A66,A66)</f>
        <v>0148-16</v>
      </c>
      <c r="AE66" s="104" t="str">
        <f t="shared" si="0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66" s="101" t="str">
        <f t="shared" si="1"/>
        <v>"C:\Program Files (x86)\AstroGrep\AstroGrep.exe" /spath="%USERPROFILE%\AppData\Local\Temp\OnboardLogs" /stypes="*4037*20160816*" /stext=" 17:.+((SYSTEM_STATE.+slice.+state.+changed )|(ment ac)|(system.+state.+changed )|(\|lc)|(penalty)|(\[timeout)|(PRM\|1\|D)|(kpr)|(kdp))" /e /r /s</v>
      </c>
      <c r="AG66" s="1" t="str">
        <f t="shared" ref="AG66:AG97" si="65">IFERROR(IF(VALUE(LEFT(AD66,2))&lt;=2,"EC",IF(OR(VALUE(LEFT(AD66,2))=8,VALUE(LEFT(AD66,2))=18),"NW","Other")),"Other")</f>
        <v>EC</v>
      </c>
      <c r="AH66" s="105" t="str">
        <f t="shared" si="4"/>
        <v>"%USERPROFILE%\Documents\GitHub\eaglep3\Utilities\RefineRTDCRunTimes.py" --tripid 148-16 --locoid 4037 --swversion DE.1.0.7.0 --startMP 204:233011 --initTime 2016-08-16T10:19:52 --startdatetime 2016-08-16T10:21:28 --delay 1 --endMP 204:96 --enddatetime 2016-08-16T11:11:21 --enforcementcount 1</v>
      </c>
    </row>
    <row r="67" spans="1:34" s="24" customFormat="1" x14ac:dyDescent="0.25">
      <c r="A67" s="40" t="s">
        <v>376</v>
      </c>
      <c r="B67" s="7">
        <v>4029</v>
      </c>
      <c r="C67" s="25" t="s">
        <v>119</v>
      </c>
      <c r="D67" s="25" t="s">
        <v>182</v>
      </c>
      <c r="E67" s="16">
        <v>42598.404166666667</v>
      </c>
      <c r="F67" s="16">
        <v>42598.405821759261</v>
      </c>
      <c r="G67" s="7">
        <v>2</v>
      </c>
      <c r="H67" s="16" t="s">
        <v>377</v>
      </c>
      <c r="I67" s="16">
        <v>42598.430162037039</v>
      </c>
      <c r="J67" s="7">
        <v>1</v>
      </c>
      <c r="K67" s="142" t="str">
        <f t="shared" si="55"/>
        <v>4029/4030</v>
      </c>
      <c r="L67" s="25" t="str">
        <f>VLOOKUP(A67,'Trips&amp;Operators'!$C$1:$E$10000,3,FALSE)</f>
        <v>CLARK</v>
      </c>
      <c r="M67" s="6">
        <f t="shared" si="57"/>
        <v>2.4340277777810115E-2</v>
      </c>
      <c r="N67" s="7"/>
      <c r="O67" s="7"/>
      <c r="P67" s="7">
        <f>24*60*SUM($M67:$M67)</f>
        <v>35.050000000046566</v>
      </c>
      <c r="Q67" s="26"/>
      <c r="R67" s="26" t="s">
        <v>696</v>
      </c>
      <c r="S67" s="38">
        <f t="shared" si="58"/>
        <v>1</v>
      </c>
      <c r="T67" s="53" t="str">
        <f t="shared" si="59"/>
        <v>NorthBound</v>
      </c>
      <c r="U67" s="13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08:42:00-0600',mode:absolute,to:'2016-08-16 11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7" s="55" t="str">
        <f t="shared" si="60"/>
        <v>Y</v>
      </c>
      <c r="X67" s="129">
        <f t="shared" si="56"/>
        <v>1</v>
      </c>
      <c r="Y67" s="70">
        <f t="shared" si="61"/>
        <v>4.7699999999999999E-2</v>
      </c>
      <c r="Z67" s="70">
        <f t="shared" si="62"/>
        <v>19.9559</v>
      </c>
      <c r="AA67" s="70">
        <f t="shared" si="63"/>
        <v>19.908200000000001</v>
      </c>
      <c r="AB67" s="67">
        <f>VLOOKUP(A67,Enforcements!$C$7:$J$24,8,0)</f>
        <v>0</v>
      </c>
      <c r="AC67" s="63" t="str">
        <f>VLOOKUP(A67,Enforcements!$C$7:$E$24,3,0)</f>
        <v>PERMANENT SPEED RESTRICTION</v>
      </c>
      <c r="AD67" s="64" t="str">
        <f t="shared" si="64"/>
        <v>0149-16</v>
      </c>
      <c r="AE67" s="104" t="str">
        <f t="shared" si="0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67" s="101" t="str">
        <f t="shared" si="1"/>
        <v>"C:\Program Files (x86)\AstroGrep\AstroGrep.exe" /spath="%USERPROFILE%\AppData\Local\Temp\OnboardLogs" /stypes="*4029*20160816*" /stext=" 16:.+((SYSTEM_STATE.+slice.+state.+changed )|(ment ac)|(system.+state.+changed )|(\|lc)|(penalty)|(\[timeout)|(PRM\|1\|D)|(kpr)|(kdp))" /e /r /s</v>
      </c>
      <c r="AG67" s="1" t="str">
        <f t="shared" si="65"/>
        <v>EC</v>
      </c>
      <c r="AH67" s="105" t="str">
        <f t="shared" si="4"/>
        <v>"%USERPROFILE%\Documents\GitHub\eaglep3\Utilities\RefineRTDCRunTimes.py" --tripid 149-16 --locoid 4029 --swversion DE.1.0.7.0 --startMP 204:477 --initTime 2016-08-16T09:42:00 --startdatetime 2016-08-16T09:44:23 --delay 2 --endMP 204:199559 --enddatetime 2016-08-16T10:19:26 --enforcementcount 1</v>
      </c>
    </row>
    <row r="68" spans="1:34" x14ac:dyDescent="0.25">
      <c r="A68" s="40" t="s">
        <v>378</v>
      </c>
      <c r="B68" s="7">
        <v>4030</v>
      </c>
      <c r="C68" s="25" t="s">
        <v>119</v>
      </c>
      <c r="D68" s="25" t="s">
        <v>253</v>
      </c>
      <c r="E68" s="16">
        <v>42598.440104166664</v>
      </c>
      <c r="F68" s="16">
        <v>42598.441423611112</v>
      </c>
      <c r="G68" s="7">
        <v>1</v>
      </c>
      <c r="H68" s="16" t="s">
        <v>257</v>
      </c>
      <c r="I68" s="16">
        <v>42598.475810185184</v>
      </c>
      <c r="J68" s="7">
        <v>1</v>
      </c>
      <c r="K68" s="142" t="str">
        <f t="shared" si="55"/>
        <v>4029/4030</v>
      </c>
      <c r="L68" s="25" t="str">
        <f>VLOOKUP(A68,'Trips&amp;Operators'!$C$1:$E$10000,3,FALSE)</f>
        <v>CLARK</v>
      </c>
      <c r="M68" s="6">
        <f t="shared" si="57"/>
        <v>3.4386574072414078E-2</v>
      </c>
      <c r="N68" s="7">
        <f t="shared" ref="N68:N75" si="66">24*60*SUM($M68:$M68)</f>
        <v>49.516666664276272</v>
      </c>
      <c r="O68" s="7"/>
      <c r="P68" s="7"/>
      <c r="Q68" s="26"/>
      <c r="R68" s="26"/>
      <c r="S68" s="38">
        <f t="shared" si="58"/>
        <v>1</v>
      </c>
      <c r="T68" s="53" t="str">
        <f t="shared" si="59"/>
        <v>Southbound</v>
      </c>
      <c r="U68" s="13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09:33:45-0600',mode:absolute,to:'2016-08-16 12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68" s="55" t="str">
        <f t="shared" si="60"/>
        <v>N</v>
      </c>
      <c r="X68" s="129">
        <f t="shared" si="56"/>
        <v>1</v>
      </c>
      <c r="Y68" s="70">
        <f t="shared" si="61"/>
        <v>23.297499999999999</v>
      </c>
      <c r="Z68" s="70">
        <f t="shared" si="62"/>
        <v>1.7399999999999999E-2</v>
      </c>
      <c r="AA68" s="70">
        <f t="shared" si="63"/>
        <v>23.280100000000001</v>
      </c>
      <c r="AB68" s="67" t="e">
        <f>VLOOKUP(A68,Enforcements!$C$7:$J$24,8,0)</f>
        <v>#N/A</v>
      </c>
      <c r="AC68" s="63" t="e">
        <f>VLOOKUP(A68,Enforcements!$C$7:$E$24,3,0)</f>
        <v>#N/A</v>
      </c>
      <c r="AD68" s="64" t="str">
        <f t="shared" si="64"/>
        <v>0150-16</v>
      </c>
      <c r="AE68" s="104" t="str">
        <f t="shared" si="0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68" s="101" t="str">
        <f t="shared" si="1"/>
        <v>"C:\Program Files (x86)\AstroGrep\AstroGrep.exe" /spath="%USERPROFILE%\AppData\Local\Temp\OnboardLogs" /stypes="*4030*20160816*" /stext=" 17:.+((SYSTEM_STATE.+slice.+state.+changed )|(ment ac)|(system.+state.+changed )|(\|lc)|(penalty)|(\[timeout)|(PRM\|1\|D)|(kpr)|(kdp))" /e /r /s</v>
      </c>
      <c r="AG68" s="1" t="str">
        <f t="shared" si="65"/>
        <v>EC</v>
      </c>
      <c r="AH68" s="105" t="str">
        <f t="shared" si="4"/>
        <v>"%USERPROFILE%\Documents\GitHub\eaglep3\Utilities\RefineRTDCRunTimes.py" --tripid 150-16 --locoid 4030 --swversion DE.1.0.7.0 --startMP 204:232975 --initTime 2016-08-16T10:33:45 --startdatetime 2016-08-16T10:35:39 --delay 1 --endMP 204:174 --enddatetime 2016-08-16T11:25:10 --enforcementcount 1</v>
      </c>
    </row>
    <row r="69" spans="1:34" x14ac:dyDescent="0.25">
      <c r="A69" s="40" t="s">
        <v>379</v>
      </c>
      <c r="B69" s="7">
        <v>4009</v>
      </c>
      <c r="C69" s="25" t="s">
        <v>119</v>
      </c>
      <c r="D69" s="25" t="s">
        <v>144</v>
      </c>
      <c r="E69" s="16">
        <v>42598.418043981481</v>
      </c>
      <c r="F69" s="16">
        <v>42598.419166666667</v>
      </c>
      <c r="G69" s="7">
        <v>1</v>
      </c>
      <c r="H69" s="16" t="s">
        <v>380</v>
      </c>
      <c r="I69" s="16">
        <v>42598.444826388892</v>
      </c>
      <c r="J69" s="7">
        <v>1</v>
      </c>
      <c r="K69" s="142" t="str">
        <f t="shared" si="55"/>
        <v>4009/4010</v>
      </c>
      <c r="L69" s="25" t="str">
        <f>VLOOKUP(A69,'Trips&amp;Operators'!$C$1:$E$10000,3,FALSE)</f>
        <v>SPECTOR</v>
      </c>
      <c r="M69" s="6">
        <f t="shared" si="57"/>
        <v>2.5659722225100268E-2</v>
      </c>
      <c r="N69" s="7">
        <f t="shared" si="66"/>
        <v>36.950000004144385</v>
      </c>
      <c r="O69" s="7"/>
      <c r="P69" s="7"/>
      <c r="Q69" s="26"/>
      <c r="R69" s="26"/>
      <c r="S69" s="38">
        <f t="shared" si="58"/>
        <v>1</v>
      </c>
      <c r="T69" s="53" t="str">
        <f t="shared" si="59"/>
        <v>NorthBound</v>
      </c>
      <c r="U69" s="13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09:01:59-0600',mode:absolute,to:'2016-08-16 11:40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9" s="55" t="str">
        <f t="shared" si="60"/>
        <v>N</v>
      </c>
      <c r="X69" s="129">
        <f t="shared" si="56"/>
        <v>1</v>
      </c>
      <c r="Y69" s="70">
        <f t="shared" si="61"/>
        <v>4.4900000000000002E-2</v>
      </c>
      <c r="Z69" s="70">
        <f t="shared" si="62"/>
        <v>23.331900000000001</v>
      </c>
      <c r="AA69" s="70">
        <f t="shared" si="63"/>
        <v>23.287000000000003</v>
      </c>
      <c r="AB69" s="67" t="e">
        <f>VLOOKUP(A69,Enforcements!$C$7:$J$24,8,0)</f>
        <v>#N/A</v>
      </c>
      <c r="AC69" s="63" t="e">
        <f>VLOOKUP(A69,Enforcements!$C$7:$E$24,3,0)</f>
        <v>#N/A</v>
      </c>
      <c r="AD69" s="64" t="str">
        <f t="shared" si="64"/>
        <v>0151-16</v>
      </c>
      <c r="AE69" s="104" t="str">
        <f t="shared" si="0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69" s="101" t="str">
        <f t="shared" si="1"/>
        <v>"C:\Program Files (x86)\AstroGrep\AstroGrep.exe" /spath="%USERPROFILE%\AppData\Local\Temp\OnboardLogs" /stypes="*4009*20160816*" /stext=" 16:.+((SYSTEM_STATE.+slice.+state.+changed )|(ment ac)|(system.+state.+changed )|(\|lc)|(penalty)|(\[timeout)|(PRM\|1\|D)|(kpr)|(kdp))" /e /r /s</v>
      </c>
      <c r="AG69" s="1" t="str">
        <f t="shared" si="65"/>
        <v>EC</v>
      </c>
      <c r="AH69" s="105" t="str">
        <f t="shared" si="4"/>
        <v>"%USERPROFILE%\Documents\GitHub\eaglep3\Utilities\RefineRTDCRunTimes.py" --tripid 151-16 --locoid 4009 --swversion DE.1.0.7.0 --startMP 204:449 --initTime 2016-08-16T10:01:59 --startdatetime 2016-08-16T10:03:36 --delay 1 --endMP 204:233319 --enddatetime 2016-08-16T10:40:33 --enforcementcount 1</v>
      </c>
    </row>
    <row r="70" spans="1:34" x14ac:dyDescent="0.25">
      <c r="A70" s="40" t="s">
        <v>381</v>
      </c>
      <c r="B70" s="7">
        <v>4010</v>
      </c>
      <c r="C70" s="25" t="s">
        <v>119</v>
      </c>
      <c r="D70" s="25" t="s">
        <v>382</v>
      </c>
      <c r="E70" s="16">
        <v>42598.452349537038</v>
      </c>
      <c r="F70" s="16">
        <v>42598.453368055554</v>
      </c>
      <c r="G70" s="7">
        <v>1</v>
      </c>
      <c r="H70" s="16" t="s">
        <v>140</v>
      </c>
      <c r="I70" s="16">
        <v>42598.484293981484</v>
      </c>
      <c r="J70" s="7">
        <v>1</v>
      </c>
      <c r="K70" s="142" t="str">
        <f t="shared" si="55"/>
        <v>4009/4010</v>
      </c>
      <c r="L70" s="25" t="str">
        <f>VLOOKUP(A70,'Trips&amp;Operators'!$C$1:$E$10000,3,FALSE)</f>
        <v>SPECTOR</v>
      </c>
      <c r="M70" s="6">
        <f t="shared" si="57"/>
        <v>3.0925925930205267E-2</v>
      </c>
      <c r="N70" s="7">
        <f t="shared" si="66"/>
        <v>44.533333339495584</v>
      </c>
      <c r="O70" s="7"/>
      <c r="P70" s="7"/>
      <c r="Q70" s="26"/>
      <c r="R70" s="26"/>
      <c r="S70" s="38">
        <f t="shared" si="58"/>
        <v>1</v>
      </c>
      <c r="T70" s="53" t="str">
        <f t="shared" si="59"/>
        <v>Southbound</v>
      </c>
      <c r="U70" s="13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09:51:23-0600',mode:absolute,to:'2016-08-16 12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0" s="55" t="str">
        <f t="shared" si="60"/>
        <v>N</v>
      </c>
      <c r="X70" s="129">
        <f t="shared" si="56"/>
        <v>1</v>
      </c>
      <c r="Y70" s="70">
        <f t="shared" si="61"/>
        <v>23.300799999999999</v>
      </c>
      <c r="Z70" s="70">
        <f t="shared" si="62"/>
        <v>1.47E-2</v>
      </c>
      <c r="AA70" s="70">
        <f t="shared" si="63"/>
        <v>23.286099999999998</v>
      </c>
      <c r="AB70" s="67" t="e">
        <f>VLOOKUP(A70,Enforcements!$C$7:$J$24,8,0)</f>
        <v>#N/A</v>
      </c>
      <c r="AC70" s="63" t="e">
        <f>VLOOKUP(A70,Enforcements!$C$7:$E$24,3,0)</f>
        <v>#N/A</v>
      </c>
      <c r="AD70" s="64" t="str">
        <f t="shared" si="64"/>
        <v>0152-16</v>
      </c>
      <c r="AE70" s="104" t="str">
        <f t="shared" si="0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70" s="101" t="str">
        <f t="shared" si="1"/>
        <v>"C:\Program Files (x86)\AstroGrep\AstroGrep.exe" /spath="%USERPROFILE%\AppData\Local\Temp\OnboardLogs" /stypes="*4010*20160816*" /stext=" 17:.+((SYSTEM_STATE.+slice.+state.+changed )|(ment ac)|(system.+state.+changed )|(\|lc)|(penalty)|(\[timeout)|(PRM\|1\|D)|(kpr)|(kdp))" /e /r /s</v>
      </c>
      <c r="AG70" s="1" t="str">
        <f t="shared" si="65"/>
        <v>EC</v>
      </c>
      <c r="AH70" s="105" t="str">
        <f t="shared" si="4"/>
        <v>"%USERPROFILE%\Documents\GitHub\eaglep3\Utilities\RefineRTDCRunTimes.py" --tripid 152-16 --locoid 4010 --swversion DE.1.0.7.0 --startMP 204:233008 --initTime 2016-08-16T10:51:23 --startdatetime 2016-08-16T10:52:51 --delay 1 --endMP 204:147 --enddatetime 2016-08-16T11:37:23 --enforcementcount 1</v>
      </c>
    </row>
    <row r="71" spans="1:34" s="24" customFormat="1" x14ac:dyDescent="0.25">
      <c r="A71" s="40" t="s">
        <v>383</v>
      </c>
      <c r="B71" s="7">
        <v>4044</v>
      </c>
      <c r="C71" s="25" t="s">
        <v>119</v>
      </c>
      <c r="D71" s="25" t="s">
        <v>178</v>
      </c>
      <c r="E71" s="16">
        <v>42598.425474537034</v>
      </c>
      <c r="F71" s="16">
        <v>42598.426446759258</v>
      </c>
      <c r="G71" s="7">
        <v>1</v>
      </c>
      <c r="H71" s="16" t="s">
        <v>244</v>
      </c>
      <c r="I71" s="16">
        <v>42598.453298611108</v>
      </c>
      <c r="J71" s="7">
        <v>1</v>
      </c>
      <c r="K71" s="142" t="str">
        <f t="shared" si="55"/>
        <v>4043/4044</v>
      </c>
      <c r="L71" s="25" t="str">
        <f>VLOOKUP(A71,'Trips&amp;Operators'!$C$1:$E$10000,3,FALSE)</f>
        <v>DAVIS</v>
      </c>
      <c r="M71" s="6">
        <f t="shared" si="57"/>
        <v>2.6851851849642117E-2</v>
      </c>
      <c r="N71" s="7">
        <f t="shared" si="66"/>
        <v>38.666666663484648</v>
      </c>
      <c r="O71" s="7"/>
      <c r="P71" s="7"/>
      <c r="Q71" s="26"/>
      <c r="R71" s="26"/>
      <c r="S71" s="38">
        <f t="shared" si="58"/>
        <v>1</v>
      </c>
      <c r="T71" s="53" t="str">
        <f t="shared" si="59"/>
        <v>NorthBound</v>
      </c>
      <c r="U71" s="13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09:12:41-0600',mode:absolute,to:'2016-08-16 11:52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71" s="55" t="str">
        <f t="shared" si="60"/>
        <v>N</v>
      </c>
      <c r="X71" s="129">
        <f t="shared" si="56"/>
        <v>1</v>
      </c>
      <c r="Y71" s="70">
        <f t="shared" si="61"/>
        <v>4.5100000000000001E-2</v>
      </c>
      <c r="Z71" s="70">
        <f t="shared" si="62"/>
        <v>23.3309</v>
      </c>
      <c r="AA71" s="70">
        <f t="shared" si="63"/>
        <v>23.285799999999998</v>
      </c>
      <c r="AB71" s="67" t="e">
        <f>VLOOKUP(A71,Enforcements!$C$7:$J$24,8,0)</f>
        <v>#N/A</v>
      </c>
      <c r="AC71" s="63" t="e">
        <f>VLOOKUP(A71,Enforcements!$C$7:$E$24,3,0)</f>
        <v>#N/A</v>
      </c>
      <c r="AD71" s="64" t="str">
        <f t="shared" si="64"/>
        <v>0153-16</v>
      </c>
      <c r="AE71" s="104" t="str">
        <f t="shared" si="0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71" s="101" t="str">
        <f t="shared" si="1"/>
        <v>"C:\Program Files (x86)\AstroGrep\AstroGrep.exe" /spath="%USERPROFILE%\AppData\Local\Temp\OnboardLogs" /stypes="*4044*20160816*" /stext=" 16:.+((SYSTEM_STATE.+slice.+state.+changed )|(ment ac)|(system.+state.+changed )|(\|lc)|(penalty)|(\[timeout)|(PRM\|1\|D)|(kpr)|(kdp))" /e /r /s</v>
      </c>
      <c r="AG71" s="1" t="str">
        <f t="shared" si="65"/>
        <v>EC</v>
      </c>
      <c r="AH71" s="105" t="str">
        <f t="shared" si="4"/>
        <v>"%USERPROFILE%\Documents\GitHub\eaglep3\Utilities\RefineRTDCRunTimes.py" --tripid 153-16 --locoid 4044 --swversion DE.1.0.7.0 --startMP 204:451 --initTime 2016-08-16T10:12:41 --startdatetime 2016-08-16T10:14:05 --delay 1 --endMP 204:233309 --enddatetime 2016-08-16T10:52:45 --enforcementcount 1</v>
      </c>
    </row>
    <row r="72" spans="1:34" x14ac:dyDescent="0.25">
      <c r="A72" s="40" t="s">
        <v>384</v>
      </c>
      <c r="B72" s="7">
        <v>4043</v>
      </c>
      <c r="C72" s="25" t="s">
        <v>119</v>
      </c>
      <c r="D72" s="25" t="s">
        <v>385</v>
      </c>
      <c r="E72" s="16">
        <v>42598.458333333336</v>
      </c>
      <c r="F72" s="16">
        <v>42598.459039351852</v>
      </c>
      <c r="G72" s="7">
        <v>1</v>
      </c>
      <c r="H72" s="16" t="s">
        <v>220</v>
      </c>
      <c r="I72" s="16">
        <v>42598.495046296295</v>
      </c>
      <c r="J72" s="7">
        <v>1</v>
      </c>
      <c r="K72" s="142" t="str">
        <f t="shared" si="55"/>
        <v>4043/4044</v>
      </c>
      <c r="L72" s="25" t="str">
        <f>VLOOKUP(A72,'Trips&amp;Operators'!$C$1:$E$10000,3,FALSE)</f>
        <v>DAVIS</v>
      </c>
      <c r="M72" s="6">
        <f t="shared" si="57"/>
        <v>3.6006944443215616E-2</v>
      </c>
      <c r="N72" s="7">
        <f t="shared" si="66"/>
        <v>51.849999998230487</v>
      </c>
      <c r="O72" s="7"/>
      <c r="P72" s="7"/>
      <c r="Q72" s="26"/>
      <c r="R72" s="26"/>
      <c r="S72" s="38">
        <f t="shared" si="58"/>
        <v>1</v>
      </c>
      <c r="T72" s="53" t="str">
        <f t="shared" si="59"/>
        <v>Southbound</v>
      </c>
      <c r="U72" s="13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10:00:00-0600',mode:absolute,to:'2016-08-16 12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2" s="55" t="str">
        <f t="shared" si="60"/>
        <v>N</v>
      </c>
      <c r="X72" s="129">
        <f t="shared" si="56"/>
        <v>1</v>
      </c>
      <c r="Y72" s="70">
        <f t="shared" si="61"/>
        <v>23.3</v>
      </c>
      <c r="Z72" s="70">
        <f t="shared" si="62"/>
        <v>1.52E-2</v>
      </c>
      <c r="AA72" s="70">
        <f t="shared" si="63"/>
        <v>23.284800000000001</v>
      </c>
      <c r="AB72" s="67" t="e">
        <f>VLOOKUP(A72,Enforcements!$C$7:$J$24,8,0)</f>
        <v>#N/A</v>
      </c>
      <c r="AC72" s="63" t="e">
        <f>VLOOKUP(A72,Enforcements!$C$7:$E$24,3,0)</f>
        <v>#N/A</v>
      </c>
      <c r="AD72" s="64" t="str">
        <f t="shared" si="64"/>
        <v>0154-16</v>
      </c>
      <c r="AE72" s="104" t="str">
        <f t="shared" si="0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72" s="101" t="str">
        <f t="shared" si="1"/>
        <v>"C:\Program Files (x86)\AstroGrep\AstroGrep.exe" /spath="%USERPROFILE%\AppData\Local\Temp\OnboardLogs" /stypes="*4043*20160816*" /stext=" 17:.+((SYSTEM_STATE.+slice.+state.+changed )|(ment ac)|(system.+state.+changed )|(\|lc)|(penalty)|(\[timeout)|(PRM\|1\|D)|(kpr)|(kdp))" /e /r /s</v>
      </c>
      <c r="AG72" s="1" t="str">
        <f t="shared" si="65"/>
        <v>EC</v>
      </c>
      <c r="AH72" s="105" t="str">
        <f t="shared" si="4"/>
        <v>"%USERPROFILE%\Documents\GitHub\eaglep3\Utilities\RefineRTDCRunTimes.py" --tripid 154-16 --locoid 4043 --swversion DE.1.0.7.0 --startMP 204:233000 --initTime 2016-08-16T11:00:00 --startdatetime 2016-08-16T11:01:01 --delay 1 --endMP 204:152 --enddatetime 2016-08-16T11:52:52 --enforcementcount 1</v>
      </c>
    </row>
    <row r="73" spans="1:34" x14ac:dyDescent="0.25">
      <c r="A73" s="40" t="s">
        <v>386</v>
      </c>
      <c r="B73" s="7">
        <v>4003</v>
      </c>
      <c r="C73" s="25" t="s">
        <v>119</v>
      </c>
      <c r="D73" s="25" t="s">
        <v>114</v>
      </c>
      <c r="E73" s="16">
        <v>42598.436944444446</v>
      </c>
      <c r="F73" s="16">
        <v>42598.437604166669</v>
      </c>
      <c r="G73" s="7">
        <v>0</v>
      </c>
      <c r="H73" s="16" t="s">
        <v>219</v>
      </c>
      <c r="I73" s="16">
        <v>42598.463206018518</v>
      </c>
      <c r="J73" s="7">
        <v>1</v>
      </c>
      <c r="K73" s="142" t="str">
        <f t="shared" si="55"/>
        <v>4003/4004</v>
      </c>
      <c r="L73" s="25" t="str">
        <f>VLOOKUP(A73,'Trips&amp;Operators'!$C$1:$E$10000,3,FALSE)</f>
        <v>GEBRETEKLE</v>
      </c>
      <c r="M73" s="6">
        <f t="shared" si="57"/>
        <v>2.5601851848477963E-2</v>
      </c>
      <c r="N73" s="7">
        <f t="shared" si="66"/>
        <v>36.866666661808267</v>
      </c>
      <c r="O73" s="7"/>
      <c r="P73" s="7"/>
      <c r="Q73" s="26"/>
      <c r="R73" s="26"/>
      <c r="S73" s="38">
        <f t="shared" si="58"/>
        <v>1</v>
      </c>
      <c r="T73" s="53" t="str">
        <f t="shared" si="59"/>
        <v>NorthBound</v>
      </c>
      <c r="U73" s="13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09:29:12-0600',mode:absolute,to:'2016-08-16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73" s="55" t="str">
        <f t="shared" si="60"/>
        <v>N</v>
      </c>
      <c r="X73" s="129">
        <f t="shared" si="56"/>
        <v>1</v>
      </c>
      <c r="Y73" s="70">
        <f t="shared" si="61"/>
        <v>4.6199999999999998E-2</v>
      </c>
      <c r="Z73" s="70">
        <f t="shared" si="62"/>
        <v>23.3308</v>
      </c>
      <c r="AA73" s="70">
        <f t="shared" si="63"/>
        <v>23.284600000000001</v>
      </c>
      <c r="AB73" s="67">
        <f>VLOOKUP(A73,Enforcements!$C$7:$J$24,8,0)</f>
        <v>4677</v>
      </c>
      <c r="AC73" s="63" t="str">
        <f>VLOOKUP(A73,Enforcements!$C$7:$E$24,3,0)</f>
        <v>PERMANENT SPEED RESTRICTION</v>
      </c>
      <c r="AD73" s="64" t="str">
        <f t="shared" si="64"/>
        <v>0155-16</v>
      </c>
      <c r="AE73" s="104" t="str">
        <f t="shared" si="0"/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AF73" s="101" t="str">
        <f t="shared" si="1"/>
        <v>"C:\Program Files (x86)\AstroGrep\AstroGrep.exe" /spath="%USERPROFILE%\AppData\Local\Temp\OnboardLogs" /stypes="*4003*20160816*" /stext=" 17:.+((SYSTEM_STATE.+slice.+state.+changed )|(ment ac)|(system.+state.+changed )|(\|lc)|(penalty)|(\[timeout)|(PRM\|1\|D)|(kpr)|(kdp))" /e /r /s</v>
      </c>
      <c r="AG73" s="1" t="str">
        <f t="shared" si="65"/>
        <v>EC</v>
      </c>
      <c r="AH73" s="105" t="str">
        <f t="shared" si="4"/>
        <v>"%USERPROFILE%\Documents\GitHub\eaglep3\Utilities\RefineRTDCRunTimes.py" --tripid 155-16 --locoid 4003 --swversion DE.1.0.7.0 --startMP 204:462 --initTime 2016-08-16T10:29:12 --startdatetime 2016-08-16T10:30:09 --delay 0 --endMP 204:233308 --enddatetime 2016-08-16T11:07:01 --enforcementcount 1</v>
      </c>
    </row>
    <row r="74" spans="1:34" x14ac:dyDescent="0.25">
      <c r="A74" s="40" t="s">
        <v>387</v>
      </c>
      <c r="B74" s="7">
        <v>4004</v>
      </c>
      <c r="C74" s="25" t="s">
        <v>119</v>
      </c>
      <c r="D74" s="25" t="s">
        <v>177</v>
      </c>
      <c r="E74" s="16">
        <v>42598.473587962966</v>
      </c>
      <c r="F74" s="16">
        <v>42598.474861111114</v>
      </c>
      <c r="G74" s="7">
        <v>1</v>
      </c>
      <c r="H74" s="16" t="s">
        <v>139</v>
      </c>
      <c r="I74" s="16">
        <v>42598.505798611113</v>
      </c>
      <c r="J74" s="7">
        <v>1</v>
      </c>
      <c r="K74" s="142" t="str">
        <f t="shared" si="55"/>
        <v>4003/4004</v>
      </c>
      <c r="L74" s="25" t="str">
        <f>VLOOKUP(A74,'Trips&amp;Operators'!$C$1:$E$10000,3,FALSE)</f>
        <v>STARKS</v>
      </c>
      <c r="M74" s="6">
        <f t="shared" si="57"/>
        <v>3.0937499999708962E-2</v>
      </c>
      <c r="N74" s="7">
        <f t="shared" si="66"/>
        <v>44.549999999580905</v>
      </c>
      <c r="O74" s="7"/>
      <c r="P74" s="7"/>
      <c r="Q74" s="26"/>
      <c r="R74" s="26"/>
      <c r="S74" s="38">
        <f t="shared" si="58"/>
        <v>1</v>
      </c>
      <c r="T74" s="53" t="str">
        <f t="shared" si="59"/>
        <v>Southbound</v>
      </c>
      <c r="U74" s="13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10:21:58-0600',mode:absolute,to:'2016-08-16 13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74" s="55" t="str">
        <f t="shared" si="60"/>
        <v>N</v>
      </c>
      <c r="X74" s="129">
        <f t="shared" si="56"/>
        <v>1</v>
      </c>
      <c r="Y74" s="70">
        <f t="shared" si="61"/>
        <v>23.298100000000002</v>
      </c>
      <c r="Z74" s="70">
        <f t="shared" si="62"/>
        <v>1.5800000000000002E-2</v>
      </c>
      <c r="AA74" s="70">
        <f t="shared" si="63"/>
        <v>23.282300000000003</v>
      </c>
      <c r="AB74" s="67">
        <f>VLOOKUP(A74,Enforcements!$C$7:$J$24,8,0)</f>
        <v>127587</v>
      </c>
      <c r="AC74" s="63" t="str">
        <f>VLOOKUP(A74,Enforcements!$C$7:$E$24,3,0)</f>
        <v>SIGNAL</v>
      </c>
      <c r="AD74" s="64" t="str">
        <f t="shared" si="64"/>
        <v>0156-16</v>
      </c>
      <c r="AE74" s="104" t="str">
        <f t="shared" si="0"/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AF74" s="101" t="str">
        <f t="shared" si="1"/>
        <v>"C:\Program Files (x86)\AstroGrep\AstroGrep.exe" /spath="%USERPROFILE%\AppData\Local\Temp\OnboardLogs" /stypes="*4004*20160816*" /stext=" 18:.+((SYSTEM_STATE.+slice.+state.+changed )|(ment ac)|(system.+state.+changed )|(\|lc)|(penalty)|(\[timeout)|(PRM\|1\|D)|(kpr)|(kdp))" /e /r /s</v>
      </c>
      <c r="AG74" s="1" t="str">
        <f t="shared" si="65"/>
        <v>EC</v>
      </c>
      <c r="AH74" s="105" t="str">
        <f t="shared" si="4"/>
        <v>"%USERPROFILE%\Documents\GitHub\eaglep3\Utilities\RefineRTDCRunTimes.py" --tripid 156-16 --locoid 4004 --swversion DE.1.0.7.0 --startMP 204:232981 --initTime 2016-08-16T11:21:58 --startdatetime 2016-08-16T11:23:48 --delay 1 --endMP 204:158 --enddatetime 2016-08-16T12:08:21 --enforcementcount 1</v>
      </c>
    </row>
    <row r="75" spans="1:34" x14ac:dyDescent="0.25">
      <c r="A75" s="40" t="s">
        <v>388</v>
      </c>
      <c r="B75" s="7">
        <v>4011</v>
      </c>
      <c r="C75" s="25" t="s">
        <v>119</v>
      </c>
      <c r="D75" s="25" t="s">
        <v>167</v>
      </c>
      <c r="E75" s="16">
        <v>42598.445763888885</v>
      </c>
      <c r="F75" s="16">
        <v>42598.447870370372</v>
      </c>
      <c r="G75" s="7">
        <v>3</v>
      </c>
      <c r="H75" s="16" t="s">
        <v>389</v>
      </c>
      <c r="I75" s="16">
        <v>42598.473541666666</v>
      </c>
      <c r="J75" s="7">
        <v>1</v>
      </c>
      <c r="K75" s="142" t="str">
        <f t="shared" si="55"/>
        <v>4011/4012</v>
      </c>
      <c r="L75" s="25" t="str">
        <f>VLOOKUP(A75,'Trips&amp;Operators'!$C$1:$E$10000,3,FALSE)</f>
        <v>GRASTON</v>
      </c>
      <c r="M75" s="6">
        <f t="shared" si="57"/>
        <v>2.5671296294603962E-2</v>
      </c>
      <c r="N75" s="7">
        <f t="shared" si="66"/>
        <v>36.966666664229706</v>
      </c>
      <c r="O75" s="7"/>
      <c r="P75" s="7"/>
      <c r="Q75" s="26"/>
      <c r="R75" s="26"/>
      <c r="S75" s="38">
        <f t="shared" si="58"/>
        <v>1</v>
      </c>
      <c r="T75" s="53" t="str">
        <f t="shared" si="59"/>
        <v>NorthBound</v>
      </c>
      <c r="U75" s="13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09:41:54-0600',mode:absolute,to:'2016-08-16 12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75" s="55" t="str">
        <f t="shared" si="60"/>
        <v>N</v>
      </c>
      <c r="X75" s="129">
        <f t="shared" si="56"/>
        <v>1</v>
      </c>
      <c r="Y75" s="70">
        <f t="shared" si="61"/>
        <v>4.6600000000000003E-2</v>
      </c>
      <c r="Z75" s="70">
        <f t="shared" si="62"/>
        <v>23.331399999999999</v>
      </c>
      <c r="AA75" s="70">
        <f t="shared" si="63"/>
        <v>23.284799999999997</v>
      </c>
      <c r="AB75" s="67" t="e">
        <f>VLOOKUP(A75,Enforcements!$C$7:$J$24,8,0)</f>
        <v>#N/A</v>
      </c>
      <c r="AC75" s="63" t="e">
        <f>VLOOKUP(A75,Enforcements!$C$7:$E$24,3,0)</f>
        <v>#N/A</v>
      </c>
      <c r="AD75" s="64" t="str">
        <f t="shared" si="64"/>
        <v>0157-16</v>
      </c>
      <c r="AE75" s="104" t="str">
        <f t="shared" si="0"/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AF75" s="101" t="str">
        <f t="shared" si="1"/>
        <v>"C:\Program Files (x86)\AstroGrep\AstroGrep.exe" /spath="%USERPROFILE%\AppData\Local\Temp\OnboardLogs" /stypes="*4011*20160816*" /stext=" 17:.+((SYSTEM_STATE.+slice.+state.+changed )|(ment ac)|(system.+state.+changed )|(\|lc)|(penalty)|(\[timeout)|(PRM\|1\|D)|(kpr)|(kdp))" /e /r /s</v>
      </c>
      <c r="AG75" s="1" t="str">
        <f t="shared" si="65"/>
        <v>EC</v>
      </c>
      <c r="AH75" s="105" t="str">
        <f t="shared" si="4"/>
        <v>"%USERPROFILE%\Documents\GitHub\eaglep3\Utilities\RefineRTDCRunTimes.py" --tripid 157-16 --locoid 4011 --swversion DE.1.0.7.0 --startMP 204:466 --initTime 2016-08-16T10:41:54 --startdatetime 2016-08-16T10:44:56 --delay 3 --endMP 204:233314 --enddatetime 2016-08-16T11:21:54 --enforcementcount 1</v>
      </c>
    </row>
    <row r="76" spans="1:34" x14ac:dyDescent="0.25">
      <c r="A76" s="40" t="s">
        <v>390</v>
      </c>
      <c r="B76" s="7">
        <v>4012</v>
      </c>
      <c r="C76" s="25" t="s">
        <v>119</v>
      </c>
      <c r="D76" s="25" t="s">
        <v>256</v>
      </c>
      <c r="E76" s="16">
        <v>42598.478414351855</v>
      </c>
      <c r="F76" s="16">
        <v>42598.479097222225</v>
      </c>
      <c r="G76" s="7">
        <v>0</v>
      </c>
      <c r="H76" s="16" t="s">
        <v>391</v>
      </c>
      <c r="I76" s="16">
        <v>42598.510034722225</v>
      </c>
      <c r="J76" s="7">
        <v>1</v>
      </c>
      <c r="K76" s="142" t="str">
        <f t="shared" si="55"/>
        <v>4011/4012</v>
      </c>
      <c r="L76" s="25" t="str">
        <f>VLOOKUP(A76,'Trips&amp;Operators'!$C$1:$E$10000,3,FALSE)</f>
        <v>GRASTON</v>
      </c>
      <c r="M76" s="6">
        <f t="shared" si="57"/>
        <v>3.0937499999708962E-2</v>
      </c>
      <c r="N76" s="7"/>
      <c r="O76" s="7"/>
      <c r="P76" s="7">
        <f>24*60*SUM($M76:$M76)</f>
        <v>44.549999999580905</v>
      </c>
      <c r="Q76" s="26"/>
      <c r="R76" s="26" t="s">
        <v>697</v>
      </c>
      <c r="S76" s="38">
        <f t="shared" si="58"/>
        <v>0.75</v>
      </c>
      <c r="T76" s="53" t="str">
        <f t="shared" si="59"/>
        <v>Southbound</v>
      </c>
      <c r="U76" s="13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9</v>
      </c>
      <c r="V76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10:28:55-0600',mode:absolute,to:'2016-08-16 13:14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76" s="55" t="str">
        <f t="shared" si="60"/>
        <v>Y</v>
      </c>
      <c r="X76" s="129">
        <f t="shared" si="56"/>
        <v>1</v>
      </c>
      <c r="Y76" s="70">
        <f t="shared" si="61"/>
        <v>23.2988</v>
      </c>
      <c r="Z76" s="70">
        <f t="shared" si="62"/>
        <v>3.6785000000000001</v>
      </c>
      <c r="AA76" s="70">
        <f t="shared" si="63"/>
        <v>19.6203</v>
      </c>
      <c r="AB76" s="67" t="e">
        <f>VLOOKUP(A76,Enforcements!$C$7:$J$24,8,0)</f>
        <v>#N/A</v>
      </c>
      <c r="AC76" s="63" t="e">
        <f>VLOOKUP(A76,Enforcements!$C$7:$E$24,3,0)</f>
        <v>#N/A</v>
      </c>
      <c r="AD76" s="64" t="str">
        <f t="shared" si="64"/>
        <v>0158-16</v>
      </c>
      <c r="AE76" s="104" t="str">
        <f t="shared" si="0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76" s="101" t="str">
        <f t="shared" si="1"/>
        <v>"C:\Program Files (x86)\AstroGrep\AstroGrep.exe" /spath="%USERPROFILE%\AppData\Local\Temp\OnboardLogs" /stypes="*4012*20160816*" /stext=" 18:.+((SYSTEM_STATE.+slice.+state.+changed )|(ment ac)|(system.+state.+changed )|(\|lc)|(penalty)|(\[timeout)|(PRM\|1\|D)|(kpr)|(kdp))" /e /r /s</v>
      </c>
      <c r="AG76" s="1" t="str">
        <f t="shared" si="65"/>
        <v>EC</v>
      </c>
      <c r="AH76" s="105" t="str">
        <f t="shared" si="4"/>
        <v>"%USERPROFILE%\Documents\GitHub\eaglep3\Utilities\RefineRTDCRunTimes.py" --tripid 158-16 --locoid 4012 --swversion DE.1.0.7.0 --startMP 204:232988 --initTime 2016-08-16T11:28:55 --startdatetime 2016-08-16T11:29:54 --delay 0 --endMP 204:36785 --enddatetime 2016-08-16T12:14:27 --enforcementcount 1</v>
      </c>
    </row>
    <row r="77" spans="1:34" x14ac:dyDescent="0.25">
      <c r="A77" s="40" t="s">
        <v>392</v>
      </c>
      <c r="B77" s="7">
        <v>4018</v>
      </c>
      <c r="C77" s="25" t="s">
        <v>119</v>
      </c>
      <c r="D77" s="25" t="s">
        <v>393</v>
      </c>
      <c r="E77" s="16">
        <v>42598.456365740742</v>
      </c>
      <c r="F77" s="16">
        <v>42598.457395833335</v>
      </c>
      <c r="G77" s="7">
        <v>1</v>
      </c>
      <c r="H77" s="16" t="s">
        <v>389</v>
      </c>
      <c r="I77" s="16">
        <v>42598.484016203707</v>
      </c>
      <c r="J77" s="7">
        <v>1</v>
      </c>
      <c r="K77" s="142" t="str">
        <f t="shared" si="55"/>
        <v>4017/4018</v>
      </c>
      <c r="L77" s="25" t="str">
        <f>VLOOKUP(A77,'Trips&amp;Operators'!$C$1:$E$10000,3,FALSE)</f>
        <v>BARTLETT</v>
      </c>
      <c r="M77" s="6">
        <f t="shared" si="57"/>
        <v>2.662037037225673E-2</v>
      </c>
      <c r="N77" s="7">
        <f t="shared" ref="N77:N103" si="67">24*60*SUM($M77:$M77)</f>
        <v>38.333333336049691</v>
      </c>
      <c r="O77" s="7"/>
      <c r="P77" s="7"/>
      <c r="Q77" s="26"/>
      <c r="R77" s="26"/>
      <c r="S77" s="38">
        <f t="shared" si="58"/>
        <v>1</v>
      </c>
      <c r="T77" s="53" t="str">
        <f t="shared" si="59"/>
        <v>NorthBound</v>
      </c>
      <c r="U77" s="13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1" t="str">
        <f t="shared" si="3"/>
        <v>https://search-rtdc-monitor-bjffxe2xuh6vdkpspy63sjmuny.us-east-1.es.amazonaws.com/_plugin/kibana/#/discover/Steve-Slow-Train-Analysis-(2080s-and-2083s)?_g=(refreshInterval:(display:Off,section:0,value:0),time:(from:'2016-08-16 09:57:10-0600',mode:absolute,to:'2016-08-16 12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77" s="55" t="str">
        <f t="shared" si="60"/>
        <v>N</v>
      </c>
      <c r="X77" s="129">
        <f t="shared" si="56"/>
        <v>1</v>
      </c>
      <c r="Y77" s="70">
        <f t="shared" si="61"/>
        <v>4.3299999999999998E-2</v>
      </c>
      <c r="Z77" s="70">
        <f t="shared" si="62"/>
        <v>23.331399999999999</v>
      </c>
      <c r="AA77" s="70">
        <f t="shared" si="63"/>
        <v>23.2881</v>
      </c>
      <c r="AB77" s="67" t="e">
        <f>VLOOKUP(A77,Enforcements!$C$7:$J$24,8,0)</f>
        <v>#N/A</v>
      </c>
      <c r="AC77" s="63" t="e">
        <f>VLOOKUP(A77,Enforcements!$C$7:$E$24,3,0)</f>
        <v>#N/A</v>
      </c>
      <c r="AD77" s="64" t="str">
        <f t="shared" si="64"/>
        <v>0159-16</v>
      </c>
      <c r="AE77" s="104" t="str">
        <f t="shared" ref="AE77:AE140" si="68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77" s="101" t="str">
        <f t="shared" ref="AF77:AF140" si="69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/stypes="*4018*20160816*" /stext=" 17:.+((SYSTEM_STATE.+slice.+state.+changed )|(ment ac)|(system.+state.+changed )|(\|lc)|(penalty)|(\[timeout)|(PRM\|1\|D)|(kpr)|(kdp))" /e /r /s</v>
      </c>
      <c r="AG77" s="1" t="str">
        <f t="shared" si="65"/>
        <v>EC</v>
      </c>
      <c r="AH77" s="105" t="str">
        <f t="shared" si="4"/>
        <v>"%USERPROFILE%\Documents\GitHub\eaglep3\Utilities\RefineRTDCRunTimes.py" --tripid 159-16 --locoid 4018 --swversion DE.1.0.7.0 --startMP 204:433 --initTime 2016-08-16T10:57:10 --startdatetime 2016-08-16T10:58:39 --delay 1 --endMP 204:233314 --enddatetime 2016-08-16T11:36:59 --enforcementcount 1</v>
      </c>
    </row>
    <row r="78" spans="1:34" s="24" customFormat="1" x14ac:dyDescent="0.25">
      <c r="A78" s="40" t="s">
        <v>394</v>
      </c>
      <c r="B78" s="7">
        <v>4017</v>
      </c>
      <c r="C78" s="25" t="s">
        <v>119</v>
      </c>
      <c r="D78" s="25" t="s">
        <v>240</v>
      </c>
      <c r="E78" s="16">
        <v>42598.485706018517</v>
      </c>
      <c r="F78" s="16">
        <v>42598.486921296295</v>
      </c>
      <c r="G78" s="7">
        <v>1</v>
      </c>
      <c r="H78" s="16" t="s">
        <v>169</v>
      </c>
      <c r="I78" s="16">
        <v>42598.530613425923</v>
      </c>
      <c r="J78" s="7">
        <v>1</v>
      </c>
      <c r="K78" s="142" t="str">
        <f t="shared" si="55"/>
        <v>4017/4018</v>
      </c>
      <c r="L78" s="25" t="str">
        <f>VLOOKUP(A78,'Trips&amp;Operators'!$C$1:$E$10000,3,FALSE)</f>
        <v>BARTLETT</v>
      </c>
      <c r="M78" s="6">
        <f t="shared" si="57"/>
        <v>4.369212962774327E-2</v>
      </c>
      <c r="N78" s="7">
        <f t="shared" si="67"/>
        <v>62.916666663950309</v>
      </c>
      <c r="O78" s="7"/>
      <c r="P78" s="7"/>
      <c r="Q78" s="26"/>
      <c r="R78" s="26"/>
      <c r="S78" s="38">
        <f t="shared" si="58"/>
        <v>1</v>
      </c>
      <c r="T78" s="53" t="str">
        <f t="shared" si="59"/>
        <v>Southbound</v>
      </c>
      <c r="U78" s="13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1" t="str">
        <f t="shared" ref="V78:V139" si="70"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https://search-rtdc-monitor-bjffxe2xuh6vdkpspy63sjmuny.us-east-1.es.amazonaws.com/_plugin/kibana/#/discover/Steve-Slow-Train-Analysis-(2080s-and-2083s)?_g=(refreshInterval:(display:Off,section:0,value:0),time:(from:'2016-08-16 10:39:25-0600',mode:absolute,to:'2016-08-16 13:44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78" s="55" t="str">
        <f t="shared" si="60"/>
        <v>N</v>
      </c>
      <c r="X78" s="129">
        <f t="shared" si="56"/>
        <v>1</v>
      </c>
      <c r="Y78" s="70">
        <f t="shared" si="61"/>
        <v>23.2989</v>
      </c>
      <c r="Z78" s="70">
        <f t="shared" si="62"/>
        <v>1.6500000000000001E-2</v>
      </c>
      <c r="AA78" s="70">
        <f t="shared" si="63"/>
        <v>23.282399999999999</v>
      </c>
      <c r="AB78" s="67" t="e">
        <f>VLOOKUP(A78,Enforcements!$C$7:$J$24,8,0)</f>
        <v>#N/A</v>
      </c>
      <c r="AC78" s="63" t="e">
        <f>VLOOKUP(A78,Enforcements!$C$7:$E$24,3,0)</f>
        <v>#N/A</v>
      </c>
      <c r="AD78" s="64" t="str">
        <f t="shared" si="64"/>
        <v>0160-16</v>
      </c>
      <c r="AE78" s="104" t="str">
        <f t="shared" si="68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78" s="101" t="str">
        <f t="shared" si="69"/>
        <v>"C:\Program Files (x86)\AstroGrep\AstroGrep.exe" /spath="%USERPROFILE%\AppData\Local\Temp\OnboardLogs" /stypes="*4017*20160816*" /stext=" 18:.+((SYSTEM_STATE.+slice.+state.+changed )|(ment ac)|(system.+state.+changed )|(\|lc)|(penalty)|(\[timeout)|(PRM\|1\|D)|(kpr)|(kdp))" /e /r /s</v>
      </c>
      <c r="AG78" s="1" t="str">
        <f t="shared" si="65"/>
        <v>EC</v>
      </c>
      <c r="AH78" s="105" t="str">
        <f t="shared" si="4"/>
        <v>"%USERPROFILE%\Documents\GitHub\eaglep3\Utilities\RefineRTDCRunTimes.py" --tripid 160-16 --locoid 4017 --swversion DE.1.0.7.0 --startMP 204:232989 --initTime 2016-08-16T11:39:25 --startdatetime 2016-08-16T11:41:10 --delay 1 --endMP 204:165 --enddatetime 2016-08-16T12:44:05 --enforcementcount 1</v>
      </c>
    </row>
    <row r="79" spans="1:34" s="24" customFormat="1" x14ac:dyDescent="0.25">
      <c r="A79" s="40" t="s">
        <v>395</v>
      </c>
      <c r="B79" s="7">
        <v>4038</v>
      </c>
      <c r="C79" s="25" t="s">
        <v>119</v>
      </c>
      <c r="D79" s="25" t="s">
        <v>396</v>
      </c>
      <c r="E79" s="16">
        <v>42598.469756944447</v>
      </c>
      <c r="F79" s="16">
        <v>42598.471099537041</v>
      </c>
      <c r="G79" s="7">
        <v>1</v>
      </c>
      <c r="H79" s="16" t="s">
        <v>117</v>
      </c>
      <c r="I79" s="16">
        <v>42598.502025462964</v>
      </c>
      <c r="J79" s="7">
        <v>1</v>
      </c>
      <c r="K79" s="142" t="str">
        <f t="shared" si="55"/>
        <v>4037/4038</v>
      </c>
      <c r="L79" s="25" t="str">
        <f>VLOOKUP(A79,'Trips&amp;Operators'!$C$1:$E$10000,3,FALSE)</f>
        <v>STEWART</v>
      </c>
      <c r="M79" s="6">
        <f t="shared" si="57"/>
        <v>3.0925925922929309E-2</v>
      </c>
      <c r="N79" s="7">
        <f t="shared" si="67"/>
        <v>44.533333329018205</v>
      </c>
      <c r="O79" s="7"/>
      <c r="P79" s="7"/>
      <c r="Q79" s="26"/>
      <c r="R79" s="26"/>
      <c r="S79" s="38">
        <f t="shared" si="58"/>
        <v>1</v>
      </c>
      <c r="T79" s="53" t="str">
        <f t="shared" si="59"/>
        <v>NorthBound</v>
      </c>
      <c r="U79" s="13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10:16:27-0600',mode:absolute,to:'2016-08-16 13:02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79" s="55" t="str">
        <f t="shared" si="60"/>
        <v>N</v>
      </c>
      <c r="X79" s="129">
        <f t="shared" si="56"/>
        <v>1</v>
      </c>
      <c r="Y79" s="70">
        <f t="shared" si="61"/>
        <v>4.0599999999999997E-2</v>
      </c>
      <c r="Z79" s="70">
        <f t="shared" si="62"/>
        <v>23.3293</v>
      </c>
      <c r="AA79" s="70">
        <f t="shared" si="63"/>
        <v>23.288699999999999</v>
      </c>
      <c r="AB79" s="67" t="e">
        <f>VLOOKUP(A79,Enforcements!$C$7:$J$24,8,0)</f>
        <v>#N/A</v>
      </c>
      <c r="AC79" s="63" t="e">
        <f>VLOOKUP(A79,Enforcements!$C$7:$E$24,3,0)</f>
        <v>#N/A</v>
      </c>
      <c r="AD79" s="64" t="str">
        <f t="shared" si="64"/>
        <v>0161-16</v>
      </c>
      <c r="AE79" s="104" t="str">
        <f t="shared" si="68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79" s="101" t="str">
        <f t="shared" si="69"/>
        <v>"C:\Program Files (x86)\AstroGrep\AstroGrep.exe" /spath="%USERPROFILE%\AppData\Local\Temp\OnboardLogs" /stypes="*4038*20160816*" /stext=" 18:.+((SYSTEM_STATE.+slice.+state.+changed )|(ment ac)|(system.+state.+changed )|(\|lc)|(penalty)|(\[timeout)|(PRM\|1\|D)|(kpr)|(kdp))" /e /r /s</v>
      </c>
      <c r="AG79" s="1" t="str">
        <f t="shared" si="65"/>
        <v>EC</v>
      </c>
      <c r="AH79" s="105" t="str">
        <f t="shared" si="4"/>
        <v>"%USERPROFILE%\Documents\GitHub\eaglep3\Utilities\RefineRTDCRunTimes.py" --tripid 161-16 --locoid 4038 --swversion DE.1.0.7.0 --startMP 204:406 --initTime 2016-08-16T11:16:27 --startdatetime 2016-08-16T11:18:23 --delay 1 --endMP 204:233293 --enddatetime 2016-08-16T12:02:55 --enforcementcount 1</v>
      </c>
    </row>
    <row r="80" spans="1:34" x14ac:dyDescent="0.25">
      <c r="A80" s="40" t="s">
        <v>397</v>
      </c>
      <c r="B80" s="7">
        <v>4037</v>
      </c>
      <c r="C80" s="25" t="s">
        <v>119</v>
      </c>
      <c r="D80" s="25" t="s">
        <v>253</v>
      </c>
      <c r="E80" s="16">
        <v>42598.504502314812</v>
      </c>
      <c r="F80" s="16">
        <v>42598.505902777775</v>
      </c>
      <c r="G80" s="7">
        <v>2</v>
      </c>
      <c r="H80" s="16" t="s">
        <v>180</v>
      </c>
      <c r="I80" s="16">
        <v>42598.537395833337</v>
      </c>
      <c r="J80" s="7">
        <v>1</v>
      </c>
      <c r="K80" s="142" t="str">
        <f t="shared" si="55"/>
        <v>4037/4038</v>
      </c>
      <c r="L80" s="25" t="str">
        <f>VLOOKUP(A80,'Trips&amp;Operators'!$C$1:$E$10000,3,FALSE)</f>
        <v>STEWART</v>
      </c>
      <c r="M80" s="6">
        <f t="shared" si="57"/>
        <v>3.1493055561440997E-2</v>
      </c>
      <c r="N80" s="7">
        <f t="shared" si="67"/>
        <v>45.350000008475035</v>
      </c>
      <c r="O80" s="7"/>
      <c r="P80" s="7"/>
      <c r="Q80" s="26"/>
      <c r="R80" s="26"/>
      <c r="S80" s="38">
        <f t="shared" si="58"/>
        <v>1</v>
      </c>
      <c r="T80" s="53" t="str">
        <f t="shared" si="59"/>
        <v>Southbound</v>
      </c>
      <c r="U80" s="13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11:06:29-0600',mode:absolute,to:'2016-08-16 13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80" s="55" t="str">
        <f t="shared" si="60"/>
        <v>N</v>
      </c>
      <c r="X80" s="129">
        <f t="shared" si="56"/>
        <v>1</v>
      </c>
      <c r="Y80" s="70">
        <f t="shared" si="61"/>
        <v>23.297499999999999</v>
      </c>
      <c r="Z80" s="70">
        <f t="shared" si="62"/>
        <v>1.54E-2</v>
      </c>
      <c r="AA80" s="70">
        <f t="shared" si="63"/>
        <v>23.2821</v>
      </c>
      <c r="AB80" s="67">
        <f>VLOOKUP(A80,Enforcements!$C$7:$J$24,8,0)</f>
        <v>78469</v>
      </c>
      <c r="AC80" s="63" t="str">
        <f>VLOOKUP(A80,Enforcements!$C$7:$E$24,3,0)</f>
        <v>GRADE CROSSING</v>
      </c>
      <c r="AD80" s="64" t="str">
        <f t="shared" si="64"/>
        <v>0162-16</v>
      </c>
      <c r="AE80" s="104" t="str">
        <f t="shared" si="6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80" s="101" t="str">
        <f t="shared" si="69"/>
        <v>"C:\Program Files (x86)\AstroGrep\AstroGrep.exe" /spath="%USERPROFILE%\AppData\Local\Temp\OnboardLogs" /stypes="*4037*20160816*" /stext=" 18:.+((SYSTEM_STATE.+slice.+state.+changed )|(ment ac)|(system.+state.+changed )|(\|lc)|(penalty)|(\[timeout)|(PRM\|1\|D)|(kpr)|(kdp))" /e /r /s</v>
      </c>
      <c r="AG80" s="1" t="str">
        <f t="shared" si="65"/>
        <v>EC</v>
      </c>
      <c r="AH80" s="105" t="str">
        <f t="shared" si="4"/>
        <v>"%USERPROFILE%\Documents\GitHub\eaglep3\Utilities\RefineRTDCRunTimes.py" --tripid 162-16 --locoid 4037 --swversion DE.1.0.7.0 --startMP 204:232975 --initTime 2016-08-16T12:06:29 --startdatetime 2016-08-16T12:08:30 --delay 2 --endMP 204:154 --enddatetime 2016-08-16T12:53:51 --enforcementcount 1</v>
      </c>
    </row>
    <row r="81" spans="1:34" x14ac:dyDescent="0.25">
      <c r="A81" s="40" t="s">
        <v>398</v>
      </c>
      <c r="B81" s="7">
        <v>4029</v>
      </c>
      <c r="C81" s="25" t="s">
        <v>119</v>
      </c>
      <c r="D81" s="25" t="s">
        <v>154</v>
      </c>
      <c r="E81" s="16">
        <v>42598.478136574071</v>
      </c>
      <c r="F81" s="16">
        <v>42598.47965277778</v>
      </c>
      <c r="G81" s="7">
        <v>2</v>
      </c>
      <c r="H81" s="16" t="s">
        <v>117</v>
      </c>
      <c r="I81" s="16">
        <v>42598.508043981485</v>
      </c>
      <c r="J81" s="7">
        <v>1</v>
      </c>
      <c r="K81" s="142" t="str">
        <f t="shared" si="55"/>
        <v>4029/4030</v>
      </c>
      <c r="L81" s="25" t="str">
        <f>VLOOKUP(A81,'Trips&amp;Operators'!$C$1:$E$10000,3,FALSE)</f>
        <v>HELVIE</v>
      </c>
      <c r="M81" s="6">
        <f t="shared" si="57"/>
        <v>2.8391203704813961E-2</v>
      </c>
      <c r="N81" s="7">
        <f t="shared" si="67"/>
        <v>40.883333334932104</v>
      </c>
      <c r="O81" s="7"/>
      <c r="P81" s="7"/>
      <c r="Q81" s="26"/>
      <c r="R81" s="26"/>
      <c r="S81" s="38">
        <f t="shared" si="58"/>
        <v>1</v>
      </c>
      <c r="T81" s="53" t="str">
        <f t="shared" si="59"/>
        <v>NorthBound</v>
      </c>
      <c r="U81" s="13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10:28:31-0600',mode:absolute,to:'2016-08-16 13:11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81" s="55" t="str">
        <f t="shared" si="60"/>
        <v>N</v>
      </c>
      <c r="X81" s="129">
        <f t="shared" si="56"/>
        <v>1</v>
      </c>
      <c r="Y81" s="70">
        <f t="shared" si="61"/>
        <v>4.6699999999999998E-2</v>
      </c>
      <c r="Z81" s="70">
        <f t="shared" si="62"/>
        <v>23.3293</v>
      </c>
      <c r="AA81" s="70">
        <f t="shared" si="63"/>
        <v>23.282599999999999</v>
      </c>
      <c r="AB81" s="67" t="e">
        <f>VLOOKUP(A81,Enforcements!$C$7:$J$24,8,0)</f>
        <v>#N/A</v>
      </c>
      <c r="AC81" s="63" t="e">
        <f>VLOOKUP(A81,Enforcements!$C$7:$E$24,3,0)</f>
        <v>#N/A</v>
      </c>
      <c r="AD81" s="64" t="str">
        <f t="shared" si="64"/>
        <v>0163-16</v>
      </c>
      <c r="AE81" s="104" t="str">
        <f t="shared" si="68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81" s="101" t="str">
        <f t="shared" si="69"/>
        <v>"C:\Program Files (x86)\AstroGrep\AstroGrep.exe" /spath="%USERPROFILE%\AppData\Local\Temp\OnboardLogs" /stypes="*4029*20160816*" /stext=" 18:.+((SYSTEM_STATE.+slice.+state.+changed )|(ment ac)|(system.+state.+changed )|(\|lc)|(penalty)|(\[timeout)|(PRM\|1\|D)|(kpr)|(kdp))" /e /r /s</v>
      </c>
      <c r="AG81" s="1" t="str">
        <f t="shared" si="65"/>
        <v>EC</v>
      </c>
      <c r="AH81" s="105" t="str">
        <f t="shared" si="4"/>
        <v>"%USERPROFILE%\Documents\GitHub\eaglep3\Utilities\RefineRTDCRunTimes.py" --tripid 163-16 --locoid 4029 --swversion DE.1.0.7.0 --startMP 204:467 --initTime 2016-08-16T11:28:31 --startdatetime 2016-08-16T11:30:42 --delay 2 --endMP 204:233293 --enddatetime 2016-08-16T12:11:35 --enforcementcount 1</v>
      </c>
    </row>
    <row r="82" spans="1:34" x14ac:dyDescent="0.25">
      <c r="A82" s="40" t="s">
        <v>399</v>
      </c>
      <c r="B82" s="7">
        <v>4030</v>
      </c>
      <c r="C82" s="25" t="s">
        <v>119</v>
      </c>
      <c r="D82" s="25" t="s">
        <v>183</v>
      </c>
      <c r="E82" s="16">
        <v>42598.510497685187</v>
      </c>
      <c r="F82" s="16">
        <v>42598.512071759258</v>
      </c>
      <c r="G82" s="7">
        <v>2</v>
      </c>
      <c r="H82" s="16" t="s">
        <v>145</v>
      </c>
      <c r="I82" s="16">
        <v>42598.549641203703</v>
      </c>
      <c r="J82" s="7">
        <v>1</v>
      </c>
      <c r="K82" s="142" t="str">
        <f t="shared" si="55"/>
        <v>4029/4030</v>
      </c>
      <c r="L82" s="25" t="str">
        <f>VLOOKUP(A82,'Trips&amp;Operators'!$C$1:$E$10000,3,FALSE)</f>
        <v>HELVIE</v>
      </c>
      <c r="M82" s="6">
        <f t="shared" si="57"/>
        <v>3.7569444444670808E-2</v>
      </c>
      <c r="N82" s="7">
        <f t="shared" si="67"/>
        <v>54.100000000325963</v>
      </c>
      <c r="O82" s="7"/>
      <c r="P82" s="7"/>
      <c r="Q82" s="26"/>
      <c r="R82" s="26"/>
      <c r="S82" s="38">
        <f t="shared" si="58"/>
        <v>1</v>
      </c>
      <c r="T82" s="53" t="str">
        <f t="shared" si="59"/>
        <v>Southbound</v>
      </c>
      <c r="U82" s="13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11:15:07-0600',mode:absolute,to:'2016-08-16 14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82" s="55" t="str">
        <f t="shared" si="60"/>
        <v>N</v>
      </c>
      <c r="X82" s="129">
        <f t="shared" si="56"/>
        <v>1</v>
      </c>
      <c r="Y82" s="70">
        <f t="shared" si="61"/>
        <v>23.297599999999999</v>
      </c>
      <c r="Z82" s="70">
        <f t="shared" si="62"/>
        <v>1.49E-2</v>
      </c>
      <c r="AA82" s="70">
        <f t="shared" si="63"/>
        <v>23.282699999999998</v>
      </c>
      <c r="AB82" s="67" t="e">
        <f>VLOOKUP(A82,Enforcements!$C$7:$J$24,8,0)</f>
        <v>#N/A</v>
      </c>
      <c r="AC82" s="63" t="e">
        <f>VLOOKUP(A82,Enforcements!$C$7:$E$24,3,0)</f>
        <v>#N/A</v>
      </c>
      <c r="AD82" s="64" t="str">
        <f t="shared" si="64"/>
        <v>0164-16</v>
      </c>
      <c r="AE82" s="104" t="str">
        <f t="shared" si="6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82" s="101" t="str">
        <f t="shared" si="69"/>
        <v>"C:\Program Files (x86)\AstroGrep\AstroGrep.exe" /spath="%USERPROFILE%\AppData\Local\Temp\OnboardLogs" /stypes="*4030*20160816*" /stext=" 19:.+((SYSTEM_STATE.+slice.+state.+changed )|(ment ac)|(system.+state.+changed )|(\|lc)|(penalty)|(\[timeout)|(PRM\|1\|D)|(kpr)|(kdp))" /e /r /s</v>
      </c>
      <c r="AG82" s="1" t="str">
        <f t="shared" si="65"/>
        <v>EC</v>
      </c>
      <c r="AH82" s="105" t="str">
        <f t="shared" si="4"/>
        <v>"%USERPROFILE%\Documents\GitHub\eaglep3\Utilities\RefineRTDCRunTimes.py" --tripid 164-16 --locoid 4030 --swversion DE.1.0.7.0 --startMP 204:232976 --initTime 2016-08-16T12:15:07 --startdatetime 2016-08-16T12:17:23 --delay 2 --endMP 204:149 --enddatetime 2016-08-16T13:11:29 --enforcementcount 1</v>
      </c>
    </row>
    <row r="83" spans="1:34" x14ac:dyDescent="0.25">
      <c r="A83" s="40" t="s">
        <v>400</v>
      </c>
      <c r="B83" s="7">
        <v>4009</v>
      </c>
      <c r="C83" s="25" t="s">
        <v>119</v>
      </c>
      <c r="D83" s="25" t="s">
        <v>144</v>
      </c>
      <c r="E83" s="16">
        <v>42598.486446759256</v>
      </c>
      <c r="F83" s="16">
        <v>42598.487442129626</v>
      </c>
      <c r="G83" s="7">
        <v>1</v>
      </c>
      <c r="H83" s="16" t="s">
        <v>401</v>
      </c>
      <c r="I83" s="16">
        <v>42598.515428240738</v>
      </c>
      <c r="J83" s="7">
        <v>1</v>
      </c>
      <c r="K83" s="142" t="str">
        <f t="shared" si="55"/>
        <v>4009/4010</v>
      </c>
      <c r="L83" s="25" t="str">
        <f>VLOOKUP(A83,'Trips&amp;Operators'!$C$1:$E$10000,3,FALSE)</f>
        <v>HAITHCOX</v>
      </c>
      <c r="M83" s="6">
        <f t="shared" si="57"/>
        <v>2.7986111112113576E-2</v>
      </c>
      <c r="N83" s="7">
        <f t="shared" si="67"/>
        <v>40.30000000144355</v>
      </c>
      <c r="O83" s="7"/>
      <c r="P83" s="7"/>
      <c r="Q83" s="26"/>
      <c r="R83" s="26"/>
      <c r="S83" s="38">
        <f t="shared" si="58"/>
        <v>1</v>
      </c>
      <c r="T83" s="53" t="str">
        <f t="shared" si="59"/>
        <v>NorthBound</v>
      </c>
      <c r="U83" s="13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10:40:29-0600',mode:absolute,to:'2016-08-16 13:22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3" s="55" t="str">
        <f t="shared" si="60"/>
        <v>N</v>
      </c>
      <c r="X83" s="129">
        <f t="shared" ref="X83:X91" si="71">VALUE(LEFT(AD83,4))-VALUE(LEFT(AD82,4))</f>
        <v>1</v>
      </c>
      <c r="Y83" s="70">
        <f t="shared" si="61"/>
        <v>4.4900000000000002E-2</v>
      </c>
      <c r="Z83" s="70">
        <f t="shared" si="62"/>
        <v>23.329899999999999</v>
      </c>
      <c r="AA83" s="70">
        <f t="shared" si="63"/>
        <v>23.285</v>
      </c>
      <c r="AB83" s="67" t="e">
        <f>VLOOKUP(A83,Enforcements!$C$7:$J$24,8,0)</f>
        <v>#N/A</v>
      </c>
      <c r="AC83" s="63" t="e">
        <f>VLOOKUP(A83,Enforcements!$C$7:$E$24,3,0)</f>
        <v>#N/A</v>
      </c>
      <c r="AD83" s="64" t="str">
        <f t="shared" si="64"/>
        <v>0165-16</v>
      </c>
      <c r="AE83" s="104" t="str">
        <f t="shared" si="68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83" s="101" t="str">
        <f t="shared" si="69"/>
        <v>"C:\Program Files (x86)\AstroGrep\AstroGrep.exe" /spath="%USERPROFILE%\AppData\Local\Temp\OnboardLogs" /stypes="*4009*20160816*" /stext=" 18:.+((SYSTEM_STATE.+slice.+state.+changed )|(ment ac)|(system.+state.+changed )|(\|lc)|(penalty)|(\[timeout)|(PRM\|1\|D)|(kpr)|(kdp))" /e /r /s</v>
      </c>
      <c r="AG83" s="1" t="str">
        <f t="shared" si="65"/>
        <v>EC</v>
      </c>
      <c r="AH83" s="105" t="str">
        <f t="shared" si="4"/>
        <v>"%USERPROFILE%\Documents\GitHub\eaglep3\Utilities\RefineRTDCRunTimes.py" --tripid 165-16 --locoid 4009 --swversion DE.1.0.7.0 --startMP 204:449 --initTime 2016-08-16T11:40:29 --startdatetime 2016-08-16T11:41:55 --delay 1 --endMP 204:233299 --enddatetime 2016-08-16T12:22:13 --enforcementcount 1</v>
      </c>
    </row>
    <row r="84" spans="1:34" x14ac:dyDescent="0.25">
      <c r="A84" s="40" t="s">
        <v>402</v>
      </c>
      <c r="B84" s="7">
        <v>4010</v>
      </c>
      <c r="C84" s="25" t="s">
        <v>119</v>
      </c>
      <c r="D84" s="25" t="s">
        <v>143</v>
      </c>
      <c r="E84" s="16">
        <v>42598.520312499997</v>
      </c>
      <c r="F84" s="16">
        <v>42598.52138888889</v>
      </c>
      <c r="G84" s="7">
        <v>1</v>
      </c>
      <c r="H84" s="16" t="s">
        <v>92</v>
      </c>
      <c r="I84" s="16">
        <v>42598.557997685188</v>
      </c>
      <c r="J84" s="7">
        <v>1</v>
      </c>
      <c r="K84" s="142" t="str">
        <f t="shared" ref="K84:K115" si="72">IF(ISEVEN(B84),(B84-1)&amp;"/"&amp;B84,B84&amp;"/"&amp;(B84+1))</f>
        <v>4009/4010</v>
      </c>
      <c r="L84" s="25" t="str">
        <f>VLOOKUP(A84,'Trips&amp;Operators'!$C$1:$E$10000,3,FALSE)</f>
        <v>HAITHCOX</v>
      </c>
      <c r="M84" s="6">
        <f t="shared" si="57"/>
        <v>3.6608796297514345E-2</v>
      </c>
      <c r="N84" s="7">
        <f t="shared" si="67"/>
        <v>52.716666668420658</v>
      </c>
      <c r="O84" s="7"/>
      <c r="P84" s="7"/>
      <c r="Q84" s="26"/>
      <c r="R84" s="26"/>
      <c r="S84" s="38">
        <f t="shared" si="58"/>
        <v>1</v>
      </c>
      <c r="T84" s="53" t="str">
        <f t="shared" si="59"/>
        <v>Southbound</v>
      </c>
      <c r="U84" s="13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11:29:15-0600',mode:absolute,to:'2016-08-16 14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4" s="55" t="str">
        <f t="shared" si="60"/>
        <v>N</v>
      </c>
      <c r="X84" s="129">
        <f t="shared" si="71"/>
        <v>1</v>
      </c>
      <c r="Y84" s="70">
        <f t="shared" si="61"/>
        <v>23.299399999999999</v>
      </c>
      <c r="Z84" s="70">
        <f t="shared" si="62"/>
        <v>1.43E-2</v>
      </c>
      <c r="AA84" s="70">
        <f t="shared" si="63"/>
        <v>23.2851</v>
      </c>
      <c r="AB84" s="67" t="e">
        <f>VLOOKUP(A84,Enforcements!$C$7:$J$24,8,0)</f>
        <v>#N/A</v>
      </c>
      <c r="AC84" s="63" t="e">
        <f>VLOOKUP(A84,Enforcements!$C$7:$E$24,3,0)</f>
        <v>#N/A</v>
      </c>
      <c r="AD84" s="64" t="str">
        <f t="shared" si="64"/>
        <v>0166-16</v>
      </c>
      <c r="AE84" s="104" t="str">
        <f t="shared" si="68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84" s="101" t="str">
        <f t="shared" si="69"/>
        <v>"C:\Program Files (x86)\AstroGrep\AstroGrep.exe" /spath="%USERPROFILE%\AppData\Local\Temp\OnboardLogs" /stypes="*4010*20160816*" /stext=" 19:.+((SYSTEM_STATE.+slice.+state.+changed )|(ment ac)|(system.+state.+changed )|(\|lc)|(penalty)|(\[timeout)|(PRM\|1\|D)|(kpr)|(kdp))" /e /r /s</v>
      </c>
      <c r="AG84" s="1" t="str">
        <f t="shared" si="65"/>
        <v>EC</v>
      </c>
      <c r="AH84" s="105" t="str">
        <f t="shared" ref="AH84:AH145" si="73"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</f>
        <v>"%USERPROFILE%\Documents\GitHub\eaglep3\Utilities\RefineRTDCRunTimes.py" --tripid 166-16 --locoid 4010 --swversion DE.1.0.7.0 --startMP 204:232994 --initTime 2016-08-16T12:29:15 --startdatetime 2016-08-16T12:30:48 --delay 1 --endMP 204:143 --enddatetime 2016-08-16T13:23:31 --enforcementcount 1</v>
      </c>
    </row>
    <row r="85" spans="1:34" s="24" customFormat="1" x14ac:dyDescent="0.25">
      <c r="A85" s="40" t="s">
        <v>403</v>
      </c>
      <c r="B85" s="7">
        <v>4044</v>
      </c>
      <c r="C85" s="25" t="s">
        <v>119</v>
      </c>
      <c r="D85" s="25" t="s">
        <v>151</v>
      </c>
      <c r="E85" s="16">
        <v>42598.49796296296</v>
      </c>
      <c r="F85" s="16">
        <v>42598.499178240738</v>
      </c>
      <c r="G85" s="7">
        <v>1</v>
      </c>
      <c r="H85" s="16" t="s">
        <v>158</v>
      </c>
      <c r="I85" s="16">
        <v>42598.525567129633</v>
      </c>
      <c r="J85" s="7">
        <v>1</v>
      </c>
      <c r="K85" s="142" t="str">
        <f t="shared" si="72"/>
        <v>4043/4044</v>
      </c>
      <c r="L85" s="25" t="str">
        <f>VLOOKUP(A85,'Trips&amp;Operators'!$C$1:$E$10000,3,FALSE)</f>
        <v>NEWELL</v>
      </c>
      <c r="M85" s="6">
        <f t="shared" si="57"/>
        <v>2.6388888894871343E-2</v>
      </c>
      <c r="N85" s="7">
        <f t="shared" si="67"/>
        <v>38.000000008614734</v>
      </c>
      <c r="O85" s="7"/>
      <c r="P85" s="7"/>
      <c r="Q85" s="26"/>
      <c r="R85" s="26"/>
      <c r="S85" s="38">
        <f t="shared" si="58"/>
        <v>1</v>
      </c>
      <c r="T85" s="53" t="str">
        <f t="shared" si="59"/>
        <v>NorthBound</v>
      </c>
      <c r="U85" s="13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10:57:04-0600',mode:absolute,to:'2016-08-16 13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5" s="55" t="str">
        <f t="shared" si="60"/>
        <v>N</v>
      </c>
      <c r="X85" s="129">
        <f t="shared" si="71"/>
        <v>1</v>
      </c>
      <c r="Y85" s="70">
        <f t="shared" si="61"/>
        <v>4.6899999999999997E-2</v>
      </c>
      <c r="Z85" s="70">
        <f t="shared" si="62"/>
        <v>23.331</v>
      </c>
      <c r="AA85" s="70">
        <f t="shared" si="63"/>
        <v>23.284099999999999</v>
      </c>
      <c r="AB85" s="67" t="e">
        <f>VLOOKUP(A85,Enforcements!$C$7:$J$24,8,0)</f>
        <v>#N/A</v>
      </c>
      <c r="AC85" s="63" t="e">
        <f>VLOOKUP(A85,Enforcements!$C$7:$E$24,3,0)</f>
        <v>#N/A</v>
      </c>
      <c r="AD85" s="64" t="str">
        <f t="shared" si="64"/>
        <v>0167-16</v>
      </c>
      <c r="AE85" s="104" t="str">
        <f t="shared" si="68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85" s="101" t="str">
        <f t="shared" si="69"/>
        <v>"C:\Program Files (x86)\AstroGrep\AstroGrep.exe" /spath="%USERPROFILE%\AppData\Local\Temp\OnboardLogs" /stypes="*4044*20160816*" /stext=" 18:.+((SYSTEM_STATE.+slice.+state.+changed )|(ment ac)|(system.+state.+changed )|(\|lc)|(penalty)|(\[timeout)|(PRM\|1\|D)|(kpr)|(kdp))" /e /r /s</v>
      </c>
      <c r="AG85" s="1" t="str">
        <f t="shared" si="65"/>
        <v>EC</v>
      </c>
      <c r="AH85" s="105" t="str">
        <f t="shared" si="73"/>
        <v>"%USERPROFILE%\Documents\GitHub\eaglep3\Utilities\RefineRTDCRunTimes.py" --tripid 167-16 --locoid 4044 --swversion DE.1.0.7.0 --startMP 204:469 --initTime 2016-08-16T11:57:04 --startdatetime 2016-08-16T11:58:49 --delay 1 --endMP 204:233310 --enddatetime 2016-08-16T12:36:49 --enforcementcount 1</v>
      </c>
    </row>
    <row r="86" spans="1:34" x14ac:dyDescent="0.25">
      <c r="A86" s="40" t="s">
        <v>404</v>
      </c>
      <c r="B86" s="7">
        <v>4043</v>
      </c>
      <c r="C86" s="25" t="s">
        <v>119</v>
      </c>
      <c r="D86" s="25" t="s">
        <v>240</v>
      </c>
      <c r="E86" s="16">
        <v>42598.531435185185</v>
      </c>
      <c r="F86" s="16">
        <v>42598.532442129632</v>
      </c>
      <c r="G86" s="7">
        <v>1</v>
      </c>
      <c r="H86" s="16" t="s">
        <v>405</v>
      </c>
      <c r="I86" s="16">
        <v>42598.552812499998</v>
      </c>
      <c r="J86" s="7">
        <v>1</v>
      </c>
      <c r="K86" s="142" t="str">
        <f t="shared" si="72"/>
        <v>4043/4044</v>
      </c>
      <c r="L86" s="25" t="str">
        <f>VLOOKUP(A86,'Trips&amp;Operators'!$C$1:$E$10000,3,FALSE)</f>
        <v>NEWELL</v>
      </c>
      <c r="M86" s="6">
        <f t="shared" si="57"/>
        <v>2.0370370366435964E-2</v>
      </c>
      <c r="N86" s="7">
        <f t="shared" si="67"/>
        <v>29.333333327667788</v>
      </c>
      <c r="O86" s="7"/>
      <c r="P86" s="7"/>
      <c r="Q86" s="26"/>
      <c r="R86" s="26"/>
      <c r="S86" s="38">
        <f t="shared" si="58"/>
        <v>1</v>
      </c>
      <c r="T86" s="53" t="str">
        <f t="shared" si="59"/>
        <v>Southbound</v>
      </c>
      <c r="U86" s="13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11:45:16-0600',mode:absolute,to:'2016-08-16 14:16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86" s="55" t="str">
        <f t="shared" si="60"/>
        <v>N</v>
      </c>
      <c r="X86" s="129">
        <f t="shared" si="71"/>
        <v>1</v>
      </c>
      <c r="Y86" s="70">
        <f t="shared" si="61"/>
        <v>23.2989</v>
      </c>
      <c r="Z86" s="70">
        <v>0.01</v>
      </c>
      <c r="AA86" s="70">
        <f t="shared" si="63"/>
        <v>23.288899999999998</v>
      </c>
      <c r="AB86" s="67" t="e">
        <f>VLOOKUP(A86,Enforcements!$C$7:$J$24,8,0)</f>
        <v>#N/A</v>
      </c>
      <c r="AC86" s="63" t="e">
        <f>VLOOKUP(A86,Enforcements!$C$7:$E$24,3,0)</f>
        <v>#N/A</v>
      </c>
      <c r="AD86" s="64" t="str">
        <f t="shared" si="64"/>
        <v>0168-16</v>
      </c>
      <c r="AE86" s="104" t="str">
        <f t="shared" si="68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86" s="101" t="str">
        <f t="shared" si="69"/>
        <v>"C:\Program Files (x86)\AstroGrep\AstroGrep.exe" /spath="%USERPROFILE%\AppData\Local\Temp\OnboardLogs" /stypes="*4043*20160816*" /stext=" 19:.+((SYSTEM_STATE.+slice.+state.+changed )|(ment ac)|(system.+state.+changed )|(\|lc)|(penalty)|(\[timeout)|(PRM\|1\|D)|(kpr)|(kdp))" /e /r /s</v>
      </c>
      <c r="AG86" s="1" t="str">
        <f t="shared" si="65"/>
        <v>EC</v>
      </c>
      <c r="AH86" s="105" t="str">
        <f t="shared" si="73"/>
        <v>"%USERPROFILE%\Documents\GitHub\eaglep3\Utilities\RefineRTDCRunTimes.py" --tripid 168-16 --locoid 4043 --swversion DE.1.0.7.0 --startMP 204:232989 --initTime 2016-08-16T12:45:16 --startdatetime 2016-08-16T12:46:43 --delay 1 --endMP 204:85766 --enddatetime 2016-08-16T13:16:03 --enforcementcount 1</v>
      </c>
    </row>
    <row r="87" spans="1:34" s="24" customFormat="1" x14ac:dyDescent="0.25">
      <c r="A87" s="40" t="s">
        <v>406</v>
      </c>
      <c r="B87" s="7">
        <v>4003</v>
      </c>
      <c r="C87" s="25" t="s">
        <v>119</v>
      </c>
      <c r="D87" s="25" t="s">
        <v>114</v>
      </c>
      <c r="E87" s="16">
        <v>42598.510601851849</v>
      </c>
      <c r="F87" s="16">
        <v>42598.511620370373</v>
      </c>
      <c r="G87" s="7">
        <v>1</v>
      </c>
      <c r="H87" s="16" t="s">
        <v>407</v>
      </c>
      <c r="I87" s="16">
        <v>42598.537418981483</v>
      </c>
      <c r="J87" s="7">
        <v>1</v>
      </c>
      <c r="K87" s="142" t="str">
        <f t="shared" si="72"/>
        <v>4003/4004</v>
      </c>
      <c r="L87" s="25" t="str">
        <f>VLOOKUP(A87,'Trips&amp;Operators'!$C$1:$E$10000,3,FALSE)</f>
        <v>MAYBERRY</v>
      </c>
      <c r="M87" s="6">
        <f t="shared" si="57"/>
        <v>2.5798611110076308E-2</v>
      </c>
      <c r="N87" s="7">
        <f t="shared" si="67"/>
        <v>37.149999998509884</v>
      </c>
      <c r="O87" s="7"/>
      <c r="P87" s="7"/>
      <c r="Q87" s="26"/>
      <c r="R87" s="26"/>
      <c r="S87" s="38">
        <f t="shared" si="58"/>
        <v>1</v>
      </c>
      <c r="T87" s="53" t="str">
        <f t="shared" si="59"/>
        <v>NorthBound</v>
      </c>
      <c r="U87" s="13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11:15:16-0600',mode:absolute,to:'2016-08-16 13:53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87" s="55" t="str">
        <f t="shared" si="60"/>
        <v>N</v>
      </c>
      <c r="X87" s="129">
        <f t="shared" si="71"/>
        <v>1</v>
      </c>
      <c r="Y87" s="70">
        <f t="shared" si="61"/>
        <v>4.6199999999999998E-2</v>
      </c>
      <c r="Z87" s="70">
        <f t="shared" ref="Z87:Z118" si="74">RIGHT(H87,LEN(H87)-4)/10000</f>
        <v>23.3322</v>
      </c>
      <c r="AA87" s="70">
        <f t="shared" si="63"/>
        <v>23.286000000000001</v>
      </c>
      <c r="AB87" s="67" t="e">
        <f>VLOOKUP(A87,Enforcements!$C$7:$J$24,8,0)</f>
        <v>#N/A</v>
      </c>
      <c r="AC87" s="63" t="e">
        <f>VLOOKUP(A87,Enforcements!$C$7:$E$24,3,0)</f>
        <v>#N/A</v>
      </c>
      <c r="AD87" s="64" t="str">
        <f t="shared" si="64"/>
        <v>0169-16</v>
      </c>
      <c r="AE87" s="104" t="str">
        <f t="shared" si="68"/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AF87" s="101" t="str">
        <f t="shared" si="69"/>
        <v>"C:\Program Files (x86)\AstroGrep\AstroGrep.exe" /spath="%USERPROFILE%\AppData\Local\Temp\OnboardLogs" /stypes="*4003*20160816*" /stext=" 18:.+((SYSTEM_STATE.+slice.+state.+changed )|(ment ac)|(system.+state.+changed )|(\|lc)|(penalty)|(\[timeout)|(PRM\|1\|D)|(kpr)|(kdp))" /e /r /s</v>
      </c>
      <c r="AG87" s="1" t="str">
        <f t="shared" si="65"/>
        <v>EC</v>
      </c>
      <c r="AH87" s="105" t="str">
        <f t="shared" si="73"/>
        <v>"%USERPROFILE%\Documents\GitHub\eaglep3\Utilities\RefineRTDCRunTimes.py" --tripid 169-16 --locoid 4003 --swversion DE.1.0.7.0 --startMP 204:462 --initTime 2016-08-16T12:15:16 --startdatetime 2016-08-16T12:16:44 --delay 1 --endMP 204:233322 --enddatetime 2016-08-16T12:53:53 --enforcementcount 1</v>
      </c>
    </row>
    <row r="88" spans="1:34" x14ac:dyDescent="0.25">
      <c r="A88" s="40" t="s">
        <v>408</v>
      </c>
      <c r="B88" s="7">
        <v>4004</v>
      </c>
      <c r="C88" s="25" t="s">
        <v>119</v>
      </c>
      <c r="D88" s="25" t="s">
        <v>62</v>
      </c>
      <c r="E88" s="16">
        <v>42598.541273148148</v>
      </c>
      <c r="F88" s="16">
        <v>42598.545335648145</v>
      </c>
      <c r="G88" s="7">
        <v>5</v>
      </c>
      <c r="H88" s="16" t="s">
        <v>409</v>
      </c>
      <c r="I88" s="16">
        <v>42598.583043981482</v>
      </c>
      <c r="J88" s="7">
        <v>1</v>
      </c>
      <c r="K88" s="142" t="str">
        <f t="shared" si="72"/>
        <v>4003/4004</v>
      </c>
      <c r="L88" s="25" t="str">
        <f>VLOOKUP(A88,'Trips&amp;Operators'!$C$1:$E$10000,3,FALSE)</f>
        <v>MAYBERRY</v>
      </c>
      <c r="M88" s="6">
        <f t="shared" si="57"/>
        <v>3.7708333336922806E-2</v>
      </c>
      <c r="N88" s="7">
        <f t="shared" si="67"/>
        <v>54.30000000516884</v>
      </c>
      <c r="O88" s="7"/>
      <c r="P88" s="7"/>
      <c r="Q88" s="26"/>
      <c r="R88" s="26"/>
      <c r="S88" s="38">
        <f t="shared" si="58"/>
        <v>1</v>
      </c>
      <c r="T88" s="53" t="str">
        <f t="shared" si="59"/>
        <v>Southbound</v>
      </c>
      <c r="U88" s="13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11:59:26-0600',mode:absolute,to:'2016-08-16 14:59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88" s="55" t="str">
        <f t="shared" si="60"/>
        <v>N</v>
      </c>
      <c r="X88" s="129">
        <f t="shared" si="71"/>
        <v>1</v>
      </c>
      <c r="Y88" s="70">
        <f t="shared" si="61"/>
        <v>23.297699999999999</v>
      </c>
      <c r="Z88" s="70">
        <f t="shared" si="74"/>
        <v>0.1167</v>
      </c>
      <c r="AA88" s="70">
        <f t="shared" si="63"/>
        <v>23.180999999999997</v>
      </c>
      <c r="AB88" s="67" t="e">
        <f>VLOOKUP(A88,Enforcements!$C$7:$J$24,8,0)</f>
        <v>#N/A</v>
      </c>
      <c r="AC88" s="63" t="e">
        <f>VLOOKUP(A88,Enforcements!$C$7:$E$24,3,0)</f>
        <v>#N/A</v>
      </c>
      <c r="AD88" s="64" t="str">
        <f t="shared" si="64"/>
        <v>0170-16</v>
      </c>
      <c r="AE88" s="104" t="str">
        <f t="shared" si="68"/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AF88" s="101" t="str">
        <f t="shared" si="69"/>
        <v>"C:\Program Files (x86)\AstroGrep\AstroGrep.exe" /spath="%USERPROFILE%\AppData\Local\Temp\OnboardLogs" /stypes="*4004*20160816*" /stext=" 19:.+((SYSTEM_STATE.+slice.+state.+changed )|(ment ac)|(system.+state.+changed )|(\|lc)|(penalty)|(\[timeout)|(PRM\|1\|D)|(kpr)|(kdp))" /e /r /s</v>
      </c>
      <c r="AG88" s="1" t="str">
        <f t="shared" si="65"/>
        <v>EC</v>
      </c>
      <c r="AH88" s="105" t="str">
        <f t="shared" si="73"/>
        <v>"%USERPROFILE%\Documents\GitHub\eaglep3\Utilities\RefineRTDCRunTimes.py" --tripid 170-16 --locoid 4004 --swversion DE.1.0.7.0 --startMP 204:232977 --initTime 2016-08-16T12:59:26 --startdatetime 2016-08-16T13:05:17 --delay 5 --endMP 204:1167 --enddatetime 2016-08-16T13:59:35 --enforcementcount 1</v>
      </c>
    </row>
    <row r="89" spans="1:34" x14ac:dyDescent="0.25">
      <c r="A89" s="40" t="s">
        <v>410</v>
      </c>
      <c r="B89" s="7">
        <v>4011</v>
      </c>
      <c r="C89" s="25" t="s">
        <v>119</v>
      </c>
      <c r="D89" s="25" t="s">
        <v>141</v>
      </c>
      <c r="E89" s="16">
        <v>42598.525312500002</v>
      </c>
      <c r="F89" s="16">
        <v>42598.526226851849</v>
      </c>
      <c r="G89" s="7">
        <v>1</v>
      </c>
      <c r="H89" s="16" t="s">
        <v>179</v>
      </c>
      <c r="I89" s="16">
        <v>42598.555567129632</v>
      </c>
      <c r="J89" s="7">
        <v>1</v>
      </c>
      <c r="K89" s="142" t="str">
        <f t="shared" si="72"/>
        <v>4011/4012</v>
      </c>
      <c r="L89" s="25" t="str">
        <f>VLOOKUP(A89,'Trips&amp;Operators'!$C$1:$E$10000,3,FALSE)</f>
        <v>GRASTON</v>
      </c>
      <c r="M89" s="6">
        <f t="shared" si="57"/>
        <v>2.9340277782466728E-2</v>
      </c>
      <c r="N89" s="7">
        <f t="shared" si="67"/>
        <v>42.250000006752089</v>
      </c>
      <c r="O89" s="7"/>
      <c r="P89" s="7"/>
      <c r="Q89" s="26"/>
      <c r="R89" s="26"/>
      <c r="S89" s="38">
        <f t="shared" si="58"/>
        <v>1</v>
      </c>
      <c r="T89" s="53" t="str">
        <f t="shared" si="59"/>
        <v>NorthBound</v>
      </c>
      <c r="U89" s="13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11:36:27-0600',mode:absolute,to:'2016-08-16 14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9" s="55" t="str">
        <f t="shared" si="60"/>
        <v>N</v>
      </c>
      <c r="X89" s="129">
        <f t="shared" si="71"/>
        <v>1</v>
      </c>
      <c r="Y89" s="70">
        <f t="shared" si="61"/>
        <v>4.53E-2</v>
      </c>
      <c r="Z89" s="70">
        <f t="shared" si="74"/>
        <v>23.3291</v>
      </c>
      <c r="AA89" s="70">
        <f t="shared" si="63"/>
        <v>23.283799999999999</v>
      </c>
      <c r="AB89" s="67" t="e">
        <f>VLOOKUP(A89,Enforcements!$C$7:$J$24,8,0)</f>
        <v>#N/A</v>
      </c>
      <c r="AC89" s="63" t="e">
        <f>VLOOKUP(A89,Enforcements!$C$7:$E$24,3,0)</f>
        <v>#N/A</v>
      </c>
      <c r="AD89" s="64" t="str">
        <f t="shared" si="64"/>
        <v>0171-16</v>
      </c>
      <c r="AE89" s="104" t="str">
        <f t="shared" si="68"/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AF89" s="101" t="str">
        <f t="shared" si="69"/>
        <v>"C:\Program Files (x86)\AstroGrep\AstroGrep.exe" /spath="%USERPROFILE%\AppData\Local\Temp\OnboardLogs" /stypes="*4011*20160816*" /stext=" 19:.+((SYSTEM_STATE.+slice.+state.+changed )|(ment ac)|(system.+state.+changed )|(\|lc)|(penalty)|(\[timeout)|(PRM\|1\|D)|(kpr)|(kdp))" /e /r /s</v>
      </c>
      <c r="AG89" s="1" t="str">
        <f t="shared" si="65"/>
        <v>EC</v>
      </c>
      <c r="AH89" s="105" t="str">
        <f t="shared" si="73"/>
        <v>"%USERPROFILE%\Documents\GitHub\eaglep3\Utilities\RefineRTDCRunTimes.py" --tripid 171-16 --locoid 4011 --swversion DE.1.0.7.0 --startMP 204:453 --initTime 2016-08-16T12:36:27 --startdatetime 2016-08-16T12:37:46 --delay 1 --endMP 204:233291 --enddatetime 2016-08-16T13:20:01 --enforcementcount 1</v>
      </c>
    </row>
    <row r="90" spans="1:34" x14ac:dyDescent="0.25">
      <c r="A90" s="40" t="s">
        <v>411</v>
      </c>
      <c r="B90" s="7">
        <v>4012</v>
      </c>
      <c r="C90" s="25" t="s">
        <v>119</v>
      </c>
      <c r="D90" s="25" t="s">
        <v>238</v>
      </c>
      <c r="E90" s="16">
        <v>42598.557291666664</v>
      </c>
      <c r="F90" s="16">
        <v>42598.558576388888</v>
      </c>
      <c r="G90" s="7">
        <v>1</v>
      </c>
      <c r="H90" s="16" t="s">
        <v>92</v>
      </c>
      <c r="I90" s="16">
        <v>42598.591435185182</v>
      </c>
      <c r="J90" s="7">
        <v>1</v>
      </c>
      <c r="K90" s="142" t="str">
        <f t="shared" si="72"/>
        <v>4011/4012</v>
      </c>
      <c r="L90" s="25" t="str">
        <f>VLOOKUP(A90,'Trips&amp;Operators'!$C$1:$E$10000,3,FALSE)</f>
        <v>GRASTON</v>
      </c>
      <c r="M90" s="6">
        <f t="shared" si="57"/>
        <v>3.2858796294021886E-2</v>
      </c>
      <c r="N90" s="7">
        <f t="shared" si="67"/>
        <v>47.316666663391516</v>
      </c>
      <c r="O90" s="7"/>
      <c r="P90" s="7"/>
      <c r="Q90" s="26"/>
      <c r="R90" s="26"/>
      <c r="S90" s="38">
        <f t="shared" si="58"/>
        <v>1</v>
      </c>
      <c r="T90" s="53" t="str">
        <f t="shared" si="59"/>
        <v>Southbound</v>
      </c>
      <c r="U90" s="13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12:22:30-0600',mode:absolute,to:'2016-08-16 15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90" s="55" t="str">
        <f t="shared" si="60"/>
        <v>N</v>
      </c>
      <c r="X90" s="129">
        <f t="shared" si="71"/>
        <v>1</v>
      </c>
      <c r="Y90" s="70">
        <f t="shared" si="61"/>
        <v>23.2987</v>
      </c>
      <c r="Z90" s="70">
        <f t="shared" si="74"/>
        <v>1.43E-2</v>
      </c>
      <c r="AA90" s="70">
        <f t="shared" si="63"/>
        <v>23.284400000000002</v>
      </c>
      <c r="AB90" s="67" t="e">
        <f>VLOOKUP(A90,Enforcements!$C$7:$J$24,8,0)</f>
        <v>#N/A</v>
      </c>
      <c r="AC90" s="63" t="e">
        <f>VLOOKUP(A90,Enforcements!$C$7:$E$24,3,0)</f>
        <v>#N/A</v>
      </c>
      <c r="AD90" s="64" t="str">
        <f t="shared" si="64"/>
        <v>0172-16</v>
      </c>
      <c r="AE90" s="104" t="str">
        <f t="shared" si="68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90" s="101" t="str">
        <f t="shared" si="69"/>
        <v>"C:\Program Files (x86)\AstroGrep\AstroGrep.exe" /spath="%USERPROFILE%\AppData\Local\Temp\OnboardLogs" /stypes="*4012*20160816*" /stext=" 20:.+((SYSTEM_STATE.+slice.+state.+changed )|(ment ac)|(system.+state.+changed )|(\|lc)|(penalty)|(\[timeout)|(PRM\|1\|D)|(kpr)|(kdp))" /e /r /s</v>
      </c>
      <c r="AG90" s="1" t="str">
        <f t="shared" si="65"/>
        <v>EC</v>
      </c>
      <c r="AH90" s="105" t="str">
        <f t="shared" si="73"/>
        <v>"%USERPROFILE%\Documents\GitHub\eaglep3\Utilities\RefineRTDCRunTimes.py" --tripid 172-16 --locoid 4012 --swversion DE.1.0.7.0 --startMP 204:232987 --initTime 2016-08-16T13:22:30 --startdatetime 2016-08-16T13:24:21 --delay 1 --endMP 204:143 --enddatetime 2016-08-16T14:11:40 --enforcementcount 1</v>
      </c>
    </row>
    <row r="91" spans="1:34" x14ac:dyDescent="0.25">
      <c r="A91" s="40" t="s">
        <v>412</v>
      </c>
      <c r="B91" s="7">
        <v>4018</v>
      </c>
      <c r="C91" s="25" t="s">
        <v>119</v>
      </c>
      <c r="D91" s="25" t="s">
        <v>223</v>
      </c>
      <c r="E91" s="16">
        <v>42598.531400462962</v>
      </c>
      <c r="F91" s="16">
        <v>42598.532233796293</v>
      </c>
      <c r="G91" s="7">
        <v>1</v>
      </c>
      <c r="H91" s="16" t="s">
        <v>413</v>
      </c>
      <c r="I91" s="16">
        <v>42598.564513888887</v>
      </c>
      <c r="J91" s="7">
        <v>1</v>
      </c>
      <c r="K91" s="142" t="str">
        <f t="shared" si="72"/>
        <v>4017/4018</v>
      </c>
      <c r="L91" s="25" t="str">
        <f>VLOOKUP(A91,'Trips&amp;Operators'!$C$1:$E$10000,3,FALSE)</f>
        <v>BARTLETT</v>
      </c>
      <c r="M91" s="6">
        <f t="shared" si="57"/>
        <v>3.2280092593282461E-2</v>
      </c>
      <c r="N91" s="7">
        <f t="shared" si="67"/>
        <v>46.483333334326744</v>
      </c>
      <c r="O91" s="7"/>
      <c r="P91" s="7"/>
      <c r="Q91" s="26"/>
      <c r="R91" s="26"/>
      <c r="S91" s="38">
        <f t="shared" si="58"/>
        <v>1</v>
      </c>
      <c r="T91" s="53" t="str">
        <f t="shared" si="59"/>
        <v>NorthBound</v>
      </c>
      <c r="U91" s="13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11:45:13-0600',mode:absolute,to:'2016-08-16 14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91" s="55" t="str">
        <f t="shared" si="60"/>
        <v>N</v>
      </c>
      <c r="X91" s="129">
        <f t="shared" si="71"/>
        <v>1</v>
      </c>
      <c r="Y91" s="70">
        <f t="shared" si="61"/>
        <v>4.8000000000000001E-2</v>
      </c>
      <c r="Z91" s="70">
        <f t="shared" si="74"/>
        <v>23.321300000000001</v>
      </c>
      <c r="AA91" s="70">
        <f t="shared" si="63"/>
        <v>23.273300000000003</v>
      </c>
      <c r="AB91" s="67" t="e">
        <f>VLOOKUP(A91,Enforcements!$C$7:$J$24,8,0)</f>
        <v>#N/A</v>
      </c>
      <c r="AC91" s="63" t="e">
        <f>VLOOKUP(A91,Enforcements!$C$7:$E$24,3,0)</f>
        <v>#N/A</v>
      </c>
      <c r="AD91" s="64" t="str">
        <f t="shared" si="64"/>
        <v>0173-16</v>
      </c>
      <c r="AE91" s="104" t="str">
        <f t="shared" si="68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91" s="101" t="str">
        <f t="shared" si="69"/>
        <v>"C:\Program Files (x86)\AstroGrep\AstroGrep.exe" /spath="%USERPROFILE%\AppData\Local\Temp\OnboardLogs" /stypes="*4018*20160816*" /stext=" 19:.+((SYSTEM_STATE.+slice.+state.+changed )|(ment ac)|(system.+state.+changed )|(\|lc)|(penalty)|(\[timeout)|(PRM\|1\|D)|(kpr)|(kdp))" /e /r /s</v>
      </c>
      <c r="AG91" s="1" t="str">
        <f t="shared" si="65"/>
        <v>EC</v>
      </c>
      <c r="AH91" s="105" t="str">
        <f t="shared" si="73"/>
        <v>"%USERPROFILE%\Documents\GitHub\eaglep3\Utilities\RefineRTDCRunTimes.py" --tripid 173-16 --locoid 4018 --swversion DE.1.0.7.0 --startMP 204:480 --initTime 2016-08-16T12:45:13 --startdatetime 2016-08-16T12:46:25 --delay 1 --endMP 204:233213 --enddatetime 2016-08-16T13:32:54 --enforcementcount 1</v>
      </c>
    </row>
    <row r="92" spans="1:34" x14ac:dyDescent="0.25">
      <c r="A92" s="40" t="s">
        <v>414</v>
      </c>
      <c r="B92" s="7">
        <v>4017</v>
      </c>
      <c r="C92" s="25" t="s">
        <v>119</v>
      </c>
      <c r="D92" s="25" t="s">
        <v>415</v>
      </c>
      <c r="E92" s="16">
        <v>42598.568773148145</v>
      </c>
      <c r="F92" s="16">
        <v>42598.56994212963</v>
      </c>
      <c r="G92" s="7">
        <v>1</v>
      </c>
      <c r="H92" s="16" t="s">
        <v>220</v>
      </c>
      <c r="I92" s="16">
        <v>42598.601365740738</v>
      </c>
      <c r="J92" s="7">
        <v>1</v>
      </c>
      <c r="K92" s="142" t="str">
        <f t="shared" si="72"/>
        <v>4017/4018</v>
      </c>
      <c r="L92" s="25" t="str">
        <f>VLOOKUP(A92,'Trips&amp;Operators'!$C$1:$E$10000,3,FALSE)</f>
        <v>BARTLETT</v>
      </c>
      <c r="M92" s="6">
        <f t="shared" si="57"/>
        <v>3.142361110803904E-2</v>
      </c>
      <c r="N92" s="7">
        <f t="shared" si="67"/>
        <v>45.249999995576218</v>
      </c>
      <c r="O92" s="7"/>
      <c r="P92" s="7"/>
      <c r="Q92" s="26"/>
      <c r="R92" s="26"/>
      <c r="S92" s="38">
        <f t="shared" si="58"/>
        <v>1</v>
      </c>
      <c r="T92" s="53" t="str">
        <f t="shared" si="59"/>
        <v>Southbound</v>
      </c>
      <c r="U92" s="13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12:39:02-0600',mode:absolute,to:'2016-08-16 15:25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92" s="55" t="str">
        <f t="shared" si="60"/>
        <v>N</v>
      </c>
      <c r="X92" s="129">
        <f t="shared" ref="X92:X98" si="75">VALUE(LEFT(AD92,4))-VALUE(LEFT(AD91,4))</f>
        <v>1</v>
      </c>
      <c r="Y92" s="70">
        <f t="shared" si="61"/>
        <v>23.288399999999999</v>
      </c>
      <c r="Z92" s="70">
        <f t="shared" si="74"/>
        <v>1.52E-2</v>
      </c>
      <c r="AA92" s="70">
        <f t="shared" si="63"/>
        <v>23.273199999999999</v>
      </c>
      <c r="AB92" s="67" t="e">
        <f>VLOOKUP(A92,Enforcements!$C$7:$J$24,8,0)</f>
        <v>#N/A</v>
      </c>
      <c r="AC92" s="63" t="e">
        <f>VLOOKUP(A92,Enforcements!$C$7:$E$24,3,0)</f>
        <v>#N/A</v>
      </c>
      <c r="AD92" s="64" t="str">
        <f t="shared" si="64"/>
        <v>0174-16</v>
      </c>
      <c r="AE92" s="104" t="str">
        <f t="shared" si="68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92" s="101" t="str">
        <f t="shared" si="69"/>
        <v>"C:\Program Files (x86)\AstroGrep\AstroGrep.exe" /spath="%USERPROFILE%\AppData\Local\Temp\OnboardLogs" /stypes="*4017*20160816*" /stext=" 20:.+((SYSTEM_STATE.+slice.+state.+changed )|(ment ac)|(system.+state.+changed )|(\|lc)|(penalty)|(\[timeout)|(PRM\|1\|D)|(kpr)|(kdp))" /e /r /s</v>
      </c>
      <c r="AG92" s="1" t="str">
        <f t="shared" si="65"/>
        <v>EC</v>
      </c>
      <c r="AH92" s="105" t="str">
        <f t="shared" si="73"/>
        <v>"%USERPROFILE%\Documents\GitHub\eaglep3\Utilities\RefineRTDCRunTimes.py" --tripid 174-16 --locoid 4017 --swversion DE.1.0.7.0 --startMP 204:232884 --initTime 2016-08-16T13:39:02 --startdatetime 2016-08-16T13:40:43 --delay 1 --endMP 204:152 --enddatetime 2016-08-16T14:25:58 --enforcementcount 1</v>
      </c>
    </row>
    <row r="93" spans="1:34" x14ac:dyDescent="0.25">
      <c r="A93" s="40" t="s">
        <v>416</v>
      </c>
      <c r="B93" s="7">
        <v>4038</v>
      </c>
      <c r="C93" s="25" t="s">
        <v>119</v>
      </c>
      <c r="D93" s="25" t="s">
        <v>167</v>
      </c>
      <c r="E93" s="16">
        <v>42598.539293981485</v>
      </c>
      <c r="F93" s="16">
        <v>42598.540335648147</v>
      </c>
      <c r="G93" s="7">
        <v>1</v>
      </c>
      <c r="H93" s="16" t="s">
        <v>417</v>
      </c>
      <c r="I93" s="16">
        <v>42598.570150462961</v>
      </c>
      <c r="J93" s="7">
        <v>1</v>
      </c>
      <c r="K93" s="142" t="str">
        <f t="shared" si="72"/>
        <v>4037/4038</v>
      </c>
      <c r="L93" s="25" t="str">
        <f>VLOOKUP(A93,'Trips&amp;Operators'!$C$1:$E$10000,3,FALSE)</f>
        <v>STEWART</v>
      </c>
      <c r="M93" s="6">
        <f t="shared" si="57"/>
        <v>2.9814814814017154E-2</v>
      </c>
      <c r="N93" s="7">
        <f t="shared" si="67"/>
        <v>42.933333332184702</v>
      </c>
      <c r="O93" s="7"/>
      <c r="P93" s="7"/>
      <c r="Q93" s="26"/>
      <c r="R93" s="26"/>
      <c r="S93" s="38">
        <f t="shared" si="58"/>
        <v>1</v>
      </c>
      <c r="T93" s="53" t="str">
        <f t="shared" si="59"/>
        <v>NorthBound</v>
      </c>
      <c r="U93" s="13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11:56:35-0600',mode:absolute,to:'2016-08-16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93" s="55" t="str">
        <f t="shared" si="60"/>
        <v>N</v>
      </c>
      <c r="X93" s="129">
        <f t="shared" si="75"/>
        <v>1</v>
      </c>
      <c r="Y93" s="70">
        <f t="shared" si="61"/>
        <v>4.6600000000000003E-2</v>
      </c>
      <c r="Z93" s="70">
        <f t="shared" si="74"/>
        <v>23.328499999999998</v>
      </c>
      <c r="AA93" s="70">
        <f t="shared" si="63"/>
        <v>23.281899999999997</v>
      </c>
      <c r="AB93" s="67" t="e">
        <f>VLOOKUP(A93,Enforcements!$C$7:$J$24,8,0)</f>
        <v>#N/A</v>
      </c>
      <c r="AC93" s="63" t="e">
        <f>VLOOKUP(A93,Enforcements!$C$7:$E$24,3,0)</f>
        <v>#N/A</v>
      </c>
      <c r="AD93" s="64" t="str">
        <f t="shared" si="64"/>
        <v>0175-16</v>
      </c>
      <c r="AE93" s="104" t="str">
        <f t="shared" si="68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93" s="101" t="str">
        <f t="shared" si="69"/>
        <v>"C:\Program Files (x86)\AstroGrep\AstroGrep.exe" /spath="%USERPROFILE%\AppData\Local\Temp\OnboardLogs" /stypes="*4038*20160816*" /stext=" 19:.+((SYSTEM_STATE.+slice.+state.+changed )|(ment ac)|(system.+state.+changed )|(\|lc)|(penalty)|(\[timeout)|(PRM\|1\|D)|(kpr)|(kdp))" /e /r /s</v>
      </c>
      <c r="AG93" s="1" t="str">
        <f t="shared" si="65"/>
        <v>EC</v>
      </c>
      <c r="AH93" s="105" t="str">
        <f t="shared" si="73"/>
        <v>"%USERPROFILE%\Documents\GitHub\eaglep3\Utilities\RefineRTDCRunTimes.py" --tripid 175-16 --locoid 4038 --swversion DE.1.0.7.0 --startMP 204:466 --initTime 2016-08-16T12:56:35 --startdatetime 2016-08-16T12:58:05 --delay 1 --endMP 204:233285 --enddatetime 2016-08-16T13:41:01 --enforcementcount 1</v>
      </c>
    </row>
    <row r="94" spans="1:34" x14ac:dyDescent="0.25">
      <c r="A94" s="40" t="s">
        <v>418</v>
      </c>
      <c r="B94" s="7">
        <v>4037</v>
      </c>
      <c r="C94" s="25" t="s">
        <v>119</v>
      </c>
      <c r="D94" s="25" t="s">
        <v>255</v>
      </c>
      <c r="E94" s="16">
        <v>42598.577743055554</v>
      </c>
      <c r="F94" s="16">
        <v>42598.578796296293</v>
      </c>
      <c r="G94" s="7">
        <v>1</v>
      </c>
      <c r="H94" s="16" t="s">
        <v>145</v>
      </c>
      <c r="I94" s="16">
        <v>42598.611747685187</v>
      </c>
      <c r="J94" s="7">
        <v>1</v>
      </c>
      <c r="K94" s="142" t="str">
        <f t="shared" si="72"/>
        <v>4037/4038</v>
      </c>
      <c r="L94" s="25" t="str">
        <f>VLOOKUP(A94,'Trips&amp;Operators'!$C$1:$E$10000,3,FALSE)</f>
        <v>STEWART</v>
      </c>
      <c r="M94" s="6">
        <f t="shared" si="57"/>
        <v>3.295138889370719E-2</v>
      </c>
      <c r="N94" s="7">
        <f t="shared" si="67"/>
        <v>47.450000006938353</v>
      </c>
      <c r="O94" s="7"/>
      <c r="P94" s="7"/>
      <c r="Q94" s="26"/>
      <c r="R94" s="26"/>
      <c r="S94" s="38">
        <f t="shared" si="58"/>
        <v>1</v>
      </c>
      <c r="T94" s="53" t="str">
        <f t="shared" si="59"/>
        <v>Southbound</v>
      </c>
      <c r="U94" s="13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12:51:57-0600',mode:absolute,to:'2016-08-16 15:40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94" s="55" t="str">
        <f t="shared" si="60"/>
        <v>N</v>
      </c>
      <c r="X94" s="129">
        <f t="shared" si="75"/>
        <v>1</v>
      </c>
      <c r="Y94" s="70">
        <f t="shared" si="61"/>
        <v>23.2972</v>
      </c>
      <c r="Z94" s="70">
        <f t="shared" si="74"/>
        <v>1.49E-2</v>
      </c>
      <c r="AA94" s="70">
        <f t="shared" si="63"/>
        <v>23.282299999999999</v>
      </c>
      <c r="AB94" s="67" t="e">
        <f>VLOOKUP(A94,Enforcements!$C$7:$J$24,8,0)</f>
        <v>#N/A</v>
      </c>
      <c r="AC94" s="63" t="e">
        <f>VLOOKUP(A94,Enforcements!$C$7:$E$24,3,0)</f>
        <v>#N/A</v>
      </c>
      <c r="AD94" s="64" t="str">
        <f t="shared" si="64"/>
        <v>0176-16</v>
      </c>
      <c r="AE94" s="104" t="str">
        <f t="shared" si="6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94" s="101" t="str">
        <f t="shared" si="69"/>
        <v>"C:\Program Files (x86)\AstroGrep\AstroGrep.exe" /spath="%USERPROFILE%\AppData\Local\Temp\OnboardLogs" /stypes="*4037*20160816*" /stext=" 20:.+((SYSTEM_STATE.+slice.+state.+changed )|(ment ac)|(system.+state.+changed )|(\|lc)|(penalty)|(\[timeout)|(PRM\|1\|D)|(kpr)|(kdp))" /e /r /s</v>
      </c>
      <c r="AG94" s="1" t="str">
        <f t="shared" si="65"/>
        <v>EC</v>
      </c>
      <c r="AH94" s="105" t="str">
        <f t="shared" si="73"/>
        <v>"%USERPROFILE%\Documents\GitHub\eaglep3\Utilities\RefineRTDCRunTimes.py" --tripid 176-16 --locoid 4037 --swversion DE.1.0.7.0 --startMP 204:232972 --initTime 2016-08-16T13:51:57 --startdatetime 2016-08-16T13:53:28 --delay 1 --endMP 204:149 --enddatetime 2016-08-16T14:40:55 --enforcementcount 1</v>
      </c>
    </row>
    <row r="95" spans="1:34" x14ac:dyDescent="0.25">
      <c r="A95" s="40" t="s">
        <v>419</v>
      </c>
      <c r="B95" s="7">
        <v>4029</v>
      </c>
      <c r="C95" s="25" t="s">
        <v>119</v>
      </c>
      <c r="D95" s="25" t="s">
        <v>141</v>
      </c>
      <c r="E95" s="16">
        <v>42598.550891203704</v>
      </c>
      <c r="F95" s="16">
        <v>42598.55196759259</v>
      </c>
      <c r="G95" s="7">
        <v>1</v>
      </c>
      <c r="H95" s="16" t="s">
        <v>420</v>
      </c>
      <c r="I95" s="16">
        <v>42598.583761574075</v>
      </c>
      <c r="J95" s="7">
        <v>1</v>
      </c>
      <c r="K95" s="142" t="str">
        <f t="shared" si="72"/>
        <v>4029/4030</v>
      </c>
      <c r="L95" s="25" t="str">
        <f>VLOOKUP(A95,'Trips&amp;Operators'!$C$1:$E$10000,3,FALSE)</f>
        <v>HELVIE</v>
      </c>
      <c r="M95" s="6">
        <f t="shared" si="57"/>
        <v>3.1793981484952383E-2</v>
      </c>
      <c r="N95" s="7">
        <f t="shared" si="67"/>
        <v>45.783333338331431</v>
      </c>
      <c r="O95" s="7"/>
      <c r="P95" s="7"/>
      <c r="Q95" s="26"/>
      <c r="R95" s="26"/>
      <c r="S95" s="38">
        <f t="shared" si="58"/>
        <v>1</v>
      </c>
      <c r="T95" s="53" t="str">
        <f t="shared" si="59"/>
        <v>NorthBound</v>
      </c>
      <c r="U95" s="13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12:13:17-0600',mode:absolute,to:'2016-08-16 15:00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5" s="55" t="str">
        <f t="shared" si="60"/>
        <v>N</v>
      </c>
      <c r="X95" s="129">
        <f t="shared" si="75"/>
        <v>1</v>
      </c>
      <c r="Y95" s="70">
        <f t="shared" si="61"/>
        <v>4.53E-2</v>
      </c>
      <c r="Z95" s="70">
        <f t="shared" si="74"/>
        <v>23.327400000000001</v>
      </c>
      <c r="AA95" s="70">
        <f t="shared" si="63"/>
        <v>23.2821</v>
      </c>
      <c r="AB95" s="67" t="e">
        <f>VLOOKUP(A95,Enforcements!$C$7:$J$24,8,0)</f>
        <v>#N/A</v>
      </c>
      <c r="AC95" s="63" t="e">
        <f>VLOOKUP(A95,Enforcements!$C$7:$E$24,3,0)</f>
        <v>#N/A</v>
      </c>
      <c r="AD95" s="64" t="str">
        <f t="shared" si="64"/>
        <v>0177-16</v>
      </c>
      <c r="AE95" s="104" t="str">
        <f t="shared" si="68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95" s="101" t="str">
        <f t="shared" si="69"/>
        <v>"C:\Program Files (x86)\AstroGrep\AstroGrep.exe" /spath="%USERPROFILE%\AppData\Local\Temp\OnboardLogs" /stypes="*4029*20160816*" /stext=" 20:.+((SYSTEM_STATE.+slice.+state.+changed )|(ment ac)|(system.+state.+changed )|(\|lc)|(penalty)|(\[timeout)|(PRM\|1\|D)|(kpr)|(kdp))" /e /r /s</v>
      </c>
      <c r="AG95" s="1" t="str">
        <f t="shared" si="65"/>
        <v>EC</v>
      </c>
      <c r="AH95" s="105" t="str">
        <f t="shared" si="73"/>
        <v>"%USERPROFILE%\Documents\GitHub\eaglep3\Utilities\RefineRTDCRunTimes.py" --tripid 177-16 --locoid 4029 --swversion DE.1.0.7.0 --startMP 204:453 --initTime 2016-08-16T13:13:17 --startdatetime 2016-08-16T13:14:50 --delay 1 --endMP 204:233274 --enddatetime 2016-08-16T14:00:37 --enforcementcount 1</v>
      </c>
    </row>
    <row r="96" spans="1:34" s="24" customFormat="1" x14ac:dyDescent="0.25">
      <c r="A96" s="40" t="s">
        <v>421</v>
      </c>
      <c r="B96" s="7">
        <v>4030</v>
      </c>
      <c r="C96" s="25" t="s">
        <v>119</v>
      </c>
      <c r="D96" s="25" t="s">
        <v>422</v>
      </c>
      <c r="E96" s="16">
        <v>42598.585358796299</v>
      </c>
      <c r="F96" s="16">
        <v>42598.58666666667</v>
      </c>
      <c r="G96" s="7">
        <v>1</v>
      </c>
      <c r="H96" s="16" t="s">
        <v>92</v>
      </c>
      <c r="I96" s="16">
        <v>42598.621562499997</v>
      </c>
      <c r="J96" s="7">
        <v>1</v>
      </c>
      <c r="K96" s="142" t="str">
        <f t="shared" si="72"/>
        <v>4029/4030</v>
      </c>
      <c r="L96" s="25" t="str">
        <f>VLOOKUP(A96,'Trips&amp;Operators'!$C$1:$E$10000,3,FALSE)</f>
        <v>HELVIE</v>
      </c>
      <c r="M96" s="6">
        <f t="shared" si="57"/>
        <v>3.4895833327027503E-2</v>
      </c>
      <c r="N96" s="7">
        <f t="shared" si="67"/>
        <v>50.249999990919605</v>
      </c>
      <c r="O96" s="7"/>
      <c r="P96" s="7"/>
      <c r="Q96" s="26"/>
      <c r="R96" s="26"/>
      <c r="S96" s="38">
        <f t="shared" si="58"/>
        <v>1</v>
      </c>
      <c r="T96" s="53" t="str">
        <f t="shared" si="59"/>
        <v>Southbound</v>
      </c>
      <c r="U96" s="13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13:02:55-0600',mode:absolute,to:'2016-08-16 15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6" s="55" t="str">
        <f t="shared" si="60"/>
        <v>N</v>
      </c>
      <c r="X96" s="129">
        <f t="shared" si="75"/>
        <v>1</v>
      </c>
      <c r="Y96" s="70">
        <f t="shared" si="61"/>
        <v>23.297999999999998</v>
      </c>
      <c r="Z96" s="70">
        <f t="shared" si="74"/>
        <v>1.43E-2</v>
      </c>
      <c r="AA96" s="70">
        <f t="shared" si="63"/>
        <v>23.2837</v>
      </c>
      <c r="AB96" s="67" t="e">
        <f>VLOOKUP(A96,Enforcements!$C$7:$J$24,8,0)</f>
        <v>#N/A</v>
      </c>
      <c r="AC96" s="63" t="e">
        <f>VLOOKUP(A96,Enforcements!$C$7:$E$24,3,0)</f>
        <v>#N/A</v>
      </c>
      <c r="AD96" s="64" t="str">
        <f t="shared" si="64"/>
        <v>0178-16</v>
      </c>
      <c r="AE96" s="104" t="str">
        <f t="shared" si="6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96" s="101" t="str">
        <f t="shared" si="69"/>
        <v>"C:\Program Files (x86)\AstroGrep\AstroGrep.exe" /spath="%USERPROFILE%\AppData\Local\Temp\OnboardLogs" /stypes="*4030*20160816*" /stext=" 20:.+((SYSTEM_STATE.+slice.+state.+changed )|(ment ac)|(system.+state.+changed )|(\|lc)|(penalty)|(\[timeout)|(PRM\|1\|D)|(kpr)|(kdp))" /e /r /s</v>
      </c>
      <c r="AG96" s="1" t="str">
        <f t="shared" si="65"/>
        <v>EC</v>
      </c>
      <c r="AH96" s="105" t="str">
        <f t="shared" si="73"/>
        <v>"%USERPROFILE%\Documents\GitHub\eaglep3\Utilities\RefineRTDCRunTimes.py" --tripid 178-16 --locoid 4030 --swversion DE.1.0.7.0 --startMP 204:232980 --initTime 2016-08-16T14:02:55 --startdatetime 2016-08-16T14:04:48 --delay 1 --endMP 204:143 --enddatetime 2016-08-16T14:55:03 --enforcementcount 1</v>
      </c>
    </row>
    <row r="97" spans="1:34" s="24" customFormat="1" x14ac:dyDescent="0.25">
      <c r="A97" s="40" t="s">
        <v>423</v>
      </c>
      <c r="B97" s="7">
        <v>4009</v>
      </c>
      <c r="C97" s="25" t="s">
        <v>119</v>
      </c>
      <c r="D97" s="25" t="s">
        <v>113</v>
      </c>
      <c r="E97" s="16">
        <v>42598.559293981481</v>
      </c>
      <c r="F97" s="16">
        <v>42598.560243055559</v>
      </c>
      <c r="G97" s="7">
        <v>1</v>
      </c>
      <c r="H97" s="16" t="s">
        <v>166</v>
      </c>
      <c r="I97" s="16">
        <v>42598.588553240741</v>
      </c>
      <c r="J97" s="7">
        <v>1</v>
      </c>
      <c r="K97" s="142" t="str">
        <f t="shared" si="72"/>
        <v>4009/4010</v>
      </c>
      <c r="L97" s="25" t="str">
        <f>VLOOKUP(A97,'Trips&amp;Operators'!$C$1:$E$10000,3,FALSE)</f>
        <v>HAITHCOX</v>
      </c>
      <c r="M97" s="6">
        <f t="shared" si="57"/>
        <v>2.8310185181908309E-2</v>
      </c>
      <c r="N97" s="7">
        <f t="shared" si="67"/>
        <v>40.766666661947966</v>
      </c>
      <c r="O97" s="7"/>
      <c r="P97" s="7"/>
      <c r="Q97" s="26"/>
      <c r="R97" s="26"/>
      <c r="S97" s="38">
        <f t="shared" si="58"/>
        <v>1</v>
      </c>
      <c r="T97" s="53" t="str">
        <f t="shared" si="59"/>
        <v>NorthBound</v>
      </c>
      <c r="U97" s="13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12:25:23-0600',mode:absolute,to:'2016-08-16 15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7" s="55" t="str">
        <f t="shared" si="60"/>
        <v>N</v>
      </c>
      <c r="X97" s="129">
        <f t="shared" si="75"/>
        <v>1</v>
      </c>
      <c r="Y97" s="70">
        <f t="shared" si="61"/>
        <v>4.6399999999999997E-2</v>
      </c>
      <c r="Z97" s="70">
        <f t="shared" si="74"/>
        <v>23.33</v>
      </c>
      <c r="AA97" s="70">
        <f t="shared" si="63"/>
        <v>23.2836</v>
      </c>
      <c r="AB97" s="67" t="e">
        <f>VLOOKUP(A97,Enforcements!$C$7:$J$24,8,0)</f>
        <v>#N/A</v>
      </c>
      <c r="AC97" s="63" t="e">
        <f>VLOOKUP(A97,Enforcements!$C$7:$E$24,3,0)</f>
        <v>#N/A</v>
      </c>
      <c r="AD97" s="64" t="str">
        <f t="shared" si="64"/>
        <v>0179-16</v>
      </c>
      <c r="AE97" s="104" t="str">
        <f t="shared" si="68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97" s="101" t="str">
        <f t="shared" si="69"/>
        <v>"C:\Program Files (x86)\AstroGrep\AstroGrep.exe" /spath="%USERPROFILE%\AppData\Local\Temp\OnboardLogs" /stypes="*4009*20160816*" /stext=" 20:.+((SYSTEM_STATE.+slice.+state.+changed )|(ment ac)|(system.+state.+changed )|(\|lc)|(penalty)|(\[timeout)|(PRM\|1\|D)|(kpr)|(kdp))" /e /r /s</v>
      </c>
      <c r="AG97" s="1" t="str">
        <f t="shared" si="65"/>
        <v>EC</v>
      </c>
      <c r="AH97" s="105" t="str">
        <f t="shared" si="73"/>
        <v>"%USERPROFILE%\Documents\GitHub\eaglep3\Utilities\RefineRTDCRunTimes.py" --tripid 179-16 --locoid 4009 --swversion DE.1.0.7.0 --startMP 204:464 --initTime 2016-08-16T13:25:23 --startdatetime 2016-08-16T13:26:45 --delay 1 --endMP 204:233300 --enddatetime 2016-08-16T14:07:31 --enforcementcount 1</v>
      </c>
    </row>
    <row r="98" spans="1:34" x14ac:dyDescent="0.25">
      <c r="A98" s="40" t="s">
        <v>424</v>
      </c>
      <c r="B98" s="7">
        <v>4010</v>
      </c>
      <c r="C98" s="25" t="s">
        <v>119</v>
      </c>
      <c r="D98" s="25" t="s">
        <v>146</v>
      </c>
      <c r="E98" s="16">
        <v>42598.597685185188</v>
      </c>
      <c r="F98" s="16">
        <v>42598.598368055558</v>
      </c>
      <c r="G98" s="7">
        <v>0</v>
      </c>
      <c r="H98" s="16" t="s">
        <v>425</v>
      </c>
      <c r="I98" s="16">
        <v>42598.629247685189</v>
      </c>
      <c r="J98" s="7">
        <v>1</v>
      </c>
      <c r="K98" s="142" t="str">
        <f t="shared" si="72"/>
        <v>4009/4010</v>
      </c>
      <c r="L98" s="25" t="str">
        <f>VLOOKUP(A98,'Trips&amp;Operators'!$C$1:$E$10000,3,FALSE)</f>
        <v>HAITHCOX</v>
      </c>
      <c r="M98" s="6">
        <f t="shared" ref="M98:M129" si="76">I98-F98</f>
        <v>3.0879629630362615E-2</v>
      </c>
      <c r="N98" s="7">
        <f t="shared" si="67"/>
        <v>44.466666667722166</v>
      </c>
      <c r="O98" s="7"/>
      <c r="P98" s="7"/>
      <c r="Q98" s="26"/>
      <c r="R98" s="26"/>
      <c r="S98" s="38">
        <f t="shared" si="58"/>
        <v>1</v>
      </c>
      <c r="T98" s="53" t="str">
        <f t="shared" ref="T98:T129" si="77">IF(ISEVEN(LEFT(AD98,4)),"Southbound","NorthBound")</f>
        <v>Southbound</v>
      </c>
      <c r="U98" s="13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13:20:40-0600',mode:absolute,to:'2016-08-16 16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8" s="55" t="str">
        <f t="shared" ref="W98:W129" si="78">IF(AA98&lt;IF(AG98="EC",23,5.65),"Y","N")</f>
        <v>N</v>
      </c>
      <c r="X98" s="129">
        <f t="shared" si="75"/>
        <v>1</v>
      </c>
      <c r="Y98" s="70">
        <f t="shared" ref="Y98:Y129" si="79">RIGHT(D98,LEN(D98)-4)/10000</f>
        <v>23.299600000000002</v>
      </c>
      <c r="Z98" s="70">
        <f t="shared" si="74"/>
        <v>1.2999999999999999E-2</v>
      </c>
      <c r="AA98" s="70">
        <f t="shared" ref="AA98:AA129" si="80">ABS(Z98-Y98)</f>
        <v>23.2866</v>
      </c>
      <c r="AB98" s="67" t="e">
        <f>VLOOKUP(A98,Enforcements!$C$7:$J$24,8,0)</f>
        <v>#N/A</v>
      </c>
      <c r="AC98" s="63" t="e">
        <f>VLOOKUP(A98,Enforcements!$C$7:$E$24,3,0)</f>
        <v>#N/A</v>
      </c>
      <c r="AD98" s="64" t="str">
        <f t="shared" ref="AD98:AD129" si="81">IF(LEN(A98)=6,"0"&amp;A98,A98)</f>
        <v>0180-16</v>
      </c>
      <c r="AE98" s="104" t="str">
        <f t="shared" si="68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98" s="101" t="str">
        <f t="shared" si="69"/>
        <v>"C:\Program Files (x86)\AstroGrep\AstroGrep.exe" /spath="%USERPROFILE%\AppData\Local\Temp\OnboardLogs" /stypes="*4010*20160816*" /stext=" 21:.+((SYSTEM_STATE.+slice.+state.+changed )|(ment ac)|(system.+state.+changed )|(\|lc)|(penalty)|(\[timeout)|(PRM\|1\|D)|(kpr)|(kdp))" /e /r /s</v>
      </c>
      <c r="AG98" s="1" t="str">
        <f t="shared" ref="AG98:AG129" si="82">IFERROR(IF(VALUE(LEFT(AD98,2))&lt;=2,"EC",IF(OR(VALUE(LEFT(AD98,2))=8,VALUE(LEFT(AD98,2))=18),"NW","Other")),"Other")</f>
        <v>EC</v>
      </c>
      <c r="AH98" s="105" t="str">
        <f t="shared" si="73"/>
        <v>"%USERPROFILE%\Documents\GitHub\eaglep3\Utilities\RefineRTDCRunTimes.py" --tripid 180-16 --locoid 4010 --swversion DE.1.0.7.0 --startMP 204:232996 --initTime 2016-08-16T14:20:40 --startdatetime 2016-08-16T14:21:39 --delay 0 --endMP 204:130 --enddatetime 2016-08-16T15:06:07 --enforcementcount 1</v>
      </c>
    </row>
    <row r="99" spans="1:34" x14ac:dyDescent="0.25">
      <c r="A99" s="40" t="s">
        <v>426</v>
      </c>
      <c r="B99" s="7">
        <v>4044</v>
      </c>
      <c r="C99" s="25" t="s">
        <v>119</v>
      </c>
      <c r="D99" s="25" t="s">
        <v>154</v>
      </c>
      <c r="E99" s="16">
        <v>42598.573645833334</v>
      </c>
      <c r="F99" s="16">
        <v>42598.574803240743</v>
      </c>
      <c r="G99" s="7">
        <v>1</v>
      </c>
      <c r="H99" s="16" t="s">
        <v>427</v>
      </c>
      <c r="I99" s="16">
        <v>42598.600636574076</v>
      </c>
      <c r="J99" s="7">
        <v>1</v>
      </c>
      <c r="K99" s="142" t="str">
        <f t="shared" si="72"/>
        <v>4043/4044</v>
      </c>
      <c r="L99" s="25" t="str">
        <f>VLOOKUP(A99,'Trips&amp;Operators'!$C$1:$E$10000,3,FALSE)</f>
        <v>NEWELL</v>
      </c>
      <c r="M99" s="6">
        <f t="shared" si="76"/>
        <v>2.5833333333139308E-2</v>
      </c>
      <c r="N99" s="7">
        <f t="shared" si="67"/>
        <v>37.199999999720603</v>
      </c>
      <c r="O99" s="7"/>
      <c r="P99" s="7"/>
      <c r="Q99" s="26"/>
      <c r="R99" s="26"/>
      <c r="S99" s="38">
        <f t="shared" si="58"/>
        <v>1</v>
      </c>
      <c r="T99" s="53" t="str">
        <f t="shared" si="77"/>
        <v>NorthBound</v>
      </c>
      <c r="U99" s="13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12:46:03-0600',mode:absolute,to:'2016-08-16 15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99" s="55" t="str">
        <f t="shared" si="78"/>
        <v>N</v>
      </c>
      <c r="X99" s="129">
        <f t="shared" ref="X99:X110" si="83">VALUE(LEFT(AD99,4))-VALUE(LEFT(AD98,4))</f>
        <v>1</v>
      </c>
      <c r="Y99" s="70">
        <f t="shared" si="79"/>
        <v>4.6699999999999998E-2</v>
      </c>
      <c r="Z99" s="70">
        <f t="shared" si="74"/>
        <v>23.3307</v>
      </c>
      <c r="AA99" s="70">
        <f t="shared" si="80"/>
        <v>23.283999999999999</v>
      </c>
      <c r="AB99" s="67" t="e">
        <f>VLOOKUP(A99,Enforcements!$C$7:$J$24,8,0)</f>
        <v>#N/A</v>
      </c>
      <c r="AC99" s="63" t="e">
        <f>VLOOKUP(A99,Enforcements!$C$7:$E$24,3,0)</f>
        <v>#N/A</v>
      </c>
      <c r="AD99" s="64" t="str">
        <f t="shared" si="81"/>
        <v>0181-16</v>
      </c>
      <c r="AE99" s="104" t="str">
        <f t="shared" si="68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99" s="101" t="str">
        <f t="shared" si="69"/>
        <v>"C:\Program Files (x86)\AstroGrep\AstroGrep.exe" /spath="%USERPROFILE%\AppData\Local\Temp\OnboardLogs" /stypes="*4044*20160816*" /stext=" 20:.+((SYSTEM_STATE.+slice.+state.+changed )|(ment ac)|(system.+state.+changed )|(\|lc)|(penalty)|(\[timeout)|(PRM\|1\|D)|(kpr)|(kdp))" /e /r /s</v>
      </c>
      <c r="AG99" s="1" t="str">
        <f t="shared" si="82"/>
        <v>EC</v>
      </c>
      <c r="AH99" s="105" t="str">
        <f t="shared" si="73"/>
        <v>"%USERPROFILE%\Documents\GitHub\eaglep3\Utilities\RefineRTDCRunTimes.py" --tripid 181-16 --locoid 4044 --swversion DE.1.0.7.0 --startMP 204:467 --initTime 2016-08-16T13:46:03 --startdatetime 2016-08-16T13:47:43 --delay 1 --endMP 204:233307 --enddatetime 2016-08-16T14:24:55 --enforcementcount 1</v>
      </c>
    </row>
    <row r="100" spans="1:34" s="24" customFormat="1" x14ac:dyDescent="0.25">
      <c r="A100" s="40" t="s">
        <v>428</v>
      </c>
      <c r="B100" s="7">
        <v>4043</v>
      </c>
      <c r="C100" s="25" t="s">
        <v>119</v>
      </c>
      <c r="D100" s="25" t="s">
        <v>422</v>
      </c>
      <c r="E100" s="16">
        <v>42598.602256944447</v>
      </c>
      <c r="F100" s="16">
        <v>42598.603101851855</v>
      </c>
      <c r="G100" s="7">
        <v>1</v>
      </c>
      <c r="H100" s="16" t="s">
        <v>156</v>
      </c>
      <c r="I100" s="16">
        <v>42598.638472222221</v>
      </c>
      <c r="J100" s="7">
        <v>1</v>
      </c>
      <c r="K100" s="142" t="str">
        <f t="shared" si="72"/>
        <v>4043/4044</v>
      </c>
      <c r="L100" s="25" t="str">
        <f>VLOOKUP(A100,'Trips&amp;Operators'!$C$1:$E$10000,3,FALSE)</f>
        <v>NEWELL</v>
      </c>
      <c r="M100" s="6">
        <f t="shared" si="76"/>
        <v>3.5370370365853887E-2</v>
      </c>
      <c r="N100" s="7">
        <f t="shared" si="67"/>
        <v>50.933333326829597</v>
      </c>
      <c r="O100" s="7"/>
      <c r="P100" s="7"/>
      <c r="Q100" s="26"/>
      <c r="R100" s="26"/>
      <c r="S100" s="38">
        <f t="shared" si="58"/>
        <v>1</v>
      </c>
      <c r="T100" s="53" t="str">
        <f t="shared" si="77"/>
        <v>Southbound</v>
      </c>
      <c r="U100" s="13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13:27:15-0600',mode:absolute,to:'2016-08-16 16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00" s="55" t="str">
        <f t="shared" si="78"/>
        <v>N</v>
      </c>
      <c r="X100" s="129">
        <f t="shared" si="83"/>
        <v>1</v>
      </c>
      <c r="Y100" s="70">
        <f t="shared" si="79"/>
        <v>23.297999999999998</v>
      </c>
      <c r="Z100" s="70">
        <f t="shared" si="74"/>
        <v>1.6299999999999999E-2</v>
      </c>
      <c r="AA100" s="70">
        <f t="shared" si="80"/>
        <v>23.281699999999997</v>
      </c>
      <c r="AB100" s="67" t="e">
        <f>VLOOKUP(A100,Enforcements!$C$7:$J$24,8,0)</f>
        <v>#N/A</v>
      </c>
      <c r="AC100" s="63" t="e">
        <f>VLOOKUP(A100,Enforcements!$C$7:$E$24,3,0)</f>
        <v>#N/A</v>
      </c>
      <c r="AD100" s="64" t="str">
        <f t="shared" si="81"/>
        <v>0182-16</v>
      </c>
      <c r="AE100" s="104" t="str">
        <f t="shared" si="68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100" s="101" t="str">
        <f t="shared" si="69"/>
        <v>"C:\Program Files (x86)\AstroGrep\AstroGrep.exe" /spath="%USERPROFILE%\AppData\Local\Temp\OnboardLogs" /stypes="*4043*20160816*" /stext=" 21:.+((SYSTEM_STATE.+slice.+state.+changed )|(ment ac)|(system.+state.+changed )|(\|lc)|(penalty)|(\[timeout)|(PRM\|1\|D)|(kpr)|(kdp))" /e /r /s</v>
      </c>
      <c r="AG100" s="1" t="str">
        <f t="shared" si="82"/>
        <v>EC</v>
      </c>
      <c r="AH100" s="105" t="str">
        <f t="shared" si="73"/>
        <v>"%USERPROFILE%\Documents\GitHub\eaglep3\Utilities\RefineRTDCRunTimes.py" --tripid 182-16 --locoid 4043 --swversion DE.1.0.7.0 --startMP 204:232980 --initTime 2016-08-16T14:27:15 --startdatetime 2016-08-16T14:28:28 --delay 1 --endMP 204:163 --enddatetime 2016-08-16T15:19:24 --enforcementcount 1</v>
      </c>
    </row>
    <row r="101" spans="1:34" x14ac:dyDescent="0.25">
      <c r="A101" s="40" t="s">
        <v>429</v>
      </c>
      <c r="B101" s="7">
        <v>4031</v>
      </c>
      <c r="C101" s="25" t="s">
        <v>119</v>
      </c>
      <c r="D101" s="25" t="s">
        <v>157</v>
      </c>
      <c r="E101" s="16">
        <v>42598.585821759261</v>
      </c>
      <c r="F101" s="16">
        <v>42598.587141203701</v>
      </c>
      <c r="G101" s="7">
        <v>1</v>
      </c>
      <c r="H101" s="16" t="s">
        <v>430</v>
      </c>
      <c r="I101" s="16">
        <v>42598.616087962961</v>
      </c>
      <c r="J101" s="7">
        <v>1</v>
      </c>
      <c r="K101" s="142" t="str">
        <f t="shared" si="72"/>
        <v>4031/4032</v>
      </c>
      <c r="L101" s="25" t="str">
        <f>VLOOKUP(A101,'Trips&amp;Operators'!$C$1:$E$10000,3,FALSE)</f>
        <v>MAYBERRY</v>
      </c>
      <c r="M101" s="6">
        <f t="shared" si="76"/>
        <v>2.8946759259270038E-2</v>
      </c>
      <c r="N101" s="7">
        <f t="shared" si="67"/>
        <v>41.683333333348855</v>
      </c>
      <c r="O101" s="7"/>
      <c r="P101" s="7"/>
      <c r="Q101" s="26"/>
      <c r="R101" s="26"/>
      <c r="S101" s="38">
        <f t="shared" si="58"/>
        <v>1</v>
      </c>
      <c r="T101" s="53" t="str">
        <f t="shared" si="77"/>
        <v>NorthBound</v>
      </c>
      <c r="U101" s="13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13:03:35-0600',mode:absolute,to:'2016-08-16 15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1" s="55" t="str">
        <f t="shared" si="78"/>
        <v>N</v>
      </c>
      <c r="X101" s="129">
        <f t="shared" si="83"/>
        <v>1</v>
      </c>
      <c r="Y101" s="70">
        <f t="shared" si="79"/>
        <v>4.5699999999999998E-2</v>
      </c>
      <c r="Z101" s="70">
        <f t="shared" si="74"/>
        <v>23.329799999999999</v>
      </c>
      <c r="AA101" s="70">
        <f t="shared" si="80"/>
        <v>23.284099999999999</v>
      </c>
      <c r="AB101" s="67" t="e">
        <f>VLOOKUP(A101,Enforcements!$C$7:$J$24,8,0)</f>
        <v>#N/A</v>
      </c>
      <c r="AC101" s="63" t="e">
        <f>VLOOKUP(A101,Enforcements!$C$7:$E$24,3,0)</f>
        <v>#N/A</v>
      </c>
      <c r="AD101" s="64" t="str">
        <f t="shared" si="81"/>
        <v>0183-16</v>
      </c>
      <c r="AE101" s="104" t="str">
        <f t="shared" si="68"/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AF101" s="101" t="str">
        <f t="shared" si="69"/>
        <v>"C:\Program Files (x86)\AstroGrep\AstroGrep.exe" /spath="%USERPROFILE%\AppData\Local\Temp\OnboardLogs" /stypes="*4031*20160816*" /stext=" 20:.+((SYSTEM_STATE.+slice.+state.+changed )|(ment ac)|(system.+state.+changed )|(\|lc)|(penalty)|(\[timeout)|(PRM\|1\|D)|(kpr)|(kdp))" /e /r /s</v>
      </c>
      <c r="AG101" s="1" t="str">
        <f t="shared" si="82"/>
        <v>EC</v>
      </c>
      <c r="AH101" s="105" t="str">
        <f t="shared" si="73"/>
        <v>"%USERPROFILE%\Documents\GitHub\eaglep3\Utilities\RefineRTDCRunTimes.py" --tripid 183-16 --locoid 4031 --swversion DE.1.0.7.0 --startMP 204:457 --initTime 2016-08-16T14:03:35 --startdatetime 2016-08-16T14:05:29 --delay 1 --endMP 204:233298 --enddatetime 2016-08-16T14:47:10 --enforcementcount 1</v>
      </c>
    </row>
    <row r="102" spans="1:34" x14ac:dyDescent="0.25">
      <c r="A102" s="40" t="s">
        <v>431</v>
      </c>
      <c r="B102" s="7">
        <v>4032</v>
      </c>
      <c r="C102" s="25" t="s">
        <v>119</v>
      </c>
      <c r="D102" s="25" t="s">
        <v>183</v>
      </c>
      <c r="E102" s="16">
        <v>42598.617893518516</v>
      </c>
      <c r="F102" s="16">
        <v>42598.622881944444</v>
      </c>
      <c r="G102" s="7">
        <v>7</v>
      </c>
      <c r="H102" s="16" t="s">
        <v>218</v>
      </c>
      <c r="I102" s="16">
        <v>42598.652430555558</v>
      </c>
      <c r="J102" s="7">
        <v>1</v>
      </c>
      <c r="K102" s="142" t="str">
        <f t="shared" si="72"/>
        <v>4031/4032</v>
      </c>
      <c r="L102" s="25" t="str">
        <f>VLOOKUP(A102,'Trips&amp;Operators'!$C$1:$E$10000,3,FALSE)</f>
        <v>MAYBERRY</v>
      </c>
      <c r="M102" s="6">
        <f t="shared" si="76"/>
        <v>2.9548611113568768E-2</v>
      </c>
      <c r="N102" s="7">
        <f t="shared" si="67"/>
        <v>42.550000003539026</v>
      </c>
      <c r="O102" s="7"/>
      <c r="P102" s="7"/>
      <c r="Q102" s="26"/>
      <c r="R102" s="26"/>
      <c r="S102" s="38">
        <f t="shared" si="58"/>
        <v>1</v>
      </c>
      <c r="T102" s="53" t="str">
        <f t="shared" si="77"/>
        <v>Southbound</v>
      </c>
      <c r="U102" s="13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13:49:46-0600',mode:absolute,to:'2016-08-16 16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2" s="55" t="str">
        <f t="shared" si="78"/>
        <v>N</v>
      </c>
      <c r="X102" s="129">
        <f t="shared" si="83"/>
        <v>1</v>
      </c>
      <c r="Y102" s="70">
        <f t="shared" si="79"/>
        <v>23.297599999999999</v>
      </c>
      <c r="Z102" s="70">
        <f t="shared" si="74"/>
        <v>1.67E-2</v>
      </c>
      <c r="AA102" s="70">
        <f t="shared" si="80"/>
        <v>23.280899999999999</v>
      </c>
      <c r="AB102" s="67" t="e">
        <f>VLOOKUP(A102,Enforcements!$C$7:$J$24,8,0)</f>
        <v>#N/A</v>
      </c>
      <c r="AC102" s="63" t="e">
        <f>VLOOKUP(A102,Enforcements!$C$7:$E$24,3,0)</f>
        <v>#N/A</v>
      </c>
      <c r="AD102" s="64" t="str">
        <f t="shared" si="81"/>
        <v>0184-16</v>
      </c>
      <c r="AE102" s="104" t="str">
        <f t="shared" si="68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102" s="101" t="str">
        <f t="shared" si="69"/>
        <v>"C:\Program Files (x86)\AstroGrep\AstroGrep.exe" /spath="%USERPROFILE%\AppData\Local\Temp\OnboardLogs" /stypes="*4032*20160816*" /stext=" 21:.+((SYSTEM_STATE.+slice.+state.+changed )|(ment ac)|(system.+state.+changed )|(\|lc)|(penalty)|(\[timeout)|(PRM\|1\|D)|(kpr)|(kdp))" /e /r /s</v>
      </c>
      <c r="AG102" s="1" t="str">
        <f t="shared" si="82"/>
        <v>EC</v>
      </c>
      <c r="AH102" s="105" t="str">
        <f t="shared" si="73"/>
        <v>"%USERPROFILE%\Documents\GitHub\eaglep3\Utilities\RefineRTDCRunTimes.py" --tripid 184-16 --locoid 4032 --swversion DE.1.0.7.0 --startMP 204:232976 --initTime 2016-08-16T14:49:46 --startdatetime 2016-08-16T14:56:57 --delay 7 --endMP 204:167 --enddatetime 2016-08-16T15:39:30 --enforcementcount 1</v>
      </c>
    </row>
    <row r="103" spans="1:34" x14ac:dyDescent="0.25">
      <c r="A103" s="40" t="s">
        <v>432</v>
      </c>
      <c r="B103" s="7">
        <v>4011</v>
      </c>
      <c r="C103" s="25" t="s">
        <v>119</v>
      </c>
      <c r="D103" s="25" t="s">
        <v>168</v>
      </c>
      <c r="E103" s="16">
        <v>42598.592812499999</v>
      </c>
      <c r="F103" s="16">
        <v>42598.594837962963</v>
      </c>
      <c r="G103" s="7">
        <v>2</v>
      </c>
      <c r="H103" s="16" t="s">
        <v>433</v>
      </c>
      <c r="I103" s="16">
        <v>42598.62736111111</v>
      </c>
      <c r="J103" s="7">
        <v>1</v>
      </c>
      <c r="K103" s="142" t="str">
        <f t="shared" si="72"/>
        <v>4011/4012</v>
      </c>
      <c r="L103" s="25" t="str">
        <f>VLOOKUP(A103,'Trips&amp;Operators'!$C$1:$E$10000,3,FALSE)</f>
        <v>GRASTON</v>
      </c>
      <c r="M103" s="6">
        <f t="shared" si="76"/>
        <v>3.25231481474475E-2</v>
      </c>
      <c r="N103" s="7">
        <f t="shared" si="67"/>
        <v>46.833333332324401</v>
      </c>
      <c r="O103" s="7"/>
      <c r="P103" s="7"/>
      <c r="Q103" s="26"/>
      <c r="R103" s="26"/>
      <c r="S103" s="38">
        <f t="shared" si="58"/>
        <v>1</v>
      </c>
      <c r="T103" s="53" t="str">
        <f t="shared" si="77"/>
        <v>NorthBound</v>
      </c>
      <c r="U103" s="13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13:13:39-0600',mode:absolute,to:'2016-08-16 16:03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03" s="55" t="str">
        <f t="shared" si="78"/>
        <v>N</v>
      </c>
      <c r="X103" s="129">
        <f t="shared" si="83"/>
        <v>1</v>
      </c>
      <c r="Y103" s="70">
        <f t="shared" si="79"/>
        <v>4.4200000000000003E-2</v>
      </c>
      <c r="Z103" s="70">
        <f t="shared" si="74"/>
        <v>23.326599999999999</v>
      </c>
      <c r="AA103" s="70">
        <f t="shared" si="80"/>
        <v>23.282399999999999</v>
      </c>
      <c r="AB103" s="67" t="e">
        <f>VLOOKUP(A103,Enforcements!$C$7:$J$24,8,0)</f>
        <v>#N/A</v>
      </c>
      <c r="AC103" s="63" t="e">
        <f>VLOOKUP(A103,Enforcements!$C$7:$E$24,3,0)</f>
        <v>#N/A</v>
      </c>
      <c r="AD103" s="64" t="str">
        <f t="shared" si="81"/>
        <v>0185-16</v>
      </c>
      <c r="AE103" s="104" t="str">
        <f t="shared" si="68"/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AF103" s="101" t="str">
        <f t="shared" si="69"/>
        <v>"C:\Program Files (x86)\AstroGrep\AstroGrep.exe" /spath="%USERPROFILE%\AppData\Local\Temp\OnboardLogs" /stypes="*4011*20160816*" /stext=" 21:.+((SYSTEM_STATE.+slice.+state.+changed )|(ment ac)|(system.+state.+changed )|(\|lc)|(penalty)|(\[timeout)|(PRM\|1\|D)|(kpr)|(kdp))" /e /r /s</v>
      </c>
      <c r="AG103" s="1" t="str">
        <f t="shared" si="82"/>
        <v>EC</v>
      </c>
      <c r="AH103" s="105" t="str">
        <f t="shared" si="73"/>
        <v>"%USERPROFILE%\Documents\GitHub\eaglep3\Utilities\RefineRTDCRunTimes.py" --tripid 185-16 --locoid 4011 --swversion DE.1.0.7.0 --startMP 204:442 --initTime 2016-08-16T14:13:39 --startdatetime 2016-08-16T14:16:34 --delay 2 --endMP 204:233266 --enddatetime 2016-08-16T15:03:24 --enforcementcount 1</v>
      </c>
    </row>
    <row r="104" spans="1:34" x14ac:dyDescent="0.25">
      <c r="A104" s="40" t="s">
        <v>434</v>
      </c>
      <c r="B104" s="7">
        <v>4012</v>
      </c>
      <c r="C104" s="25" t="s">
        <v>119</v>
      </c>
      <c r="D104" s="25" t="s">
        <v>181</v>
      </c>
      <c r="E104" s="16">
        <v>42598.630740740744</v>
      </c>
      <c r="F104" s="16">
        <v>42598.631678240738</v>
      </c>
      <c r="G104" s="7">
        <v>1</v>
      </c>
      <c r="H104" s="16" t="s">
        <v>435</v>
      </c>
      <c r="I104" s="16">
        <v>42598.661134259259</v>
      </c>
      <c r="J104" s="7">
        <v>1</v>
      </c>
      <c r="K104" s="142" t="str">
        <f t="shared" si="72"/>
        <v>4011/4012</v>
      </c>
      <c r="L104" s="25" t="str">
        <f>VLOOKUP(A104,'Trips&amp;Operators'!$C$1:$E$10000,3,FALSE)</f>
        <v>GRASTON</v>
      </c>
      <c r="M104" s="6">
        <f t="shared" si="76"/>
        <v>2.9456018521159422E-2</v>
      </c>
      <c r="N104" s="7"/>
      <c r="O104" s="7"/>
      <c r="P104" s="7">
        <f>24*60*SUM($M104:$M104)</f>
        <v>42.416666670469567</v>
      </c>
      <c r="Q104" s="26"/>
      <c r="R104" s="26" t="s">
        <v>697</v>
      </c>
      <c r="S104" s="38">
        <f t="shared" si="58"/>
        <v>1</v>
      </c>
      <c r="T104" s="53" t="str">
        <f t="shared" si="77"/>
        <v>Southbound</v>
      </c>
      <c r="U104" s="13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14:08:16-0600',mode:absolute,to:'2016-08-16 16:52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04" s="55" t="str">
        <f t="shared" si="78"/>
        <v>Y</v>
      </c>
      <c r="X104" s="129">
        <f t="shared" si="83"/>
        <v>1</v>
      </c>
      <c r="Y104" s="70">
        <f t="shared" si="79"/>
        <v>23.296500000000002</v>
      </c>
      <c r="Z104" s="70">
        <f t="shared" si="74"/>
        <v>1.8734999999999999</v>
      </c>
      <c r="AA104" s="70">
        <f t="shared" si="80"/>
        <v>21.423000000000002</v>
      </c>
      <c r="AB104" s="67" t="e">
        <f>VLOOKUP(A104,Enforcements!$C$7:$J$24,8,0)</f>
        <v>#N/A</v>
      </c>
      <c r="AC104" s="63" t="e">
        <f>VLOOKUP(A104,Enforcements!$C$7:$E$24,3,0)</f>
        <v>#N/A</v>
      </c>
      <c r="AD104" s="64" t="str">
        <f t="shared" si="81"/>
        <v>0186-16</v>
      </c>
      <c r="AE104" s="104" t="str">
        <f t="shared" si="68"/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AF104" s="101" t="str">
        <f t="shared" si="69"/>
        <v>"C:\Program Files (x86)\AstroGrep\AstroGrep.exe" /spath="%USERPROFILE%\AppData\Local\Temp\OnboardLogs" /stypes="*4012*20160816*" /stext=" 21:.+((SYSTEM_STATE.+slice.+state.+changed )|(ment ac)|(system.+state.+changed )|(\|lc)|(penalty)|(\[timeout)|(PRM\|1\|D)|(kpr)|(kdp))" /e /r /s</v>
      </c>
      <c r="AG104" s="1" t="str">
        <f t="shared" si="82"/>
        <v>EC</v>
      </c>
      <c r="AH104" s="105" t="str">
        <f t="shared" si="73"/>
        <v>"%USERPROFILE%\Documents\GitHub\eaglep3\Utilities\RefineRTDCRunTimes.py" --tripid 186-16 --locoid 4012 --swversion DE.1.0.7.0 --startMP 204:232965 --initTime 2016-08-16T15:08:16 --startdatetime 2016-08-16T15:09:37 --delay 1 --endMP 204:18735 --enddatetime 2016-08-16T15:52:02 --enforcementcount 1</v>
      </c>
    </row>
    <row r="105" spans="1:34" x14ac:dyDescent="0.25">
      <c r="A105" s="40" t="s">
        <v>436</v>
      </c>
      <c r="B105" s="7">
        <v>4018</v>
      </c>
      <c r="C105" s="25" t="s">
        <v>119</v>
      </c>
      <c r="D105" s="25" t="s">
        <v>152</v>
      </c>
      <c r="E105" s="16">
        <v>42598.602708333332</v>
      </c>
      <c r="F105" s="16">
        <v>42598.603495370371</v>
      </c>
      <c r="G105" s="7">
        <v>1</v>
      </c>
      <c r="H105" s="16" t="s">
        <v>437</v>
      </c>
      <c r="I105" s="16">
        <v>42598.629849537036</v>
      </c>
      <c r="J105" s="7">
        <v>1</v>
      </c>
      <c r="K105" s="142" t="str">
        <f t="shared" si="72"/>
        <v>4017/4018</v>
      </c>
      <c r="L105" s="25" t="str">
        <f>VLOOKUP(A105,'Trips&amp;Operators'!$C$1:$E$10000,3,FALSE)</f>
        <v>BARTLETT</v>
      </c>
      <c r="M105" s="6">
        <f t="shared" si="76"/>
        <v>2.6354166664532386E-2</v>
      </c>
      <c r="N105" s="7">
        <f>24*60*SUM($M105:$M105)</f>
        <v>37.949999996926636</v>
      </c>
      <c r="O105" s="7"/>
      <c r="P105" s="7"/>
      <c r="Q105" s="26"/>
      <c r="R105" s="26"/>
      <c r="S105" s="38">
        <f t="shared" si="58"/>
        <v>1</v>
      </c>
      <c r="T105" s="53" t="str">
        <f t="shared" si="77"/>
        <v>NorthBound</v>
      </c>
      <c r="U105" s="13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13:27:54-0600',mode:absolute,to:'2016-08-16 16:06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05" s="55" t="str">
        <f t="shared" si="78"/>
        <v>N</v>
      </c>
      <c r="X105" s="129">
        <f t="shared" si="83"/>
        <v>1</v>
      </c>
      <c r="Y105" s="70">
        <f t="shared" si="79"/>
        <v>4.58E-2</v>
      </c>
      <c r="Z105" s="70">
        <f t="shared" si="74"/>
        <v>23.334599999999998</v>
      </c>
      <c r="AA105" s="70">
        <f t="shared" si="80"/>
        <v>23.288799999999998</v>
      </c>
      <c r="AB105" s="67" t="e">
        <f>VLOOKUP(A105,Enforcements!$C$7:$J$24,8,0)</f>
        <v>#N/A</v>
      </c>
      <c r="AC105" s="63" t="e">
        <f>VLOOKUP(A105,Enforcements!$C$7:$E$24,3,0)</f>
        <v>#N/A</v>
      </c>
      <c r="AD105" s="64" t="str">
        <f t="shared" si="81"/>
        <v>0187-16</v>
      </c>
      <c r="AE105" s="104" t="str">
        <f t="shared" si="68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105" s="101" t="str">
        <f t="shared" si="69"/>
        <v>"C:\Program Files (x86)\AstroGrep\AstroGrep.exe" /spath="%USERPROFILE%\AppData\Local\Temp\OnboardLogs" /stypes="*4018*20160816*" /stext=" 21:.+((SYSTEM_STATE.+slice.+state.+changed )|(ment ac)|(system.+state.+changed )|(\|lc)|(penalty)|(\[timeout)|(PRM\|1\|D)|(kpr)|(kdp))" /e /r /s</v>
      </c>
      <c r="AG105" s="1" t="str">
        <f t="shared" si="82"/>
        <v>EC</v>
      </c>
      <c r="AH105" s="105" t="str">
        <f t="shared" si="73"/>
        <v>"%USERPROFILE%\Documents\GitHub\eaglep3\Utilities\RefineRTDCRunTimes.py" --tripid 187-16 --locoid 4018 --swversion DE.1.0.7.0 --startMP 204:458 --initTime 2016-08-16T14:27:54 --startdatetime 2016-08-16T14:29:02 --delay 1 --endMP 204:233346 --enddatetime 2016-08-16T15:06:59 --enforcementcount 1</v>
      </c>
    </row>
    <row r="106" spans="1:34" s="24" customFormat="1" x14ac:dyDescent="0.25">
      <c r="A106" s="40" t="s">
        <v>438</v>
      </c>
      <c r="B106" s="7">
        <v>4017</v>
      </c>
      <c r="C106" s="25" t="s">
        <v>119</v>
      </c>
      <c r="D106" s="25" t="s">
        <v>254</v>
      </c>
      <c r="E106" s="16">
        <v>42598.63921296296</v>
      </c>
      <c r="F106" s="16">
        <v>42598.640138888892</v>
      </c>
      <c r="G106" s="7">
        <v>1</v>
      </c>
      <c r="H106" s="16" t="s">
        <v>145</v>
      </c>
      <c r="I106" s="16">
        <v>42598.670520833337</v>
      </c>
      <c r="J106" s="7">
        <v>1</v>
      </c>
      <c r="K106" s="142" t="str">
        <f t="shared" si="72"/>
        <v>4017/4018</v>
      </c>
      <c r="L106" s="25" t="str">
        <f>VLOOKUP(A106,'Trips&amp;Operators'!$C$1:$E$10000,3,FALSE)</f>
        <v>BARTLETT</v>
      </c>
      <c r="M106" s="6">
        <f t="shared" si="76"/>
        <v>3.0381944445252884E-2</v>
      </c>
      <c r="N106" s="7">
        <f>24*60*SUM($M106:$M106)</f>
        <v>43.750000001164153</v>
      </c>
      <c r="O106" s="7"/>
      <c r="P106" s="7"/>
      <c r="Q106" s="26"/>
      <c r="R106" s="26"/>
      <c r="S106" s="38">
        <f t="shared" si="58"/>
        <v>1</v>
      </c>
      <c r="T106" s="53" t="str">
        <f t="shared" si="77"/>
        <v>Southbound</v>
      </c>
      <c r="U106" s="13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14:20:28-0600',mode:absolute,to:'2016-08-16 17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06" s="55" t="str">
        <f t="shared" si="78"/>
        <v>N</v>
      </c>
      <c r="X106" s="129">
        <f t="shared" si="83"/>
        <v>1</v>
      </c>
      <c r="Y106" s="70">
        <f t="shared" si="79"/>
        <v>23.3017</v>
      </c>
      <c r="Z106" s="70">
        <f t="shared" si="74"/>
        <v>1.49E-2</v>
      </c>
      <c r="AA106" s="70">
        <f t="shared" si="80"/>
        <v>23.286799999999999</v>
      </c>
      <c r="AB106" s="67" t="e">
        <f>VLOOKUP(A106,Enforcements!$C$7:$J$24,8,0)</f>
        <v>#N/A</v>
      </c>
      <c r="AC106" s="63" t="e">
        <f>VLOOKUP(A106,Enforcements!$C$7:$E$24,3,0)</f>
        <v>#N/A</v>
      </c>
      <c r="AD106" s="64" t="str">
        <f t="shared" si="81"/>
        <v>0188-16</v>
      </c>
      <c r="AE106" s="104" t="str">
        <f t="shared" si="68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106" s="101" t="str">
        <f t="shared" si="69"/>
        <v>"C:\Program Files (x86)\AstroGrep\AstroGrep.exe" /spath="%USERPROFILE%\AppData\Local\Temp\OnboardLogs" /stypes="*4017*20160816*" /stext=" 22:.+((SYSTEM_STATE.+slice.+state.+changed )|(ment ac)|(system.+state.+changed )|(\|lc)|(penalty)|(\[timeout)|(PRM\|1\|D)|(kpr)|(kdp))" /e /r /s</v>
      </c>
      <c r="AG106" s="1" t="str">
        <f t="shared" si="82"/>
        <v>EC</v>
      </c>
      <c r="AH106" s="105" t="str">
        <f t="shared" si="73"/>
        <v>"%USERPROFILE%\Documents\GitHub\eaglep3\Utilities\RefineRTDCRunTimes.py" --tripid 188-16 --locoid 4017 --swversion DE.1.0.7.0 --startMP 204:233017 --initTime 2016-08-16T15:20:28 --startdatetime 2016-08-16T15:21:48 --delay 1 --endMP 204:149 --enddatetime 2016-08-16T16:05:33 --enforcementcount 1</v>
      </c>
    </row>
    <row r="107" spans="1:34" s="24" customFormat="1" x14ac:dyDescent="0.25">
      <c r="A107" s="40" t="s">
        <v>439</v>
      </c>
      <c r="B107" s="7">
        <v>4038</v>
      </c>
      <c r="C107" s="25" t="s">
        <v>119</v>
      </c>
      <c r="D107" s="25" t="s">
        <v>144</v>
      </c>
      <c r="E107" s="16">
        <v>42598.613599537035</v>
      </c>
      <c r="F107" s="16">
        <v>42598.614814814813</v>
      </c>
      <c r="G107" s="7">
        <v>1</v>
      </c>
      <c r="H107" s="16" t="s">
        <v>159</v>
      </c>
      <c r="I107" s="16">
        <v>42598.642175925925</v>
      </c>
      <c r="J107" s="7">
        <v>1</v>
      </c>
      <c r="K107" s="142" t="str">
        <f t="shared" si="72"/>
        <v>4037/4038</v>
      </c>
      <c r="L107" s="25" t="str">
        <f>VLOOKUP(A107,'Trips&amp;Operators'!$C$1:$E$10000,3,FALSE)</f>
        <v>STEWART</v>
      </c>
      <c r="M107" s="6">
        <f t="shared" si="76"/>
        <v>2.73611111115315E-2</v>
      </c>
      <c r="N107" s="7">
        <f>24*60*SUM($M107:$M107)</f>
        <v>39.40000000060536</v>
      </c>
      <c r="O107" s="7"/>
      <c r="P107" s="7"/>
      <c r="Q107" s="26"/>
      <c r="R107" s="26"/>
      <c r="S107" s="38">
        <f t="shared" si="58"/>
        <v>1</v>
      </c>
      <c r="T107" s="53" t="str">
        <f t="shared" si="77"/>
        <v>NorthBound</v>
      </c>
      <c r="U107" s="13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13:43:35-0600',mode:absolute,to:'2016-08-16 16:24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07" s="55" t="str">
        <f t="shared" si="78"/>
        <v>N</v>
      </c>
      <c r="X107" s="129">
        <f t="shared" si="83"/>
        <v>1</v>
      </c>
      <c r="Y107" s="70">
        <f t="shared" si="79"/>
        <v>4.4900000000000002E-2</v>
      </c>
      <c r="Z107" s="70">
        <f t="shared" si="74"/>
        <v>23.332000000000001</v>
      </c>
      <c r="AA107" s="70">
        <f t="shared" si="80"/>
        <v>23.287100000000002</v>
      </c>
      <c r="AB107" s="67" t="e">
        <f>VLOOKUP(A107,Enforcements!$C$7:$J$24,8,0)</f>
        <v>#N/A</v>
      </c>
      <c r="AC107" s="63" t="e">
        <f>VLOOKUP(A107,Enforcements!$C$7:$E$24,3,0)</f>
        <v>#N/A</v>
      </c>
      <c r="AD107" s="64" t="str">
        <f t="shared" si="81"/>
        <v>0189-16</v>
      </c>
      <c r="AE107" s="104" t="str">
        <f t="shared" si="68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107" s="101" t="str">
        <f t="shared" si="69"/>
        <v>"C:\Program Files (x86)\AstroGrep\AstroGrep.exe" /spath="%USERPROFILE%\AppData\Local\Temp\OnboardLogs" /stypes="*4038*20160816*" /stext=" 21:.+((SYSTEM_STATE.+slice.+state.+changed )|(ment ac)|(system.+state.+changed )|(\|lc)|(penalty)|(\[timeout)|(PRM\|1\|D)|(kpr)|(kdp))" /e /r /s</v>
      </c>
      <c r="AG107" s="1" t="str">
        <f t="shared" si="82"/>
        <v>EC</v>
      </c>
      <c r="AH107" s="105" t="str">
        <f t="shared" si="73"/>
        <v>"%USERPROFILE%\Documents\GitHub\eaglep3\Utilities\RefineRTDCRunTimes.py" --tripid 189-16 --locoid 4038 --swversion DE.1.0.7.0 --startMP 204:449 --initTime 2016-08-16T14:43:35 --startdatetime 2016-08-16T14:45:20 --delay 1 --endMP 204:233320 --enddatetime 2016-08-16T15:24:44 --enforcementcount 1</v>
      </c>
    </row>
    <row r="108" spans="1:34" x14ac:dyDescent="0.25">
      <c r="A108" s="40" t="s">
        <v>440</v>
      </c>
      <c r="B108" s="7">
        <v>4037</v>
      </c>
      <c r="C108" s="25" t="s">
        <v>119</v>
      </c>
      <c r="D108" s="25" t="s">
        <v>441</v>
      </c>
      <c r="E108" s="16">
        <v>42598.650706018518</v>
      </c>
      <c r="F108" s="16">
        <v>42598.651655092595</v>
      </c>
      <c r="G108" s="7">
        <v>1</v>
      </c>
      <c r="H108" s="16" t="s">
        <v>442</v>
      </c>
      <c r="I108" s="16">
        <v>42598.684745370374</v>
      </c>
      <c r="J108" s="7">
        <v>1</v>
      </c>
      <c r="K108" s="142" t="str">
        <f t="shared" si="72"/>
        <v>4037/4038</v>
      </c>
      <c r="L108" s="25" t="str">
        <f>VLOOKUP(A108,'Trips&amp;Operators'!$C$1:$E$10000,3,FALSE)</f>
        <v>STEWART</v>
      </c>
      <c r="M108" s="6">
        <f t="shared" si="76"/>
        <v>3.309027777868323E-2</v>
      </c>
      <c r="N108" s="7">
        <f>24*60*SUM($M108:$M108)</f>
        <v>47.650000001303852</v>
      </c>
      <c r="O108" s="7"/>
      <c r="P108" s="7"/>
      <c r="Q108" s="26"/>
      <c r="R108" s="26"/>
      <c r="S108" s="38">
        <f t="shared" si="58"/>
        <v>1</v>
      </c>
      <c r="T108" s="53" t="str">
        <f t="shared" si="77"/>
        <v>Southbound</v>
      </c>
      <c r="U108" s="13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08" s="55" t="str">
        <f t="shared" si="78"/>
        <v>N</v>
      </c>
      <c r="X108" s="129">
        <f t="shared" si="83"/>
        <v>1</v>
      </c>
      <c r="Y108" s="70">
        <f t="shared" si="79"/>
        <v>23.2957</v>
      </c>
      <c r="Z108" s="70">
        <f t="shared" si="74"/>
        <v>2.3599999999999999E-2</v>
      </c>
      <c r="AA108" s="70">
        <f t="shared" si="80"/>
        <v>23.272100000000002</v>
      </c>
      <c r="AB108" s="67">
        <f>VLOOKUP(A108,Enforcements!$C$7:$J$24,8,0)</f>
        <v>30562</v>
      </c>
      <c r="AC108" s="63" t="str">
        <f>VLOOKUP(A108,Enforcements!$C$7:$E$24,3,0)</f>
        <v>PERMANENT SPEED RESTRICTION</v>
      </c>
      <c r="AD108" s="64" t="str">
        <f t="shared" si="81"/>
        <v>0190-16</v>
      </c>
      <c r="AE108" s="104" t="str">
        <f t="shared" si="6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108" s="101" t="str">
        <f t="shared" si="69"/>
        <v>"C:\Program Files (x86)\AstroGrep\AstroGrep.exe" /spath="%USERPROFILE%\AppData\Local\Temp\OnboardLogs" /stypes="*4037*20160816*" /stext=" 22:.+((SYSTEM_STATE.+slice.+state.+changed )|(ment ac)|(system.+state.+changed )|(\|lc)|(penalty)|(\[timeout)|(PRM\|1\|D)|(kpr)|(kdp))" /e /r /s</v>
      </c>
      <c r="AG108" s="1" t="str">
        <f t="shared" si="82"/>
        <v>EC</v>
      </c>
      <c r="AH108" s="105" t="str">
        <f t="shared" si="73"/>
        <v>"%USERPROFILE%\Documents\GitHub\eaglep3\Utilities\RefineRTDCRunTimes.py" --tripid 190-16 --locoid 4037 --swversion DE.1.0.7.0 --startMP 204:232957 --initTime 2016-08-16T15:37:01 --startdatetime 2016-08-16T15:38:23 --delay 1 --endMP 204:236 --enddatetime 2016-08-16T16:26:02 --enforcementcount 1</v>
      </c>
    </row>
    <row r="109" spans="1:34" x14ac:dyDescent="0.25">
      <c r="A109" s="40" t="s">
        <v>443</v>
      </c>
      <c r="B109" s="7">
        <v>4029</v>
      </c>
      <c r="C109" s="25" t="s">
        <v>119</v>
      </c>
      <c r="D109" s="25" t="s">
        <v>247</v>
      </c>
      <c r="E109" s="16">
        <v>42598.622800925928</v>
      </c>
      <c r="F109" s="16">
        <v>42598.62395833333</v>
      </c>
      <c r="G109" s="7">
        <v>1</v>
      </c>
      <c r="H109" s="16" t="s">
        <v>380</v>
      </c>
      <c r="I109" s="16">
        <v>42598.650972222225</v>
      </c>
      <c r="J109" s="7">
        <v>1</v>
      </c>
      <c r="K109" s="142" t="str">
        <f t="shared" si="72"/>
        <v>4029/4030</v>
      </c>
      <c r="L109" s="25" t="str">
        <f>VLOOKUP(A109,'Trips&amp;Operators'!$C$1:$E$10000,3,FALSE)</f>
        <v>HELVIE</v>
      </c>
      <c r="M109" s="6">
        <f t="shared" si="76"/>
        <v>2.701388889545342E-2</v>
      </c>
      <c r="N109" s="7">
        <f>24*60*SUM($M109:$M109)</f>
        <v>38.900000009452924</v>
      </c>
      <c r="O109" s="7"/>
      <c r="P109" s="7"/>
      <c r="Q109" s="26"/>
      <c r="R109" s="26"/>
      <c r="S109" s="38">
        <f t="shared" si="58"/>
        <v>1</v>
      </c>
      <c r="T109" s="53" t="str">
        <f t="shared" si="77"/>
        <v>NorthBound</v>
      </c>
      <c r="U109" s="13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13:56:50-0600',mode:absolute,to:'2016-08-16 16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09" s="55" t="str">
        <f t="shared" si="78"/>
        <v>N</v>
      </c>
      <c r="X109" s="129">
        <f t="shared" si="83"/>
        <v>1</v>
      </c>
      <c r="Y109" s="70">
        <f t="shared" si="79"/>
        <v>4.7300000000000002E-2</v>
      </c>
      <c r="Z109" s="70">
        <f t="shared" si="74"/>
        <v>23.331900000000001</v>
      </c>
      <c r="AA109" s="70">
        <f t="shared" si="80"/>
        <v>23.284600000000001</v>
      </c>
      <c r="AB109" s="67" t="e">
        <f>VLOOKUP(A109,Enforcements!$C$7:$J$24,8,0)</f>
        <v>#N/A</v>
      </c>
      <c r="AC109" s="63" t="e">
        <f>VLOOKUP(A109,Enforcements!$C$7:$E$24,3,0)</f>
        <v>#N/A</v>
      </c>
      <c r="AD109" s="64" t="str">
        <f t="shared" si="81"/>
        <v>0191-16</v>
      </c>
      <c r="AE109" s="104" t="str">
        <f t="shared" si="68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109" s="101" t="str">
        <f t="shared" si="69"/>
        <v>"C:\Program Files (x86)\AstroGrep\AstroGrep.exe" /spath="%USERPROFILE%\AppData\Local\Temp\OnboardLogs" /stypes="*4029*20160816*" /stext=" 21:.+((SYSTEM_STATE.+slice.+state.+changed )|(ment ac)|(system.+state.+changed )|(\|lc)|(penalty)|(\[timeout)|(PRM\|1\|D)|(kpr)|(kdp))" /e /r /s</v>
      </c>
      <c r="AG109" s="1" t="str">
        <f t="shared" si="82"/>
        <v>EC</v>
      </c>
      <c r="AH109" s="105" t="str">
        <f t="shared" si="73"/>
        <v>"%USERPROFILE%\Documents\GitHub\eaglep3\Utilities\RefineRTDCRunTimes.py" --tripid 191-16 --locoid 4029 --swversion DE.1.0.7.0 --startMP 204:473 --initTime 2016-08-16T14:56:50 --startdatetime 2016-08-16T14:58:30 --delay 1 --endMP 204:233319 --enddatetime 2016-08-16T15:37:24 --enforcementcount 1</v>
      </c>
    </row>
    <row r="110" spans="1:34" s="24" customFormat="1" x14ac:dyDescent="0.25">
      <c r="A110" s="40" t="s">
        <v>444</v>
      </c>
      <c r="B110" s="7">
        <v>4030</v>
      </c>
      <c r="C110" s="25" t="s">
        <v>119</v>
      </c>
      <c r="D110" s="25" t="s">
        <v>364</v>
      </c>
      <c r="E110" s="16">
        <v>42598.675821759258</v>
      </c>
      <c r="F110" s="16">
        <v>42598.676759259259</v>
      </c>
      <c r="G110" s="7">
        <v>1</v>
      </c>
      <c r="H110" s="16" t="s">
        <v>169</v>
      </c>
      <c r="I110" s="16">
        <v>42598.695763888885</v>
      </c>
      <c r="J110" s="7">
        <v>1</v>
      </c>
      <c r="K110" s="142" t="str">
        <f t="shared" si="72"/>
        <v>4029/4030</v>
      </c>
      <c r="L110" s="25" t="str">
        <f>VLOOKUP(A110,'Trips&amp;Operators'!$C$1:$E$10000,3,FALSE)</f>
        <v>HELVIE</v>
      </c>
      <c r="M110" s="6">
        <f t="shared" si="76"/>
        <v>1.9004629626579117E-2</v>
      </c>
      <c r="N110" s="7"/>
      <c r="O110" s="7"/>
      <c r="P110" s="7">
        <f>24*60*SUM($M110:$M111)</f>
        <v>46.266666658921167</v>
      </c>
      <c r="Q110" s="26"/>
      <c r="R110" s="26" t="s">
        <v>698</v>
      </c>
      <c r="S110" s="38">
        <f t="shared" si="58"/>
        <v>1</v>
      </c>
      <c r="T110" s="53" t="str">
        <f t="shared" si="77"/>
        <v>Southbound</v>
      </c>
      <c r="U110" s="13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15:13:11-0600',mode:absolute,to:'2016-08-16 17:41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0" s="55" t="str">
        <f t="shared" si="78"/>
        <v>Y</v>
      </c>
      <c r="X110" s="129">
        <f t="shared" si="83"/>
        <v>1</v>
      </c>
      <c r="Y110" s="70">
        <f t="shared" si="79"/>
        <v>12.786099999999999</v>
      </c>
      <c r="Z110" s="70">
        <f t="shared" si="74"/>
        <v>1.6500000000000001E-2</v>
      </c>
      <c r="AA110" s="70">
        <f t="shared" si="80"/>
        <v>12.769599999999999</v>
      </c>
      <c r="AB110" s="67" t="e">
        <f>VLOOKUP(A110,Enforcements!$C$7:$J$24,8,0)</f>
        <v>#N/A</v>
      </c>
      <c r="AC110" s="63" t="e">
        <f>VLOOKUP(A110,Enforcements!$C$7:$E$24,3,0)</f>
        <v>#N/A</v>
      </c>
      <c r="AD110" s="64" t="str">
        <f t="shared" si="81"/>
        <v>0192-16</v>
      </c>
      <c r="AE110" s="104" t="str">
        <f t="shared" si="6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110" s="101" t="str">
        <f t="shared" si="69"/>
        <v>"C:\Program Files (x86)\AstroGrep\AstroGrep.exe" /spath="%USERPROFILE%\AppData\Local\Temp\OnboardLogs" /stypes="*4030*20160816*" /stext=" 22:.+((SYSTEM_STATE.+slice.+state.+changed )|(ment ac)|(system.+state.+changed )|(\|lc)|(penalty)|(\[timeout)|(PRM\|1\|D)|(kpr)|(kdp))" /e /r /s</v>
      </c>
      <c r="AG110" s="1" t="str">
        <f t="shared" si="82"/>
        <v>EC</v>
      </c>
      <c r="AH110" s="105" t="str">
        <f t="shared" si="73"/>
        <v>"%USERPROFILE%\Documents\GitHub\eaglep3\Utilities\RefineRTDCRunTimes.py" --tripid 192-16 --locoid 4030 --swversion DE.1.0.7.0 --startMP 204:127861 --initTime 2016-08-16T16:13:11 --startdatetime 2016-08-16T16:14:32 --delay 1 --endMP 204:165 --enddatetime 2016-08-16T16:41:54 --enforcementcount 1</v>
      </c>
    </row>
    <row r="111" spans="1:34" x14ac:dyDescent="0.25">
      <c r="A111" s="40" t="s">
        <v>444</v>
      </c>
      <c r="B111" s="7">
        <v>4030</v>
      </c>
      <c r="C111" s="25" t="s">
        <v>119</v>
      </c>
      <c r="D111" s="25" t="s">
        <v>150</v>
      </c>
      <c r="E111" s="16">
        <v>42598.653506944444</v>
      </c>
      <c r="F111" s="16">
        <v>42598.654756944445</v>
      </c>
      <c r="G111" s="7">
        <v>1</v>
      </c>
      <c r="H111" s="16" t="s">
        <v>445</v>
      </c>
      <c r="I111" s="16">
        <v>42598.667881944442</v>
      </c>
      <c r="J111" s="7">
        <v>1</v>
      </c>
      <c r="K111" s="142" t="str">
        <f t="shared" si="72"/>
        <v>4029/4030</v>
      </c>
      <c r="L111" s="25" t="str">
        <f>VLOOKUP(A111,'Trips&amp;Operators'!$C$1:$E$10000,3,FALSE)</f>
        <v>HELVIE</v>
      </c>
      <c r="M111" s="6">
        <f t="shared" si="76"/>
        <v>1.3124999997671694E-2</v>
      </c>
      <c r="N111" s="7"/>
      <c r="O111" s="7"/>
      <c r="P111" s="7"/>
      <c r="Q111" s="26"/>
      <c r="R111" s="26"/>
      <c r="S111" s="38"/>
      <c r="T111" s="53" t="str">
        <f t="shared" si="77"/>
        <v>Southbound</v>
      </c>
      <c r="U111" s="13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0</v>
      </c>
      <c r="V111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14:41:03-0600',mode:absolute,to:'2016-08-16 17:01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1" s="55" t="str">
        <f t="shared" si="78"/>
        <v>Y</v>
      </c>
      <c r="X111" s="129">
        <f t="shared" ref="X111:X153" si="84">VALUE(LEFT(AD111,4))-VALUE(LEFT(AD110,4))</f>
        <v>0</v>
      </c>
      <c r="Y111" s="70">
        <f t="shared" si="79"/>
        <v>23.298300000000001</v>
      </c>
      <c r="Z111" s="70">
        <f t="shared" si="74"/>
        <v>19.410499999999999</v>
      </c>
      <c r="AA111" s="70">
        <f t="shared" si="80"/>
        <v>3.8878000000000021</v>
      </c>
      <c r="AB111" s="67" t="e">
        <f>VLOOKUP(A111,Enforcements!$C$7:$J$24,8,0)</f>
        <v>#N/A</v>
      </c>
      <c r="AC111" s="63" t="e">
        <f>VLOOKUP(A111,Enforcements!$C$7:$E$24,3,0)</f>
        <v>#N/A</v>
      </c>
      <c r="AD111" s="64" t="str">
        <f t="shared" si="81"/>
        <v>0192-16</v>
      </c>
      <c r="AE111" s="104" t="str">
        <f t="shared" si="6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111" s="101" t="str">
        <f t="shared" si="69"/>
        <v>"C:\Program Files (x86)\AstroGrep\AstroGrep.exe" /spath="%USERPROFILE%\AppData\Local\Temp\OnboardLogs" /stypes="*4030*20160816*" /stext=" 22:.+((SYSTEM_STATE.+slice.+state.+changed )|(ment ac)|(system.+state.+changed )|(\|lc)|(penalty)|(\[timeout)|(PRM\|1\|D)|(kpr)|(kdp))" /e /r /s</v>
      </c>
      <c r="AG111" s="1" t="str">
        <f t="shared" si="82"/>
        <v>EC</v>
      </c>
      <c r="AH111" s="105" t="str">
        <f t="shared" si="73"/>
        <v>"%USERPROFILE%\Documents\GitHub\eaglep3\Utilities\RefineRTDCRunTimes.py" --tripid 192-16 --locoid 4030 --swversion DE.1.0.7.0 --startMP 204:232983 --initTime 2016-08-16T15:41:03 --startdatetime 2016-08-16T15:42:51 --delay 1 --endMP 204:194105 --enddatetime 2016-08-16T16:01:45 --enforcementcount 1</v>
      </c>
    </row>
    <row r="112" spans="1:34" x14ac:dyDescent="0.25">
      <c r="A112" s="40" t="s">
        <v>446</v>
      </c>
      <c r="B112" s="7">
        <v>4009</v>
      </c>
      <c r="C112" s="25" t="s">
        <v>119</v>
      </c>
      <c r="D112" s="25" t="s">
        <v>61</v>
      </c>
      <c r="E112" s="16">
        <v>42598.630532407406</v>
      </c>
      <c r="F112" s="16">
        <v>42598.631319444445</v>
      </c>
      <c r="G112" s="7">
        <v>1</v>
      </c>
      <c r="H112" s="16" t="s">
        <v>427</v>
      </c>
      <c r="I112" s="16">
        <v>42598.660601851851</v>
      </c>
      <c r="J112" s="7">
        <v>1</v>
      </c>
      <c r="K112" s="142" t="str">
        <f t="shared" si="72"/>
        <v>4009/4010</v>
      </c>
      <c r="L112" s="25" t="str">
        <f>VLOOKUP(A112,'Trips&amp;Operators'!$C$1:$E$10000,3,FALSE)</f>
        <v>HAITHCOX</v>
      </c>
      <c r="M112" s="6">
        <f t="shared" si="76"/>
        <v>2.9282407405844424E-2</v>
      </c>
      <c r="N112" s="7">
        <f>24*60*SUM($M112:$M112)</f>
        <v>42.16666666441597</v>
      </c>
      <c r="O112" s="7"/>
      <c r="P112" s="7"/>
      <c r="Q112" s="26"/>
      <c r="R112" s="26"/>
      <c r="S112" s="38">
        <f t="shared" ref="S112:S123" si="85">SUM(U112:U112)/IF(AG112="EC",12,1)</f>
        <v>1</v>
      </c>
      <c r="T112" s="53" t="str">
        <f t="shared" si="77"/>
        <v>NorthBound</v>
      </c>
      <c r="U112" s="13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14:07:58-0600',mode:absolute,to:'2016-08-16 16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2" s="55" t="str">
        <f t="shared" si="78"/>
        <v>N</v>
      </c>
      <c r="X112" s="129">
        <f t="shared" si="84"/>
        <v>1</v>
      </c>
      <c r="Y112" s="70">
        <f t="shared" si="79"/>
        <v>4.5999999999999999E-2</v>
      </c>
      <c r="Z112" s="70">
        <f t="shared" si="74"/>
        <v>23.3307</v>
      </c>
      <c r="AA112" s="70">
        <f t="shared" si="80"/>
        <v>23.284700000000001</v>
      </c>
      <c r="AB112" s="67" t="e">
        <f>VLOOKUP(A112,Enforcements!$C$7:$J$24,8,0)</f>
        <v>#N/A</v>
      </c>
      <c r="AC112" s="63" t="e">
        <f>VLOOKUP(A112,Enforcements!$C$7:$E$24,3,0)</f>
        <v>#N/A</v>
      </c>
      <c r="AD112" s="64" t="str">
        <f t="shared" si="81"/>
        <v>0193-16</v>
      </c>
      <c r="AE112" s="104" t="str">
        <f t="shared" si="68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112" s="101" t="str">
        <f t="shared" si="69"/>
        <v>"C:\Program Files (x86)\AstroGrep\AstroGrep.exe" /spath="%USERPROFILE%\AppData\Local\Temp\OnboardLogs" /stypes="*4009*20160816*" /stext=" 21:.+((SYSTEM_STATE.+slice.+state.+changed )|(ment ac)|(system.+state.+changed )|(\|lc)|(penalty)|(\[timeout)|(PRM\|1\|D)|(kpr)|(kdp))" /e /r /s</v>
      </c>
      <c r="AG112" s="1" t="str">
        <f t="shared" si="82"/>
        <v>EC</v>
      </c>
      <c r="AH112" s="105" t="str">
        <f t="shared" si="73"/>
        <v>"%USERPROFILE%\Documents\GitHub\eaglep3\Utilities\RefineRTDCRunTimes.py" --tripid 193-16 --locoid 4009 --swversion DE.1.0.7.0 --startMP 204:460 --initTime 2016-08-16T15:07:58 --startdatetime 2016-08-16T15:09:06 --delay 1 --endMP 204:233307 --enddatetime 2016-08-16T15:51:16 --enforcementcount 1</v>
      </c>
    </row>
    <row r="113" spans="1:34" x14ac:dyDescent="0.25">
      <c r="A113" s="40" t="s">
        <v>447</v>
      </c>
      <c r="B113" s="7">
        <v>4010</v>
      </c>
      <c r="C113" s="25" t="s">
        <v>119</v>
      </c>
      <c r="D113" s="25" t="s">
        <v>143</v>
      </c>
      <c r="E113" s="16">
        <v>42598.668715277781</v>
      </c>
      <c r="F113" s="16">
        <v>42598.66946759259</v>
      </c>
      <c r="G113" s="7">
        <v>1</v>
      </c>
      <c r="H113" s="16" t="s">
        <v>180</v>
      </c>
      <c r="I113" s="16">
        <v>42598.702939814815</v>
      </c>
      <c r="J113" s="7">
        <v>1</v>
      </c>
      <c r="K113" s="142" t="str">
        <f t="shared" si="72"/>
        <v>4009/4010</v>
      </c>
      <c r="L113" s="25" t="str">
        <f>VLOOKUP(A113,'Trips&amp;Operators'!$C$1:$E$10000,3,FALSE)</f>
        <v>HAITHCOX</v>
      </c>
      <c r="M113" s="6">
        <f t="shared" si="76"/>
        <v>3.3472222225100268E-2</v>
      </c>
      <c r="N113" s="7">
        <f>24*60*SUM($M113:$M113)</f>
        <v>48.200000004144385</v>
      </c>
      <c r="O113" s="7"/>
      <c r="P113" s="7"/>
      <c r="Q113" s="26"/>
      <c r="R113" s="26"/>
      <c r="S113" s="38">
        <f t="shared" si="85"/>
        <v>1</v>
      </c>
      <c r="T113" s="53" t="str">
        <f t="shared" si="77"/>
        <v>Southbound</v>
      </c>
      <c r="U113" s="13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15:02:57-0600',mode:absolute,to:'2016-08-16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3" s="55" t="str">
        <f t="shared" si="78"/>
        <v>N</v>
      </c>
      <c r="X113" s="129">
        <f t="shared" si="84"/>
        <v>1</v>
      </c>
      <c r="Y113" s="70">
        <f t="shared" si="79"/>
        <v>23.299399999999999</v>
      </c>
      <c r="Z113" s="70">
        <f t="shared" si="74"/>
        <v>1.54E-2</v>
      </c>
      <c r="AA113" s="70">
        <f t="shared" si="80"/>
        <v>23.283999999999999</v>
      </c>
      <c r="AB113" s="67" t="e">
        <f>VLOOKUP(A113,Enforcements!$C$7:$J$24,8,0)</f>
        <v>#N/A</v>
      </c>
      <c r="AC113" s="63" t="e">
        <f>VLOOKUP(A113,Enforcements!$C$7:$E$24,3,0)</f>
        <v>#N/A</v>
      </c>
      <c r="AD113" s="64" t="str">
        <f t="shared" si="81"/>
        <v>0194-16</v>
      </c>
      <c r="AE113" s="104" t="str">
        <f t="shared" si="68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113" s="101" t="str">
        <f t="shared" si="69"/>
        <v>"C:\Program Files (x86)\AstroGrep\AstroGrep.exe" /spath="%USERPROFILE%\AppData\Local\Temp\OnboardLogs" /stypes="*4010*20160816*" /stext=" 22:.+((SYSTEM_STATE.+slice.+state.+changed )|(ment ac)|(system.+state.+changed )|(\|lc)|(penalty)|(\[timeout)|(PRM\|1\|D)|(kpr)|(kdp))" /e /r /s</v>
      </c>
      <c r="AG113" s="1" t="str">
        <f t="shared" si="82"/>
        <v>EC</v>
      </c>
      <c r="AH113" s="105" t="str">
        <f t="shared" si="73"/>
        <v>"%USERPROFILE%\Documents\GitHub\eaglep3\Utilities\RefineRTDCRunTimes.py" --tripid 194-16 --locoid 4010 --swversion DE.1.0.7.0 --startMP 204:232994 --initTime 2016-08-16T16:02:57 --startdatetime 2016-08-16T16:04:02 --delay 1 --endMP 204:154 --enddatetime 2016-08-16T16:52:14 --enforcementcount 1</v>
      </c>
    </row>
    <row r="114" spans="1:34" x14ac:dyDescent="0.25">
      <c r="A114" s="40" t="s">
        <v>448</v>
      </c>
      <c r="B114" s="7">
        <v>4044</v>
      </c>
      <c r="C114" s="25" t="s">
        <v>119</v>
      </c>
      <c r="D114" s="25" t="s">
        <v>114</v>
      </c>
      <c r="E114" s="16">
        <v>42598.640069444446</v>
      </c>
      <c r="F114" s="16">
        <v>42598.641006944446</v>
      </c>
      <c r="G114" s="7">
        <v>1</v>
      </c>
      <c r="H114" s="16" t="s">
        <v>449</v>
      </c>
      <c r="I114" s="16">
        <v>42598.665405092594</v>
      </c>
      <c r="J114" s="7">
        <v>1</v>
      </c>
      <c r="K114" s="142" t="str">
        <f t="shared" si="72"/>
        <v>4043/4044</v>
      </c>
      <c r="L114" s="25" t="str">
        <f>VLOOKUP(A114,'Trips&amp;Operators'!$C$1:$E$10000,3,FALSE)</f>
        <v>NEWELL</v>
      </c>
      <c r="M114" s="6">
        <f t="shared" si="76"/>
        <v>2.4398148147156462E-2</v>
      </c>
      <c r="N114" s="7"/>
      <c r="O114" s="7"/>
      <c r="P114" s="7">
        <f>24*60*SUM($M114:$M114)</f>
        <v>35.133333331905305</v>
      </c>
      <c r="Q114" s="26"/>
      <c r="R114" s="26" t="s">
        <v>699</v>
      </c>
      <c r="S114" s="38">
        <f t="shared" si="85"/>
        <v>1</v>
      </c>
      <c r="T114" s="53" t="str">
        <f t="shared" si="77"/>
        <v>NorthBound</v>
      </c>
      <c r="U114" s="13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14:21:42-0600',mode:absolute,to:'2016-08-16 16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4" s="55" t="str">
        <f t="shared" si="78"/>
        <v>Y</v>
      </c>
      <c r="X114" s="129">
        <f t="shared" si="84"/>
        <v>1</v>
      </c>
      <c r="Y114" s="70">
        <f t="shared" si="79"/>
        <v>4.6199999999999998E-2</v>
      </c>
      <c r="Z114" s="70">
        <f t="shared" si="74"/>
        <v>16.080200000000001</v>
      </c>
      <c r="AA114" s="70">
        <f t="shared" si="80"/>
        <v>16.034000000000002</v>
      </c>
      <c r="AB114" s="67" t="e">
        <f>VLOOKUP(A114,Enforcements!$C$7:$J$24,8,0)</f>
        <v>#N/A</v>
      </c>
      <c r="AC114" s="63" t="e">
        <f>VLOOKUP(A114,Enforcements!$C$7:$E$24,3,0)</f>
        <v>#N/A</v>
      </c>
      <c r="AD114" s="64" t="str">
        <f t="shared" si="81"/>
        <v>0195-16</v>
      </c>
      <c r="AE114" s="104" t="str">
        <f t="shared" si="68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114" s="101" t="str">
        <f t="shared" si="69"/>
        <v>"C:\Program Files (x86)\AstroGrep\AstroGrep.exe" /spath="%USERPROFILE%\AppData\Local\Temp\OnboardLogs" /stypes="*4044*20160816*" /stext=" 21:.+((SYSTEM_STATE.+slice.+state.+changed )|(ment ac)|(system.+state.+changed )|(\|lc)|(penalty)|(\[timeout)|(PRM\|1\|D)|(kpr)|(kdp))" /e /r /s</v>
      </c>
      <c r="AG114" s="1" t="str">
        <f t="shared" si="82"/>
        <v>EC</v>
      </c>
      <c r="AH114" s="105" t="str">
        <f t="shared" si="73"/>
        <v>"%USERPROFILE%\Documents\GitHub\eaglep3\Utilities\RefineRTDCRunTimes.py" --tripid 195-16 --locoid 4044 --swversion DE.1.0.7.0 --startMP 204:462 --initTime 2016-08-16T15:21:42 --startdatetime 2016-08-16T15:23:03 --delay 1 --endMP 204:160802 --enddatetime 2016-08-16T15:58:11 --enforcementcount 1</v>
      </c>
    </row>
    <row r="115" spans="1:34" x14ac:dyDescent="0.25">
      <c r="A115" s="40" t="s">
        <v>450</v>
      </c>
      <c r="B115" s="7">
        <v>4043</v>
      </c>
      <c r="C115" s="25" t="s">
        <v>119</v>
      </c>
      <c r="D115" s="25" t="s">
        <v>451</v>
      </c>
      <c r="E115" s="16">
        <v>42598.675358796296</v>
      </c>
      <c r="F115" s="16">
        <v>42598.676307870373</v>
      </c>
      <c r="G115" s="7">
        <v>1</v>
      </c>
      <c r="H115" s="16" t="s">
        <v>92</v>
      </c>
      <c r="I115" s="16">
        <v>42598.711481481485</v>
      </c>
      <c r="J115" s="7">
        <v>1</v>
      </c>
      <c r="K115" s="142" t="str">
        <f t="shared" si="72"/>
        <v>4043/4044</v>
      </c>
      <c r="L115" s="25" t="str">
        <f>VLOOKUP(A115,'Trips&amp;Operators'!$C$1:$E$10000,3,FALSE)</f>
        <v>NEWELL</v>
      </c>
      <c r="M115" s="6">
        <f t="shared" si="76"/>
        <v>3.51736111115315E-2</v>
      </c>
      <c r="N115" s="7">
        <f>24*60*SUM($M115:$M115)</f>
        <v>50.65000000060536</v>
      </c>
      <c r="O115" s="7"/>
      <c r="P115" s="7"/>
      <c r="Q115" s="26"/>
      <c r="R115" s="26"/>
      <c r="S115" s="38">
        <f t="shared" si="85"/>
        <v>1</v>
      </c>
      <c r="T115" s="53" t="str">
        <f t="shared" si="77"/>
        <v>Southbound</v>
      </c>
      <c r="U115" s="13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15:12:31-0600',mode:absolute,to:'2016-08-16 18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5" s="55" t="str">
        <f t="shared" si="78"/>
        <v>N</v>
      </c>
      <c r="X115" s="129">
        <f t="shared" si="84"/>
        <v>1</v>
      </c>
      <c r="Y115" s="70">
        <f t="shared" si="79"/>
        <v>23.3002</v>
      </c>
      <c r="Z115" s="70">
        <f t="shared" si="74"/>
        <v>1.43E-2</v>
      </c>
      <c r="AA115" s="70">
        <f t="shared" si="80"/>
        <v>23.285900000000002</v>
      </c>
      <c r="AB115" s="67" t="e">
        <f>VLOOKUP(A115,Enforcements!$C$7:$J$24,8,0)</f>
        <v>#N/A</v>
      </c>
      <c r="AC115" s="63" t="e">
        <f>VLOOKUP(A115,Enforcements!$C$7:$E$24,3,0)</f>
        <v>#N/A</v>
      </c>
      <c r="AD115" s="64" t="str">
        <f t="shared" si="81"/>
        <v>0196-16</v>
      </c>
      <c r="AE115" s="104" t="str">
        <f t="shared" si="68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115" s="101" t="str">
        <f t="shared" si="69"/>
        <v>"C:\Program Files (x86)\AstroGrep\AstroGrep.exe" /spath="%USERPROFILE%\AppData\Local\Temp\OnboardLogs" /stypes="*4043*20160816*" /stext=" 23:.+((SYSTEM_STATE.+slice.+state.+changed )|(ment ac)|(system.+state.+changed )|(\|lc)|(penalty)|(\[timeout)|(PRM\|1\|D)|(kpr)|(kdp))" /e /r /s</v>
      </c>
      <c r="AG115" s="1" t="str">
        <f t="shared" si="82"/>
        <v>EC</v>
      </c>
      <c r="AH115" s="105" t="str">
        <f t="shared" si="73"/>
        <v>"%USERPROFILE%\Documents\GitHub\eaglep3\Utilities\RefineRTDCRunTimes.py" --tripid 196-16 --locoid 4043 --swversion DE.1.0.7.0 --startMP 204:233002 --initTime 2016-08-16T16:12:31 --startdatetime 2016-08-16T16:13:53 --delay 1 --endMP 204:143 --enddatetime 2016-08-16T17:04:32 --enforcementcount 1</v>
      </c>
    </row>
    <row r="116" spans="1:34" s="24" customFormat="1" x14ac:dyDescent="0.25">
      <c r="A116" s="40" t="s">
        <v>452</v>
      </c>
      <c r="B116" s="7">
        <v>4031</v>
      </c>
      <c r="C116" s="25" t="s">
        <v>119</v>
      </c>
      <c r="D116" s="25" t="s">
        <v>61</v>
      </c>
      <c r="E116" s="16">
        <v>42598.655011574076</v>
      </c>
      <c r="F116" s="16">
        <v>42598.656192129631</v>
      </c>
      <c r="G116" s="7">
        <v>1</v>
      </c>
      <c r="H116" s="16" t="s">
        <v>453</v>
      </c>
      <c r="I116" s="16">
        <v>42598.683680555558</v>
      </c>
      <c r="J116" s="7">
        <v>1</v>
      </c>
      <c r="K116" s="142" t="str">
        <f t="shared" ref="K116:K147" si="86">IF(ISEVEN(B116),(B116-1)&amp;"/"&amp;B116,B116&amp;"/"&amp;(B116+1))</f>
        <v>4031/4032</v>
      </c>
      <c r="L116" s="25" t="str">
        <f>VLOOKUP(A116,'Trips&amp;Operators'!$C$1:$E$10000,3,FALSE)</f>
        <v>MAYBERRY</v>
      </c>
      <c r="M116" s="6">
        <f t="shared" si="76"/>
        <v>2.7488425927003846E-2</v>
      </c>
      <c r="N116" s="7">
        <f>24*60*SUM($M116:$M116)</f>
        <v>39.583333334885538</v>
      </c>
      <c r="O116" s="7"/>
      <c r="P116" s="7"/>
      <c r="Q116" s="26"/>
      <c r="R116" s="26"/>
      <c r="S116" s="38">
        <f t="shared" si="85"/>
        <v>1</v>
      </c>
      <c r="T116" s="53" t="str">
        <f t="shared" si="77"/>
        <v>NorthBound</v>
      </c>
      <c r="U116" s="13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14:43:13-0600',mode:absolute,to:'2016-08-16 17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16" s="55" t="str">
        <f t="shared" si="78"/>
        <v>N</v>
      </c>
      <c r="X116" s="129">
        <f t="shared" si="84"/>
        <v>1</v>
      </c>
      <c r="Y116" s="70">
        <f t="shared" si="79"/>
        <v>4.5999999999999999E-2</v>
      </c>
      <c r="Z116" s="70">
        <f t="shared" si="74"/>
        <v>23.3249</v>
      </c>
      <c r="AA116" s="70">
        <f t="shared" si="80"/>
        <v>23.2789</v>
      </c>
      <c r="AB116" s="67">
        <f>VLOOKUP(A116,Enforcements!$C$7:$J$24,8,0)</f>
        <v>119716</v>
      </c>
      <c r="AC116" s="63" t="str">
        <f>VLOOKUP(A116,Enforcements!$C$7:$E$24,3,0)</f>
        <v>PERMANENT SPEED RESTRICTION</v>
      </c>
      <c r="AD116" s="64" t="str">
        <f t="shared" si="81"/>
        <v>0197-16</v>
      </c>
      <c r="AE116" s="104" t="str">
        <f t="shared" si="68"/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AF116" s="101" t="str">
        <f t="shared" si="69"/>
        <v>"C:\Program Files (x86)\AstroGrep\AstroGrep.exe" /spath="%USERPROFILE%\AppData\Local\Temp\OnboardLogs" /stypes="*4031*20160816*" /stext=" 22:.+((SYSTEM_STATE.+slice.+state.+changed )|(ment ac)|(system.+state.+changed )|(\|lc)|(penalty)|(\[timeout)|(PRM\|1\|D)|(kpr)|(kdp))" /e /r /s</v>
      </c>
      <c r="AG116" s="1" t="str">
        <f t="shared" si="82"/>
        <v>EC</v>
      </c>
      <c r="AH116" s="105" t="str">
        <f t="shared" si="73"/>
        <v>"%USERPROFILE%\Documents\GitHub\eaglep3\Utilities\RefineRTDCRunTimes.py" --tripid 197-16 --locoid 4031 --swversion DE.1.0.7.0 --startMP 204:460 --initTime 2016-08-16T15:43:13 --startdatetime 2016-08-16T15:44:55 --delay 1 --endMP 204:233249 --enddatetime 2016-08-16T16:24:30 --enforcementcount 1</v>
      </c>
    </row>
    <row r="117" spans="1:34" x14ac:dyDescent="0.25">
      <c r="A117" s="40" t="s">
        <v>454</v>
      </c>
      <c r="B117" s="7">
        <v>4032</v>
      </c>
      <c r="C117" s="25" t="s">
        <v>119</v>
      </c>
      <c r="D117" s="25" t="s">
        <v>455</v>
      </c>
      <c r="E117" s="16">
        <v>42598.686469907407</v>
      </c>
      <c r="F117" s="16">
        <v>42598.687592592592</v>
      </c>
      <c r="G117" s="7">
        <v>1</v>
      </c>
      <c r="H117" s="16" t="s">
        <v>174</v>
      </c>
      <c r="I117" s="16">
        <v>42598.725659722222</v>
      </c>
      <c r="J117" s="7">
        <v>1</v>
      </c>
      <c r="K117" s="142" t="str">
        <f t="shared" si="86"/>
        <v>4031/4032</v>
      </c>
      <c r="L117" s="25" t="str">
        <f>VLOOKUP(A117,'Trips&amp;Operators'!$C$1:$E$10000,3,FALSE)</f>
        <v>MAYBERRY</v>
      </c>
      <c r="M117" s="6">
        <f t="shared" si="76"/>
        <v>3.8067129629780538E-2</v>
      </c>
      <c r="N117" s="7">
        <f>24*60*SUM($M117:$M117)</f>
        <v>54.816666666883975</v>
      </c>
      <c r="O117" s="7"/>
      <c r="P117" s="7"/>
      <c r="Q117" s="26"/>
      <c r="R117" s="26"/>
      <c r="S117" s="38">
        <f t="shared" si="85"/>
        <v>1</v>
      </c>
      <c r="T117" s="53" t="str">
        <f t="shared" si="77"/>
        <v>Southbound</v>
      </c>
      <c r="U117" s="13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15:28:31-0600',mode:absolute,to:'2016-08-16 18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17" s="55" t="str">
        <f t="shared" si="78"/>
        <v>N</v>
      </c>
      <c r="X117" s="129">
        <f t="shared" si="84"/>
        <v>1</v>
      </c>
      <c r="Y117" s="70">
        <f t="shared" si="79"/>
        <v>23.2925</v>
      </c>
      <c r="Z117" s="70">
        <f t="shared" si="74"/>
        <v>1.4999999999999999E-2</v>
      </c>
      <c r="AA117" s="70">
        <f t="shared" si="80"/>
        <v>23.2775</v>
      </c>
      <c r="AB117" s="67">
        <f>VLOOKUP(A117,Enforcements!$C$7:$J$24,8,0)</f>
        <v>78469</v>
      </c>
      <c r="AC117" s="63" t="str">
        <f>VLOOKUP(A117,Enforcements!$C$7:$E$24,3,0)</f>
        <v>GRADE CROSSING</v>
      </c>
      <c r="AD117" s="64" t="str">
        <f t="shared" si="81"/>
        <v>0198-16</v>
      </c>
      <c r="AE117" s="104" t="str">
        <f t="shared" si="68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117" s="101" t="str">
        <f t="shared" si="69"/>
        <v>"C:\Program Files (x86)\AstroGrep\AstroGrep.exe" /spath="%USERPROFILE%\AppData\Local\Temp\OnboardLogs" /stypes="*4032*20160816*" /stext=" 23:.+((SYSTEM_STATE.+slice.+state.+changed )|(ment ac)|(system.+state.+changed )|(\|lc)|(penalty)|(\[timeout)|(PRM\|1\|D)|(kpr)|(kdp))" /e /r /s</v>
      </c>
      <c r="AG117" s="1" t="str">
        <f t="shared" si="82"/>
        <v>EC</v>
      </c>
      <c r="AH117" s="105" t="str">
        <f t="shared" si="73"/>
        <v>"%USERPROFILE%\Documents\GitHub\eaglep3\Utilities\RefineRTDCRunTimes.py" --tripid 198-16 --locoid 4032 --swversion DE.1.0.7.0 --startMP 204:232925 --initTime 2016-08-16T16:28:31 --startdatetime 2016-08-16T16:30:08 --delay 1 --endMP 204:150 --enddatetime 2016-08-16T17:24:57 --enforcementcount 1</v>
      </c>
    </row>
    <row r="118" spans="1:34" s="24" customFormat="1" x14ac:dyDescent="0.25">
      <c r="A118" s="40" t="s">
        <v>456</v>
      </c>
      <c r="B118" s="7">
        <v>4003</v>
      </c>
      <c r="C118" s="25" t="s">
        <v>119</v>
      </c>
      <c r="D118" s="25" t="s">
        <v>457</v>
      </c>
      <c r="E118" s="16">
        <v>42598.66810185185</v>
      </c>
      <c r="F118" s="16">
        <v>42598.669490740744</v>
      </c>
      <c r="G118" s="7">
        <v>1</v>
      </c>
      <c r="H118" s="16" t="s">
        <v>458</v>
      </c>
      <c r="I118" s="16">
        <v>42598.697928240741</v>
      </c>
      <c r="J118" s="7">
        <v>1</v>
      </c>
      <c r="K118" s="142" t="str">
        <f t="shared" si="86"/>
        <v>4003/4004</v>
      </c>
      <c r="L118" s="25" t="str">
        <f>VLOOKUP(A118,'Trips&amp;Operators'!$C$1:$E$10000,3,FALSE)</f>
        <v>ROBINSON</v>
      </c>
      <c r="M118" s="6">
        <f t="shared" si="76"/>
        <v>2.8437499997380655E-2</v>
      </c>
      <c r="N118" s="7">
        <f>24*60*SUM($M118:$M118)</f>
        <v>40.949999996228144</v>
      </c>
      <c r="O118" s="7"/>
      <c r="P118" s="7"/>
      <c r="Q118" s="26"/>
      <c r="R118" s="26"/>
      <c r="S118" s="38">
        <f t="shared" si="85"/>
        <v>1</v>
      </c>
      <c r="T118" s="53" t="str">
        <f t="shared" si="77"/>
        <v>NorthBound</v>
      </c>
      <c r="U118" s="13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15:02:04-0600',mode:absolute,to:'2016-08-16 17:45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18" s="55" t="str">
        <f t="shared" si="78"/>
        <v>N</v>
      </c>
      <c r="X118" s="129">
        <f t="shared" si="84"/>
        <v>1</v>
      </c>
      <c r="Y118" s="70">
        <f t="shared" si="79"/>
        <v>3.2000000000000001E-2</v>
      </c>
      <c r="Z118" s="70">
        <f t="shared" si="74"/>
        <v>23.3323</v>
      </c>
      <c r="AA118" s="70">
        <f t="shared" si="80"/>
        <v>23.3003</v>
      </c>
      <c r="AB118" s="67" t="e">
        <f>VLOOKUP(A118,Enforcements!$C$7:$J$24,8,0)</f>
        <v>#N/A</v>
      </c>
      <c r="AC118" s="63" t="e">
        <f>VLOOKUP(A118,Enforcements!$C$7:$E$24,3,0)</f>
        <v>#N/A</v>
      </c>
      <c r="AD118" s="64" t="str">
        <f t="shared" si="81"/>
        <v>0199-16</v>
      </c>
      <c r="AE118" s="104" t="str">
        <f t="shared" si="68"/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AF118" s="101" t="str">
        <f t="shared" si="69"/>
        <v>"C:\Program Files (x86)\AstroGrep\AstroGrep.exe" /spath="%USERPROFILE%\AppData\Local\Temp\OnboardLogs" /stypes="*4003*20160816*" /stext=" 22:.+((SYSTEM_STATE.+slice.+state.+changed )|(ment ac)|(system.+state.+changed )|(\|lc)|(penalty)|(\[timeout)|(PRM\|1\|D)|(kpr)|(kdp))" /e /r /s</v>
      </c>
      <c r="AG118" s="1" t="str">
        <f t="shared" si="82"/>
        <v>EC</v>
      </c>
      <c r="AH118" s="105" t="str">
        <f t="shared" si="73"/>
        <v>"%USERPROFILE%\Documents\GitHub\eaglep3\Utilities\RefineRTDCRunTimes.py" --tripid 199-16 --locoid 4003 --swversion DE.1.0.7.0 --startMP 204:320 --initTime 2016-08-16T16:02:04 --startdatetime 2016-08-16T16:04:04 --delay 1 --endMP 204:233323 --enddatetime 2016-08-16T16:45:01 --enforcementcount 1</v>
      </c>
    </row>
    <row r="119" spans="1:34" x14ac:dyDescent="0.25">
      <c r="A119" s="40" t="s">
        <v>459</v>
      </c>
      <c r="B119" s="7">
        <v>4004</v>
      </c>
      <c r="C119" s="25" t="s">
        <v>119</v>
      </c>
      <c r="D119" s="25" t="s">
        <v>460</v>
      </c>
      <c r="E119" s="16">
        <v>42598.704328703701</v>
      </c>
      <c r="F119" s="16">
        <v>42598.705254629633</v>
      </c>
      <c r="G119" s="7">
        <v>1</v>
      </c>
      <c r="H119" s="16" t="s">
        <v>461</v>
      </c>
      <c r="I119" s="16">
        <v>42598.729571759257</v>
      </c>
      <c r="J119" s="7">
        <v>1</v>
      </c>
      <c r="K119" s="142" t="str">
        <f t="shared" si="86"/>
        <v>4003/4004</v>
      </c>
      <c r="L119" s="25" t="str">
        <f>VLOOKUP(A119,'Trips&amp;Operators'!$C$1:$E$10000,3,FALSE)</f>
        <v>ROBINSON</v>
      </c>
      <c r="M119" s="6">
        <f t="shared" si="76"/>
        <v>2.4317129624250811E-2</v>
      </c>
      <c r="N119" s="7"/>
      <c r="O119" s="7"/>
      <c r="P119" s="7">
        <f>24*60*SUM($M119:$M119)</f>
        <v>35.016666658921167</v>
      </c>
      <c r="Q119" s="26"/>
      <c r="R119" s="26" t="s">
        <v>700</v>
      </c>
      <c r="S119" s="38">
        <f t="shared" si="85"/>
        <v>1</v>
      </c>
      <c r="T119" s="53" t="str">
        <f t="shared" si="77"/>
        <v>Southbound</v>
      </c>
      <c r="U119" s="13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15:54:14-0600',mode:absolute,to:'2016-08-16 18:30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19" s="55" t="str">
        <f t="shared" si="78"/>
        <v>Y</v>
      </c>
      <c r="X119" s="129">
        <f t="shared" si="84"/>
        <v>1</v>
      </c>
      <c r="Y119" s="70">
        <f t="shared" si="79"/>
        <v>23.300599999999999</v>
      </c>
      <c r="Z119" s="70">
        <f t="shared" ref="Z119:Z150" si="87">RIGHT(H119,LEN(H119)-4)/10000</f>
        <v>1.8765000000000001</v>
      </c>
      <c r="AA119" s="70">
        <f t="shared" si="80"/>
        <v>21.424099999999999</v>
      </c>
      <c r="AB119" s="67" t="e">
        <f>VLOOKUP(A119,Enforcements!$C$7:$J$24,8,0)</f>
        <v>#N/A</v>
      </c>
      <c r="AC119" s="63" t="e">
        <f>VLOOKUP(A119,Enforcements!$C$7:$E$24,3,0)</f>
        <v>#N/A</v>
      </c>
      <c r="AD119" s="64" t="str">
        <f t="shared" si="81"/>
        <v>0200-16</v>
      </c>
      <c r="AE119" s="104" t="str">
        <f t="shared" si="68"/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AF119" s="101" t="str">
        <f t="shared" si="69"/>
        <v>"C:\Program Files (x86)\AstroGrep\AstroGrep.exe" /spath="%USERPROFILE%\AppData\Local\Temp\OnboardLogs" /stypes="*4004*20160816*" /stext=" 23:.+((SYSTEM_STATE.+slice.+state.+changed )|(ment ac)|(system.+state.+changed )|(\|lc)|(penalty)|(\[timeout)|(PRM\|1\|D)|(kpr)|(kdp))" /e /r /s</v>
      </c>
      <c r="AG119" s="1" t="str">
        <f t="shared" si="82"/>
        <v>EC</v>
      </c>
      <c r="AH119" s="105" t="str">
        <f t="shared" si="73"/>
        <v>"%USERPROFILE%\Documents\GitHub\eaglep3\Utilities\RefineRTDCRunTimes.py" --tripid 200-16 --locoid 4004 --swversion DE.1.0.7.0 --startMP 204:233006 --initTime 2016-08-16T16:54:14 --startdatetime 2016-08-16T16:55:34 --delay 1 --endMP 204:18765 --enddatetime 2016-08-16T17:30:35 --enforcementcount 1</v>
      </c>
    </row>
    <row r="120" spans="1:34" x14ac:dyDescent="0.25">
      <c r="A120" s="40" t="s">
        <v>462</v>
      </c>
      <c r="B120" s="7">
        <v>4018</v>
      </c>
      <c r="C120" s="25" t="s">
        <v>119</v>
      </c>
      <c r="D120" s="25" t="s">
        <v>463</v>
      </c>
      <c r="E120" s="16">
        <v>42598.672800925924</v>
      </c>
      <c r="F120" s="16">
        <v>42598.673692129632</v>
      </c>
      <c r="G120" s="7">
        <v>1</v>
      </c>
      <c r="H120" s="16" t="s">
        <v>464</v>
      </c>
      <c r="I120" s="16">
        <v>42598.703726851854</v>
      </c>
      <c r="J120" s="7">
        <v>1</v>
      </c>
      <c r="K120" s="142" t="str">
        <f t="shared" si="86"/>
        <v>4017/4018</v>
      </c>
      <c r="L120" s="25" t="str">
        <f>VLOOKUP(A120,'Trips&amp;Operators'!$C$1:$E$10000,3,FALSE)</f>
        <v>BARTLETT</v>
      </c>
      <c r="M120" s="6">
        <f t="shared" si="76"/>
        <v>3.0034722221898846E-2</v>
      </c>
      <c r="N120" s="7">
        <f>24*60*SUM($M120:$M120)</f>
        <v>43.249999999534339</v>
      </c>
      <c r="O120" s="7"/>
      <c r="P120" s="7"/>
      <c r="Q120" s="26"/>
      <c r="R120" s="26"/>
      <c r="S120" s="38">
        <f t="shared" si="85"/>
        <v>1</v>
      </c>
      <c r="T120" s="53" t="str">
        <f t="shared" si="77"/>
        <v>NorthBound</v>
      </c>
      <c r="U120" s="13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15:08:50-0600',mode:absolute,to:'2016-08-16 17:53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0" s="55" t="str">
        <f t="shared" si="78"/>
        <v>N</v>
      </c>
      <c r="X120" s="129">
        <f t="shared" si="84"/>
        <v>1</v>
      </c>
      <c r="Y120" s="70">
        <f t="shared" si="79"/>
        <v>4.3700000000000003E-2</v>
      </c>
      <c r="Z120" s="70">
        <f t="shared" si="87"/>
        <v>23.333600000000001</v>
      </c>
      <c r="AA120" s="70">
        <f t="shared" si="80"/>
        <v>23.289899999999999</v>
      </c>
      <c r="AB120" s="67" t="e">
        <f>VLOOKUP(A120,Enforcements!$C$7:$J$24,8,0)</f>
        <v>#N/A</v>
      </c>
      <c r="AC120" s="63" t="e">
        <f>VLOOKUP(A120,Enforcements!$C$7:$E$24,3,0)</f>
        <v>#N/A</v>
      </c>
      <c r="AD120" s="64" t="str">
        <f t="shared" si="81"/>
        <v>0201-16</v>
      </c>
      <c r="AE120" s="104" t="str">
        <f t="shared" si="68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120" s="101" t="str">
        <f t="shared" si="69"/>
        <v>"C:\Program Files (x86)\AstroGrep\AstroGrep.exe" /spath="%USERPROFILE%\AppData\Local\Temp\OnboardLogs" /stypes="*4018*20160816*" /stext=" 22:.+((SYSTEM_STATE.+slice.+state.+changed )|(ment ac)|(system.+state.+changed )|(\|lc)|(penalty)|(\[timeout)|(PRM\|1\|D)|(kpr)|(kdp))" /e /r /s</v>
      </c>
      <c r="AG120" s="1" t="str">
        <f t="shared" si="82"/>
        <v>EC</v>
      </c>
      <c r="AH120" s="105" t="str">
        <f t="shared" si="73"/>
        <v>"%USERPROFILE%\Documents\GitHub\eaglep3\Utilities\RefineRTDCRunTimes.py" --tripid 201-16 --locoid 4018 --swversion DE.1.0.7.0 --startMP 204:437 --initTime 2016-08-16T16:08:50 --startdatetime 2016-08-16T16:10:07 --delay 1 --endMP 204:233336 --enddatetime 2016-08-16T16:53:22 --enforcementcount 1</v>
      </c>
    </row>
    <row r="121" spans="1:34" x14ac:dyDescent="0.25">
      <c r="A121" s="40" t="s">
        <v>465</v>
      </c>
      <c r="B121" s="7">
        <v>4017</v>
      </c>
      <c r="C121" s="25" t="s">
        <v>119</v>
      </c>
      <c r="D121" s="25" t="s">
        <v>248</v>
      </c>
      <c r="E121" s="16">
        <v>42598.705937500003</v>
      </c>
      <c r="F121" s="16">
        <v>42598.707048611112</v>
      </c>
      <c r="G121" s="7">
        <v>1</v>
      </c>
      <c r="H121" s="16" t="s">
        <v>466</v>
      </c>
      <c r="I121" s="16">
        <v>42598.726400462961</v>
      </c>
      <c r="J121" s="7">
        <v>1</v>
      </c>
      <c r="K121" s="142" t="str">
        <f t="shared" si="86"/>
        <v>4017/4018</v>
      </c>
      <c r="L121" s="25" t="str">
        <f>VLOOKUP(A121,'Trips&amp;Operators'!$C$1:$E$10000,3,FALSE)</f>
        <v>BARTLETT</v>
      </c>
      <c r="M121" s="6">
        <f t="shared" si="76"/>
        <v>1.9351851849933155E-2</v>
      </c>
      <c r="N121" s="7"/>
      <c r="O121" s="7"/>
      <c r="P121" s="7">
        <f>24*60*SUM($M121:$M121)</f>
        <v>27.866666663903743</v>
      </c>
      <c r="Q121" s="26"/>
      <c r="R121" s="26" t="s">
        <v>701</v>
      </c>
      <c r="S121" s="38">
        <f t="shared" si="85"/>
        <v>0</v>
      </c>
      <c r="T121" s="53" t="str">
        <f t="shared" si="77"/>
        <v>Southbound</v>
      </c>
      <c r="U121" s="13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15:56:33-0600',mode:absolute,to:'2016-08-16 18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1" s="55" t="str">
        <f t="shared" si="78"/>
        <v>Y</v>
      </c>
      <c r="X121" s="129">
        <f t="shared" si="84"/>
        <v>1</v>
      </c>
      <c r="Y121" s="70">
        <f t="shared" si="79"/>
        <v>23.300699999999999</v>
      </c>
      <c r="Z121" s="70">
        <f t="shared" si="87"/>
        <v>18.0184</v>
      </c>
      <c r="AA121" s="70">
        <f t="shared" si="80"/>
        <v>5.2822999999999993</v>
      </c>
      <c r="AB121" s="67" t="e">
        <f>VLOOKUP(A121,Enforcements!$C$7:$J$24,8,0)</f>
        <v>#N/A</v>
      </c>
      <c r="AC121" s="63" t="e">
        <f>VLOOKUP(A121,Enforcements!$C$7:$E$24,3,0)</f>
        <v>#N/A</v>
      </c>
      <c r="AD121" s="64" t="str">
        <f t="shared" si="81"/>
        <v>0202-16</v>
      </c>
      <c r="AE121" s="104" t="str">
        <f t="shared" si="68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121" s="101" t="str">
        <f t="shared" si="69"/>
        <v>"C:\Program Files (x86)\AstroGrep\AstroGrep.exe" /spath="%USERPROFILE%\AppData\Local\Temp\OnboardLogs" /stypes="*4017*20160816*" /stext=" 23:.+((SYSTEM_STATE.+slice.+state.+changed )|(ment ac)|(system.+state.+changed )|(\|lc)|(penalty)|(\[timeout)|(PRM\|1\|D)|(kpr)|(kdp))" /e /r /s</v>
      </c>
      <c r="AG121" s="1" t="str">
        <f t="shared" si="82"/>
        <v>EC</v>
      </c>
      <c r="AH121" s="105" t="str">
        <f t="shared" si="73"/>
        <v>"%USERPROFILE%\Documents\GitHub\eaglep3\Utilities\RefineRTDCRunTimes.py" --tripid 202-16 --locoid 4017 --swversion DE.1.0.7.0 --startMP 204:233007 --initTime 2016-08-16T16:56:33 --startdatetime 2016-08-16T16:58:09 --delay 1 --endMP 204:180184 --enddatetime 2016-08-16T17:26:01 --enforcementcount 1</v>
      </c>
    </row>
    <row r="122" spans="1:34" x14ac:dyDescent="0.25">
      <c r="A122" s="40" t="s">
        <v>467</v>
      </c>
      <c r="B122" s="7">
        <v>4038</v>
      </c>
      <c r="C122" s="25" t="s">
        <v>119</v>
      </c>
      <c r="D122" s="25" t="s">
        <v>468</v>
      </c>
      <c r="E122" s="16">
        <v>42598.686435185184</v>
      </c>
      <c r="F122" s="16">
        <v>42598.687256944446</v>
      </c>
      <c r="G122" s="7">
        <v>1</v>
      </c>
      <c r="H122" s="16" t="s">
        <v>179</v>
      </c>
      <c r="I122" s="16">
        <v>42598.719502314816</v>
      </c>
      <c r="J122" s="7">
        <v>1</v>
      </c>
      <c r="K122" s="142" t="str">
        <f t="shared" si="86"/>
        <v>4037/4038</v>
      </c>
      <c r="L122" s="25" t="str">
        <f>VLOOKUP(A122,'Trips&amp;Operators'!$C$1:$E$10000,3,FALSE)</f>
        <v>STEWART</v>
      </c>
      <c r="M122" s="6">
        <f t="shared" si="76"/>
        <v>3.2245370370219462E-2</v>
      </c>
      <c r="N122" s="7">
        <f>24*60*SUM($M122:$M122)</f>
        <v>46.433333333116025</v>
      </c>
      <c r="O122" s="7"/>
      <c r="P122" s="7"/>
      <c r="Q122" s="26"/>
      <c r="R122" s="26"/>
      <c r="S122" s="38">
        <f t="shared" si="85"/>
        <v>1</v>
      </c>
      <c r="T122" s="53" t="str">
        <f t="shared" si="77"/>
        <v>NorthBound</v>
      </c>
      <c r="U122" s="13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15:28:28-0600',mode:absolute,to:'2016-08-16 18:16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22" s="55" t="str">
        <f t="shared" si="78"/>
        <v>N</v>
      </c>
      <c r="X122" s="129">
        <f t="shared" si="84"/>
        <v>1</v>
      </c>
      <c r="Y122" s="70">
        <f t="shared" si="79"/>
        <v>5.4600000000000003E-2</v>
      </c>
      <c r="Z122" s="70">
        <f t="shared" si="87"/>
        <v>23.3291</v>
      </c>
      <c r="AA122" s="70">
        <f t="shared" si="80"/>
        <v>23.2745</v>
      </c>
      <c r="AB122" s="67" t="e">
        <f>VLOOKUP(A122,Enforcements!$C$7:$J$24,8,0)</f>
        <v>#N/A</v>
      </c>
      <c r="AC122" s="63" t="e">
        <f>VLOOKUP(A122,Enforcements!$C$7:$E$24,3,0)</f>
        <v>#N/A</v>
      </c>
      <c r="AD122" s="64" t="str">
        <f t="shared" si="81"/>
        <v>0203-16</v>
      </c>
      <c r="AE122" s="104" t="str">
        <f t="shared" si="68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122" s="101" t="str">
        <f t="shared" si="69"/>
        <v>"C:\Program Files (x86)\AstroGrep\AstroGrep.exe" /spath="%USERPROFILE%\AppData\Local\Temp\OnboardLogs" /stypes="*4038*20160816*" /stext=" 23:.+((SYSTEM_STATE.+slice.+state.+changed )|(ment ac)|(system.+state.+changed )|(\|lc)|(penalty)|(\[timeout)|(PRM\|1\|D)|(kpr)|(kdp))" /e /r /s</v>
      </c>
      <c r="AG122" s="1" t="str">
        <f t="shared" si="82"/>
        <v>EC</v>
      </c>
      <c r="AH122" s="105" t="str">
        <f t="shared" si="73"/>
        <v>"%USERPROFILE%\Documents\GitHub\eaglep3\Utilities\RefineRTDCRunTimes.py" --tripid 203-16 --locoid 4038 --swversion DE.1.0.7.0 --startMP 204:546 --initTime 2016-08-16T16:28:28 --startdatetime 2016-08-16T16:29:39 --delay 1 --endMP 204:233291 --enddatetime 2016-08-16T17:16:05 --enforcementcount 1</v>
      </c>
    </row>
    <row r="123" spans="1:34" x14ac:dyDescent="0.25">
      <c r="A123" s="40" t="s">
        <v>469</v>
      </c>
      <c r="B123" s="7">
        <v>4037</v>
      </c>
      <c r="C123" s="25" t="s">
        <v>119</v>
      </c>
      <c r="D123" s="25" t="s">
        <v>470</v>
      </c>
      <c r="E123" s="16">
        <v>42598.744166666664</v>
      </c>
      <c r="F123" s="16">
        <v>42598.744942129626</v>
      </c>
      <c r="G123" s="7">
        <v>1</v>
      </c>
      <c r="H123" s="16" t="s">
        <v>175</v>
      </c>
      <c r="I123" s="16">
        <v>42598.763726851852</v>
      </c>
      <c r="J123" s="7">
        <v>1</v>
      </c>
      <c r="K123" s="142" t="str">
        <f t="shared" si="86"/>
        <v>4037/4038</v>
      </c>
      <c r="L123" s="25" t="str">
        <f>VLOOKUP(A123,'Trips&amp;Operators'!$C$1:$E$10000,3,FALSE)</f>
        <v>STEWART</v>
      </c>
      <c r="M123" s="6">
        <f t="shared" si="76"/>
        <v>1.8784722225973383E-2</v>
      </c>
      <c r="N123" s="7"/>
      <c r="O123" s="7"/>
      <c r="P123" s="7">
        <f>24*60*SUM($M123:$M124)</f>
        <v>41.800000006332994</v>
      </c>
      <c r="Q123" s="26"/>
      <c r="R123" s="26" t="s">
        <v>698</v>
      </c>
      <c r="S123" s="38">
        <f t="shared" si="85"/>
        <v>1</v>
      </c>
      <c r="T123" s="53" t="str">
        <f t="shared" si="77"/>
        <v>Southbound</v>
      </c>
      <c r="U123" s="13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16:51:36-0600',mode:absolute,to:'2016-08-16 19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3" s="55" t="str">
        <f t="shared" si="78"/>
        <v>Y</v>
      </c>
      <c r="X123" s="129">
        <f t="shared" si="84"/>
        <v>1</v>
      </c>
      <c r="Y123" s="70">
        <f t="shared" si="79"/>
        <v>12.7866</v>
      </c>
      <c r="Z123" s="70">
        <f t="shared" si="87"/>
        <v>1.5599999999999999E-2</v>
      </c>
      <c r="AA123" s="70">
        <f t="shared" si="80"/>
        <v>12.771000000000001</v>
      </c>
      <c r="AB123" s="67" t="e">
        <f>VLOOKUP(A123,Enforcements!$C$7:$J$24,8,0)</f>
        <v>#N/A</v>
      </c>
      <c r="AC123" s="63" t="e">
        <f>VLOOKUP(A123,Enforcements!$C$7:$E$24,3,0)</f>
        <v>#N/A</v>
      </c>
      <c r="AD123" s="64" t="str">
        <f t="shared" si="81"/>
        <v>0204-16</v>
      </c>
      <c r="AE123" s="104" t="str">
        <f t="shared" si="6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123" s="101" t="str">
        <f t="shared" si="69"/>
        <v>"C:\Program Files (x86)\AstroGrep\AstroGrep.exe" /spath="%USERPROFILE%\AppData\Local\Temp\OnboardLogs" /stypes="*4037*20160817*" /stext=" 00:.+((SYSTEM_STATE.+slice.+state.+changed )|(ment ac)|(system.+state.+changed )|(\|lc)|(penalty)|(\[timeout)|(PRM\|1\|D)|(kpr)|(kdp))" /e /r /s</v>
      </c>
      <c r="AG123" s="1" t="str">
        <f t="shared" si="82"/>
        <v>EC</v>
      </c>
      <c r="AH123" s="105" t="str">
        <f t="shared" si="73"/>
        <v>"%USERPROFILE%\Documents\GitHub\eaglep3\Utilities\RefineRTDCRunTimes.py" --tripid 204-16 --locoid 4037 --swversion DE.1.0.7.0 --startMP 204:127866 --initTime 2016-08-16T17:51:36 --startdatetime 2016-08-16T17:52:43 --delay 1 --endMP 204:156 --enddatetime 2016-08-16T18:19:46 --enforcementcount 1</v>
      </c>
    </row>
    <row r="124" spans="1:34" s="24" customFormat="1" x14ac:dyDescent="0.25">
      <c r="A124" s="40" t="s">
        <v>469</v>
      </c>
      <c r="B124" s="7">
        <v>4037</v>
      </c>
      <c r="C124" s="25" t="s">
        <v>119</v>
      </c>
      <c r="D124" s="25" t="s">
        <v>148</v>
      </c>
      <c r="E124" s="16">
        <v>42598.721944444442</v>
      </c>
      <c r="F124" s="16">
        <v>42598.723009259258</v>
      </c>
      <c r="G124" s="7">
        <v>1</v>
      </c>
      <c r="H124" s="16" t="s">
        <v>471</v>
      </c>
      <c r="I124" s="16">
        <v>42598.733252314814</v>
      </c>
      <c r="J124" s="7">
        <v>1</v>
      </c>
      <c r="K124" s="142" t="str">
        <f t="shared" si="86"/>
        <v>4037/4038</v>
      </c>
      <c r="L124" s="25" t="str">
        <f>VLOOKUP(A124,'Trips&amp;Operators'!$C$1:$E$10000,3,FALSE)</f>
        <v>STEWART</v>
      </c>
      <c r="M124" s="6">
        <f t="shared" si="76"/>
        <v>1.0243055556202307E-2</v>
      </c>
      <c r="N124" s="7"/>
      <c r="O124" s="7"/>
      <c r="P124" s="7"/>
      <c r="Q124" s="26"/>
      <c r="R124" s="26"/>
      <c r="S124" s="38"/>
      <c r="T124" s="53" t="str">
        <f t="shared" si="77"/>
        <v>Southbound</v>
      </c>
      <c r="U124" s="13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0</v>
      </c>
      <c r="V124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16:19:36-0600',mode:absolute,to:'2016-08-16 18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24" s="55" t="str">
        <f t="shared" si="78"/>
        <v>Y</v>
      </c>
      <c r="X124" s="129">
        <f t="shared" si="84"/>
        <v>0</v>
      </c>
      <c r="Y124" s="70">
        <f t="shared" si="79"/>
        <v>23.2959</v>
      </c>
      <c r="Z124" s="70">
        <f t="shared" si="87"/>
        <v>19.334399999999999</v>
      </c>
      <c r="AA124" s="70">
        <f t="shared" si="80"/>
        <v>3.9615000000000009</v>
      </c>
      <c r="AB124" s="67" t="e">
        <f>VLOOKUP(A124,Enforcements!$C$7:$J$24,8,0)</f>
        <v>#N/A</v>
      </c>
      <c r="AC124" s="63" t="e">
        <f>VLOOKUP(A124,Enforcements!$C$7:$E$24,3,0)</f>
        <v>#N/A</v>
      </c>
      <c r="AD124" s="64" t="str">
        <f t="shared" si="81"/>
        <v>0204-16</v>
      </c>
      <c r="AE124" s="104" t="str">
        <f t="shared" si="6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124" s="101" t="str">
        <f t="shared" si="69"/>
        <v>"C:\Program Files (x86)\AstroGrep\AstroGrep.exe" /spath="%USERPROFILE%\AppData\Local\Temp\OnboardLogs" /stypes="*4037*20160816*" /stext=" 23:.+((SYSTEM_STATE.+slice.+state.+changed )|(ment ac)|(system.+state.+changed )|(\|lc)|(penalty)|(\[timeout)|(PRM\|1\|D)|(kpr)|(kdp))" /e /r /s</v>
      </c>
      <c r="AG124" s="1" t="str">
        <f t="shared" si="82"/>
        <v>EC</v>
      </c>
      <c r="AH124" s="105" t="str">
        <f t="shared" si="73"/>
        <v>"%USERPROFILE%\Documents\GitHub\eaglep3\Utilities\RefineRTDCRunTimes.py" --tripid 204-16 --locoid 4037 --swversion DE.1.0.7.0 --startMP 204:232959 --initTime 2016-08-16T17:19:36 --startdatetime 2016-08-16T17:21:08 --delay 1 --endMP 204:193344 --enddatetime 2016-08-16T17:35:53 --enforcementcount 1</v>
      </c>
    </row>
    <row r="125" spans="1:34" x14ac:dyDescent="0.25">
      <c r="A125" s="40" t="s">
        <v>472</v>
      </c>
      <c r="B125" s="7">
        <v>4029</v>
      </c>
      <c r="C125" s="25" t="s">
        <v>119</v>
      </c>
      <c r="D125" s="25" t="s">
        <v>182</v>
      </c>
      <c r="E125" s="16">
        <v>42598.697291666664</v>
      </c>
      <c r="F125" s="16">
        <v>42598.698414351849</v>
      </c>
      <c r="G125" s="7">
        <v>1</v>
      </c>
      <c r="H125" s="16" t="s">
        <v>473</v>
      </c>
      <c r="I125" s="16">
        <v>42598.720127314817</v>
      </c>
      <c r="J125" s="7">
        <v>1</v>
      </c>
      <c r="K125" s="142" t="str">
        <f t="shared" si="86"/>
        <v>4029/4030</v>
      </c>
      <c r="L125" s="25" t="str">
        <f>VLOOKUP(A125,'Trips&amp;Operators'!$C$1:$E$10000,3,FALSE)</f>
        <v>HELVIE</v>
      </c>
      <c r="M125" s="6">
        <f t="shared" si="76"/>
        <v>2.1712962967285421E-2</v>
      </c>
      <c r="N125" s="7"/>
      <c r="O125" s="7"/>
      <c r="P125" s="7">
        <f>24*60*SUM($M125:$M125)</f>
        <v>31.266666672891006</v>
      </c>
      <c r="Q125" s="26"/>
      <c r="R125" s="26" t="s">
        <v>699</v>
      </c>
      <c r="S125" s="38">
        <f>SUM(U125:U125)/IF(AG125="EC",12,1)</f>
        <v>1</v>
      </c>
      <c r="T125" s="53" t="str">
        <f t="shared" si="77"/>
        <v>NorthBound</v>
      </c>
      <c r="U125" s="13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15:44:06-0600',mode:absolute,to:'2016-08-16 18:16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5" s="55" t="str">
        <f t="shared" si="78"/>
        <v>Y</v>
      </c>
      <c r="X125" s="129">
        <f t="shared" si="84"/>
        <v>1</v>
      </c>
      <c r="Y125" s="70">
        <f t="shared" si="79"/>
        <v>4.7699999999999999E-2</v>
      </c>
      <c r="Z125" s="70">
        <f t="shared" si="87"/>
        <v>15.7705</v>
      </c>
      <c r="AA125" s="70">
        <f t="shared" si="80"/>
        <v>15.722799999999999</v>
      </c>
      <c r="AB125" s="67" t="e">
        <f>VLOOKUP(A125,Enforcements!$C$7:$J$24,8,0)</f>
        <v>#N/A</v>
      </c>
      <c r="AC125" s="63" t="e">
        <f>VLOOKUP(A125,Enforcements!$C$7:$E$24,3,0)</f>
        <v>#N/A</v>
      </c>
      <c r="AD125" s="64" t="str">
        <f t="shared" si="81"/>
        <v>0205-16</v>
      </c>
      <c r="AE125" s="104" t="str">
        <f t="shared" si="68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125" s="101" t="str">
        <f t="shared" si="69"/>
        <v>"C:\Program Files (x86)\AstroGrep\AstroGrep.exe" /spath="%USERPROFILE%\AppData\Local\Temp\OnboardLogs" /stypes="*4029*20160816*" /stext=" 23:.+((SYSTEM_STATE.+slice.+state.+changed )|(ment ac)|(system.+state.+changed )|(\|lc)|(penalty)|(\[timeout)|(PRM\|1\|D)|(kpr)|(kdp))" /e /r /s</v>
      </c>
      <c r="AG125" s="1" t="str">
        <f t="shared" si="82"/>
        <v>EC</v>
      </c>
      <c r="AH125" s="105" t="str">
        <f t="shared" si="73"/>
        <v>"%USERPROFILE%\Documents\GitHub\eaglep3\Utilities\RefineRTDCRunTimes.py" --tripid 205-16 --locoid 4029 --swversion DE.1.0.7.0 --startMP 204:477 --initTime 2016-08-16T16:44:06 --startdatetime 2016-08-16T16:45:43 --delay 1 --endMP 204:157705 --enddatetime 2016-08-16T17:16:59 --enforcementcount 1</v>
      </c>
    </row>
    <row r="126" spans="1:34" x14ac:dyDescent="0.25">
      <c r="A126" s="40" t="s">
        <v>474</v>
      </c>
      <c r="B126" s="7">
        <v>4030</v>
      </c>
      <c r="C126" s="25" t="s">
        <v>119</v>
      </c>
      <c r="D126" s="25" t="s">
        <v>475</v>
      </c>
      <c r="E126" s="16">
        <v>42598.751192129632</v>
      </c>
      <c r="F126" s="16">
        <v>42598.751875000002</v>
      </c>
      <c r="G126" s="7">
        <v>0</v>
      </c>
      <c r="H126" s="16" t="s">
        <v>156</v>
      </c>
      <c r="I126" s="16">
        <v>42598.769062500003</v>
      </c>
      <c r="J126" s="7">
        <v>1</v>
      </c>
      <c r="K126" s="142" t="str">
        <f t="shared" si="86"/>
        <v>4029/4030</v>
      </c>
      <c r="L126" s="25" t="str">
        <f>VLOOKUP(A126,'Trips&amp;Operators'!$C$1:$E$10000,3,FALSE)</f>
        <v>HELVIE</v>
      </c>
      <c r="M126" s="6">
        <f t="shared" si="76"/>
        <v>1.7187500001455192E-2</v>
      </c>
      <c r="N126" s="7"/>
      <c r="O126" s="7"/>
      <c r="P126" s="7">
        <f>24*60*SUM($M126:$M127)</f>
        <v>37.866666675545275</v>
      </c>
      <c r="Q126" s="26"/>
      <c r="R126" s="26" t="s">
        <v>698</v>
      </c>
      <c r="S126" s="38">
        <f>SUM(U126:U126)/IF(AG126="EC",12,1)</f>
        <v>1</v>
      </c>
      <c r="T126" s="53" t="str">
        <f t="shared" si="77"/>
        <v>Southbound</v>
      </c>
      <c r="U126" s="13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17:01:43-0600',mode:absolute,to:'2016-08-16 19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6" s="55" t="str">
        <f t="shared" si="78"/>
        <v>Y</v>
      </c>
      <c r="X126" s="129">
        <f t="shared" si="84"/>
        <v>1</v>
      </c>
      <c r="Y126" s="70">
        <f t="shared" si="79"/>
        <v>12.787100000000001</v>
      </c>
      <c r="Z126" s="70">
        <f t="shared" si="87"/>
        <v>1.6299999999999999E-2</v>
      </c>
      <c r="AA126" s="70">
        <f t="shared" si="80"/>
        <v>12.770800000000001</v>
      </c>
      <c r="AB126" s="67">
        <f>VLOOKUP(A126,Enforcements!$C$7:$J$24,8,0)</f>
        <v>229055</v>
      </c>
      <c r="AC126" s="63" t="str">
        <f>VLOOKUP(A126,Enforcements!$C$7:$E$24,3,0)</f>
        <v>PERMANENT SPEED RESTRICTION</v>
      </c>
      <c r="AD126" s="64" t="str">
        <f t="shared" si="81"/>
        <v>0206-16</v>
      </c>
      <c r="AE126" s="104" t="str">
        <f t="shared" si="6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126" s="101" t="str">
        <f t="shared" si="69"/>
        <v>"C:\Program Files (x86)\AstroGrep\AstroGrep.exe" /spath="%USERPROFILE%\AppData\Local\Temp\OnboardLogs" /stypes="*4030*20160817*" /stext=" 00:.+((SYSTEM_STATE.+slice.+state.+changed )|(ment ac)|(system.+state.+changed )|(\|lc)|(penalty)|(\[timeout)|(PRM\|1\|D)|(kpr)|(kdp))" /e /r /s</v>
      </c>
      <c r="AG126" s="1" t="str">
        <f t="shared" si="82"/>
        <v>EC</v>
      </c>
      <c r="AH126" s="105" t="str">
        <f t="shared" si="73"/>
        <v>"%USERPROFILE%\Documents\GitHub\eaglep3\Utilities\RefineRTDCRunTimes.py" --tripid 206-16 --locoid 4030 --swversion DE.1.0.7.0 --startMP 204:127871 --initTime 2016-08-16T18:01:43 --startdatetime 2016-08-16T18:02:42 --delay 0 --endMP 204:163 --enddatetime 2016-08-16T18:27:27 --enforcementcount 1</v>
      </c>
    </row>
    <row r="127" spans="1:34" x14ac:dyDescent="0.25">
      <c r="A127" s="40" t="s">
        <v>474</v>
      </c>
      <c r="B127" s="7">
        <v>4030</v>
      </c>
      <c r="C127" s="25" t="s">
        <v>119</v>
      </c>
      <c r="D127" s="25" t="s">
        <v>422</v>
      </c>
      <c r="E127" s="16">
        <v>42598.731354166666</v>
      </c>
      <c r="F127" s="16">
        <v>42598.732245370367</v>
      </c>
      <c r="G127" s="7">
        <v>1</v>
      </c>
      <c r="H127" s="16" t="s">
        <v>476</v>
      </c>
      <c r="I127" s="16">
        <v>42598.741354166668</v>
      </c>
      <c r="J127" s="7">
        <v>1</v>
      </c>
      <c r="K127" s="142" t="str">
        <f t="shared" si="86"/>
        <v>4029/4030</v>
      </c>
      <c r="L127" s="25" t="str">
        <f>VLOOKUP(A127,'Trips&amp;Operators'!$C$1:$E$10000,3,FALSE)</f>
        <v>HELVIE</v>
      </c>
      <c r="M127" s="6">
        <f t="shared" si="76"/>
        <v>9.1087963010068052E-3</v>
      </c>
      <c r="N127" s="7"/>
      <c r="O127" s="7"/>
      <c r="P127" s="7"/>
      <c r="Q127" s="26"/>
      <c r="R127" s="26"/>
      <c r="S127" s="38"/>
      <c r="T127" s="53" t="str">
        <f t="shared" si="77"/>
        <v>Southbound</v>
      </c>
      <c r="U127" s="13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16:33:09-0600',mode:absolute,to:'2016-08-16 18:47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7" s="55" t="str">
        <f t="shared" si="78"/>
        <v>Y</v>
      </c>
      <c r="X127" s="129">
        <f t="shared" si="84"/>
        <v>0</v>
      </c>
      <c r="Y127" s="70">
        <f t="shared" si="79"/>
        <v>23.297999999999998</v>
      </c>
      <c r="Z127" s="70">
        <f t="shared" si="87"/>
        <v>19.299600000000002</v>
      </c>
      <c r="AA127" s="70">
        <f t="shared" si="80"/>
        <v>3.9983999999999966</v>
      </c>
      <c r="AB127" s="67">
        <f>VLOOKUP(A127,Enforcements!$C$7:$J$24,8,0)</f>
        <v>229055</v>
      </c>
      <c r="AC127" s="63" t="str">
        <f>VLOOKUP(A127,Enforcements!$C$7:$E$24,3,0)</f>
        <v>PERMANENT SPEED RESTRICTION</v>
      </c>
      <c r="AD127" s="64" t="str">
        <f t="shared" si="81"/>
        <v>0206-16</v>
      </c>
      <c r="AE127" s="104" t="str">
        <f t="shared" si="6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127" s="101" t="str">
        <f t="shared" si="69"/>
        <v>"C:\Program Files (x86)\AstroGrep\AstroGrep.exe" /spath="%USERPROFILE%\AppData\Local\Temp\OnboardLogs" /stypes="*4030*20160816*" /stext=" 23:.+((SYSTEM_STATE.+slice.+state.+changed )|(ment ac)|(system.+state.+changed )|(\|lc)|(penalty)|(\[timeout)|(PRM\|1\|D)|(kpr)|(kdp))" /e /r /s</v>
      </c>
      <c r="AG127" s="1" t="str">
        <f t="shared" si="82"/>
        <v>EC</v>
      </c>
      <c r="AH127" s="105" t="str">
        <f t="shared" si="73"/>
        <v>"%USERPROFILE%\Documents\GitHub\eaglep3\Utilities\RefineRTDCRunTimes.py" --tripid 206-16 --locoid 4030 --swversion DE.1.0.7.0 --startMP 204:232980 --initTime 2016-08-16T17:33:09 --startdatetime 2016-08-16T17:34:26 --delay 1 --endMP 204:192996 --enddatetime 2016-08-16T17:47:33 --enforcementcount 1</v>
      </c>
    </row>
    <row r="128" spans="1:34" x14ac:dyDescent="0.25">
      <c r="A128" s="40" t="s">
        <v>477</v>
      </c>
      <c r="B128" s="7">
        <v>4009</v>
      </c>
      <c r="C128" s="25" t="s">
        <v>119</v>
      </c>
      <c r="D128" s="25" t="s">
        <v>61</v>
      </c>
      <c r="E128" s="16">
        <v>42598.704270833332</v>
      </c>
      <c r="F128" s="16">
        <v>42598.708472222221</v>
      </c>
      <c r="G128" s="7">
        <v>6</v>
      </c>
      <c r="H128" s="16" t="s">
        <v>478</v>
      </c>
      <c r="I128" s="16">
        <v>42598.732175925928</v>
      </c>
      <c r="J128" s="7">
        <v>1</v>
      </c>
      <c r="K128" s="142" t="str">
        <f t="shared" si="86"/>
        <v>4009/4010</v>
      </c>
      <c r="L128" s="25" t="str">
        <f>VLOOKUP(A128,'Trips&amp;Operators'!$C$1:$E$10000,3,FALSE)</f>
        <v>HAITHCOX</v>
      </c>
      <c r="M128" s="6">
        <f t="shared" si="76"/>
        <v>2.3703703707724344E-2</v>
      </c>
      <c r="N128" s="7"/>
      <c r="O128" s="7"/>
      <c r="P128" s="7">
        <f>24*60*SUM($M128:$M128)</f>
        <v>34.133333339123055</v>
      </c>
      <c r="Q128" s="26"/>
      <c r="R128" s="26" t="s">
        <v>699</v>
      </c>
      <c r="S128" s="38">
        <f t="shared" ref="S128:S161" si="88">SUM(U128:U128)/IF(AG128="EC",12,1)</f>
        <v>1</v>
      </c>
      <c r="T128" s="53" t="str">
        <f t="shared" si="77"/>
        <v>NorthBound</v>
      </c>
      <c r="U128" s="13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15:54:09-0600',mode:absolute,to:'2016-08-16 18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8" s="55" t="str">
        <f t="shared" si="78"/>
        <v>Y</v>
      </c>
      <c r="X128" s="129">
        <f t="shared" si="84"/>
        <v>1</v>
      </c>
      <c r="Y128" s="70">
        <f t="shared" si="79"/>
        <v>4.5999999999999999E-2</v>
      </c>
      <c r="Z128" s="70">
        <f t="shared" si="87"/>
        <v>15.944699999999999</v>
      </c>
      <c r="AA128" s="70">
        <f t="shared" si="80"/>
        <v>15.8987</v>
      </c>
      <c r="AB128" s="67" t="e">
        <f>VLOOKUP(A128,Enforcements!$C$7:$J$24,8,0)</f>
        <v>#N/A</v>
      </c>
      <c r="AC128" s="63" t="e">
        <f>VLOOKUP(A128,Enforcements!$C$7:$E$24,3,0)</f>
        <v>#N/A</v>
      </c>
      <c r="AD128" s="64" t="str">
        <f t="shared" si="81"/>
        <v>0207-16</v>
      </c>
      <c r="AE128" s="104" t="str">
        <f t="shared" si="68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128" s="101" t="str">
        <f t="shared" si="69"/>
        <v>"C:\Program Files (x86)\AstroGrep\AstroGrep.exe" /spath="%USERPROFILE%\AppData\Local\Temp\OnboardLogs" /stypes="*4009*20160816*" /stext=" 23:.+((SYSTEM_STATE.+slice.+state.+changed )|(ment ac)|(system.+state.+changed )|(\|lc)|(penalty)|(\[timeout)|(PRM\|1\|D)|(kpr)|(kdp))" /e /r /s</v>
      </c>
      <c r="AG128" s="1" t="str">
        <f t="shared" si="82"/>
        <v>EC</v>
      </c>
      <c r="AH128" s="105" t="str">
        <f t="shared" si="73"/>
        <v>"%USERPROFILE%\Documents\GitHub\eaglep3\Utilities\RefineRTDCRunTimes.py" --tripid 207-16 --locoid 4009 --swversion DE.1.0.7.0 --startMP 204:460 --initTime 2016-08-16T16:54:09 --startdatetime 2016-08-16T17:00:12 --delay 6 --endMP 204:159447 --enddatetime 2016-08-16T17:34:20 --enforcementcount 1</v>
      </c>
    </row>
    <row r="129" spans="1:34" x14ac:dyDescent="0.25">
      <c r="A129" s="40" t="s">
        <v>479</v>
      </c>
      <c r="B129" s="7">
        <v>4010</v>
      </c>
      <c r="C129" s="25" t="s">
        <v>119</v>
      </c>
      <c r="D129" s="25" t="s">
        <v>311</v>
      </c>
      <c r="E129" s="16">
        <v>42598.74560185185</v>
      </c>
      <c r="F129" s="16">
        <v>42598.747384259259</v>
      </c>
      <c r="G129" s="7">
        <v>2</v>
      </c>
      <c r="H129" s="16" t="s">
        <v>180</v>
      </c>
      <c r="I129" s="16">
        <v>42598.775150462963</v>
      </c>
      <c r="J129" s="7">
        <v>1</v>
      </c>
      <c r="K129" s="142" t="str">
        <f t="shared" si="86"/>
        <v>4009/4010</v>
      </c>
      <c r="L129" s="25" t="str">
        <f>VLOOKUP(A129,'Trips&amp;Operators'!$C$1:$E$10000,3,FALSE)</f>
        <v>HAITHCOX</v>
      </c>
      <c r="M129" s="6">
        <f t="shared" si="76"/>
        <v>2.7766203704231884E-2</v>
      </c>
      <c r="N129" s="7">
        <f>24*60*SUM($M129:$M129)</f>
        <v>39.983333334093913</v>
      </c>
      <c r="O129" s="7"/>
      <c r="P129" s="7"/>
      <c r="Q129" s="26"/>
      <c r="R129" s="26"/>
      <c r="S129" s="38">
        <f t="shared" si="88"/>
        <v>1</v>
      </c>
      <c r="T129" s="53" t="str">
        <f t="shared" si="77"/>
        <v>Southbound</v>
      </c>
      <c r="U129" s="13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16:53:40-0600',mode:absolute,to:'2016-08-16 19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29" s="55" t="str">
        <f t="shared" si="78"/>
        <v>N</v>
      </c>
      <c r="X129" s="129">
        <f t="shared" si="84"/>
        <v>1</v>
      </c>
      <c r="Y129" s="70">
        <f t="shared" si="79"/>
        <v>23.299099999999999</v>
      </c>
      <c r="Z129" s="70">
        <f t="shared" si="87"/>
        <v>1.54E-2</v>
      </c>
      <c r="AA129" s="70">
        <f t="shared" si="80"/>
        <v>23.2837</v>
      </c>
      <c r="AB129" s="67" t="e">
        <f>VLOOKUP(A129,Enforcements!$C$7:$J$24,8,0)</f>
        <v>#N/A</v>
      </c>
      <c r="AC129" s="63" t="e">
        <f>VLOOKUP(A129,Enforcements!$C$7:$E$24,3,0)</f>
        <v>#N/A</v>
      </c>
      <c r="AD129" s="64" t="str">
        <f t="shared" si="81"/>
        <v>0208-16</v>
      </c>
      <c r="AE129" s="104" t="str">
        <f t="shared" si="68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129" s="101" t="str">
        <f t="shared" si="69"/>
        <v>"C:\Program Files (x86)\AstroGrep\AstroGrep.exe" /spath="%USERPROFILE%\AppData\Local\Temp\OnboardLogs" /stypes="*4010*20160817*" /stext=" 00:.+((SYSTEM_STATE.+slice.+state.+changed )|(ment ac)|(system.+state.+changed )|(\|lc)|(penalty)|(\[timeout)|(PRM\|1\|D)|(kpr)|(kdp))" /e /r /s</v>
      </c>
      <c r="AG129" s="1" t="str">
        <f t="shared" si="82"/>
        <v>EC</v>
      </c>
      <c r="AH129" s="105" t="str">
        <f t="shared" si="73"/>
        <v>"%USERPROFILE%\Documents\GitHub\eaglep3\Utilities\RefineRTDCRunTimes.py" --tripid 208-16 --locoid 4010 --swversion DE.1.0.7.0 --startMP 204:232991 --initTime 2016-08-16T17:53:40 --startdatetime 2016-08-16T17:56:14 --delay 2 --endMP 204:154 --enddatetime 2016-08-16T18:36:13 --enforcementcount 1</v>
      </c>
    </row>
    <row r="130" spans="1:34" x14ac:dyDescent="0.25">
      <c r="A130" s="40" t="s">
        <v>480</v>
      </c>
      <c r="B130" s="7">
        <v>4044</v>
      </c>
      <c r="C130" s="25" t="s">
        <v>119</v>
      </c>
      <c r="D130" s="25" t="s">
        <v>463</v>
      </c>
      <c r="E130" s="16">
        <v>42598.717199074075</v>
      </c>
      <c r="F130" s="16">
        <v>42598.718078703707</v>
      </c>
      <c r="G130" s="7">
        <v>1</v>
      </c>
      <c r="H130" s="16" t="s">
        <v>481</v>
      </c>
      <c r="I130" s="16">
        <v>42598.741562499999</v>
      </c>
      <c r="J130" s="7">
        <v>1</v>
      </c>
      <c r="K130" s="142" t="str">
        <f t="shared" si="86"/>
        <v>4043/4044</v>
      </c>
      <c r="L130" s="25" t="str">
        <f>VLOOKUP(A130,'Trips&amp;Operators'!$C$1:$E$10000,3,FALSE)</f>
        <v>OUN</v>
      </c>
      <c r="M130" s="6">
        <f t="shared" ref="M130:M161" si="89">I130-F130</f>
        <v>2.3483796292566694E-2</v>
      </c>
      <c r="N130" s="7"/>
      <c r="O130" s="7"/>
      <c r="P130" s="7">
        <f>24*60*SUM($M130:$M130)</f>
        <v>33.81666666129604</v>
      </c>
      <c r="Q130" s="26"/>
      <c r="R130" s="26" t="s">
        <v>699</v>
      </c>
      <c r="S130" s="38">
        <f t="shared" si="88"/>
        <v>1</v>
      </c>
      <c r="T130" s="53" t="str">
        <f t="shared" ref="T130:T161" si="90">IF(ISEVEN(LEFT(AD130,4)),"Southbound","NorthBound")</f>
        <v>NorthBound</v>
      </c>
      <c r="U130" s="13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16:12:46-0600',mode:absolute,to:'2016-08-16 18:47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0" s="55" t="str">
        <f t="shared" ref="W130:W161" si="91">IF(AA130&lt;IF(AG130="EC",23,5.65),"Y","N")</f>
        <v>Y</v>
      </c>
      <c r="X130" s="129">
        <f t="shared" si="84"/>
        <v>1</v>
      </c>
      <c r="Y130" s="70">
        <f t="shared" ref="Y130:Y153" si="92">RIGHT(D130,LEN(D130)-4)/10000</f>
        <v>4.3700000000000003E-2</v>
      </c>
      <c r="Z130" s="70">
        <f t="shared" si="87"/>
        <v>15.442600000000001</v>
      </c>
      <c r="AA130" s="70">
        <f t="shared" ref="AA130:AA161" si="93">ABS(Z130-Y130)</f>
        <v>15.398900000000001</v>
      </c>
      <c r="AB130" s="67" t="e">
        <f>VLOOKUP(A130,Enforcements!$C$7:$J$24,8,0)</f>
        <v>#N/A</v>
      </c>
      <c r="AC130" s="63" t="e">
        <f>VLOOKUP(A130,Enforcements!$C$7:$E$24,3,0)</f>
        <v>#N/A</v>
      </c>
      <c r="AD130" s="64" t="str">
        <f t="shared" ref="AD130:AD161" si="94">IF(LEN(A130)=6,"0"&amp;A130,A130)</f>
        <v>0209-16</v>
      </c>
      <c r="AE130" s="104" t="str">
        <f t="shared" si="68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130" s="101" t="str">
        <f t="shared" si="69"/>
        <v>"C:\Program Files (x86)\AstroGrep\AstroGrep.exe" /spath="%USERPROFILE%\AppData\Local\Temp\OnboardLogs" /stypes="*4044*20160816*" /stext=" 23:.+((SYSTEM_STATE.+slice.+state.+changed )|(ment ac)|(system.+state.+changed )|(\|lc)|(penalty)|(\[timeout)|(PRM\|1\|D)|(kpr)|(kdp))" /e /r /s</v>
      </c>
      <c r="AG130" s="1" t="str">
        <f t="shared" ref="AG130:AG161" si="95">IFERROR(IF(VALUE(LEFT(AD130,2))&lt;=2,"EC",IF(OR(VALUE(LEFT(AD130,2))=8,VALUE(LEFT(AD130,2))=18),"NW","Other")),"Other")</f>
        <v>EC</v>
      </c>
      <c r="AH130" s="105" t="str">
        <f t="shared" si="73"/>
        <v>"%USERPROFILE%\Documents\GitHub\eaglep3\Utilities\RefineRTDCRunTimes.py" --tripid 209-16 --locoid 4044 --swversion DE.1.0.7.0 --startMP 204:437 --initTime 2016-08-16T17:12:46 --startdatetime 2016-08-16T17:14:02 --delay 1 --endMP 204:154426 --enddatetime 2016-08-16T17:47:51 --enforcementcount 1</v>
      </c>
    </row>
    <row r="131" spans="1:34" x14ac:dyDescent="0.25">
      <c r="A131" s="40" t="s">
        <v>482</v>
      </c>
      <c r="B131" s="7">
        <v>4043</v>
      </c>
      <c r="C131" s="25" t="s">
        <v>119</v>
      </c>
      <c r="D131" s="25" t="s">
        <v>62</v>
      </c>
      <c r="E131" s="16">
        <v>42598.75335648148</v>
      </c>
      <c r="F131" s="16">
        <v>42598.754502314812</v>
      </c>
      <c r="G131" s="7">
        <v>1</v>
      </c>
      <c r="H131" s="16" t="s">
        <v>175</v>
      </c>
      <c r="I131" s="16">
        <v>42598.789421296293</v>
      </c>
      <c r="J131" s="7">
        <v>1</v>
      </c>
      <c r="K131" s="142" t="str">
        <f t="shared" si="86"/>
        <v>4043/4044</v>
      </c>
      <c r="L131" s="25" t="str">
        <f>VLOOKUP(A131,'Trips&amp;Operators'!$C$1:$E$10000,3,FALSE)</f>
        <v>OUN</v>
      </c>
      <c r="M131" s="6">
        <f t="shared" si="89"/>
        <v>3.4918981480586808E-2</v>
      </c>
      <c r="N131" s="7">
        <f>24*60*SUM($M131:$M131)</f>
        <v>50.283333332045004</v>
      </c>
      <c r="O131" s="7"/>
      <c r="P131" s="7"/>
      <c r="Q131" s="26"/>
      <c r="R131" s="26"/>
      <c r="S131" s="38">
        <f t="shared" si="88"/>
        <v>1</v>
      </c>
      <c r="T131" s="53" t="str">
        <f t="shared" si="90"/>
        <v>Southbound</v>
      </c>
      <c r="U131" s="13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17:04:50-0600',mode:absolute,to:'2016-08-16 19:56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31" s="55" t="str">
        <f t="shared" si="91"/>
        <v>N</v>
      </c>
      <c r="X131" s="129">
        <f t="shared" si="84"/>
        <v>1</v>
      </c>
      <c r="Y131" s="70">
        <f t="shared" si="92"/>
        <v>23.297699999999999</v>
      </c>
      <c r="Z131" s="70">
        <f t="shared" si="87"/>
        <v>1.5599999999999999E-2</v>
      </c>
      <c r="AA131" s="70">
        <f t="shared" si="93"/>
        <v>23.2821</v>
      </c>
      <c r="AB131" s="67" t="e">
        <f>VLOOKUP(A131,Enforcements!$C$7:$J$24,8,0)</f>
        <v>#N/A</v>
      </c>
      <c r="AC131" s="63" t="e">
        <f>VLOOKUP(A131,Enforcements!$C$7:$E$24,3,0)</f>
        <v>#N/A</v>
      </c>
      <c r="AD131" s="64" t="str">
        <f t="shared" si="94"/>
        <v>0210-16</v>
      </c>
      <c r="AE131" s="104" t="str">
        <f t="shared" si="68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131" s="101" t="str">
        <f t="shared" si="69"/>
        <v>"C:\Program Files (x86)\AstroGrep\AstroGrep.exe" /spath="%USERPROFILE%\AppData\Local\Temp\OnboardLogs" /stypes="*4043*20160817*" /stext=" 00:.+((SYSTEM_STATE.+slice.+state.+changed )|(ment ac)|(system.+state.+changed )|(\|lc)|(penalty)|(\[timeout)|(PRM\|1\|D)|(kpr)|(kdp))" /e /r /s</v>
      </c>
      <c r="AG131" s="1" t="str">
        <f t="shared" si="95"/>
        <v>EC</v>
      </c>
      <c r="AH131" s="105" t="str">
        <f t="shared" si="73"/>
        <v>"%USERPROFILE%\Documents\GitHub\eaglep3\Utilities\RefineRTDCRunTimes.py" --tripid 210-16 --locoid 4043 --swversion DE.1.0.7.0 --startMP 204:232977 --initTime 2016-08-16T18:04:50 --startdatetime 2016-08-16T18:06:29 --delay 1 --endMP 204:156 --enddatetime 2016-08-16T18:56:46 --enforcementcount 1</v>
      </c>
    </row>
    <row r="132" spans="1:34" x14ac:dyDescent="0.25">
      <c r="A132" s="40" t="s">
        <v>483</v>
      </c>
      <c r="B132" s="7">
        <v>4031</v>
      </c>
      <c r="C132" s="25" t="s">
        <v>119</v>
      </c>
      <c r="D132" s="25" t="s">
        <v>484</v>
      </c>
      <c r="E132" s="16">
        <v>42598.72965277778</v>
      </c>
      <c r="F132" s="16">
        <v>42598.730740740742</v>
      </c>
      <c r="G132" s="7">
        <v>1</v>
      </c>
      <c r="H132" s="16" t="s">
        <v>389</v>
      </c>
      <c r="I132" s="16">
        <v>42598.760347222225</v>
      </c>
      <c r="J132" s="7">
        <v>1</v>
      </c>
      <c r="K132" s="142" t="str">
        <f t="shared" si="86"/>
        <v>4031/4032</v>
      </c>
      <c r="L132" s="25" t="str">
        <f>VLOOKUP(A132,'Trips&amp;Operators'!$C$1:$E$10000,3,FALSE)</f>
        <v>NEWELL</v>
      </c>
      <c r="M132" s="6">
        <f t="shared" si="89"/>
        <v>2.9606481482915115E-2</v>
      </c>
      <c r="N132" s="7">
        <f>24*60*SUM($M132:$M132)</f>
        <v>42.633333335397765</v>
      </c>
      <c r="O132" s="7"/>
      <c r="P132" s="7"/>
      <c r="Q132" s="26"/>
      <c r="R132" s="26"/>
      <c r="S132" s="38">
        <f t="shared" si="88"/>
        <v>1</v>
      </c>
      <c r="T132" s="53" t="str">
        <f t="shared" si="90"/>
        <v>NorthBound</v>
      </c>
      <c r="U132" s="13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16:30:42-0600',mode:absolute,to:'2016-08-16 19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2" s="55" t="str">
        <f t="shared" si="91"/>
        <v>N</v>
      </c>
      <c r="X132" s="129">
        <f t="shared" si="84"/>
        <v>1</v>
      </c>
      <c r="Y132" s="70">
        <f t="shared" si="92"/>
        <v>4.7100000000000003E-2</v>
      </c>
      <c r="Z132" s="70">
        <f t="shared" si="87"/>
        <v>23.331399999999999</v>
      </c>
      <c r="AA132" s="70">
        <f t="shared" si="93"/>
        <v>23.284299999999998</v>
      </c>
      <c r="AB132" s="67">
        <f>VLOOKUP(A132,Enforcements!$C$7:$J$24,8,0)</f>
        <v>107939</v>
      </c>
      <c r="AC132" s="63" t="str">
        <f>VLOOKUP(A132,Enforcements!$C$7:$E$24,3,0)</f>
        <v>SIGNAL</v>
      </c>
      <c r="AD132" s="64" t="str">
        <f t="shared" si="94"/>
        <v>0211-16</v>
      </c>
      <c r="AE132" s="104" t="str">
        <f t="shared" si="68"/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AF132" s="101" t="str">
        <f t="shared" si="69"/>
        <v>"C:\Program Files (x86)\AstroGrep\AstroGrep.exe" /spath="%USERPROFILE%\AppData\Local\Temp\OnboardLogs" /stypes="*4031*20160817*" /stext=" 00:.+((SYSTEM_STATE.+slice.+state.+changed )|(ment ac)|(system.+state.+changed )|(\|lc)|(penalty)|(\[timeout)|(PRM\|1\|D)|(kpr)|(kdp))" /e /r /s</v>
      </c>
      <c r="AG132" s="1" t="str">
        <f t="shared" si="95"/>
        <v>EC</v>
      </c>
      <c r="AH132" s="105" t="str">
        <f t="shared" si="73"/>
        <v>"%USERPROFILE%\Documents\GitHub\eaglep3\Utilities\RefineRTDCRunTimes.py" --tripid 211-16 --locoid 4031 --swversion DE.1.0.7.0 --startMP 204:471 --initTime 2016-08-16T17:30:42 --startdatetime 2016-08-16T17:32:16 --delay 1 --endMP 204:233314 --enddatetime 2016-08-16T18:14:54 --enforcementcount 1</v>
      </c>
    </row>
    <row r="133" spans="1:34" x14ac:dyDescent="0.25">
      <c r="A133" s="40" t="s">
        <v>485</v>
      </c>
      <c r="B133" s="7">
        <v>4032</v>
      </c>
      <c r="C133" s="25" t="s">
        <v>119</v>
      </c>
      <c r="D133" s="25" t="s">
        <v>311</v>
      </c>
      <c r="E133" s="16">
        <v>42598.762488425928</v>
      </c>
      <c r="F133" s="16">
        <v>42598.763472222221</v>
      </c>
      <c r="G133" s="7">
        <v>1</v>
      </c>
      <c r="H133" s="16" t="s">
        <v>486</v>
      </c>
      <c r="I133" s="16">
        <v>42598.79241898148</v>
      </c>
      <c r="J133" s="7">
        <v>1</v>
      </c>
      <c r="K133" s="142" t="str">
        <f t="shared" si="86"/>
        <v>4031/4032</v>
      </c>
      <c r="L133" s="25" t="str">
        <f>VLOOKUP(A133,'Trips&amp;Operators'!$C$1:$E$10000,3,FALSE)</f>
        <v>NEWELL</v>
      </c>
      <c r="M133" s="6">
        <f t="shared" si="89"/>
        <v>2.8946759259270038E-2</v>
      </c>
      <c r="N133" s="7"/>
      <c r="O133" s="7"/>
      <c r="P133" s="7">
        <f>24*60*SUM($M133:$M133)</f>
        <v>41.683333333348855</v>
      </c>
      <c r="Q133" s="26"/>
      <c r="R133" s="26" t="s">
        <v>700</v>
      </c>
      <c r="S133" s="38">
        <f t="shared" si="88"/>
        <v>1</v>
      </c>
      <c r="T133" s="53" t="str">
        <f t="shared" si="90"/>
        <v>Southbound</v>
      </c>
      <c r="U133" s="13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17:17:59-0600',mode:absolute,to:'2016-08-16 20:01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3" s="55" t="str">
        <f t="shared" si="91"/>
        <v>Y</v>
      </c>
      <c r="X133" s="129">
        <f t="shared" si="84"/>
        <v>1</v>
      </c>
      <c r="Y133" s="70">
        <f t="shared" si="92"/>
        <v>23.299099999999999</v>
      </c>
      <c r="Z133" s="70">
        <f t="shared" si="87"/>
        <v>1.88</v>
      </c>
      <c r="AA133" s="70">
        <f t="shared" si="93"/>
        <v>21.4191</v>
      </c>
      <c r="AB133" s="67" t="e">
        <f>VLOOKUP(A133,Enforcements!$C$7:$J$24,8,0)</f>
        <v>#N/A</v>
      </c>
      <c r="AC133" s="63" t="e">
        <f>VLOOKUP(A133,Enforcements!$C$7:$E$24,3,0)</f>
        <v>#N/A</v>
      </c>
      <c r="AD133" s="64" t="str">
        <f t="shared" si="94"/>
        <v>0212-16</v>
      </c>
      <c r="AE133" s="104" t="str">
        <f t="shared" si="68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133" s="101" t="str">
        <f t="shared" si="69"/>
        <v>"C:\Program Files (x86)\AstroGrep\AstroGrep.exe" /spath="%USERPROFILE%\AppData\Local\Temp\OnboardLogs" /stypes="*4032*20160817*" /stext=" 01:.+((SYSTEM_STATE.+slice.+state.+changed )|(ment ac)|(system.+state.+changed )|(\|lc)|(penalty)|(\[timeout)|(PRM\|1\|D)|(kpr)|(kdp))" /e /r /s</v>
      </c>
      <c r="AG133" s="1" t="str">
        <f t="shared" si="95"/>
        <v>EC</v>
      </c>
      <c r="AH133" s="105" t="str">
        <f t="shared" si="73"/>
        <v>"%USERPROFILE%\Documents\GitHub\eaglep3\Utilities\RefineRTDCRunTimes.py" --tripid 212-16 --locoid 4032 --swversion DE.1.0.7.0 --startMP 204:232991 --initTime 2016-08-16T18:17:59 --startdatetime 2016-08-16T18:19:24 --delay 1 --endMP 204:18800 --enddatetime 2016-08-16T19:01:05 --enforcementcount 1</v>
      </c>
    </row>
    <row r="134" spans="1:34" x14ac:dyDescent="0.25">
      <c r="A134" s="40" t="s">
        <v>487</v>
      </c>
      <c r="B134" s="7">
        <v>4016</v>
      </c>
      <c r="C134" s="25" t="s">
        <v>119</v>
      </c>
      <c r="D134" s="25" t="s">
        <v>488</v>
      </c>
      <c r="E134" s="16">
        <v>42598.733912037038</v>
      </c>
      <c r="F134" s="16">
        <v>42598.734953703701</v>
      </c>
      <c r="G134" s="7">
        <v>1</v>
      </c>
      <c r="H134" s="16" t="s">
        <v>489</v>
      </c>
      <c r="I134" s="16">
        <v>42598.767511574071</v>
      </c>
      <c r="J134" s="7">
        <v>1</v>
      </c>
      <c r="K134" s="142" t="str">
        <f t="shared" si="86"/>
        <v>4015/4016</v>
      </c>
      <c r="L134" s="25" t="str">
        <f>VLOOKUP(A134,'Trips&amp;Operators'!$C$1:$E$10000,3,FALSE)</f>
        <v>STORY</v>
      </c>
      <c r="M134" s="6">
        <f t="shared" si="89"/>
        <v>3.25578703705105E-2</v>
      </c>
      <c r="N134" s="7">
        <f t="shared" ref="N134:N146" si="96">24*60*SUM($M134:$M134)</f>
        <v>46.88333333353512</v>
      </c>
      <c r="O134" s="7"/>
      <c r="P134" s="7"/>
      <c r="Q134" s="26"/>
      <c r="R134" s="26"/>
      <c r="S134" s="38">
        <f t="shared" si="88"/>
        <v>1</v>
      </c>
      <c r="T134" s="53" t="str">
        <f t="shared" si="90"/>
        <v>NorthBound</v>
      </c>
      <c r="U134" s="13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16:36:50-0600',mode:absolute,to:'2016-08-16 19:25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34" s="55" t="str">
        <f t="shared" si="91"/>
        <v>N</v>
      </c>
      <c r="X134" s="129">
        <f t="shared" si="84"/>
        <v>1</v>
      </c>
      <c r="Y134" s="70">
        <f t="shared" si="92"/>
        <v>0.1173</v>
      </c>
      <c r="Z134" s="70">
        <f t="shared" si="87"/>
        <v>23.335699999999999</v>
      </c>
      <c r="AA134" s="70">
        <f t="shared" si="93"/>
        <v>23.218399999999999</v>
      </c>
      <c r="AB134" s="67" t="e">
        <f>VLOOKUP(A134,Enforcements!$C$7:$J$24,8,0)</f>
        <v>#N/A</v>
      </c>
      <c r="AC134" s="63" t="e">
        <f>VLOOKUP(A134,Enforcements!$C$7:$E$24,3,0)</f>
        <v>#N/A</v>
      </c>
      <c r="AD134" s="64" t="str">
        <f t="shared" si="94"/>
        <v>0213-16</v>
      </c>
      <c r="AE134" s="104" t="str">
        <f t="shared" si="68"/>
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</c>
      <c r="AF134" s="101" t="str">
        <f t="shared" si="69"/>
        <v>"C:\Program Files (x86)\AstroGrep\AstroGrep.exe" /spath="%USERPROFILE%\AppData\Local\Temp\OnboardLogs" /stypes="*4016*20160817*" /stext=" 00:.+((SYSTEM_STATE.+slice.+state.+changed )|(ment ac)|(system.+state.+changed )|(\|lc)|(penalty)|(\[timeout)|(PRM\|1\|D)|(kpr)|(kdp))" /e /r /s</v>
      </c>
      <c r="AG134" s="1" t="str">
        <f t="shared" si="95"/>
        <v>EC</v>
      </c>
      <c r="AH134" s="105" t="str">
        <f t="shared" si="73"/>
        <v>"%USERPROFILE%\Documents\GitHub\eaglep3\Utilities\RefineRTDCRunTimes.py" --tripid 213-16 --locoid 4016 --swversion DE.1.0.7.0 --startMP 204:1173 --initTime 2016-08-16T17:36:50 --startdatetime 2016-08-16T17:38:20 --delay 1 --endMP 204:233357 --enddatetime 2016-08-16T18:25:13 --enforcementcount 1</v>
      </c>
    </row>
    <row r="135" spans="1:34" x14ac:dyDescent="0.25">
      <c r="A135" s="40" t="s">
        <v>490</v>
      </c>
      <c r="B135" s="7">
        <v>4015</v>
      </c>
      <c r="C135" s="25" t="s">
        <v>119</v>
      </c>
      <c r="D135" s="25" t="s">
        <v>491</v>
      </c>
      <c r="E135" s="16">
        <v>42598.774317129632</v>
      </c>
      <c r="F135" s="16">
        <v>42598.775995370372</v>
      </c>
      <c r="G135" s="7">
        <v>2</v>
      </c>
      <c r="H135" s="16" t="s">
        <v>139</v>
      </c>
      <c r="I135" s="16">
        <v>42598.807881944442</v>
      </c>
      <c r="J135" s="7">
        <v>1</v>
      </c>
      <c r="K135" s="142" t="str">
        <f t="shared" si="86"/>
        <v>4015/4016</v>
      </c>
      <c r="L135" s="25" t="str">
        <f>VLOOKUP(A135,'Trips&amp;Operators'!$C$1:$E$10000,3,FALSE)</f>
        <v>STORY</v>
      </c>
      <c r="M135" s="6">
        <f t="shared" si="89"/>
        <v>3.1886574070085771E-2</v>
      </c>
      <c r="N135" s="7">
        <f t="shared" si="96"/>
        <v>45.916666660923511</v>
      </c>
      <c r="O135" s="7"/>
      <c r="P135" s="7"/>
      <c r="Q135" s="26"/>
      <c r="R135" s="26"/>
      <c r="S135" s="38">
        <f t="shared" si="88"/>
        <v>1</v>
      </c>
      <c r="T135" s="53" t="str">
        <f t="shared" si="90"/>
        <v>Southbound</v>
      </c>
      <c r="U135" s="13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17:35:01-0600',mode:absolute,to:'2016-08-16 20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35" s="55" t="str">
        <f t="shared" si="91"/>
        <v>N</v>
      </c>
      <c r="X135" s="129">
        <f t="shared" si="84"/>
        <v>1</v>
      </c>
      <c r="Y135" s="70">
        <f t="shared" si="92"/>
        <v>23.305499999999999</v>
      </c>
      <c r="Z135" s="70">
        <f t="shared" si="87"/>
        <v>1.5800000000000002E-2</v>
      </c>
      <c r="AA135" s="70">
        <f t="shared" si="93"/>
        <v>23.2897</v>
      </c>
      <c r="AB135" s="67" t="e">
        <f>VLOOKUP(A135,Enforcements!$C$7:$J$24,8,0)</f>
        <v>#N/A</v>
      </c>
      <c r="AC135" s="63" t="e">
        <f>VLOOKUP(A135,Enforcements!$C$7:$E$24,3,0)</f>
        <v>#N/A</v>
      </c>
      <c r="AD135" s="64" t="str">
        <f t="shared" si="94"/>
        <v>0214-16</v>
      </c>
      <c r="AE135" s="104" t="str">
        <f t="shared" si="68"/>
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</c>
      <c r="AF135" s="101" t="str">
        <f t="shared" si="69"/>
        <v>"C:\Program Files (x86)\AstroGrep\AstroGrep.exe" /spath="%USERPROFILE%\AppData\Local\Temp\OnboardLogs" /stypes="*4015*20160817*" /stext=" 01:.+((SYSTEM_STATE.+slice.+state.+changed )|(ment ac)|(system.+state.+changed )|(\|lc)|(penalty)|(\[timeout)|(PRM\|1\|D)|(kpr)|(kdp))" /e /r /s</v>
      </c>
      <c r="AG135" s="1" t="str">
        <f t="shared" si="95"/>
        <v>EC</v>
      </c>
      <c r="AH135" s="105" t="str">
        <f t="shared" si="73"/>
        <v>"%USERPROFILE%\Documents\GitHub\eaglep3\Utilities\RefineRTDCRunTimes.py" --tripid 214-16 --locoid 4015 --swversion DE.1.0.7.0 --startMP 204:233055 --initTime 2016-08-16T18:35:01 --startdatetime 2016-08-16T18:37:26 --delay 2 --endMP 204:158 --enddatetime 2016-08-16T19:23:21 --enforcementcount 1</v>
      </c>
    </row>
    <row r="136" spans="1:34" x14ac:dyDescent="0.25">
      <c r="A136" s="40" t="s">
        <v>492</v>
      </c>
      <c r="B136" s="7">
        <v>4018</v>
      </c>
      <c r="C136" s="25" t="s">
        <v>119</v>
      </c>
      <c r="D136" s="25" t="s">
        <v>216</v>
      </c>
      <c r="E136" s="16">
        <v>42598.752569444441</v>
      </c>
      <c r="F136" s="16">
        <v>42598.75371527778</v>
      </c>
      <c r="G136" s="7">
        <v>1</v>
      </c>
      <c r="H136" s="16" t="s">
        <v>147</v>
      </c>
      <c r="I136" s="16">
        <v>42598.781990740739</v>
      </c>
      <c r="J136" s="7">
        <v>1</v>
      </c>
      <c r="K136" s="142" t="str">
        <f t="shared" si="86"/>
        <v>4017/4018</v>
      </c>
      <c r="L136" s="25" t="str">
        <f>VLOOKUP(A136,'Trips&amp;Operators'!$C$1:$E$10000,3,FALSE)</f>
        <v>ROBINSON</v>
      </c>
      <c r="M136" s="6">
        <f t="shared" si="89"/>
        <v>2.827546295884531E-2</v>
      </c>
      <c r="N136" s="7">
        <f t="shared" si="96"/>
        <v>40.716666660737246</v>
      </c>
      <c r="O136" s="7"/>
      <c r="P136" s="7"/>
      <c r="Q136" s="26"/>
      <c r="R136" s="26"/>
      <c r="S136" s="38">
        <f t="shared" si="88"/>
        <v>1</v>
      </c>
      <c r="T136" s="53" t="str">
        <f t="shared" si="90"/>
        <v>NorthBound</v>
      </c>
      <c r="U136" s="13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17:03:42-0600',mode:absolute,to:'2016-08-16 19:46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36" s="55" t="str">
        <f t="shared" si="91"/>
        <v>N</v>
      </c>
      <c r="X136" s="129">
        <f t="shared" si="84"/>
        <v>1</v>
      </c>
      <c r="Y136" s="70">
        <f t="shared" si="92"/>
        <v>4.4600000000000001E-2</v>
      </c>
      <c r="Z136" s="70">
        <f t="shared" si="87"/>
        <v>23.331199999999999</v>
      </c>
      <c r="AA136" s="70">
        <f t="shared" si="93"/>
        <v>23.2866</v>
      </c>
      <c r="AB136" s="67" t="e">
        <f>VLOOKUP(A136,Enforcements!$C$7:$J$24,8,0)</f>
        <v>#N/A</v>
      </c>
      <c r="AC136" s="63" t="e">
        <f>VLOOKUP(A136,Enforcements!$C$7:$E$24,3,0)</f>
        <v>#N/A</v>
      </c>
      <c r="AD136" s="64" t="str">
        <f t="shared" si="94"/>
        <v>0215-16</v>
      </c>
      <c r="AE136" s="104" t="str">
        <f t="shared" si="68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136" s="101" t="str">
        <f t="shared" si="69"/>
        <v>"C:\Program Files (x86)\AstroGrep\AstroGrep.exe" /spath="%USERPROFILE%\AppData\Local\Temp\OnboardLogs" /stypes="*4018*20160817*" /stext=" 00:.+((SYSTEM_STATE.+slice.+state.+changed )|(ment ac)|(system.+state.+changed )|(\|lc)|(penalty)|(\[timeout)|(PRM\|1\|D)|(kpr)|(kdp))" /e /r /s</v>
      </c>
      <c r="AG136" s="1" t="str">
        <f t="shared" si="95"/>
        <v>EC</v>
      </c>
      <c r="AH136" s="105" t="str">
        <f t="shared" si="73"/>
        <v>"%USERPROFILE%\Documents\GitHub\eaglep3\Utilities\RefineRTDCRunTimes.py" --tripid 215-16 --locoid 4018 --swversion DE.1.0.7.0 --startMP 204:446 --initTime 2016-08-16T18:03:42 --startdatetime 2016-08-16T18:05:21 --delay 1 --endMP 204:233312 --enddatetime 2016-08-16T18:46:04 --enforcementcount 1</v>
      </c>
    </row>
    <row r="137" spans="1:34" x14ac:dyDescent="0.25">
      <c r="A137" s="40" t="s">
        <v>493</v>
      </c>
      <c r="B137" s="7">
        <v>4017</v>
      </c>
      <c r="C137" s="25" t="s">
        <v>119</v>
      </c>
      <c r="D137" s="25" t="s">
        <v>385</v>
      </c>
      <c r="E137" s="16">
        <v>42598.788275462961</v>
      </c>
      <c r="F137" s="16">
        <v>42598.7890625</v>
      </c>
      <c r="G137" s="7">
        <v>1</v>
      </c>
      <c r="H137" s="16" t="s">
        <v>241</v>
      </c>
      <c r="I137" s="16">
        <v>42598.820497685185</v>
      </c>
      <c r="J137" s="7">
        <v>1</v>
      </c>
      <c r="K137" s="142" t="str">
        <f t="shared" si="86"/>
        <v>4017/4018</v>
      </c>
      <c r="L137" s="25" t="str">
        <f>VLOOKUP(A137,'Trips&amp;Operators'!$C$1:$E$10000,3,FALSE)</f>
        <v>ROBINSON</v>
      </c>
      <c r="M137" s="6">
        <f t="shared" si="89"/>
        <v>3.1435185184818693E-2</v>
      </c>
      <c r="N137" s="7">
        <f t="shared" si="96"/>
        <v>45.266666666138917</v>
      </c>
      <c r="O137" s="7"/>
      <c r="P137" s="7"/>
      <c r="Q137" s="26"/>
      <c r="R137" s="26"/>
      <c r="S137" s="38">
        <f t="shared" si="88"/>
        <v>1</v>
      </c>
      <c r="T137" s="53" t="str">
        <f t="shared" si="90"/>
        <v>Southbound</v>
      </c>
      <c r="U137" s="13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17:55:07-0600',mode:absolute,to:'2016-08-16 20:41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37" s="55" t="str">
        <f t="shared" si="91"/>
        <v>N</v>
      </c>
      <c r="X137" s="129">
        <f t="shared" si="84"/>
        <v>1</v>
      </c>
      <c r="Y137" s="70">
        <f t="shared" si="92"/>
        <v>23.3</v>
      </c>
      <c r="Z137" s="70">
        <f t="shared" si="87"/>
        <v>1.41E-2</v>
      </c>
      <c r="AA137" s="70">
        <f t="shared" si="93"/>
        <v>23.285900000000002</v>
      </c>
      <c r="AB137" s="67" t="e">
        <f>VLOOKUP(A137,Enforcements!$C$7:$J$24,8,0)</f>
        <v>#N/A</v>
      </c>
      <c r="AC137" s="63" t="e">
        <f>VLOOKUP(A137,Enforcements!$C$7:$E$24,3,0)</f>
        <v>#N/A</v>
      </c>
      <c r="AD137" s="64" t="str">
        <f t="shared" si="94"/>
        <v>0216-16</v>
      </c>
      <c r="AE137" s="104" t="str">
        <f t="shared" si="68"/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AF137" s="101" t="str">
        <f t="shared" si="69"/>
        <v>"C:\Program Files (x86)\AstroGrep\AstroGrep.exe" /spath="%USERPROFILE%\AppData\Local\Temp\OnboardLogs" /stypes="*4017*20160817*" /stext=" 01:.+((SYSTEM_STATE.+slice.+state.+changed )|(ment ac)|(system.+state.+changed )|(\|lc)|(penalty)|(\[timeout)|(PRM\|1\|D)|(kpr)|(kdp))" /e /r /s</v>
      </c>
      <c r="AG137" s="1" t="str">
        <f t="shared" si="95"/>
        <v>EC</v>
      </c>
      <c r="AH137" s="105" t="str">
        <f t="shared" si="73"/>
        <v>"%USERPROFILE%\Documents\GitHub\eaglep3\Utilities\RefineRTDCRunTimes.py" --tripid 216-16 --locoid 4017 --swversion DE.1.0.7.0 --startMP 204:233000 --initTime 2016-08-16T18:55:07 --startdatetime 2016-08-16T18:56:15 --delay 1 --endMP 204:141 --enddatetime 2016-08-16T19:41:31 --enforcementcount 1</v>
      </c>
    </row>
    <row r="138" spans="1:34" x14ac:dyDescent="0.25">
      <c r="A138" s="40" t="s">
        <v>494</v>
      </c>
      <c r="B138" s="7">
        <v>4038</v>
      </c>
      <c r="C138" s="25" t="s">
        <v>119</v>
      </c>
      <c r="D138" s="25" t="s">
        <v>151</v>
      </c>
      <c r="E138" s="16">
        <v>42598.765532407408</v>
      </c>
      <c r="F138" s="16">
        <v>42598.766388888886</v>
      </c>
      <c r="G138" s="7">
        <v>1</v>
      </c>
      <c r="H138" s="16" t="s">
        <v>159</v>
      </c>
      <c r="I138" s="16">
        <v>42598.793298611112</v>
      </c>
      <c r="J138" s="7">
        <v>1</v>
      </c>
      <c r="K138" s="142" t="str">
        <f t="shared" si="86"/>
        <v>4037/4038</v>
      </c>
      <c r="L138" s="25" t="str">
        <f>VLOOKUP(A138,'Trips&amp;Operators'!$C$1:$E$10000,3,FALSE)</f>
        <v>ISHMAEL</v>
      </c>
      <c r="M138" s="6">
        <f t="shared" si="89"/>
        <v>2.6909722226264421E-2</v>
      </c>
      <c r="N138" s="7">
        <f t="shared" si="96"/>
        <v>38.750000005820766</v>
      </c>
      <c r="O138" s="7"/>
      <c r="P138" s="7"/>
      <c r="Q138" s="26"/>
      <c r="R138" s="26"/>
      <c r="S138" s="38">
        <f t="shared" si="88"/>
        <v>1</v>
      </c>
      <c r="T138" s="53" t="str">
        <f t="shared" si="90"/>
        <v>NorthBound</v>
      </c>
      <c r="U138" s="13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17:22:22-0600',mode:absolute,to:'2016-08-16 20:02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38" s="55" t="str">
        <f t="shared" si="91"/>
        <v>N</v>
      </c>
      <c r="X138" s="129">
        <f t="shared" si="84"/>
        <v>1</v>
      </c>
      <c r="Y138" s="70">
        <f t="shared" si="92"/>
        <v>4.6899999999999997E-2</v>
      </c>
      <c r="Z138" s="70">
        <f t="shared" si="87"/>
        <v>23.332000000000001</v>
      </c>
      <c r="AA138" s="70">
        <f t="shared" si="93"/>
        <v>23.2851</v>
      </c>
      <c r="AB138" s="67" t="e">
        <f>VLOOKUP(A138,Enforcements!$C$7:$J$24,8,0)</f>
        <v>#N/A</v>
      </c>
      <c r="AC138" s="63" t="e">
        <f>VLOOKUP(A138,Enforcements!$C$7:$E$24,3,0)</f>
        <v>#N/A</v>
      </c>
      <c r="AD138" s="64" t="str">
        <f t="shared" si="94"/>
        <v>0217-16</v>
      </c>
      <c r="AE138" s="104" t="str">
        <f t="shared" si="68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138" s="101" t="str">
        <f t="shared" si="69"/>
        <v>"C:\Program Files (x86)\AstroGrep\AstroGrep.exe" /spath="%USERPROFILE%\AppData\Local\Temp\OnboardLogs" /stypes="*4038*20160817*" /stext=" 01:.+((SYSTEM_STATE.+slice.+state.+changed )|(ment ac)|(system.+state.+changed )|(\|lc)|(penalty)|(\[timeout)|(PRM\|1\|D)|(kpr)|(kdp))" /e /r /s</v>
      </c>
      <c r="AG138" s="1" t="str">
        <f t="shared" si="95"/>
        <v>EC</v>
      </c>
      <c r="AH138" s="105" t="str">
        <f t="shared" si="73"/>
        <v>"%USERPROFILE%\Documents\GitHub\eaglep3\Utilities\RefineRTDCRunTimes.py" --tripid 217-16 --locoid 4038 --swversion DE.1.0.7.0 --startMP 204:469 --initTime 2016-08-16T18:22:22 --startdatetime 2016-08-16T18:23:36 --delay 1 --endMP 204:233320 --enddatetime 2016-08-16T19:02:21 --enforcementcount 1</v>
      </c>
    </row>
    <row r="139" spans="1:34" x14ac:dyDescent="0.25">
      <c r="A139" s="40" t="s">
        <v>495</v>
      </c>
      <c r="B139" s="7">
        <v>4037</v>
      </c>
      <c r="C139" s="25" t="s">
        <v>119</v>
      </c>
      <c r="D139" s="25" t="s">
        <v>374</v>
      </c>
      <c r="E139" s="16">
        <v>42598.794432870367</v>
      </c>
      <c r="F139" s="16">
        <v>42598.795520833337</v>
      </c>
      <c r="G139" s="7">
        <v>1</v>
      </c>
      <c r="H139" s="16" t="s">
        <v>145</v>
      </c>
      <c r="I139" s="16">
        <v>42598.827465277776</v>
      </c>
      <c r="J139" s="7">
        <v>1</v>
      </c>
      <c r="K139" s="142" t="str">
        <f t="shared" si="86"/>
        <v>4037/4038</v>
      </c>
      <c r="L139" s="25" t="str">
        <f>VLOOKUP(A139,'Trips&amp;Operators'!$C$1:$E$10000,3,FALSE)</f>
        <v>ISHMAEL</v>
      </c>
      <c r="M139" s="6">
        <f t="shared" si="89"/>
        <v>3.1944444439432118E-2</v>
      </c>
      <c r="N139" s="7">
        <f t="shared" si="96"/>
        <v>45.99999999278225</v>
      </c>
      <c r="O139" s="7"/>
      <c r="P139" s="7"/>
      <c r="Q139" s="26"/>
      <c r="R139" s="26"/>
      <c r="S139" s="38">
        <f t="shared" si="88"/>
        <v>1</v>
      </c>
      <c r="T139" s="53" t="str">
        <f t="shared" si="90"/>
        <v>Southbound</v>
      </c>
      <c r="U139" s="13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1" t="str">
        <f t="shared" si="70"/>
        <v>https://search-rtdc-monitor-bjffxe2xuh6vdkpspy63sjmuny.us-east-1.es.amazonaws.com/_plugin/kibana/#/discover/Steve-Slow-Train-Analysis-(2080s-and-2083s)?_g=(refreshInterval:(display:Off,section:0,value:0),time:(from:'2016-08-16 18:03:59-0600',mode:absolute,to:'2016-08-16 20:51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39" s="55" t="str">
        <f t="shared" si="91"/>
        <v>N</v>
      </c>
      <c r="X139" s="129">
        <f t="shared" si="84"/>
        <v>1</v>
      </c>
      <c r="Y139" s="70">
        <f t="shared" si="92"/>
        <v>23.301100000000002</v>
      </c>
      <c r="Z139" s="70">
        <f t="shared" si="87"/>
        <v>1.49E-2</v>
      </c>
      <c r="AA139" s="70">
        <f t="shared" si="93"/>
        <v>23.286200000000001</v>
      </c>
      <c r="AB139" s="67" t="e">
        <f>VLOOKUP(A139,Enforcements!$C$7:$J$24,8,0)</f>
        <v>#N/A</v>
      </c>
      <c r="AC139" s="63" t="e">
        <f>VLOOKUP(A139,Enforcements!$C$7:$E$24,3,0)</f>
        <v>#N/A</v>
      </c>
      <c r="AD139" s="64" t="str">
        <f t="shared" si="94"/>
        <v>0218-16</v>
      </c>
      <c r="AE139" s="104" t="str">
        <f t="shared" si="6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139" s="101" t="str">
        <f t="shared" si="69"/>
        <v>"C:\Program Files (x86)\AstroGrep\AstroGrep.exe" /spath="%USERPROFILE%\AppData\Local\Temp\OnboardLogs" /stypes="*4037*20160817*" /stext=" 01:.+((SYSTEM_STATE.+slice.+state.+changed )|(ment ac)|(system.+state.+changed )|(\|lc)|(penalty)|(\[timeout)|(PRM\|1\|D)|(kpr)|(kdp))" /e /r /s</v>
      </c>
      <c r="AG139" s="1" t="str">
        <f t="shared" si="95"/>
        <v>EC</v>
      </c>
      <c r="AH139" s="105" t="str">
        <f t="shared" si="73"/>
        <v>"%USERPROFILE%\Documents\GitHub\eaglep3\Utilities\RefineRTDCRunTimes.py" --tripid 218-16 --locoid 4037 --swversion DE.1.0.7.0 --startMP 204:233011 --initTime 2016-08-16T19:03:59 --startdatetime 2016-08-16T19:05:33 --delay 1 --endMP 204:149 --enddatetime 2016-08-16T19:51:33 --enforcementcount 1</v>
      </c>
    </row>
    <row r="140" spans="1:34" x14ac:dyDescent="0.25">
      <c r="A140" s="40" t="s">
        <v>496</v>
      </c>
      <c r="B140" s="7">
        <v>4029</v>
      </c>
      <c r="C140" s="25" t="s">
        <v>119</v>
      </c>
      <c r="D140" s="25" t="s">
        <v>484</v>
      </c>
      <c r="E140" s="16">
        <v>42598.772615740738</v>
      </c>
      <c r="F140" s="16">
        <v>42598.773414351854</v>
      </c>
      <c r="G140" s="7">
        <v>1</v>
      </c>
      <c r="H140" s="16" t="s">
        <v>417</v>
      </c>
      <c r="I140" s="16">
        <v>42598.798750000002</v>
      </c>
      <c r="J140" s="7">
        <v>1</v>
      </c>
      <c r="K140" s="142" t="str">
        <f t="shared" si="86"/>
        <v>4029/4030</v>
      </c>
      <c r="L140" s="25" t="str">
        <f>VLOOKUP(A140,'Trips&amp;Operators'!$C$1:$E$10000,3,FALSE)</f>
        <v>CHANDLER</v>
      </c>
      <c r="M140" s="6">
        <f t="shared" si="89"/>
        <v>2.5335648148029577E-2</v>
      </c>
      <c r="N140" s="7">
        <f t="shared" si="96"/>
        <v>36.483333333162591</v>
      </c>
      <c r="O140" s="7"/>
      <c r="P140" s="7"/>
      <c r="Q140" s="26"/>
      <c r="R140" s="26"/>
      <c r="S140" s="38">
        <f t="shared" si="88"/>
        <v>1</v>
      </c>
      <c r="T140" s="53" t="str">
        <f t="shared" si="90"/>
        <v>NorthBound</v>
      </c>
      <c r="U140" s="13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1" t="str">
        <f t="shared" ref="V140:V202" si="97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https://search-rtdc-monitor-bjffxe2xuh6vdkpspy63sjmuny.us-east-1.es.amazonaws.com/_plugin/kibana/#/discover/Steve-Slow-Train-Analysis-(2080s-and-2083s)?_g=(refreshInterval:(display:Off,section:0,value:0),time:(from:'2016-08-16 17:32:34-0600',mode:absolute,to:'2016-08-16 20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0" s="55" t="str">
        <f t="shared" si="91"/>
        <v>N</v>
      </c>
      <c r="X140" s="129">
        <f t="shared" si="84"/>
        <v>1</v>
      </c>
      <c r="Y140" s="70">
        <f t="shared" si="92"/>
        <v>4.7100000000000003E-2</v>
      </c>
      <c r="Z140" s="70">
        <f t="shared" si="87"/>
        <v>23.328499999999998</v>
      </c>
      <c r="AA140" s="70">
        <f t="shared" si="93"/>
        <v>23.281399999999998</v>
      </c>
      <c r="AB140" s="67" t="e">
        <f>VLOOKUP(A140,Enforcements!$C$7:$J$24,8,0)</f>
        <v>#N/A</v>
      </c>
      <c r="AC140" s="63" t="e">
        <f>VLOOKUP(A140,Enforcements!$C$7:$E$24,3,0)</f>
        <v>#N/A</v>
      </c>
      <c r="AD140" s="64" t="str">
        <f t="shared" si="94"/>
        <v>0219-16</v>
      </c>
      <c r="AE140" s="104" t="str">
        <f t="shared" si="68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140" s="101" t="str">
        <f t="shared" si="69"/>
        <v>"C:\Program Files (x86)\AstroGrep\AstroGrep.exe" /spath="%USERPROFILE%\AppData\Local\Temp\OnboardLogs" /stypes="*4029*20160817*" /stext=" 01:.+((SYSTEM_STATE.+slice.+state.+changed )|(ment ac)|(system.+state.+changed )|(\|lc)|(penalty)|(\[timeout)|(PRM\|1\|D)|(kpr)|(kdp))" /e /r /s</v>
      </c>
      <c r="AG140" s="1" t="str">
        <f t="shared" si="95"/>
        <v>EC</v>
      </c>
      <c r="AH140" s="105" t="str">
        <f t="shared" si="73"/>
        <v>"%USERPROFILE%\Documents\GitHub\eaglep3\Utilities\RefineRTDCRunTimes.py" --tripid 219-16 --locoid 4029 --swversion DE.1.0.7.0 --startMP 204:471 --initTime 2016-08-16T18:32:34 --startdatetime 2016-08-16T18:33:43 --delay 1 --endMP 204:233285 --enddatetime 2016-08-16T19:10:12 --enforcementcount 1</v>
      </c>
    </row>
    <row r="141" spans="1:34" x14ac:dyDescent="0.25">
      <c r="A141" s="40" t="s">
        <v>497</v>
      </c>
      <c r="B141" s="7">
        <v>4030</v>
      </c>
      <c r="C141" s="25" t="s">
        <v>119</v>
      </c>
      <c r="D141" s="25" t="s">
        <v>498</v>
      </c>
      <c r="E141" s="16">
        <v>42598.808831018519</v>
      </c>
      <c r="F141" s="16">
        <v>42598.809814814813</v>
      </c>
      <c r="G141" s="7">
        <v>1</v>
      </c>
      <c r="H141" s="16" t="s">
        <v>242</v>
      </c>
      <c r="I141" s="16">
        <v>42598.838078703702</v>
      </c>
      <c r="J141" s="7">
        <v>1</v>
      </c>
      <c r="K141" s="142" t="str">
        <f t="shared" si="86"/>
        <v>4029/4030</v>
      </c>
      <c r="L141" s="25" t="str">
        <f>VLOOKUP(A141,'Trips&amp;Operators'!$C$1:$E$10000,3,FALSE)</f>
        <v>CHANDLER</v>
      </c>
      <c r="M141" s="6">
        <f t="shared" si="89"/>
        <v>2.8263888889341615E-2</v>
      </c>
      <c r="N141" s="7">
        <f t="shared" si="96"/>
        <v>40.700000000651926</v>
      </c>
      <c r="O141" s="7"/>
      <c r="P141" s="7"/>
      <c r="Q141" s="26"/>
      <c r="R141" s="26"/>
      <c r="S141" s="38">
        <f t="shared" si="88"/>
        <v>1</v>
      </c>
      <c r="T141" s="53" t="str">
        <f t="shared" si="90"/>
        <v>Southbound</v>
      </c>
      <c r="U141" s="13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18:24:43-0600',mode:absolute,to:'2016-08-16 21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1" s="55" t="str">
        <f t="shared" si="91"/>
        <v>N</v>
      </c>
      <c r="X141" s="129">
        <f t="shared" si="84"/>
        <v>1</v>
      </c>
      <c r="Y141" s="70">
        <f t="shared" si="92"/>
        <v>23.297899999999998</v>
      </c>
      <c r="Z141" s="70">
        <f t="shared" si="87"/>
        <v>1.61E-2</v>
      </c>
      <c r="AA141" s="70">
        <f t="shared" si="93"/>
        <v>23.281799999999997</v>
      </c>
      <c r="AB141" s="67" t="e">
        <f>VLOOKUP(A141,Enforcements!$C$7:$J$24,8,0)</f>
        <v>#N/A</v>
      </c>
      <c r="AC141" s="63" t="e">
        <f>VLOOKUP(A141,Enforcements!$C$7:$E$24,3,0)</f>
        <v>#N/A</v>
      </c>
      <c r="AD141" s="64" t="str">
        <f t="shared" si="94"/>
        <v>0220-16</v>
      </c>
      <c r="AE141" s="104" t="str">
        <f t="shared" ref="AE141:AE204" si="9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141" s="101" t="str">
        <f t="shared" ref="AF141:AF204" si="99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/stypes="*4030*20160817*" /stext=" 02:.+((SYSTEM_STATE.+slice.+state.+changed )|(ment ac)|(system.+state.+changed )|(\|lc)|(penalty)|(\[timeout)|(PRM\|1\|D)|(kpr)|(kdp))" /e /r /s</v>
      </c>
      <c r="AG141" s="1" t="str">
        <f t="shared" si="95"/>
        <v>EC</v>
      </c>
      <c r="AH141" s="105" t="str">
        <f t="shared" si="73"/>
        <v>"%USERPROFILE%\Documents\GitHub\eaglep3\Utilities\RefineRTDCRunTimes.py" --tripid 220-16 --locoid 4030 --swversion DE.1.0.7.0 --startMP 204:232979 --initTime 2016-08-16T19:24:43 --startdatetime 2016-08-16T19:26:08 --delay 1 --endMP 204:161 --enddatetime 2016-08-16T20:06:50 --enforcementcount 1</v>
      </c>
    </row>
    <row r="142" spans="1:34" x14ac:dyDescent="0.25">
      <c r="A142" s="40" t="s">
        <v>499</v>
      </c>
      <c r="B142" s="7">
        <v>4044</v>
      </c>
      <c r="C142" s="25" t="s">
        <v>119</v>
      </c>
      <c r="D142" s="25" t="s">
        <v>500</v>
      </c>
      <c r="E142" s="16">
        <v>42598.790763888886</v>
      </c>
      <c r="F142" s="16">
        <v>42598.791689814818</v>
      </c>
      <c r="G142" s="7">
        <v>1</v>
      </c>
      <c r="H142" s="16" t="s">
        <v>142</v>
      </c>
      <c r="I142" s="16">
        <v>42598.817187499997</v>
      </c>
      <c r="J142" s="7">
        <v>1</v>
      </c>
      <c r="K142" s="142" t="str">
        <f t="shared" si="86"/>
        <v>4043/4044</v>
      </c>
      <c r="L142" s="25" t="str">
        <f>VLOOKUP(A142,'Trips&amp;Operators'!$C$1:$E$10000,3,FALSE)</f>
        <v>OUN</v>
      </c>
      <c r="M142" s="6">
        <f t="shared" si="89"/>
        <v>2.5497685179288965E-2</v>
      </c>
      <c r="N142" s="7">
        <f t="shared" si="96"/>
        <v>36.716666658176109</v>
      </c>
      <c r="O142" s="7"/>
      <c r="P142" s="7"/>
      <c r="Q142" s="26"/>
      <c r="R142" s="26"/>
      <c r="S142" s="38">
        <f t="shared" si="88"/>
        <v>1</v>
      </c>
      <c r="T142" s="53" t="str">
        <f t="shared" si="90"/>
        <v>NorthBound</v>
      </c>
      <c r="U142" s="13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17:58:42-0600',mode:absolute,to:'2016-08-16 20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42" s="55" t="str">
        <f t="shared" si="91"/>
        <v>N</v>
      </c>
      <c r="X142" s="129">
        <f t="shared" si="84"/>
        <v>1</v>
      </c>
      <c r="Y142" s="70">
        <f t="shared" si="92"/>
        <v>5.0200000000000002E-2</v>
      </c>
      <c r="Z142" s="70">
        <f t="shared" si="87"/>
        <v>23.328900000000001</v>
      </c>
      <c r="AA142" s="70">
        <f t="shared" si="93"/>
        <v>23.278700000000001</v>
      </c>
      <c r="AB142" s="67" t="e">
        <f>VLOOKUP(A142,Enforcements!$C$7:$J$24,8,0)</f>
        <v>#N/A</v>
      </c>
      <c r="AC142" s="63" t="e">
        <f>VLOOKUP(A142,Enforcements!$C$7:$E$24,3,0)</f>
        <v>#N/A</v>
      </c>
      <c r="AD142" s="64" t="str">
        <f t="shared" si="94"/>
        <v>0221-16</v>
      </c>
      <c r="AE142" s="104" t="str">
        <f t="shared" si="98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142" s="101" t="str">
        <f t="shared" si="99"/>
        <v>"C:\Program Files (x86)\AstroGrep\AstroGrep.exe" /spath="%USERPROFILE%\AppData\Local\Temp\OnboardLogs" /stypes="*4044*20160817*" /stext=" 01:.+((SYSTEM_STATE.+slice.+state.+changed )|(ment ac)|(system.+state.+changed )|(\|lc)|(penalty)|(\[timeout)|(PRM\|1\|D)|(kpr)|(kdp))" /e /r /s</v>
      </c>
      <c r="AG142" s="1" t="str">
        <f t="shared" si="95"/>
        <v>EC</v>
      </c>
      <c r="AH142" s="105" t="str">
        <f t="shared" si="73"/>
        <v>"%USERPROFILE%\Documents\GitHub\eaglep3\Utilities\RefineRTDCRunTimes.py" --tripid 221-16 --locoid 4044 --swversion DE.1.0.7.0 --startMP 204:502 --initTime 2016-08-16T18:58:42 --startdatetime 2016-08-16T19:00:02 --delay 1 --endMP 204:233289 --enddatetime 2016-08-16T19:36:45 --enforcementcount 1</v>
      </c>
    </row>
    <row r="143" spans="1:34" x14ac:dyDescent="0.25">
      <c r="A143" s="40" t="s">
        <v>501</v>
      </c>
      <c r="B143" s="7">
        <v>4043</v>
      </c>
      <c r="C143" s="25" t="s">
        <v>119</v>
      </c>
      <c r="D143" s="25" t="s">
        <v>239</v>
      </c>
      <c r="E143" s="16">
        <v>42598.826296296298</v>
      </c>
      <c r="F143" s="16">
        <v>42598.826967592591</v>
      </c>
      <c r="G143" s="7">
        <v>0</v>
      </c>
      <c r="H143" s="16" t="s">
        <v>502</v>
      </c>
      <c r="I143" s="16">
        <v>42598.858761574076</v>
      </c>
      <c r="J143" s="7">
        <v>1</v>
      </c>
      <c r="K143" s="142" t="str">
        <f t="shared" si="86"/>
        <v>4043/4044</v>
      </c>
      <c r="L143" s="25" t="str">
        <f>VLOOKUP(A143,'Trips&amp;Operators'!$C$1:$E$10000,3,FALSE)</f>
        <v>OUN</v>
      </c>
      <c r="M143" s="6">
        <f t="shared" si="89"/>
        <v>3.1793981484952383E-2</v>
      </c>
      <c r="N143" s="7">
        <f t="shared" si="96"/>
        <v>45.783333338331431</v>
      </c>
      <c r="O143" s="7"/>
      <c r="P143" s="7"/>
      <c r="Q143" s="26"/>
      <c r="R143" s="26"/>
      <c r="S143" s="38">
        <f t="shared" si="88"/>
        <v>1</v>
      </c>
      <c r="T143" s="53" t="str">
        <f t="shared" si="90"/>
        <v>Southbound</v>
      </c>
      <c r="U143" s="13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18:49:52-0600',mode:absolute,to:'2016-08-16 21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43" s="55" t="str">
        <f t="shared" si="91"/>
        <v>N</v>
      </c>
      <c r="X143" s="129">
        <f t="shared" si="84"/>
        <v>1</v>
      </c>
      <c r="Y143" s="70">
        <f t="shared" si="92"/>
        <v>23.2971</v>
      </c>
      <c r="Z143" s="70">
        <f t="shared" si="87"/>
        <v>1.8499999999999999E-2</v>
      </c>
      <c r="AA143" s="70">
        <f t="shared" si="93"/>
        <v>23.278600000000001</v>
      </c>
      <c r="AB143" s="67" t="e">
        <f>VLOOKUP(A143,Enforcements!$C$7:$J$24,8,0)</f>
        <v>#N/A</v>
      </c>
      <c r="AC143" s="63" t="e">
        <f>VLOOKUP(A143,Enforcements!$C$7:$E$24,3,0)</f>
        <v>#N/A</v>
      </c>
      <c r="AD143" s="64" t="str">
        <f t="shared" si="94"/>
        <v>0222-16</v>
      </c>
      <c r="AE143" s="104" t="str">
        <f t="shared" si="98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143" s="101" t="str">
        <f t="shared" si="99"/>
        <v>"C:\Program Files (x86)\AstroGrep\AstroGrep.exe" /spath="%USERPROFILE%\AppData\Local\Temp\OnboardLogs" /stypes="*4043*20160817*" /stext=" 02:.+((SYSTEM_STATE.+slice.+state.+changed )|(ment ac)|(system.+state.+changed )|(\|lc)|(penalty)|(\[timeout)|(PRM\|1\|D)|(kpr)|(kdp))" /e /r /s</v>
      </c>
      <c r="AG143" s="1" t="str">
        <f t="shared" si="95"/>
        <v>EC</v>
      </c>
      <c r="AH143" s="105" t="str">
        <f t="shared" si="73"/>
        <v>"%USERPROFILE%\Documents\GitHub\eaglep3\Utilities\RefineRTDCRunTimes.py" --tripid 222-16 --locoid 4043 --swversion DE.1.0.7.0 --startMP 204:232971 --initTime 2016-08-16T19:49:52 --startdatetime 2016-08-16T19:50:50 --delay 0 --endMP 204:185 --enddatetime 2016-08-16T20:36:37 --enforcementcount 1</v>
      </c>
    </row>
    <row r="144" spans="1:34" x14ac:dyDescent="0.25">
      <c r="A144" s="40" t="s">
        <v>503</v>
      </c>
      <c r="B144" s="7">
        <v>4016</v>
      </c>
      <c r="C144" s="25" t="s">
        <v>119</v>
      </c>
      <c r="D144" s="25" t="s">
        <v>157</v>
      </c>
      <c r="E144" s="16">
        <v>42598.809583333335</v>
      </c>
      <c r="F144" s="16">
        <v>42598.810567129629</v>
      </c>
      <c r="G144" s="7">
        <v>1</v>
      </c>
      <c r="H144" s="16" t="s">
        <v>504</v>
      </c>
      <c r="I144" s="16">
        <v>42598.837245370371</v>
      </c>
      <c r="J144" s="7">
        <v>1</v>
      </c>
      <c r="K144" s="142" t="str">
        <f t="shared" si="86"/>
        <v>4015/4016</v>
      </c>
      <c r="L144" s="25" t="str">
        <f>VLOOKUP(A144,'Trips&amp;Operators'!$C$1:$E$10000,3,FALSE)</f>
        <v>STORY</v>
      </c>
      <c r="M144" s="6">
        <f t="shared" si="89"/>
        <v>2.6678240741603076E-2</v>
      </c>
      <c r="N144" s="7">
        <f t="shared" si="96"/>
        <v>38.41666666790843</v>
      </c>
      <c r="O144" s="7"/>
      <c r="P144" s="7"/>
      <c r="Q144" s="26"/>
      <c r="R144" s="26"/>
      <c r="S144" s="38">
        <f t="shared" si="88"/>
        <v>1</v>
      </c>
      <c r="T144" s="53" t="str">
        <f t="shared" si="90"/>
        <v>NorthBound</v>
      </c>
      <c r="U144" s="13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18:25:48-0600',mode:absolute,to:'2016-08-16 21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44" s="55" t="str">
        <f t="shared" si="91"/>
        <v>N</v>
      </c>
      <c r="X144" s="129">
        <f t="shared" si="84"/>
        <v>1</v>
      </c>
      <c r="Y144" s="70">
        <f t="shared" si="92"/>
        <v>4.5699999999999998E-2</v>
      </c>
      <c r="Z144" s="70">
        <f t="shared" si="87"/>
        <v>23.332999999999998</v>
      </c>
      <c r="AA144" s="70">
        <f t="shared" si="93"/>
        <v>23.287299999999998</v>
      </c>
      <c r="AB144" s="67" t="e">
        <f>VLOOKUP(A144,Enforcements!$C$7:$J$24,8,0)</f>
        <v>#N/A</v>
      </c>
      <c r="AC144" s="63" t="e">
        <f>VLOOKUP(A144,Enforcements!$C$7:$E$24,3,0)</f>
        <v>#N/A</v>
      </c>
      <c r="AD144" s="64" t="str">
        <f t="shared" si="94"/>
        <v>0223-16</v>
      </c>
      <c r="AE144" s="104" t="str">
        <f t="shared" si="98"/>
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</c>
      <c r="AF144" s="101" t="str">
        <f t="shared" si="99"/>
        <v>"C:\Program Files (x86)\AstroGrep\AstroGrep.exe" /spath="%USERPROFILE%\AppData\Local\Temp\OnboardLogs" /stypes="*4016*20160817*" /stext=" 02:.+((SYSTEM_STATE.+slice.+state.+changed )|(ment ac)|(system.+state.+changed )|(\|lc)|(penalty)|(\[timeout)|(PRM\|1\|D)|(kpr)|(kdp))" /e /r /s</v>
      </c>
      <c r="AG144" s="1" t="str">
        <f t="shared" si="95"/>
        <v>EC</v>
      </c>
      <c r="AH144" s="105" t="str">
        <f t="shared" si="73"/>
        <v>"%USERPROFILE%\Documents\GitHub\eaglep3\Utilities\RefineRTDCRunTimes.py" --tripid 223-16 --locoid 4016 --swversion DE.1.0.7.0 --startMP 204:457 --initTime 2016-08-16T19:25:48 --startdatetime 2016-08-16T19:27:13 --delay 1 --endMP 204:233330 --enddatetime 2016-08-16T20:05:38 --enforcementcount 1</v>
      </c>
    </row>
    <row r="145" spans="1:34" x14ac:dyDescent="0.25">
      <c r="A145" s="40" t="s">
        <v>505</v>
      </c>
      <c r="B145" s="7">
        <v>4015</v>
      </c>
      <c r="C145" s="25" t="s">
        <v>119</v>
      </c>
      <c r="D145" s="25" t="s">
        <v>248</v>
      </c>
      <c r="E145" s="16">
        <v>42598.844629629632</v>
      </c>
      <c r="F145" s="16">
        <v>42598.845682870371</v>
      </c>
      <c r="G145" s="7">
        <v>1</v>
      </c>
      <c r="H145" s="16" t="s">
        <v>506</v>
      </c>
      <c r="I145" s="16">
        <v>42598.877974537034</v>
      </c>
      <c r="J145" s="7">
        <v>1</v>
      </c>
      <c r="K145" s="142" t="str">
        <f t="shared" si="86"/>
        <v>4015/4016</v>
      </c>
      <c r="L145" s="25" t="str">
        <f>VLOOKUP(A145,'Trips&amp;Operators'!$C$1:$E$10000,3,FALSE)</f>
        <v>STORY</v>
      </c>
      <c r="M145" s="6">
        <f t="shared" si="89"/>
        <v>3.2291666662786156E-2</v>
      </c>
      <c r="N145" s="7">
        <f t="shared" si="96"/>
        <v>46.499999994412065</v>
      </c>
      <c r="O145" s="7"/>
      <c r="P145" s="7"/>
      <c r="Q145" s="26"/>
      <c r="R145" s="26"/>
      <c r="S145" s="38">
        <f t="shared" si="88"/>
        <v>1</v>
      </c>
      <c r="T145" s="53" t="str">
        <f t="shared" si="90"/>
        <v>Southbound</v>
      </c>
      <c r="U145" s="13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19:16:16-0600',mode:absolute,to:'2016-08-16 22:04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45" s="55" t="str">
        <f t="shared" si="91"/>
        <v>N</v>
      </c>
      <c r="X145" s="129">
        <f t="shared" si="84"/>
        <v>1</v>
      </c>
      <c r="Y145" s="70">
        <f t="shared" si="92"/>
        <v>23.300699999999999</v>
      </c>
      <c r="Z145" s="70">
        <f t="shared" si="87"/>
        <v>1.2500000000000001E-2</v>
      </c>
      <c r="AA145" s="70">
        <f t="shared" si="93"/>
        <v>23.2882</v>
      </c>
      <c r="AB145" s="67" t="e">
        <f>VLOOKUP(A145,Enforcements!$C$7:$J$24,8,0)</f>
        <v>#N/A</v>
      </c>
      <c r="AC145" s="63" t="e">
        <f>VLOOKUP(A145,Enforcements!$C$7:$E$24,3,0)</f>
        <v>#N/A</v>
      </c>
      <c r="AD145" s="64" t="str">
        <f t="shared" si="94"/>
        <v>0224-16</v>
      </c>
      <c r="AE145" s="104" t="str">
        <f t="shared" si="98"/>
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</c>
      <c r="AF145" s="101" t="str">
        <f t="shared" si="99"/>
        <v>"C:\Program Files (x86)\AstroGrep\AstroGrep.exe" /spath="%USERPROFILE%\AppData\Local\Temp\OnboardLogs" /stypes="*4015*20160817*" /stext=" 03:.+((SYSTEM_STATE.+slice.+state.+changed )|(ment ac)|(system.+state.+changed )|(\|lc)|(penalty)|(\[timeout)|(PRM\|1\|D)|(kpr)|(kdp))" /e /r /s</v>
      </c>
      <c r="AG145" s="1" t="str">
        <f t="shared" si="95"/>
        <v>EC</v>
      </c>
      <c r="AH145" s="105" t="str">
        <f t="shared" si="73"/>
        <v>"%USERPROFILE%\Documents\GitHub\eaglep3\Utilities\RefineRTDCRunTimes.py" --tripid 224-16 --locoid 4015 --swversion DE.1.0.7.0 --startMP 204:233007 --initTime 2016-08-16T20:16:16 --startdatetime 2016-08-16T20:17:47 --delay 1 --endMP 204:125 --enddatetime 2016-08-16T21:04:17 --enforcementcount 1</v>
      </c>
    </row>
    <row r="146" spans="1:34" x14ac:dyDescent="0.25">
      <c r="A146" s="40" t="s">
        <v>507</v>
      </c>
      <c r="B146" s="7">
        <v>4038</v>
      </c>
      <c r="C146" s="25" t="s">
        <v>119</v>
      </c>
      <c r="D146" s="25" t="s">
        <v>113</v>
      </c>
      <c r="E146" s="16">
        <v>42598.828634259262</v>
      </c>
      <c r="F146" s="16">
        <v>42598.829328703701</v>
      </c>
      <c r="G146" s="7">
        <v>0</v>
      </c>
      <c r="H146" s="16" t="s">
        <v>225</v>
      </c>
      <c r="I146" s="16">
        <v>42598.858680555553</v>
      </c>
      <c r="J146" s="7">
        <v>1</v>
      </c>
      <c r="K146" s="142" t="str">
        <f t="shared" si="86"/>
        <v>4037/4038</v>
      </c>
      <c r="L146" s="25" t="str">
        <f>VLOOKUP(A146,'Trips&amp;Operators'!$C$1:$E$10000,3,FALSE)</f>
        <v>ISHMAEL</v>
      </c>
      <c r="M146" s="6">
        <f t="shared" si="89"/>
        <v>2.9351851851970423E-2</v>
      </c>
      <c r="N146" s="7">
        <f t="shared" si="96"/>
        <v>42.266666666837409</v>
      </c>
      <c r="O146" s="7"/>
      <c r="P146" s="7"/>
      <c r="Q146" s="26"/>
      <c r="R146" s="26"/>
      <c r="S146" s="38">
        <f t="shared" si="88"/>
        <v>1</v>
      </c>
      <c r="T146" s="53" t="str">
        <f t="shared" si="90"/>
        <v>NorthBound</v>
      </c>
      <c r="U146" s="13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18:53:14-0600',mode:absolute,to:'2016-08-16 21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46" s="55" t="str">
        <f t="shared" si="91"/>
        <v>N</v>
      </c>
      <c r="X146" s="129">
        <f t="shared" si="84"/>
        <v>1</v>
      </c>
      <c r="Y146" s="70">
        <f t="shared" si="92"/>
        <v>4.6399999999999997E-2</v>
      </c>
      <c r="Z146" s="70">
        <f t="shared" si="87"/>
        <v>23.330500000000001</v>
      </c>
      <c r="AA146" s="70">
        <f t="shared" si="93"/>
        <v>23.284100000000002</v>
      </c>
      <c r="AB146" s="67" t="e">
        <f>VLOOKUP(A146,Enforcements!$C$7:$J$24,8,0)</f>
        <v>#N/A</v>
      </c>
      <c r="AC146" s="63" t="e">
        <f>VLOOKUP(A146,Enforcements!$C$7:$E$24,3,0)</f>
        <v>#N/A</v>
      </c>
      <c r="AD146" s="64" t="str">
        <f t="shared" si="94"/>
        <v>0225-16</v>
      </c>
      <c r="AE146" s="104" t="str">
        <f t="shared" si="98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146" s="101" t="str">
        <f t="shared" si="99"/>
        <v>"C:\Program Files (x86)\AstroGrep\AstroGrep.exe" /spath="%USERPROFILE%\AppData\Local\Temp\OnboardLogs" /stypes="*4038*20160817*" /stext=" 02:.+((SYSTEM_STATE.+slice.+state.+changed )|(ment ac)|(system.+state.+changed )|(\|lc)|(penalty)|(\[timeout)|(PRM\|1\|D)|(kpr)|(kdp))" /e /r /s</v>
      </c>
      <c r="AG146" s="1" t="str">
        <f t="shared" si="95"/>
        <v>EC</v>
      </c>
      <c r="AH146" s="105" t="str">
        <f t="shared" ref="AH146:AH212" si="100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</f>
        <v>"%USERPROFILE%\Documents\GitHub\eaglep3\Utilities\RefineRTDCRunTimes.py" --tripid 225-16 --locoid 4038 --swversion DE.1.0.7.0 --startMP 204:464 --initTime 2016-08-16T19:53:14 --startdatetime 2016-08-16T19:54:14 --delay 0 --endMP 204:233305 --enddatetime 2016-08-16T20:36:30 --enforcementcount 1</v>
      </c>
    </row>
    <row r="147" spans="1:34" x14ac:dyDescent="0.25">
      <c r="A147" s="40" t="s">
        <v>508</v>
      </c>
      <c r="B147" s="7">
        <v>4037</v>
      </c>
      <c r="C147" s="25" t="s">
        <v>119</v>
      </c>
      <c r="D147" s="25" t="s">
        <v>239</v>
      </c>
      <c r="E147" s="16">
        <v>42598.867395833331</v>
      </c>
      <c r="F147" s="16">
        <v>42598.868368055555</v>
      </c>
      <c r="G147" s="7">
        <v>1</v>
      </c>
      <c r="H147" s="16" t="s">
        <v>509</v>
      </c>
      <c r="I147" s="16">
        <v>42598.890868055554</v>
      </c>
      <c r="J147" s="7">
        <v>1</v>
      </c>
      <c r="K147" s="142" t="str">
        <f t="shared" si="86"/>
        <v>4037/4038</v>
      </c>
      <c r="L147" s="25" t="str">
        <f>VLOOKUP(A147,'Trips&amp;Operators'!$C$1:$E$10000,3,FALSE)</f>
        <v>ISHMAEL</v>
      </c>
      <c r="M147" s="6">
        <f t="shared" si="89"/>
        <v>2.2499999999126885E-2</v>
      </c>
      <c r="N147" s="7"/>
      <c r="O147" s="7"/>
      <c r="P147" s="7">
        <f>24*60*SUM($M147:$M147)</f>
        <v>32.399999998742715</v>
      </c>
      <c r="Q147" s="26"/>
      <c r="R147" s="26" t="s">
        <v>702</v>
      </c>
      <c r="S147" s="38">
        <f t="shared" si="88"/>
        <v>0.25</v>
      </c>
      <c r="T147" s="53" t="str">
        <f t="shared" si="90"/>
        <v>Southbound</v>
      </c>
      <c r="U147" s="13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3</v>
      </c>
      <c r="V147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19:49:03-0600',mode:absolute,to:'2016-08-16 22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47" s="55" t="str">
        <f t="shared" si="91"/>
        <v>Y</v>
      </c>
      <c r="X147" s="129">
        <f t="shared" si="84"/>
        <v>1</v>
      </c>
      <c r="Y147" s="70">
        <f t="shared" si="92"/>
        <v>23.2971</v>
      </c>
      <c r="Z147" s="70">
        <f t="shared" si="87"/>
        <v>6.4154999999999998</v>
      </c>
      <c r="AA147" s="70">
        <f t="shared" si="93"/>
        <v>16.881599999999999</v>
      </c>
      <c r="AB147" s="67" t="e">
        <f>VLOOKUP(A147,Enforcements!$C$7:$J$24,8,0)</f>
        <v>#N/A</v>
      </c>
      <c r="AC147" s="63" t="e">
        <f>VLOOKUP(A147,Enforcements!$C$7:$E$24,3,0)</f>
        <v>#N/A</v>
      </c>
      <c r="AD147" s="64" t="str">
        <f t="shared" si="94"/>
        <v>0226-16</v>
      </c>
      <c r="AE147" s="104" t="str">
        <f t="shared" si="9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147" s="101" t="str">
        <f t="shared" si="99"/>
        <v>"C:\Program Files (x86)\AstroGrep\AstroGrep.exe" /spath="%USERPROFILE%\AppData\Local\Temp\OnboardLogs" /stypes="*4037*20160817*" /stext=" 03:.+((SYSTEM_STATE.+slice.+state.+changed )|(ment ac)|(system.+state.+changed )|(\|lc)|(penalty)|(\[timeout)|(PRM\|1\|D)|(kpr)|(kdp))" /e /r /s</v>
      </c>
      <c r="AG147" s="1" t="str">
        <f t="shared" si="95"/>
        <v>EC</v>
      </c>
      <c r="AH147" s="105" t="str">
        <f t="shared" si="100"/>
        <v>"%USERPROFILE%\Documents\GitHub\eaglep3\Utilities\RefineRTDCRunTimes.py" --tripid 226-16 --locoid 4037 --swversion DE.1.0.7.0 --startMP 204:232971 --initTime 2016-08-16T20:49:03 --startdatetime 2016-08-16T20:50:27 --delay 1 --endMP 204:64155 --enddatetime 2016-08-16T21:22:51 --enforcementcount 1</v>
      </c>
    </row>
    <row r="148" spans="1:34" x14ac:dyDescent="0.25">
      <c r="A148" s="40" t="s">
        <v>510</v>
      </c>
      <c r="B148" s="7">
        <v>4029</v>
      </c>
      <c r="C148" s="25" t="s">
        <v>119</v>
      </c>
      <c r="D148" s="25" t="s">
        <v>151</v>
      </c>
      <c r="E148" s="16">
        <v>42598.853344907409</v>
      </c>
      <c r="F148" s="16">
        <v>42598.854375000003</v>
      </c>
      <c r="G148" s="7">
        <v>1</v>
      </c>
      <c r="H148" s="16" t="s">
        <v>142</v>
      </c>
      <c r="I148" s="16">
        <v>42598.880335648151</v>
      </c>
      <c r="J148" s="7">
        <v>1</v>
      </c>
      <c r="K148" s="142" t="str">
        <f t="shared" ref="K148:K161" si="101">IF(ISEVEN(B148),(B148-1)&amp;"/"&amp;B148,B148&amp;"/"&amp;(B148+1))</f>
        <v>4029/4030</v>
      </c>
      <c r="L148" s="25" t="str">
        <f>VLOOKUP(A148,'Trips&amp;Operators'!$C$1:$E$10000,3,FALSE)</f>
        <v>CHANDLER</v>
      </c>
      <c r="M148" s="6">
        <f t="shared" si="89"/>
        <v>2.5960648148611654E-2</v>
      </c>
      <c r="N148" s="7">
        <f>24*60*SUM($M148:$M148)</f>
        <v>37.383333334000781</v>
      </c>
      <c r="O148" s="7"/>
      <c r="P148" s="7"/>
      <c r="Q148" s="26"/>
      <c r="R148" s="26"/>
      <c r="S148" s="38">
        <f t="shared" si="88"/>
        <v>1</v>
      </c>
      <c r="T148" s="53" t="str">
        <f t="shared" si="90"/>
        <v>NorthBound</v>
      </c>
      <c r="U148" s="13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19:28:49-0600',mode:absolute,to:'2016-08-16 22:07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8" s="55" t="str">
        <f t="shared" si="91"/>
        <v>N</v>
      </c>
      <c r="X148" s="129">
        <f t="shared" si="84"/>
        <v>1</v>
      </c>
      <c r="Y148" s="70">
        <f t="shared" si="92"/>
        <v>4.6899999999999997E-2</v>
      </c>
      <c r="Z148" s="70">
        <f t="shared" si="87"/>
        <v>23.328900000000001</v>
      </c>
      <c r="AA148" s="70">
        <f t="shared" si="93"/>
        <v>23.282</v>
      </c>
      <c r="AB148" s="67" t="e">
        <f>VLOOKUP(A148,Enforcements!$C$7:$J$24,8,0)</f>
        <v>#N/A</v>
      </c>
      <c r="AC148" s="63" t="e">
        <f>VLOOKUP(A148,Enforcements!$C$7:$E$24,3,0)</f>
        <v>#N/A</v>
      </c>
      <c r="AD148" s="64" t="str">
        <f t="shared" si="94"/>
        <v>0227-16</v>
      </c>
      <c r="AE148" s="104" t="str">
        <f t="shared" si="98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148" s="101" t="str">
        <f t="shared" si="99"/>
        <v>"C:\Program Files (x86)\AstroGrep\AstroGrep.exe" /spath="%USERPROFILE%\AppData\Local\Temp\OnboardLogs" /stypes="*4029*20160817*" /stext=" 03:.+((SYSTEM_STATE.+slice.+state.+changed )|(ment ac)|(system.+state.+changed )|(\|lc)|(penalty)|(\[timeout)|(PRM\|1\|D)|(kpr)|(kdp))" /e /r /s</v>
      </c>
      <c r="AG148" s="1" t="str">
        <f t="shared" si="95"/>
        <v>EC</v>
      </c>
      <c r="AH148" s="105" t="str">
        <f t="shared" si="100"/>
        <v>"%USERPROFILE%\Documents\GitHub\eaglep3\Utilities\RefineRTDCRunTimes.py" --tripid 227-16 --locoid 4029 --swversion DE.1.0.7.0 --startMP 204:469 --initTime 2016-08-16T20:28:49 --startdatetime 2016-08-16T20:30:18 --delay 1 --endMP 204:233289 --enddatetime 2016-08-16T21:07:41 --enforcementcount 1</v>
      </c>
    </row>
    <row r="149" spans="1:34" x14ac:dyDescent="0.25">
      <c r="A149" s="40" t="s">
        <v>511</v>
      </c>
      <c r="B149" s="7">
        <v>4030</v>
      </c>
      <c r="C149" s="25" t="s">
        <v>119</v>
      </c>
      <c r="D149" s="25" t="s">
        <v>239</v>
      </c>
      <c r="E149" s="16">
        <v>42598.892013888886</v>
      </c>
      <c r="F149" s="16">
        <v>42598.892928240741</v>
      </c>
      <c r="G149" s="7">
        <v>1</v>
      </c>
      <c r="H149" s="16" t="s">
        <v>512</v>
      </c>
      <c r="I149" s="16">
        <v>42598.921724537038</v>
      </c>
      <c r="J149" s="7">
        <v>1</v>
      </c>
      <c r="K149" s="142" t="str">
        <f t="shared" si="101"/>
        <v>4029/4030</v>
      </c>
      <c r="L149" s="25" t="str">
        <f>VLOOKUP(A149,'Trips&amp;Operators'!$C$1:$E$10000,3,FALSE)</f>
        <v>CHANDLER</v>
      </c>
      <c r="M149" s="6">
        <f t="shared" si="89"/>
        <v>2.8796296297514345E-2</v>
      </c>
      <c r="N149" s="7">
        <f>24*60*SUM($M149:$M149)</f>
        <v>41.466666668420658</v>
      </c>
      <c r="O149" s="7"/>
      <c r="P149" s="7"/>
      <c r="Q149" s="26"/>
      <c r="R149" s="26"/>
      <c r="S149" s="38">
        <f t="shared" si="88"/>
        <v>1</v>
      </c>
      <c r="T149" s="53" t="str">
        <f t="shared" si="90"/>
        <v>Southbound</v>
      </c>
      <c r="U149" s="13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20:24:30-0600',mode:absolute,to:'2016-08-16 23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9" s="55" t="str">
        <f t="shared" si="91"/>
        <v>N</v>
      </c>
      <c r="X149" s="129">
        <f t="shared" si="84"/>
        <v>1</v>
      </c>
      <c r="Y149" s="70">
        <f t="shared" si="92"/>
        <v>23.2971</v>
      </c>
      <c r="Z149" s="70">
        <f t="shared" si="87"/>
        <v>1.6899999999999998E-2</v>
      </c>
      <c r="AA149" s="70">
        <f t="shared" si="93"/>
        <v>23.280200000000001</v>
      </c>
      <c r="AB149" s="67" t="e">
        <f>VLOOKUP(A149,Enforcements!$C$7:$J$24,8,0)</f>
        <v>#N/A</v>
      </c>
      <c r="AC149" s="63" t="e">
        <f>VLOOKUP(A149,Enforcements!$C$7:$E$24,3,0)</f>
        <v>#N/A</v>
      </c>
      <c r="AD149" s="64" t="str">
        <f t="shared" si="94"/>
        <v>0228-16</v>
      </c>
      <c r="AE149" s="104" t="str">
        <f t="shared" si="9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149" s="101" t="str">
        <f t="shared" si="99"/>
        <v>"C:\Program Files (x86)\AstroGrep\AstroGrep.exe" /spath="%USERPROFILE%\AppData\Local\Temp\OnboardLogs" /stypes="*4030*20160817*" /stext=" 04:.+((SYSTEM_STATE.+slice.+state.+changed )|(ment ac)|(system.+state.+changed )|(\|lc)|(penalty)|(\[timeout)|(PRM\|1\|D)|(kpr)|(kdp))" /e /r /s</v>
      </c>
      <c r="AG149" s="1" t="str">
        <f t="shared" si="95"/>
        <v>EC</v>
      </c>
      <c r="AH149" s="105" t="str">
        <f t="shared" si="100"/>
        <v>"%USERPROFILE%\Documents\GitHub\eaglep3\Utilities\RefineRTDCRunTimes.py" --tripid 228-16 --locoid 4030 --swversion DE.1.0.7.0 --startMP 204:232971 --initTime 2016-08-16T21:24:30 --startdatetime 2016-08-16T21:25:49 --delay 1 --endMP 204:169 --enddatetime 2016-08-16T22:07:17 --enforcementcount 1</v>
      </c>
    </row>
    <row r="150" spans="1:34" x14ac:dyDescent="0.25">
      <c r="A150" s="40" t="s">
        <v>513</v>
      </c>
      <c r="B150" s="7">
        <v>4044</v>
      </c>
      <c r="C150" s="25" t="s">
        <v>119</v>
      </c>
      <c r="D150" s="25" t="s">
        <v>224</v>
      </c>
      <c r="E150" s="16">
        <v>42598.869131944448</v>
      </c>
      <c r="F150" s="16">
        <v>42598.870185185187</v>
      </c>
      <c r="G150" s="7">
        <v>1</v>
      </c>
      <c r="H150" s="16" t="s">
        <v>215</v>
      </c>
      <c r="I150" s="16">
        <v>42598.901018518518</v>
      </c>
      <c r="J150" s="7">
        <v>1</v>
      </c>
      <c r="K150" s="142" t="str">
        <f t="shared" si="101"/>
        <v>4043/4044</v>
      </c>
      <c r="L150" s="25" t="str">
        <f>VLOOKUP(A150,'Trips&amp;Operators'!$C$1:$E$10000,3,FALSE)</f>
        <v>OUN</v>
      </c>
      <c r="M150" s="6">
        <f t="shared" si="89"/>
        <v>3.0833333330519963E-2</v>
      </c>
      <c r="N150" s="7">
        <f>24*60*SUM($M150:$M150)</f>
        <v>44.399999995948747</v>
      </c>
      <c r="O150" s="7"/>
      <c r="P150" s="7"/>
      <c r="Q150" s="26"/>
      <c r="R150" s="26"/>
      <c r="S150" s="38">
        <f t="shared" si="88"/>
        <v>1</v>
      </c>
      <c r="T150" s="53" t="str">
        <f t="shared" si="90"/>
        <v>NorthBound</v>
      </c>
      <c r="U150" s="13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19:51:33-0600',mode:absolute,to:'2016-08-16 22:37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0" s="55" t="str">
        <f t="shared" si="91"/>
        <v>N</v>
      </c>
      <c r="X150" s="129">
        <f t="shared" si="84"/>
        <v>1</v>
      </c>
      <c r="Y150" s="70">
        <f t="shared" si="92"/>
        <v>4.7500000000000001E-2</v>
      </c>
      <c r="Z150" s="70">
        <f t="shared" si="87"/>
        <v>23.329499999999999</v>
      </c>
      <c r="AA150" s="70">
        <f t="shared" si="93"/>
        <v>23.282</v>
      </c>
      <c r="AB150" s="67" t="e">
        <f>VLOOKUP(A150,Enforcements!$C$7:$J$24,8,0)</f>
        <v>#N/A</v>
      </c>
      <c r="AC150" s="63" t="e">
        <f>VLOOKUP(A150,Enforcements!$C$7:$E$24,3,0)</f>
        <v>#N/A</v>
      </c>
      <c r="AD150" s="64" t="str">
        <f t="shared" si="94"/>
        <v>0229-16</v>
      </c>
      <c r="AE150" s="104" t="str">
        <f t="shared" si="98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150" s="101" t="str">
        <f t="shared" si="99"/>
        <v>"C:\Program Files (x86)\AstroGrep\AstroGrep.exe" /spath="%USERPROFILE%\AppData\Local\Temp\OnboardLogs" /stypes="*4044*20160817*" /stext=" 03:.+((SYSTEM_STATE.+slice.+state.+changed )|(ment ac)|(system.+state.+changed )|(\|lc)|(penalty)|(\[timeout)|(PRM\|1\|D)|(kpr)|(kdp))" /e /r /s</v>
      </c>
      <c r="AG150" s="1" t="str">
        <f t="shared" si="95"/>
        <v>EC</v>
      </c>
      <c r="AH150" s="105" t="str">
        <f t="shared" si="100"/>
        <v>"%USERPROFILE%\Documents\GitHub\eaglep3\Utilities\RefineRTDCRunTimes.py" --tripid 229-16 --locoid 4044 --swversion DE.1.0.7.0 --startMP 204:475 --initTime 2016-08-16T20:51:33 --startdatetime 2016-08-16T20:53:04 --delay 1 --endMP 204:233295 --enddatetime 2016-08-16T21:37:28 --enforcementcount 1</v>
      </c>
    </row>
    <row r="151" spans="1:34" x14ac:dyDescent="0.25">
      <c r="A151" s="40" t="s">
        <v>514</v>
      </c>
      <c r="B151" s="7">
        <v>4043</v>
      </c>
      <c r="C151" s="25" t="s">
        <v>119</v>
      </c>
      <c r="D151" s="25" t="s">
        <v>253</v>
      </c>
      <c r="E151" s="16">
        <v>42598.908518518518</v>
      </c>
      <c r="F151" s="16">
        <v>42598.909421296295</v>
      </c>
      <c r="G151" s="7">
        <v>1</v>
      </c>
      <c r="H151" s="16" t="s">
        <v>515</v>
      </c>
      <c r="I151" s="16">
        <v>42598.932546296295</v>
      </c>
      <c r="J151" s="7">
        <v>1</v>
      </c>
      <c r="K151" s="142" t="str">
        <f t="shared" si="101"/>
        <v>4043/4044</v>
      </c>
      <c r="L151" s="25" t="str">
        <f>VLOOKUP(A151,'Trips&amp;Operators'!$C$1:$E$10000,3,FALSE)</f>
        <v>OUN</v>
      </c>
      <c r="M151" s="6">
        <f t="shared" si="89"/>
        <v>2.3124999999708962E-2</v>
      </c>
      <c r="N151" s="7"/>
      <c r="O151" s="7"/>
      <c r="P151" s="7">
        <f>24*60*SUM($M151:$M151)</f>
        <v>33.299999999580905</v>
      </c>
      <c r="Q151" s="26"/>
      <c r="R151" s="26" t="s">
        <v>703</v>
      </c>
      <c r="S151" s="38">
        <f t="shared" si="88"/>
        <v>0.33333333333333331</v>
      </c>
      <c r="T151" s="53" t="str">
        <f t="shared" si="90"/>
        <v>Southbound</v>
      </c>
      <c r="U151" s="13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4</v>
      </c>
      <c r="V151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20:48:16-0600',mode:absolute,to:'2016-08-16 23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1" s="55" t="str">
        <f t="shared" si="91"/>
        <v>Y</v>
      </c>
      <c r="X151" s="129">
        <f t="shared" si="84"/>
        <v>1</v>
      </c>
      <c r="Y151" s="70">
        <f t="shared" si="92"/>
        <v>23.297499999999999</v>
      </c>
      <c r="Z151" s="70">
        <f t="shared" ref="Z151:Z157" si="102">RIGHT(H151,LEN(H151)-4)/10000</f>
        <v>6.23</v>
      </c>
      <c r="AA151" s="70">
        <f t="shared" si="93"/>
        <v>17.067499999999999</v>
      </c>
      <c r="AB151" s="67" t="e">
        <f>VLOOKUP(A151,Enforcements!$C$7:$J$24,8,0)</f>
        <v>#N/A</v>
      </c>
      <c r="AC151" s="63" t="e">
        <f>VLOOKUP(A151,Enforcements!$C$7:$E$24,3,0)</f>
        <v>#N/A</v>
      </c>
      <c r="AD151" s="64" t="str">
        <f t="shared" si="94"/>
        <v>0230-16</v>
      </c>
      <c r="AE151" s="104" t="str">
        <f t="shared" si="98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151" s="101" t="str">
        <f t="shared" si="99"/>
        <v>"C:\Program Files (x86)\AstroGrep\AstroGrep.exe" /spath="%USERPROFILE%\AppData\Local\Temp\OnboardLogs" /stypes="*4043*20160817*" /stext=" 04:.+((SYSTEM_STATE.+slice.+state.+changed )|(ment ac)|(system.+state.+changed )|(\|lc)|(penalty)|(\[timeout)|(PRM\|1\|D)|(kpr)|(kdp))" /e /r /s</v>
      </c>
      <c r="AG151" s="1" t="str">
        <f t="shared" si="95"/>
        <v>EC</v>
      </c>
      <c r="AH151" s="105" t="str">
        <f t="shared" si="100"/>
        <v>"%USERPROFILE%\Documents\GitHub\eaglep3\Utilities\RefineRTDCRunTimes.py" --tripid 230-16 --locoid 4043 --swversion DE.1.0.7.0 --startMP 204:232975 --initTime 2016-08-16T21:48:16 --startdatetime 2016-08-16T21:49:34 --delay 1 --endMP 204:62300 --enddatetime 2016-08-16T22:22:52 --enforcementcount 1</v>
      </c>
    </row>
    <row r="152" spans="1:34" x14ac:dyDescent="0.25">
      <c r="A152" s="40" t="s">
        <v>516</v>
      </c>
      <c r="B152" s="7">
        <v>4016</v>
      </c>
      <c r="C152" s="25" t="s">
        <v>119</v>
      </c>
      <c r="D152" s="25" t="s">
        <v>517</v>
      </c>
      <c r="E152" s="16">
        <v>42598.886342592596</v>
      </c>
      <c r="F152" s="16">
        <v>42598.88795138889</v>
      </c>
      <c r="G152" s="7">
        <v>2</v>
      </c>
      <c r="H152" s="16" t="s">
        <v>464</v>
      </c>
      <c r="I152" s="16">
        <v>42598.921944444446</v>
      </c>
      <c r="J152" s="7">
        <v>1</v>
      </c>
      <c r="K152" s="142" t="str">
        <f t="shared" si="101"/>
        <v>4015/4016</v>
      </c>
      <c r="L152" s="25" t="str">
        <f>VLOOKUP(A152,'Trips&amp;Operators'!$C$1:$E$10000,3,FALSE)</f>
        <v>STORY</v>
      </c>
      <c r="M152" s="6">
        <f t="shared" si="89"/>
        <v>3.3993055556493346E-2</v>
      </c>
      <c r="N152" s="7">
        <f t="shared" ref="N152:N157" si="103">24*60*SUM($M152:$M152)</f>
        <v>48.950000001350418</v>
      </c>
      <c r="O152" s="7"/>
      <c r="P152" s="7"/>
      <c r="Q152" s="26"/>
      <c r="R152" s="26"/>
      <c r="S152" s="38">
        <f t="shared" si="88"/>
        <v>1</v>
      </c>
      <c r="T152" s="53" t="str">
        <f t="shared" si="90"/>
        <v>NorthBound</v>
      </c>
      <c r="U152" s="13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20:16:20-0600',mode:absolute,to:'2016-08-16 23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52" s="55" t="str">
        <f t="shared" si="91"/>
        <v>N</v>
      </c>
      <c r="X152" s="129">
        <f t="shared" si="84"/>
        <v>1</v>
      </c>
      <c r="Y152" s="70">
        <f t="shared" si="92"/>
        <v>4.24E-2</v>
      </c>
      <c r="Z152" s="70">
        <f t="shared" si="102"/>
        <v>23.333600000000001</v>
      </c>
      <c r="AA152" s="70">
        <f t="shared" si="93"/>
        <v>23.2912</v>
      </c>
      <c r="AB152" s="67" t="e">
        <f>VLOOKUP(A152,Enforcements!$C$7:$J$24,8,0)</f>
        <v>#N/A</v>
      </c>
      <c r="AC152" s="63" t="e">
        <f>VLOOKUP(A152,Enforcements!$C$7:$E$24,3,0)</f>
        <v>#N/A</v>
      </c>
      <c r="AD152" s="64" t="str">
        <f t="shared" si="94"/>
        <v>0231-16</v>
      </c>
      <c r="AE152" s="104" t="str">
        <f t="shared" si="98"/>
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</c>
      <c r="AF152" s="101" t="str">
        <f t="shared" si="99"/>
        <v>"C:\Program Files (x86)\AstroGrep\AstroGrep.exe" /spath="%USERPROFILE%\AppData\Local\Temp\OnboardLogs" /stypes="*4016*20160817*" /stext=" 04:.+((SYSTEM_STATE.+slice.+state.+changed )|(ment ac)|(system.+state.+changed )|(\|lc)|(penalty)|(\[timeout)|(PRM\|1\|D)|(kpr)|(kdp))" /e /r /s</v>
      </c>
      <c r="AG152" s="1" t="str">
        <f t="shared" si="95"/>
        <v>EC</v>
      </c>
      <c r="AH152" s="105" t="str">
        <f t="shared" si="100"/>
        <v>"%USERPROFILE%\Documents\GitHub\eaglep3\Utilities\RefineRTDCRunTimes.py" --tripid 231-16 --locoid 4016 --swversion DE.1.0.7.0 --startMP 204:424 --initTime 2016-08-16T21:16:20 --startdatetime 2016-08-16T21:18:39 --delay 2 --endMP 204:233336 --enddatetime 2016-08-16T22:07:36 --enforcementcount 1</v>
      </c>
    </row>
    <row r="153" spans="1:34" x14ac:dyDescent="0.25">
      <c r="A153" s="40" t="s">
        <v>518</v>
      </c>
      <c r="B153" s="7">
        <v>4015</v>
      </c>
      <c r="C153" s="25" t="s">
        <v>119</v>
      </c>
      <c r="D153" s="25" t="s">
        <v>519</v>
      </c>
      <c r="E153" s="16">
        <v>42598.929224537038</v>
      </c>
      <c r="F153" s="16">
        <v>42598.933391203704</v>
      </c>
      <c r="G153" s="7">
        <v>5</v>
      </c>
      <c r="H153" s="16" t="s">
        <v>156</v>
      </c>
      <c r="I153" s="16">
        <v>42598.963796296295</v>
      </c>
      <c r="J153" s="7">
        <v>1</v>
      </c>
      <c r="K153" s="142" t="str">
        <f t="shared" si="101"/>
        <v>4015/4016</v>
      </c>
      <c r="L153" s="25" t="str">
        <f>VLOOKUP(A153,'Trips&amp;Operators'!$C$1:$E$10000,3,FALSE)</f>
        <v>STORY</v>
      </c>
      <c r="M153" s="6">
        <f t="shared" si="89"/>
        <v>3.0405092591536231E-2</v>
      </c>
      <c r="N153" s="7">
        <f t="shared" si="103"/>
        <v>43.783333331812173</v>
      </c>
      <c r="O153" s="7"/>
      <c r="P153" s="7"/>
      <c r="Q153" s="26"/>
      <c r="R153" s="26"/>
      <c r="S153" s="38">
        <f t="shared" si="88"/>
        <v>1</v>
      </c>
      <c r="T153" s="53" t="str">
        <f t="shared" si="90"/>
        <v>Southbound</v>
      </c>
      <c r="U153" s="13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21:18:05-0600',mode:absolute,to:'2016-08-17 00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53" s="55" t="str">
        <f t="shared" si="91"/>
        <v>N</v>
      </c>
      <c r="X153" s="129">
        <f t="shared" si="84"/>
        <v>1</v>
      </c>
      <c r="Y153" s="70">
        <f t="shared" si="92"/>
        <v>23.306999999999999</v>
      </c>
      <c r="Z153" s="70">
        <f t="shared" si="102"/>
        <v>1.6299999999999999E-2</v>
      </c>
      <c r="AA153" s="70">
        <f t="shared" si="93"/>
        <v>23.290699999999998</v>
      </c>
      <c r="AB153" s="67" t="e">
        <f>VLOOKUP(A153,Enforcements!$C$7:$J$24,8,0)</f>
        <v>#N/A</v>
      </c>
      <c r="AC153" s="63" t="e">
        <f>VLOOKUP(A153,Enforcements!$C$7:$E$24,3,0)</f>
        <v>#N/A</v>
      </c>
      <c r="AD153" s="64" t="str">
        <f t="shared" si="94"/>
        <v>0232-16</v>
      </c>
      <c r="AE153" s="104" t="str">
        <f t="shared" si="98"/>
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</c>
      <c r="AF153" s="101" t="str">
        <f t="shared" si="99"/>
        <v>"C:\Program Files (x86)\AstroGrep\AstroGrep.exe" /spath="%USERPROFILE%\AppData\Local\Temp\OnboardLogs" /stypes="*4015*20160817*" /stext=" 05:.+((SYSTEM_STATE.+slice.+state.+changed )|(ment ac)|(system.+state.+changed )|(\|lc)|(penalty)|(\[timeout)|(PRM\|1\|D)|(kpr)|(kdp))" /e /r /s</v>
      </c>
      <c r="AG153" s="1" t="str">
        <f t="shared" si="95"/>
        <v>EC</v>
      </c>
      <c r="AH153" s="105" t="str">
        <f t="shared" si="100"/>
        <v>"%USERPROFILE%\Documents\GitHub\eaglep3\Utilities\RefineRTDCRunTimes.py" --tripid 232-16 --locoid 4015 --swversion DE.1.0.7.0 --startMP 204:233070 --initTime 2016-08-16T22:18:05 --startdatetime 2016-08-16T22:24:05 --delay 5 --endMP 204:163 --enddatetime 2016-08-16T23:07:52 --enforcementcount 1</v>
      </c>
    </row>
    <row r="154" spans="1:34" x14ac:dyDescent="0.25">
      <c r="A154" s="40" t="s">
        <v>521</v>
      </c>
      <c r="B154" s="7">
        <v>4037</v>
      </c>
      <c r="C154" s="25" t="s">
        <v>119</v>
      </c>
      <c r="D154" s="25" t="s">
        <v>238</v>
      </c>
      <c r="E154" s="16">
        <v>42598.952268518522</v>
      </c>
      <c r="F154" s="16">
        <v>42598.953935185185</v>
      </c>
      <c r="G154" s="7">
        <v>2</v>
      </c>
      <c r="H154" s="16" t="s">
        <v>169</v>
      </c>
      <c r="I154" s="16">
        <v>42598.991238425922</v>
      </c>
      <c r="J154" s="7">
        <v>1</v>
      </c>
      <c r="K154" s="142" t="str">
        <f t="shared" si="101"/>
        <v>4037/4038</v>
      </c>
      <c r="L154" s="25" t="str">
        <f>VLOOKUP(A154,'Trips&amp;Operators'!$C$1:$E$10000,3,FALSE)</f>
        <v>CUSHING</v>
      </c>
      <c r="M154" s="6">
        <f t="shared" si="89"/>
        <v>3.7303240736946464E-2</v>
      </c>
      <c r="N154" s="7">
        <f t="shared" si="103"/>
        <v>53.716666661202908</v>
      </c>
      <c r="O154" s="7"/>
      <c r="P154" s="7"/>
      <c r="Q154" s="26"/>
      <c r="R154" s="26"/>
      <c r="S154" s="38">
        <f t="shared" si="88"/>
        <v>1</v>
      </c>
      <c r="T154" s="53" t="str">
        <f t="shared" si="90"/>
        <v>Southbound</v>
      </c>
      <c r="U154" s="13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21:51:16-0600',mode:absolute,to:'2016-08-17 00:47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54" s="55" t="str">
        <f t="shared" si="91"/>
        <v>N</v>
      </c>
      <c r="X154" s="129">
        <f t="shared" ref="X154:X157" si="104">VALUE(LEFT(AD154,4))-VALUE(LEFT(AD153,4))</f>
        <v>2</v>
      </c>
      <c r="Y154" s="70">
        <f t="shared" ref="Y154:Y157" si="105">RIGHT(D154,LEN(D154)-4)/10000</f>
        <v>23.2987</v>
      </c>
      <c r="Z154" s="70">
        <f t="shared" si="102"/>
        <v>1.6500000000000001E-2</v>
      </c>
      <c r="AA154" s="70">
        <f t="shared" si="93"/>
        <v>23.2822</v>
      </c>
      <c r="AB154" s="67" t="e">
        <f>VLOOKUP(A154,Enforcements!$C$7:$J$24,8,0)</f>
        <v>#N/A</v>
      </c>
      <c r="AC154" s="63" t="e">
        <f>VLOOKUP(A154,Enforcements!$C$7:$E$24,3,0)</f>
        <v>#N/A</v>
      </c>
      <c r="AD154" s="64" t="str">
        <f t="shared" si="94"/>
        <v>0234-16</v>
      </c>
      <c r="AE154" s="104" t="str">
        <f t="shared" si="98"/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AF154" s="101" t="str">
        <f t="shared" si="99"/>
        <v>"C:\Program Files (x86)\AstroGrep\AstroGrep.exe" /spath="%USERPROFILE%\AppData\Local\Temp\OnboardLogs" /stypes="*4037*20160817*" /stext=" 05:.+((SYSTEM_STATE.+slice.+state.+changed )|(ment ac)|(system.+state.+changed )|(\|lc)|(penalty)|(\[timeout)|(PRM\|1\|D)|(kpr)|(kdp))" /e /r /s</v>
      </c>
      <c r="AG154" s="1" t="str">
        <f t="shared" si="95"/>
        <v>EC</v>
      </c>
      <c r="AH154" s="105" t="str">
        <f t="shared" si="100"/>
        <v>"%USERPROFILE%\Documents\GitHub\eaglep3\Utilities\RefineRTDCRunTimes.py" --tripid 234-16 --locoid 4037 --swversion DE.1.0.7.0 --startMP 204:232987 --initTime 2016-08-16T22:51:16 --startdatetime 2016-08-16T22:53:40 --delay 2 --endMP 204:165 --enddatetime 2016-08-16T23:47:23 --enforcementcount 1</v>
      </c>
    </row>
    <row r="155" spans="1:34" x14ac:dyDescent="0.25">
      <c r="A155" s="40" t="s">
        <v>522</v>
      </c>
      <c r="B155" s="7">
        <v>4029</v>
      </c>
      <c r="C155" s="25" t="s">
        <v>119</v>
      </c>
      <c r="D155" s="25" t="s">
        <v>167</v>
      </c>
      <c r="E155" s="16">
        <v>42598.936273148145</v>
      </c>
      <c r="F155" s="16">
        <v>42598.937592592592</v>
      </c>
      <c r="G155" s="7">
        <v>1</v>
      </c>
      <c r="H155" s="16" t="s">
        <v>215</v>
      </c>
      <c r="I155" s="16">
        <v>42598.965590277781</v>
      </c>
      <c r="J155" s="7">
        <v>1</v>
      </c>
      <c r="K155" s="142" t="str">
        <f t="shared" si="101"/>
        <v>4029/4030</v>
      </c>
      <c r="L155" s="25" t="str">
        <f>VLOOKUP(A155,'Trips&amp;Operators'!$C$1:$E$10000,3,FALSE)</f>
        <v>CHANDLER</v>
      </c>
      <c r="M155" s="6">
        <f t="shared" si="89"/>
        <v>2.7997685188893229E-2</v>
      </c>
      <c r="N155" s="7">
        <f t="shared" si="103"/>
        <v>40.316666672006249</v>
      </c>
      <c r="O155" s="7"/>
      <c r="P155" s="7"/>
      <c r="Q155" s="26"/>
      <c r="R155" s="26"/>
      <c r="S155" s="38">
        <f t="shared" si="88"/>
        <v>1</v>
      </c>
      <c r="T155" s="53" t="str">
        <f t="shared" si="90"/>
        <v>NorthBound</v>
      </c>
      <c r="U155" s="13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21:28:14-0600',mode:absolute,to:'2016-08-17 00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5" s="55" t="str">
        <f t="shared" si="91"/>
        <v>N</v>
      </c>
      <c r="X155" s="129">
        <f t="shared" si="104"/>
        <v>1</v>
      </c>
      <c r="Y155" s="70">
        <f t="shared" si="105"/>
        <v>4.6600000000000003E-2</v>
      </c>
      <c r="Z155" s="70">
        <f t="shared" si="102"/>
        <v>23.329499999999999</v>
      </c>
      <c r="AA155" s="70">
        <f t="shared" si="93"/>
        <v>23.282899999999998</v>
      </c>
      <c r="AB155" s="67" t="e">
        <f>VLOOKUP(A155,Enforcements!$C$7:$J$24,8,0)</f>
        <v>#N/A</v>
      </c>
      <c r="AC155" s="63" t="e">
        <f>VLOOKUP(A155,Enforcements!$C$7:$E$24,3,0)</f>
        <v>#N/A</v>
      </c>
      <c r="AD155" s="64" t="str">
        <f t="shared" si="94"/>
        <v>0235-16</v>
      </c>
      <c r="AE155" s="104" t="str">
        <f t="shared" si="98"/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AF155" s="101" t="str">
        <f t="shared" si="99"/>
        <v>"C:\Program Files (x86)\AstroGrep\AstroGrep.exe" /spath="%USERPROFILE%\AppData\Local\Temp\OnboardLogs" /stypes="*4029*20160817*" /stext=" 05:.+((SYSTEM_STATE.+slice.+state.+changed )|(ment ac)|(system.+state.+changed )|(\|lc)|(penalty)|(\[timeout)|(PRM\|1\|D)|(kpr)|(kdp))" /e /r /s</v>
      </c>
      <c r="AG155" s="1" t="str">
        <f t="shared" si="95"/>
        <v>EC</v>
      </c>
      <c r="AH155" s="105" t="str">
        <f t="shared" si="100"/>
        <v>"%USERPROFILE%\Documents\GitHub\eaglep3\Utilities\RefineRTDCRunTimes.py" --tripid 235-16 --locoid 4029 --swversion DE.1.0.7.0 --startMP 204:466 --initTime 2016-08-16T22:28:14 --startdatetime 2016-08-16T22:30:08 --delay 1 --endMP 204:233295 --enddatetime 2016-08-16T23:10:27 --enforcementcount 1</v>
      </c>
    </row>
    <row r="156" spans="1:34" x14ac:dyDescent="0.25">
      <c r="A156" s="40" t="s">
        <v>523</v>
      </c>
      <c r="B156" s="7">
        <v>4030</v>
      </c>
      <c r="C156" s="25" t="s">
        <v>119</v>
      </c>
      <c r="D156" s="25" t="s">
        <v>253</v>
      </c>
      <c r="E156" s="16">
        <v>42598.975497685184</v>
      </c>
      <c r="F156" s="16">
        <v>42598.976377314815</v>
      </c>
      <c r="G156" s="7">
        <v>1</v>
      </c>
      <c r="H156" s="16" t="s">
        <v>512</v>
      </c>
      <c r="I156" s="16">
        <v>42599.014351851853</v>
      </c>
      <c r="J156" s="7">
        <v>1</v>
      </c>
      <c r="K156" s="142" t="str">
        <f t="shared" si="101"/>
        <v>4029/4030</v>
      </c>
      <c r="L156" s="25" t="str">
        <f>VLOOKUP(A156,'Trips&amp;Operators'!$C$1:$E$10000,3,FALSE)</f>
        <v>CHANDLER</v>
      </c>
      <c r="M156" s="6">
        <f t="shared" si="89"/>
        <v>3.7974537037371192E-2</v>
      </c>
      <c r="N156" s="7">
        <f t="shared" si="103"/>
        <v>54.683333333814517</v>
      </c>
      <c r="O156" s="7"/>
      <c r="P156" s="7"/>
      <c r="Q156" s="26"/>
      <c r="R156" s="26"/>
      <c r="S156" s="38">
        <f t="shared" si="88"/>
        <v>1</v>
      </c>
      <c r="T156" s="53" t="str">
        <f t="shared" si="90"/>
        <v>Southbound</v>
      </c>
      <c r="U156" s="13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22:24:43-0600',mode:absolute,to:'2016-08-17 01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6" s="55" t="str">
        <f t="shared" si="91"/>
        <v>N</v>
      </c>
      <c r="X156" s="129">
        <f t="shared" si="104"/>
        <v>1</v>
      </c>
      <c r="Y156" s="70">
        <f t="shared" si="105"/>
        <v>23.297499999999999</v>
      </c>
      <c r="Z156" s="70">
        <f t="shared" si="102"/>
        <v>1.6899999999999998E-2</v>
      </c>
      <c r="AA156" s="70">
        <f t="shared" si="93"/>
        <v>23.2806</v>
      </c>
      <c r="AB156" s="67" t="e">
        <f>VLOOKUP(A156,Enforcements!$C$7:$J$24,8,0)</f>
        <v>#N/A</v>
      </c>
      <c r="AC156" s="63" t="e">
        <f>VLOOKUP(A156,Enforcements!$C$7:$E$24,3,0)</f>
        <v>#N/A</v>
      </c>
      <c r="AD156" s="64" t="str">
        <f t="shared" si="94"/>
        <v>0236-16</v>
      </c>
      <c r="AE156" s="104" t="str">
        <f t="shared" si="98"/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AF156" s="101" t="str">
        <f t="shared" si="99"/>
        <v>"C:\Program Files (x86)\AstroGrep\AstroGrep.exe" /spath="%USERPROFILE%\AppData\Local\Temp\OnboardLogs" /stypes="*4030*20160817*" /stext=" 06:.+((SYSTEM_STATE.+slice.+state.+changed )|(ment ac)|(system.+state.+changed )|(\|lc)|(penalty)|(\[timeout)|(PRM\|1\|D)|(kpr)|(kdp))" /e /r /s</v>
      </c>
      <c r="AG156" s="1" t="str">
        <f t="shared" si="95"/>
        <v>EC</v>
      </c>
      <c r="AH156" s="105" t="str">
        <f t="shared" si="100"/>
        <v>"%USERPROFILE%\Documents\GitHub\eaglep3\Utilities\RefineRTDCRunTimes.py" --tripid 236-16 --locoid 4030 --swversion DE.1.0.7.0 --startMP 204:232975 --initTime 2016-08-16T23:24:43 --startdatetime 2016-08-16T23:25:59 --delay 1 --endMP 204:169 --enddatetime 2016-08-17T00:20:40 --enforcementcount 1</v>
      </c>
    </row>
    <row r="157" spans="1:34" x14ac:dyDescent="0.25">
      <c r="A157" s="40" t="s">
        <v>524</v>
      </c>
      <c r="B157" s="7">
        <v>4044</v>
      </c>
      <c r="C157" s="25" t="s">
        <v>119</v>
      </c>
      <c r="D157" s="25" t="s">
        <v>157</v>
      </c>
      <c r="E157" s="16">
        <v>42598.954791666663</v>
      </c>
      <c r="F157" s="16">
        <v>42598.955763888887</v>
      </c>
      <c r="G157" s="7">
        <v>1</v>
      </c>
      <c r="H157" s="16" t="s">
        <v>166</v>
      </c>
      <c r="I157" s="16">
        <v>42598.986608796295</v>
      </c>
      <c r="J157" s="7">
        <v>1</v>
      </c>
      <c r="K157" s="142" t="str">
        <f t="shared" si="101"/>
        <v>4043/4044</v>
      </c>
      <c r="L157" s="25" t="str">
        <f>VLOOKUP(A157,'Trips&amp;Operators'!$C$1:$E$10000,3,FALSE)</f>
        <v>OUN</v>
      </c>
      <c r="M157" s="6">
        <f t="shared" si="89"/>
        <v>3.0844907407299615E-2</v>
      </c>
      <c r="N157" s="7">
        <f t="shared" si="103"/>
        <v>44.416666666511446</v>
      </c>
      <c r="O157" s="7"/>
      <c r="P157" s="7"/>
      <c r="Q157" s="26"/>
      <c r="R157" s="26"/>
      <c r="S157" s="38">
        <f t="shared" si="88"/>
        <v>1</v>
      </c>
      <c r="T157" s="53" t="str">
        <f t="shared" si="90"/>
        <v>NorthBound</v>
      </c>
      <c r="U157" s="13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21:54:54-0600',mode:absolute,to:'2016-08-17 00:40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57" s="55" t="str">
        <f t="shared" si="91"/>
        <v>N</v>
      </c>
      <c r="X157" s="129">
        <f t="shared" si="104"/>
        <v>1</v>
      </c>
      <c r="Y157" s="70">
        <f t="shared" si="105"/>
        <v>4.5699999999999998E-2</v>
      </c>
      <c r="Z157" s="70">
        <f t="shared" si="102"/>
        <v>23.33</v>
      </c>
      <c r="AA157" s="70">
        <f t="shared" si="93"/>
        <v>23.284299999999998</v>
      </c>
      <c r="AB157" s="67" t="e">
        <f>VLOOKUP(A157,Enforcements!$C$7:$J$24,8,0)</f>
        <v>#N/A</v>
      </c>
      <c r="AC157" s="63" t="e">
        <f>VLOOKUP(A157,Enforcements!$C$7:$E$24,3,0)</f>
        <v>#N/A</v>
      </c>
      <c r="AD157" s="64" t="str">
        <f t="shared" si="94"/>
        <v>0237-16</v>
      </c>
      <c r="AE157" s="104" t="str">
        <f t="shared" si="98"/>
        <v>aws s3 cp s3://rtdc.mdm.uploadarchive/RTDC4044/2016-08-16/ "%USERPROFILE%\AppData\Local\Temp\OnboardLogs"\RTDC4044\2016-08-16 --recursive &amp; "%USERPROFILE%\Documents\GitHub\mrs-test-scripts\Headless Mode &amp; Sideloading\WalkAndUnGZ.bat" "%USERPROFILE%\AppData\Local\Temp\OnboardLogs"\RTDC4044\2016-08-16 &amp; aws s3 cp s3://rtdc.mdm.uploadarchive/RTDC4044/2016-08-17/ "%USERPROFILE%\AppData\Local\Temp\OnboardLogs"\RTDC4044\2016-08-17 --recursive &amp; "%USERPROFILE%\Documents\GitHub\mrs-test-scripts\Headless Mode &amp; Sideloading\WalkAndUnGZ.bat" "%USERPROFILE%\AppData\Local\Temp\OnboardLogs"\RTDC4044\2016-08-17</v>
      </c>
      <c r="AF157" s="101" t="str">
        <f t="shared" si="99"/>
        <v>"C:\Program Files (x86)\AstroGrep\AstroGrep.exe" /spath="%USERPROFILE%\AppData\Local\Temp\OnboardLogs" /stypes="*4044*20160817*" /stext=" 05:.+((SYSTEM_STATE.+slice.+state.+changed )|(ment ac)|(system.+state.+changed )|(\|lc)|(penalty)|(\[timeout)|(PRM\|1\|D)|(kpr)|(kdp))" /e /r /s</v>
      </c>
      <c r="AG157" s="1" t="str">
        <f t="shared" si="95"/>
        <v>EC</v>
      </c>
      <c r="AH157" s="105" t="str">
        <f t="shared" si="100"/>
        <v>"%USERPROFILE%\Documents\GitHub\eaglep3\Utilities\RefineRTDCRunTimes.py" --tripid 237-16 --locoid 4044 --swversion DE.1.0.7.0 --startMP 204:457 --initTime 2016-08-16T22:54:54 --startdatetime 2016-08-16T22:56:18 --delay 1 --endMP 204:233300 --enddatetime 2016-08-16T23:40:43 --enforcementcount 1</v>
      </c>
    </row>
    <row r="158" spans="1:34" s="24" customFormat="1" x14ac:dyDescent="0.25">
      <c r="A158" s="40" t="s">
        <v>674</v>
      </c>
      <c r="B158" s="7">
        <v>4043</v>
      </c>
      <c r="C158" s="25" t="s">
        <v>119</v>
      </c>
      <c r="D158" s="25" t="s">
        <v>157</v>
      </c>
      <c r="E158" s="16">
        <v>42598.954791666663</v>
      </c>
      <c r="F158" s="16">
        <v>42598.992164351854</v>
      </c>
      <c r="G158" s="7">
        <v>1</v>
      </c>
      <c r="H158" s="16" t="s">
        <v>166</v>
      </c>
      <c r="I158" s="16">
        <v>42599.02616898148</v>
      </c>
      <c r="J158" s="7">
        <v>1</v>
      </c>
      <c r="K158" s="142" t="str">
        <f t="shared" si="101"/>
        <v>4043/4044</v>
      </c>
      <c r="L158" s="25" t="str">
        <f>VLOOKUP(A158,'Trips&amp;Operators'!$C$1:$E$10000,3,FALSE)</f>
        <v>OUN</v>
      </c>
      <c r="M158" s="6">
        <f t="shared" si="89"/>
        <v>3.400462962599704E-2</v>
      </c>
      <c r="N158" s="7"/>
      <c r="O158" s="7"/>
      <c r="P158" s="7">
        <f>24*60*SUM($M158:$M158)</f>
        <v>48.966666661435738</v>
      </c>
      <c r="Q158" s="26"/>
      <c r="R158" s="26" t="s">
        <v>705</v>
      </c>
      <c r="S158" s="38">
        <f t="shared" si="88"/>
        <v>0.75</v>
      </c>
      <c r="T158" s="53" t="str">
        <f t="shared" si="90"/>
        <v>Southbound</v>
      </c>
      <c r="U158" s="13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9</v>
      </c>
      <c r="V158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21:54:54-0600',mode:absolute,to:'2016-08-17 01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58" s="55" t="str">
        <f t="shared" si="91"/>
        <v>Y</v>
      </c>
      <c r="X158" s="129">
        <f t="shared" ref="X158:X165" si="106">VALUE(LEFT(AD158,4))-VALUE(LEFT(AD157,4))</f>
        <v>1</v>
      </c>
      <c r="Y158" s="70">
        <v>23.3</v>
      </c>
      <c r="Z158" s="70">
        <v>4.2</v>
      </c>
      <c r="AA158" s="70">
        <f t="shared" si="93"/>
        <v>19.100000000000001</v>
      </c>
      <c r="AB158" s="67" t="e">
        <f>VLOOKUP(A158,Enforcements!$C$7:$J$24,8,0)</f>
        <v>#N/A</v>
      </c>
      <c r="AC158" s="63" t="e">
        <f>VLOOKUP(A158,Enforcements!$C$7:$E$24,3,0)</f>
        <v>#N/A</v>
      </c>
      <c r="AD158" s="64" t="str">
        <f t="shared" si="94"/>
        <v>0238-16</v>
      </c>
      <c r="AE158" s="104" t="str">
        <f t="shared" si="98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158" s="101" t="str">
        <f t="shared" si="99"/>
        <v>"C:\Program Files (x86)\AstroGrep\AstroGrep.exe" /spath="%USERPROFILE%\AppData\Local\Temp\OnboardLogs" /stypes="*4043*20160817*" /stext=" 06:.+((SYSTEM_STATE.+slice.+state.+changed )|(ment ac)|(system.+state.+changed )|(\|lc)|(penalty)|(\[timeout)|(PRM\|1\|D)|(kpr)|(kdp))" /e /r /s</v>
      </c>
      <c r="AG158" s="1" t="str">
        <f t="shared" si="95"/>
        <v>EC</v>
      </c>
      <c r="AH158" s="105" t="str">
        <f t="shared" ref="AH158" si="107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</f>
        <v>"%USERPROFILE%\Documents\GitHub\eaglep3\Utilities\RefineRTDCRunTimes.py" --tripid 238-16 --locoid 4043 --swversion DE.1.0.7.0 --startMP 204:457 --initTime 2016-08-16T22:54:54 --startdatetime 2016-08-16T23:48:43 --delay 1 --endMP 204:233300 --enddatetime 2016-08-17T00:37:41 --enforcementcount 1</v>
      </c>
    </row>
    <row r="159" spans="1:34" x14ac:dyDescent="0.25">
      <c r="A159" s="40" t="s">
        <v>525</v>
      </c>
      <c r="B159" s="7">
        <v>4016</v>
      </c>
      <c r="C159" s="25" t="s">
        <v>119</v>
      </c>
      <c r="D159" s="25" t="s">
        <v>167</v>
      </c>
      <c r="E159" s="16">
        <v>42598.976006944446</v>
      </c>
      <c r="F159" s="16">
        <v>42598.977037037039</v>
      </c>
      <c r="G159" s="7">
        <v>1</v>
      </c>
      <c r="H159" s="16" t="s">
        <v>225</v>
      </c>
      <c r="I159" s="16">
        <v>42599.006365740737</v>
      </c>
      <c r="J159" s="7">
        <v>1</v>
      </c>
      <c r="K159" s="142" t="str">
        <f t="shared" si="101"/>
        <v>4015/4016</v>
      </c>
      <c r="L159" s="25" t="str">
        <f>VLOOKUP(A159,'Trips&amp;Operators'!$C$1:$E$10000,3,FALSE)</f>
        <v>STORY</v>
      </c>
      <c r="M159" s="6">
        <f t="shared" si="89"/>
        <v>2.9328703698411118E-2</v>
      </c>
      <c r="N159" s="7">
        <f>24*60*SUM($M159:$M159)</f>
        <v>42.23333332571201</v>
      </c>
      <c r="O159" s="7"/>
      <c r="P159" s="7"/>
      <c r="Q159" s="26"/>
      <c r="R159" s="26"/>
      <c r="S159" s="38">
        <f t="shared" si="88"/>
        <v>1</v>
      </c>
      <c r="T159" s="53" t="str">
        <f t="shared" si="90"/>
        <v>NorthBound</v>
      </c>
      <c r="U159" s="13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W159" s="55" t="str">
        <f t="shared" si="91"/>
        <v>N</v>
      </c>
      <c r="X159" s="129">
        <f t="shared" si="106"/>
        <v>1</v>
      </c>
      <c r="Y159" s="70">
        <f>RIGHT(D159,LEN(D159)-4)/10000</f>
        <v>4.6600000000000003E-2</v>
      </c>
      <c r="Z159" s="70">
        <f>RIGHT(H159,LEN(H159)-4)/10000</f>
        <v>23.330500000000001</v>
      </c>
      <c r="AA159" s="70">
        <f t="shared" si="93"/>
        <v>23.283899999999999</v>
      </c>
      <c r="AB159" s="67">
        <f>VLOOKUP(A159,Enforcements!$C$7:$J$24,8,0)</f>
        <v>228668</v>
      </c>
      <c r="AC159" s="63" t="str">
        <f>VLOOKUP(A159,Enforcements!$C$7:$E$24,3,0)</f>
        <v>PERMANENT SPEED RESTRICTION</v>
      </c>
      <c r="AD159" s="64" t="str">
        <f t="shared" si="94"/>
        <v>0239-16</v>
      </c>
      <c r="AE159" s="104" t="str">
        <f t="shared" si="98"/>
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</c>
      <c r="AF159" s="101" t="str">
        <f t="shared" si="99"/>
        <v>"C:\Program Files (x86)\AstroGrep\AstroGrep.exe" /spath="%USERPROFILE%\AppData\Local\Temp\OnboardLogs" /stypes="*4016*20160817*" /stext=" 06:.+((SYSTEM_STATE.+slice.+state.+changed )|(ment ac)|(system.+state.+changed )|(\|lc)|(penalty)|(\[timeout)|(PRM\|1\|D)|(kpr)|(kdp))" /e /r /s</v>
      </c>
      <c r="AG159" s="1" t="str">
        <f t="shared" si="95"/>
        <v>EC</v>
      </c>
      <c r="AH159" s="105" t="str">
        <f t="shared" si="100"/>
        <v>"%USERPROFILE%\Documents\GitHub\eaglep3\Utilities\RefineRTDCRunTimes.py" --tripid 239-16 --locoid 4016 --swversion DE.1.0.7.0 --startMP 204:466 --initTime 2016-08-16T23:25:27 --startdatetime 2016-08-16T23:26:56 --delay 1 --endMP 204:233305 --enddatetime 2016-08-17T00:09:10 --enforcementcount 1</v>
      </c>
    </row>
    <row r="160" spans="1:34" s="24" customFormat="1" x14ac:dyDescent="0.25">
      <c r="A160" s="40" t="s">
        <v>675</v>
      </c>
      <c r="B160" s="7">
        <v>4015</v>
      </c>
      <c r="C160" s="25" t="s">
        <v>119</v>
      </c>
      <c r="D160" s="25" t="s">
        <v>167</v>
      </c>
      <c r="E160" s="16">
        <v>42598.976006944446</v>
      </c>
      <c r="F160" s="16">
        <v>42599.01158564815</v>
      </c>
      <c r="G160" s="7">
        <v>1</v>
      </c>
      <c r="H160" s="16" t="s">
        <v>225</v>
      </c>
      <c r="I160" s="16">
        <v>42599.012106481481</v>
      </c>
      <c r="J160" s="7">
        <v>1</v>
      </c>
      <c r="K160" s="142" t="str">
        <f t="shared" si="101"/>
        <v>4015/4016</v>
      </c>
      <c r="L160" s="25" t="str">
        <f>VLOOKUP(A160,'Trips&amp;Operators'!$C$1:$E$10000,3,FALSE)</f>
        <v>STORY</v>
      </c>
      <c r="M160" s="6">
        <f t="shared" si="89"/>
        <v>5.2083333139307797E-4</v>
      </c>
      <c r="N160" s="7"/>
      <c r="O160" s="7"/>
      <c r="P160" s="7">
        <f>24*60*SUM($M160:$M160)</f>
        <v>0.74999999720603228</v>
      </c>
      <c r="Q160" s="26"/>
      <c r="R160" s="26" t="s">
        <v>705</v>
      </c>
      <c r="S160" s="38">
        <f t="shared" si="88"/>
        <v>0</v>
      </c>
      <c r="T160" s="53" t="str">
        <f t="shared" si="90"/>
        <v>Southbound</v>
      </c>
      <c r="U160" s="13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17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160" s="55" t="str">
        <f t="shared" si="91"/>
        <v>Y</v>
      </c>
      <c r="X160" s="129">
        <f t="shared" ref="X160" si="108">VALUE(LEFT(AD160,4))-VALUE(LEFT(AD159,4))</f>
        <v>1</v>
      </c>
      <c r="Y160" s="70">
        <v>23.3</v>
      </c>
      <c r="Z160" s="70">
        <v>23.2</v>
      </c>
      <c r="AA160" s="70">
        <f t="shared" si="93"/>
        <v>0.10000000000000142</v>
      </c>
      <c r="AB160" s="67" t="e">
        <f>VLOOKUP(A160,Enforcements!$C$7:$J$24,8,0)</f>
        <v>#N/A</v>
      </c>
      <c r="AC160" s="63" t="e">
        <f>VLOOKUP(A160,Enforcements!$C$7:$E$24,3,0)</f>
        <v>#N/A</v>
      </c>
      <c r="AD160" s="64" t="str">
        <f t="shared" si="94"/>
        <v>0240-16</v>
      </c>
      <c r="AE160" s="104" t="str">
        <f t="shared" si="98"/>
        <v>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 &amp; aws s3 cp s3://rtdc.mdm.uploadarchive/RTDC4015/2016-08-18/ "%USERPROFILE%\AppData\Local\Temp\OnboardLogs"\RTDC4015\2016-08-18 --recursive &amp; "%USERPROFILE%\Documents\GitHub\mrs-test-scripts\Headless Mode &amp; Sideloading\WalkAndUnGZ.bat" "%USERPROFILE%\AppData\Local\Temp\OnboardLogs"\RTDC4015\2016-08-18</v>
      </c>
      <c r="AF160" s="101" t="str">
        <f t="shared" si="99"/>
        <v>"C:\Program Files (x86)\AstroGrep\AstroGrep.exe" /spath="%USERPROFILE%\AppData\Local\Temp\OnboardLogs" /stypes="*4015*20160817*" /stext=" 06:.+((SYSTEM_STATE.+slice.+state.+changed )|(ment ac)|(system.+state.+changed )|(\|lc)|(penalty)|(\[timeout)|(PRM\|1\|D)|(kpr)|(kdp))" /e /r /s</v>
      </c>
      <c r="AG160" s="1" t="str">
        <f t="shared" si="95"/>
        <v>EC</v>
      </c>
      <c r="AH160" s="105" t="str">
        <f t="shared" ref="AH160" si="109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</f>
        <v>"%USERPROFILE%\Documents\GitHub\eaglep3\Utilities\RefineRTDCRunTimes.py" --tripid 240-16 --locoid 4015 --swversion DE.1.0.7.0 --startMP 204:466 --initTime 2016-08-16T23:25:27 --startdatetime 2016-08-17T00:16:41 --delay 1 --endMP 204:233305 --enddatetime 2016-08-17T00:17:26 --enforcementcount 1</v>
      </c>
    </row>
    <row r="161" spans="1:34" x14ac:dyDescent="0.25">
      <c r="A161" s="40" t="s">
        <v>526</v>
      </c>
      <c r="B161" s="7">
        <v>4038</v>
      </c>
      <c r="C161" s="25" t="s">
        <v>119</v>
      </c>
      <c r="D161" s="25" t="s">
        <v>178</v>
      </c>
      <c r="E161" s="16">
        <v>42598.993761574071</v>
      </c>
      <c r="F161" s="16">
        <v>42598.99523148148</v>
      </c>
      <c r="G161" s="7">
        <v>2</v>
      </c>
      <c r="H161" s="16" t="s">
        <v>158</v>
      </c>
      <c r="I161" s="16">
        <v>42599.026782407411</v>
      </c>
      <c r="J161" s="7">
        <v>1</v>
      </c>
      <c r="K161" s="142" t="str">
        <f t="shared" si="101"/>
        <v>4037/4038</v>
      </c>
      <c r="L161" s="25" t="str">
        <f>VLOOKUP(A161,'Trips&amp;Operators'!$C$1:$E$10000,3,FALSE)</f>
        <v>ISHMAEL</v>
      </c>
      <c r="M161" s="6">
        <f t="shared" si="89"/>
        <v>3.1550925930787344E-2</v>
      </c>
      <c r="N161" s="7">
        <f>24*60*SUM($M161:$M161)</f>
        <v>45.433333340333775</v>
      </c>
      <c r="O161" s="7"/>
      <c r="P161" s="7"/>
      <c r="Q161" s="26"/>
      <c r="R161" s="26"/>
      <c r="S161" s="38">
        <f t="shared" si="88"/>
        <v>1</v>
      </c>
      <c r="T161" s="53" t="str">
        <f t="shared" si="90"/>
        <v>NorthBound</v>
      </c>
      <c r="U161" s="13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22:51:01-0600',mode:absolute,to:'2016-08-17 01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1" s="55" t="str">
        <f t="shared" si="91"/>
        <v>N</v>
      </c>
      <c r="X161" s="129">
        <f t="shared" si="106"/>
        <v>1</v>
      </c>
      <c r="Y161" s="70">
        <f>RIGHT(D161,LEN(D161)-4)/10000</f>
        <v>4.5100000000000001E-2</v>
      </c>
      <c r="Z161" s="70">
        <f>RIGHT(H161,LEN(H161)-4)/10000</f>
        <v>23.331</v>
      </c>
      <c r="AA161" s="70">
        <f t="shared" si="93"/>
        <v>23.285899999999998</v>
      </c>
      <c r="AB161" s="67" t="e">
        <f>VLOOKUP(A161,Enforcements!$C$7:$J$24,8,0)</f>
        <v>#N/A</v>
      </c>
      <c r="AC161" s="63" t="e">
        <f>VLOOKUP(A161,Enforcements!$C$7:$E$24,3,0)</f>
        <v>#N/A</v>
      </c>
      <c r="AD161" s="64" t="str">
        <f t="shared" si="94"/>
        <v>0241-16</v>
      </c>
      <c r="AE161" s="104" t="str">
        <f t="shared" si="98"/>
        <v>aws s3 cp s3://rtdc.mdm.uploadarchive/RTDC4038/2016-08-16/ "%USERPROFILE%\AppData\Local\Temp\OnboardLogs"\RTDC4038\2016-08-16 --recursive &amp; "%USERPROFILE%\Documents\GitHub\mrs-test-scripts\Headless Mode &amp; Sideloading\WalkAndUnGZ.bat" "%USERPROFILE%\AppData\Local\Temp\OnboardLogs"\RTDC4038\2016-08-16 &amp; 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</v>
      </c>
      <c r="AF161" s="101" t="str">
        <f t="shared" si="99"/>
        <v>"C:\Program Files (x86)\AstroGrep\AstroGrep.exe" /spath="%USERPROFILE%\AppData\Local\Temp\OnboardLogs" /stypes="*4038*20160817*" /stext=" 06:.+((SYSTEM_STATE.+slice.+state.+changed )|(ment ac)|(system.+state.+changed )|(\|lc)|(penalty)|(\[timeout)|(PRM\|1\|D)|(kpr)|(kdp))" /e /r /s</v>
      </c>
      <c r="AG161" s="1" t="str">
        <f t="shared" si="95"/>
        <v>EC</v>
      </c>
      <c r="AH161" s="105" t="str">
        <f t="shared" si="100"/>
        <v>"%USERPROFILE%\Documents\GitHub\eaglep3\Utilities\RefineRTDCRunTimes.py" --tripid 241-16 --locoid 4038 --swversion DE.1.0.7.0 --startMP 204:451 --initTime 2016-08-16T23:51:01 --startdatetime 2016-08-16T23:53:08 --delay 2 --endMP 204:233310 --enddatetime 2016-08-17T00:38:34 --enforcementcount 1</v>
      </c>
    </row>
    <row r="162" spans="1:34" s="24" customFormat="1" x14ac:dyDescent="0.25">
      <c r="A162" s="40" t="s">
        <v>687</v>
      </c>
      <c r="B162" s="7">
        <v>4038</v>
      </c>
      <c r="C162" s="25"/>
      <c r="D162" s="25"/>
      <c r="E162" s="16"/>
      <c r="F162" s="16" t="s">
        <v>682</v>
      </c>
      <c r="G162" s="7" t="s">
        <v>682</v>
      </c>
      <c r="H162" s="16" t="s">
        <v>682</v>
      </c>
      <c r="I162" s="16" t="s">
        <v>682</v>
      </c>
      <c r="J162" s="7" t="s">
        <v>682</v>
      </c>
      <c r="K162" s="142" t="str">
        <f t="shared" ref="K162" si="110">IF(ISEVEN(B162),(B162-1)&amp;"/"&amp;B162,B162&amp;"/"&amp;(B162+1))</f>
        <v>4037/4038</v>
      </c>
      <c r="L162" s="25" t="e">
        <f>VLOOKUP(A162,'Trips&amp;Operators'!$C$1:$E$10000,3,FALSE)</f>
        <v>#N/A</v>
      </c>
      <c r="M162" s="6"/>
      <c r="N162" s="7"/>
      <c r="O162" s="7"/>
      <c r="P162" s="7">
        <v>1</v>
      </c>
      <c r="Q162" s="26"/>
      <c r="R162" s="26" t="s">
        <v>683</v>
      </c>
      <c r="S162" s="38">
        <f t="shared" ref="S162" si="111">SUM(U162:U162)/IF(AG162="EC",12,1)</f>
        <v>0</v>
      </c>
      <c r="T162" s="53" t="str">
        <f t="shared" ref="T162" si="112">IF(ISEVEN(LEFT(AD162,4)),"Southbound","NorthBound")</f>
        <v>Southbound</v>
      </c>
      <c r="U162" s="13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111" t="e">
        <f t="shared" si="97"/>
        <v>#VALUE!</v>
      </c>
      <c r="W162" s="55" t="e">
        <f t="shared" ref="W162" si="113">IF(AA162&lt;IF(AG162="EC",23,5.65),"Y","N")</f>
        <v>#VALUE!</v>
      </c>
      <c r="X162" s="129">
        <f t="shared" si="106"/>
        <v>1</v>
      </c>
      <c r="Y162" s="70" t="e">
        <f t="shared" ref="Y162" si="114">RIGHT(D162,LEN(D162)-4)/10000</f>
        <v>#VALUE!</v>
      </c>
      <c r="Z162" s="70" t="e">
        <f t="shared" ref="Z162" si="115">RIGHT(H162,LEN(H162)-4)/10000</f>
        <v>#VALUE!</v>
      </c>
      <c r="AA162" s="70" t="e">
        <f t="shared" ref="AA162" si="116">ABS(Z162-Y162)</f>
        <v>#VALUE!</v>
      </c>
      <c r="AB162" s="67" t="e">
        <f>VLOOKUP(A162,Enforcements!$C$7:$J$24,8,0)</f>
        <v>#N/A</v>
      </c>
      <c r="AC162" s="63" t="e">
        <f>VLOOKUP(A162,Enforcements!$C$7:$E$24,3,0)</f>
        <v>#N/A</v>
      </c>
      <c r="AD162" s="64" t="str">
        <f t="shared" ref="AD162" si="117">IF(LEN(A162)=6,"0"&amp;A162,A162)</f>
        <v>0242-16</v>
      </c>
      <c r="AE162" s="104" t="e">
        <f t="shared" si="98"/>
        <v>#VALUE!</v>
      </c>
      <c r="AF162" s="101" t="e">
        <f t="shared" si="99"/>
        <v>#VALUE!</v>
      </c>
      <c r="AG162" s="1" t="str">
        <f t="shared" ref="AG162" si="118">IFERROR(IF(VALUE(LEFT(AD162,2))&lt;=2,"EC",IF(OR(VALUE(LEFT(AD162,2))=8,VALUE(LEFT(AD162,2))=18),"NW","Other")),"Other")</f>
        <v>EC</v>
      </c>
      <c r="AH162" s="105" t="str">
        <f t="shared" si="100"/>
        <v>"%USERPROFILE%\Documents\GitHub\eaglep3\Utilities\RefineRTDCRunTimes.py" --tripid 242-16 --locoid 4038 --swversion  --startMP  --initTime 1900-01-00T00:00:00 --startdatetime - --delay - --endMP - --enddatetime - --enforcementcount -</v>
      </c>
    </row>
    <row r="163" spans="1:34" s="24" customFormat="1" x14ac:dyDescent="0.25">
      <c r="A163" s="40" t="s">
        <v>676</v>
      </c>
      <c r="B163" s="7">
        <v>4029</v>
      </c>
      <c r="C163" s="25" t="s">
        <v>119</v>
      </c>
      <c r="D163" s="25" t="s">
        <v>153</v>
      </c>
      <c r="E163" s="16">
        <v>42599.059062499997</v>
      </c>
      <c r="F163" s="16">
        <v>42599.020590277774</v>
      </c>
      <c r="G163" s="7">
        <v>1</v>
      </c>
      <c r="H163" s="16" t="s">
        <v>528</v>
      </c>
      <c r="I163" s="16">
        <v>42599.026238425926</v>
      </c>
      <c r="J163" s="7">
        <v>1</v>
      </c>
      <c r="K163" s="142" t="str">
        <f t="shared" ref="K163:K194" si="119">IF(ISEVEN(B163),(B163-1)&amp;"/"&amp;B163,B163&amp;"/"&amp;(B163+1))</f>
        <v>4029/4030</v>
      </c>
      <c r="L163" s="25" t="str">
        <f>VLOOKUP(A163,'Trips&amp;Operators'!$C$1:$E$10000,3,FALSE)</f>
        <v>CHANDLER</v>
      </c>
      <c r="M163" s="6">
        <f t="shared" ref="M163:M194" si="120">I163-F163</f>
        <v>5.6481481515220366E-3</v>
      </c>
      <c r="N163" s="7"/>
      <c r="O163" s="7"/>
      <c r="P163" s="7">
        <f>24*60*SUM($M163:$M163)</f>
        <v>8.1333333381917328</v>
      </c>
      <c r="Q163" s="26"/>
      <c r="R163" s="26" t="s">
        <v>705</v>
      </c>
      <c r="S163" s="38">
        <f t="shared" ref="S163:S194" si="121">SUM(U163:U163)/IF(AG163="EC",12,1)</f>
        <v>8.3333333333333329E-2</v>
      </c>
      <c r="T163" s="53" t="str">
        <f t="shared" ref="T163:T194" si="122">IF(ISEVEN(LEFT(AD163,4)),"Southbound","NorthBound")</f>
        <v>NorthBound</v>
      </c>
      <c r="U163" s="13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https://search-rtdc-monitor-bjffxe2xuh6vdkpspy63sjmuny.us-east-1.es.amazonaws.com/_plugin/kibana/#/discover/Steve-Slow-Train-Analysis-(2080s-and-2083s)?_g=(refreshInterval:(display:Off,section:0,value:0),time:(from:'2016-08-17 00:25:03-0600',mode:absolute,to:'2016-08-17 01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3" s="55" t="str">
        <f t="shared" ref="W163:W194" si="123">IF(AA163&lt;IF(AG163="EC",23,5.65),"Y","N")</f>
        <v>Y</v>
      </c>
      <c r="X163" s="129">
        <f t="shared" ref="X163" si="124">VALUE(LEFT(AD163,4))-VALUE(LEFT(AD162,4))</f>
        <v>1</v>
      </c>
      <c r="Y163" s="70">
        <v>0.04</v>
      </c>
      <c r="Z163" s="70">
        <v>2.84</v>
      </c>
      <c r="AA163" s="70">
        <f t="shared" ref="AA163:AA194" si="125">ABS(Z163-Y163)</f>
        <v>2.8</v>
      </c>
      <c r="AB163" s="67" t="e">
        <f>VLOOKUP(A163,Enforcements!$C$7:$J$24,8,0)</f>
        <v>#N/A</v>
      </c>
      <c r="AC163" s="63" t="e">
        <f>VLOOKUP(A163,Enforcements!$C$7:$E$24,3,0)</f>
        <v>#N/A</v>
      </c>
      <c r="AD163" s="64" t="str">
        <f t="shared" ref="AD163:AD194" si="126">IF(LEN(A163)=6,"0"&amp;A163,A163)</f>
        <v>0243-16</v>
      </c>
      <c r="AE163" s="104" t="str">
        <f t="shared" si="98"/>
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</c>
      <c r="AF163" s="101" t="str">
        <f t="shared" si="99"/>
        <v>"C:\Program Files (x86)\AstroGrep\AstroGrep.exe" /spath="%USERPROFILE%\AppData\Local\Temp\OnboardLogs" /stypes="*4029*20160817*" /stext=" 06:.+((SYSTEM_STATE.+slice.+state.+changed )|(ment ac)|(system.+state.+changed )|(\|lc)|(penalty)|(\[timeout)|(PRM\|1\|D)|(kpr)|(kdp))" /e /r /s</v>
      </c>
      <c r="AG163" s="1" t="str">
        <f t="shared" ref="AG163:AG194" si="127">IFERROR(IF(VALUE(LEFT(AD163,2))&lt;=2,"EC",IF(OR(VALUE(LEFT(AD163,2))=8,VALUE(LEFT(AD163,2))=18),"NW","Other")),"Other")</f>
        <v>EC</v>
      </c>
      <c r="AH163" s="105" t="str">
        <f t="shared" ref="AH163" si="128"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</f>
        <v>"%USERPROFILE%\Documents\GitHub\eaglep3\Utilities\RefineRTDCRunTimes.py" --tripid 243-16 --locoid 4029 --swversion DE.1.0.7.0 --startMP 204:232978 --initTime 2016-08-17T01:25:03 --startdatetime 2016-08-17T00:29:39 --delay 1 --endMP 204:164 --enddatetime 2016-08-17T00:37:47 --enforcementcount 1</v>
      </c>
    </row>
    <row r="164" spans="1:34" x14ac:dyDescent="0.25">
      <c r="A164" s="40" t="s">
        <v>527</v>
      </c>
      <c r="B164" s="7">
        <v>4030</v>
      </c>
      <c r="C164" s="25" t="s">
        <v>119</v>
      </c>
      <c r="D164" s="25" t="s">
        <v>153</v>
      </c>
      <c r="E164" s="16">
        <v>42599.059062499997</v>
      </c>
      <c r="F164" s="16">
        <v>42599.059976851851</v>
      </c>
      <c r="G164" s="7">
        <v>1</v>
      </c>
      <c r="H164" s="16" t="s">
        <v>528</v>
      </c>
      <c r="I164" s="16">
        <v>42599.089525462965</v>
      </c>
      <c r="J164" s="7">
        <v>1</v>
      </c>
      <c r="K164" s="142" t="str">
        <f t="shared" si="119"/>
        <v>4029/4030</v>
      </c>
      <c r="L164" s="25" t="str">
        <f>VLOOKUP(A164,'Trips&amp;Operators'!$C$1:$E$10000,3,FALSE)</f>
        <v>CHANDLER</v>
      </c>
      <c r="M164" s="6">
        <f t="shared" si="120"/>
        <v>2.9548611113568768E-2</v>
      </c>
      <c r="N164" s="7">
        <f t="shared" ref="N164:N169" si="129">24*60*SUM($M164:$M164)</f>
        <v>42.550000003539026</v>
      </c>
      <c r="O164" s="7"/>
      <c r="P164" s="7"/>
      <c r="Q164" s="26"/>
      <c r="R164" s="26"/>
      <c r="S164" s="38">
        <f t="shared" si="121"/>
        <v>1</v>
      </c>
      <c r="T164" s="53" t="str">
        <f t="shared" si="122"/>
        <v>Southbound</v>
      </c>
      <c r="U164" s="13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12</v>
      </c>
      <c r="V164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https://search-rtdc-monitor-bjffxe2xuh6vdkpspy63sjmuny.us-east-1.es.amazonaws.com/_plugin/kibana/#/discover/Steve-Slow-Train-Analysis-(2080s-and-2083s)?_g=(refreshInterval:(display:Off,section:0,value:0),time:(from:'2016-08-17 00:25:03-0600',mode:absolute,to:'2016-08-17 03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4" s="55" t="str">
        <f t="shared" si="123"/>
        <v>N</v>
      </c>
      <c r="X164" s="129">
        <f t="shared" si="106"/>
        <v>1</v>
      </c>
      <c r="Y164" s="70">
        <f t="shared" ref="Y164:Y195" si="130">RIGHT(D164,LEN(D164)-4)/10000</f>
        <v>23.297799999999999</v>
      </c>
      <c r="Z164" s="70">
        <f t="shared" ref="Z164:Z173" si="131">RIGHT(H164,LEN(H164)-4)/10000</f>
        <v>1.6400000000000001E-2</v>
      </c>
      <c r="AA164" s="70">
        <f t="shared" si="125"/>
        <v>23.281399999999998</v>
      </c>
      <c r="AB164" s="67" t="e">
        <f>VLOOKUP(A164,Enforcements!$C$7:$J$24,8,0)</f>
        <v>#N/A</v>
      </c>
      <c r="AC164" s="63" t="e">
        <f>VLOOKUP(A164,Enforcements!$C$7:$E$24,3,0)</f>
        <v>#N/A</v>
      </c>
      <c r="AD164" s="64" t="str">
        <f t="shared" si="126"/>
        <v>0244-16</v>
      </c>
      <c r="AE164" s="104" t="str">
        <f t="shared" si="98"/>
        <v>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 &amp; aws s3 cp s3://rtdc.mdm.uploadarchive/RTDC4030/2016-08-18/ "%USERPROFILE%\AppData\Local\Temp\OnboardLogs"\RTDC4030\2016-08-18 --recursive &amp; "%USERPROFILE%\Documents\GitHub\mrs-test-scripts\Headless Mode &amp; Sideloading\WalkAndUnGZ.bat" "%USERPROFILE%\AppData\Local\Temp\OnboardLogs"\RTDC4030\2016-08-18</v>
      </c>
      <c r="AF164" s="101" t="str">
        <f t="shared" si="99"/>
        <v>"C:\Program Files (x86)\AstroGrep\AstroGrep.exe" /spath="%USERPROFILE%\AppData\Local\Temp\OnboardLogs" /stypes="*4030*20160817*" /stext=" 08:.+((SYSTEM_STATE.+slice.+state.+changed )|(ment ac)|(system.+state.+changed )|(\|lc)|(penalty)|(\[timeout)|(PRM\|1\|D)|(kpr)|(kdp))" /e /r /s</v>
      </c>
      <c r="AG164" s="1" t="str">
        <f t="shared" si="127"/>
        <v>EC</v>
      </c>
      <c r="AH164" s="105" t="str">
        <f t="shared" si="100"/>
        <v>"%USERPROFILE%\Documents\GitHub\eaglep3\Utilities\RefineRTDCRunTimes.py" --tripid 244-16 --locoid 4030 --swversion DE.1.0.7.0 --startMP 204:232978 --initTime 2016-08-17T01:25:03 --startdatetime 2016-08-17T01:26:22 --delay 1 --endMP 204:164 --enddatetime 2016-08-17T02:08:55 --enforcementcount 1</v>
      </c>
    </row>
    <row r="165" spans="1:34" x14ac:dyDescent="0.25">
      <c r="A165" s="40" t="s">
        <v>551</v>
      </c>
      <c r="B165" s="7">
        <v>4002</v>
      </c>
      <c r="C165" s="25" t="s">
        <v>119</v>
      </c>
      <c r="D165" s="25" t="s">
        <v>552</v>
      </c>
      <c r="E165" s="16">
        <v>42598.241863425923</v>
      </c>
      <c r="F165" s="16">
        <v>42598.243113425924</v>
      </c>
      <c r="G165" s="7">
        <v>1</v>
      </c>
      <c r="H165" s="16" t="s">
        <v>553</v>
      </c>
      <c r="I165" s="16">
        <v>42598.253576388888</v>
      </c>
      <c r="J165" s="7">
        <v>1</v>
      </c>
      <c r="K165" s="142" t="str">
        <f t="shared" si="119"/>
        <v>4001/4002</v>
      </c>
      <c r="L165" s="25" t="str">
        <f>VLOOKUP(A165,'Trips&amp;Operators'!$C$1:$E$10000,3,FALSE)</f>
        <v>STARKS</v>
      </c>
      <c r="M165" s="6">
        <f t="shared" si="120"/>
        <v>1.0462962964083999E-2</v>
      </c>
      <c r="N165" s="7">
        <f t="shared" si="129"/>
        <v>15.066666668280959</v>
      </c>
      <c r="O165" s="7"/>
      <c r="P165" s="7"/>
      <c r="Q165" s="26"/>
      <c r="R165" s="26"/>
      <c r="S165" s="38">
        <f t="shared" si="121"/>
        <v>1</v>
      </c>
      <c r="T165" s="53" t="str">
        <f t="shared" si="122"/>
        <v>NorthBound</v>
      </c>
      <c r="U165" s="13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04:48:17-0600',mode:absolute,to:'2016-08-16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5" s="55" t="str">
        <f t="shared" si="123"/>
        <v>N</v>
      </c>
      <c r="X165" s="129">
        <f t="shared" si="106"/>
        <v>557</v>
      </c>
      <c r="Y165" s="70">
        <f t="shared" si="130"/>
        <v>9.5299999999999996E-2</v>
      </c>
      <c r="Z165" s="70">
        <f t="shared" si="131"/>
        <v>5.8935000000000004</v>
      </c>
      <c r="AA165" s="70">
        <f t="shared" si="125"/>
        <v>5.7982000000000005</v>
      </c>
      <c r="AB165" s="67" t="e">
        <f>VLOOKUP(A165,Enforcements!$C$7:$J$24,8,0)</f>
        <v>#N/A</v>
      </c>
      <c r="AC165" s="63" t="e">
        <f>VLOOKUP(A165,Enforcements!$C$7:$E$24,3,0)</f>
        <v>#N/A</v>
      </c>
      <c r="AD165" s="64" t="str">
        <f t="shared" si="126"/>
        <v>0801-16</v>
      </c>
      <c r="AE165" s="104" t="str">
        <f t="shared" si="98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165" s="101" t="str">
        <f t="shared" si="99"/>
        <v>"C:\Program Files (x86)\AstroGrep\AstroGrep.exe" /spath="%USERPROFILE%\AppData\Local\Temp\OnboardLogs" /stypes="*4002*20160816*" /stext=" 12:.+((SYSTEM_STATE.+slice.+state.+changed )|(ment ac)|(system.+state.+changed )|(\|lc)|(penalty)|(\[timeout)|(PRM\|1\|D)|(kpr)|(kdp))" /e /r /s</v>
      </c>
      <c r="AG165" s="1" t="str">
        <f t="shared" si="127"/>
        <v>NW</v>
      </c>
      <c r="AH165" s="105" t="str">
        <f t="shared" si="100"/>
        <v>"%USERPROFILE%\Documents\GitHub\eaglep3\Utilities\RefineRTDCRunTimes.py" --tripid 801-16 --locoid 4002 --swversion DE.1.0.7.0 --startMP 204:953 --initTime 2016-08-16T05:48:17 --startdatetime 2016-08-16T05:50:05 --delay 1 --endMP 300:58935 --enddatetime 2016-08-16T06:05:09 --enforcementcount 1</v>
      </c>
    </row>
    <row r="166" spans="1:34" s="24" customFormat="1" x14ac:dyDescent="0.25">
      <c r="A166" s="40" t="s">
        <v>688</v>
      </c>
      <c r="B166" s="7">
        <v>4001</v>
      </c>
      <c r="C166" s="25" t="s">
        <v>119</v>
      </c>
      <c r="D166" s="25" t="s">
        <v>552</v>
      </c>
      <c r="E166" s="16">
        <v>42598.241863425923</v>
      </c>
      <c r="F166" s="16">
        <v>42598.243113425924</v>
      </c>
      <c r="G166" s="7">
        <v>1</v>
      </c>
      <c r="H166" s="16" t="s">
        <v>553</v>
      </c>
      <c r="I166" s="16">
        <v>42598.253576388888</v>
      </c>
      <c r="J166" s="7">
        <v>1</v>
      </c>
      <c r="K166" s="142" t="str">
        <f t="shared" si="119"/>
        <v>4001/4002</v>
      </c>
      <c r="L166" s="25" t="e">
        <f>VLOOKUP(A166,'Trips&amp;Operators'!$C$1:$E$10000,3,FALSE)</f>
        <v>#N/A</v>
      </c>
      <c r="M166" s="6">
        <f t="shared" si="120"/>
        <v>1.0462962964083999E-2</v>
      </c>
      <c r="N166" s="7">
        <f t="shared" si="129"/>
        <v>15.066666668280959</v>
      </c>
      <c r="O166" s="7"/>
      <c r="P166" s="7">
        <f>24*60*SUM($M166:$M166)</f>
        <v>15.066666668280959</v>
      </c>
      <c r="Q166" s="26"/>
      <c r="R166" s="26" t="s">
        <v>683</v>
      </c>
      <c r="S166" s="38">
        <f t="shared" si="121"/>
        <v>0</v>
      </c>
      <c r="T166" s="53" t="str">
        <f t="shared" si="122"/>
        <v>Southbound</v>
      </c>
      <c r="U166" s="13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04:48:17-0600',mode:absolute,to:'2016-08-16 07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6" s="55" t="str">
        <f t="shared" si="123"/>
        <v>N</v>
      </c>
      <c r="X166" s="129">
        <f t="shared" ref="X166:X172" si="132">VALUE(LEFT(AD166,4))-VALUE(LEFT(AD165,4))</f>
        <v>1</v>
      </c>
      <c r="Y166" s="70">
        <f t="shared" si="130"/>
        <v>9.5299999999999996E-2</v>
      </c>
      <c r="Z166" s="70">
        <f t="shared" si="131"/>
        <v>5.8935000000000004</v>
      </c>
      <c r="AA166" s="70">
        <f t="shared" si="125"/>
        <v>5.7982000000000005</v>
      </c>
      <c r="AB166" s="67" t="e">
        <f>VLOOKUP(A166,Enforcements!$C$7:$J$24,8,0)</f>
        <v>#N/A</v>
      </c>
      <c r="AC166" s="63" t="e">
        <f>VLOOKUP(A166,Enforcements!$C$7:$E$24,3,0)</f>
        <v>#N/A</v>
      </c>
      <c r="AD166" s="64" t="str">
        <f t="shared" si="126"/>
        <v>0802-16</v>
      </c>
      <c r="AE166" s="104" t="str">
        <f t="shared" si="98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166" s="101" t="str">
        <f t="shared" si="99"/>
        <v>"C:\Program Files (x86)\AstroGrep\AstroGrep.exe" /spath="%USERPROFILE%\AppData\Local\Temp\OnboardLogs" /stypes="*4001*20160816*" /stext=" 12:.+((SYSTEM_STATE.+slice.+state.+changed )|(ment ac)|(system.+state.+changed )|(\|lc)|(penalty)|(\[timeout)|(PRM\|1\|D)|(kpr)|(kdp))" /e /r /s</v>
      </c>
      <c r="AG166" s="1" t="str">
        <f t="shared" si="127"/>
        <v>NW</v>
      </c>
      <c r="AH166" s="105" t="str">
        <f t="shared" ref="AH166" si="133"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</f>
        <v>"%USERPROFILE%\Documents\GitHub\eaglep3\Utilities\RefineRTDCRunTimes.py" --tripid 802-16 --locoid 4001 --swversion DE.1.0.7.0 --startMP 204:953 --initTime 2016-08-16T05:48:17 --startdatetime 2016-08-16T05:50:05 --delay 1 --endMP 300:58935 --enddatetime 2016-08-16T06:05:09 --enforcementcount 1</v>
      </c>
    </row>
    <row r="167" spans="1:34" x14ac:dyDescent="0.25">
      <c r="A167" s="40" t="s">
        <v>554</v>
      </c>
      <c r="B167" s="7">
        <v>4014</v>
      </c>
      <c r="C167" s="25" t="s">
        <v>119</v>
      </c>
      <c r="D167" s="25" t="s">
        <v>555</v>
      </c>
      <c r="E167" s="16">
        <v>42598.260706018518</v>
      </c>
      <c r="F167" s="16">
        <v>42598.261921296296</v>
      </c>
      <c r="G167" s="7">
        <v>1</v>
      </c>
      <c r="H167" s="16" t="s">
        <v>265</v>
      </c>
      <c r="I167" s="16">
        <v>42598.276053240741</v>
      </c>
      <c r="J167" s="7">
        <v>1</v>
      </c>
      <c r="K167" s="142" t="str">
        <f t="shared" si="119"/>
        <v>4013/4014</v>
      </c>
      <c r="L167" s="25" t="str">
        <f>VLOOKUP(A167,'Trips&amp;Operators'!$C$1:$E$10000,3,FALSE)</f>
        <v>LEVIN</v>
      </c>
      <c r="M167" s="6">
        <f t="shared" si="120"/>
        <v>1.4131944444670808E-2</v>
      </c>
      <c r="N167" s="7">
        <f t="shared" si="129"/>
        <v>20.350000000325963</v>
      </c>
      <c r="O167" s="7"/>
      <c r="P167" s="7"/>
      <c r="Q167" s="26"/>
      <c r="R167" s="26"/>
      <c r="S167" s="38">
        <f t="shared" si="121"/>
        <v>1</v>
      </c>
      <c r="T167" s="53" t="str">
        <f t="shared" si="122"/>
        <v>NorthBound</v>
      </c>
      <c r="U167" s="13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05:15:25-0600',mode:absolute,to:'2016-08-16 07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67" s="55" t="str">
        <f t="shared" si="123"/>
        <v>N</v>
      </c>
      <c r="X167" s="129">
        <f t="shared" si="132"/>
        <v>1</v>
      </c>
      <c r="Y167" s="70">
        <f t="shared" si="130"/>
        <v>0.1028</v>
      </c>
      <c r="Z167" s="70">
        <f t="shared" si="131"/>
        <v>5.8921999999999999</v>
      </c>
      <c r="AA167" s="70">
        <f t="shared" si="125"/>
        <v>5.7893999999999997</v>
      </c>
      <c r="AB167" s="67" t="e">
        <f>VLOOKUP(A167,Enforcements!$C$7:$J$24,8,0)</f>
        <v>#N/A</v>
      </c>
      <c r="AC167" s="63" t="e">
        <f>VLOOKUP(A167,Enforcements!$C$7:$E$24,3,0)</f>
        <v>#N/A</v>
      </c>
      <c r="AD167" s="64" t="str">
        <f t="shared" si="126"/>
        <v>0803-16</v>
      </c>
      <c r="AE167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67" s="101" t="str">
        <f t="shared" si="99"/>
        <v>"C:\Program Files (x86)\AstroGrep\AstroGrep.exe" /spath="%USERPROFILE%\AppData\Local\Temp\OnboardLogs" /stypes="*4014*20160816*" /stext=" 12:.+((SYSTEM_STATE.+slice.+state.+changed )|(ment ac)|(system.+state.+changed )|(\|lc)|(penalty)|(\[timeout)|(PRM\|1\|D)|(kpr)|(kdp))" /e /r /s</v>
      </c>
      <c r="AG167" s="1" t="str">
        <f t="shared" si="127"/>
        <v>NW</v>
      </c>
      <c r="AH167" s="105" t="str">
        <f t="shared" si="100"/>
        <v>"%USERPROFILE%\Documents\GitHub\eaglep3\Utilities\RefineRTDCRunTimes.py" --tripid 803-16 --locoid 4014 --swversion DE.1.0.7.0 --startMP 204:1028 --initTime 2016-08-16T06:15:25 --startdatetime 2016-08-16T06:17:10 --delay 1 --endMP 300:58922 --enddatetime 2016-08-16T06:37:31 --enforcementcount 1</v>
      </c>
    </row>
    <row r="168" spans="1:34" x14ac:dyDescent="0.25">
      <c r="A168" s="40" t="s">
        <v>556</v>
      </c>
      <c r="B168" s="7">
        <v>4013</v>
      </c>
      <c r="C168" s="25" t="s">
        <v>119</v>
      </c>
      <c r="D168" s="25" t="s">
        <v>266</v>
      </c>
      <c r="E168" s="16">
        <v>42598.277268518519</v>
      </c>
      <c r="F168" s="16">
        <v>42598.278124999997</v>
      </c>
      <c r="G168" s="7">
        <v>1</v>
      </c>
      <c r="H168" s="16" t="s">
        <v>221</v>
      </c>
      <c r="I168" s="16">
        <v>42598.288460648146</v>
      </c>
      <c r="J168" s="7">
        <v>1</v>
      </c>
      <c r="K168" s="142" t="str">
        <f t="shared" si="119"/>
        <v>4013/4014</v>
      </c>
      <c r="L168" s="25" t="str">
        <f>VLOOKUP(A168,'Trips&amp;Operators'!$C$1:$E$10000,3,FALSE)</f>
        <v>LEVIN</v>
      </c>
      <c r="M168" s="6">
        <f t="shared" si="120"/>
        <v>1.0335648148611654E-2</v>
      </c>
      <c r="N168" s="7">
        <f t="shared" si="129"/>
        <v>14.883333334000781</v>
      </c>
      <c r="O168" s="7"/>
      <c r="P168" s="7"/>
      <c r="Q168" s="26"/>
      <c r="R168" s="26"/>
      <c r="S168" s="38">
        <f t="shared" si="121"/>
        <v>1</v>
      </c>
      <c r="T168" s="53" t="str">
        <f t="shared" si="122"/>
        <v>Southbound</v>
      </c>
      <c r="U168" s="13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05:39:16-0600',mode:absolute,to:'2016-08-16 07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68" s="55" t="str">
        <f t="shared" si="123"/>
        <v>N</v>
      </c>
      <c r="X168" s="129">
        <f t="shared" si="132"/>
        <v>1</v>
      </c>
      <c r="Y168" s="70">
        <f t="shared" si="130"/>
        <v>5.8608000000000002</v>
      </c>
      <c r="Z168" s="70">
        <f t="shared" si="131"/>
        <v>7.4800000000000005E-2</v>
      </c>
      <c r="AA168" s="70">
        <f t="shared" si="125"/>
        <v>5.7860000000000005</v>
      </c>
      <c r="AB168" s="67" t="e">
        <f>VLOOKUP(A168,Enforcements!$C$7:$J$24,8,0)</f>
        <v>#N/A</v>
      </c>
      <c r="AC168" s="63" t="e">
        <f>VLOOKUP(A168,Enforcements!$C$7:$E$24,3,0)</f>
        <v>#N/A</v>
      </c>
      <c r="AD168" s="64" t="str">
        <f t="shared" si="126"/>
        <v>0804-16</v>
      </c>
      <c r="AE168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68" s="101" t="str">
        <f t="shared" si="99"/>
        <v>"C:\Program Files (x86)\AstroGrep\AstroGrep.exe" /spath="%USERPROFILE%\AppData\Local\Temp\OnboardLogs" /stypes="*4013*20160816*" /stext=" 12:.+((SYSTEM_STATE.+slice.+state.+changed )|(ment ac)|(system.+state.+changed )|(\|lc)|(penalty)|(\[timeout)|(PRM\|1\|D)|(kpr)|(kdp))" /e /r /s</v>
      </c>
      <c r="AG168" s="1" t="str">
        <f t="shared" si="127"/>
        <v>NW</v>
      </c>
      <c r="AH168" s="105" t="str">
        <f t="shared" si="100"/>
        <v>"%USERPROFILE%\Documents\GitHub\eaglep3\Utilities\RefineRTDCRunTimes.py" --tripid 804-16 --locoid 4013 --swversion DE.1.0.7.0 --startMP 300:58608 --initTime 2016-08-16T06:39:16 --startdatetime 2016-08-16T06:40:30 --delay 1 --endMP 204:748 --enddatetime 2016-08-16T06:55:23 --enforcementcount 1</v>
      </c>
    </row>
    <row r="169" spans="1:34" x14ac:dyDescent="0.25">
      <c r="A169" s="40" t="s">
        <v>557</v>
      </c>
      <c r="B169" s="7">
        <v>4002</v>
      </c>
      <c r="C169" s="25" t="s">
        <v>119</v>
      </c>
      <c r="D169" s="25" t="s">
        <v>268</v>
      </c>
      <c r="E169" s="16">
        <v>42598.282673611109</v>
      </c>
      <c r="F169" s="16">
        <v>42598.283483796295</v>
      </c>
      <c r="G169" s="7">
        <v>1</v>
      </c>
      <c r="H169" s="16" t="s">
        <v>558</v>
      </c>
      <c r="I169" s="16">
        <v>42598.295590277776</v>
      </c>
      <c r="J169" s="7">
        <v>1</v>
      </c>
      <c r="K169" s="142" t="str">
        <f t="shared" si="119"/>
        <v>4001/4002</v>
      </c>
      <c r="L169" s="25" t="str">
        <f>VLOOKUP(A169,'Trips&amp;Operators'!$C$1:$E$10000,3,FALSE)</f>
        <v>STARKS</v>
      </c>
      <c r="M169" s="6">
        <f t="shared" si="120"/>
        <v>1.2106481481168885E-2</v>
      </c>
      <c r="N169" s="7">
        <f t="shared" si="129"/>
        <v>17.433333332883194</v>
      </c>
      <c r="O169" s="7"/>
      <c r="P169" s="7"/>
      <c r="Q169" s="26"/>
      <c r="R169" s="26"/>
      <c r="S169" s="38">
        <f t="shared" si="121"/>
        <v>1</v>
      </c>
      <c r="T169" s="53" t="str">
        <f t="shared" si="122"/>
        <v>NorthBound</v>
      </c>
      <c r="U169" s="13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05:47:03-0600',mode:absolute,to:'2016-08-16 08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69" s="55" t="str">
        <f t="shared" si="123"/>
        <v>N</v>
      </c>
      <c r="X169" s="129">
        <f t="shared" si="132"/>
        <v>1</v>
      </c>
      <c r="Y169" s="70">
        <f t="shared" si="130"/>
        <v>9.3399999999999997E-2</v>
      </c>
      <c r="Z169" s="70">
        <f t="shared" si="131"/>
        <v>5.8933</v>
      </c>
      <c r="AA169" s="70">
        <f t="shared" si="125"/>
        <v>5.7999000000000001</v>
      </c>
      <c r="AB169" s="67" t="e">
        <f>VLOOKUP(A169,Enforcements!$C$7:$J$24,8,0)</f>
        <v>#N/A</v>
      </c>
      <c r="AC169" s="63" t="e">
        <f>VLOOKUP(A169,Enforcements!$C$7:$E$24,3,0)</f>
        <v>#N/A</v>
      </c>
      <c r="AD169" s="64" t="str">
        <f t="shared" si="126"/>
        <v>0805-16</v>
      </c>
      <c r="AE169" s="104" t="str">
        <f t="shared" si="98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169" s="101" t="str">
        <f t="shared" si="99"/>
        <v>"C:\Program Files (x86)\AstroGrep\AstroGrep.exe" /spath="%USERPROFILE%\AppData\Local\Temp\OnboardLogs" /stypes="*4002*20160816*" /stext=" 13:.+((SYSTEM_STATE.+slice.+state.+changed )|(ment ac)|(system.+state.+changed )|(\|lc)|(penalty)|(\[timeout)|(PRM\|1\|D)|(kpr)|(kdp))" /e /r /s</v>
      </c>
      <c r="AG169" s="1" t="str">
        <f t="shared" si="127"/>
        <v>NW</v>
      </c>
      <c r="AH169" s="105" t="str">
        <f t="shared" si="100"/>
        <v>"%USERPROFILE%\Documents\GitHub\eaglep3\Utilities\RefineRTDCRunTimes.py" --tripid 805-16 --locoid 4002 --swversion DE.1.0.7.0 --startMP 204:934 --initTime 2016-08-16T06:47:03 --startdatetime 2016-08-16T06:48:13 --delay 1 --endMP 300:58933 --enddatetime 2016-08-16T07:05:39 --enforcementcount 1</v>
      </c>
    </row>
    <row r="170" spans="1:34" x14ac:dyDescent="0.25">
      <c r="A170" s="40" t="s">
        <v>559</v>
      </c>
      <c r="B170" s="7">
        <v>4001</v>
      </c>
      <c r="C170" s="25" t="s">
        <v>119</v>
      </c>
      <c r="D170" s="25" t="s">
        <v>560</v>
      </c>
      <c r="E170" s="16">
        <v>42598.2969212963</v>
      </c>
      <c r="F170" s="16">
        <v>42598.29828703704</v>
      </c>
      <c r="G170" s="7">
        <v>1</v>
      </c>
      <c r="H170" s="16" t="s">
        <v>561</v>
      </c>
      <c r="I170" s="16">
        <v>42598.312824074077</v>
      </c>
      <c r="J170" s="7">
        <v>1</v>
      </c>
      <c r="K170" s="142" t="str">
        <f t="shared" si="119"/>
        <v>4001/4002</v>
      </c>
      <c r="L170" s="25" t="str">
        <f>VLOOKUP(A170,'Trips&amp;Operators'!$C$1:$E$10000,3,FALSE)</f>
        <v>STARKS</v>
      </c>
      <c r="M170" s="6">
        <f t="shared" si="120"/>
        <v>1.4537037037371192E-2</v>
      </c>
      <c r="N170" s="7"/>
      <c r="O170" s="7"/>
      <c r="P170" s="7">
        <f>24*60*SUM($M170:$M170)</f>
        <v>20.933333333814517</v>
      </c>
      <c r="Q170" s="26"/>
      <c r="R170" s="26" t="s">
        <v>706</v>
      </c>
      <c r="S170" s="38">
        <f t="shared" si="121"/>
        <v>1</v>
      </c>
      <c r="T170" s="53" t="str">
        <f t="shared" si="122"/>
        <v>Southbound</v>
      </c>
      <c r="U170" s="13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70" s="55" t="str">
        <f t="shared" si="123"/>
        <v>Y</v>
      </c>
      <c r="X170" s="129">
        <f t="shared" si="132"/>
        <v>1</v>
      </c>
      <c r="Y170" s="70">
        <f t="shared" si="130"/>
        <v>5.8619000000000003</v>
      </c>
      <c r="Z170" s="70">
        <f t="shared" si="131"/>
        <v>0.48830000000000001</v>
      </c>
      <c r="AA170" s="70">
        <f t="shared" si="125"/>
        <v>5.3736000000000006</v>
      </c>
      <c r="AB170" s="67" t="e">
        <f>VLOOKUP(A170,Enforcements!$C$7:$J$24,8,0)</f>
        <v>#N/A</v>
      </c>
      <c r="AC170" s="63" t="e">
        <f>VLOOKUP(A170,Enforcements!$C$7:$E$24,3,0)</f>
        <v>#N/A</v>
      </c>
      <c r="AD170" s="64" t="str">
        <f t="shared" si="126"/>
        <v>0806-16</v>
      </c>
      <c r="AE170" s="104" t="str">
        <f t="shared" si="98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170" s="101" t="str">
        <f t="shared" si="99"/>
        <v>"C:\Program Files (x86)\AstroGrep\AstroGrep.exe" /spath="%USERPROFILE%\AppData\Local\Temp\OnboardLogs" /stypes="*4001*20160816*" /stext=" 13:.+((SYSTEM_STATE.+slice.+state.+changed )|(ment ac)|(system.+state.+changed )|(\|lc)|(penalty)|(\[timeout)|(PRM\|1\|D)|(kpr)|(kdp))" /e /r /s</v>
      </c>
      <c r="AG170" s="1" t="str">
        <f t="shared" si="127"/>
        <v>NW</v>
      </c>
      <c r="AH170" s="105" t="str">
        <f t="shared" si="100"/>
        <v>"%USERPROFILE%\Documents\GitHub\eaglep3\Utilities\RefineRTDCRunTimes.py" --tripid 806-16 --locoid 4001 --swversion DE.1.0.7.0 --startMP 300:58619 --initTime 2016-08-16T07:07:34 --startdatetime 2016-08-16T07:09:32 --delay 1 --endMP 300:4883 --enddatetime 2016-08-16T07:30:28 --enforcementcount 1</v>
      </c>
    </row>
    <row r="171" spans="1:34" x14ac:dyDescent="0.25">
      <c r="A171" s="40" t="s">
        <v>562</v>
      </c>
      <c r="B171" s="7">
        <v>4014</v>
      </c>
      <c r="C171" s="25" t="s">
        <v>119</v>
      </c>
      <c r="D171" s="25" t="s">
        <v>563</v>
      </c>
      <c r="E171" s="16">
        <v>42598.302893518521</v>
      </c>
      <c r="F171" s="16">
        <v>42598.303738425922</v>
      </c>
      <c r="G171" s="7">
        <v>1</v>
      </c>
      <c r="H171" s="16" t="s">
        <v>274</v>
      </c>
      <c r="I171" s="16">
        <v>42598.315949074073</v>
      </c>
      <c r="J171" s="7">
        <v>1</v>
      </c>
      <c r="K171" s="142" t="str">
        <f t="shared" si="119"/>
        <v>4013/4014</v>
      </c>
      <c r="L171" s="25" t="str">
        <f>VLOOKUP(A171,'Trips&amp;Operators'!$C$1:$E$10000,3,FALSE)</f>
        <v>LEVIN</v>
      </c>
      <c r="M171" s="6">
        <f t="shared" si="120"/>
        <v>1.2210648150357883E-2</v>
      </c>
      <c r="N171" s="7">
        <f t="shared" ref="N171:N182" si="134">24*60*SUM($M171:$M171)</f>
        <v>17.583333336515352</v>
      </c>
      <c r="O171" s="7"/>
      <c r="P171" s="7"/>
      <c r="Q171" s="26"/>
      <c r="R171" s="26"/>
      <c r="S171" s="38">
        <f t="shared" si="121"/>
        <v>1</v>
      </c>
      <c r="T171" s="53" t="str">
        <f t="shared" si="122"/>
        <v>NorthBound</v>
      </c>
      <c r="U171" s="13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06:16:10-0600',mode:absolute,to:'2016-08-16 08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1" s="55" t="str">
        <f t="shared" si="123"/>
        <v>N</v>
      </c>
      <c r="X171" s="129">
        <f t="shared" si="132"/>
        <v>1</v>
      </c>
      <c r="Y171" s="70">
        <f t="shared" si="130"/>
        <v>0.10299999999999999</v>
      </c>
      <c r="Z171" s="70">
        <f t="shared" si="131"/>
        <v>5.8925999999999998</v>
      </c>
      <c r="AA171" s="70">
        <f t="shared" si="125"/>
        <v>5.7896000000000001</v>
      </c>
      <c r="AB171" s="67" t="e">
        <f>VLOOKUP(A171,Enforcements!$C$7:$J$24,8,0)</f>
        <v>#N/A</v>
      </c>
      <c r="AC171" s="63" t="e">
        <f>VLOOKUP(A171,Enforcements!$C$7:$E$24,3,0)</f>
        <v>#N/A</v>
      </c>
      <c r="AD171" s="64" t="str">
        <f t="shared" si="126"/>
        <v>0807-16</v>
      </c>
      <c r="AE171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71" s="101" t="str">
        <f t="shared" si="99"/>
        <v>"C:\Program Files (x86)\AstroGrep\AstroGrep.exe" /spath="%USERPROFILE%\AppData\Local\Temp\OnboardLogs" /stypes="*4014*20160816*" /stext=" 13:.+((SYSTEM_STATE.+slice.+state.+changed )|(ment ac)|(system.+state.+changed )|(\|lc)|(penalty)|(\[timeout)|(PRM\|1\|D)|(kpr)|(kdp))" /e /r /s</v>
      </c>
      <c r="AG171" s="1" t="str">
        <f t="shared" si="127"/>
        <v>NW</v>
      </c>
      <c r="AH171" s="105" t="str">
        <f t="shared" si="100"/>
        <v>"%USERPROFILE%\Documents\GitHub\eaglep3\Utilities\RefineRTDCRunTimes.py" --tripid 807-16 --locoid 4014 --swversion DE.1.0.7.0 --startMP 204:1030 --initTime 2016-08-16T07:16:10 --startdatetime 2016-08-16T07:17:23 --delay 1 --endMP 300:58926 --enddatetime 2016-08-16T07:34:58 --enforcementcount 1</v>
      </c>
    </row>
    <row r="172" spans="1:34" x14ac:dyDescent="0.25">
      <c r="A172" s="40" t="s">
        <v>564</v>
      </c>
      <c r="B172" s="7">
        <v>4013</v>
      </c>
      <c r="C172" s="25" t="s">
        <v>119</v>
      </c>
      <c r="D172" s="25" t="s">
        <v>565</v>
      </c>
      <c r="E172" s="16">
        <v>42598.316874999997</v>
      </c>
      <c r="F172" s="16">
        <v>42598.31758101852</v>
      </c>
      <c r="G172" s="7">
        <v>1</v>
      </c>
      <c r="H172" s="16" t="s">
        <v>566</v>
      </c>
      <c r="I172" s="16">
        <v>42598.330636574072</v>
      </c>
      <c r="J172" s="7">
        <v>1</v>
      </c>
      <c r="K172" s="142" t="str">
        <f t="shared" si="119"/>
        <v>4013/4014</v>
      </c>
      <c r="L172" s="25" t="str">
        <f>VLOOKUP(A172,'Trips&amp;Operators'!$C$1:$E$10000,3,FALSE)</f>
        <v>LEVIN</v>
      </c>
      <c r="M172" s="6">
        <f t="shared" si="120"/>
        <v>1.3055555551545694E-2</v>
      </c>
      <c r="N172" s="7">
        <f t="shared" si="134"/>
        <v>18.7999999942258</v>
      </c>
      <c r="O172" s="7"/>
      <c r="P172" s="7"/>
      <c r="Q172" s="26"/>
      <c r="R172" s="26"/>
      <c r="S172" s="38">
        <f t="shared" si="121"/>
        <v>1</v>
      </c>
      <c r="T172" s="53" t="str">
        <f t="shared" si="122"/>
        <v>Southbound</v>
      </c>
      <c r="U172" s="13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06:36:18-0600',mode:absolute,to:'2016-08-16 08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2" s="55" t="str">
        <f t="shared" si="123"/>
        <v>N</v>
      </c>
      <c r="X172" s="129">
        <f t="shared" si="132"/>
        <v>1</v>
      </c>
      <c r="Y172" s="70">
        <f t="shared" si="130"/>
        <v>5.8593999999999999</v>
      </c>
      <c r="Z172" s="70">
        <f t="shared" si="131"/>
        <v>7.4700000000000003E-2</v>
      </c>
      <c r="AA172" s="70">
        <f t="shared" si="125"/>
        <v>5.7847</v>
      </c>
      <c r="AB172" s="67" t="e">
        <f>VLOOKUP(A172,Enforcements!$C$7:$J$24,8,0)</f>
        <v>#N/A</v>
      </c>
      <c r="AC172" s="63" t="e">
        <f>VLOOKUP(A172,Enforcements!$C$7:$E$24,3,0)</f>
        <v>#N/A</v>
      </c>
      <c r="AD172" s="64" t="str">
        <f t="shared" si="126"/>
        <v>0808-16</v>
      </c>
      <c r="AE172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72" s="101" t="str">
        <f t="shared" si="99"/>
        <v>"C:\Program Files (x86)\AstroGrep\AstroGrep.exe" /spath="%USERPROFILE%\AppData\Local\Temp\OnboardLogs" /stypes="*4013*20160816*" /stext=" 13:.+((SYSTEM_STATE.+slice.+state.+changed )|(ment ac)|(system.+state.+changed )|(\|lc)|(penalty)|(\[timeout)|(PRM\|1\|D)|(kpr)|(kdp))" /e /r /s</v>
      </c>
      <c r="AG172" s="1" t="str">
        <f t="shared" si="127"/>
        <v>NW</v>
      </c>
      <c r="AH172" s="105" t="str">
        <f t="shared" si="100"/>
        <v>"%USERPROFILE%\Documents\GitHub\eaglep3\Utilities\RefineRTDCRunTimes.py" --tripid 808-16 --locoid 4013 --swversion DE.1.0.7.0 --startMP 300:58594 --initTime 2016-08-16T07:36:18 --startdatetime 2016-08-16T07:37:19 --delay 1 --endMP 204:747 --enddatetime 2016-08-16T07:56:07 --enforcementcount 1</v>
      </c>
    </row>
    <row r="173" spans="1:34" x14ac:dyDescent="0.25">
      <c r="A173" s="40" t="s">
        <v>567</v>
      </c>
      <c r="B173" s="7">
        <v>4002</v>
      </c>
      <c r="C173" s="25" t="s">
        <v>119</v>
      </c>
      <c r="D173" s="25" t="s">
        <v>568</v>
      </c>
      <c r="E173" s="16">
        <v>42598.327303240738</v>
      </c>
      <c r="F173" s="16">
        <v>42598.328101851854</v>
      </c>
      <c r="G173" s="7">
        <v>1</v>
      </c>
      <c r="H173" s="16" t="s">
        <v>264</v>
      </c>
      <c r="I173" s="16">
        <v>42598.337870370371</v>
      </c>
      <c r="J173" s="7">
        <v>1</v>
      </c>
      <c r="K173" s="142" t="str">
        <f t="shared" si="119"/>
        <v>4001/4002</v>
      </c>
      <c r="L173" s="25" t="str">
        <f>VLOOKUP(A173,'Trips&amp;Operators'!$C$1:$E$10000,3,FALSE)</f>
        <v>STARKS</v>
      </c>
      <c r="M173" s="6">
        <f t="shared" si="120"/>
        <v>9.7685185173759237E-3</v>
      </c>
      <c r="N173" s="7">
        <f t="shared" si="134"/>
        <v>14.06666666502133</v>
      </c>
      <c r="O173" s="7"/>
      <c r="P173" s="7"/>
      <c r="Q173" s="26"/>
      <c r="R173" s="26"/>
      <c r="S173" s="38">
        <f t="shared" si="121"/>
        <v>1</v>
      </c>
      <c r="T173" s="53" t="str">
        <f t="shared" si="122"/>
        <v>NorthBound</v>
      </c>
      <c r="U173" s="13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06:51:19-0600',mode:absolute,to:'2016-08-16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73" s="55" t="str">
        <f t="shared" si="123"/>
        <v>N</v>
      </c>
      <c r="X173" s="129">
        <f t="shared" ref="X173:X201" si="135">VALUE(LEFT(AD173,4))-VALUE(LEFT(AD172,4))</f>
        <v>1</v>
      </c>
      <c r="Y173" s="70">
        <f t="shared" si="130"/>
        <v>9.4799999999999995E-2</v>
      </c>
      <c r="Z173" s="70">
        <f t="shared" si="131"/>
        <v>5.8949999999999996</v>
      </c>
      <c r="AA173" s="70">
        <f t="shared" si="125"/>
        <v>5.8001999999999994</v>
      </c>
      <c r="AB173" s="67" t="e">
        <f>VLOOKUP(A173,Enforcements!$C$7:$J$24,8,0)</f>
        <v>#N/A</v>
      </c>
      <c r="AC173" s="63" t="e">
        <f>VLOOKUP(A173,Enforcements!$C$7:$E$24,3,0)</f>
        <v>#N/A</v>
      </c>
      <c r="AD173" s="64" t="str">
        <f t="shared" si="126"/>
        <v>0809-16</v>
      </c>
      <c r="AE173" s="104" t="str">
        <f t="shared" si="98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173" s="101" t="str">
        <f t="shared" si="99"/>
        <v>"C:\Program Files (x86)\AstroGrep\AstroGrep.exe" /spath="%USERPROFILE%\AppData\Local\Temp\OnboardLogs" /stypes="*4002*20160816*" /stext=" 14:.+((SYSTEM_STATE.+slice.+state.+changed )|(ment ac)|(system.+state.+changed )|(\|lc)|(penalty)|(\[timeout)|(PRM\|1\|D)|(kpr)|(kdp))" /e /r /s</v>
      </c>
      <c r="AG173" s="1" t="str">
        <f t="shared" si="127"/>
        <v>NW</v>
      </c>
      <c r="AH173" s="105" t="str">
        <f t="shared" si="100"/>
        <v>"%USERPROFILE%\Documents\GitHub\eaglep3\Utilities\RefineRTDCRunTimes.py" --tripid 809-16 --locoid 4002 --swversion DE.1.0.7.0 --startMP 204:948 --initTime 2016-08-16T07:51:19 --startdatetime 2016-08-16T07:52:28 --delay 1 --endMP 300:58950 --enddatetime 2016-08-16T08:06:32 --enforcementcount 1</v>
      </c>
    </row>
    <row r="174" spans="1:34" x14ac:dyDescent="0.25">
      <c r="A174" s="40" t="s">
        <v>569</v>
      </c>
      <c r="B174" s="7">
        <v>4001</v>
      </c>
      <c r="C174" s="25" t="s">
        <v>119</v>
      </c>
      <c r="D174" s="25" t="s">
        <v>570</v>
      </c>
      <c r="E174" s="16" t="s">
        <v>707</v>
      </c>
      <c r="F174" s="16">
        <v>42598.340381944443</v>
      </c>
      <c r="G174" s="7">
        <v>1</v>
      </c>
      <c r="H174" s="16" t="s">
        <v>571</v>
      </c>
      <c r="I174" s="16">
        <v>42598.350810185184</v>
      </c>
      <c r="J174" s="7">
        <v>0</v>
      </c>
      <c r="K174" s="142" t="str">
        <f t="shared" si="119"/>
        <v>4001/4002</v>
      </c>
      <c r="L174" s="25" t="str">
        <f>VLOOKUP(A174,'Trips&amp;Operators'!$C$1:$E$10000,3,FALSE)</f>
        <v>STARKS</v>
      </c>
      <c r="M174" s="6">
        <f t="shared" si="120"/>
        <v>1.0428240741021E-2</v>
      </c>
      <c r="N174" s="7">
        <f t="shared" si="134"/>
        <v>15.01666666707024</v>
      </c>
      <c r="O174" s="7"/>
      <c r="P174" s="7"/>
      <c r="Q174" s="26"/>
      <c r="R174" s="26"/>
      <c r="S174" s="38">
        <f t="shared" si="121"/>
        <v>1</v>
      </c>
      <c r="T174" s="53" t="str">
        <f t="shared" si="122"/>
        <v>Southbound</v>
      </c>
      <c r="U174" s="13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1" t="e">
        <f t="shared" si="97"/>
        <v>#VALUE!</v>
      </c>
      <c r="W174" s="55" t="str">
        <f t="shared" si="123"/>
        <v>N</v>
      </c>
      <c r="X174" s="129">
        <f t="shared" si="135"/>
        <v>1</v>
      </c>
      <c r="Y174" s="70">
        <f t="shared" si="130"/>
        <v>5.8630000000000004</v>
      </c>
      <c r="Z174" s="70">
        <v>0.01</v>
      </c>
      <c r="AA174" s="70">
        <f t="shared" si="125"/>
        <v>5.8530000000000006</v>
      </c>
      <c r="AB174" s="67" t="e">
        <f>VLOOKUP(A174,Enforcements!$C$7:$J$24,8,0)</f>
        <v>#N/A</v>
      </c>
      <c r="AC174" s="63" t="e">
        <f>VLOOKUP(A174,Enforcements!$C$7:$E$24,3,0)</f>
        <v>#N/A</v>
      </c>
      <c r="AD174" s="64" t="str">
        <f t="shared" si="126"/>
        <v>0810-16</v>
      </c>
      <c r="AE174" s="104" t="str">
        <f t="shared" si="98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174" s="101" t="str">
        <f t="shared" si="99"/>
        <v>"C:\Program Files (x86)\AstroGrep\AstroGrep.exe" /spath="%USERPROFILE%\AppData\Local\Temp\OnboardLogs" /stypes="*4001*20160816*" /stext=" 14:.+((SYSTEM_STATE.+slice.+state.+changed )|(ment ac)|(system.+state.+changed )|(\|lc)|(penalty)|(\[timeout)|(PRM\|1\|D)|(kpr)|(kdp))" /e /r /s</v>
      </c>
      <c r="AG174" s="1" t="str">
        <f t="shared" si="127"/>
        <v>NW</v>
      </c>
      <c r="AH174" s="105" t="str">
        <f t="shared" si="100"/>
        <v>"%USERPROFILE%\Documents\GitHub\eaglep3\Utilities\RefineRTDCRunTimes.py" --tripid 810-16 --locoid 4001 --swversion DE.1.0.7.0 --startMP 300:58630 --initTime 2016-08-16T08:07:44 --startdatetime 2016-08-16T08:10:09 --delay 1 --endMP 300:38326 --enddatetime 2016-08-16T08:25:10 --enforcementcount 0</v>
      </c>
    </row>
    <row r="175" spans="1:34" x14ac:dyDescent="0.25">
      <c r="A175" s="40" t="s">
        <v>572</v>
      </c>
      <c r="B175" s="7">
        <v>4014</v>
      </c>
      <c r="C175" s="25" t="s">
        <v>119</v>
      </c>
      <c r="D175" s="25" t="s">
        <v>573</v>
      </c>
      <c r="E175" s="16">
        <v>42598.346388888887</v>
      </c>
      <c r="F175" s="16">
        <v>42598.347361111111</v>
      </c>
      <c r="G175" s="7">
        <v>1</v>
      </c>
      <c r="H175" s="16" t="s">
        <v>270</v>
      </c>
      <c r="I175" s="16">
        <v>42598.357071759259</v>
      </c>
      <c r="J175" s="7">
        <v>1</v>
      </c>
      <c r="K175" s="142" t="str">
        <f t="shared" si="119"/>
        <v>4013/4014</v>
      </c>
      <c r="L175" s="25" t="str">
        <f>VLOOKUP(A175,'Trips&amp;Operators'!$C$1:$E$10000,3,FALSE)</f>
        <v>LEVIN</v>
      </c>
      <c r="M175" s="6">
        <f t="shared" si="120"/>
        <v>9.710648148029577E-3</v>
      </c>
      <c r="N175" s="7">
        <f t="shared" si="134"/>
        <v>13.983333333162591</v>
      </c>
      <c r="O175" s="7"/>
      <c r="P175" s="7"/>
      <c r="Q175" s="26"/>
      <c r="R175" s="26"/>
      <c r="S175" s="38">
        <f t="shared" si="121"/>
        <v>1</v>
      </c>
      <c r="T175" s="53" t="str">
        <f t="shared" si="122"/>
        <v>NorthBound</v>
      </c>
      <c r="U175" s="13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07:18:48-0600',mode:absolute,to:'2016-08-16 09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5" s="55" t="str">
        <f t="shared" si="123"/>
        <v>N</v>
      </c>
      <c r="X175" s="129">
        <f t="shared" si="135"/>
        <v>1</v>
      </c>
      <c r="Y175" s="70">
        <f t="shared" si="130"/>
        <v>0.10199999999999999</v>
      </c>
      <c r="Z175" s="70">
        <f t="shared" ref="Z175:Z206" si="136">RIGHT(H175,LEN(H175)-4)/10000</f>
        <v>5.8917999999999999</v>
      </c>
      <c r="AA175" s="70">
        <f t="shared" si="125"/>
        <v>5.7897999999999996</v>
      </c>
      <c r="AB175" s="67" t="e">
        <f>VLOOKUP(A175,Enforcements!$C$7:$J$24,8,0)</f>
        <v>#N/A</v>
      </c>
      <c r="AC175" s="63" t="e">
        <f>VLOOKUP(A175,Enforcements!$C$7:$E$24,3,0)</f>
        <v>#N/A</v>
      </c>
      <c r="AD175" s="64" t="str">
        <f t="shared" si="126"/>
        <v>0811-16</v>
      </c>
      <c r="AE175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75" s="101" t="str">
        <f t="shared" si="99"/>
        <v>"C:\Program Files (x86)\AstroGrep\AstroGrep.exe" /spath="%USERPROFILE%\AppData\Local\Temp\OnboardLogs" /stypes="*4014*20160816*" /stext=" 14:.+((SYSTEM_STATE.+slice.+state.+changed )|(ment ac)|(system.+state.+changed )|(\|lc)|(penalty)|(\[timeout)|(PRM\|1\|D)|(kpr)|(kdp))" /e /r /s</v>
      </c>
      <c r="AG175" s="1" t="str">
        <f t="shared" si="127"/>
        <v>NW</v>
      </c>
      <c r="AH175" s="105" t="str">
        <f t="shared" si="100"/>
        <v>"%USERPROFILE%\Documents\GitHub\eaglep3\Utilities\RefineRTDCRunTimes.py" --tripid 811-16 --locoid 4014 --swversion DE.1.0.7.0 --startMP 204:1020 --initTime 2016-08-16T08:18:48 --startdatetime 2016-08-16T08:20:12 --delay 1 --endMP 300:58918 --enddatetime 2016-08-16T08:34:11 --enforcementcount 1</v>
      </c>
    </row>
    <row r="176" spans="1:34" x14ac:dyDescent="0.25">
      <c r="A176" s="40" t="s">
        <v>574</v>
      </c>
      <c r="B176" s="7">
        <v>4013</v>
      </c>
      <c r="C176" s="25" t="s">
        <v>119</v>
      </c>
      <c r="D176" s="25" t="s">
        <v>269</v>
      </c>
      <c r="E176" s="16">
        <v>42598.357997685183</v>
      </c>
      <c r="F176" s="16">
        <v>42598.358912037038</v>
      </c>
      <c r="G176" s="7">
        <v>1</v>
      </c>
      <c r="H176" s="16" t="s">
        <v>575</v>
      </c>
      <c r="I176" s="16">
        <v>42598.371400462966</v>
      </c>
      <c r="J176" s="7">
        <v>1</v>
      </c>
      <c r="K176" s="142" t="str">
        <f t="shared" si="119"/>
        <v>4013/4014</v>
      </c>
      <c r="L176" s="25" t="str">
        <f>VLOOKUP(A176,'Trips&amp;Operators'!$C$1:$E$10000,3,FALSE)</f>
        <v>LEVIN</v>
      </c>
      <c r="M176" s="6">
        <f t="shared" si="120"/>
        <v>1.2488425927585922E-2</v>
      </c>
      <c r="N176" s="7">
        <f t="shared" si="134"/>
        <v>17.983333335723728</v>
      </c>
      <c r="O176" s="7"/>
      <c r="P176" s="7"/>
      <c r="Q176" s="26"/>
      <c r="R176" s="26"/>
      <c r="S176" s="38">
        <f t="shared" si="121"/>
        <v>1</v>
      </c>
      <c r="T176" s="53" t="str">
        <f t="shared" si="122"/>
        <v>Southbound</v>
      </c>
      <c r="U176" s="13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07:35:31-0600',mode:absolute,to:'2016-08-16 09:54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6" s="55" t="str">
        <f t="shared" si="123"/>
        <v>N</v>
      </c>
      <c r="X176" s="129">
        <f t="shared" si="135"/>
        <v>1</v>
      </c>
      <c r="Y176" s="70">
        <f t="shared" si="130"/>
        <v>5.8604000000000003</v>
      </c>
      <c r="Z176" s="70">
        <f t="shared" si="136"/>
        <v>7.3599999999999999E-2</v>
      </c>
      <c r="AA176" s="70">
        <f t="shared" si="125"/>
        <v>5.7868000000000004</v>
      </c>
      <c r="AB176" s="67" t="e">
        <f>VLOOKUP(A176,Enforcements!$C$7:$J$24,8,0)</f>
        <v>#N/A</v>
      </c>
      <c r="AC176" s="63" t="e">
        <f>VLOOKUP(A176,Enforcements!$C$7:$E$24,3,0)</f>
        <v>#N/A</v>
      </c>
      <c r="AD176" s="64" t="str">
        <f t="shared" si="126"/>
        <v>0812-16</v>
      </c>
      <c r="AE176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76" s="101" t="str">
        <f t="shared" si="99"/>
        <v>"C:\Program Files (x86)\AstroGrep\AstroGrep.exe" /spath="%USERPROFILE%\AppData\Local\Temp\OnboardLogs" /stypes="*4013*20160816*" /stext=" 14:.+((SYSTEM_STATE.+slice.+state.+changed )|(ment ac)|(system.+state.+changed )|(\|lc)|(penalty)|(\[timeout)|(PRM\|1\|D)|(kpr)|(kdp))" /e /r /s</v>
      </c>
      <c r="AG176" s="1" t="str">
        <f t="shared" si="127"/>
        <v>NW</v>
      </c>
      <c r="AH176" s="105" t="str">
        <f t="shared" si="100"/>
        <v>"%USERPROFILE%\Documents\GitHub\eaglep3\Utilities\RefineRTDCRunTimes.py" --tripid 812-16 --locoid 4013 --swversion DE.1.0.7.0 --startMP 300:58604 --initTime 2016-08-16T08:35:31 --startdatetime 2016-08-16T08:36:50 --delay 1 --endMP 204:736 --enddatetime 2016-08-16T08:54:49 --enforcementcount 1</v>
      </c>
    </row>
    <row r="177" spans="1:34" x14ac:dyDescent="0.25">
      <c r="A177" s="40" t="s">
        <v>576</v>
      </c>
      <c r="B177" s="7">
        <v>4014</v>
      </c>
      <c r="C177" s="25" t="s">
        <v>119</v>
      </c>
      <c r="D177" s="25" t="s">
        <v>577</v>
      </c>
      <c r="E177" s="16">
        <v>42598.38517361111</v>
      </c>
      <c r="F177" s="16">
        <v>42598.38616898148</v>
      </c>
      <c r="G177" s="7">
        <v>1</v>
      </c>
      <c r="H177" s="16" t="s">
        <v>578</v>
      </c>
      <c r="I177" s="16">
        <v>42598.398518518516</v>
      </c>
      <c r="J177" s="7">
        <v>1</v>
      </c>
      <c r="K177" s="142" t="str">
        <f t="shared" si="119"/>
        <v>4013/4014</v>
      </c>
      <c r="L177" s="25" t="str">
        <f>VLOOKUP(A177,'Trips&amp;Operators'!$C$1:$E$10000,3,FALSE)</f>
        <v>LEVIN</v>
      </c>
      <c r="M177" s="6">
        <f t="shared" si="120"/>
        <v>1.2349537035333924E-2</v>
      </c>
      <c r="N177" s="7">
        <f t="shared" si="134"/>
        <v>17.783333330880851</v>
      </c>
      <c r="O177" s="7"/>
      <c r="P177" s="7"/>
      <c r="Q177" s="26"/>
      <c r="R177" s="26"/>
      <c r="S177" s="38">
        <f t="shared" si="121"/>
        <v>1</v>
      </c>
      <c r="T177" s="53" t="str">
        <f t="shared" si="122"/>
        <v>NorthBound</v>
      </c>
      <c r="U177" s="13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08:14:39-0600',mode:absolute,to:'2016-08-16 10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7" s="55" t="str">
        <f t="shared" si="123"/>
        <v>N</v>
      </c>
      <c r="X177" s="129">
        <f t="shared" si="135"/>
        <v>1</v>
      </c>
      <c r="Y177" s="70">
        <f t="shared" si="130"/>
        <v>0.1021</v>
      </c>
      <c r="Z177" s="70">
        <f t="shared" si="136"/>
        <v>5.8898999999999999</v>
      </c>
      <c r="AA177" s="70">
        <f t="shared" si="125"/>
        <v>5.7877999999999998</v>
      </c>
      <c r="AB177" s="67" t="e">
        <f>VLOOKUP(A177,Enforcements!$C$7:$J$24,8,0)</f>
        <v>#N/A</v>
      </c>
      <c r="AC177" s="63" t="e">
        <f>VLOOKUP(A177,Enforcements!$C$7:$E$24,3,0)</f>
        <v>#N/A</v>
      </c>
      <c r="AD177" s="64" t="str">
        <f t="shared" si="126"/>
        <v>0813-16</v>
      </c>
      <c r="AE177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77" s="101" t="str">
        <f t="shared" si="99"/>
        <v>"C:\Program Files (x86)\AstroGrep\AstroGrep.exe" /spath="%USERPROFILE%\AppData\Local\Temp\OnboardLogs" /stypes="*4014*20160816*" /stext=" 15:.+((SYSTEM_STATE.+slice.+state.+changed )|(ment ac)|(system.+state.+changed )|(\|lc)|(penalty)|(\[timeout)|(PRM\|1\|D)|(kpr)|(kdp))" /e /r /s</v>
      </c>
      <c r="AG177" s="1" t="str">
        <f t="shared" si="127"/>
        <v>NW</v>
      </c>
      <c r="AH177" s="105" t="str">
        <f t="shared" si="100"/>
        <v>"%USERPROFILE%\Documents\GitHub\eaglep3\Utilities\RefineRTDCRunTimes.py" --tripid 813-16 --locoid 4014 --swversion DE.1.0.7.0 --startMP 204:1021 --initTime 2016-08-16T09:14:39 --startdatetime 2016-08-16T09:16:05 --delay 1 --endMP 300:58899 --enddatetime 2016-08-16T09:33:52 --enforcementcount 1</v>
      </c>
    </row>
    <row r="178" spans="1:34" x14ac:dyDescent="0.25">
      <c r="A178" s="40" t="s">
        <v>579</v>
      </c>
      <c r="B178" s="7">
        <v>4013</v>
      </c>
      <c r="C178" s="25" t="s">
        <v>119</v>
      </c>
      <c r="D178" s="25" t="s">
        <v>580</v>
      </c>
      <c r="E178" s="16">
        <v>42598.400046296294</v>
      </c>
      <c r="F178" s="16">
        <v>42598.400810185187</v>
      </c>
      <c r="G178" s="7">
        <v>1</v>
      </c>
      <c r="H178" s="16" t="s">
        <v>581</v>
      </c>
      <c r="I178" s="16">
        <v>42598.414467592593</v>
      </c>
      <c r="J178" s="7">
        <v>1</v>
      </c>
      <c r="K178" s="142" t="str">
        <f t="shared" si="119"/>
        <v>4013/4014</v>
      </c>
      <c r="L178" s="25" t="str">
        <f>VLOOKUP(A178,'Trips&amp;Operators'!$C$1:$E$10000,3,FALSE)</f>
        <v>LEVIN</v>
      </c>
      <c r="M178" s="6">
        <f t="shared" si="120"/>
        <v>1.3657407405844424E-2</v>
      </c>
      <c r="N178" s="7">
        <f t="shared" si="134"/>
        <v>19.66666666441597</v>
      </c>
      <c r="O178" s="7"/>
      <c r="P178" s="7"/>
      <c r="Q178" s="26"/>
      <c r="R178" s="26"/>
      <c r="S178" s="38">
        <f t="shared" si="121"/>
        <v>1</v>
      </c>
      <c r="T178" s="53" t="str">
        <f t="shared" si="122"/>
        <v>Southbound</v>
      </c>
      <c r="U178" s="13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08:36:04-0600',mode:absolute,to:'2016-08-16 10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78" s="55" t="str">
        <f t="shared" si="123"/>
        <v>N</v>
      </c>
      <c r="X178" s="129">
        <f t="shared" si="135"/>
        <v>1</v>
      </c>
      <c r="Y178" s="70">
        <f t="shared" si="130"/>
        <v>5.8581000000000003</v>
      </c>
      <c r="Z178" s="70">
        <f t="shared" si="136"/>
        <v>7.5700000000000003E-2</v>
      </c>
      <c r="AA178" s="70">
        <f t="shared" si="125"/>
        <v>5.7824</v>
      </c>
      <c r="AB178" s="67" t="e">
        <f>VLOOKUP(A178,Enforcements!$C$7:$J$24,8,0)</f>
        <v>#N/A</v>
      </c>
      <c r="AC178" s="63" t="e">
        <f>VLOOKUP(A178,Enforcements!$C$7:$E$24,3,0)</f>
        <v>#N/A</v>
      </c>
      <c r="AD178" s="64" t="str">
        <f t="shared" si="126"/>
        <v>0814-16</v>
      </c>
      <c r="AE178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78" s="101" t="str">
        <f t="shared" si="99"/>
        <v>"C:\Program Files (x86)\AstroGrep\AstroGrep.exe" /spath="%USERPROFILE%\AppData\Local\Temp\OnboardLogs" /stypes="*4013*20160816*" /stext=" 15:.+((SYSTEM_STATE.+slice.+state.+changed )|(ment ac)|(system.+state.+changed )|(\|lc)|(penalty)|(\[timeout)|(PRM\|1\|D)|(kpr)|(kdp))" /e /r /s</v>
      </c>
      <c r="AG178" s="1" t="str">
        <f t="shared" si="127"/>
        <v>NW</v>
      </c>
      <c r="AH178" s="105" t="str">
        <f t="shared" si="100"/>
        <v>"%USERPROFILE%\Documents\GitHub\eaglep3\Utilities\RefineRTDCRunTimes.py" --tripid 814-16 --locoid 4013 --swversion DE.1.0.7.0 --startMP 300:58581 --initTime 2016-08-16T09:36:04 --startdatetime 2016-08-16T09:37:10 --delay 1 --endMP 204:757 --enddatetime 2016-08-16T09:56:50 --enforcementcount 1</v>
      </c>
    </row>
    <row r="179" spans="1:34" x14ac:dyDescent="0.25">
      <c r="A179" s="40" t="s">
        <v>582</v>
      </c>
      <c r="B179" s="7">
        <v>4014</v>
      </c>
      <c r="C179" s="25" t="s">
        <v>119</v>
      </c>
      <c r="D179" s="25" t="s">
        <v>583</v>
      </c>
      <c r="E179" s="16">
        <v>42598.428483796299</v>
      </c>
      <c r="F179" s="16">
        <v>42598.429583333331</v>
      </c>
      <c r="G179" s="7">
        <v>1</v>
      </c>
      <c r="H179" s="16" t="s">
        <v>272</v>
      </c>
      <c r="I179" s="16">
        <v>42598.440370370372</v>
      </c>
      <c r="J179" s="7">
        <v>1</v>
      </c>
      <c r="K179" s="142" t="str">
        <f t="shared" si="119"/>
        <v>4013/4014</v>
      </c>
      <c r="L179" s="25" t="str">
        <f>VLOOKUP(A179,'Trips&amp;Operators'!$C$1:$E$10000,3,FALSE)</f>
        <v>LEVIN</v>
      </c>
      <c r="M179" s="6">
        <f t="shared" si="120"/>
        <v>1.078703704115469E-2</v>
      </c>
      <c r="N179" s="7">
        <f t="shared" si="134"/>
        <v>15.533333339262754</v>
      </c>
      <c r="O179" s="7"/>
      <c r="P179" s="7"/>
      <c r="Q179" s="26"/>
      <c r="R179" s="26"/>
      <c r="S179" s="38">
        <f t="shared" si="121"/>
        <v>1</v>
      </c>
      <c r="T179" s="53" t="str">
        <f t="shared" si="122"/>
        <v>NorthBound</v>
      </c>
      <c r="U179" s="13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09:17:01-0600',mode:absolute,to:'2016-08-16 11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9" s="55" t="str">
        <f t="shared" si="123"/>
        <v>N</v>
      </c>
      <c r="X179" s="129">
        <f t="shared" si="135"/>
        <v>1</v>
      </c>
      <c r="Y179" s="70">
        <f t="shared" si="130"/>
        <v>0.10440000000000001</v>
      </c>
      <c r="Z179" s="70">
        <f t="shared" si="136"/>
        <v>5.8914</v>
      </c>
      <c r="AA179" s="70">
        <f t="shared" si="125"/>
        <v>5.7869999999999999</v>
      </c>
      <c r="AB179" s="67" t="e">
        <f>VLOOKUP(A179,Enforcements!$C$7:$J$24,8,0)</f>
        <v>#N/A</v>
      </c>
      <c r="AC179" s="63" t="e">
        <f>VLOOKUP(A179,Enforcements!$C$7:$E$24,3,0)</f>
        <v>#N/A</v>
      </c>
      <c r="AD179" s="64" t="str">
        <f t="shared" si="126"/>
        <v>0815-16</v>
      </c>
      <c r="AE179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79" s="101" t="str">
        <f t="shared" si="99"/>
        <v>"C:\Program Files (x86)\AstroGrep\AstroGrep.exe" /spath="%USERPROFILE%\AppData\Local\Temp\OnboardLogs" /stypes="*4014*20160816*" /stext=" 16:.+((SYSTEM_STATE.+slice.+state.+changed )|(ment ac)|(system.+state.+changed )|(\|lc)|(penalty)|(\[timeout)|(PRM\|1\|D)|(kpr)|(kdp))" /e /r /s</v>
      </c>
      <c r="AG179" s="1" t="str">
        <f t="shared" si="127"/>
        <v>NW</v>
      </c>
      <c r="AH179" s="105" t="str">
        <f t="shared" si="100"/>
        <v>"%USERPROFILE%\Documents\GitHub\eaglep3\Utilities\RefineRTDCRunTimes.py" --tripid 815-16 --locoid 4014 --swversion DE.1.0.7.0 --startMP 204:1044 --initTime 2016-08-16T10:17:01 --startdatetime 2016-08-16T10:18:36 --delay 1 --endMP 300:58914 --enddatetime 2016-08-16T10:34:08 --enforcementcount 1</v>
      </c>
    </row>
    <row r="180" spans="1:34" x14ac:dyDescent="0.25">
      <c r="A180" s="40" t="s">
        <v>584</v>
      </c>
      <c r="B180" s="7">
        <v>4013</v>
      </c>
      <c r="C180" s="25" t="s">
        <v>119</v>
      </c>
      <c r="D180" s="25" t="s">
        <v>585</v>
      </c>
      <c r="E180" s="16">
        <v>42598.441412037035</v>
      </c>
      <c r="F180" s="16">
        <v>42598.442083333335</v>
      </c>
      <c r="G180" s="7">
        <v>0</v>
      </c>
      <c r="H180" s="16" t="s">
        <v>586</v>
      </c>
      <c r="I180" s="16">
        <v>42598.454247685186</v>
      </c>
      <c r="J180" s="7">
        <v>1</v>
      </c>
      <c r="K180" s="142" t="str">
        <f t="shared" si="119"/>
        <v>4013/4014</v>
      </c>
      <c r="L180" s="25" t="str">
        <f>VLOOKUP(A180,'Trips&amp;Operators'!$C$1:$E$10000,3,FALSE)</f>
        <v>LEVIN</v>
      </c>
      <c r="M180" s="6">
        <f t="shared" si="120"/>
        <v>1.2164351850515231E-2</v>
      </c>
      <c r="N180" s="7">
        <f t="shared" si="134"/>
        <v>17.516666664741933</v>
      </c>
      <c r="O180" s="7"/>
      <c r="P180" s="7"/>
      <c r="Q180" s="26"/>
      <c r="R180" s="26"/>
      <c r="S180" s="38">
        <f t="shared" si="121"/>
        <v>1</v>
      </c>
      <c r="T180" s="53" t="str">
        <f t="shared" si="122"/>
        <v>Southbound</v>
      </c>
      <c r="U180" s="13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09:35:38-0600',mode:absolute,to:'2016-08-16 11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0" s="55" t="str">
        <f t="shared" si="123"/>
        <v>N</v>
      </c>
      <c r="X180" s="129">
        <f t="shared" si="135"/>
        <v>1</v>
      </c>
      <c r="Y180" s="70">
        <f t="shared" si="130"/>
        <v>5.8592000000000004</v>
      </c>
      <c r="Z180" s="70">
        <f t="shared" si="136"/>
        <v>7.1900000000000006E-2</v>
      </c>
      <c r="AA180" s="70">
        <f t="shared" si="125"/>
        <v>5.7873000000000001</v>
      </c>
      <c r="AB180" s="67" t="e">
        <f>VLOOKUP(A180,Enforcements!$C$7:$J$24,8,0)</f>
        <v>#N/A</v>
      </c>
      <c r="AC180" s="63" t="e">
        <f>VLOOKUP(A180,Enforcements!$C$7:$E$24,3,0)</f>
        <v>#N/A</v>
      </c>
      <c r="AD180" s="64" t="str">
        <f t="shared" si="126"/>
        <v>0816-16</v>
      </c>
      <c r="AE180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80" s="101" t="str">
        <f t="shared" si="99"/>
        <v>"C:\Program Files (x86)\AstroGrep\AstroGrep.exe" /spath="%USERPROFILE%\AppData\Local\Temp\OnboardLogs" /stypes="*4013*20160816*" /stext=" 16:.+((SYSTEM_STATE.+slice.+state.+changed )|(ment ac)|(system.+state.+changed )|(\|lc)|(penalty)|(\[timeout)|(PRM\|1\|D)|(kpr)|(kdp))" /e /r /s</v>
      </c>
      <c r="AG180" s="1" t="str">
        <f t="shared" si="127"/>
        <v>NW</v>
      </c>
      <c r="AH180" s="105" t="str">
        <f t="shared" si="100"/>
        <v>"%USERPROFILE%\Documents\GitHub\eaglep3\Utilities\RefineRTDCRunTimes.py" --tripid 816-16 --locoid 4013 --swversion DE.1.0.7.0 --startMP 300:58592 --initTime 2016-08-16T10:35:38 --startdatetime 2016-08-16T10:36:36 --delay 0 --endMP 204:719 --enddatetime 2016-08-16T10:54:07 --enforcementcount 1</v>
      </c>
    </row>
    <row r="181" spans="1:34" x14ac:dyDescent="0.25">
      <c r="A181" s="40" t="s">
        <v>587</v>
      </c>
      <c r="B181" s="7">
        <v>4014</v>
      </c>
      <c r="C181" s="25" t="s">
        <v>119</v>
      </c>
      <c r="D181" s="25" t="s">
        <v>588</v>
      </c>
      <c r="E181" s="16">
        <v>42598.466747685183</v>
      </c>
      <c r="F181" s="16">
        <v>42598.467812499999</v>
      </c>
      <c r="G181" s="7">
        <v>1</v>
      </c>
      <c r="H181" s="16" t="s">
        <v>270</v>
      </c>
      <c r="I181" s="16">
        <v>42598.482175925928</v>
      </c>
      <c r="J181" s="7">
        <v>1</v>
      </c>
      <c r="K181" s="142" t="str">
        <f t="shared" si="119"/>
        <v>4013/4014</v>
      </c>
      <c r="L181" s="25" t="str">
        <f>VLOOKUP(A181,'Trips&amp;Operators'!$C$1:$E$10000,3,FALSE)</f>
        <v>LEVIN</v>
      </c>
      <c r="M181" s="6">
        <f t="shared" si="120"/>
        <v>1.4363425929332152E-2</v>
      </c>
      <c r="N181" s="7">
        <f t="shared" si="134"/>
        <v>20.683333338238299</v>
      </c>
      <c r="O181" s="7"/>
      <c r="P181" s="7"/>
      <c r="Q181" s="26"/>
      <c r="R181" s="26"/>
      <c r="S181" s="38">
        <f t="shared" si="121"/>
        <v>1</v>
      </c>
      <c r="T181" s="53" t="str">
        <f t="shared" si="122"/>
        <v>NorthBound</v>
      </c>
      <c r="U181" s="13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10:12:07-0600',mode:absolute,to:'2016-08-16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1" s="55" t="str">
        <f t="shared" si="123"/>
        <v>N</v>
      </c>
      <c r="X181" s="129">
        <f t="shared" si="135"/>
        <v>1</v>
      </c>
      <c r="Y181" s="70">
        <f t="shared" si="130"/>
        <v>0.1016</v>
      </c>
      <c r="Z181" s="70">
        <f t="shared" si="136"/>
        <v>5.8917999999999999</v>
      </c>
      <c r="AA181" s="70">
        <f t="shared" si="125"/>
        <v>5.7901999999999996</v>
      </c>
      <c r="AB181" s="67" t="e">
        <f>VLOOKUP(A181,Enforcements!$C$7:$J$24,8,0)</f>
        <v>#N/A</v>
      </c>
      <c r="AC181" s="63" t="e">
        <f>VLOOKUP(A181,Enforcements!$C$7:$E$24,3,0)</f>
        <v>#N/A</v>
      </c>
      <c r="AD181" s="64" t="str">
        <f t="shared" si="126"/>
        <v>0817-16</v>
      </c>
      <c r="AE181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81" s="101" t="str">
        <f t="shared" si="99"/>
        <v>"C:\Program Files (x86)\AstroGrep\AstroGrep.exe" /spath="%USERPROFILE%\AppData\Local\Temp\OnboardLogs" /stypes="*4014*20160816*" /stext=" 17:.+((SYSTEM_STATE.+slice.+state.+changed )|(ment ac)|(system.+state.+changed )|(\|lc)|(penalty)|(\[timeout)|(PRM\|1\|D)|(kpr)|(kdp))" /e /r /s</v>
      </c>
      <c r="AG181" s="1" t="str">
        <f t="shared" si="127"/>
        <v>NW</v>
      </c>
      <c r="AH181" s="105" t="str">
        <f t="shared" si="100"/>
        <v>"%USERPROFILE%\Documents\GitHub\eaglep3\Utilities\RefineRTDCRunTimes.py" --tripid 817-16 --locoid 4014 --swversion DE.1.0.7.0 --startMP 204:1016 --initTime 2016-08-16T11:12:07 --startdatetime 2016-08-16T11:13:39 --delay 1 --endMP 300:58918 --enddatetime 2016-08-16T11:34:20 --enforcementcount 1</v>
      </c>
    </row>
    <row r="182" spans="1:34" x14ac:dyDescent="0.25">
      <c r="A182" s="40" t="s">
        <v>589</v>
      </c>
      <c r="B182" s="7">
        <v>4013</v>
      </c>
      <c r="C182" s="25" t="s">
        <v>119</v>
      </c>
      <c r="D182" s="25" t="s">
        <v>269</v>
      </c>
      <c r="E182" s="16">
        <v>42598.483819444446</v>
      </c>
      <c r="F182" s="16">
        <v>42598.4846412037</v>
      </c>
      <c r="G182" s="7">
        <v>1</v>
      </c>
      <c r="H182" s="16" t="s">
        <v>590</v>
      </c>
      <c r="I182" s="16">
        <v>42598.49622685185</v>
      </c>
      <c r="J182" s="7">
        <v>1</v>
      </c>
      <c r="K182" s="142" t="str">
        <f t="shared" si="119"/>
        <v>4013/4014</v>
      </c>
      <c r="L182" s="25" t="str">
        <f>VLOOKUP(A182,'Trips&amp;Operators'!$C$1:$E$10000,3,FALSE)</f>
        <v>LEVIN</v>
      </c>
      <c r="M182" s="6">
        <f t="shared" si="120"/>
        <v>1.1585648149775807E-2</v>
      </c>
      <c r="N182" s="7">
        <f t="shared" si="134"/>
        <v>16.683333335677162</v>
      </c>
      <c r="O182" s="7"/>
      <c r="P182" s="7"/>
      <c r="Q182" s="26"/>
      <c r="R182" s="26"/>
      <c r="S182" s="38">
        <f t="shared" si="121"/>
        <v>1</v>
      </c>
      <c r="T182" s="53" t="str">
        <f t="shared" si="122"/>
        <v>Southbound</v>
      </c>
      <c r="U182" s="13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10:36:42-0600',mode:absolute,to:'2016-08-16 12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2" s="55" t="str">
        <f t="shared" si="123"/>
        <v>N</v>
      </c>
      <c r="X182" s="129">
        <f t="shared" si="135"/>
        <v>1</v>
      </c>
      <c r="Y182" s="70">
        <f t="shared" si="130"/>
        <v>5.8604000000000003</v>
      </c>
      <c r="Z182" s="70">
        <f t="shared" si="136"/>
        <v>7.3300000000000004E-2</v>
      </c>
      <c r="AA182" s="70">
        <f t="shared" si="125"/>
        <v>5.7871000000000006</v>
      </c>
      <c r="AB182" s="67" t="e">
        <f>VLOOKUP(A182,Enforcements!$C$7:$J$24,8,0)</f>
        <v>#N/A</v>
      </c>
      <c r="AC182" s="63" t="e">
        <f>VLOOKUP(A182,Enforcements!$C$7:$E$24,3,0)</f>
        <v>#N/A</v>
      </c>
      <c r="AD182" s="64" t="str">
        <f t="shared" si="126"/>
        <v>0818-16</v>
      </c>
      <c r="AE182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82" s="101" t="str">
        <f t="shared" si="99"/>
        <v>"C:\Program Files (x86)\AstroGrep\AstroGrep.exe" /spath="%USERPROFILE%\AppData\Local\Temp\OnboardLogs" /stypes="*4013*20160816*" /stext=" 17:.+((SYSTEM_STATE.+slice.+state.+changed )|(ment ac)|(system.+state.+changed )|(\|lc)|(penalty)|(\[timeout)|(PRM\|1\|D)|(kpr)|(kdp))" /e /r /s</v>
      </c>
      <c r="AG182" s="1" t="str">
        <f t="shared" si="127"/>
        <v>NW</v>
      </c>
      <c r="AH182" s="105" t="str">
        <f t="shared" si="100"/>
        <v>"%USERPROFILE%\Documents\GitHub\eaglep3\Utilities\RefineRTDCRunTimes.py" --tripid 818-16 --locoid 4013 --swversion DE.1.0.7.0 --startMP 300:58604 --initTime 2016-08-16T11:36:42 --startdatetime 2016-08-16T11:37:53 --delay 1 --endMP 204:733 --enddatetime 2016-08-16T11:54:34 --enforcementcount 1</v>
      </c>
    </row>
    <row r="183" spans="1:34" x14ac:dyDescent="0.25">
      <c r="A183" s="40" t="s">
        <v>591</v>
      </c>
      <c r="B183" s="7">
        <v>4014</v>
      </c>
      <c r="C183" s="25" t="s">
        <v>119</v>
      </c>
      <c r="D183" s="25" t="s">
        <v>592</v>
      </c>
      <c r="E183" s="16">
        <v>42598.507789351854</v>
      </c>
      <c r="F183" s="16">
        <v>42598.50885416667</v>
      </c>
      <c r="G183" s="7">
        <v>1</v>
      </c>
      <c r="H183" s="16" t="s">
        <v>593</v>
      </c>
      <c r="I183" s="16">
        <v>42598.516226851854</v>
      </c>
      <c r="J183" s="7">
        <v>1</v>
      </c>
      <c r="K183" s="142" t="str">
        <f t="shared" si="119"/>
        <v>4013/4014</v>
      </c>
      <c r="L183" s="25" t="str">
        <f>VLOOKUP(A183,'Trips&amp;Operators'!$C$1:$E$10000,3,FALSE)</f>
        <v>LEVIN</v>
      </c>
      <c r="M183" s="6">
        <f t="shared" si="120"/>
        <v>7.3726851842366159E-3</v>
      </c>
      <c r="N183" s="7"/>
      <c r="O183" s="7"/>
      <c r="P183" s="7">
        <f>24*60*SUM($M183:$M183)</f>
        <v>10.616666665300727</v>
      </c>
      <c r="Q183" s="26"/>
      <c r="R183" s="26" t="s">
        <v>283</v>
      </c>
      <c r="S183" s="38">
        <f t="shared" si="121"/>
        <v>0</v>
      </c>
      <c r="T183" s="53" t="str">
        <f t="shared" si="122"/>
        <v>NorthBound</v>
      </c>
      <c r="U183" s="13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0</v>
      </c>
      <c r="V183" s="111" t="str">
        <f t="shared" ref="V183" si="137"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https://search-rtdc-monitor-bjffxe2xuh6vdkpspy63sjmuny.us-east-1.es.amazonaws.com/_plugin/kibana/#/discover/Steve-Slow-Train-Analysis-(2080s-and-2083s)?_g=(refreshInterval:(display:Off,section:0,value:0),time:(from:'2016-08-16 11:11:13-0600',mode:absolute,to:'2016-08-16 13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3" s="55" t="str">
        <f t="shared" si="123"/>
        <v>Y</v>
      </c>
      <c r="X183" s="129">
        <f t="shared" si="135"/>
        <v>1</v>
      </c>
      <c r="Y183" s="70">
        <f t="shared" si="130"/>
        <v>0.1013</v>
      </c>
      <c r="Z183" s="70">
        <f t="shared" si="136"/>
        <v>0.16020000000000001</v>
      </c>
      <c r="AA183" s="70">
        <f t="shared" si="125"/>
        <v>5.8900000000000008E-2</v>
      </c>
      <c r="AB183" s="67" t="e">
        <f>VLOOKUP(A183,Enforcements!$C$7:$J$24,8,0)</f>
        <v>#N/A</v>
      </c>
      <c r="AC183" s="63" t="e">
        <f>VLOOKUP(A183,Enforcements!$C$7:$E$24,3,0)</f>
        <v>#N/A</v>
      </c>
      <c r="AD183" s="64" t="str">
        <f t="shared" si="126"/>
        <v>0819-16</v>
      </c>
      <c r="AE183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83" s="101" t="str">
        <f t="shared" si="99"/>
        <v>"C:\Program Files (x86)\AstroGrep\AstroGrep.exe" /spath="%USERPROFILE%\AppData\Local\Temp\OnboardLogs" /stypes="*4014*20160816*" /stext=" 18:.+((SYSTEM_STATE.+slice.+state.+changed )|(ment ac)|(system.+state.+changed )|(\|lc)|(penalty)|(\[timeout)|(PRM\|1\|D)|(kpr)|(kdp))" /e /r /s</v>
      </c>
      <c r="AG183" s="1" t="str">
        <f t="shared" si="127"/>
        <v>NW</v>
      </c>
      <c r="AH183" s="105" t="str">
        <f t="shared" si="100"/>
        <v>"%USERPROFILE%\Documents\GitHub\eaglep3\Utilities\RefineRTDCRunTimes.py" --tripid 819-16 --locoid 4014 --swversion DE.1.0.7.0 --startMP 204:1013 --initTime 2016-08-16T12:11:13 --startdatetime 2016-08-16T12:12:45 --delay 1 --endMP 204:1602 --enddatetime 2016-08-16T12:23:22 --enforcementcount 1</v>
      </c>
    </row>
    <row r="184" spans="1:34" x14ac:dyDescent="0.25">
      <c r="A184" s="40" t="s">
        <v>594</v>
      </c>
      <c r="B184" s="7">
        <v>4013</v>
      </c>
      <c r="C184" s="25" t="s">
        <v>119</v>
      </c>
      <c r="D184" s="25" t="s">
        <v>271</v>
      </c>
      <c r="E184" s="16">
        <v>42598.526192129626</v>
      </c>
      <c r="F184" s="16">
        <v>42598.526967592596</v>
      </c>
      <c r="G184" s="7">
        <v>1</v>
      </c>
      <c r="H184" s="16" t="s">
        <v>595</v>
      </c>
      <c r="I184" s="16">
        <v>42598.538993055554</v>
      </c>
      <c r="J184" s="7">
        <v>1</v>
      </c>
      <c r="K184" s="142" t="str">
        <f t="shared" si="119"/>
        <v>4013/4014</v>
      </c>
      <c r="L184" s="25" t="str">
        <f>VLOOKUP(A184,'Trips&amp;Operators'!$C$1:$E$10000,3,FALSE)</f>
        <v>LEVIN</v>
      </c>
      <c r="M184" s="6">
        <f t="shared" si="120"/>
        <v>1.2025462958263233E-2</v>
      </c>
      <c r="N184" s="7">
        <f>24*60*SUM($M184:$M184)</f>
        <v>17.316666659899056</v>
      </c>
      <c r="O184" s="7"/>
      <c r="P184" s="7"/>
      <c r="Q184" s="26"/>
      <c r="R184" s="26"/>
      <c r="S184" s="38">
        <f t="shared" si="121"/>
        <v>1</v>
      </c>
      <c r="T184" s="53" t="str">
        <f t="shared" si="122"/>
        <v>Southbound</v>
      </c>
      <c r="U184" s="13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11:37:43-0600',mode:absolute,to:'2016-08-16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4" s="55" t="str">
        <f t="shared" si="123"/>
        <v>N</v>
      </c>
      <c r="X184" s="129">
        <f t="shared" si="135"/>
        <v>1</v>
      </c>
      <c r="Y184" s="70">
        <f t="shared" si="130"/>
        <v>5.8601999999999999</v>
      </c>
      <c r="Z184" s="70">
        <f t="shared" si="136"/>
        <v>7.3099999999999998E-2</v>
      </c>
      <c r="AA184" s="70">
        <f t="shared" si="125"/>
        <v>5.7870999999999997</v>
      </c>
      <c r="AB184" s="67" t="e">
        <f>VLOOKUP(A184,Enforcements!$C$7:$J$24,8,0)</f>
        <v>#N/A</v>
      </c>
      <c r="AC184" s="63" t="e">
        <f>VLOOKUP(A184,Enforcements!$C$7:$E$24,3,0)</f>
        <v>#N/A</v>
      </c>
      <c r="AD184" s="64" t="str">
        <f t="shared" si="126"/>
        <v>0820-16</v>
      </c>
      <c r="AE184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84" s="101" t="str">
        <f t="shared" si="99"/>
        <v>"C:\Program Files (x86)\AstroGrep\AstroGrep.exe" /spath="%USERPROFILE%\AppData\Local\Temp\OnboardLogs" /stypes="*4013*20160816*" /stext=" 18:.+((SYSTEM_STATE.+slice.+state.+changed )|(ment ac)|(system.+state.+changed )|(\|lc)|(penalty)|(\[timeout)|(PRM\|1\|D)|(kpr)|(kdp))" /e /r /s</v>
      </c>
      <c r="AG184" s="1" t="str">
        <f t="shared" si="127"/>
        <v>NW</v>
      </c>
      <c r="AH184" s="105" t="str">
        <f t="shared" si="100"/>
        <v>"%USERPROFILE%\Documents\GitHub\eaglep3\Utilities\RefineRTDCRunTimes.py" --tripid 820-16 --locoid 4013 --swversion DE.1.0.7.0 --startMP 300:58602 --initTime 2016-08-16T12:37:43 --startdatetime 2016-08-16T12:38:50 --delay 1 --endMP 204:731 --enddatetime 2016-08-16T12:56:09 --enforcementcount 1</v>
      </c>
    </row>
    <row r="185" spans="1:34" x14ac:dyDescent="0.25">
      <c r="A185" s="40" t="s">
        <v>596</v>
      </c>
      <c r="B185" s="7">
        <v>4014</v>
      </c>
      <c r="C185" s="25" t="s">
        <v>119</v>
      </c>
      <c r="D185" s="25" t="s">
        <v>597</v>
      </c>
      <c r="E185" s="16">
        <v>42598.549108796295</v>
      </c>
      <c r="F185" s="16">
        <v>42598.550324074073</v>
      </c>
      <c r="G185" s="7">
        <v>1</v>
      </c>
      <c r="H185" s="16" t="s">
        <v>598</v>
      </c>
      <c r="I185" s="16">
        <v>42598.56585648148</v>
      </c>
      <c r="J185" s="7">
        <v>1</v>
      </c>
      <c r="K185" s="142" t="str">
        <f t="shared" si="119"/>
        <v>4013/4014</v>
      </c>
      <c r="L185" s="25" t="str">
        <f>VLOOKUP(A185,'Trips&amp;Operators'!$C$1:$E$10000,3,FALSE)</f>
        <v>BRUDER</v>
      </c>
      <c r="M185" s="6">
        <f t="shared" si="120"/>
        <v>1.5532407407590654E-2</v>
      </c>
      <c r="N185" s="7">
        <f>24*60*SUM($M185:$M185)</f>
        <v>22.366666666930541</v>
      </c>
      <c r="O185" s="7"/>
      <c r="P185" s="7"/>
      <c r="Q185" s="26"/>
      <c r="R185" s="26"/>
      <c r="S185" s="38">
        <f t="shared" si="121"/>
        <v>1</v>
      </c>
      <c r="T185" s="53" t="str">
        <f t="shared" si="122"/>
        <v>NorthBound</v>
      </c>
      <c r="U185" s="13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12:10:43-0600',mode:absolute,to:'2016-08-16 14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5" s="55" t="str">
        <f t="shared" si="123"/>
        <v>N</v>
      </c>
      <c r="X185" s="129">
        <f t="shared" si="135"/>
        <v>1</v>
      </c>
      <c r="Y185" s="70">
        <f t="shared" si="130"/>
        <v>0.1023</v>
      </c>
      <c r="Z185" s="70">
        <f t="shared" si="136"/>
        <v>5.8916000000000004</v>
      </c>
      <c r="AA185" s="70">
        <f t="shared" si="125"/>
        <v>5.7893000000000008</v>
      </c>
      <c r="AB185" s="67" t="e">
        <f>VLOOKUP(A185,Enforcements!$C$7:$J$24,8,0)</f>
        <v>#N/A</v>
      </c>
      <c r="AC185" s="63" t="e">
        <f>VLOOKUP(A185,Enforcements!$C$7:$E$24,3,0)</f>
        <v>#N/A</v>
      </c>
      <c r="AD185" s="64" t="str">
        <f t="shared" si="126"/>
        <v>0821-16</v>
      </c>
      <c r="AE185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85" s="101" t="str">
        <f t="shared" si="99"/>
        <v>"C:\Program Files (x86)\AstroGrep\AstroGrep.exe" /spath="%USERPROFILE%\AppData\Local\Temp\OnboardLogs" /stypes="*4014*20160816*" /stext=" 19:.+((SYSTEM_STATE.+slice.+state.+changed )|(ment ac)|(system.+state.+changed )|(\|lc)|(penalty)|(\[timeout)|(PRM\|1\|D)|(kpr)|(kdp))" /e /r /s</v>
      </c>
      <c r="AG185" s="1" t="str">
        <f t="shared" si="127"/>
        <v>NW</v>
      </c>
      <c r="AH185" s="105" t="str">
        <f t="shared" si="100"/>
        <v>"%USERPROFILE%\Documents\GitHub\eaglep3\Utilities\RefineRTDCRunTimes.py" --tripid 821-16 --locoid 4014 --swversion DE.1.0.7.0 --startMP 204:1023 --initTime 2016-08-16T13:10:43 --startdatetime 2016-08-16T13:12:28 --delay 1 --endMP 300:58916 --enddatetime 2016-08-16T13:34:50 --enforcementcount 1</v>
      </c>
    </row>
    <row r="186" spans="1:34" x14ac:dyDescent="0.25">
      <c r="A186" s="40" t="s">
        <v>599</v>
      </c>
      <c r="B186" s="7">
        <v>4013</v>
      </c>
      <c r="C186" s="25" t="s">
        <v>119</v>
      </c>
      <c r="D186" s="25" t="s">
        <v>600</v>
      </c>
      <c r="E186" s="16">
        <v>42598.567256944443</v>
      </c>
      <c r="F186" s="16">
        <v>42598.568703703706</v>
      </c>
      <c r="G186" s="7">
        <v>2</v>
      </c>
      <c r="H186" s="16" t="s">
        <v>267</v>
      </c>
      <c r="I186" s="16">
        <v>42598.579965277779</v>
      </c>
      <c r="J186" s="7">
        <v>1</v>
      </c>
      <c r="K186" s="142" t="str">
        <f t="shared" si="119"/>
        <v>4013/4014</v>
      </c>
      <c r="L186" s="25" t="str">
        <f>VLOOKUP(A186,'Trips&amp;Operators'!$C$1:$E$10000,3,FALSE)</f>
        <v>BRUDER</v>
      </c>
      <c r="M186" s="6">
        <f t="shared" si="120"/>
        <v>1.1261574072705116E-2</v>
      </c>
      <c r="N186" s="7">
        <f>24*60*SUM($M186:$M186)</f>
        <v>16.216666664695367</v>
      </c>
      <c r="O186" s="7"/>
      <c r="P186" s="7"/>
      <c r="Q186" s="26"/>
      <c r="R186" s="26"/>
      <c r="S186" s="38">
        <f t="shared" si="121"/>
        <v>1</v>
      </c>
      <c r="T186" s="53" t="str">
        <f t="shared" si="122"/>
        <v>Southbound</v>
      </c>
      <c r="U186" s="13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12:36:51-0600',mode:absolute,to:'2016-08-16 14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6" s="55" t="str">
        <f t="shared" si="123"/>
        <v>N</v>
      </c>
      <c r="X186" s="129">
        <f t="shared" si="135"/>
        <v>1</v>
      </c>
      <c r="Y186" s="70">
        <f t="shared" si="130"/>
        <v>5.8596000000000004</v>
      </c>
      <c r="Z186" s="70">
        <f t="shared" si="136"/>
        <v>6.8000000000000005E-2</v>
      </c>
      <c r="AA186" s="70">
        <f t="shared" si="125"/>
        <v>5.7916000000000007</v>
      </c>
      <c r="AB186" s="67" t="e">
        <f>VLOOKUP(A186,Enforcements!$C$7:$J$24,8,0)</f>
        <v>#N/A</v>
      </c>
      <c r="AC186" s="63" t="e">
        <f>VLOOKUP(A186,Enforcements!$C$7:$E$24,3,0)</f>
        <v>#N/A</v>
      </c>
      <c r="AD186" s="64" t="str">
        <f t="shared" si="126"/>
        <v>0822-16</v>
      </c>
      <c r="AE186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86" s="101" t="str">
        <f t="shared" si="99"/>
        <v>"C:\Program Files (x86)\AstroGrep\AstroGrep.exe" /spath="%USERPROFILE%\AppData\Local\Temp\OnboardLogs" /stypes="*4013*20160816*" /stext=" 19:.+((SYSTEM_STATE.+slice.+state.+changed )|(ment ac)|(system.+state.+changed )|(\|lc)|(penalty)|(\[timeout)|(PRM\|1\|D)|(kpr)|(kdp))" /e /r /s</v>
      </c>
      <c r="AG186" s="1" t="str">
        <f t="shared" si="127"/>
        <v>NW</v>
      </c>
      <c r="AH186" s="105" t="str">
        <f t="shared" si="100"/>
        <v>"%USERPROFILE%\Documents\GitHub\eaglep3\Utilities\RefineRTDCRunTimes.py" --tripid 822-16 --locoid 4013 --swversion DE.1.0.7.0 --startMP 300:58596 --initTime 2016-08-16T13:36:51 --startdatetime 2016-08-16T13:38:56 --delay 2 --endMP 204:680 --enddatetime 2016-08-16T13:55:09 --enforcementcount 1</v>
      </c>
    </row>
    <row r="187" spans="1:34" x14ac:dyDescent="0.25">
      <c r="A187" s="40" t="s">
        <v>601</v>
      </c>
      <c r="B187" s="7">
        <v>4014</v>
      </c>
      <c r="C187" s="25" t="s">
        <v>119</v>
      </c>
      <c r="D187" s="25" t="s">
        <v>273</v>
      </c>
      <c r="E187" s="16">
        <v>42598.593969907408</v>
      </c>
      <c r="F187" s="16">
        <v>42598.594895833332</v>
      </c>
      <c r="G187" s="7">
        <v>1</v>
      </c>
      <c r="H187" s="16" t="s">
        <v>272</v>
      </c>
      <c r="I187" s="16">
        <v>42598.607812499999</v>
      </c>
      <c r="J187" s="7">
        <v>1</v>
      </c>
      <c r="K187" s="142" t="str">
        <f t="shared" si="119"/>
        <v>4013/4014</v>
      </c>
      <c r="L187" s="25" t="str">
        <f>VLOOKUP(A187,'Trips&amp;Operators'!$C$1:$E$10000,3,FALSE)</f>
        <v>BRUDER</v>
      </c>
      <c r="M187" s="6">
        <f t="shared" si="120"/>
        <v>1.2916666666569654E-2</v>
      </c>
      <c r="N187" s="7">
        <f>24*60*SUM($M187:$M187)</f>
        <v>18.599999999860302</v>
      </c>
      <c r="O187" s="7"/>
      <c r="P187" s="7"/>
      <c r="Q187" s="26"/>
      <c r="R187" s="26"/>
      <c r="S187" s="38">
        <f t="shared" si="121"/>
        <v>1</v>
      </c>
      <c r="T187" s="53" t="str">
        <f t="shared" si="122"/>
        <v>NorthBound</v>
      </c>
      <c r="U187" s="13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13:15:19-0600',mode:absolute,to:'2016-08-16 15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7" s="55" t="str">
        <f t="shared" si="123"/>
        <v>N</v>
      </c>
      <c r="X187" s="129">
        <f t="shared" si="135"/>
        <v>1</v>
      </c>
      <c r="Y187" s="70">
        <f t="shared" si="130"/>
        <v>9.6500000000000002E-2</v>
      </c>
      <c r="Z187" s="70">
        <f t="shared" si="136"/>
        <v>5.8914</v>
      </c>
      <c r="AA187" s="70">
        <f t="shared" si="125"/>
        <v>5.7949000000000002</v>
      </c>
      <c r="AB187" s="67" t="e">
        <f>VLOOKUP(A187,Enforcements!$C$7:$J$24,8,0)</f>
        <v>#N/A</v>
      </c>
      <c r="AC187" s="63" t="e">
        <f>VLOOKUP(A187,Enforcements!$C$7:$E$24,3,0)</f>
        <v>#N/A</v>
      </c>
      <c r="AD187" s="64" t="str">
        <f t="shared" si="126"/>
        <v>0823-16</v>
      </c>
      <c r="AE187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87" s="101" t="str">
        <f t="shared" si="99"/>
        <v>"C:\Program Files (x86)\AstroGrep\AstroGrep.exe" /spath="%USERPROFILE%\AppData\Local\Temp\OnboardLogs" /stypes="*4014*20160816*" /stext=" 20:.+((SYSTEM_STATE.+slice.+state.+changed )|(ment ac)|(system.+state.+changed )|(\|lc)|(penalty)|(\[timeout)|(PRM\|1\|D)|(kpr)|(kdp))" /e /r /s</v>
      </c>
      <c r="AG187" s="1" t="str">
        <f t="shared" si="127"/>
        <v>NW</v>
      </c>
      <c r="AH187" s="105" t="str">
        <f t="shared" si="100"/>
        <v>"%USERPROFILE%\Documents\GitHub\eaglep3\Utilities\RefineRTDCRunTimes.py" --tripid 823-16 --locoid 4014 --swversion DE.1.0.7.0 --startMP 204:965 --initTime 2016-08-16T14:15:19 --startdatetime 2016-08-16T14:16:39 --delay 1 --endMP 300:58914 --enddatetime 2016-08-16T14:35:15 --enforcementcount 1</v>
      </c>
    </row>
    <row r="188" spans="1:34" x14ac:dyDescent="0.25">
      <c r="A188" s="40" t="s">
        <v>602</v>
      </c>
      <c r="B188" s="7">
        <v>4013</v>
      </c>
      <c r="C188" s="25" t="s">
        <v>119</v>
      </c>
      <c r="D188" s="25" t="s">
        <v>269</v>
      </c>
      <c r="E188" s="16">
        <v>42598.609155092592</v>
      </c>
      <c r="F188" s="16">
        <v>42598.610173611109</v>
      </c>
      <c r="G188" s="7">
        <v>1</v>
      </c>
      <c r="H188" s="16" t="s">
        <v>603</v>
      </c>
      <c r="I188" s="16">
        <v>42598.621435185189</v>
      </c>
      <c r="J188" s="7">
        <v>1</v>
      </c>
      <c r="K188" s="142" t="str">
        <f t="shared" si="119"/>
        <v>4013/4014</v>
      </c>
      <c r="L188" s="25" t="str">
        <f>VLOOKUP(A188,'Trips&amp;Operators'!$C$1:$E$10000,3,FALSE)</f>
        <v>BRUDER</v>
      </c>
      <c r="M188" s="6">
        <f t="shared" si="120"/>
        <v>1.1261574079981074E-2</v>
      </c>
      <c r="N188" s="7">
        <f>24*60*SUM($M188:$M188)</f>
        <v>16.216666675172746</v>
      </c>
      <c r="O188" s="7"/>
      <c r="P188" s="7"/>
      <c r="Q188" s="26"/>
      <c r="R188" s="26"/>
      <c r="S188" s="38">
        <f t="shared" si="121"/>
        <v>1</v>
      </c>
      <c r="T188" s="53" t="str">
        <f t="shared" si="122"/>
        <v>Southbound</v>
      </c>
      <c r="U188" s="13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13:37:11-0600',mode:absolute,to:'2016-08-16 15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88" s="55" t="str">
        <f t="shared" si="123"/>
        <v>N</v>
      </c>
      <c r="X188" s="129">
        <f t="shared" si="135"/>
        <v>1</v>
      </c>
      <c r="Y188" s="70">
        <f t="shared" si="130"/>
        <v>5.8604000000000003</v>
      </c>
      <c r="Z188" s="70">
        <f t="shared" si="136"/>
        <v>6.8199999999999997E-2</v>
      </c>
      <c r="AA188" s="70">
        <f t="shared" si="125"/>
        <v>5.7922000000000002</v>
      </c>
      <c r="AB188" s="67" t="e">
        <f>VLOOKUP(A188,Enforcements!$C$7:$J$24,8,0)</f>
        <v>#N/A</v>
      </c>
      <c r="AC188" s="63" t="e">
        <f>VLOOKUP(A188,Enforcements!$C$7:$E$24,3,0)</f>
        <v>#N/A</v>
      </c>
      <c r="AD188" s="64" t="str">
        <f t="shared" si="126"/>
        <v>0824-16</v>
      </c>
      <c r="AE188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88" s="101" t="str">
        <f t="shared" si="99"/>
        <v>"C:\Program Files (x86)\AstroGrep\AstroGrep.exe" /spath="%USERPROFILE%\AppData\Local\Temp\OnboardLogs" /stypes="*4013*20160816*" /stext=" 20:.+((SYSTEM_STATE.+slice.+state.+changed )|(ment ac)|(system.+state.+changed )|(\|lc)|(penalty)|(\[timeout)|(PRM\|1\|D)|(kpr)|(kdp))" /e /r /s</v>
      </c>
      <c r="AG188" s="1" t="str">
        <f t="shared" si="127"/>
        <v>NW</v>
      </c>
      <c r="AH188" s="105" t="str">
        <f t="shared" si="100"/>
        <v>"%USERPROFILE%\Documents\GitHub\eaglep3\Utilities\RefineRTDCRunTimes.py" --tripid 824-16 --locoid 4013 --swversion DE.1.0.7.0 --startMP 300:58604 --initTime 2016-08-16T14:37:11 --startdatetime 2016-08-16T14:38:39 --delay 1 --endMP 204:682 --enddatetime 2016-08-16T14:54:52 --enforcementcount 1</v>
      </c>
    </row>
    <row r="189" spans="1:34" x14ac:dyDescent="0.25">
      <c r="A189" s="40" t="s">
        <v>604</v>
      </c>
      <c r="B189" s="7">
        <v>4014</v>
      </c>
      <c r="C189" s="25" t="s">
        <v>119</v>
      </c>
      <c r="D189" s="25" t="s">
        <v>605</v>
      </c>
      <c r="E189" s="16">
        <v>42598.635717592595</v>
      </c>
      <c r="F189" s="16">
        <v>42598.637048611112</v>
      </c>
      <c r="G189" s="7">
        <v>1</v>
      </c>
      <c r="H189" s="16" t="s">
        <v>593</v>
      </c>
      <c r="I189" s="16">
        <v>42598.641134259262</v>
      </c>
      <c r="J189" s="7">
        <v>1</v>
      </c>
      <c r="K189" s="142" t="str">
        <f t="shared" si="119"/>
        <v>4013/4014</v>
      </c>
      <c r="L189" s="25" t="str">
        <f>VLOOKUP(A189,'Trips&amp;Operators'!$C$1:$E$10000,3,FALSE)</f>
        <v>BRUDER</v>
      </c>
      <c r="M189" s="6">
        <f t="shared" si="120"/>
        <v>4.0856481500668451E-3</v>
      </c>
      <c r="N189" s="7"/>
      <c r="O189" s="7"/>
      <c r="P189" s="7">
        <f>24*60*SUM($M189:$M189)</f>
        <v>5.883333336096257</v>
      </c>
      <c r="Q189" s="26"/>
      <c r="R189" s="26" t="s">
        <v>283</v>
      </c>
      <c r="S189" s="38">
        <f t="shared" si="121"/>
        <v>0</v>
      </c>
      <c r="T189" s="53" t="str">
        <f t="shared" si="122"/>
        <v>NorthBound</v>
      </c>
      <c r="U189" s="13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0</v>
      </c>
      <c r="V189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14:15:26-0600',mode:absolute,to:'2016-08-16 16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89" s="55" t="str">
        <f t="shared" si="123"/>
        <v>Y</v>
      </c>
      <c r="X189" s="129">
        <f t="shared" si="135"/>
        <v>1</v>
      </c>
      <c r="Y189" s="70">
        <f t="shared" si="130"/>
        <v>9.6199999999999994E-2</v>
      </c>
      <c r="Z189" s="70">
        <f t="shared" si="136"/>
        <v>0.16020000000000001</v>
      </c>
      <c r="AA189" s="70">
        <f t="shared" si="125"/>
        <v>6.4000000000000015E-2</v>
      </c>
      <c r="AB189" s="67" t="e">
        <f>VLOOKUP(A189,Enforcements!$C$7:$J$24,8,0)</f>
        <v>#N/A</v>
      </c>
      <c r="AC189" s="63" t="e">
        <f>VLOOKUP(A189,Enforcements!$C$7:$E$24,3,0)</f>
        <v>#N/A</v>
      </c>
      <c r="AD189" s="64" t="str">
        <f t="shared" si="126"/>
        <v>0825-16</v>
      </c>
      <c r="AE189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89" s="101" t="str">
        <f t="shared" si="99"/>
        <v>"C:\Program Files (x86)\AstroGrep\AstroGrep.exe" /spath="%USERPROFILE%\AppData\Local\Temp\OnboardLogs" /stypes="*4014*20160816*" /stext=" 21:.+((SYSTEM_STATE.+slice.+state.+changed )|(ment ac)|(system.+state.+changed )|(\|lc)|(penalty)|(\[timeout)|(PRM\|1\|D)|(kpr)|(kdp))" /e /r /s</v>
      </c>
      <c r="AG189" s="1" t="str">
        <f t="shared" si="127"/>
        <v>NW</v>
      </c>
      <c r="AH189" s="105" t="str">
        <f t="shared" si="100"/>
        <v>"%USERPROFILE%\Documents\GitHub\eaglep3\Utilities\RefineRTDCRunTimes.py" --tripid 825-16 --locoid 4014 --swversion DE.1.0.7.0 --startMP 204:962 --initTime 2016-08-16T15:15:26 --startdatetime 2016-08-16T15:17:21 --delay 1 --endMP 204:1602 --enddatetime 2016-08-16T15:23:14 --enforcementcount 1</v>
      </c>
    </row>
    <row r="190" spans="1:34" x14ac:dyDescent="0.25">
      <c r="A190" s="40" t="s">
        <v>606</v>
      </c>
      <c r="B190" s="7">
        <v>4013</v>
      </c>
      <c r="C190" s="25" t="s">
        <v>119</v>
      </c>
      <c r="D190" s="25" t="s">
        <v>607</v>
      </c>
      <c r="E190" s="16">
        <v>42598.651712962965</v>
      </c>
      <c r="F190" s="16">
        <v>42598.652581018519</v>
      </c>
      <c r="G190" s="7">
        <v>1</v>
      </c>
      <c r="H190" s="16" t="s">
        <v>608</v>
      </c>
      <c r="I190" s="16">
        <v>42598.668287037035</v>
      </c>
      <c r="J190" s="7">
        <v>1</v>
      </c>
      <c r="K190" s="142" t="str">
        <f t="shared" si="119"/>
        <v>4013/4014</v>
      </c>
      <c r="L190" s="25" t="str">
        <f>VLOOKUP(A190,'Trips&amp;Operators'!$C$1:$E$10000,3,FALSE)</f>
        <v>BRUDER</v>
      </c>
      <c r="M190" s="6">
        <f t="shared" si="120"/>
        <v>1.5706018515629694E-2</v>
      </c>
      <c r="N190" s="7">
        <f t="shared" ref="N190:N225" si="138">24*60*SUM($M190:$M190)</f>
        <v>22.616666662506759</v>
      </c>
      <c r="O190" s="7"/>
      <c r="P190" s="7"/>
      <c r="Q190" s="26"/>
      <c r="R190" s="26"/>
      <c r="S190" s="38">
        <f t="shared" si="121"/>
        <v>1</v>
      </c>
      <c r="T190" s="53" t="str">
        <f t="shared" si="122"/>
        <v>Southbound</v>
      </c>
      <c r="U190" s="13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14:38:28-0600',mode:absolute,to:'2016-08-16 17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0" s="55" t="str">
        <f t="shared" si="123"/>
        <v>N</v>
      </c>
      <c r="X190" s="129">
        <f t="shared" si="135"/>
        <v>1</v>
      </c>
      <c r="Y190" s="70">
        <f t="shared" si="130"/>
        <v>5.8616999999999999</v>
      </c>
      <c r="Z190" s="70">
        <f t="shared" si="136"/>
        <v>6.7000000000000004E-2</v>
      </c>
      <c r="AA190" s="70">
        <f t="shared" si="125"/>
        <v>5.7946999999999997</v>
      </c>
      <c r="AB190" s="67" t="e">
        <f>VLOOKUP(A190,Enforcements!$C$7:$J$24,8,0)</f>
        <v>#N/A</v>
      </c>
      <c r="AC190" s="63" t="e">
        <f>VLOOKUP(A190,Enforcements!$C$7:$E$24,3,0)</f>
        <v>#N/A</v>
      </c>
      <c r="AD190" s="64" t="str">
        <f t="shared" si="126"/>
        <v>0826-16</v>
      </c>
      <c r="AE190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90" s="101" t="str">
        <f t="shared" si="99"/>
        <v>"C:\Program Files (x86)\AstroGrep\AstroGrep.exe" /spath="%USERPROFILE%\AppData\Local\Temp\OnboardLogs" /stypes="*4013*20160816*" /stext=" 22:.+((SYSTEM_STATE.+slice.+state.+changed )|(ment ac)|(system.+state.+changed )|(\|lc)|(penalty)|(\[timeout)|(PRM\|1\|D)|(kpr)|(kdp))" /e /r /s</v>
      </c>
      <c r="AG190" s="1" t="str">
        <f t="shared" si="127"/>
        <v>NW</v>
      </c>
      <c r="AH190" s="105" t="str">
        <f t="shared" si="100"/>
        <v>"%USERPROFILE%\Documents\GitHub\eaglep3\Utilities\RefineRTDCRunTimes.py" --tripid 826-16 --locoid 4013 --swversion DE.1.0.7.0 --startMP 300:58617 --initTime 2016-08-16T15:38:28 --startdatetime 2016-08-16T15:39:43 --delay 1 --endMP 204:670 --enddatetime 2016-08-16T16:02:20 --enforcementcount 1</v>
      </c>
    </row>
    <row r="191" spans="1:34" x14ac:dyDescent="0.25">
      <c r="A191" s="40" t="s">
        <v>609</v>
      </c>
      <c r="B191" s="7">
        <v>4002</v>
      </c>
      <c r="C191" s="25" t="s">
        <v>119</v>
      </c>
      <c r="D191" s="25" t="s">
        <v>610</v>
      </c>
      <c r="E191" s="16">
        <v>42598.660046296296</v>
      </c>
      <c r="F191" s="16">
        <v>42598.661678240744</v>
      </c>
      <c r="G191" s="7">
        <v>2</v>
      </c>
      <c r="H191" s="16" t="s">
        <v>274</v>
      </c>
      <c r="I191" s="16">
        <v>42598.676481481481</v>
      </c>
      <c r="J191" s="7">
        <v>1</v>
      </c>
      <c r="K191" s="142" t="str">
        <f t="shared" si="119"/>
        <v>4001/4002</v>
      </c>
      <c r="L191" s="25" t="str">
        <f>VLOOKUP(A191,'Trips&amp;Operators'!$C$1:$E$10000,3,FALSE)</f>
        <v>STURGEON</v>
      </c>
      <c r="M191" s="6">
        <f t="shared" si="120"/>
        <v>1.4803240737819578E-2</v>
      </c>
      <c r="N191" s="7">
        <f t="shared" si="138"/>
        <v>21.316666662460193</v>
      </c>
      <c r="O191" s="7"/>
      <c r="P191" s="7"/>
      <c r="Q191" s="26"/>
      <c r="R191" s="26"/>
      <c r="S191" s="38">
        <f t="shared" si="121"/>
        <v>1</v>
      </c>
      <c r="T191" s="53" t="str">
        <f t="shared" si="122"/>
        <v>NorthBound</v>
      </c>
      <c r="U191" s="13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14:50:28-0600',mode:absolute,to:'2016-08-16 17:14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1" s="55" t="str">
        <f t="shared" si="123"/>
        <v>N</v>
      </c>
      <c r="X191" s="129">
        <f t="shared" si="135"/>
        <v>1</v>
      </c>
      <c r="Y191" s="70">
        <f t="shared" si="130"/>
        <v>0.1007</v>
      </c>
      <c r="Z191" s="70">
        <f t="shared" si="136"/>
        <v>5.8925999999999998</v>
      </c>
      <c r="AA191" s="70">
        <f t="shared" si="125"/>
        <v>5.7919</v>
      </c>
      <c r="AB191" s="67" t="e">
        <f>VLOOKUP(A191,Enforcements!$C$7:$J$24,8,0)</f>
        <v>#N/A</v>
      </c>
      <c r="AC191" s="63" t="e">
        <f>VLOOKUP(A191,Enforcements!$C$7:$E$24,3,0)</f>
        <v>#N/A</v>
      </c>
      <c r="AD191" s="64" t="str">
        <f t="shared" si="126"/>
        <v>0827-16</v>
      </c>
      <c r="AE191" s="104" t="str">
        <f t="shared" si="98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191" s="101" t="str">
        <f t="shared" si="99"/>
        <v>"C:\Program Files (x86)\AstroGrep\AstroGrep.exe" /spath="%USERPROFILE%\AppData\Local\Temp\OnboardLogs" /stypes="*4002*20160816*" /stext=" 22:.+((SYSTEM_STATE.+slice.+state.+changed )|(ment ac)|(system.+state.+changed )|(\|lc)|(penalty)|(\[timeout)|(PRM\|1\|D)|(kpr)|(kdp))" /e /r /s</v>
      </c>
      <c r="AG191" s="1" t="str">
        <f t="shared" si="127"/>
        <v>NW</v>
      </c>
      <c r="AH191" s="105" t="str">
        <f t="shared" si="100"/>
        <v>"%USERPROFILE%\Documents\GitHub\eaglep3\Utilities\RefineRTDCRunTimes.py" --tripid 827-16 --locoid 4002 --swversion DE.1.0.7.0 --startMP 204:1007 --initTime 2016-08-16T15:50:28 --startdatetime 2016-08-16T15:52:49 --delay 2 --endMP 300:58926 --enddatetime 2016-08-16T16:14:08 --enforcementcount 1</v>
      </c>
    </row>
    <row r="192" spans="1:34" x14ac:dyDescent="0.25">
      <c r="A192" s="40" t="s">
        <v>611</v>
      </c>
      <c r="B192" s="7">
        <v>4001</v>
      </c>
      <c r="C192" s="25" t="s">
        <v>119</v>
      </c>
      <c r="D192" s="25" t="s">
        <v>271</v>
      </c>
      <c r="E192" s="16">
        <v>42598.67763888889</v>
      </c>
      <c r="F192" s="16">
        <v>42598.678414351853</v>
      </c>
      <c r="G192" s="7">
        <v>1</v>
      </c>
      <c r="H192" s="16" t="s">
        <v>586</v>
      </c>
      <c r="I192" s="16">
        <v>42598.689722222225</v>
      </c>
      <c r="J192" s="7">
        <v>1</v>
      </c>
      <c r="K192" s="142" t="str">
        <f t="shared" si="119"/>
        <v>4001/4002</v>
      </c>
      <c r="L192" s="25" t="str">
        <f>VLOOKUP(A192,'Trips&amp;Operators'!$C$1:$E$10000,3,FALSE)</f>
        <v>STURGEON</v>
      </c>
      <c r="M192" s="6">
        <f t="shared" si="120"/>
        <v>1.1307870372547768E-2</v>
      </c>
      <c r="N192" s="7">
        <f t="shared" si="138"/>
        <v>16.283333336468786</v>
      </c>
      <c r="O192" s="7"/>
      <c r="P192" s="7"/>
      <c r="Q192" s="26"/>
      <c r="R192" s="26"/>
      <c r="S192" s="38">
        <f t="shared" si="121"/>
        <v>1</v>
      </c>
      <c r="T192" s="53" t="str">
        <f t="shared" si="122"/>
        <v>Southbound</v>
      </c>
      <c r="U192" s="13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15:15:48-0600',mode:absolute,to:'2016-08-16 17:33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92" s="55" t="str">
        <f t="shared" si="123"/>
        <v>N</v>
      </c>
      <c r="X192" s="129">
        <f t="shared" si="135"/>
        <v>1</v>
      </c>
      <c r="Y192" s="70">
        <f t="shared" si="130"/>
        <v>5.8601999999999999</v>
      </c>
      <c r="Z192" s="70">
        <f t="shared" si="136"/>
        <v>7.1900000000000006E-2</v>
      </c>
      <c r="AA192" s="70">
        <f t="shared" si="125"/>
        <v>5.7882999999999996</v>
      </c>
      <c r="AB192" s="67" t="e">
        <f>VLOOKUP(A192,Enforcements!$C$7:$J$24,8,0)</f>
        <v>#N/A</v>
      </c>
      <c r="AC192" s="63" t="e">
        <f>VLOOKUP(A192,Enforcements!$C$7:$E$24,3,0)</f>
        <v>#N/A</v>
      </c>
      <c r="AD192" s="64" t="str">
        <f t="shared" si="126"/>
        <v>0828-16</v>
      </c>
      <c r="AE192" s="104" t="str">
        <f t="shared" si="98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192" s="101" t="str">
        <f t="shared" si="99"/>
        <v>"C:\Program Files (x86)\AstroGrep\AstroGrep.exe" /spath="%USERPROFILE%\AppData\Local\Temp\OnboardLogs" /stypes="*4001*20160816*" /stext=" 22:.+((SYSTEM_STATE.+slice.+state.+changed )|(ment ac)|(system.+state.+changed )|(\|lc)|(penalty)|(\[timeout)|(PRM\|1\|D)|(kpr)|(kdp))" /e /r /s</v>
      </c>
      <c r="AG192" s="1" t="str">
        <f t="shared" si="127"/>
        <v>NW</v>
      </c>
      <c r="AH192" s="105" t="str">
        <f t="shared" si="100"/>
        <v>"%USERPROFILE%\Documents\GitHub\eaglep3\Utilities\RefineRTDCRunTimes.py" --tripid 828-16 --locoid 4001 --swversion DE.1.0.7.0 --startMP 300:58602 --initTime 2016-08-16T16:15:48 --startdatetime 2016-08-16T16:16:55 --delay 1 --endMP 204:719 --enddatetime 2016-08-16T16:33:12 --enforcementcount 1</v>
      </c>
    </row>
    <row r="193" spans="1:34" x14ac:dyDescent="0.25">
      <c r="A193" s="40" t="s">
        <v>612</v>
      </c>
      <c r="B193" s="7">
        <v>4014</v>
      </c>
      <c r="C193" s="25" t="s">
        <v>119</v>
      </c>
      <c r="D193" s="25" t="s">
        <v>613</v>
      </c>
      <c r="E193" s="16">
        <v>42598.676886574074</v>
      </c>
      <c r="F193" s="16">
        <v>42598.678217592591</v>
      </c>
      <c r="G193" s="7">
        <v>1</v>
      </c>
      <c r="H193" s="16" t="s">
        <v>598</v>
      </c>
      <c r="I193" s="16">
        <v>42598.690393518518</v>
      </c>
      <c r="J193" s="7">
        <v>1</v>
      </c>
      <c r="K193" s="142" t="str">
        <f t="shared" si="119"/>
        <v>4013/4014</v>
      </c>
      <c r="L193" s="25" t="str">
        <f>VLOOKUP(A193,'Trips&amp;Operators'!$C$1:$E$10000,3,FALSE)</f>
        <v>BRUDER</v>
      </c>
      <c r="M193" s="6">
        <f t="shared" si="120"/>
        <v>1.2175925927294884E-2</v>
      </c>
      <c r="N193" s="7">
        <f t="shared" si="138"/>
        <v>17.533333335304633</v>
      </c>
      <c r="O193" s="7"/>
      <c r="P193" s="7"/>
      <c r="Q193" s="26"/>
      <c r="R193" s="26"/>
      <c r="S193" s="38">
        <f t="shared" si="121"/>
        <v>1</v>
      </c>
      <c r="T193" s="53" t="str">
        <f t="shared" si="122"/>
        <v>NorthBound</v>
      </c>
      <c r="U193" s="13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15:14:43-0600',mode:absolute,to:'2016-08-16 17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3" s="55" t="str">
        <f t="shared" si="123"/>
        <v>N</v>
      </c>
      <c r="X193" s="129">
        <f t="shared" si="135"/>
        <v>1</v>
      </c>
      <c r="Y193" s="70">
        <f t="shared" si="130"/>
        <v>9.7100000000000006E-2</v>
      </c>
      <c r="Z193" s="70">
        <f t="shared" si="136"/>
        <v>5.8916000000000004</v>
      </c>
      <c r="AA193" s="70">
        <f t="shared" si="125"/>
        <v>5.7945000000000002</v>
      </c>
      <c r="AB193" s="67" t="e">
        <f>VLOOKUP(A193,Enforcements!$C$7:$J$24,8,0)</f>
        <v>#N/A</v>
      </c>
      <c r="AC193" s="63" t="e">
        <f>VLOOKUP(A193,Enforcements!$C$7:$E$24,3,0)</f>
        <v>#N/A</v>
      </c>
      <c r="AD193" s="64" t="str">
        <f t="shared" si="126"/>
        <v>0829-16</v>
      </c>
      <c r="AE193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93" s="101" t="str">
        <f t="shared" si="99"/>
        <v>"C:\Program Files (x86)\AstroGrep\AstroGrep.exe" /spath="%USERPROFILE%\AppData\Local\Temp\OnboardLogs" /stypes="*4014*20160816*" /stext=" 22:.+((SYSTEM_STATE.+slice.+state.+changed )|(ment ac)|(system.+state.+changed )|(\|lc)|(penalty)|(\[timeout)|(PRM\|1\|D)|(kpr)|(kdp))" /e /r /s</v>
      </c>
      <c r="AG193" s="1" t="str">
        <f t="shared" si="127"/>
        <v>NW</v>
      </c>
      <c r="AH193" s="105" t="str">
        <f t="shared" si="100"/>
        <v>"%USERPROFILE%\Documents\GitHub\eaglep3\Utilities\RefineRTDCRunTimes.py" --tripid 829-16 --locoid 4014 --swversion DE.1.0.7.0 --startMP 204:971 --initTime 2016-08-16T16:14:43 --startdatetime 2016-08-16T16:16:38 --delay 1 --endMP 300:58916 --enddatetime 2016-08-16T16:34:10 --enforcementcount 1</v>
      </c>
    </row>
    <row r="194" spans="1:34" x14ac:dyDescent="0.25">
      <c r="A194" s="40" t="s">
        <v>614</v>
      </c>
      <c r="B194" s="7">
        <v>4013</v>
      </c>
      <c r="C194" s="25" t="s">
        <v>119</v>
      </c>
      <c r="D194" s="25" t="s">
        <v>271</v>
      </c>
      <c r="E194" s="16">
        <v>42598.691458333335</v>
      </c>
      <c r="F194" s="16">
        <v>42598.692256944443</v>
      </c>
      <c r="G194" s="7">
        <v>1</v>
      </c>
      <c r="H194" s="16" t="s">
        <v>615</v>
      </c>
      <c r="I194" s="16">
        <v>42598.705740740741</v>
      </c>
      <c r="J194" s="7">
        <v>1</v>
      </c>
      <c r="K194" s="142" t="str">
        <f t="shared" si="119"/>
        <v>4013/4014</v>
      </c>
      <c r="L194" s="25" t="str">
        <f>VLOOKUP(A194,'Trips&amp;Operators'!$C$1:$E$10000,3,FALSE)</f>
        <v>BRUDER</v>
      </c>
      <c r="M194" s="6">
        <f t="shared" si="120"/>
        <v>1.3483796297805384E-2</v>
      </c>
      <c r="N194" s="7">
        <f t="shared" si="138"/>
        <v>19.416666668839753</v>
      </c>
      <c r="O194" s="7"/>
      <c r="P194" s="7"/>
      <c r="Q194" s="26"/>
      <c r="R194" s="26"/>
      <c r="S194" s="38">
        <f t="shared" si="121"/>
        <v>1</v>
      </c>
      <c r="T194" s="53" t="str">
        <f t="shared" si="122"/>
        <v>Southbound</v>
      </c>
      <c r="U194" s="13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15:35:42-0600',mode:absolute,to:'2016-08-16 17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4" s="55" t="str">
        <f t="shared" si="123"/>
        <v>N</v>
      </c>
      <c r="X194" s="129">
        <f t="shared" si="135"/>
        <v>1</v>
      </c>
      <c r="Y194" s="70">
        <f t="shared" si="130"/>
        <v>5.8601999999999999</v>
      </c>
      <c r="Z194" s="70">
        <f t="shared" si="136"/>
        <v>6.7799999999999999E-2</v>
      </c>
      <c r="AA194" s="70">
        <f t="shared" si="125"/>
        <v>5.7923999999999998</v>
      </c>
      <c r="AB194" s="67" t="e">
        <f>VLOOKUP(A194,Enforcements!$C$7:$J$24,8,0)</f>
        <v>#N/A</v>
      </c>
      <c r="AC194" s="63" t="e">
        <f>VLOOKUP(A194,Enforcements!$C$7:$E$24,3,0)</f>
        <v>#N/A</v>
      </c>
      <c r="AD194" s="64" t="str">
        <f t="shared" si="126"/>
        <v>0830-16</v>
      </c>
      <c r="AE194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94" s="101" t="str">
        <f t="shared" si="99"/>
        <v>"C:\Program Files (x86)\AstroGrep\AstroGrep.exe" /spath="%USERPROFILE%\AppData\Local\Temp\OnboardLogs" /stypes="*4013*20160816*" /stext=" 22:.+((SYSTEM_STATE.+slice.+state.+changed )|(ment ac)|(system.+state.+changed )|(\|lc)|(penalty)|(\[timeout)|(PRM\|1\|D)|(kpr)|(kdp))" /e /r /s</v>
      </c>
      <c r="AG194" s="1" t="str">
        <f t="shared" si="127"/>
        <v>NW</v>
      </c>
      <c r="AH194" s="105" t="str">
        <f t="shared" si="100"/>
        <v>"%USERPROFILE%\Documents\GitHub\eaglep3\Utilities\RefineRTDCRunTimes.py" --tripid 830-16 --locoid 4013 --swversion DE.1.0.7.0 --startMP 300:58602 --initTime 2016-08-16T16:35:42 --startdatetime 2016-08-16T16:36:51 --delay 1 --endMP 204:678 --enddatetime 2016-08-16T16:56:16 --enforcementcount 1</v>
      </c>
    </row>
    <row r="195" spans="1:34" x14ac:dyDescent="0.25">
      <c r="A195" s="40" t="s">
        <v>616</v>
      </c>
      <c r="B195" s="7">
        <v>4002</v>
      </c>
      <c r="C195" s="25" t="s">
        <v>119</v>
      </c>
      <c r="D195" s="25" t="s">
        <v>617</v>
      </c>
      <c r="E195" s="16">
        <v>42598.692465277774</v>
      </c>
      <c r="F195" s="16">
        <v>42598.693564814814</v>
      </c>
      <c r="G195" s="7">
        <v>1</v>
      </c>
      <c r="H195" s="16" t="s">
        <v>246</v>
      </c>
      <c r="I195" s="16">
        <v>42598.713530092595</v>
      </c>
      <c r="J195" s="7">
        <v>1</v>
      </c>
      <c r="K195" s="142" t="str">
        <f t="shared" ref="K195:K225" si="139">IF(ISEVEN(B195),(B195-1)&amp;"/"&amp;B195,B195&amp;"/"&amp;(B195+1))</f>
        <v>4001/4002</v>
      </c>
      <c r="L195" s="25" t="str">
        <f>VLOOKUP(A195,'Trips&amp;Operators'!$C$1:$E$10000,3,FALSE)</f>
        <v>STURGEON</v>
      </c>
      <c r="M195" s="6">
        <f t="shared" ref="M195:M225" si="140">I195-F195</f>
        <v>1.9965277781011537E-2</v>
      </c>
      <c r="N195" s="7">
        <f t="shared" si="138"/>
        <v>28.750000004656613</v>
      </c>
      <c r="O195" s="7"/>
      <c r="P195" s="7"/>
      <c r="Q195" s="26"/>
      <c r="R195" s="26"/>
      <c r="S195" s="38">
        <f t="shared" ref="S195:S225" si="141">SUM(U195:U195)/IF(AG195="EC",12,1)</f>
        <v>1</v>
      </c>
      <c r="T195" s="53" t="str">
        <f t="shared" ref="T195:T225" si="142">IF(ISEVEN(LEFT(AD195,4)),"Southbound","NorthBound")</f>
        <v>NorthBound</v>
      </c>
      <c r="U195" s="13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15:37:09-0600',mode:absolute,to:'2016-08-16 18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5" s="55" t="str">
        <f t="shared" ref="W195:W225" si="143">IF(AA195&lt;IF(AG195="EC",23,5.65),"Y","N")</f>
        <v>N</v>
      </c>
      <c r="X195" s="129">
        <f t="shared" si="135"/>
        <v>1</v>
      </c>
      <c r="Y195" s="70">
        <f t="shared" si="130"/>
        <v>9.9699999999999997E-2</v>
      </c>
      <c r="Z195" s="70">
        <f t="shared" si="136"/>
        <v>5.8924000000000003</v>
      </c>
      <c r="AA195" s="70">
        <f t="shared" ref="AA195:AA226" si="144">ABS(Z195-Y195)</f>
        <v>5.7927</v>
      </c>
      <c r="AB195" s="67" t="e">
        <f>VLOOKUP(A195,Enforcements!$C$7:$J$24,8,0)</f>
        <v>#N/A</v>
      </c>
      <c r="AC195" s="63" t="e">
        <f>VLOOKUP(A195,Enforcements!$C$7:$E$24,3,0)</f>
        <v>#N/A</v>
      </c>
      <c r="AD195" s="64" t="str">
        <f t="shared" ref="AD195:AD225" si="145">IF(LEN(A195)=6,"0"&amp;A195,A195)</f>
        <v>0831-16</v>
      </c>
      <c r="AE195" s="104" t="str">
        <f t="shared" si="98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195" s="101" t="str">
        <f t="shared" si="99"/>
        <v>"C:\Program Files (x86)\AstroGrep\AstroGrep.exe" /spath="%USERPROFILE%\AppData\Local\Temp\OnboardLogs" /stypes="*4002*20160816*" /stext=" 23:.+((SYSTEM_STATE.+slice.+state.+changed )|(ment ac)|(system.+state.+changed )|(\|lc)|(penalty)|(\[timeout)|(PRM\|1\|D)|(kpr)|(kdp))" /e /r /s</v>
      </c>
      <c r="AG195" s="1" t="str">
        <f t="shared" ref="AG195:AG225" si="146">IFERROR(IF(VALUE(LEFT(AD195,2))&lt;=2,"EC",IF(OR(VALUE(LEFT(AD195,2))=8,VALUE(LEFT(AD195,2))=18),"NW","Other")),"Other")</f>
        <v>NW</v>
      </c>
      <c r="AH195" s="105" t="str">
        <f t="shared" si="100"/>
        <v>"%USERPROFILE%\Documents\GitHub\eaglep3\Utilities\RefineRTDCRunTimes.py" --tripid 831-16 --locoid 4002 --swversion DE.1.0.7.0 --startMP 204:997 --initTime 2016-08-16T16:37:09 --startdatetime 2016-08-16T16:38:44 --delay 1 --endMP 300:58924 --enddatetime 2016-08-16T17:07:29 --enforcementcount 1</v>
      </c>
    </row>
    <row r="196" spans="1:34" x14ac:dyDescent="0.25">
      <c r="A196" s="40" t="s">
        <v>618</v>
      </c>
      <c r="B196" s="7">
        <v>4001</v>
      </c>
      <c r="C196" s="25" t="s">
        <v>119</v>
      </c>
      <c r="D196" s="25" t="s">
        <v>619</v>
      </c>
      <c r="E196" s="16">
        <v>42598.714641203704</v>
      </c>
      <c r="F196" s="16">
        <v>42598.715590277781</v>
      </c>
      <c r="G196" s="7">
        <v>1</v>
      </c>
      <c r="H196" s="16" t="s">
        <v>620</v>
      </c>
      <c r="I196" s="16">
        <v>42598.726631944446</v>
      </c>
      <c r="J196" s="7">
        <v>1</v>
      </c>
      <c r="K196" s="142" t="str">
        <f t="shared" si="139"/>
        <v>4001/4002</v>
      </c>
      <c r="L196" s="25" t="str">
        <f>VLOOKUP(A196,'Trips&amp;Operators'!$C$1:$E$10000,3,FALSE)</f>
        <v>STURGEON</v>
      </c>
      <c r="M196" s="6">
        <f t="shared" si="140"/>
        <v>1.1041666664823424E-2</v>
      </c>
      <c r="N196" s="7">
        <f t="shared" si="138"/>
        <v>15.899999997345731</v>
      </c>
      <c r="O196" s="7"/>
      <c r="P196" s="7"/>
      <c r="Q196" s="26"/>
      <c r="R196" s="26"/>
      <c r="S196" s="38">
        <f t="shared" si="141"/>
        <v>1</v>
      </c>
      <c r="T196" s="53" t="str">
        <f t="shared" si="142"/>
        <v>Southbound</v>
      </c>
      <c r="U196" s="13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16:09:05-0600',mode:absolute,to:'2016-08-16 18:26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96" s="55" t="str">
        <f t="shared" si="143"/>
        <v>N</v>
      </c>
      <c r="X196" s="129">
        <f t="shared" si="135"/>
        <v>1</v>
      </c>
      <c r="Y196" s="70">
        <f t="shared" ref="Y196:Y225" si="147">RIGHT(D196,LEN(D196)-4)/10000</f>
        <v>5.8609</v>
      </c>
      <c r="Z196" s="70">
        <f t="shared" si="136"/>
        <v>6.9900000000000004E-2</v>
      </c>
      <c r="AA196" s="70">
        <f t="shared" si="144"/>
        <v>5.7910000000000004</v>
      </c>
      <c r="AB196" s="67" t="e">
        <f>VLOOKUP(A196,Enforcements!$C$7:$J$24,8,0)</f>
        <v>#N/A</v>
      </c>
      <c r="AC196" s="63" t="e">
        <f>VLOOKUP(A196,Enforcements!$C$7:$E$24,3,0)</f>
        <v>#N/A</v>
      </c>
      <c r="AD196" s="64" t="str">
        <f t="shared" si="145"/>
        <v>0832-16</v>
      </c>
      <c r="AE196" s="104" t="str">
        <f t="shared" si="98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196" s="101" t="str">
        <f t="shared" si="99"/>
        <v>"C:\Program Files (x86)\AstroGrep\AstroGrep.exe" /spath="%USERPROFILE%\AppData\Local\Temp\OnboardLogs" /stypes="*4001*20160816*" /stext=" 23:.+((SYSTEM_STATE.+slice.+state.+changed )|(ment ac)|(system.+state.+changed )|(\|lc)|(penalty)|(\[timeout)|(PRM\|1\|D)|(kpr)|(kdp))" /e /r /s</v>
      </c>
      <c r="AG196" s="1" t="str">
        <f t="shared" si="146"/>
        <v>NW</v>
      </c>
      <c r="AH196" s="105" t="str">
        <f t="shared" si="100"/>
        <v>"%USERPROFILE%\Documents\GitHub\eaglep3\Utilities\RefineRTDCRunTimes.py" --tripid 832-16 --locoid 4001 --swversion DE.1.0.7.0 --startMP 300:58609 --initTime 2016-08-16T17:09:05 --startdatetime 2016-08-16T17:10:27 --delay 1 --endMP 204:699 --enddatetime 2016-08-16T17:26:21 --enforcementcount 1</v>
      </c>
    </row>
    <row r="197" spans="1:34" x14ac:dyDescent="0.25">
      <c r="A197" s="40" t="s">
        <v>621</v>
      </c>
      <c r="B197" s="7">
        <v>4014</v>
      </c>
      <c r="C197" s="25" t="s">
        <v>119</v>
      </c>
      <c r="D197" s="25" t="s">
        <v>622</v>
      </c>
      <c r="E197" s="16">
        <v>42598.71603009259</v>
      </c>
      <c r="F197" s="16">
        <v>42598.716898148145</v>
      </c>
      <c r="G197" s="7">
        <v>1</v>
      </c>
      <c r="H197" s="16" t="s">
        <v>272</v>
      </c>
      <c r="I197" s="16">
        <v>42598.732465277775</v>
      </c>
      <c r="J197" s="7">
        <v>1</v>
      </c>
      <c r="K197" s="142" t="str">
        <f t="shared" si="139"/>
        <v>4013/4014</v>
      </c>
      <c r="L197" s="25" t="str">
        <f>VLOOKUP(A197,'Trips&amp;Operators'!$C$1:$E$10000,3,FALSE)</f>
        <v>BRUDER</v>
      </c>
      <c r="M197" s="6">
        <f t="shared" si="140"/>
        <v>1.5567129630653653E-2</v>
      </c>
      <c r="N197" s="7">
        <f t="shared" si="138"/>
        <v>22.416666668141261</v>
      </c>
      <c r="O197" s="7"/>
      <c r="P197" s="7"/>
      <c r="Q197" s="26"/>
      <c r="R197" s="26"/>
      <c r="S197" s="38">
        <f t="shared" si="141"/>
        <v>1</v>
      </c>
      <c r="T197" s="53" t="str">
        <f t="shared" si="142"/>
        <v>NorthBound</v>
      </c>
      <c r="U197" s="13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16:11:05-0600',mode:absolute,to:'2016-08-16 18:34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7" s="55" t="str">
        <f t="shared" si="143"/>
        <v>N</v>
      </c>
      <c r="X197" s="129">
        <f t="shared" si="135"/>
        <v>1</v>
      </c>
      <c r="Y197" s="70">
        <f t="shared" si="147"/>
        <v>9.74E-2</v>
      </c>
      <c r="Z197" s="70">
        <f t="shared" si="136"/>
        <v>5.8914</v>
      </c>
      <c r="AA197" s="70">
        <f t="shared" si="144"/>
        <v>5.7939999999999996</v>
      </c>
      <c r="AB197" s="67" t="e">
        <f>VLOOKUP(A197,Enforcements!$C$7:$J$24,8,0)</f>
        <v>#N/A</v>
      </c>
      <c r="AC197" s="63" t="e">
        <f>VLOOKUP(A197,Enforcements!$C$7:$E$24,3,0)</f>
        <v>#N/A</v>
      </c>
      <c r="AD197" s="64" t="str">
        <f t="shared" si="145"/>
        <v>0833-16</v>
      </c>
      <c r="AE197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197" s="101" t="str">
        <f t="shared" si="99"/>
        <v>"C:\Program Files (x86)\AstroGrep\AstroGrep.exe" /spath="%USERPROFILE%\AppData\Local\Temp\OnboardLogs" /stypes="*4014*20160816*" /stext=" 23:.+((SYSTEM_STATE.+slice.+state.+changed )|(ment ac)|(system.+state.+changed )|(\|lc)|(penalty)|(\[timeout)|(PRM\|1\|D)|(kpr)|(kdp))" /e /r /s</v>
      </c>
      <c r="AG197" s="1" t="str">
        <f t="shared" si="146"/>
        <v>NW</v>
      </c>
      <c r="AH197" s="105" t="str">
        <f t="shared" si="100"/>
        <v>"%USERPROFILE%\Documents\GitHub\eaglep3\Utilities\RefineRTDCRunTimes.py" --tripid 833-16 --locoid 4014 --swversion DE.1.0.7.0 --startMP 204:974 --initTime 2016-08-16T17:11:05 --startdatetime 2016-08-16T17:12:20 --delay 1 --endMP 300:58914 --enddatetime 2016-08-16T17:34:45 --enforcementcount 1</v>
      </c>
    </row>
    <row r="198" spans="1:34" x14ac:dyDescent="0.25">
      <c r="A198" s="40" t="s">
        <v>623</v>
      </c>
      <c r="B198" s="7">
        <v>4013</v>
      </c>
      <c r="C198" s="25" t="s">
        <v>119</v>
      </c>
      <c r="D198" s="25" t="s">
        <v>565</v>
      </c>
      <c r="E198" s="16">
        <v>42598.733622685184</v>
      </c>
      <c r="F198" s="16">
        <v>42598.7344212963</v>
      </c>
      <c r="G198" s="7">
        <v>1</v>
      </c>
      <c r="H198" s="16" t="s">
        <v>267</v>
      </c>
      <c r="I198" s="16">
        <v>42598.746631944443</v>
      </c>
      <c r="J198" s="7">
        <v>1</v>
      </c>
      <c r="K198" s="142" t="str">
        <f t="shared" si="139"/>
        <v>4013/4014</v>
      </c>
      <c r="L198" s="25" t="str">
        <f>VLOOKUP(A198,'Trips&amp;Operators'!$C$1:$E$10000,3,FALSE)</f>
        <v>BRUDER</v>
      </c>
      <c r="M198" s="6">
        <f t="shared" si="140"/>
        <v>1.2210648143081926E-2</v>
      </c>
      <c r="N198" s="7">
        <f t="shared" si="138"/>
        <v>17.583333326037973</v>
      </c>
      <c r="O198" s="7"/>
      <c r="P198" s="7"/>
      <c r="Q198" s="26"/>
      <c r="R198" s="26"/>
      <c r="S198" s="38">
        <f t="shared" si="141"/>
        <v>1</v>
      </c>
      <c r="T198" s="53" t="str">
        <f t="shared" si="142"/>
        <v>Southbound</v>
      </c>
      <c r="U198" s="13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16:36:25-0600',mode:absolute,to:'2016-08-16 18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98" s="55" t="str">
        <f t="shared" si="143"/>
        <v>N</v>
      </c>
      <c r="X198" s="129">
        <f t="shared" si="135"/>
        <v>1</v>
      </c>
      <c r="Y198" s="70">
        <f t="shared" si="147"/>
        <v>5.8593999999999999</v>
      </c>
      <c r="Z198" s="70">
        <f t="shared" si="136"/>
        <v>6.8000000000000005E-2</v>
      </c>
      <c r="AA198" s="70">
        <f t="shared" si="144"/>
        <v>5.7914000000000003</v>
      </c>
      <c r="AB198" s="67" t="e">
        <f>VLOOKUP(A198,Enforcements!$C$7:$J$24,8,0)</f>
        <v>#N/A</v>
      </c>
      <c r="AC198" s="63" t="e">
        <f>VLOOKUP(A198,Enforcements!$C$7:$E$24,3,0)</f>
        <v>#N/A</v>
      </c>
      <c r="AD198" s="64" t="str">
        <f t="shared" si="145"/>
        <v>0834-16</v>
      </c>
      <c r="AE198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198" s="101" t="str">
        <f t="shared" si="99"/>
        <v>"C:\Program Files (x86)\AstroGrep\AstroGrep.exe" /spath="%USERPROFILE%\AppData\Local\Temp\OnboardLogs" /stypes="*4013*20160816*" /stext=" 23:.+((SYSTEM_STATE.+slice.+state.+changed )|(ment ac)|(system.+state.+changed )|(\|lc)|(penalty)|(\[timeout)|(PRM\|1\|D)|(kpr)|(kdp))" /e /r /s</v>
      </c>
      <c r="AG198" s="1" t="str">
        <f t="shared" si="146"/>
        <v>NW</v>
      </c>
      <c r="AH198" s="105" t="str">
        <f t="shared" si="100"/>
        <v>"%USERPROFILE%\Documents\GitHub\eaglep3\Utilities\RefineRTDCRunTimes.py" --tripid 834-16 --locoid 4013 --swversion DE.1.0.7.0 --startMP 300:58594 --initTime 2016-08-16T17:36:25 --startdatetime 2016-08-16T17:37:34 --delay 1 --endMP 204:680 --enddatetime 2016-08-16T17:55:09 --enforcementcount 1</v>
      </c>
    </row>
    <row r="199" spans="1:34" x14ac:dyDescent="0.25">
      <c r="A199" s="40" t="s">
        <v>624</v>
      </c>
      <c r="B199" s="7">
        <v>4002</v>
      </c>
      <c r="C199" s="25" t="s">
        <v>119</v>
      </c>
      <c r="D199" s="25" t="s">
        <v>617</v>
      </c>
      <c r="E199" s="16">
        <v>42598.740694444445</v>
      </c>
      <c r="F199" s="16">
        <v>42598.741712962961</v>
      </c>
      <c r="G199" s="7">
        <v>1</v>
      </c>
      <c r="H199" s="16" t="s">
        <v>625</v>
      </c>
      <c r="I199" s="16">
        <v>42598.754710648151</v>
      </c>
      <c r="J199" s="7">
        <v>1</v>
      </c>
      <c r="K199" s="142" t="str">
        <f t="shared" si="139"/>
        <v>4001/4002</v>
      </c>
      <c r="L199" s="25" t="str">
        <f>VLOOKUP(A199,'Trips&amp;Operators'!$C$1:$E$10000,3,FALSE)</f>
        <v>STURGEON</v>
      </c>
      <c r="M199" s="6">
        <f t="shared" si="140"/>
        <v>1.2997685189475305E-2</v>
      </c>
      <c r="N199" s="7">
        <f t="shared" si="138"/>
        <v>18.71666667284444</v>
      </c>
      <c r="O199" s="7"/>
      <c r="P199" s="7"/>
      <c r="Q199" s="26"/>
      <c r="R199" s="26"/>
      <c r="S199" s="38">
        <f t="shared" si="141"/>
        <v>1</v>
      </c>
      <c r="T199" s="53" t="str">
        <f t="shared" si="142"/>
        <v>NorthBound</v>
      </c>
      <c r="U199" s="13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16:46:36-0600',mode:absolute,to:'2016-08-16 19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9" s="55" t="str">
        <f t="shared" si="143"/>
        <v>N</v>
      </c>
      <c r="X199" s="129">
        <f t="shared" si="135"/>
        <v>1</v>
      </c>
      <c r="Y199" s="70">
        <f t="shared" si="147"/>
        <v>9.9699999999999997E-2</v>
      </c>
      <c r="Z199" s="70">
        <f t="shared" si="136"/>
        <v>5.8912000000000004</v>
      </c>
      <c r="AA199" s="70">
        <f t="shared" si="144"/>
        <v>5.7915000000000001</v>
      </c>
      <c r="AB199" s="67" t="e">
        <f>VLOOKUP(A199,Enforcements!$C$7:$J$24,8,0)</f>
        <v>#N/A</v>
      </c>
      <c r="AC199" s="63" t="e">
        <f>VLOOKUP(A199,Enforcements!$C$7:$E$24,3,0)</f>
        <v>#N/A</v>
      </c>
      <c r="AD199" s="64" t="str">
        <f t="shared" si="145"/>
        <v>0835-16</v>
      </c>
      <c r="AE199" s="104" t="str">
        <f t="shared" si="98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199" s="101" t="str">
        <f t="shared" si="99"/>
        <v>"C:\Program Files (x86)\AstroGrep\AstroGrep.exe" /spath="%USERPROFILE%\AppData\Local\Temp\OnboardLogs" /stypes="*4002*20160817*" /stext=" 00:.+((SYSTEM_STATE.+slice.+state.+changed )|(ment ac)|(system.+state.+changed )|(\|lc)|(penalty)|(\[timeout)|(PRM\|1\|D)|(kpr)|(kdp))" /e /r /s</v>
      </c>
      <c r="AG199" s="1" t="str">
        <f t="shared" si="146"/>
        <v>NW</v>
      </c>
      <c r="AH199" s="105" t="str">
        <f t="shared" si="100"/>
        <v>"%USERPROFILE%\Documents\GitHub\eaglep3\Utilities\RefineRTDCRunTimes.py" --tripid 835-16 --locoid 4002 --swversion DE.1.0.7.0 --startMP 204:997 --initTime 2016-08-16T17:46:36 --startdatetime 2016-08-16T17:48:04 --delay 1 --endMP 300:58912 --enddatetime 2016-08-16T18:06:47 --enforcementcount 1</v>
      </c>
    </row>
    <row r="200" spans="1:34" x14ac:dyDescent="0.25">
      <c r="A200" s="40" t="s">
        <v>626</v>
      </c>
      <c r="B200" s="7">
        <v>4001</v>
      </c>
      <c r="C200" s="25" t="s">
        <v>119</v>
      </c>
      <c r="D200" s="25" t="s">
        <v>585</v>
      </c>
      <c r="E200" s="16">
        <v>42598.75582175926</v>
      </c>
      <c r="F200" s="16">
        <v>42598.75681712963</v>
      </c>
      <c r="G200" s="7">
        <v>1</v>
      </c>
      <c r="H200" s="16" t="s">
        <v>627</v>
      </c>
      <c r="I200" s="16">
        <v>42598.768217592595</v>
      </c>
      <c r="J200" s="7">
        <v>1</v>
      </c>
      <c r="K200" s="142" t="str">
        <f t="shared" si="139"/>
        <v>4001/4002</v>
      </c>
      <c r="L200" s="25" t="str">
        <f>VLOOKUP(A200,'Trips&amp;Operators'!$C$1:$E$10000,3,FALSE)</f>
        <v>STURGEON</v>
      </c>
      <c r="M200" s="6">
        <f t="shared" si="140"/>
        <v>1.1400462964957114E-2</v>
      </c>
      <c r="N200" s="7">
        <f t="shared" si="138"/>
        <v>16.416666669538245</v>
      </c>
      <c r="O200" s="7"/>
      <c r="P200" s="7"/>
      <c r="Q200" s="26"/>
      <c r="R200" s="26"/>
      <c r="S200" s="38">
        <f t="shared" si="141"/>
        <v>1</v>
      </c>
      <c r="T200" s="53" t="str">
        <f t="shared" si="142"/>
        <v>Southbound</v>
      </c>
      <c r="U200" s="13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17:08:23-0600',mode:absolute,to:'2016-08-16 19:26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00" s="55" t="str">
        <f t="shared" si="143"/>
        <v>N</v>
      </c>
      <c r="X200" s="129">
        <f t="shared" si="135"/>
        <v>1</v>
      </c>
      <c r="Y200" s="70">
        <f t="shared" si="147"/>
        <v>5.8592000000000004</v>
      </c>
      <c r="Z200" s="70">
        <f t="shared" si="136"/>
        <v>7.2400000000000006E-2</v>
      </c>
      <c r="AA200" s="70">
        <f t="shared" si="144"/>
        <v>5.7868000000000004</v>
      </c>
      <c r="AB200" s="67" t="e">
        <f>VLOOKUP(A200,Enforcements!$C$7:$J$24,8,0)</f>
        <v>#N/A</v>
      </c>
      <c r="AC200" s="63" t="e">
        <f>VLOOKUP(A200,Enforcements!$C$7:$E$24,3,0)</f>
        <v>#N/A</v>
      </c>
      <c r="AD200" s="64" t="str">
        <f t="shared" si="145"/>
        <v>0836-16</v>
      </c>
      <c r="AE200" s="104" t="str">
        <f t="shared" si="98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200" s="101" t="str">
        <f t="shared" si="99"/>
        <v>"C:\Program Files (x86)\AstroGrep\AstroGrep.exe" /spath="%USERPROFILE%\AppData\Local\Temp\OnboardLogs" /stypes="*4001*20160817*" /stext=" 00:.+((SYSTEM_STATE.+slice.+state.+changed )|(ment ac)|(system.+state.+changed )|(\|lc)|(penalty)|(\[timeout)|(PRM\|1\|D)|(kpr)|(kdp))" /e /r /s</v>
      </c>
      <c r="AG200" s="1" t="str">
        <f t="shared" si="146"/>
        <v>NW</v>
      </c>
      <c r="AH200" s="105" t="str">
        <f t="shared" si="100"/>
        <v>"%USERPROFILE%\Documents\GitHub\eaglep3\Utilities\RefineRTDCRunTimes.py" --tripid 836-16 --locoid 4001 --swversion DE.1.0.7.0 --startMP 300:58592 --initTime 2016-08-16T18:08:23 --startdatetime 2016-08-16T18:09:49 --delay 1 --endMP 204:724 --enddatetime 2016-08-16T18:26:14 --enforcementcount 1</v>
      </c>
    </row>
    <row r="201" spans="1:34" x14ac:dyDescent="0.25">
      <c r="A201" s="40" t="s">
        <v>628</v>
      </c>
      <c r="B201" s="7">
        <v>4014</v>
      </c>
      <c r="C201" s="25" t="s">
        <v>119</v>
      </c>
      <c r="D201" s="25" t="s">
        <v>622</v>
      </c>
      <c r="E201" s="16">
        <v>42598.760439814818</v>
      </c>
      <c r="F201" s="16">
        <v>42598.76153935185</v>
      </c>
      <c r="G201" s="7">
        <v>1</v>
      </c>
      <c r="H201" s="16" t="s">
        <v>270</v>
      </c>
      <c r="I201" s="16">
        <v>42598.773611111108</v>
      </c>
      <c r="J201" s="7">
        <v>1</v>
      </c>
      <c r="K201" s="142" t="str">
        <f t="shared" si="139"/>
        <v>4013/4014</v>
      </c>
      <c r="L201" s="25" t="str">
        <f>VLOOKUP(A201,'Trips&amp;Operators'!$C$1:$E$10000,3,FALSE)</f>
        <v>BRUDER</v>
      </c>
      <c r="M201" s="6">
        <f t="shared" si="140"/>
        <v>1.2071759258105885E-2</v>
      </c>
      <c r="N201" s="7">
        <f t="shared" si="138"/>
        <v>17.383333331672475</v>
      </c>
      <c r="O201" s="7"/>
      <c r="P201" s="7"/>
      <c r="Q201" s="26"/>
      <c r="R201" s="26"/>
      <c r="S201" s="38">
        <f t="shared" si="141"/>
        <v>1</v>
      </c>
      <c r="T201" s="53" t="str">
        <f t="shared" si="142"/>
        <v>NorthBound</v>
      </c>
      <c r="U201" s="13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17:15:02-0600',mode:absolute,to:'2016-08-16 19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1" s="55" t="str">
        <f t="shared" si="143"/>
        <v>N</v>
      </c>
      <c r="X201" s="129">
        <f t="shared" si="135"/>
        <v>1</v>
      </c>
      <c r="Y201" s="70">
        <f t="shared" si="147"/>
        <v>9.74E-2</v>
      </c>
      <c r="Z201" s="70">
        <f t="shared" si="136"/>
        <v>5.8917999999999999</v>
      </c>
      <c r="AA201" s="70">
        <f t="shared" si="144"/>
        <v>5.7943999999999996</v>
      </c>
      <c r="AB201" s="67" t="e">
        <f>VLOOKUP(A201,Enforcements!$C$7:$J$24,8,0)</f>
        <v>#N/A</v>
      </c>
      <c r="AC201" s="63" t="e">
        <f>VLOOKUP(A201,Enforcements!$C$7:$E$24,3,0)</f>
        <v>#N/A</v>
      </c>
      <c r="AD201" s="64" t="str">
        <f t="shared" si="145"/>
        <v>0837-16</v>
      </c>
      <c r="AE201" s="104" t="str">
        <f t="shared" si="98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201" s="101" t="str">
        <f t="shared" si="99"/>
        <v>"C:\Program Files (x86)\AstroGrep\AstroGrep.exe" /spath="%USERPROFILE%\AppData\Local\Temp\OnboardLogs" /stypes="*4014*20160817*" /stext=" 00:.+((SYSTEM_STATE.+slice.+state.+changed )|(ment ac)|(system.+state.+changed )|(\|lc)|(penalty)|(\[timeout)|(PRM\|1\|D)|(kpr)|(kdp))" /e /r /s</v>
      </c>
      <c r="AG201" s="1" t="str">
        <f t="shared" si="146"/>
        <v>NW</v>
      </c>
      <c r="AH201" s="105" t="str">
        <f t="shared" si="100"/>
        <v>"%USERPROFILE%\Documents\GitHub\eaglep3\Utilities\RefineRTDCRunTimes.py" --tripid 837-16 --locoid 4014 --swversion DE.1.0.7.0 --startMP 204:974 --initTime 2016-08-16T18:15:02 --startdatetime 2016-08-16T18:16:37 --delay 1 --endMP 300:58918 --enddatetime 2016-08-16T18:34:00 --enforcementcount 1</v>
      </c>
    </row>
    <row r="202" spans="1:34" x14ac:dyDescent="0.25">
      <c r="A202" s="40" t="s">
        <v>629</v>
      </c>
      <c r="B202" s="7">
        <v>4013</v>
      </c>
      <c r="C202" s="25" t="s">
        <v>119</v>
      </c>
      <c r="D202" s="25" t="s">
        <v>266</v>
      </c>
      <c r="E202" s="16">
        <v>42598.774687500001</v>
      </c>
      <c r="F202" s="16">
        <v>42598.776041666664</v>
      </c>
      <c r="G202" s="7">
        <v>1</v>
      </c>
      <c r="H202" s="16" t="s">
        <v>630</v>
      </c>
      <c r="I202" s="16">
        <v>42598.788275462961</v>
      </c>
      <c r="J202" s="7">
        <v>1</v>
      </c>
      <c r="K202" s="142" t="str">
        <f t="shared" si="139"/>
        <v>4013/4014</v>
      </c>
      <c r="L202" s="25" t="str">
        <f>VLOOKUP(A202,'Trips&amp;Operators'!$C$1:$E$10000,3,FALSE)</f>
        <v>BRUDER</v>
      </c>
      <c r="M202" s="6">
        <f t="shared" si="140"/>
        <v>1.2233796296641231E-2</v>
      </c>
      <c r="N202" s="7">
        <f t="shared" si="138"/>
        <v>17.616666667163372</v>
      </c>
      <c r="O202" s="7"/>
      <c r="P202" s="7"/>
      <c r="Q202" s="26"/>
      <c r="R202" s="26"/>
      <c r="S202" s="38">
        <f t="shared" si="141"/>
        <v>1</v>
      </c>
      <c r="T202" s="53" t="str">
        <f t="shared" si="142"/>
        <v>Southbound</v>
      </c>
      <c r="U202" s="13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1" t="str">
        <f t="shared" si="97"/>
        <v>https://search-rtdc-monitor-bjffxe2xuh6vdkpspy63sjmuny.us-east-1.es.amazonaws.com/_plugin/kibana/#/discover/Steve-Slow-Train-Analysis-(2080s-and-2083s)?_g=(refreshInterval:(display:Off,section:0,value:0),time:(from:'2016-08-16 17:35:33-0600',mode:absolute,to:'2016-08-16 19:55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2" s="55" t="str">
        <f t="shared" si="143"/>
        <v>N</v>
      </c>
      <c r="X202" s="129">
        <f t="shared" ref="X202:X207" si="148">VALUE(LEFT(AD202,4))-VALUE(LEFT(AD201,4))</f>
        <v>1</v>
      </c>
      <c r="Y202" s="70">
        <f t="shared" si="147"/>
        <v>5.8608000000000002</v>
      </c>
      <c r="Z202" s="70">
        <f t="shared" si="136"/>
        <v>6.8900000000000003E-2</v>
      </c>
      <c r="AA202" s="70">
        <f t="shared" si="144"/>
        <v>5.7919</v>
      </c>
      <c r="AB202" s="67" t="e">
        <f>VLOOKUP(A202,Enforcements!$C$7:$J$24,8,0)</f>
        <v>#N/A</v>
      </c>
      <c r="AC202" s="63" t="e">
        <f>VLOOKUP(A202,Enforcements!$C$7:$E$24,3,0)</f>
        <v>#N/A</v>
      </c>
      <c r="AD202" s="64" t="str">
        <f t="shared" si="145"/>
        <v>0838-16</v>
      </c>
      <c r="AE202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202" s="101" t="str">
        <f t="shared" si="99"/>
        <v>"C:\Program Files (x86)\AstroGrep\AstroGrep.exe" /spath="%USERPROFILE%\AppData\Local\Temp\OnboardLogs" /stypes="*4013*20160817*" /stext=" 00:.+((SYSTEM_STATE.+slice.+state.+changed )|(ment ac)|(system.+state.+changed )|(\|lc)|(penalty)|(\[timeout)|(PRM\|1\|D)|(kpr)|(kdp))" /e /r /s</v>
      </c>
      <c r="AG202" s="1" t="str">
        <f t="shared" si="146"/>
        <v>NW</v>
      </c>
      <c r="AH202" s="105" t="str">
        <f t="shared" si="100"/>
        <v>"%USERPROFILE%\Documents\GitHub\eaglep3\Utilities\RefineRTDCRunTimes.py" --tripid 838-16 --locoid 4013 --swversion DE.1.0.7.0 --startMP 300:58608 --initTime 2016-08-16T18:35:33 --startdatetime 2016-08-16T18:37:30 --delay 1 --endMP 204:689 --enddatetime 2016-08-16T18:55:07 --enforcementcount 1</v>
      </c>
    </row>
    <row r="203" spans="1:34" x14ac:dyDescent="0.25">
      <c r="A203" s="40" t="s">
        <v>631</v>
      </c>
      <c r="B203" s="7">
        <v>4002</v>
      </c>
      <c r="C203" s="25" t="s">
        <v>119</v>
      </c>
      <c r="D203" s="25" t="s">
        <v>632</v>
      </c>
      <c r="E203" s="16">
        <v>42598.774016203701</v>
      </c>
      <c r="F203" s="16">
        <v>42598.77542824074</v>
      </c>
      <c r="G203" s="7">
        <v>2</v>
      </c>
      <c r="H203" s="16" t="s">
        <v>598</v>
      </c>
      <c r="I203" s="16">
        <v>42598.796331018515</v>
      </c>
      <c r="J203" s="7">
        <v>1</v>
      </c>
      <c r="K203" s="142" t="str">
        <f t="shared" si="139"/>
        <v>4001/4002</v>
      </c>
      <c r="L203" s="25" t="str">
        <f>VLOOKUP(A203,'Trips&amp;Operators'!$C$1:$E$10000,3,FALSE)</f>
        <v>STURGEON</v>
      </c>
      <c r="M203" s="6">
        <f t="shared" si="140"/>
        <v>2.0902777774608694E-2</v>
      </c>
      <c r="N203" s="7">
        <f t="shared" si="138"/>
        <v>30.099999995436519</v>
      </c>
      <c r="O203" s="7"/>
      <c r="P203" s="7"/>
      <c r="Q203" s="26"/>
      <c r="R203" s="26"/>
      <c r="S203" s="38">
        <f t="shared" si="141"/>
        <v>1</v>
      </c>
      <c r="T203" s="53" t="str">
        <f t="shared" si="142"/>
        <v>NorthBound</v>
      </c>
      <c r="U203" s="13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1" t="str">
        <f t="shared" ref="V203:V225" si="149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https://search-rtdc-monitor-bjffxe2xuh6vdkpspy63sjmuny.us-east-1.es.amazonaws.com/_plugin/kibana/#/discover/Steve-Slow-Train-Analysis-(2080s-and-2083s)?_g=(refreshInterval:(display:Off,section:0,value:0),time:(from:'2016-08-16 17:34:35-0600',mode:absolute,to:'2016-08-16 20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3" s="55" t="str">
        <f t="shared" si="143"/>
        <v>N</v>
      </c>
      <c r="X203" s="129">
        <f t="shared" si="148"/>
        <v>1</v>
      </c>
      <c r="Y203" s="70">
        <f t="shared" si="147"/>
        <v>0.1002</v>
      </c>
      <c r="Z203" s="70">
        <f t="shared" si="136"/>
        <v>5.8916000000000004</v>
      </c>
      <c r="AA203" s="70">
        <f t="shared" si="144"/>
        <v>5.7914000000000003</v>
      </c>
      <c r="AB203" s="67" t="e">
        <f>VLOOKUP(A203,Enforcements!$C$7:$J$24,8,0)</f>
        <v>#N/A</v>
      </c>
      <c r="AC203" s="63" t="e">
        <f>VLOOKUP(A203,Enforcements!$C$7:$E$24,3,0)</f>
        <v>#N/A</v>
      </c>
      <c r="AD203" s="64" t="str">
        <f t="shared" si="145"/>
        <v>0839-16</v>
      </c>
      <c r="AE203" s="104" t="str">
        <f t="shared" si="98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203" s="101" t="str">
        <f t="shared" si="99"/>
        <v>"C:\Program Files (x86)\AstroGrep\AstroGrep.exe" /spath="%USERPROFILE%\AppData\Local\Temp\OnboardLogs" /stypes="*4002*20160817*" /stext=" 01:.+((SYSTEM_STATE.+slice.+state.+changed )|(ment ac)|(system.+state.+changed )|(\|lc)|(penalty)|(\[timeout)|(PRM\|1\|D)|(kpr)|(kdp))" /e /r /s</v>
      </c>
      <c r="AG203" s="1" t="str">
        <f t="shared" si="146"/>
        <v>NW</v>
      </c>
      <c r="AH203" s="105" t="str">
        <f t="shared" si="100"/>
        <v>"%USERPROFILE%\Documents\GitHub\eaglep3\Utilities\RefineRTDCRunTimes.py" --tripid 839-16 --locoid 4002 --swversion DE.1.0.7.0 --startMP 204:1002 --initTime 2016-08-16T18:34:35 --startdatetime 2016-08-16T18:36:37 --delay 2 --endMP 300:58916 --enddatetime 2016-08-16T19:06:43 --enforcementcount 1</v>
      </c>
    </row>
    <row r="204" spans="1:34" x14ac:dyDescent="0.25">
      <c r="A204" s="40" t="s">
        <v>633</v>
      </c>
      <c r="B204" s="7">
        <v>4013</v>
      </c>
      <c r="C204" s="25" t="s">
        <v>119</v>
      </c>
      <c r="D204" s="25" t="s">
        <v>271</v>
      </c>
      <c r="E204" s="16">
        <v>42598.819432870368</v>
      </c>
      <c r="F204" s="16">
        <v>42598.820173611108</v>
      </c>
      <c r="G204" s="7">
        <v>1</v>
      </c>
      <c r="H204" s="16" t="s">
        <v>608</v>
      </c>
      <c r="I204" s="16">
        <v>42598.830011574071</v>
      </c>
      <c r="J204" s="7">
        <v>1</v>
      </c>
      <c r="K204" s="142" t="str">
        <f t="shared" si="139"/>
        <v>4013/4014</v>
      </c>
      <c r="L204" s="25" t="str">
        <f>VLOOKUP(A204,'Trips&amp;Operators'!$C$1:$E$10000,3,FALSE)</f>
        <v>BRUDER</v>
      </c>
      <c r="M204" s="6">
        <f t="shared" si="140"/>
        <v>9.8379629635019228E-3</v>
      </c>
      <c r="N204" s="7">
        <f t="shared" si="138"/>
        <v>14.166666667442769</v>
      </c>
      <c r="O204" s="7"/>
      <c r="P204" s="7"/>
      <c r="Q204" s="26"/>
      <c r="R204" s="26"/>
      <c r="S204" s="38">
        <f t="shared" si="141"/>
        <v>1</v>
      </c>
      <c r="T204" s="53" t="str">
        <f t="shared" si="142"/>
        <v>Southbound</v>
      </c>
      <c r="U204" s="13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18:39:59-0600',mode:absolute,to:'2016-08-16 20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4" s="55" t="str">
        <f t="shared" si="143"/>
        <v>N</v>
      </c>
      <c r="X204" s="129">
        <f t="shared" si="148"/>
        <v>1</v>
      </c>
      <c r="Y204" s="70">
        <f t="shared" si="147"/>
        <v>5.8601999999999999</v>
      </c>
      <c r="Z204" s="70">
        <f t="shared" si="136"/>
        <v>6.7000000000000004E-2</v>
      </c>
      <c r="AA204" s="70">
        <f t="shared" si="144"/>
        <v>5.7931999999999997</v>
      </c>
      <c r="AB204" s="67" t="e">
        <f>VLOOKUP(A204,Enforcements!$C$7:$J$24,8,0)</f>
        <v>#N/A</v>
      </c>
      <c r="AC204" s="63" t="e">
        <f>VLOOKUP(A204,Enforcements!$C$7:$E$24,3,0)</f>
        <v>#N/A</v>
      </c>
      <c r="AD204" s="64" t="str">
        <f t="shared" si="145"/>
        <v>0840-16</v>
      </c>
      <c r="AE204" s="104" t="str">
        <f t="shared" si="98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204" s="101" t="str">
        <f t="shared" si="99"/>
        <v>"C:\Program Files (x86)\AstroGrep\AstroGrep.exe" /spath="%USERPROFILE%\AppData\Local\Temp\OnboardLogs" /stypes="*4013*20160817*" /stext=" 01:.+((SYSTEM_STATE.+slice.+state.+changed )|(ment ac)|(system.+state.+changed )|(\|lc)|(penalty)|(\[timeout)|(PRM\|1\|D)|(kpr)|(kdp))" /e /r /s</v>
      </c>
      <c r="AG204" s="1" t="str">
        <f t="shared" si="146"/>
        <v>NW</v>
      </c>
      <c r="AH204" s="105" t="str">
        <f t="shared" si="100"/>
        <v>"%USERPROFILE%\Documents\GitHub\eaglep3\Utilities\RefineRTDCRunTimes.py" --tripid 840-16 --locoid 4013 --swversion DE.1.0.7.0 --startMP 300:58602 --initTime 2016-08-16T19:39:59 --startdatetime 2016-08-16T19:41:03 --delay 1 --endMP 204:670 --enddatetime 2016-08-16T19:55:13 --enforcementcount 1</v>
      </c>
    </row>
    <row r="205" spans="1:34" x14ac:dyDescent="0.25">
      <c r="A205" s="40" t="s">
        <v>634</v>
      </c>
      <c r="B205" s="7">
        <v>4014</v>
      </c>
      <c r="C205" s="25" t="s">
        <v>119</v>
      </c>
      <c r="D205" s="25" t="s">
        <v>635</v>
      </c>
      <c r="E205" s="16" t="s">
        <v>708</v>
      </c>
      <c r="F205" s="16">
        <v>42598.848194444443</v>
      </c>
      <c r="G205" s="7">
        <v>4</v>
      </c>
      <c r="H205" s="16" t="s">
        <v>265</v>
      </c>
      <c r="I205" s="16">
        <v>42598.857314814813</v>
      </c>
      <c r="J205" s="7"/>
      <c r="K205" s="142" t="str">
        <f t="shared" si="139"/>
        <v>4013/4014</v>
      </c>
      <c r="L205" s="25" t="str">
        <f>VLOOKUP(A205,'Trips&amp;Operators'!$C$1:$E$10000,3,FALSE)</f>
        <v>BRUDER</v>
      </c>
      <c r="M205" s="6">
        <f t="shared" si="140"/>
        <v>9.1203703705104999E-3</v>
      </c>
      <c r="N205" s="7">
        <f t="shared" si="138"/>
        <v>13.13333333353512</v>
      </c>
      <c r="O205" s="7"/>
      <c r="P205" s="7"/>
      <c r="Q205" s="26"/>
      <c r="R205" s="26"/>
      <c r="S205" s="38">
        <f t="shared" si="141"/>
        <v>1</v>
      </c>
      <c r="T205" s="53" t="str">
        <f t="shared" si="142"/>
        <v>NorthBound</v>
      </c>
      <c r="U205" s="13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1" t="e">
        <f t="shared" si="149"/>
        <v>#VALUE!</v>
      </c>
      <c r="W205" s="55" t="str">
        <f t="shared" si="143"/>
        <v>N</v>
      </c>
      <c r="X205" s="129">
        <f t="shared" si="148"/>
        <v>1</v>
      </c>
      <c r="Y205" s="70">
        <f t="shared" si="147"/>
        <v>9.7900000000000001E-2</v>
      </c>
      <c r="Z205" s="70">
        <f t="shared" si="136"/>
        <v>5.8921999999999999</v>
      </c>
      <c r="AA205" s="70">
        <f t="shared" si="144"/>
        <v>5.7942999999999998</v>
      </c>
      <c r="AB205" s="67" t="e">
        <f>VLOOKUP(A205,Enforcements!$C$7:$J$24,8,0)</f>
        <v>#N/A</v>
      </c>
      <c r="AC205" s="63" t="e">
        <f>VLOOKUP(A205,Enforcements!$C$7:$E$24,3,0)</f>
        <v>#N/A</v>
      </c>
      <c r="AD205" s="64" t="str">
        <f t="shared" si="145"/>
        <v>0841-16</v>
      </c>
      <c r="AE205" s="104" t="str">
        <f t="shared" ref="AE205:AE225" si="150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205" s="101" t="str">
        <f t="shared" ref="AF205:AF225" si="151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/stypes="*4014*20160817*" /stext=" 02:.+((SYSTEM_STATE.+slice.+state.+changed )|(ment ac)|(system.+state.+changed )|(\|lc)|(penalty)|(\[timeout)|(PRM\|1\|D)|(kpr)|(kdp))" /e /r /s</v>
      </c>
      <c r="AG205" s="1" t="str">
        <f t="shared" si="146"/>
        <v>NW</v>
      </c>
      <c r="AH205" s="105" t="str">
        <f t="shared" si="100"/>
        <v xml:space="preserve">"%USERPROFILE%\Documents\GitHub\eaglep3\Utilities\RefineRTDCRunTimes.py" --tripid 841-16 --locoid 4014 --swversion DE.1.0.7.0 --startMP 204:979 --initTime 2016-08-16T19:14:24 --startdatetime 2016-08-16T20:21:24 --delay 4 --endMP 300:58922 --enddatetime 2016-08-16T20:34:32 --enforcementcount </v>
      </c>
    </row>
    <row r="206" spans="1:34" x14ac:dyDescent="0.25">
      <c r="A206" s="40" t="s">
        <v>636</v>
      </c>
      <c r="B206" s="7">
        <v>4013</v>
      </c>
      <c r="C206" s="25" t="s">
        <v>119</v>
      </c>
      <c r="D206" s="25" t="s">
        <v>637</v>
      </c>
      <c r="E206" s="16">
        <v>42598.858518518522</v>
      </c>
      <c r="F206" s="16">
        <v>42598.859386574077</v>
      </c>
      <c r="G206" s="7">
        <v>1</v>
      </c>
      <c r="H206" s="16" t="s">
        <v>638</v>
      </c>
      <c r="I206" s="16">
        <v>42598.871886574074</v>
      </c>
      <c r="J206" s="7">
        <v>1</v>
      </c>
      <c r="K206" s="142" t="str">
        <f t="shared" si="139"/>
        <v>4013/4014</v>
      </c>
      <c r="L206" s="25" t="str">
        <f>VLOOKUP(A206,'Trips&amp;Operators'!$C$1:$E$10000,3,FALSE)</f>
        <v>BRUDER</v>
      </c>
      <c r="M206" s="6">
        <f t="shared" si="140"/>
        <v>1.2499999997089617E-2</v>
      </c>
      <c r="N206" s="7">
        <f t="shared" si="138"/>
        <v>17.999999995809048</v>
      </c>
      <c r="O206" s="7"/>
      <c r="P206" s="7"/>
      <c r="Q206" s="26"/>
      <c r="R206" s="26"/>
      <c r="S206" s="38">
        <f t="shared" si="141"/>
        <v>1</v>
      </c>
      <c r="T206" s="53" t="str">
        <f t="shared" si="142"/>
        <v>Southbound</v>
      </c>
      <c r="U206" s="13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19:36:16-0600',mode:absolute,to:'2016-08-16 21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6" s="55" t="str">
        <f t="shared" si="143"/>
        <v>N</v>
      </c>
      <c r="X206" s="129">
        <f t="shared" si="148"/>
        <v>1</v>
      </c>
      <c r="Y206" s="70">
        <f t="shared" si="147"/>
        <v>5.8597999999999999</v>
      </c>
      <c r="Z206" s="70">
        <f t="shared" si="136"/>
        <v>6.9400000000000003E-2</v>
      </c>
      <c r="AA206" s="70">
        <f t="shared" si="144"/>
        <v>5.7904</v>
      </c>
      <c r="AB206" s="67" t="e">
        <f>VLOOKUP(A206,Enforcements!$C$7:$J$24,8,0)</f>
        <v>#N/A</v>
      </c>
      <c r="AC206" s="63" t="e">
        <f>VLOOKUP(A206,Enforcements!$C$7:$E$24,3,0)</f>
        <v>#N/A</v>
      </c>
      <c r="AD206" s="64" t="str">
        <f t="shared" si="145"/>
        <v>0842-16</v>
      </c>
      <c r="AE206" s="104" t="str">
        <f t="shared" si="150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206" s="101" t="str">
        <f t="shared" si="151"/>
        <v>"C:\Program Files (x86)\AstroGrep\AstroGrep.exe" /spath="%USERPROFILE%\AppData\Local\Temp\OnboardLogs" /stypes="*4013*20160817*" /stext=" 02:.+((SYSTEM_STATE.+slice.+state.+changed )|(ment ac)|(system.+state.+changed )|(\|lc)|(penalty)|(\[timeout)|(PRM\|1\|D)|(kpr)|(kdp))" /e /r /s</v>
      </c>
      <c r="AG206" s="1" t="str">
        <f t="shared" si="146"/>
        <v>NW</v>
      </c>
      <c r="AH206" s="105" t="str">
        <f t="shared" si="100"/>
        <v>"%USERPROFILE%\Documents\GitHub\eaglep3\Utilities\RefineRTDCRunTimes.py" --tripid 842-16 --locoid 4013 --swversion DE.1.0.7.0 --startMP 300:58598 --initTime 2016-08-16T20:36:16 --startdatetime 2016-08-16T20:37:31 --delay 1 --endMP 204:694 --enddatetime 2016-08-16T20:55:31 --enforcementcount 1</v>
      </c>
    </row>
    <row r="207" spans="1:34" x14ac:dyDescent="0.25">
      <c r="A207" s="40" t="s">
        <v>639</v>
      </c>
      <c r="B207" s="7">
        <v>4014</v>
      </c>
      <c r="C207" s="25" t="s">
        <v>119</v>
      </c>
      <c r="D207" s="25" t="s">
        <v>613</v>
      </c>
      <c r="E207" s="16">
        <v>42598.841192129628</v>
      </c>
      <c r="F207" s="16">
        <v>42598.842152777775</v>
      </c>
      <c r="G207" s="7">
        <v>1</v>
      </c>
      <c r="H207" s="16" t="s">
        <v>265</v>
      </c>
      <c r="I207" s="16">
        <v>42598.857418981483</v>
      </c>
      <c r="J207" s="7">
        <v>1</v>
      </c>
      <c r="K207" s="142" t="str">
        <f t="shared" si="139"/>
        <v>4013/4014</v>
      </c>
      <c r="L207" s="25" t="str">
        <f>VLOOKUP(A207,'Trips&amp;Operators'!$C$1:$E$10000,3,FALSE)</f>
        <v>BRUDER</v>
      </c>
      <c r="M207" s="6">
        <f t="shared" si="140"/>
        <v>1.5266203707142267E-2</v>
      </c>
      <c r="N207" s="7">
        <f t="shared" si="138"/>
        <v>21.983333338284865</v>
      </c>
      <c r="O207" s="7"/>
      <c r="P207" s="7"/>
      <c r="Q207" s="26"/>
      <c r="R207" s="26"/>
      <c r="S207" s="38">
        <f t="shared" si="141"/>
        <v>1</v>
      </c>
      <c r="T207" s="53" t="str">
        <f t="shared" si="142"/>
        <v>NorthBound</v>
      </c>
      <c r="U207" s="13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19:11:19-0600',mode:absolute,to:'2016-08-16 21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7" s="55" t="str">
        <f t="shared" si="143"/>
        <v>N</v>
      </c>
      <c r="X207" s="129">
        <f t="shared" si="148"/>
        <v>1</v>
      </c>
      <c r="Y207" s="70">
        <f t="shared" si="147"/>
        <v>9.7100000000000006E-2</v>
      </c>
      <c r="Z207" s="70">
        <f t="shared" ref="Z207:Z225" si="152">RIGHT(H207,LEN(H207)-4)/10000</f>
        <v>5.8921999999999999</v>
      </c>
      <c r="AA207" s="70">
        <f t="shared" si="144"/>
        <v>5.7950999999999997</v>
      </c>
      <c r="AB207" s="67" t="e">
        <f>VLOOKUP(A207,Enforcements!$C$7:$J$24,8,0)</f>
        <v>#N/A</v>
      </c>
      <c r="AC207" s="63" t="e">
        <f>VLOOKUP(A207,Enforcements!$C$7:$E$24,3,0)</f>
        <v>#N/A</v>
      </c>
      <c r="AD207" s="64" t="str">
        <f t="shared" si="145"/>
        <v>0843-16</v>
      </c>
      <c r="AE207" s="104" t="str">
        <f t="shared" si="150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207" s="101" t="str">
        <f t="shared" si="151"/>
        <v>"C:\Program Files (x86)\AstroGrep\AstroGrep.exe" /spath="%USERPROFILE%\AppData\Local\Temp\OnboardLogs" /stypes="*4014*20160817*" /stext=" 02:.+((SYSTEM_STATE.+slice.+state.+changed )|(ment ac)|(system.+state.+changed )|(\|lc)|(penalty)|(\[timeout)|(PRM\|1\|D)|(kpr)|(kdp))" /e /r /s</v>
      </c>
      <c r="AG207" s="1" t="str">
        <f t="shared" si="146"/>
        <v>NW</v>
      </c>
      <c r="AH207" s="105" t="str">
        <f t="shared" si="100"/>
        <v>"%USERPROFILE%\Documents\GitHub\eaglep3\Utilities\RefineRTDCRunTimes.py" --tripid 843-16 --locoid 4014 --swversion DE.1.0.7.0 --startMP 204:971 --initTime 2016-08-16T20:11:19 --startdatetime 2016-08-16T20:12:42 --delay 1 --endMP 300:58922 --enddatetime 2016-08-16T20:34:41 --enforcementcount 1</v>
      </c>
    </row>
    <row r="208" spans="1:34" x14ac:dyDescent="0.25">
      <c r="A208" s="40" t="s">
        <v>640</v>
      </c>
      <c r="B208" s="7">
        <v>4013</v>
      </c>
      <c r="C208" s="25" t="s">
        <v>119</v>
      </c>
      <c r="D208" s="25" t="s">
        <v>271</v>
      </c>
      <c r="E208" s="16">
        <v>42598.902824074074</v>
      </c>
      <c r="F208" s="16">
        <v>42598.904120370367</v>
      </c>
      <c r="G208" s="7">
        <v>1</v>
      </c>
      <c r="H208" s="16" t="s">
        <v>245</v>
      </c>
      <c r="I208" s="16">
        <v>42598.915763888886</v>
      </c>
      <c r="J208" s="7">
        <v>1</v>
      </c>
      <c r="K208" s="142" t="str">
        <f t="shared" si="139"/>
        <v>4013/4014</v>
      </c>
      <c r="L208" s="25" t="str">
        <f>VLOOKUP(A208,'Trips&amp;Operators'!$C$1:$E$10000,3,FALSE)</f>
        <v>STURGEON</v>
      </c>
      <c r="M208" s="6">
        <f t="shared" si="140"/>
        <v>1.1643518519122154E-2</v>
      </c>
      <c r="N208" s="7">
        <f t="shared" si="138"/>
        <v>16.766666667535901</v>
      </c>
      <c r="O208" s="7"/>
      <c r="P208" s="7"/>
      <c r="Q208" s="26"/>
      <c r="R208" s="26"/>
      <c r="S208" s="38">
        <f t="shared" si="141"/>
        <v>1</v>
      </c>
      <c r="T208" s="53" t="str">
        <f t="shared" si="142"/>
        <v>Southbound</v>
      </c>
      <c r="U208" s="13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20:40:04-0600',mode:absolute,to:'2016-08-16 22:58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08" s="55" t="str">
        <f t="shared" si="143"/>
        <v>N</v>
      </c>
      <c r="X208" s="129">
        <f t="shared" ref="X208:X225" si="153">VALUE(LEFT(AD208,4))-VALUE(LEFT(AD207,4))</f>
        <v>1</v>
      </c>
      <c r="Y208" s="70">
        <f t="shared" si="147"/>
        <v>5.8601999999999999</v>
      </c>
      <c r="Z208" s="70">
        <f t="shared" si="152"/>
        <v>6.8699999999999997E-2</v>
      </c>
      <c r="AA208" s="70">
        <f t="shared" si="144"/>
        <v>5.7915000000000001</v>
      </c>
      <c r="AB208" s="67" t="e">
        <f>VLOOKUP(A208,Enforcements!$C$7:$J$24,8,0)</f>
        <v>#N/A</v>
      </c>
      <c r="AC208" s="63" t="e">
        <f>VLOOKUP(A208,Enforcements!$C$7:$E$24,3,0)</f>
        <v>#N/A</v>
      </c>
      <c r="AD208" s="64" t="str">
        <f t="shared" si="145"/>
        <v>0844-16</v>
      </c>
      <c r="AE208" s="104" t="str">
        <f t="shared" si="150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208" s="101" t="str">
        <f t="shared" si="151"/>
        <v>"C:\Program Files (x86)\AstroGrep\AstroGrep.exe" /spath="%USERPROFILE%\AppData\Local\Temp\OnboardLogs" /stypes="*4013*20160817*" /stext=" 03:.+((SYSTEM_STATE.+slice.+state.+changed )|(ment ac)|(system.+state.+changed )|(\|lc)|(penalty)|(\[timeout)|(PRM\|1\|D)|(kpr)|(kdp))" /e /r /s</v>
      </c>
      <c r="AG208" s="1" t="str">
        <f t="shared" si="146"/>
        <v>NW</v>
      </c>
      <c r="AH208" s="105" t="str">
        <f t="shared" si="100"/>
        <v>"%USERPROFILE%\Documents\GitHub\eaglep3\Utilities\RefineRTDCRunTimes.py" --tripid 844-16 --locoid 4013 --swversion DE.1.0.7.0 --startMP 300:58602 --initTime 2016-08-16T21:40:04 --startdatetime 2016-08-16T21:41:56 --delay 1 --endMP 204:687 --enddatetime 2016-08-16T21:58:42 --enforcementcount 1</v>
      </c>
    </row>
    <row r="209" spans="1:34" x14ac:dyDescent="0.25">
      <c r="A209" s="40" t="s">
        <v>641</v>
      </c>
      <c r="B209" s="7">
        <v>4014</v>
      </c>
      <c r="C209" s="25" t="s">
        <v>119</v>
      </c>
      <c r="D209" s="25" t="s">
        <v>642</v>
      </c>
      <c r="E209" s="16">
        <v>42598.878761574073</v>
      </c>
      <c r="F209" s="16">
        <v>42598.880925925929</v>
      </c>
      <c r="G209" s="7">
        <v>3</v>
      </c>
      <c r="H209" s="16" t="s">
        <v>272</v>
      </c>
      <c r="I209" s="16">
        <v>42598.901631944442</v>
      </c>
      <c r="J209" s="7">
        <v>1</v>
      </c>
      <c r="K209" s="142" t="str">
        <f t="shared" si="139"/>
        <v>4013/4014</v>
      </c>
      <c r="L209" s="25" t="str">
        <f>VLOOKUP(A209,'Trips&amp;Operators'!$C$1:$E$10000,3,FALSE)</f>
        <v>STURGEON</v>
      </c>
      <c r="M209" s="6">
        <f t="shared" si="140"/>
        <v>2.0706018513010349E-2</v>
      </c>
      <c r="N209" s="7">
        <f t="shared" si="138"/>
        <v>29.816666658734903</v>
      </c>
      <c r="O209" s="7"/>
      <c r="P209" s="7"/>
      <c r="Q209" s="26"/>
      <c r="R209" s="26"/>
      <c r="S209" s="38">
        <f t="shared" si="141"/>
        <v>1</v>
      </c>
      <c r="T209" s="53" t="str">
        <f t="shared" si="142"/>
        <v>NorthBound</v>
      </c>
      <c r="U209" s="13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20:05:25-0600',mode:absolute,to:'2016-08-16 22:38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9" s="55" t="str">
        <f t="shared" si="143"/>
        <v>N</v>
      </c>
      <c r="X209" s="129">
        <f t="shared" si="153"/>
        <v>1</v>
      </c>
      <c r="Y209" s="70">
        <f t="shared" si="147"/>
        <v>9.69E-2</v>
      </c>
      <c r="Z209" s="70">
        <f t="shared" si="152"/>
        <v>5.8914</v>
      </c>
      <c r="AA209" s="70">
        <f t="shared" si="144"/>
        <v>5.7945000000000002</v>
      </c>
      <c r="AB209" s="67" t="e">
        <f>VLOOKUP(A209,Enforcements!$C$7:$J$24,8,0)</f>
        <v>#N/A</v>
      </c>
      <c r="AC209" s="63" t="e">
        <f>VLOOKUP(A209,Enforcements!$C$7:$E$24,3,0)</f>
        <v>#N/A</v>
      </c>
      <c r="AD209" s="64" t="str">
        <f t="shared" si="145"/>
        <v>0845-16</v>
      </c>
      <c r="AE209" s="104" t="str">
        <f t="shared" si="150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209" s="101" t="str">
        <f t="shared" si="151"/>
        <v>"C:\Program Files (x86)\AstroGrep\AstroGrep.exe" /spath="%USERPROFILE%\AppData\Local\Temp\OnboardLogs" /stypes="*4014*20160817*" /stext=" 03:.+((SYSTEM_STATE.+slice.+state.+changed )|(ment ac)|(system.+state.+changed )|(\|lc)|(penalty)|(\[timeout)|(PRM\|1\|D)|(kpr)|(kdp))" /e /r /s</v>
      </c>
      <c r="AG209" s="1" t="str">
        <f t="shared" si="146"/>
        <v>NW</v>
      </c>
      <c r="AH209" s="105" t="str">
        <f t="shared" si="100"/>
        <v>"%USERPROFILE%\Documents\GitHub\eaglep3\Utilities\RefineRTDCRunTimes.py" --tripid 845-16 --locoid 4014 --swversion DE.1.0.7.0 --startMP 204:969 --initTime 2016-08-16T21:05:25 --startdatetime 2016-08-16T21:08:32 --delay 3 --endMP 300:58914 --enddatetime 2016-08-16T21:38:21 --enforcementcount 1</v>
      </c>
    </row>
    <row r="210" spans="1:34" x14ac:dyDescent="0.25">
      <c r="A210" s="40" t="s">
        <v>643</v>
      </c>
      <c r="B210" s="7">
        <v>4014</v>
      </c>
      <c r="C210" s="25" t="s">
        <v>119</v>
      </c>
      <c r="D210" s="25" t="s">
        <v>644</v>
      </c>
      <c r="E210" s="16">
        <v>42598.926446759258</v>
      </c>
      <c r="F210" s="16">
        <v>42598.927800925929</v>
      </c>
      <c r="G210" s="7">
        <v>1</v>
      </c>
      <c r="H210" s="16" t="s">
        <v>625</v>
      </c>
      <c r="I210" s="16">
        <v>42598.943460648145</v>
      </c>
      <c r="J210" s="7">
        <v>1</v>
      </c>
      <c r="K210" s="142" t="str">
        <f t="shared" si="139"/>
        <v>4013/4014</v>
      </c>
      <c r="L210" s="25" t="str">
        <f>VLOOKUP(A210,'Trips&amp;Operators'!$C$1:$E$10000,3,FALSE)</f>
        <v>STURGEON</v>
      </c>
      <c r="M210" s="6">
        <f t="shared" si="140"/>
        <v>1.5659722215787042E-2</v>
      </c>
      <c r="N210" s="7">
        <f t="shared" si="138"/>
        <v>22.54999999073334</v>
      </c>
      <c r="O210" s="7"/>
      <c r="P210" s="7"/>
      <c r="Q210" s="26"/>
      <c r="R210" s="26"/>
      <c r="S210" s="38">
        <f t="shared" si="141"/>
        <v>1</v>
      </c>
      <c r="T210" s="53" t="str">
        <f t="shared" si="142"/>
        <v>NorthBound</v>
      </c>
      <c r="U210" s="13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21:14:05-0600',mode:absolute,to:'2016-08-16 23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10" s="55" t="str">
        <f t="shared" si="143"/>
        <v>N</v>
      </c>
      <c r="X210" s="129">
        <f t="shared" si="153"/>
        <v>2</v>
      </c>
      <c r="Y210" s="70">
        <f t="shared" si="147"/>
        <v>9.9000000000000005E-2</v>
      </c>
      <c r="Z210" s="70">
        <f t="shared" si="152"/>
        <v>5.8912000000000004</v>
      </c>
      <c r="AA210" s="70">
        <f t="shared" si="144"/>
        <v>5.7922000000000002</v>
      </c>
      <c r="AB210" s="67" t="e">
        <f>VLOOKUP(A210,Enforcements!$C$7:$J$24,8,0)</f>
        <v>#N/A</v>
      </c>
      <c r="AC210" s="63" t="e">
        <f>VLOOKUP(A210,Enforcements!$C$7:$E$24,3,0)</f>
        <v>#N/A</v>
      </c>
      <c r="AD210" s="64" t="str">
        <f t="shared" si="145"/>
        <v>0847-16</v>
      </c>
      <c r="AE210" s="104" t="str">
        <f t="shared" si="150"/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AF210" s="101" t="str">
        <f t="shared" si="151"/>
        <v>"C:\Program Files (x86)\AstroGrep\AstroGrep.exe" /spath="%USERPROFILE%\AppData\Local\Temp\OnboardLogs" /stypes="*4014*20160817*" /stext=" 04:.+((SYSTEM_STATE.+slice.+state.+changed )|(ment ac)|(system.+state.+changed )|(\|lc)|(penalty)|(\[timeout)|(PRM\|1\|D)|(kpr)|(kdp))" /e /r /s</v>
      </c>
      <c r="AG210" s="1" t="str">
        <f t="shared" si="146"/>
        <v>NW</v>
      </c>
      <c r="AH210" s="105" t="str">
        <f t="shared" si="100"/>
        <v>"%USERPROFILE%\Documents\GitHub\eaglep3\Utilities\RefineRTDCRunTimes.py" --tripid 847-16 --locoid 4014 --swversion DE.1.0.7.0 --startMP 204:990 --initTime 2016-08-16T22:14:05 --startdatetime 2016-08-16T22:16:02 --delay 1 --endMP 300:58912 --enddatetime 2016-08-16T22:38:35 --enforcementcount 1</v>
      </c>
    </row>
    <row r="211" spans="1:34" x14ac:dyDescent="0.25">
      <c r="A211" s="40" t="s">
        <v>529</v>
      </c>
      <c r="B211" s="7">
        <v>4032</v>
      </c>
      <c r="C211" s="25" t="s">
        <v>119</v>
      </c>
      <c r="D211" s="25" t="s">
        <v>530</v>
      </c>
      <c r="E211" s="16">
        <v>42598.115914351853</v>
      </c>
      <c r="F211" s="16">
        <v>42598.116909722223</v>
      </c>
      <c r="G211" s="7">
        <v>1</v>
      </c>
      <c r="H211" s="16" t="s">
        <v>531</v>
      </c>
      <c r="I211" s="16">
        <v>42598.118981481479</v>
      </c>
      <c r="J211" s="7">
        <v>1</v>
      </c>
      <c r="K211" s="142" t="str">
        <f t="shared" si="139"/>
        <v>4031/4032</v>
      </c>
      <c r="L211" s="25" t="str">
        <f>VLOOKUP(A211,'Trips&amp;Operators'!$C$1:$E$10000,3,FALSE)</f>
        <v>KILLION</v>
      </c>
      <c r="M211" s="6">
        <f t="shared" si="140"/>
        <v>2.0717592560686171E-3</v>
      </c>
      <c r="N211" s="7">
        <f t="shared" si="138"/>
        <v>2.9833333287388086</v>
      </c>
      <c r="O211" s="7"/>
      <c r="P211" s="7"/>
      <c r="Q211" s="26"/>
      <c r="R211" s="26"/>
      <c r="S211" s="38">
        <f t="shared" si="141"/>
        <v>0</v>
      </c>
      <c r="T211" s="53" t="str">
        <f t="shared" si="142"/>
        <v>Southbound</v>
      </c>
      <c r="U211" s="13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01:46:55-0600',mode:absolute,to:'2016-08-16 03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11" s="55" t="str">
        <f t="shared" si="143"/>
        <v>Y</v>
      </c>
      <c r="X211" s="129">
        <f t="shared" si="153"/>
        <v>-545</v>
      </c>
      <c r="Y211" s="70">
        <f t="shared" si="147"/>
        <v>2.5137999999999998</v>
      </c>
      <c r="Z211" s="70">
        <f t="shared" si="152"/>
        <v>2.4904000000000002</v>
      </c>
      <c r="AA211" s="70">
        <f t="shared" si="144"/>
        <v>2.3399999999999643E-2</v>
      </c>
      <c r="AB211" s="67" t="e">
        <f>VLOOKUP(A211,Enforcements!$C$7:$J$24,8,0)</f>
        <v>#N/A</v>
      </c>
      <c r="AC211" s="63" t="e">
        <f>VLOOKUP(A211,Enforcements!$C$7:$E$24,3,0)</f>
        <v>#N/A</v>
      </c>
      <c r="AD211" s="64" t="str">
        <f t="shared" si="145"/>
        <v>0302-16</v>
      </c>
      <c r="AE211" s="104" t="str">
        <f t="shared" si="150"/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AF211" s="101" t="str">
        <f t="shared" si="151"/>
        <v>"C:\Program Files (x86)\AstroGrep\AstroGrep.exe" /spath="%USERPROFILE%\AppData\Local\Temp\OnboardLogs" /stypes="*4032*20160816*" /stext=" 08:.+((SYSTEM_STATE.+slice.+state.+changed )|(ment ac)|(system.+state.+changed )|(\|lc)|(penalty)|(\[timeout)|(PRM\|1\|D)|(kpr)|(kdp))" /e /r /s</v>
      </c>
      <c r="AG211" s="1" t="str">
        <f t="shared" si="146"/>
        <v>Other</v>
      </c>
      <c r="AH211" s="105" t="str">
        <f t="shared" si="100"/>
        <v>"%USERPROFILE%\Documents\GitHub\eaglep3\Utilities\RefineRTDCRunTimes.py" --tripid 302-16 --locoid 4032 --swversion DE.1.0.7.0 --startMP 300:25138 --initTime 2016-08-16T02:46:55 --startdatetime 2016-08-16T02:48:21 --delay 1 --endMP 300:24904 --enddatetime 2016-08-16T02:51:20 --enforcementcount 1</v>
      </c>
    </row>
    <row r="212" spans="1:34" x14ac:dyDescent="0.25">
      <c r="A212" s="40" t="s">
        <v>532</v>
      </c>
      <c r="B212" s="7">
        <v>4009</v>
      </c>
      <c r="C212" s="25" t="s">
        <v>119</v>
      </c>
      <c r="D212" s="25" t="s">
        <v>144</v>
      </c>
      <c r="E212" s="16">
        <v>42598.776736111111</v>
      </c>
      <c r="F212" s="16">
        <v>42598.77925925926</v>
      </c>
      <c r="G212" s="7">
        <v>3</v>
      </c>
      <c r="H212" s="16" t="s">
        <v>533</v>
      </c>
      <c r="I212" s="16">
        <v>42598.786064814813</v>
      </c>
      <c r="J212" s="7">
        <v>1</v>
      </c>
      <c r="K212" s="142" t="str">
        <f t="shared" si="139"/>
        <v>4009/4010</v>
      </c>
      <c r="L212" s="25" t="str">
        <f>VLOOKUP(A212,'Trips&amp;Operators'!$C$1:$E$10000,3,FALSE)</f>
        <v>HAITHCOX</v>
      </c>
      <c r="M212" s="6">
        <f t="shared" si="140"/>
        <v>6.805555553000886E-3</v>
      </c>
      <c r="N212" s="7">
        <f t="shared" si="138"/>
        <v>9.7999999963212758</v>
      </c>
      <c r="O212" s="7"/>
      <c r="P212" s="7"/>
      <c r="Q212" s="26"/>
      <c r="R212" s="26"/>
      <c r="S212" s="38">
        <f t="shared" si="141"/>
        <v>1</v>
      </c>
      <c r="T212" s="53" t="str">
        <f t="shared" si="142"/>
        <v>NorthBound</v>
      </c>
      <c r="U212" s="13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17:38:30-0600',mode:absolute,to:'2016-08-16 19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2" s="55" t="str">
        <f t="shared" si="143"/>
        <v>Y</v>
      </c>
      <c r="X212" s="129">
        <f t="shared" si="153"/>
        <v>1</v>
      </c>
      <c r="Y212" s="70">
        <f t="shared" si="147"/>
        <v>4.4900000000000002E-2</v>
      </c>
      <c r="Z212" s="70">
        <f t="shared" si="152"/>
        <v>2.3308</v>
      </c>
      <c r="AA212" s="70">
        <f t="shared" si="144"/>
        <v>2.2858999999999998</v>
      </c>
      <c r="AB212" s="67" t="e">
        <f>VLOOKUP(A212,Enforcements!$C$7:$J$24,8,0)</f>
        <v>#N/A</v>
      </c>
      <c r="AC212" s="63" t="e">
        <f>VLOOKUP(A212,Enforcements!$C$7:$E$24,3,0)</f>
        <v>#N/A</v>
      </c>
      <c r="AD212" s="64" t="str">
        <f t="shared" si="145"/>
        <v>0303-16</v>
      </c>
      <c r="AE212" s="104" t="str">
        <f t="shared" si="150"/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AF212" s="101" t="str">
        <f t="shared" si="151"/>
        <v>"C:\Program Files (x86)\AstroGrep\AstroGrep.exe" /spath="%USERPROFILE%\AppData\Local\Temp\OnboardLogs" /stypes="*4009*20160817*" /stext=" 00:.+((SYSTEM_STATE.+slice.+state.+changed )|(ment ac)|(system.+state.+changed )|(\|lc)|(penalty)|(\[timeout)|(PRM\|1\|D)|(kpr)|(kdp))" /e /r /s</v>
      </c>
      <c r="AG212" s="1" t="str">
        <f t="shared" si="146"/>
        <v>Other</v>
      </c>
      <c r="AH212" s="105" t="str">
        <f t="shared" si="100"/>
        <v>"%USERPROFILE%\Documents\GitHub\eaglep3\Utilities\RefineRTDCRunTimes.py" --tripid 303-16 --locoid 4009 --swversion DE.1.0.7.0 --startMP 204:449 --initTime 2016-08-16T18:38:30 --startdatetime 2016-08-16T18:42:08 --delay 3 --endMP 300:23308 --enddatetime 2016-08-16T18:51:56 --enforcementcount 1</v>
      </c>
    </row>
    <row r="213" spans="1:34" x14ac:dyDescent="0.25">
      <c r="A213" s="40" t="s">
        <v>534</v>
      </c>
      <c r="B213" s="7">
        <v>4018</v>
      </c>
      <c r="C213" s="25" t="s">
        <v>119</v>
      </c>
      <c r="D213" s="25" t="s">
        <v>535</v>
      </c>
      <c r="E213" s="16">
        <v>42598.82203703704</v>
      </c>
      <c r="F213" s="16">
        <v>42598.822974537034</v>
      </c>
      <c r="G213" s="7">
        <v>1</v>
      </c>
      <c r="H213" s="16" t="s">
        <v>536</v>
      </c>
      <c r="I213" s="16">
        <v>42598.829930555556</v>
      </c>
      <c r="J213" s="7">
        <v>1</v>
      </c>
      <c r="K213" s="142" t="str">
        <f t="shared" si="139"/>
        <v>4017/4018</v>
      </c>
      <c r="L213" s="25" t="str">
        <f>VLOOKUP(A213,'Trips&amp;Operators'!$C$1:$E$10000,3,FALSE)</f>
        <v>ROBINSON</v>
      </c>
      <c r="M213" s="6">
        <f t="shared" si="140"/>
        <v>6.9560185220325366E-3</v>
      </c>
      <c r="N213" s="7">
        <f t="shared" si="138"/>
        <v>10.016666671726853</v>
      </c>
      <c r="O213" s="7"/>
      <c r="P213" s="7"/>
      <c r="Q213" s="26"/>
      <c r="R213" s="26"/>
      <c r="S213" s="38">
        <f t="shared" si="141"/>
        <v>1</v>
      </c>
      <c r="T213" s="53" t="str">
        <f t="shared" si="142"/>
        <v>NorthBound</v>
      </c>
      <c r="U213" s="13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18:43:44-0600',mode:absolute,to:'2016-08-16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13" s="55" t="str">
        <f t="shared" si="143"/>
        <v>Y</v>
      </c>
      <c r="X213" s="129">
        <f t="shared" si="153"/>
        <v>4</v>
      </c>
      <c r="Y213" s="70">
        <f t="shared" si="147"/>
        <v>4.1099999999999998E-2</v>
      </c>
      <c r="Z213" s="70">
        <f t="shared" si="152"/>
        <v>2.3346</v>
      </c>
      <c r="AA213" s="70">
        <f t="shared" si="144"/>
        <v>2.2934999999999999</v>
      </c>
      <c r="AB213" s="67" t="e">
        <f>VLOOKUP(A213,Enforcements!$C$7:$J$24,8,0)</f>
        <v>#N/A</v>
      </c>
      <c r="AC213" s="63" t="e">
        <f>VLOOKUP(A213,Enforcements!$C$7:$E$24,3,0)</f>
        <v>#N/A</v>
      </c>
      <c r="AD213" s="64" t="str">
        <f t="shared" si="145"/>
        <v>0307-16</v>
      </c>
      <c r="AE213" s="104" t="str">
        <f t="shared" si="150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213" s="101" t="str">
        <f t="shared" si="151"/>
        <v>"C:\Program Files (x86)\AstroGrep\AstroGrep.exe" /spath="%USERPROFILE%\AppData\Local\Temp\OnboardLogs" /stypes="*4018*20160817*" /stext=" 01:.+((SYSTEM_STATE.+slice.+state.+changed )|(ment ac)|(system.+state.+changed )|(\|lc)|(penalty)|(\[timeout)|(PRM\|1\|D)|(kpr)|(kdp))" /e /r /s</v>
      </c>
      <c r="AG213" s="1" t="str">
        <f t="shared" si="146"/>
        <v>Other</v>
      </c>
      <c r="AH213" s="105" t="str">
        <f t="shared" ref="AH213:AH225" si="154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</f>
        <v>"%USERPROFILE%\Documents\GitHub\eaglep3\Utilities\RefineRTDCRunTimes.py" --tripid 307-16 --locoid 4018 --swversion DE.1.0.7.0 --startMP 204:411 --initTime 2016-08-16T19:43:44 --startdatetime 2016-08-16T19:45:05 --delay 1 --endMP 300:23346 --enddatetime 2016-08-16T19:55:06 --enforcementcount 1</v>
      </c>
    </row>
    <row r="214" spans="1:34" x14ac:dyDescent="0.25">
      <c r="A214" s="40" t="s">
        <v>534</v>
      </c>
      <c r="B214" s="7">
        <v>4018</v>
      </c>
      <c r="C214" s="25" t="s">
        <v>119</v>
      </c>
      <c r="D214" s="25" t="s">
        <v>536</v>
      </c>
      <c r="E214" s="16">
        <v>42598.82203703704</v>
      </c>
      <c r="F214" s="16">
        <v>42598.829930555556</v>
      </c>
      <c r="G214" s="7">
        <v>11</v>
      </c>
      <c r="H214" s="16" t="s">
        <v>536</v>
      </c>
      <c r="I214" s="16">
        <v>42598.829930555556</v>
      </c>
      <c r="J214" s="7">
        <v>1</v>
      </c>
      <c r="K214" s="142" t="str">
        <f t="shared" si="139"/>
        <v>4017/4018</v>
      </c>
      <c r="L214" s="25" t="str">
        <f>VLOOKUP(A214,'Trips&amp;Operators'!$C$1:$E$10000,3,FALSE)</f>
        <v>ROBINSON</v>
      </c>
      <c r="M214" s="6">
        <f t="shared" si="140"/>
        <v>0</v>
      </c>
      <c r="N214" s="7">
        <f t="shared" si="138"/>
        <v>0</v>
      </c>
      <c r="O214" s="7"/>
      <c r="P214" s="7"/>
      <c r="Q214" s="26"/>
      <c r="R214" s="26"/>
      <c r="S214" s="38">
        <f t="shared" si="141"/>
        <v>0</v>
      </c>
      <c r="T214" s="53" t="str">
        <f t="shared" si="142"/>
        <v>NorthBound</v>
      </c>
      <c r="U214" s="13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18:43:44-0600',mode:absolute,to:'2016-08-16 20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14" s="55" t="str">
        <f t="shared" si="143"/>
        <v>Y</v>
      </c>
      <c r="X214" s="129">
        <f t="shared" si="153"/>
        <v>0</v>
      </c>
      <c r="Y214" s="70">
        <f t="shared" si="147"/>
        <v>2.3346</v>
      </c>
      <c r="Z214" s="70">
        <f t="shared" si="152"/>
        <v>2.3346</v>
      </c>
      <c r="AA214" s="70">
        <f t="shared" si="144"/>
        <v>0</v>
      </c>
      <c r="AB214" s="67" t="e">
        <f>VLOOKUP(A214,Enforcements!$C$7:$J$24,8,0)</f>
        <v>#N/A</v>
      </c>
      <c r="AC214" s="63" t="e">
        <f>VLOOKUP(A214,Enforcements!$C$7:$E$24,3,0)</f>
        <v>#N/A</v>
      </c>
      <c r="AD214" s="64" t="str">
        <f t="shared" si="145"/>
        <v>0307-16</v>
      </c>
      <c r="AE214" s="104" t="str">
        <f t="shared" si="150"/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AF214" s="101" t="str">
        <f t="shared" si="151"/>
        <v>"C:\Program Files (x86)\AstroGrep\AstroGrep.exe" /spath="%USERPROFILE%\AppData\Local\Temp\OnboardLogs" /stypes="*4018*20160817*" /stext=" 01:.+((SYSTEM_STATE.+slice.+state.+changed )|(ment ac)|(system.+state.+changed )|(\|lc)|(penalty)|(\[timeout)|(PRM\|1\|D)|(kpr)|(kdp))" /e /r /s</v>
      </c>
      <c r="AG214" s="1" t="str">
        <f t="shared" si="146"/>
        <v>Other</v>
      </c>
      <c r="AH214" s="105" t="str">
        <f t="shared" si="154"/>
        <v>"%USERPROFILE%\Documents\GitHub\eaglep3\Utilities\RefineRTDCRunTimes.py" --tripid 307-16 --locoid 4018 --swversion DE.1.0.7.0 --startMP 300:23346 --initTime 2016-08-16T19:43:44 --startdatetime 2016-08-16T19:55:06 --delay 11 --endMP 300:23346 --enddatetime 2016-08-16T19:55:06 --enforcementcount 1</v>
      </c>
    </row>
    <row r="215" spans="1:34" x14ac:dyDescent="0.25">
      <c r="A215" s="40" t="s">
        <v>537</v>
      </c>
      <c r="B215" s="7">
        <v>4010</v>
      </c>
      <c r="C215" s="25" t="s">
        <v>119</v>
      </c>
      <c r="D215" s="25" t="s">
        <v>538</v>
      </c>
      <c r="E215" s="16">
        <v>42598.174189814818</v>
      </c>
      <c r="F215" s="16">
        <v>42598.175243055557</v>
      </c>
      <c r="G215" s="7">
        <v>1</v>
      </c>
      <c r="H215" s="16" t="s">
        <v>92</v>
      </c>
      <c r="I215" s="16">
        <v>42598.182708333334</v>
      </c>
      <c r="J215" s="7">
        <v>1</v>
      </c>
      <c r="K215" s="142" t="str">
        <f t="shared" si="139"/>
        <v>4009/4010</v>
      </c>
      <c r="L215" s="25" t="str">
        <f>VLOOKUP(A215,'Trips&amp;Operators'!$C$1:$E$10000,3,FALSE)</f>
        <v>SPECTOR</v>
      </c>
      <c r="M215" s="6">
        <f t="shared" si="140"/>
        <v>7.4652777766459621E-3</v>
      </c>
      <c r="N215" s="7">
        <f t="shared" si="138"/>
        <v>10.749999998370185</v>
      </c>
      <c r="O215" s="7"/>
      <c r="P215" s="7"/>
      <c r="Q215" s="26"/>
      <c r="R215" s="26"/>
      <c r="S215" s="38">
        <f t="shared" si="141"/>
        <v>1</v>
      </c>
      <c r="T215" s="53" t="str">
        <f t="shared" si="142"/>
        <v>Southbound</v>
      </c>
      <c r="U215" s="13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03:10:50-0600',mode:absolute,to:'2016-08-16 05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15" s="55" t="str">
        <f t="shared" si="143"/>
        <v>Y</v>
      </c>
      <c r="X215" s="129">
        <f t="shared" si="153"/>
        <v>1</v>
      </c>
      <c r="Y215" s="70">
        <f t="shared" si="147"/>
        <v>2.3548</v>
      </c>
      <c r="Z215" s="70">
        <f t="shared" si="152"/>
        <v>1.43E-2</v>
      </c>
      <c r="AA215" s="70">
        <f t="shared" si="144"/>
        <v>2.3405</v>
      </c>
      <c r="AB215" s="67" t="e">
        <f>VLOOKUP(A215,Enforcements!$C$7:$J$24,8,0)</f>
        <v>#N/A</v>
      </c>
      <c r="AC215" s="63" t="e">
        <f>VLOOKUP(A215,Enforcements!$C$7:$E$24,3,0)</f>
        <v>#N/A</v>
      </c>
      <c r="AD215" s="64" t="str">
        <f t="shared" si="145"/>
        <v>0308-16</v>
      </c>
      <c r="AE215" s="104" t="str">
        <f t="shared" si="150"/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AF215" s="101" t="str">
        <f t="shared" si="151"/>
        <v>"C:\Program Files (x86)\AstroGrep\AstroGrep.exe" /spath="%USERPROFILE%\AppData\Local\Temp\OnboardLogs" /stypes="*4010*20160816*" /stext=" 10:.+((SYSTEM_STATE.+slice.+state.+changed )|(ment ac)|(system.+state.+changed )|(\|lc)|(penalty)|(\[timeout)|(PRM\|1\|D)|(kpr)|(kdp))" /e /r /s</v>
      </c>
      <c r="AG215" s="1" t="str">
        <f t="shared" si="146"/>
        <v>Other</v>
      </c>
      <c r="AH215" s="105" t="str">
        <f t="shared" si="154"/>
        <v>"%USERPROFILE%\Documents\GitHub\eaglep3\Utilities\RefineRTDCRunTimes.py" --tripid 308-16 --locoid 4010 --swversion DE.1.0.7.0 --startMP 300:23548 --initTime 2016-08-16T04:10:50 --startdatetime 2016-08-16T04:12:21 --delay 1 --endMP 204:143 --enddatetime 2016-08-16T04:23:06 --enforcementcount 1</v>
      </c>
    </row>
    <row r="216" spans="1:34" x14ac:dyDescent="0.25">
      <c r="A216" s="40" t="s">
        <v>539</v>
      </c>
      <c r="B216" s="7">
        <v>4043</v>
      </c>
      <c r="C216" s="25" t="s">
        <v>119</v>
      </c>
      <c r="D216" s="25" t="s">
        <v>540</v>
      </c>
      <c r="E216" s="16">
        <v>42598.183506944442</v>
      </c>
      <c r="F216" s="16">
        <v>42598.184467592589</v>
      </c>
      <c r="G216" s="7">
        <v>1</v>
      </c>
      <c r="H216" s="16" t="s">
        <v>541</v>
      </c>
      <c r="I216" s="16">
        <v>42598.184895833336</v>
      </c>
      <c r="J216" s="7">
        <v>1</v>
      </c>
      <c r="K216" s="142" t="str">
        <f t="shared" si="139"/>
        <v>4043/4044</v>
      </c>
      <c r="L216" s="25" t="str">
        <f>VLOOKUP(A216,'Trips&amp;Operators'!$C$1:$E$10000,3,FALSE)</f>
        <v>DAVIS</v>
      </c>
      <c r="M216" s="6">
        <f t="shared" si="140"/>
        <v>4.2824074625968933E-4</v>
      </c>
      <c r="N216" s="7">
        <f t="shared" si="138"/>
        <v>0.61666667461395264</v>
      </c>
      <c r="O216" s="7"/>
      <c r="P216" s="7"/>
      <c r="Q216" s="26"/>
      <c r="R216" s="26"/>
      <c r="S216" s="38">
        <f t="shared" si="141"/>
        <v>0</v>
      </c>
      <c r="T216" s="53" t="str">
        <f t="shared" si="142"/>
        <v>Southbound</v>
      </c>
      <c r="U216" s="13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03:24:15-0600',mode:absolute,to:'2016-08-16 05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16" s="55" t="str">
        <f t="shared" si="143"/>
        <v>Y</v>
      </c>
      <c r="X216" s="129">
        <f t="shared" si="153"/>
        <v>2</v>
      </c>
      <c r="Y216" s="70">
        <f t="shared" si="147"/>
        <v>2.2545999999999999</v>
      </c>
      <c r="Z216" s="70">
        <f t="shared" si="152"/>
        <v>2.2351999999999999</v>
      </c>
      <c r="AA216" s="70">
        <f t="shared" si="144"/>
        <v>1.9400000000000084E-2</v>
      </c>
      <c r="AB216" s="67" t="e">
        <f>VLOOKUP(A216,Enforcements!$C$7:$J$24,8,0)</f>
        <v>#N/A</v>
      </c>
      <c r="AC216" s="63" t="e">
        <f>VLOOKUP(A216,Enforcements!$C$7:$E$24,3,0)</f>
        <v>#N/A</v>
      </c>
      <c r="AD216" s="64" t="str">
        <f t="shared" si="145"/>
        <v>0310-16</v>
      </c>
      <c r="AE216" s="104" t="str">
        <f t="shared" si="150"/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AF216" s="101" t="str">
        <f t="shared" si="151"/>
        <v>"C:\Program Files (x86)\AstroGrep\AstroGrep.exe" /spath="%USERPROFILE%\AppData\Local\Temp\OnboardLogs" /stypes="*4043*20160816*" /stext=" 10:.+((SYSTEM_STATE.+slice.+state.+changed )|(ment ac)|(system.+state.+changed )|(\|lc)|(penalty)|(\[timeout)|(PRM\|1\|D)|(kpr)|(kdp))" /e /r /s</v>
      </c>
      <c r="AG216" s="1" t="str">
        <f t="shared" si="146"/>
        <v>Other</v>
      </c>
      <c r="AH216" s="105" t="str">
        <f t="shared" si="154"/>
        <v>"%USERPROFILE%\Documents\GitHub\eaglep3\Utilities\RefineRTDCRunTimes.py" --tripid 310-16 --locoid 4043 --swversion DE.1.0.7.0 --startMP 300:22546 --initTime 2016-08-16T04:24:15 --startdatetime 2016-08-16T04:25:38 --delay 1 --endMP 300:22352 --enddatetime 2016-08-16T04:26:15 --enforcementcount 1</v>
      </c>
    </row>
    <row r="217" spans="1:34" x14ac:dyDescent="0.25">
      <c r="A217" s="40" t="s">
        <v>542</v>
      </c>
      <c r="B217" s="7">
        <v>4038</v>
      </c>
      <c r="C217" s="25" t="s">
        <v>119</v>
      </c>
      <c r="D217" s="25" t="s">
        <v>543</v>
      </c>
      <c r="E217" s="16">
        <v>42599.080937500003</v>
      </c>
      <c r="F217" s="16">
        <v>42599.081793981481</v>
      </c>
      <c r="G217" s="7">
        <v>1</v>
      </c>
      <c r="H217" s="16" t="s">
        <v>544</v>
      </c>
      <c r="I217" s="16">
        <v>42599.086805555555</v>
      </c>
      <c r="J217" s="7">
        <v>1</v>
      </c>
      <c r="K217" s="142" t="str">
        <f t="shared" si="139"/>
        <v>4037/4038</v>
      </c>
      <c r="L217" s="25" t="str">
        <f>VLOOKUP(A217,'Trips&amp;Operators'!$C$1:$E$10000,3,FALSE)</f>
        <v>ISHMAEL</v>
      </c>
      <c r="M217" s="6">
        <f t="shared" si="140"/>
        <v>5.0115740741603076E-3</v>
      </c>
      <c r="N217" s="7">
        <f t="shared" si="138"/>
        <v>7.216666666790843</v>
      </c>
      <c r="O217" s="7"/>
      <c r="P217" s="7"/>
      <c r="Q217" s="26"/>
      <c r="R217" s="26"/>
      <c r="S217" s="38">
        <f t="shared" si="141"/>
        <v>1</v>
      </c>
      <c r="T217" s="53" t="str">
        <f t="shared" si="142"/>
        <v>NorthBound</v>
      </c>
      <c r="U217" s="13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https://search-rtdc-monitor-bjffxe2xuh6vdkpspy63sjmuny.us-east-1.es.amazonaws.com/_plugin/kibana/#/discover/Steve-Slow-Train-Analysis-(2080s-and-2083s)?_g=(refreshInterval:(display:Off,section:0,value:0),time:(from:'2016-08-17 00:56:33-0600',mode:absolute,to:'2016-08-17 03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17" s="55" t="str">
        <f t="shared" si="143"/>
        <v>Y</v>
      </c>
      <c r="X217" s="129">
        <f t="shared" si="153"/>
        <v>3</v>
      </c>
      <c r="Y217" s="70">
        <f t="shared" si="147"/>
        <v>3.32E-2</v>
      </c>
      <c r="Z217" s="70">
        <f t="shared" si="152"/>
        <v>2.3111000000000002</v>
      </c>
      <c r="AA217" s="70">
        <f t="shared" si="144"/>
        <v>2.2779000000000003</v>
      </c>
      <c r="AB217" s="67" t="e">
        <f>VLOOKUP(A217,Enforcements!$C$7:$J$24,8,0)</f>
        <v>#N/A</v>
      </c>
      <c r="AC217" s="63" t="e">
        <f>VLOOKUP(A217,Enforcements!$C$7:$E$24,3,0)</f>
        <v>#N/A</v>
      </c>
      <c r="AD217" s="64" t="str">
        <f t="shared" si="145"/>
        <v>0313-16</v>
      </c>
      <c r="AE217" s="104" t="str">
        <f t="shared" si="150"/>
        <v>aws s3 cp s3://rtdc.mdm.uploadarchive/RTDC4038/2016-08-17/ "%USERPROFILE%\AppData\Local\Temp\OnboardLogs"\RTDC4038\2016-08-17 --recursive &amp; "%USERPROFILE%\Documents\GitHub\mrs-test-scripts\Headless Mode &amp; Sideloading\WalkAndUnGZ.bat" "%USERPROFILE%\AppData\Local\Temp\OnboardLogs"\RTDC4038\2016-08-17 &amp; aws s3 cp s3://rtdc.mdm.uploadarchive/RTDC4038/2016-08-18/ "%USERPROFILE%\AppData\Local\Temp\OnboardLogs"\RTDC4038\2016-08-18 --recursive &amp; "%USERPROFILE%\Documents\GitHub\mrs-test-scripts\Headless Mode &amp; Sideloading\WalkAndUnGZ.bat" "%USERPROFILE%\AppData\Local\Temp\OnboardLogs"\RTDC4038\2016-08-18</v>
      </c>
      <c r="AF217" s="101" t="str">
        <f t="shared" si="151"/>
        <v>"C:\Program Files (x86)\AstroGrep\AstroGrep.exe" /spath="%USERPROFILE%\AppData\Local\Temp\OnboardLogs" /stypes="*4038*20160817*" /stext=" 08:.+((SYSTEM_STATE.+slice.+state.+changed )|(ment ac)|(system.+state.+changed )|(\|lc)|(penalty)|(\[timeout)|(PRM\|1\|D)|(kpr)|(kdp))" /e /r /s</v>
      </c>
      <c r="AG217" s="1" t="str">
        <f t="shared" si="146"/>
        <v>Other</v>
      </c>
      <c r="AH217" s="105" t="str">
        <f t="shared" si="154"/>
        <v>"%USERPROFILE%\Documents\GitHub\eaglep3\Utilities\RefineRTDCRunTimes.py" --tripid 313-16 --locoid 4038 --swversion DE.1.0.7.0 --startMP 204:332 --initTime 2016-08-17T01:56:33 --startdatetime 2016-08-17T01:57:47 --delay 1 --endMP 300:23111 --enddatetime 2016-08-17T02:05:00 --enforcementcount 1</v>
      </c>
    </row>
    <row r="218" spans="1:34" x14ac:dyDescent="0.25">
      <c r="A218" s="40" t="s">
        <v>262</v>
      </c>
      <c r="B218" s="7">
        <v>4020</v>
      </c>
      <c r="C218" s="25" t="s">
        <v>119</v>
      </c>
      <c r="D218" s="25" t="s">
        <v>217</v>
      </c>
      <c r="E218" s="16">
        <v>42598.088530092595</v>
      </c>
      <c r="F218" s="16">
        <v>42598.08935185185</v>
      </c>
      <c r="G218" s="7">
        <v>1</v>
      </c>
      <c r="H218" s="16" t="s">
        <v>263</v>
      </c>
      <c r="I218" s="16">
        <v>42598.094212962962</v>
      </c>
      <c r="J218" s="7">
        <v>1</v>
      </c>
      <c r="K218" s="142" t="str">
        <f t="shared" si="139"/>
        <v>4019/4020</v>
      </c>
      <c r="L218" s="25" t="str">
        <f>VLOOKUP(A218,'Trips&amp;Operators'!$C$1:$E$10000,3,FALSE)</f>
        <v>ISHMAEL</v>
      </c>
      <c r="M218" s="6">
        <f t="shared" si="140"/>
        <v>4.8611111124046147E-3</v>
      </c>
      <c r="N218" s="7">
        <f t="shared" si="138"/>
        <v>7.0000000018626451</v>
      </c>
      <c r="O218" s="7"/>
      <c r="P218" s="7"/>
      <c r="Q218" s="26"/>
      <c r="R218" s="26"/>
      <c r="S218" s="38">
        <f t="shared" si="141"/>
        <v>1</v>
      </c>
      <c r="T218" s="53" t="str">
        <f t="shared" si="142"/>
        <v>NorthBound</v>
      </c>
      <c r="U218" s="13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01:07:29-0600',mode:absolute,to:'2016-08-16 03:15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8" s="55" t="str">
        <f t="shared" si="143"/>
        <v>Y</v>
      </c>
      <c r="X218" s="129">
        <f t="shared" si="153"/>
        <v>2</v>
      </c>
      <c r="Y218" s="70">
        <f t="shared" si="147"/>
        <v>4.2599999999999999E-2</v>
      </c>
      <c r="Z218" s="70">
        <f t="shared" si="152"/>
        <v>2.3123</v>
      </c>
      <c r="AA218" s="70">
        <f t="shared" si="144"/>
        <v>2.2696999999999998</v>
      </c>
      <c r="AB218" s="67" t="e">
        <f>VLOOKUP(A218,Enforcements!$C$7:$J$24,8,0)</f>
        <v>#N/A</v>
      </c>
      <c r="AC218" s="63" t="e">
        <f>VLOOKUP(A218,Enforcements!$C$7:$E$24,3,0)</f>
        <v>#N/A</v>
      </c>
      <c r="AD218" s="64" t="str">
        <f t="shared" si="145"/>
        <v>0315-15</v>
      </c>
      <c r="AE218" s="104" t="str">
        <f t="shared" si="150"/>
        <v>aws s3 cp s3://rtdc.mdm.uploadarchive/RTDC4020/2016-08-16/ "%USERPROFILE%\AppData\Local\Temp\OnboardLogs"\RTDC4020\2016-08-16 --recursive &amp; "%USERPROFILE%\Documents\GitHub\mrs-test-scripts\Headless Mode &amp; Sideloading\WalkAndUnGZ.bat" "%USERPROFILE%\AppData\Local\Temp\OnboardLogs"\RTDC4020\2016-08-16 &amp; aws s3 cp s3://rtdc.mdm.uploadarchive/RTDC4020/2016-08-17/ "%USERPROFILE%\AppData\Local\Temp\OnboardLogs"\RTDC4020\2016-08-17 --recursive &amp; "%USERPROFILE%\Documents\GitHub\mrs-test-scripts\Headless Mode &amp; Sideloading\WalkAndUnGZ.bat" "%USERPROFILE%\AppData\Local\Temp\OnboardLogs"\RTDC4020\2016-08-17</v>
      </c>
      <c r="AF218" s="101" t="str">
        <f t="shared" si="151"/>
        <v>"C:\Program Files (x86)\AstroGrep\AstroGrep.exe" /spath="%USERPROFILE%\AppData\Local\Temp\OnboardLogs" /stypes="*4020*20160816*" /stext=" 08:.+((SYSTEM_STATE.+slice.+state.+changed )|(ment ac)|(system.+state.+changed )|(\|lc)|(penalty)|(\[timeout)|(PRM\|1\|D)|(kpr)|(kdp))" /e /r /s</v>
      </c>
      <c r="AG218" s="1" t="str">
        <f t="shared" si="146"/>
        <v>Other</v>
      </c>
      <c r="AH218" s="105" t="str">
        <f t="shared" si="154"/>
        <v>"%USERPROFILE%\Documents\GitHub\eaglep3\Utilities\RefineRTDCRunTimes.py" --tripid 315-15 --locoid 4020 --swversion DE.1.0.7.0 --startMP 204:426 --initTime 2016-08-16T02:07:29 --startdatetime 2016-08-16T02:08:40 --delay 1 --endMP 300:23123 --enddatetime 2016-08-16T02:15:40 --enforcementcount 1</v>
      </c>
    </row>
    <row r="219" spans="1:34" x14ac:dyDescent="0.25">
      <c r="A219" s="40" t="s">
        <v>545</v>
      </c>
      <c r="B219" s="7">
        <v>4029</v>
      </c>
      <c r="C219" s="25" t="s">
        <v>119</v>
      </c>
      <c r="D219" s="25" t="s">
        <v>546</v>
      </c>
      <c r="E219" s="16">
        <v>42599.095069444447</v>
      </c>
      <c r="F219" s="16">
        <v>42599.095879629633</v>
      </c>
      <c r="G219" s="7">
        <v>1</v>
      </c>
      <c r="H219" s="16" t="s">
        <v>547</v>
      </c>
      <c r="I219" s="16">
        <v>42599.103321759256</v>
      </c>
      <c r="J219" s="7">
        <v>1</v>
      </c>
      <c r="K219" s="142" t="str">
        <f t="shared" si="139"/>
        <v>4029/4030</v>
      </c>
      <c r="L219" s="25" t="str">
        <f>VLOOKUP(A219,'Trips&amp;Operators'!$C$1:$E$10000,3,FALSE)</f>
        <v>CHANDLE</v>
      </c>
      <c r="M219" s="6">
        <f t="shared" si="140"/>
        <v>7.4421296230866574E-3</v>
      </c>
      <c r="N219" s="7">
        <f t="shared" si="138"/>
        <v>10.716666657244787</v>
      </c>
      <c r="O219" s="7"/>
      <c r="P219" s="7"/>
      <c r="Q219" s="26"/>
      <c r="R219" s="26"/>
      <c r="S219" s="38">
        <f t="shared" si="141"/>
        <v>1</v>
      </c>
      <c r="T219" s="53" t="str">
        <f t="shared" si="142"/>
        <v>NorthBound</v>
      </c>
      <c r="U219" s="13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19" s="55" t="str">
        <f t="shared" si="143"/>
        <v>Y</v>
      </c>
      <c r="X219" s="129">
        <f t="shared" si="153"/>
        <v>0</v>
      </c>
      <c r="Y219" s="70">
        <f t="shared" si="147"/>
        <v>6.4000000000000001E-2</v>
      </c>
      <c r="Z219" s="70">
        <f t="shared" si="152"/>
        <v>2.3311999999999999</v>
      </c>
      <c r="AA219" s="70">
        <f t="shared" si="144"/>
        <v>2.2671999999999999</v>
      </c>
      <c r="AB219" s="67" t="e">
        <f>VLOOKUP(A219,Enforcements!$C$7:$J$24,8,0)</f>
        <v>#N/A</v>
      </c>
      <c r="AC219" s="63" t="e">
        <f>VLOOKUP(A219,Enforcements!$C$7:$E$24,3,0)</f>
        <v>#N/A</v>
      </c>
      <c r="AD219" s="64" t="str">
        <f t="shared" si="145"/>
        <v>0315-16</v>
      </c>
      <c r="AE219" s="104" t="str">
        <f t="shared" si="150"/>
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</c>
      <c r="AF219" s="101" t="str">
        <f t="shared" si="151"/>
        <v>"C:\Program Files (x86)\AstroGrep\AstroGrep.exe" /spath="%USERPROFILE%\AppData\Local\Temp\OnboardLogs" /stypes="*4029*20160817*" /stext=" 08:.+((SYSTEM_STATE.+slice.+state.+changed )|(ment ac)|(system.+state.+changed )|(\|lc)|(penalty)|(\[timeout)|(PRM\|1\|D)|(kpr)|(kdp))" /e /r /s</v>
      </c>
      <c r="AG219" s="1" t="str">
        <f t="shared" si="146"/>
        <v>Other</v>
      </c>
      <c r="AH219" s="105" t="str">
        <f t="shared" si="154"/>
        <v>"%USERPROFILE%\Documents\GitHub\eaglep3\Utilities\RefineRTDCRunTimes.py" --tripid 315-16 --locoid 4029 --swversion DE.1.0.7.0 --startMP 204:640 --initTime 2016-08-17T02:16:54 --startdatetime 2016-08-17T02:18:04 --delay 1 --endMP 300:23312 --enddatetime 2016-08-17T02:28:47 --enforcementcount 1</v>
      </c>
    </row>
    <row r="220" spans="1:34" x14ac:dyDescent="0.25">
      <c r="A220" s="40" t="s">
        <v>545</v>
      </c>
      <c r="B220" s="7">
        <v>4029</v>
      </c>
      <c r="C220" s="25" t="s">
        <v>119</v>
      </c>
      <c r="D220" s="25" t="s">
        <v>547</v>
      </c>
      <c r="E220" s="16">
        <v>42599.095069444447</v>
      </c>
      <c r="F220" s="16">
        <v>42599.103298611109</v>
      </c>
      <c r="G220" s="7">
        <v>11</v>
      </c>
      <c r="H220" s="16" t="s">
        <v>547</v>
      </c>
      <c r="I220" s="16">
        <v>42599.103321759256</v>
      </c>
      <c r="J220" s="7">
        <v>1</v>
      </c>
      <c r="K220" s="142" t="str">
        <f t="shared" si="139"/>
        <v>4029/4030</v>
      </c>
      <c r="L220" s="25" t="str">
        <f>VLOOKUP(A220,'Trips&amp;Operators'!$C$1:$E$10000,3,FALSE)</f>
        <v>CHANDLE</v>
      </c>
      <c r="M220" s="6">
        <f t="shared" si="140"/>
        <v>2.314814628334716E-5</v>
      </c>
      <c r="N220" s="7">
        <f t="shared" si="138"/>
        <v>3.333333064801991E-2</v>
      </c>
      <c r="O220" s="7"/>
      <c r="P220" s="7"/>
      <c r="Q220" s="26"/>
      <c r="R220" s="26"/>
      <c r="S220" s="38">
        <f t="shared" si="141"/>
        <v>0</v>
      </c>
      <c r="T220" s="53" t="str">
        <f t="shared" si="142"/>
        <v>NorthBound</v>
      </c>
      <c r="U220" s="13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https://search-rtdc-monitor-bjffxe2xuh6vdkpspy63sjmuny.us-east-1.es.amazonaws.com/_plugin/kibana/#/discover/Steve-Slow-Train-Analysis-(2080s-and-2083s)?_g=(refreshInterval:(display:Off,section:0,value:0),time:(from:'2016-08-17 01:16:54-0600',mode:absolute,to:'2016-08-17 03:28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20" s="55" t="str">
        <f t="shared" si="143"/>
        <v>Y</v>
      </c>
      <c r="X220" s="129">
        <f t="shared" si="153"/>
        <v>0</v>
      </c>
      <c r="Y220" s="70">
        <f t="shared" si="147"/>
        <v>2.3311999999999999</v>
      </c>
      <c r="Z220" s="70">
        <f t="shared" si="152"/>
        <v>2.3311999999999999</v>
      </c>
      <c r="AA220" s="70">
        <f t="shared" si="144"/>
        <v>0</v>
      </c>
      <c r="AB220" s="67" t="e">
        <f>VLOOKUP(A220,Enforcements!$C$7:$J$24,8,0)</f>
        <v>#N/A</v>
      </c>
      <c r="AC220" s="63" t="e">
        <f>VLOOKUP(A220,Enforcements!$C$7:$E$24,3,0)</f>
        <v>#N/A</v>
      </c>
      <c r="AD220" s="64" t="str">
        <f t="shared" si="145"/>
        <v>0315-16</v>
      </c>
      <c r="AE220" s="104" t="str">
        <f t="shared" si="150"/>
        <v>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 &amp; aws s3 cp s3://rtdc.mdm.uploadarchive/RTDC4029/2016-08-18/ "%USERPROFILE%\AppData\Local\Temp\OnboardLogs"\RTDC4029\2016-08-18 --recursive &amp; "%USERPROFILE%\Documents\GitHub\mrs-test-scripts\Headless Mode &amp; Sideloading\WalkAndUnGZ.bat" "%USERPROFILE%\AppData\Local\Temp\OnboardLogs"\RTDC4029\2016-08-18</v>
      </c>
      <c r="AF220" s="101" t="str">
        <f t="shared" si="151"/>
        <v>"C:\Program Files (x86)\AstroGrep\AstroGrep.exe" /spath="%USERPROFILE%\AppData\Local\Temp\OnboardLogs" /stypes="*4029*20160817*" /stext=" 08:.+((SYSTEM_STATE.+slice.+state.+changed )|(ment ac)|(system.+state.+changed )|(\|lc)|(penalty)|(\[timeout)|(PRM\|1\|D)|(kpr)|(kdp))" /e /r /s</v>
      </c>
      <c r="AG220" s="1" t="str">
        <f t="shared" si="146"/>
        <v>Other</v>
      </c>
      <c r="AH220" s="105" t="str">
        <f t="shared" si="154"/>
        <v>"%USERPROFILE%\Documents\GitHub\eaglep3\Utilities\RefineRTDCRunTimes.py" --tripid 315-16 --locoid 4029 --swversion DE.1.0.7.0 --startMP 300:23312 --initTime 2016-08-17T02:16:54 --startdatetime 2016-08-17T02:28:45 --delay 11 --endMP 300:23312 --enddatetime 2016-08-17T02:28:47 --enforcementcount 1</v>
      </c>
    </row>
    <row r="221" spans="1:34" x14ac:dyDescent="0.25">
      <c r="A221" s="40" t="s">
        <v>645</v>
      </c>
      <c r="B221" s="7">
        <v>4002</v>
      </c>
      <c r="C221" s="25" t="s">
        <v>119</v>
      </c>
      <c r="D221" s="25" t="s">
        <v>646</v>
      </c>
      <c r="E221" s="16">
        <v>42598.354305555556</v>
      </c>
      <c r="F221" s="16">
        <v>42598.355069444442</v>
      </c>
      <c r="G221" s="7">
        <v>1</v>
      </c>
      <c r="H221" s="16" t="s">
        <v>647</v>
      </c>
      <c r="I221" s="16">
        <v>42598.361354166664</v>
      </c>
      <c r="J221" s="7">
        <v>1</v>
      </c>
      <c r="K221" s="142" t="str">
        <f t="shared" si="139"/>
        <v>4001/4002</v>
      </c>
      <c r="L221" s="25" t="str">
        <f>VLOOKUP(A221,'Trips&amp;Operators'!$C$1:$E$10000,3,FALSE)</f>
        <v>STARKS</v>
      </c>
      <c r="M221" s="6">
        <f t="shared" si="140"/>
        <v>6.284722221607808E-3</v>
      </c>
      <c r="N221" s="7">
        <f t="shared" si="138"/>
        <v>9.0499999991152436</v>
      </c>
      <c r="O221" s="7"/>
      <c r="P221" s="7"/>
      <c r="Q221" s="26"/>
      <c r="R221" s="26"/>
      <c r="S221" s="38">
        <f t="shared" si="141"/>
        <v>1</v>
      </c>
      <c r="T221" s="53" t="str">
        <f t="shared" si="142"/>
        <v>NorthBound</v>
      </c>
      <c r="U221" s="13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07:30:12-0600',mode:absolute,to:'2016-08-16 09:40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21" s="55" t="str">
        <f t="shared" si="143"/>
        <v>Y</v>
      </c>
      <c r="X221" s="129">
        <f t="shared" si="153"/>
        <v>588</v>
      </c>
      <c r="Y221" s="70">
        <f t="shared" si="147"/>
        <v>0.11020000000000001</v>
      </c>
      <c r="Z221" s="70">
        <f t="shared" si="152"/>
        <v>2.4241000000000001</v>
      </c>
      <c r="AA221" s="70">
        <f t="shared" si="144"/>
        <v>2.3139000000000003</v>
      </c>
      <c r="AB221" s="67" t="e">
        <f>VLOOKUP(A221,Enforcements!$C$7:$J$24,8,0)</f>
        <v>#N/A</v>
      </c>
      <c r="AC221" s="63" t="e">
        <f>VLOOKUP(A221,Enforcements!$C$7:$E$24,3,0)</f>
        <v>#N/A</v>
      </c>
      <c r="AD221" s="64" t="str">
        <f t="shared" si="145"/>
        <v>0903-16</v>
      </c>
      <c r="AE221" s="104" t="str">
        <f t="shared" si="150"/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AF221" s="101" t="str">
        <f t="shared" si="151"/>
        <v>"C:\Program Files (x86)\AstroGrep\AstroGrep.exe" /spath="%USERPROFILE%\AppData\Local\Temp\OnboardLogs" /stypes="*4002*20160816*" /stext=" 14:.+((SYSTEM_STATE.+slice.+state.+changed )|(ment ac)|(system.+state.+changed )|(\|lc)|(penalty)|(\[timeout)|(PRM\|1\|D)|(kpr)|(kdp))" /e /r /s</v>
      </c>
      <c r="AG221" s="1" t="str">
        <f t="shared" si="146"/>
        <v>Other</v>
      </c>
      <c r="AH221" s="105" t="str">
        <f t="shared" si="154"/>
        <v>"%USERPROFILE%\Documents\GitHub\eaglep3\Utilities\RefineRTDCRunTimes.py" --tripid 903-16 --locoid 4002 --swversion DE.1.0.7.0 --startMP 204:1102 --initTime 2016-08-16T08:30:12 --startdatetime 2016-08-16T08:31:18 --delay 1 --endMP 300:24241 --enddatetime 2016-08-16T08:40:21 --enforcementcount 1</v>
      </c>
    </row>
    <row r="222" spans="1:34" x14ac:dyDescent="0.25">
      <c r="A222" s="40" t="s">
        <v>648</v>
      </c>
      <c r="B222" s="7">
        <v>4001</v>
      </c>
      <c r="C222" s="25" t="s">
        <v>119</v>
      </c>
      <c r="D222" s="25" t="s">
        <v>649</v>
      </c>
      <c r="E222" s="16">
        <v>42598.648726851854</v>
      </c>
      <c r="F222" s="16">
        <v>42598.651643518519</v>
      </c>
      <c r="G222" s="7">
        <v>4</v>
      </c>
      <c r="H222" s="16" t="s">
        <v>650</v>
      </c>
      <c r="I222" s="16">
        <v>42598.658472222225</v>
      </c>
      <c r="J222" s="7">
        <v>1</v>
      </c>
      <c r="K222" s="142" t="str">
        <f t="shared" si="139"/>
        <v>4001/4002</v>
      </c>
      <c r="L222" s="25" t="str">
        <f>VLOOKUP(A222,'Trips&amp;Operators'!$C$1:$E$10000,3,FALSE)</f>
        <v>STURGEON</v>
      </c>
      <c r="M222" s="6">
        <f t="shared" si="140"/>
        <v>6.8287037065601908E-3</v>
      </c>
      <c r="N222" s="7">
        <f t="shared" si="138"/>
        <v>9.8333333374466747</v>
      </c>
      <c r="O222" s="7"/>
      <c r="P222" s="7"/>
      <c r="Q222" s="26"/>
      <c r="R222" s="26"/>
      <c r="S222" s="38">
        <f t="shared" si="141"/>
        <v>1</v>
      </c>
      <c r="T222" s="53" t="str">
        <f t="shared" si="142"/>
        <v>Southbound</v>
      </c>
      <c r="U222" s="13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14:34:10-0600',mode:absolute,to:'2016-08-16 16:48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22" s="55" t="str">
        <f t="shared" si="143"/>
        <v>Y</v>
      </c>
      <c r="X222" s="129">
        <f t="shared" si="153"/>
        <v>1</v>
      </c>
      <c r="Y222" s="70">
        <f t="shared" si="147"/>
        <v>2.3502000000000001</v>
      </c>
      <c r="Z222" s="70">
        <f t="shared" si="152"/>
        <v>7.1300000000000002E-2</v>
      </c>
      <c r="AA222" s="70">
        <f t="shared" si="144"/>
        <v>2.2789000000000001</v>
      </c>
      <c r="AB222" s="67" t="e">
        <f>VLOOKUP(A222,Enforcements!$C$7:$J$24,8,0)</f>
        <v>#N/A</v>
      </c>
      <c r="AC222" s="63" t="e">
        <f>VLOOKUP(A222,Enforcements!$C$7:$E$24,3,0)</f>
        <v>#N/A</v>
      </c>
      <c r="AD222" s="64" t="str">
        <f t="shared" si="145"/>
        <v>0904-16</v>
      </c>
      <c r="AE222" s="104" t="str">
        <f t="shared" si="150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222" s="101" t="str">
        <f t="shared" si="151"/>
        <v>"C:\Program Files (x86)\AstroGrep\AstroGrep.exe" /spath="%USERPROFILE%\AppData\Local\Temp\OnboardLogs" /stypes="*4001*20160816*" /stext=" 21:.+((SYSTEM_STATE.+slice.+state.+changed )|(ment ac)|(system.+state.+changed )|(\|lc)|(penalty)|(\[timeout)|(PRM\|1\|D)|(kpr)|(kdp))" /e /r /s</v>
      </c>
      <c r="AG222" s="1" t="str">
        <f t="shared" si="146"/>
        <v>Other</v>
      </c>
      <c r="AH222" s="105" t="str">
        <f t="shared" si="154"/>
        <v>"%USERPROFILE%\Documents\GitHub\eaglep3\Utilities\RefineRTDCRunTimes.py" --tripid 904-16 --locoid 4001 --swversion DE.1.0.7.0 --startMP 300:23502 --initTime 2016-08-16T15:34:10 --startdatetime 2016-08-16T15:38:22 --delay 4 --endMP 204:713 --enddatetime 2016-08-16T15:48:12 --enforcementcount 1</v>
      </c>
    </row>
    <row r="223" spans="1:34" x14ac:dyDescent="0.25">
      <c r="A223" s="40" t="s">
        <v>651</v>
      </c>
      <c r="B223" s="7">
        <v>4001</v>
      </c>
      <c r="C223" s="25" t="s">
        <v>119</v>
      </c>
      <c r="D223" s="25" t="s">
        <v>600</v>
      </c>
      <c r="E223" s="16">
        <v>42598.797800925924</v>
      </c>
      <c r="F223" s="16">
        <v>42598.798854166664</v>
      </c>
      <c r="G223" s="7">
        <v>1</v>
      </c>
      <c r="H223" s="16" t="s">
        <v>652</v>
      </c>
      <c r="I223" s="16">
        <v>42598.804930555554</v>
      </c>
      <c r="J223" s="7">
        <v>1</v>
      </c>
      <c r="K223" s="142" t="str">
        <f t="shared" si="139"/>
        <v>4001/4002</v>
      </c>
      <c r="L223" s="25" t="str">
        <f>VLOOKUP(A223,'Trips&amp;Operators'!$C$1:$E$10000,3,FALSE)</f>
        <v>STURGEON</v>
      </c>
      <c r="M223" s="6">
        <f t="shared" si="140"/>
        <v>6.0763888905057684E-3</v>
      </c>
      <c r="N223" s="7">
        <f t="shared" si="138"/>
        <v>8.7500000023283064</v>
      </c>
      <c r="O223" s="7"/>
      <c r="P223" s="7"/>
      <c r="Q223" s="26"/>
      <c r="R223" s="26"/>
      <c r="S223" s="38">
        <f t="shared" si="141"/>
        <v>0</v>
      </c>
      <c r="T223" s="53" t="str">
        <f t="shared" si="142"/>
        <v>Southbound</v>
      </c>
      <c r="U223" s="13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18:08:50-0600',mode:absolute,to:'2016-08-16 20:19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23" s="55" t="str">
        <f t="shared" si="143"/>
        <v>Y</v>
      </c>
      <c r="X223" s="129">
        <f t="shared" si="153"/>
        <v>2</v>
      </c>
      <c r="Y223" s="70">
        <f t="shared" si="147"/>
        <v>5.8596000000000004</v>
      </c>
      <c r="Z223" s="70">
        <f t="shared" si="152"/>
        <v>2.8788</v>
      </c>
      <c r="AA223" s="70">
        <f t="shared" si="144"/>
        <v>2.9808000000000003</v>
      </c>
      <c r="AB223" s="67" t="e">
        <f>VLOOKUP(A223,Enforcements!$C$7:$J$24,8,0)</f>
        <v>#N/A</v>
      </c>
      <c r="AC223" s="63" t="e">
        <f>VLOOKUP(A223,Enforcements!$C$7:$E$24,3,0)</f>
        <v>#N/A</v>
      </c>
      <c r="AD223" s="64" t="str">
        <f t="shared" si="145"/>
        <v>0906-16</v>
      </c>
      <c r="AE223" s="104" t="str">
        <f t="shared" si="150"/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AF223" s="101" t="str">
        <f t="shared" si="151"/>
        <v>"C:\Program Files (x86)\AstroGrep\AstroGrep.exe" /spath="%USERPROFILE%\AppData\Local\Temp\OnboardLogs" /stypes="*4001*20160817*" /stext=" 01:.+((SYSTEM_STATE.+slice.+state.+changed )|(ment ac)|(system.+state.+changed )|(\|lc)|(penalty)|(\[timeout)|(PRM\|1\|D)|(kpr)|(kdp))" /e /r /s</v>
      </c>
      <c r="AG223" s="1" t="str">
        <f t="shared" si="146"/>
        <v>Other</v>
      </c>
      <c r="AH223" s="105" t="str">
        <f t="shared" si="154"/>
        <v>"%USERPROFILE%\Documents\GitHub\eaglep3\Utilities\RefineRTDCRunTimes.py" --tripid 906-16 --locoid 4001 --swversion DE.1.0.7.0 --startMP 300:58596 --initTime 2016-08-16T19:08:50 --startdatetime 2016-08-16T19:10:21 --delay 1 --endMP 300:28788 --enddatetime 2016-08-16T19:19:06 --enforcementcount 1</v>
      </c>
    </row>
    <row r="224" spans="1:34" x14ac:dyDescent="0.25">
      <c r="A224" s="40" t="s">
        <v>653</v>
      </c>
      <c r="B224" s="7">
        <v>4013</v>
      </c>
      <c r="C224" s="25" t="s">
        <v>119</v>
      </c>
      <c r="D224" s="25" t="s">
        <v>637</v>
      </c>
      <c r="E224" s="16">
        <v>42598.944907407407</v>
      </c>
      <c r="F224" s="16">
        <v>42598.946018518516</v>
      </c>
      <c r="G224" s="7">
        <v>1</v>
      </c>
      <c r="H224" s="16" t="s">
        <v>654</v>
      </c>
      <c r="I224" s="16">
        <v>42598.952326388891</v>
      </c>
      <c r="J224" s="7">
        <v>1</v>
      </c>
      <c r="K224" s="142" t="str">
        <f t="shared" si="139"/>
        <v>4013/4014</v>
      </c>
      <c r="L224" s="25" t="str">
        <f>VLOOKUP(A224,'Trips&amp;Operators'!$C$1:$E$10000,3,FALSE)</f>
        <v>STURGEON</v>
      </c>
      <c r="M224" s="6">
        <f t="shared" si="140"/>
        <v>6.3078703751671128E-3</v>
      </c>
      <c r="N224" s="7">
        <f t="shared" si="138"/>
        <v>9.0833333402406424</v>
      </c>
      <c r="O224" s="7"/>
      <c r="P224" s="7"/>
      <c r="Q224" s="26"/>
      <c r="R224" s="26"/>
      <c r="S224" s="38">
        <f t="shared" si="141"/>
        <v>0</v>
      </c>
      <c r="T224" s="53" t="str">
        <f t="shared" si="142"/>
        <v>Southbound</v>
      </c>
      <c r="U224" s="13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21:40:40-0600',mode:absolute,to:'2016-08-16 23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24" s="55" t="str">
        <f t="shared" si="143"/>
        <v>Y</v>
      </c>
      <c r="X224" s="129">
        <f t="shared" si="153"/>
        <v>2</v>
      </c>
      <c r="Y224" s="70">
        <f t="shared" si="147"/>
        <v>5.8597999999999999</v>
      </c>
      <c r="Z224" s="70">
        <f t="shared" si="152"/>
        <v>2.1764999999999999</v>
      </c>
      <c r="AA224" s="70">
        <f t="shared" si="144"/>
        <v>3.6833</v>
      </c>
      <c r="AB224" s="67" t="e">
        <f>VLOOKUP(A224,Enforcements!$C$7:$J$24,8,0)</f>
        <v>#N/A</v>
      </c>
      <c r="AC224" s="63" t="e">
        <f>VLOOKUP(A224,Enforcements!$C$7:$E$24,3,0)</f>
        <v>#N/A</v>
      </c>
      <c r="AD224" s="64" t="str">
        <f t="shared" si="145"/>
        <v>0908-16</v>
      </c>
      <c r="AE224" s="104" t="str">
        <f t="shared" si="150"/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AF224" s="101" t="str">
        <f t="shared" si="151"/>
        <v>"C:\Program Files (x86)\AstroGrep\AstroGrep.exe" /spath="%USERPROFILE%\AppData\Local\Temp\OnboardLogs" /stypes="*4013*20160817*" /stext=" 04:.+((SYSTEM_STATE.+slice.+state.+changed )|(ment ac)|(system.+state.+changed )|(\|lc)|(penalty)|(\[timeout)|(PRM\|1\|D)|(kpr)|(kdp))" /e /r /s</v>
      </c>
      <c r="AG224" s="1" t="str">
        <f t="shared" si="146"/>
        <v>Other</v>
      </c>
      <c r="AH224" s="105" t="str">
        <f t="shared" si="154"/>
        <v>"%USERPROFILE%\Documents\GitHub\eaglep3\Utilities\RefineRTDCRunTimes.py" --tripid 908-16 --locoid 4013 --swversion DE.1.0.7.0 --startMP 300:58598 --initTime 2016-08-16T22:40:40 --startdatetime 2016-08-16T22:42:16 --delay 1 --endMP 300:21765 --enddatetime 2016-08-16T22:51:21 --enforcementcount 1</v>
      </c>
    </row>
    <row r="225" spans="1:34" x14ac:dyDescent="0.25">
      <c r="A225" s="40" t="s">
        <v>548</v>
      </c>
      <c r="B225" s="7">
        <v>4015</v>
      </c>
      <c r="C225" s="25" t="s">
        <v>119</v>
      </c>
      <c r="D225" s="25" t="s">
        <v>549</v>
      </c>
      <c r="E225" s="16">
        <v>42598.70039351852</v>
      </c>
      <c r="F225" s="16">
        <v>42598.701458333337</v>
      </c>
      <c r="G225" s="7">
        <v>1</v>
      </c>
      <c r="H225" s="16" t="s">
        <v>550</v>
      </c>
      <c r="I225" s="16">
        <v>42598.714988425927</v>
      </c>
      <c r="J225" s="7">
        <v>1</v>
      </c>
      <c r="K225" s="142" t="str">
        <f t="shared" si="139"/>
        <v>4015/4016</v>
      </c>
      <c r="L225" s="25" t="str">
        <f>VLOOKUP(A225,'Trips&amp;Operators'!$C$1:$E$10000,3,FALSE)</f>
        <v>OUN</v>
      </c>
      <c r="M225" s="6">
        <f t="shared" si="140"/>
        <v>1.3530092590372078E-2</v>
      </c>
      <c r="N225" s="7">
        <f t="shared" si="138"/>
        <v>19.483333330135792</v>
      </c>
      <c r="O225" s="7"/>
      <c r="P225" s="7"/>
      <c r="Q225" s="26"/>
      <c r="R225" s="26"/>
      <c r="S225" s="38">
        <f t="shared" si="141"/>
        <v>0</v>
      </c>
      <c r="T225" s="53" t="e">
        <f t="shared" si="142"/>
        <v>#VALUE!</v>
      </c>
      <c r="U225" s="13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11" t="str">
        <f t="shared" si="149"/>
        <v>https://search-rtdc-monitor-bjffxe2xuh6vdkpspy63sjmuny.us-east-1.es.amazonaws.com/_plugin/kibana/#/discover/Steve-Slow-Train-Analysis-(2080s-and-2083s)?_g=(refreshInterval:(display:Off,section:0,value:0),time:(from:'2016-08-16 15:48:34-0600',mode:absolute,to:'2016-08-16 18:09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4015%22')),sort:!(Time,asc))</v>
      </c>
      <c r="W225" s="55" t="str">
        <f t="shared" si="143"/>
        <v>Y</v>
      </c>
      <c r="X225" s="129" t="e">
        <f t="shared" si="153"/>
        <v>#VALUE!</v>
      </c>
      <c r="Y225" s="70">
        <f t="shared" si="147"/>
        <v>2.3292999999999999</v>
      </c>
      <c r="Z225" s="70">
        <f t="shared" si="152"/>
        <v>0.1026</v>
      </c>
      <c r="AA225" s="70">
        <f t="shared" si="144"/>
        <v>2.2267000000000001</v>
      </c>
      <c r="AB225" s="67" t="e">
        <f>VLOOKUP(A225,Enforcements!$C$7:$J$24,8,0)</f>
        <v>#N/A</v>
      </c>
      <c r="AC225" s="63" t="e">
        <f>VLOOKUP(A225,Enforcements!$C$7:$E$24,3,0)</f>
        <v>#N/A</v>
      </c>
      <c r="AD225" s="64" t="str">
        <f t="shared" si="145"/>
        <v>52-16</v>
      </c>
      <c r="AE225" s="104" t="str">
        <f t="shared" si="150"/>
        <v>aws s3 cp s3://rtdc.mdm.uploadarchive/RTDC4015/2016-08-16/ "%USERPROFILE%\AppData\Local\Temp\OnboardLogs"\RTDC4015\2016-08-16 --recursive &amp; "%USERPROFILE%\Documents\GitHub\mrs-test-scripts\Headless Mode &amp; Sideloading\WalkAndUnGZ.bat" "%USERPROFILE%\AppData\Local\Temp\OnboardLogs"\RTDC4015\2016-08-16 &amp; aws s3 cp s3://rtdc.mdm.uploadarchive/RTDC4015/2016-08-17/ "%USERPROFILE%\AppData\Local\Temp\OnboardLogs"\RTDC4015\2016-08-17 --recursive &amp; "%USERPROFILE%\Documents\GitHub\mrs-test-scripts\Headless Mode &amp; Sideloading\WalkAndUnGZ.bat" "%USERPROFILE%\AppData\Local\Temp\OnboardLogs"\RTDC4015\2016-08-17</v>
      </c>
      <c r="AF225" s="101" t="str">
        <f t="shared" si="151"/>
        <v>"C:\Program Files (x86)\AstroGrep\AstroGrep.exe" /spath="%USERPROFILE%\AppData\Local\Temp\OnboardLogs" /stypes="*4015*20160816*" /stext=" 23:.+((SYSTEM_STATE.+slice.+state.+changed )|(ment ac)|(system.+state.+changed )|(\|lc)|(penalty)|(\[timeout)|(PRM\|1\|D)|(kpr)|(kdp))" /e /r /s</v>
      </c>
      <c r="AG225" s="1" t="str">
        <f t="shared" si="146"/>
        <v>Other</v>
      </c>
      <c r="AH225" s="105" t="str">
        <f t="shared" si="154"/>
        <v>"%USERPROFILE%\Documents\GitHub\eaglep3\Utilities\RefineRTDCRunTimes.py" --tripid 52-16 --locoid 4015 --swversion DE.1.0.7.0 --startMP 300:23293 --initTime 2016-08-16T16:48:34 --startdatetime 2016-08-16T16:50:06 --delay 1 --endMP 204:1026 --enddatetime 2016-08-16T17:09:35 --enforcementcount 1</v>
      </c>
    </row>
  </sheetData>
  <autoFilter ref="A12:AG225"/>
  <sortState ref="A13:AH200">
    <sortCondition ref="AG13:AG200"/>
    <sortCondition ref="AD13:AD200"/>
  </sortState>
  <mergeCells count="1">
    <mergeCell ref="A11:P11"/>
  </mergeCells>
  <conditionalFormatting sqref="W11:W12 W13:X14 W31 W15:W29 X15:X31 W164:X182 W34:W37 W38:X146 X147 W148:X161 X183 W184:X1048576">
    <cfRule type="cellIs" dxfId="64" priority="259" operator="equal">
      <formula>"Y"</formula>
    </cfRule>
  </conditionalFormatting>
  <conditionalFormatting sqref="X13:X31 X38:X161 X164:X1048576">
    <cfRule type="cellIs" dxfId="63" priority="242" operator="greaterThan">
      <formula>1</formula>
    </cfRule>
  </conditionalFormatting>
  <conditionalFormatting sqref="X12:X31 X38:X161 X164:X1048576">
    <cfRule type="cellIs" dxfId="62" priority="239" operator="equal">
      <formula>0</formula>
    </cfRule>
  </conditionalFormatting>
  <conditionalFormatting sqref="A31:S31 A30 A32:A33 A162:E162 A13:S29 A34:S146 A147:M147 A148:S161 A164:S182 A183:M183 A184:S225">
    <cfRule type="expression" dxfId="61" priority="235">
      <formula>$O13&gt;0</formula>
    </cfRule>
  </conditionalFormatting>
  <conditionalFormatting sqref="A31:S31 A30 A32:A33 A162:E162 A13:S29 A34:S146 A147:M147 A148:S161 A164:S182 A183:M183 A184:S225">
    <cfRule type="expression" dxfId="60" priority="234">
      <formula>$P13&gt;0</formula>
    </cfRule>
  </conditionalFormatting>
  <conditionalFormatting sqref="W30">
    <cfRule type="cellIs" dxfId="59" priority="58" operator="equal">
      <formula>"Y"</formula>
    </cfRule>
  </conditionalFormatting>
  <conditionalFormatting sqref="X163">
    <cfRule type="cellIs" dxfId="58" priority="22" operator="greaterThan">
      <formula>1</formula>
    </cfRule>
  </conditionalFormatting>
  <conditionalFormatting sqref="X163">
    <cfRule type="cellIs" dxfId="57" priority="21" operator="equal">
      <formula>0</formula>
    </cfRule>
  </conditionalFormatting>
  <conditionalFormatting sqref="B30:J30 L30:S30">
    <cfRule type="expression" dxfId="56" priority="55">
      <formula>$O30&gt;0</formula>
    </cfRule>
  </conditionalFormatting>
  <conditionalFormatting sqref="B30:J30 L30:S30">
    <cfRule type="expression" dxfId="55" priority="54">
      <formula>$P30&gt;0</formula>
    </cfRule>
  </conditionalFormatting>
  <conditionalFormatting sqref="X32">
    <cfRule type="cellIs" dxfId="54" priority="52" operator="equal">
      <formula>"Y"</formula>
    </cfRule>
  </conditionalFormatting>
  <conditionalFormatting sqref="X32">
    <cfRule type="cellIs" dxfId="53" priority="51" operator="greaterThan">
      <formula>1</formula>
    </cfRule>
  </conditionalFormatting>
  <conditionalFormatting sqref="X32">
    <cfRule type="cellIs" dxfId="52" priority="50" operator="equal">
      <formula>0</formula>
    </cfRule>
  </conditionalFormatting>
  <conditionalFormatting sqref="W32">
    <cfRule type="cellIs" dxfId="51" priority="49" operator="equal">
      <formula>"Y"</formula>
    </cfRule>
  </conditionalFormatting>
  <conditionalFormatting sqref="B32:J32 L32:S32">
    <cfRule type="expression" dxfId="50" priority="48">
      <formula>$O32&gt;0</formula>
    </cfRule>
  </conditionalFormatting>
  <conditionalFormatting sqref="B32:J32 L32:S32">
    <cfRule type="expression" dxfId="49" priority="47">
      <formula>$P32&gt;0</formula>
    </cfRule>
  </conditionalFormatting>
  <conditionalFormatting sqref="X33:X37">
    <cfRule type="cellIs" dxfId="48" priority="45" operator="equal">
      <formula>"Y"</formula>
    </cfRule>
  </conditionalFormatting>
  <conditionalFormatting sqref="X33:X37">
    <cfRule type="cellIs" dxfId="47" priority="44" operator="greaterThan">
      <formula>1</formula>
    </cfRule>
  </conditionalFormatting>
  <conditionalFormatting sqref="X33:X37">
    <cfRule type="cellIs" dxfId="46" priority="43" operator="equal">
      <formula>0</formula>
    </cfRule>
  </conditionalFormatting>
  <conditionalFormatting sqref="W33">
    <cfRule type="cellIs" dxfId="45" priority="42" operator="equal">
      <formula>"Y"</formula>
    </cfRule>
  </conditionalFormatting>
  <conditionalFormatting sqref="B33:J33 L33:S33">
    <cfRule type="expression" dxfId="44" priority="41">
      <formula>$O33&gt;0</formula>
    </cfRule>
  </conditionalFormatting>
  <conditionalFormatting sqref="B33:J33 L33:S33">
    <cfRule type="expression" dxfId="43" priority="40">
      <formula>$P33&gt;0</formula>
    </cfRule>
  </conditionalFormatting>
  <conditionalFormatting sqref="K30">
    <cfRule type="expression" dxfId="42" priority="38">
      <formula>$O30&gt;0</formula>
    </cfRule>
  </conditionalFormatting>
  <conditionalFormatting sqref="K30">
    <cfRule type="expression" dxfId="41" priority="37">
      <formula>$P30&gt;0</formula>
    </cfRule>
  </conditionalFormatting>
  <conditionalFormatting sqref="K32">
    <cfRule type="expression" dxfId="40" priority="35">
      <formula>$O32&gt;0</formula>
    </cfRule>
  </conditionalFormatting>
  <conditionalFormatting sqref="K32">
    <cfRule type="expression" dxfId="39" priority="34">
      <formula>$P32&gt;0</formula>
    </cfRule>
  </conditionalFormatting>
  <conditionalFormatting sqref="K33">
    <cfRule type="expression" dxfId="38" priority="32">
      <formula>$O33&gt;0</formula>
    </cfRule>
  </conditionalFormatting>
  <conditionalFormatting sqref="K33">
    <cfRule type="expression" dxfId="37" priority="31">
      <formula>$P33&gt;0</formula>
    </cfRule>
  </conditionalFormatting>
  <conditionalFormatting sqref="W162:X162">
    <cfRule type="cellIs" dxfId="36" priority="29" operator="equal">
      <formula>"Y"</formula>
    </cfRule>
  </conditionalFormatting>
  <conditionalFormatting sqref="X162">
    <cfRule type="cellIs" dxfId="35" priority="28" operator="greaterThan">
      <formula>1</formula>
    </cfRule>
  </conditionalFormatting>
  <conditionalFormatting sqref="X162">
    <cfRule type="cellIs" dxfId="34" priority="27" operator="equal">
      <formula>0</formula>
    </cfRule>
  </conditionalFormatting>
  <conditionalFormatting sqref="F162:S162">
    <cfRule type="expression" dxfId="33" priority="26">
      <formula>$O162&gt;0</formula>
    </cfRule>
  </conditionalFormatting>
  <conditionalFormatting sqref="F162:S162">
    <cfRule type="expression" dxfId="32" priority="25">
      <formula>$P162&gt;0</formula>
    </cfRule>
  </conditionalFormatting>
  <conditionalFormatting sqref="W163:X163">
    <cfRule type="cellIs" dxfId="31" priority="23" operator="equal">
      <formula>"Y"</formula>
    </cfRule>
  </conditionalFormatting>
  <conditionalFormatting sqref="A163:Q163 S163">
    <cfRule type="expression" dxfId="30" priority="20">
      <formula>$O163&gt;0</formula>
    </cfRule>
  </conditionalFormatting>
  <conditionalFormatting sqref="A163:Q163 S163">
    <cfRule type="expression" dxfId="29" priority="19">
      <formula>$P163&gt;0</formula>
    </cfRule>
  </conditionalFormatting>
  <conditionalFormatting sqref="W147">
    <cfRule type="cellIs" dxfId="28" priority="17" operator="equal">
      <formula>"Y"</formula>
    </cfRule>
  </conditionalFormatting>
  <conditionalFormatting sqref="N147:S147">
    <cfRule type="expression" dxfId="27" priority="16">
      <formula>$O147&gt;0</formula>
    </cfRule>
  </conditionalFormatting>
  <conditionalFormatting sqref="N147:S147">
    <cfRule type="expression" dxfId="26" priority="15">
      <formula>$P147&gt;0</formula>
    </cfRule>
  </conditionalFormatting>
  <conditionalFormatting sqref="P183:R183">
    <cfRule type="expression" dxfId="25" priority="3">
      <formula>$O183&gt;0</formula>
    </cfRule>
  </conditionalFormatting>
  <conditionalFormatting sqref="P183:R183">
    <cfRule type="expression" dxfId="24" priority="2">
      <formula>$P183&gt;0</formula>
    </cfRule>
  </conditionalFormatting>
  <conditionalFormatting sqref="R163">
    <cfRule type="expression" dxfId="23" priority="10">
      <formula>$O163&gt;0</formula>
    </cfRule>
  </conditionalFormatting>
  <conditionalFormatting sqref="R163">
    <cfRule type="expression" dxfId="22" priority="9">
      <formula>$P163&gt;0</formula>
    </cfRule>
  </conditionalFormatting>
  <conditionalFormatting sqref="W183">
    <cfRule type="cellIs" dxfId="21" priority="7" operator="equal">
      <formula>"Y"</formula>
    </cfRule>
  </conditionalFormatting>
  <conditionalFormatting sqref="N183:O183 S183">
    <cfRule type="expression" dxfId="20" priority="6">
      <formula>$O183&gt;0</formula>
    </cfRule>
  </conditionalFormatting>
  <conditionalFormatting sqref="N183:O183 S183">
    <cfRule type="expression" dxfId="19" priority="5">
      <formula>$P183&gt;0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A31:S31 A30 A32:A33 A162:E162 A13:S29 A34:S146 A147:M147 A148:S161 A164:S182 A183:M183 A184:S225</xm:sqref>
        </x14:conditionalFormatting>
        <x14:conditionalFormatting xmlns:xm="http://schemas.microsoft.com/office/excel/2006/main">
          <x14:cfRule type="expression" priority="53" id="{1CE92E19-2F13-46E8-A62C-A3EAD1B4236F}">
            <xm:f>IF($AG30="EC",$N30&gt;Variables!$C$2,$N30&gt;Variables!$D$2)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B30:J30 L30:S30</xm:sqref>
        </x14:conditionalFormatting>
        <x14:conditionalFormatting xmlns:xm="http://schemas.microsoft.com/office/excel/2006/main">
          <x14:cfRule type="expression" priority="46" id="{AEFD905F-71B9-4C5F-89DC-6073B2DB2154}">
            <xm:f>IF($AG32="EC",$N32&gt;Variables!$C$2,$N32&gt;Variables!$D$2)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B32:J32 L32:S32</xm:sqref>
        </x14:conditionalFormatting>
        <x14:conditionalFormatting xmlns:xm="http://schemas.microsoft.com/office/excel/2006/main">
          <x14:cfRule type="expression" priority="39" id="{F3E85751-0CF0-4771-82F9-12FAE0691BC4}">
            <xm:f>IF($AG33="EC",$N33&gt;Variables!$C$2,$N33&gt;Variables!$D$2)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B33:J33 L33:S33</xm:sqref>
        </x14:conditionalFormatting>
        <x14:conditionalFormatting xmlns:xm="http://schemas.microsoft.com/office/excel/2006/main">
          <x14:cfRule type="expression" priority="36" id="{5BA748F4-9FAB-42C3-8725-C9C549364F46}">
            <xm:f>IF($AG30="EC",$N30&gt;Variables!$C$2,$N30&gt;Variables!$D$2)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expression" priority="33" id="{77C52161-4041-4494-9AFC-2E799B4BA6B4}">
            <xm:f>IF($AG32="EC",$N32&gt;Variables!$C$2,$N32&gt;Variables!$D$2)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expression" priority="30" id="{CAFF43C3-A220-4887-8482-2E559FBBBD9C}">
            <xm:f>IF($AG33="EC",$N33&gt;Variables!$C$2,$N33&gt;Variables!$D$2)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expression" priority="24" id="{781FB817-3FB2-453E-BEE3-34298F52BC81}">
            <xm:f>IF($AG162="EC",$N162&gt;Variables!$C$2,$N162&gt;Variables!$D$2)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F162:S162</xm:sqref>
        </x14:conditionalFormatting>
        <x14:conditionalFormatting xmlns:xm="http://schemas.microsoft.com/office/excel/2006/main">
          <x14:cfRule type="expression" priority="18" id="{32AC4480-5733-4635-90B7-1E6E2AA5286B}">
            <xm:f>IF($AG163="EC",$N163&gt;Variables!$C$2,$N163&gt;Variables!$D$2)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A163:Q163 S163</xm:sqref>
        </x14:conditionalFormatting>
        <x14:conditionalFormatting xmlns:xm="http://schemas.microsoft.com/office/excel/2006/main">
          <x14:cfRule type="expression" priority="14" id="{B40E8714-CA5E-4162-9840-C19B0F64A683}">
            <xm:f>IF($AG147="EC",$N147&gt;Variables!$C$2,$N147&gt;Variables!$D$2)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N147:S147</xm:sqref>
        </x14:conditionalFormatting>
        <x14:conditionalFormatting xmlns:xm="http://schemas.microsoft.com/office/excel/2006/main">
          <x14:cfRule type="expression" priority="1" id="{D60C1514-F760-49BF-83B5-F0C98DD675FD}">
            <xm:f>IF($AG183="EC",$N183&gt;Variables!$C$2,$N183&gt;Variables!$D$2)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P183:R183</xm:sqref>
        </x14:conditionalFormatting>
        <x14:conditionalFormatting xmlns:xm="http://schemas.microsoft.com/office/excel/2006/main">
          <x14:cfRule type="expression" priority="8" id="{4DE06C7A-8C65-44B5-B313-9497C5154C44}">
            <xm:f>IF($AG163="EC",$N163&gt;Variables!$C$2,$N163&gt;Variables!$D$2)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R163</xm:sqref>
        </x14:conditionalFormatting>
        <x14:conditionalFormatting xmlns:xm="http://schemas.microsoft.com/office/excel/2006/main">
          <x14:cfRule type="expression" priority="4" id="{4575D564-57E4-4787-B9C6-5E43DA8AF79E}">
            <xm:f>IF($AG183="EC",$N183&gt;Variables!$C$2,$N183&gt;Variables!$D$2)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N183:O183 S183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0"/>
  <sheetViews>
    <sheetView workbookViewId="0">
      <selection activeCell="N40" sqref="N4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3" customWidth="1"/>
    <col min="14" max="14" width="24.140625" customWidth="1"/>
    <col min="15" max="15" width="5" hidden="1" customWidth="1"/>
    <col min="16" max="16" width="5.7109375" style="102" customWidth="1"/>
    <col min="17" max="17" width="5.7109375" style="116" customWidth="1"/>
    <col min="18" max="18" width="6" style="99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23"/>
      <c r="P1" s="102"/>
      <c r="Q1" s="116"/>
      <c r="R1" s="99"/>
      <c r="T1" s="51"/>
    </row>
    <row r="2" spans="1:22" s="24" customFormat="1" x14ac:dyDescent="0.25">
      <c r="A2" s="8"/>
      <c r="F2" s="2"/>
      <c r="G2" s="2"/>
      <c r="H2" s="2"/>
      <c r="J2" s="2"/>
      <c r="K2" s="143" t="s">
        <v>90</v>
      </c>
      <c r="L2" s="144"/>
      <c r="M2" s="145">
        <f>COUNTIF($M$7:$M$412,"=Y")</f>
        <v>19</v>
      </c>
      <c r="N2" s="146"/>
      <c r="P2" s="102"/>
      <c r="Q2" s="116"/>
      <c r="R2" s="99"/>
      <c r="T2" s="51"/>
    </row>
    <row r="3" spans="1:22" s="24" customFormat="1" ht="15.75" thickBot="1" x14ac:dyDescent="0.3">
      <c r="A3" s="8"/>
      <c r="F3" s="2"/>
      <c r="G3" s="2"/>
      <c r="H3" s="2"/>
      <c r="J3" s="2"/>
      <c r="K3" s="147" t="s">
        <v>91</v>
      </c>
      <c r="L3" s="148"/>
      <c r="M3" s="149">
        <f>COUNTA($M$7:$M$412)-M2</f>
        <v>35</v>
      </c>
      <c r="N3" s="146"/>
      <c r="P3" s="102"/>
      <c r="Q3" s="116"/>
      <c r="R3" s="99"/>
      <c r="T3" s="51"/>
    </row>
    <row r="4" spans="1:22" s="24" customFormat="1" x14ac:dyDescent="0.25">
      <c r="A4" s="8"/>
      <c r="F4" s="2"/>
      <c r="G4" s="2"/>
      <c r="H4" s="2"/>
      <c r="J4" s="2"/>
      <c r="L4" s="31"/>
      <c r="M4" s="123"/>
      <c r="P4" s="102"/>
      <c r="Q4" s="116"/>
      <c r="R4" s="99"/>
      <c r="T4" s="51"/>
    </row>
    <row r="5" spans="1:22" s="12" customFormat="1" ht="15" customHeight="1" x14ac:dyDescent="0.25">
      <c r="A5" s="151" t="str">
        <f>"Eagle P3 Braking Events - "&amp;TEXT(Variables!$A$2,"YYYY-mm-dd")</f>
        <v>Eagle P3 Braking Events - 2016-08-16</v>
      </c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3"/>
      <c r="P5" s="113"/>
      <c r="Q5" s="117"/>
      <c r="R5" s="120"/>
      <c r="T5" s="52"/>
    </row>
    <row r="6" spans="1:22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40" t="s">
        <v>27</v>
      </c>
      <c r="N6" s="73" t="s">
        <v>24</v>
      </c>
      <c r="O6" s="53"/>
      <c r="P6" s="114" t="s">
        <v>104</v>
      </c>
      <c r="Q6" s="118" t="s">
        <v>63</v>
      </c>
      <c r="R6" s="121" t="s">
        <v>103</v>
      </c>
      <c r="S6" s="73" t="s">
        <v>98</v>
      </c>
      <c r="T6" s="75" t="s">
        <v>99</v>
      </c>
      <c r="U6" s="53" t="s">
        <v>112</v>
      </c>
      <c r="V6" s="53" t="s">
        <v>115</v>
      </c>
    </row>
    <row r="7" spans="1:22" s="1" customFormat="1" x14ac:dyDescent="0.25">
      <c r="A7" s="39">
        <v>42598.332303240742</v>
      </c>
      <c r="B7" s="34" t="s">
        <v>94</v>
      </c>
      <c r="C7" s="34" t="s">
        <v>334</v>
      </c>
      <c r="D7" s="34" t="s">
        <v>49</v>
      </c>
      <c r="E7" s="34" t="s">
        <v>229</v>
      </c>
      <c r="F7" s="50">
        <v>320</v>
      </c>
      <c r="G7" s="50">
        <v>398</v>
      </c>
      <c r="H7" s="50">
        <v>31729</v>
      </c>
      <c r="I7" s="34" t="s">
        <v>230</v>
      </c>
      <c r="J7" s="50">
        <v>33137</v>
      </c>
      <c r="K7" s="34" t="s">
        <v>52</v>
      </c>
      <c r="L7" s="97" t="str">
        <f>VLOOKUP(C7,'Trips&amp;Operators'!$C$1:$E$9999,3,0)</f>
        <v>BRANNON</v>
      </c>
      <c r="M7" s="141" t="s">
        <v>89</v>
      </c>
      <c r="N7" s="10" t="s">
        <v>285</v>
      </c>
      <c r="O7" s="34"/>
      <c r="P7" s="115" t="str">
        <f>VLOOKUP(C7,'Train Runs'!$A$13:$AE$10002,31,0)</f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Q7" s="119" t="str">
        <f>VLOOKUP(C7,'Train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06:46:54-0600',mode:absolute,to:'2016-08-16 09:29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7" s="122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/stypes="*4029*201608161*" /stext=" 13:.+((SYSTEM_STATE.+slice.+state.+changed )|(ment ac)|(system.+state.+changed )|(\|lc)|(penalty)|(\[timeout)|(PRM\|1\|D)|(kpr)|(kdp))" /e /r /s</v>
      </c>
      <c r="S7" s="9" t="str">
        <f t="shared" ref="S7:S38" si="1">MID(B7,13,4)</f>
        <v>4029</v>
      </c>
      <c r="T7" s="39">
        <f t="shared" ref="T7:T38" si="2">A7+6/24</f>
        <v>42598.582303240742</v>
      </c>
      <c r="U7" s="53" t="str">
        <f t="shared" ref="U7:U38" si="3">IF(VALUE(LEFT(IF(LEN(C7)=6,"0"&amp;C7,C7),2))&lt;=2,"EC",IF(OR(VALUE(LEFT(IF(LEN(C7)=6,"0"&amp;C7,C7),2))=8,VALUE(LEFT(IF(LEN(C7)=6,"0"&amp;C7,C7),2))=18),"NW","GL"))</f>
        <v>EC</v>
      </c>
      <c r="V7" s="53" t="str">
        <f t="shared" ref="V7:V38" si="4">IF(AND(E7="TRACK WARRANT AUTHORITY",G7&lt;10),"OMIT","KEEP")</f>
        <v>KEEP</v>
      </c>
    </row>
    <row r="8" spans="1:22" s="1" customFormat="1" x14ac:dyDescent="0.25">
      <c r="A8" s="39">
        <v>42598.523645833331</v>
      </c>
      <c r="B8" s="34" t="s">
        <v>161</v>
      </c>
      <c r="C8" s="34" t="s">
        <v>397</v>
      </c>
      <c r="D8" s="34" t="s">
        <v>49</v>
      </c>
      <c r="E8" s="34" t="s">
        <v>229</v>
      </c>
      <c r="F8" s="50">
        <v>0</v>
      </c>
      <c r="G8" s="50">
        <v>391</v>
      </c>
      <c r="H8" s="50">
        <v>78981</v>
      </c>
      <c r="I8" s="34" t="s">
        <v>230</v>
      </c>
      <c r="J8" s="50">
        <v>78469</v>
      </c>
      <c r="K8" s="34" t="s">
        <v>53</v>
      </c>
      <c r="L8" s="97" t="str">
        <f>VLOOKUP(C8,'Trips&amp;Operators'!$C$1:$E$9999,3,0)</f>
        <v>STEWART</v>
      </c>
      <c r="M8" s="141" t="s">
        <v>89</v>
      </c>
      <c r="N8" s="10" t="s">
        <v>285</v>
      </c>
      <c r="O8" s="34"/>
      <c r="P8" s="115" t="str">
        <f>VLOOKUP(C8,'Train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8" s="119" t="str">
        <f>VLOOKUP(C8,'Train Runs'!$A$13:$AE$10002,22,0)</f>
        <v>https://search-rtdc-monitor-bjffxe2xuh6vdkpspy63sjmuny.us-east-1.es.amazonaws.com/_plugin/kibana/#/discover/Steve-Slow-Train-Analysis-(2080s-and-2083s)?_g=(refreshInterval:(display:Off,section:0,value:0),time:(from:'2016-08-16 11:06:29-0600',mode:absolute,to:'2016-08-16 13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8" s="122" t="str">
        <f t="shared" si="0"/>
        <v>"C:\Program Files (x86)\AstroGrep\AstroGrep.exe" /spath="%USERPROFILE%\AppData\Local\Temp\OnboardLogs" /stypes="*4037*201608161*" /stext=" 18:.+((SYSTEM_STATE.+slice.+state.+changed )|(ment ac)|(system.+state.+changed )|(\|lc)|(penalty)|(\[timeout)|(PRM\|1\|D)|(kpr)|(kdp))" /e /r /s</v>
      </c>
      <c r="S8" s="9" t="str">
        <f t="shared" si="1"/>
        <v>4037</v>
      </c>
      <c r="T8" s="39">
        <f t="shared" si="2"/>
        <v>42598.773645833331</v>
      </c>
      <c r="U8" s="53" t="str">
        <f t="shared" si="3"/>
        <v>EC</v>
      </c>
      <c r="V8" s="53" t="str">
        <f t="shared" si="4"/>
        <v>KEEP</v>
      </c>
    </row>
    <row r="9" spans="1:22" s="1" customFormat="1" x14ac:dyDescent="0.25">
      <c r="A9" s="39">
        <v>42598.712824074071</v>
      </c>
      <c r="B9" s="34" t="s">
        <v>121</v>
      </c>
      <c r="C9" s="34" t="s">
        <v>454</v>
      </c>
      <c r="D9" s="34" t="s">
        <v>49</v>
      </c>
      <c r="E9" s="34" t="s">
        <v>229</v>
      </c>
      <c r="F9" s="50">
        <v>350</v>
      </c>
      <c r="G9" s="50">
        <v>401</v>
      </c>
      <c r="H9" s="50">
        <v>79272</v>
      </c>
      <c r="I9" s="34" t="s">
        <v>230</v>
      </c>
      <c r="J9" s="50">
        <v>78469</v>
      </c>
      <c r="K9" s="34" t="s">
        <v>53</v>
      </c>
      <c r="L9" s="97" t="str">
        <f>VLOOKUP(C9,'Trips&amp;Operators'!$C$1:$E$9999,3,0)</f>
        <v>MAYBERRY</v>
      </c>
      <c r="M9" s="141" t="s">
        <v>89</v>
      </c>
      <c r="N9" s="10" t="s">
        <v>285</v>
      </c>
      <c r="O9" s="34"/>
      <c r="P9" s="115" t="str">
        <f>VLOOKUP(C9,'Train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9" s="119" t="str">
        <f>VLOOKUP(C9,'Train Runs'!$A$13:$AE$10002,22,0)</f>
        <v>https://search-rtdc-monitor-bjffxe2xuh6vdkpspy63sjmuny.us-east-1.es.amazonaws.com/_plugin/kibana/#/discover/Steve-Slow-Train-Analysis-(2080s-and-2083s)?_g=(refreshInterval:(display:Off,section:0,value:0),time:(from:'2016-08-16 15:28:31-0600',mode:absolute,to:'2016-08-16 18:24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9" s="122" t="str">
        <f t="shared" si="0"/>
        <v>"C:\Program Files (x86)\AstroGrep\AstroGrep.exe" /spath="%USERPROFILE%\AppData\Local\Temp\OnboardLogs" /stypes="*4032*201608162*" /stext=" 23:.+((SYSTEM_STATE.+slice.+state.+changed )|(ment ac)|(system.+state.+changed )|(\|lc)|(penalty)|(\[timeout)|(PRM\|1\|D)|(kpr)|(kdp))" /e /r /s</v>
      </c>
      <c r="S9" s="9" t="str">
        <f t="shared" si="1"/>
        <v>4032</v>
      </c>
      <c r="T9" s="39">
        <f t="shared" si="2"/>
        <v>42598.962824074071</v>
      </c>
      <c r="U9" s="53" t="str">
        <f t="shared" si="3"/>
        <v>EC</v>
      </c>
      <c r="V9" s="53" t="str">
        <f t="shared" si="4"/>
        <v>KEEP</v>
      </c>
    </row>
    <row r="10" spans="1:22" s="1" customFormat="1" x14ac:dyDescent="0.25">
      <c r="A10" s="39">
        <v>42598.408715277779</v>
      </c>
      <c r="B10" s="34" t="s">
        <v>94</v>
      </c>
      <c r="C10" s="34" t="s">
        <v>376</v>
      </c>
      <c r="D10" s="34" t="s">
        <v>116</v>
      </c>
      <c r="E10" s="34" t="s">
        <v>56</v>
      </c>
      <c r="F10" s="50">
        <v>150</v>
      </c>
      <c r="G10" s="50">
        <v>206</v>
      </c>
      <c r="H10" s="50">
        <v>4677</v>
      </c>
      <c r="I10" s="34" t="s">
        <v>57</v>
      </c>
      <c r="J10" s="50">
        <v>0</v>
      </c>
      <c r="K10" s="34" t="s">
        <v>52</v>
      </c>
      <c r="L10" s="97" t="str">
        <f>VLOOKUP(C10,'Trips&amp;Operators'!$C$1:$E$9999,3,0)</f>
        <v>CLARK</v>
      </c>
      <c r="M10" s="141" t="s">
        <v>89</v>
      </c>
      <c r="N10" s="10"/>
      <c r="O10" s="34"/>
      <c r="P10" s="115" t="str">
        <f>VLOOKUP(C10,'Train Runs'!$A$13:$AE$10002,31,0)</f>
        <v>aws s3 cp s3://rtdc.mdm.uploadarchive/RTDC4029/2016-08-16/ "%USERPROFILE%\AppData\Local\Temp\OnboardLogs"\RTDC4029\2016-08-16 --recursive &amp; "%USERPROFILE%\Documents\GitHub\mrs-test-scripts\Headless Mode &amp; Sideloading\WalkAndUnGZ.bat" "%USERPROFILE%\AppData\Local\Temp\OnboardLogs"\RTDC4029\2016-08-16 &amp; aws s3 cp s3://rtdc.mdm.uploadarchive/RTDC4029/2016-08-17/ "%USERPROFILE%\AppData\Local\Temp\OnboardLogs"\RTDC4029\2016-08-17 --recursive &amp; "%USERPROFILE%\Documents\GitHub\mrs-test-scripts\Headless Mode &amp; Sideloading\WalkAndUnGZ.bat" "%USERPROFILE%\AppData\Local\Temp\OnboardLogs"\RTDC4029\2016-08-17</v>
      </c>
      <c r="Q10" s="119" t="str">
        <f>VLOOKUP(C10,'Train Runs'!$A$13:$AE$10002,22,0)</f>
        <v>https://search-rtdc-monitor-bjffxe2xuh6vdkpspy63sjmuny.us-east-1.es.amazonaws.com/_plugin/kibana/#/discover/Steve-Slow-Train-Analysis-(2080s-and-2083s)?_g=(refreshInterval:(display:Off,section:0,value:0),time:(from:'2016-08-16 08:42:00-0600',mode:absolute,to:'2016-08-16 11:19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10" s="122" t="str">
        <f t="shared" si="0"/>
        <v>"C:\Program Files (x86)\AstroGrep\AstroGrep.exe" /spath="%USERPROFILE%\AppData\Local\Temp\OnboardLogs" /stypes="*4029*201608161*" /stext=" 15:.+((SYSTEM_STATE.+slice.+state.+changed )|(ment ac)|(system.+state.+changed )|(\|lc)|(penalty)|(\[timeout)|(PRM\|1\|D)|(kpr)|(kdp))" /e /r /s</v>
      </c>
      <c r="S10" s="9" t="str">
        <f t="shared" si="1"/>
        <v>4029</v>
      </c>
      <c r="T10" s="39">
        <f t="shared" si="2"/>
        <v>42598.658715277779</v>
      </c>
      <c r="U10" s="53" t="str">
        <f t="shared" si="3"/>
        <v>EC</v>
      </c>
      <c r="V10" s="53" t="str">
        <f t="shared" si="4"/>
        <v>KEEP</v>
      </c>
    </row>
    <row r="11" spans="1:22" s="1" customFormat="1" x14ac:dyDescent="0.25">
      <c r="A11" s="39">
        <v>42598.439722222225</v>
      </c>
      <c r="B11" s="34" t="s">
        <v>655</v>
      </c>
      <c r="C11" s="34" t="s">
        <v>386</v>
      </c>
      <c r="D11" s="34" t="s">
        <v>116</v>
      </c>
      <c r="E11" s="34" t="s">
        <v>56</v>
      </c>
      <c r="F11" s="50">
        <v>200</v>
      </c>
      <c r="G11" s="50">
        <v>254</v>
      </c>
      <c r="H11" s="50">
        <v>5154</v>
      </c>
      <c r="I11" s="34" t="s">
        <v>57</v>
      </c>
      <c r="J11" s="50">
        <v>4677</v>
      </c>
      <c r="K11" s="34" t="s">
        <v>52</v>
      </c>
      <c r="L11" s="97" t="str">
        <f>VLOOKUP(C11,'Trips&amp;Operators'!$C$1:$E$9999,3,0)</f>
        <v>GEBRETEKLE</v>
      </c>
      <c r="M11" s="141" t="s">
        <v>89</v>
      </c>
      <c r="N11" s="10"/>
      <c r="O11" s="34"/>
      <c r="P11" s="115" t="str">
        <f>VLOOKUP(C11,'Train Runs'!$A$13:$AE$10002,31,0)</f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Q11" s="119" t="str">
        <f>VLOOKUP(C11,'Train Runs'!$A$13:$AE$10002,22,0)</f>
        <v>https://search-rtdc-monitor-bjffxe2xuh6vdkpspy63sjmuny.us-east-1.es.amazonaws.com/_plugin/kibana/#/discover/Steve-Slow-Train-Analysis-(2080s-and-2083s)?_g=(refreshInterval:(display:Off,section:0,value:0),time:(from:'2016-08-16 09:29:12-0600',mode:absolute,to:'2016-08-16 12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11" s="122" t="str">
        <f t="shared" si="0"/>
        <v>"C:\Program Files (x86)\AstroGrep\AstroGrep.exe" /spath="%USERPROFILE%\AppData\Local\Temp\OnboardLogs" /stypes="*4003*201608161*" /stext=" 16:.+((SYSTEM_STATE.+slice.+state.+changed )|(ment ac)|(system.+state.+changed )|(\|lc)|(penalty)|(\[timeout)|(PRM\|1\|D)|(kpr)|(kdp))" /e /r /s</v>
      </c>
      <c r="S11" s="9" t="str">
        <f t="shared" si="1"/>
        <v>4003</v>
      </c>
      <c r="T11" s="39">
        <f t="shared" si="2"/>
        <v>42598.689722222225</v>
      </c>
      <c r="U11" s="53" t="str">
        <f t="shared" si="3"/>
        <v>EC</v>
      </c>
      <c r="V11" s="53" t="str">
        <f t="shared" si="4"/>
        <v>KEEP</v>
      </c>
    </row>
    <row r="12" spans="1:22" s="1" customFormat="1" x14ac:dyDescent="0.25">
      <c r="A12" s="39">
        <v>42598.412835648145</v>
      </c>
      <c r="B12" s="34" t="s">
        <v>234</v>
      </c>
      <c r="C12" s="34" t="s">
        <v>339</v>
      </c>
      <c r="D12" s="34" t="s">
        <v>49</v>
      </c>
      <c r="E12" s="34" t="s">
        <v>56</v>
      </c>
      <c r="F12" s="50">
        <v>600</v>
      </c>
      <c r="G12" s="50">
        <v>652</v>
      </c>
      <c r="H12" s="50">
        <v>12667</v>
      </c>
      <c r="I12" s="34" t="s">
        <v>57</v>
      </c>
      <c r="J12" s="50">
        <v>10694</v>
      </c>
      <c r="K12" s="34" t="s">
        <v>53</v>
      </c>
      <c r="L12" s="97" t="str">
        <f>VLOOKUP(C12,'Trips&amp;Operators'!$C$1:$E$9999,3,0)</f>
        <v>SPECTOR</v>
      </c>
      <c r="M12" s="141" t="s">
        <v>89</v>
      </c>
      <c r="N12" s="10"/>
      <c r="O12" s="34"/>
      <c r="P12" s="115" t="str">
        <f>VLOOKUP(C12,'Train Runs'!$A$13:$AE$10002,31,0)</f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Q12" s="119" t="str">
        <f>VLOOKUP(C12,'Train Runs'!$A$13:$AE$10002,22,0)</f>
        <v>https://search-rtdc-monitor-bjffxe2xuh6vdkpspy63sjmuny.us-east-1.es.amazonaws.com/_plugin/kibana/#/discover/Steve-Slow-Train-Analysis-(2080s-and-2083s)?_g=(refreshInterval:(display:Off,section:0,value:0),time:(from:'2016-08-16 08:32:05-0600',mode:absolute,to:'2016-08-16 10:58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2" s="122" t="str">
        <f t="shared" si="0"/>
        <v>"C:\Program Files (x86)\AstroGrep\AstroGrep.exe" /spath="%USERPROFILE%\AppData\Local\Temp\OnboardLogs" /stypes="*4010*201608161*" /stext=" 15:.+((SYSTEM_STATE.+slice.+state.+changed )|(ment ac)|(system.+state.+changed )|(\|lc)|(penalty)|(\[timeout)|(PRM\|1\|D)|(kpr)|(kdp))" /e /r /s</v>
      </c>
      <c r="S12" s="9" t="str">
        <f t="shared" si="1"/>
        <v>4010</v>
      </c>
      <c r="T12" s="39">
        <f t="shared" si="2"/>
        <v>42598.662835648145</v>
      </c>
      <c r="U12" s="53" t="str">
        <f t="shared" si="3"/>
        <v>EC</v>
      </c>
      <c r="V12" s="53" t="str">
        <f t="shared" si="4"/>
        <v>KEEP</v>
      </c>
    </row>
    <row r="13" spans="1:22" s="1" customFormat="1" x14ac:dyDescent="0.25">
      <c r="A13" s="39">
        <v>42598.677893518521</v>
      </c>
      <c r="B13" s="34" t="s">
        <v>161</v>
      </c>
      <c r="C13" s="34" t="s">
        <v>440</v>
      </c>
      <c r="D13" s="34" t="s">
        <v>49</v>
      </c>
      <c r="E13" s="34" t="s">
        <v>56</v>
      </c>
      <c r="F13" s="50">
        <v>200</v>
      </c>
      <c r="G13" s="50">
        <v>250</v>
      </c>
      <c r="H13" s="50">
        <v>30693</v>
      </c>
      <c r="I13" s="34" t="s">
        <v>57</v>
      </c>
      <c r="J13" s="50">
        <v>30562</v>
      </c>
      <c r="K13" s="34" t="s">
        <v>53</v>
      </c>
      <c r="L13" s="97" t="str">
        <f>VLOOKUP(C13,'Trips&amp;Operators'!$C$1:$E$9999,3,0)</f>
        <v>STEWART</v>
      </c>
      <c r="M13" s="141" t="s">
        <v>89</v>
      </c>
      <c r="N13" s="10"/>
      <c r="O13" s="34"/>
      <c r="P13" s="115" t="str">
        <f>VLOOKUP(C13,'Train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13" s="119" t="str">
        <f>VLOOKUP(C13,'Train Runs'!$A$13:$AE$10002,22,0)</f>
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3" s="122" t="str">
        <f t="shared" si="0"/>
        <v>"C:\Program Files (x86)\AstroGrep\AstroGrep.exe" /spath="%USERPROFILE%\AppData\Local\Temp\OnboardLogs" /stypes="*4037*201608162*" /stext=" 22:.+((SYSTEM_STATE.+slice.+state.+changed )|(ment ac)|(system.+state.+changed )|(\|lc)|(penalty)|(\[timeout)|(PRM\|1\|D)|(kpr)|(kdp))" /e /r /s</v>
      </c>
      <c r="S13" s="9" t="str">
        <f t="shared" si="1"/>
        <v>4037</v>
      </c>
      <c r="T13" s="39">
        <f t="shared" si="2"/>
        <v>42598.927893518521</v>
      </c>
      <c r="U13" s="53" t="str">
        <f t="shared" si="3"/>
        <v>EC</v>
      </c>
      <c r="V13" s="53" t="str">
        <f t="shared" si="4"/>
        <v>KEEP</v>
      </c>
    </row>
    <row r="14" spans="1:22" s="1" customFormat="1" x14ac:dyDescent="0.25">
      <c r="A14" s="39">
        <v>42598.673148148147</v>
      </c>
      <c r="B14" s="34" t="s">
        <v>120</v>
      </c>
      <c r="C14" s="34" t="s">
        <v>452</v>
      </c>
      <c r="D14" s="34" t="s">
        <v>116</v>
      </c>
      <c r="E14" s="34" t="s">
        <v>56</v>
      </c>
      <c r="F14" s="50">
        <v>600</v>
      </c>
      <c r="G14" s="50">
        <v>650</v>
      </c>
      <c r="H14" s="50">
        <v>124340</v>
      </c>
      <c r="I14" s="34" t="s">
        <v>57</v>
      </c>
      <c r="J14" s="50">
        <v>119716</v>
      </c>
      <c r="K14" s="34" t="s">
        <v>52</v>
      </c>
      <c r="L14" s="97" t="str">
        <f>VLOOKUP(C14,'Trips&amp;Operators'!$C$1:$E$9999,3,0)</f>
        <v>MAYBERRY</v>
      </c>
      <c r="M14" s="141" t="s">
        <v>89</v>
      </c>
      <c r="N14" s="10"/>
      <c r="O14" s="34"/>
      <c r="P14" s="115" t="str">
        <f>VLOOKUP(C14,'Train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14" s="119" t="str">
        <f>VLOOKUP(C14,'Train Runs'!$A$13:$AE$10002,22,0)</f>
        <v>https://search-rtdc-monitor-bjffxe2xuh6vdkpspy63sjmuny.us-east-1.es.amazonaws.com/_plugin/kibana/#/discover/Steve-Slow-Train-Analysis-(2080s-and-2083s)?_g=(refreshInterval:(display:Off,section:0,value:0),time:(from:'2016-08-16 14:43:13-0600',mode:absolute,to:'2016-08-16 17:24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4" s="122" t="str">
        <f t="shared" si="0"/>
        <v>"C:\Program Files (x86)\AstroGrep\AstroGrep.exe" /spath="%USERPROFILE%\AppData\Local\Temp\OnboardLogs" /stypes="*4031*201608162*" /stext=" 22:.+((SYSTEM_STATE.+slice.+state.+changed )|(ment ac)|(system.+state.+changed )|(\|lc)|(penalty)|(\[timeout)|(PRM\|1\|D)|(kpr)|(kdp))" /e /r /s</v>
      </c>
      <c r="S14" s="9" t="str">
        <f t="shared" si="1"/>
        <v>4031</v>
      </c>
      <c r="T14" s="39">
        <f t="shared" si="2"/>
        <v>42598.923148148147</v>
      </c>
      <c r="U14" s="53" t="str">
        <f t="shared" si="3"/>
        <v>EC</v>
      </c>
      <c r="V14" s="53" t="str">
        <f t="shared" si="4"/>
        <v>KEEP</v>
      </c>
    </row>
    <row r="15" spans="1:22" s="1" customFormat="1" x14ac:dyDescent="0.25">
      <c r="A15" s="39">
        <v>42598.407546296294</v>
      </c>
      <c r="B15" s="34" t="s">
        <v>660</v>
      </c>
      <c r="C15" s="34" t="s">
        <v>361</v>
      </c>
      <c r="D15" s="34" t="s">
        <v>116</v>
      </c>
      <c r="E15" s="34" t="s">
        <v>56</v>
      </c>
      <c r="F15" s="50">
        <v>700</v>
      </c>
      <c r="G15" s="50">
        <v>750</v>
      </c>
      <c r="H15" s="50">
        <v>174088</v>
      </c>
      <c r="I15" s="34" t="s">
        <v>57</v>
      </c>
      <c r="J15" s="50">
        <v>161962</v>
      </c>
      <c r="K15" s="34" t="s">
        <v>52</v>
      </c>
      <c r="L15" s="97" t="str">
        <f>VLOOKUP(C15,'Trips&amp;Operators'!$C$1:$E$9999,3,0)</f>
        <v>ROCHA</v>
      </c>
      <c r="M15" s="141" t="s">
        <v>89</v>
      </c>
      <c r="N15" s="10"/>
      <c r="O15" s="34"/>
      <c r="P15" s="115" t="str">
        <f>VLOOKUP(C15,'Train Runs'!$A$13:$AE$10002,31,0)</f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Q15" s="119" t="str">
        <f>VLOOKUP(C15,'Train Runs'!$A$13:$AE$10002,22,0)</f>
        <v>https://search-rtdc-monitor-bjffxe2xuh6vdkpspy63sjmuny.us-east-1.es.amazonaws.com/_plugin/kibana/#/discover/Steve-Slow-Train-Analysis-(2080s-and-2083s)?_g=(refreshInterval:(display:Off,section:0,value:0),time:(from:'2016-08-16 08:11:58-0600',mode:absolute,to:'2016-08-16 10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15" s="122" t="str">
        <f t="shared" si="0"/>
        <v>"C:\Program Files (x86)\AstroGrep\AstroGrep.exe" /spath="%USERPROFILE%\AppData\Local\Temp\OnboardLogs" /stypes="*4018*201608161*" /stext=" 15:.+((SYSTEM_STATE.+slice.+state.+changed )|(ment ac)|(system.+state.+changed )|(\|lc)|(penalty)|(\[timeout)|(PRM\|1\|D)|(kpr)|(kdp))" /e /r /s</v>
      </c>
      <c r="S15" s="9" t="str">
        <f t="shared" si="1"/>
        <v>4018</v>
      </c>
      <c r="T15" s="39">
        <f t="shared" si="2"/>
        <v>42598.657546296294</v>
      </c>
      <c r="U15" s="53" t="str">
        <f t="shared" si="3"/>
        <v>EC</v>
      </c>
      <c r="V15" s="53" t="str">
        <f t="shared" si="4"/>
        <v>KEEP</v>
      </c>
    </row>
    <row r="16" spans="1:22" s="1" customFormat="1" x14ac:dyDescent="0.25">
      <c r="A16" s="39">
        <v>42599.004074074073</v>
      </c>
      <c r="B16" s="34" t="s">
        <v>250</v>
      </c>
      <c r="C16" s="34" t="s">
        <v>525</v>
      </c>
      <c r="D16" s="34" t="s">
        <v>49</v>
      </c>
      <c r="E16" s="34" t="s">
        <v>56</v>
      </c>
      <c r="F16" s="50">
        <v>150</v>
      </c>
      <c r="G16" s="50">
        <v>318</v>
      </c>
      <c r="H16" s="50">
        <v>227321</v>
      </c>
      <c r="I16" s="34" t="s">
        <v>57</v>
      </c>
      <c r="J16" s="50">
        <v>228668</v>
      </c>
      <c r="K16" s="34" t="s">
        <v>663</v>
      </c>
      <c r="L16" s="97" t="str">
        <f>VLOOKUP(C16,'Trips&amp;Operators'!$C$1:$E$9999,3,0)</f>
        <v>STORY</v>
      </c>
      <c r="M16" s="141" t="s">
        <v>89</v>
      </c>
      <c r="N16" s="10"/>
      <c r="O16" s="34"/>
      <c r="P16" s="115" t="str">
        <f>VLOOKUP(C16,'Train Runs'!$A$13:$AE$10002,31,0)</f>
        <v>aws s3 cp s3://rtdc.mdm.uploadarchive/RTDC4016/2016-08-16/ "%USERPROFILE%\AppData\Local\Temp\OnboardLogs"\RTDC4016\2016-08-16 --recursive &amp; "%USERPROFILE%\Documents\GitHub\mrs-test-scripts\Headless Mode &amp; Sideloading\WalkAndUnGZ.bat" "%USERPROFILE%\AppData\Local\Temp\OnboardLogs"\RTDC4016\2016-08-16 &amp; aws s3 cp s3://rtdc.mdm.uploadarchive/RTDC4016/2016-08-17/ "%USERPROFILE%\AppData\Local\Temp\OnboardLogs"\RTDC4016\2016-08-17 --recursive &amp; "%USERPROFILE%\Documents\GitHub\mrs-test-scripts\Headless Mode &amp; Sideloading\WalkAndUnGZ.bat" "%USERPROFILE%\AppData\Local\Temp\OnboardLogs"\RTDC4016\2016-08-17</v>
      </c>
      <c r="Q16" s="119" t="str">
        <f>VLOOKUP(C16,'Train Runs'!$A$13:$AE$10002,22,0)</f>
        <v>https://search-rtdc-monitor-bjffxe2xuh6vdkpspy63sjmuny.us-east-1.es.amazonaws.com/_plugin/kibana/#/discover/Steve-Slow-Train-Analysis-(2080s-and-2083s)?_g=(refreshInterval:(display:Off,section:0,value:0),time:(from:'2016-08-16 22:25:27-0600',mode:absolute,to:'2016-08-17 01:09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4016%22')),sort:!(Time,asc))</v>
      </c>
      <c r="R16" s="122" t="str">
        <f t="shared" si="0"/>
        <v>"C:\Program Files (x86)\AstroGrep\AstroGrep.exe" /spath="%USERPROFILE%\AppData\Local\Temp\OnboardLogs" /stypes="*4016*201608170*" /stext=" 06:.+((SYSTEM_STATE.+slice.+state.+changed )|(ment ac)|(system.+state.+changed )|(\|lc)|(penalty)|(\[timeout)|(PRM\|1\|D)|(kpr)|(kdp))" /e /r /s</v>
      </c>
      <c r="S16" s="9" t="str">
        <f t="shared" si="1"/>
        <v>4016</v>
      </c>
      <c r="T16" s="39">
        <f t="shared" si="2"/>
        <v>42599.254074074073</v>
      </c>
      <c r="U16" s="53" t="str">
        <f t="shared" si="3"/>
        <v>EC</v>
      </c>
      <c r="V16" s="53" t="str">
        <f t="shared" si="4"/>
        <v>KEEP</v>
      </c>
    </row>
    <row r="17" spans="1:24" s="1" customFormat="1" x14ac:dyDescent="0.25">
      <c r="A17" s="39">
        <v>42598.738067129627</v>
      </c>
      <c r="B17" s="34" t="s">
        <v>95</v>
      </c>
      <c r="C17" s="34" t="s">
        <v>474</v>
      </c>
      <c r="D17" s="34" t="s">
        <v>49</v>
      </c>
      <c r="E17" s="34" t="s">
        <v>56</v>
      </c>
      <c r="F17" s="50">
        <v>150</v>
      </c>
      <c r="G17" s="50">
        <v>203</v>
      </c>
      <c r="H17" s="50">
        <v>229104</v>
      </c>
      <c r="I17" s="34" t="s">
        <v>57</v>
      </c>
      <c r="J17" s="50">
        <v>229055</v>
      </c>
      <c r="K17" s="34" t="s">
        <v>53</v>
      </c>
      <c r="L17" s="97" t="str">
        <f>VLOOKUP(C17,'Trips&amp;Operators'!$C$1:$E$9999,3,0)</f>
        <v>HELVIE</v>
      </c>
      <c r="M17" s="141" t="s">
        <v>89</v>
      </c>
      <c r="N17" s="10"/>
      <c r="O17" s="34"/>
      <c r="P17" s="115" t="str">
        <f>VLOOKUP(C17,'Train Runs'!$A$13:$AE$10002,31,0)</f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Q17" s="119" t="str">
        <f>VLOOKUP(C17,'Train Runs'!$A$13:$AE$10002,22,0)</f>
        <v>https://search-rtdc-monitor-bjffxe2xuh6vdkpspy63sjmuny.us-east-1.es.amazonaws.com/_plugin/kibana/#/discover/Steve-Slow-Train-Analysis-(2080s-and-2083s)?_g=(refreshInterval:(display:Off,section:0,value:0),time:(from:'2016-08-16 17:01:43-0600',mode:absolute,to:'2016-08-16 19:27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7" s="122" t="str">
        <f t="shared" si="0"/>
        <v>"C:\Program Files (x86)\AstroGrep\AstroGrep.exe" /spath="%USERPROFILE%\AppData\Local\Temp\OnboardLogs" /stypes="*4030*201608162*" /stext=" 23:.+((SYSTEM_STATE.+slice.+state.+changed )|(ment ac)|(system.+state.+changed )|(\|lc)|(penalty)|(\[timeout)|(PRM\|1\|D)|(kpr)|(kdp))" /e /r /s</v>
      </c>
      <c r="S17" s="9" t="str">
        <f t="shared" si="1"/>
        <v>4030</v>
      </c>
      <c r="T17" s="39">
        <f t="shared" si="2"/>
        <v>42598.988067129627</v>
      </c>
      <c r="U17" s="53" t="str">
        <f t="shared" si="3"/>
        <v>EC</v>
      </c>
      <c r="V17" s="53" t="str">
        <f t="shared" si="4"/>
        <v>KEEP</v>
      </c>
    </row>
    <row r="18" spans="1:24" s="1" customFormat="1" x14ac:dyDescent="0.25">
      <c r="A18" s="39">
        <v>42598.273495370369</v>
      </c>
      <c r="B18" s="34" t="s">
        <v>656</v>
      </c>
      <c r="C18" s="34" t="s">
        <v>299</v>
      </c>
      <c r="D18" s="34" t="s">
        <v>116</v>
      </c>
      <c r="E18" s="34" t="s">
        <v>54</v>
      </c>
      <c r="F18" s="50">
        <v>0</v>
      </c>
      <c r="G18" s="50">
        <v>84</v>
      </c>
      <c r="H18" s="50">
        <v>36584</v>
      </c>
      <c r="I18" s="34" t="s">
        <v>55</v>
      </c>
      <c r="J18" s="50">
        <v>36657</v>
      </c>
      <c r="K18" s="34" t="s">
        <v>53</v>
      </c>
      <c r="L18" s="97" t="str">
        <f>VLOOKUP(C18,'Trips&amp;Operators'!$C$1:$E$9999,3,0)</f>
        <v>SWANSON</v>
      </c>
      <c r="M18" s="141" t="s">
        <v>89</v>
      </c>
      <c r="N18" s="10" t="s">
        <v>710</v>
      </c>
      <c r="O18" s="34"/>
      <c r="P18" s="115" t="str">
        <f>VLOOKUP(C18,'Train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18" s="119" t="str">
        <f>VLOOKUP(C18,'Train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18" s="122" t="str">
        <f t="shared" si="0"/>
        <v>"C:\Program Files (x86)\AstroGrep\AstroGrep.exe" /spath="%USERPROFILE%\AppData\Local\Temp\OnboardLogs" /stypes="*4012*201608161*" /stext=" 12:.+((SYSTEM_STATE.+slice.+state.+changed )|(ment ac)|(system.+state.+changed )|(\|lc)|(penalty)|(\[timeout)|(PRM\|1\|D)|(kpr)|(kdp))" /e /r /s</v>
      </c>
      <c r="S18" s="9" t="str">
        <f t="shared" si="1"/>
        <v>4012</v>
      </c>
      <c r="T18" s="39">
        <f t="shared" si="2"/>
        <v>42598.523495370369</v>
      </c>
      <c r="U18" s="53" t="str">
        <f t="shared" si="3"/>
        <v>EC</v>
      </c>
      <c r="V18" s="53" t="str">
        <f t="shared" si="4"/>
        <v>KEEP</v>
      </c>
    </row>
    <row r="19" spans="1:24" s="1" customFormat="1" x14ac:dyDescent="0.25">
      <c r="A19" s="39">
        <v>42598.263749999998</v>
      </c>
      <c r="B19" s="34" t="s">
        <v>656</v>
      </c>
      <c r="C19" s="34" t="s">
        <v>299</v>
      </c>
      <c r="D19" s="34" t="s">
        <v>49</v>
      </c>
      <c r="E19" s="34" t="s">
        <v>54</v>
      </c>
      <c r="F19" s="50">
        <v>0</v>
      </c>
      <c r="G19" s="50">
        <v>456</v>
      </c>
      <c r="H19" s="50">
        <v>78230</v>
      </c>
      <c r="I19" s="34" t="s">
        <v>55</v>
      </c>
      <c r="J19" s="50">
        <v>75579</v>
      </c>
      <c r="K19" s="34" t="s">
        <v>53</v>
      </c>
      <c r="L19" s="97" t="str">
        <f>VLOOKUP(C19,'Trips&amp;Operators'!$C$1:$E$9999,3,0)</f>
        <v>SWANSON</v>
      </c>
      <c r="M19" s="141" t="s">
        <v>89</v>
      </c>
      <c r="N19" s="10" t="s">
        <v>710</v>
      </c>
      <c r="O19" s="34"/>
      <c r="P19" s="115" t="str">
        <f>VLOOKUP(C19,'Train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19" s="119" t="str">
        <f>VLOOKUP(C19,'Train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19" s="122" t="str">
        <f t="shared" si="0"/>
        <v>"C:\Program Files (x86)\AstroGrep\AstroGrep.exe" /spath="%USERPROFILE%\AppData\Local\Temp\OnboardLogs" /stypes="*4012*201608161*" /stext=" 12:.+((SYSTEM_STATE.+slice.+state.+changed )|(ment ac)|(system.+state.+changed )|(\|lc)|(penalty)|(\[timeout)|(PRM\|1\|D)|(kpr)|(kdp))" /e /r /s</v>
      </c>
      <c r="S19" s="9" t="str">
        <f t="shared" si="1"/>
        <v>4012</v>
      </c>
      <c r="T19" s="39">
        <f t="shared" si="2"/>
        <v>42598.513749999998</v>
      </c>
      <c r="U19" s="53" t="str">
        <f t="shared" si="3"/>
        <v>EC</v>
      </c>
      <c r="V19" s="53" t="str">
        <f t="shared" si="4"/>
        <v>KEEP</v>
      </c>
    </row>
    <row r="20" spans="1:24" s="1" customFormat="1" x14ac:dyDescent="0.25">
      <c r="A20" s="39">
        <v>42598.264432870368</v>
      </c>
      <c r="B20" s="34" t="s">
        <v>656</v>
      </c>
      <c r="C20" s="34" t="s">
        <v>299</v>
      </c>
      <c r="D20" s="34" t="s">
        <v>49</v>
      </c>
      <c r="E20" s="34" t="s">
        <v>54</v>
      </c>
      <c r="F20" s="50">
        <v>0</v>
      </c>
      <c r="G20" s="50">
        <v>456</v>
      </c>
      <c r="H20" s="50">
        <v>78230</v>
      </c>
      <c r="I20" s="34" t="s">
        <v>55</v>
      </c>
      <c r="J20" s="50">
        <v>75579</v>
      </c>
      <c r="K20" s="34" t="s">
        <v>53</v>
      </c>
      <c r="L20" s="97" t="str">
        <f>VLOOKUP(C20,'Trips&amp;Operators'!$C$1:$E$9999,3,0)</f>
        <v>SWANSON</v>
      </c>
      <c r="M20" s="141" t="s">
        <v>89</v>
      </c>
      <c r="N20" s="10" t="s">
        <v>710</v>
      </c>
      <c r="O20" s="34"/>
      <c r="P20" s="115" t="str">
        <f>VLOOKUP(C20,'Train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20" s="119" t="str">
        <f>VLOOKUP(C20,'Train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20" s="122" t="str">
        <f t="shared" si="0"/>
        <v>"C:\Program Files (x86)\AstroGrep\AstroGrep.exe" /spath="%USERPROFILE%\AppData\Local\Temp\OnboardLogs" /stypes="*4012*201608161*" /stext=" 12:.+((SYSTEM_STATE.+slice.+state.+changed )|(ment ac)|(system.+state.+changed )|(\|lc)|(penalty)|(\[timeout)|(PRM\|1\|D)|(kpr)|(kdp))" /e /r /s</v>
      </c>
      <c r="S20" s="9" t="str">
        <f t="shared" si="1"/>
        <v>4012</v>
      </c>
      <c r="T20" s="39">
        <f t="shared" si="2"/>
        <v>42598.514432870368</v>
      </c>
      <c r="U20" s="53" t="str">
        <f t="shared" si="3"/>
        <v>EC</v>
      </c>
      <c r="V20" s="53" t="str">
        <f t="shared" si="4"/>
        <v>KEEP</v>
      </c>
    </row>
    <row r="21" spans="1:24" s="1" customFormat="1" x14ac:dyDescent="0.25">
      <c r="A21" s="39">
        <v>42598.265983796293</v>
      </c>
      <c r="B21" s="34" t="s">
        <v>656</v>
      </c>
      <c r="C21" s="34" t="s">
        <v>299</v>
      </c>
      <c r="D21" s="34" t="s">
        <v>116</v>
      </c>
      <c r="E21" s="34" t="s">
        <v>54</v>
      </c>
      <c r="F21" s="50">
        <v>200</v>
      </c>
      <c r="G21" s="50">
        <v>262</v>
      </c>
      <c r="H21" s="50">
        <v>70476</v>
      </c>
      <c r="I21" s="34" t="s">
        <v>55</v>
      </c>
      <c r="J21" s="50">
        <v>75579</v>
      </c>
      <c r="K21" s="34" t="s">
        <v>53</v>
      </c>
      <c r="L21" s="97" t="str">
        <f>VLOOKUP(C21,'Trips&amp;Operators'!$C$1:$E$9999,3,0)</f>
        <v>SWANSON</v>
      </c>
      <c r="M21" s="141" t="s">
        <v>89</v>
      </c>
      <c r="N21" s="10" t="s">
        <v>710</v>
      </c>
      <c r="O21" s="34"/>
      <c r="P21" s="115" t="str">
        <f>VLOOKUP(C21,'Train Runs'!$A$13:$AE$10002,31,0)</f>
        <v>aws s3 cp s3://rtdc.mdm.uploadarchive/RTDC4012/2016-08-16/ "%USERPROFILE%\AppData\Local\Temp\OnboardLogs"\RTDC4012\2016-08-16 --recursive &amp; "%USERPROFILE%\Documents\GitHub\mrs-test-scripts\Headless Mode &amp; Sideloading\WalkAndUnGZ.bat" "%USERPROFILE%\AppData\Local\Temp\OnboardLogs"\RTDC4012\2016-08-16 &amp; aws s3 cp s3://rtdc.mdm.uploadarchive/RTDC4012/2016-08-17/ "%USERPROFILE%\AppData\Local\Temp\OnboardLogs"\RTDC4012\2016-08-17 --recursive &amp; "%USERPROFILE%\Documents\GitHub\mrs-test-scripts\Headless Mode &amp; Sideloading\WalkAndUnGZ.bat" "%USERPROFILE%\AppData\Local\Temp\OnboardLogs"\RTDC4012\2016-08-17</v>
      </c>
      <c r="Q21" s="119" t="str">
        <f>VLOOKUP(C21,'Train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04:53:11-0600',mode:absolute,to:'2016-08-16 07:26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R21" s="122" t="str">
        <f t="shared" si="0"/>
        <v>"C:\Program Files (x86)\AstroGrep\AstroGrep.exe" /spath="%USERPROFILE%\AppData\Local\Temp\OnboardLogs" /stypes="*4012*201608161*" /stext=" 12:.+((SYSTEM_STATE.+slice.+state.+changed )|(ment ac)|(system.+state.+changed )|(\|lc)|(penalty)|(\[timeout)|(PRM\|1\|D)|(kpr)|(kdp))" /e /r /s</v>
      </c>
      <c r="S21" s="9" t="str">
        <f t="shared" si="1"/>
        <v>4012</v>
      </c>
      <c r="T21" s="39">
        <f t="shared" si="2"/>
        <v>42598.515983796293</v>
      </c>
      <c r="U21" s="53" t="str">
        <f t="shared" si="3"/>
        <v>EC</v>
      </c>
      <c r="V21" s="53" t="str">
        <f t="shared" si="4"/>
        <v>KEEP</v>
      </c>
    </row>
    <row r="22" spans="1:24" s="1" customFormat="1" x14ac:dyDescent="0.25">
      <c r="A22" s="39">
        <v>42598.744606481479</v>
      </c>
      <c r="B22" s="34" t="s">
        <v>120</v>
      </c>
      <c r="C22" s="34" t="s">
        <v>483</v>
      </c>
      <c r="D22" s="34" t="s">
        <v>49</v>
      </c>
      <c r="E22" s="34" t="s">
        <v>54</v>
      </c>
      <c r="F22" s="50">
        <v>0</v>
      </c>
      <c r="G22" s="50">
        <v>327</v>
      </c>
      <c r="H22" s="50">
        <v>106794</v>
      </c>
      <c r="I22" s="34" t="s">
        <v>55</v>
      </c>
      <c r="J22" s="50">
        <v>107939</v>
      </c>
      <c r="K22" s="34" t="s">
        <v>52</v>
      </c>
      <c r="L22" s="97" t="str">
        <f>VLOOKUP(C22,'Trips&amp;Operators'!$C$1:$E$9999,3,0)</f>
        <v>NEWELL</v>
      </c>
      <c r="M22" s="141" t="s">
        <v>89</v>
      </c>
      <c r="N22" s="10" t="s">
        <v>711</v>
      </c>
      <c r="O22" s="34"/>
      <c r="P22" s="115" t="str">
        <f>VLOOKUP(C22,'Train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22" s="119" t="str">
        <f>VLOOKUP(C22,'Train Runs'!$A$13:$AE$10002,22,0)</f>
        <v>https://search-rtdc-monitor-bjffxe2xuh6vdkpspy63sjmuny.us-east-1.es.amazonaws.com/_plugin/kibana/#/discover/Steve-Slow-Train-Analysis-(2080s-and-2083s)?_g=(refreshInterval:(display:Off,section:0,value:0),time:(from:'2016-08-16 16:30:42-0600',mode:absolute,to:'2016-08-16 19:14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2" s="122" t="str">
        <f t="shared" si="0"/>
        <v>"C:\Program Files (x86)\AstroGrep\AstroGrep.exe" /spath="%USERPROFILE%\AppData\Local\Temp\OnboardLogs" /stypes="*4031*201608162*" /stext=" 23:.+((SYSTEM_STATE.+slice.+state.+changed )|(ment ac)|(system.+state.+changed )|(\|lc)|(penalty)|(\[timeout)|(PRM\|1\|D)|(kpr)|(kdp))" /e /r /s</v>
      </c>
      <c r="S22" s="9" t="str">
        <f t="shared" si="1"/>
        <v>4031</v>
      </c>
      <c r="T22" s="39">
        <f t="shared" si="2"/>
        <v>42598.994606481479</v>
      </c>
      <c r="U22" s="53" t="str">
        <f t="shared" si="3"/>
        <v>EC</v>
      </c>
      <c r="V22" s="53" t="str">
        <f t="shared" si="4"/>
        <v>KEEP</v>
      </c>
    </row>
    <row r="23" spans="1:24" x14ac:dyDescent="0.25">
      <c r="A23" s="39">
        <v>42598.287916666668</v>
      </c>
      <c r="B23" s="34" t="s">
        <v>161</v>
      </c>
      <c r="C23" s="34" t="s">
        <v>313</v>
      </c>
      <c r="D23" s="34" t="s">
        <v>49</v>
      </c>
      <c r="E23" s="34" t="s">
        <v>54</v>
      </c>
      <c r="F23" s="50">
        <v>0</v>
      </c>
      <c r="G23" s="50">
        <v>369</v>
      </c>
      <c r="H23" s="50">
        <v>129469</v>
      </c>
      <c r="I23" s="34" t="s">
        <v>55</v>
      </c>
      <c r="J23" s="50">
        <v>127587</v>
      </c>
      <c r="K23" s="34" t="s">
        <v>53</v>
      </c>
      <c r="L23" s="97" t="str">
        <f>VLOOKUP(C23,'Trips&amp;Operators'!$C$1:$E$9999,3,0)</f>
        <v>ACKERMAN</v>
      </c>
      <c r="M23" s="141" t="s">
        <v>89</v>
      </c>
      <c r="N23" s="10" t="s">
        <v>712</v>
      </c>
      <c r="O23" s="34"/>
      <c r="P23" s="115" t="str">
        <f>VLOOKUP(C23,'Train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23" s="119" t="str">
        <f>VLOOKUP(C23,'Train Runs'!$A$13:$AE$10002,22,0)</f>
        <v>https://search-rtdc-monitor-bjffxe2xuh6vdkpspy63sjmuny.us-east-1.es.amazonaws.com/_plugin/kibana/#/discover/Steve-Slow-Train-Analysis-(2080s-and-2083s)?_g=(refreshInterval:(display:Off,section:0,value:0),time:(from:'2016-08-16 05:33:11-0600',mode:absolute,to:'2016-08-16 08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3" s="122" t="str">
        <f t="shared" si="0"/>
        <v>"C:\Program Files (x86)\AstroGrep\AstroGrep.exe" /spath="%USERPROFILE%\AppData\Local\Temp\OnboardLogs" /stypes="*4037*201608161*" /stext=" 12:.+((SYSTEM_STATE.+slice.+state.+changed )|(ment ac)|(system.+state.+changed )|(\|lc)|(penalty)|(\[timeout)|(PRM\|1\|D)|(kpr)|(kdp))" /e /r /s</v>
      </c>
      <c r="S23" s="9" t="str">
        <f t="shared" si="1"/>
        <v>4037</v>
      </c>
      <c r="T23" s="39">
        <f t="shared" si="2"/>
        <v>42598.537916666668</v>
      </c>
      <c r="U23" s="53" t="str">
        <f t="shared" si="3"/>
        <v>EC</v>
      </c>
      <c r="V23" s="53" t="str">
        <f t="shared" si="4"/>
        <v>KEEP</v>
      </c>
    </row>
    <row r="24" spans="1:24" s="1" customFormat="1" x14ac:dyDescent="0.25">
      <c r="A24" s="39">
        <v>42598.48537037037</v>
      </c>
      <c r="B24" s="34" t="s">
        <v>662</v>
      </c>
      <c r="C24" s="34" t="s">
        <v>387</v>
      </c>
      <c r="D24" s="34" t="s">
        <v>49</v>
      </c>
      <c r="E24" s="34" t="s">
        <v>54</v>
      </c>
      <c r="F24" s="50">
        <v>0</v>
      </c>
      <c r="G24" s="50">
        <v>463</v>
      </c>
      <c r="H24" s="50">
        <v>130135</v>
      </c>
      <c r="I24" s="34" t="s">
        <v>55</v>
      </c>
      <c r="J24" s="50">
        <v>127587</v>
      </c>
      <c r="K24" s="34" t="s">
        <v>53</v>
      </c>
      <c r="L24" s="97" t="str">
        <f>VLOOKUP(C24,'Trips&amp;Operators'!$C$1:$E$9999,3,0)</f>
        <v>STARKS</v>
      </c>
      <c r="M24" s="141" t="s">
        <v>89</v>
      </c>
      <c r="N24" s="10" t="s">
        <v>712</v>
      </c>
      <c r="O24" s="34"/>
      <c r="P24" s="115" t="str">
        <f>VLOOKUP(C24,'Train Runs'!$A$13:$AE$10002,31,0)</f>
        <v>aws s3 cp s3://rtdc.mdm.uploadarchive/RTDC4004/2016-08-16/ "%USERPROFILE%\AppData\Local\Temp\OnboardLogs"\RTDC4004\2016-08-16 --recursive &amp; "%USERPROFILE%\Documents\GitHub\mrs-test-scripts\Headless Mode &amp; Sideloading\WalkAndUnGZ.bat" "%USERPROFILE%\AppData\Local\Temp\OnboardLogs"\RTDC4004\2016-08-16 &amp; aws s3 cp s3://rtdc.mdm.uploadarchive/RTDC4004/2016-08-17/ "%USERPROFILE%\AppData\Local\Temp\OnboardLogs"\RTDC4004\2016-08-17 --recursive &amp; "%USERPROFILE%\Documents\GitHub\mrs-test-scripts\Headless Mode &amp; Sideloading\WalkAndUnGZ.bat" "%USERPROFILE%\AppData\Local\Temp\OnboardLogs"\RTDC4004\2016-08-17</v>
      </c>
      <c r="Q24" s="119" t="str">
        <f>VLOOKUP(C24,'Train Runs'!$A$13:$AE$10002,22,0)</f>
        <v>https://search-rtdc-monitor-bjffxe2xuh6vdkpspy63sjmuny.us-east-1.es.amazonaws.com/_plugin/kibana/#/discover/Steve-Slow-Train-Analysis-(2080s-and-2083s)?_g=(refreshInterval:(display:Off,section:0,value:0),time:(from:'2016-08-16 10:21:58-0600',mode:absolute,to:'2016-08-16 13:08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24" s="122" t="str">
        <f t="shared" si="0"/>
        <v>"C:\Program Files (x86)\AstroGrep\AstroGrep.exe" /spath="%USERPROFILE%\AppData\Local\Temp\OnboardLogs" /stypes="*4004*201608161*" /stext=" 17:.+((SYSTEM_STATE.+slice.+state.+changed )|(ment ac)|(system.+state.+changed )|(\|lc)|(penalty)|(\[timeout)|(PRM\|1\|D)|(kpr)|(kdp))" /e /r /s</v>
      </c>
      <c r="S24" s="9" t="str">
        <f t="shared" si="1"/>
        <v>4004</v>
      </c>
      <c r="T24" s="39">
        <f t="shared" si="2"/>
        <v>42598.73537037037</v>
      </c>
      <c r="U24" s="53" t="str">
        <f t="shared" si="3"/>
        <v>EC</v>
      </c>
      <c r="V24" s="53" t="str">
        <f t="shared" si="4"/>
        <v>KEEP</v>
      </c>
    </row>
    <row r="25" spans="1:24" x14ac:dyDescent="0.25">
      <c r="A25" s="39">
        <v>42598.605717592596</v>
      </c>
      <c r="B25" s="34" t="s">
        <v>120</v>
      </c>
      <c r="C25" s="34" t="s">
        <v>429</v>
      </c>
      <c r="D25" s="34" t="s">
        <v>49</v>
      </c>
      <c r="E25" s="34" t="s">
        <v>54</v>
      </c>
      <c r="F25" s="50">
        <v>0</v>
      </c>
      <c r="G25" s="50">
        <v>736</v>
      </c>
      <c r="H25" s="50">
        <v>148739</v>
      </c>
      <c r="I25" s="34" t="s">
        <v>55</v>
      </c>
      <c r="J25" s="50">
        <v>155600</v>
      </c>
      <c r="K25" s="34" t="s">
        <v>52</v>
      </c>
      <c r="L25" s="97" t="str">
        <f>VLOOKUP(C25,'Trips&amp;Operators'!$C$1:$E$9999,3,0)</f>
        <v>MAYBERRY</v>
      </c>
      <c r="M25" s="141" t="s">
        <v>89</v>
      </c>
      <c r="N25" s="10" t="s">
        <v>713</v>
      </c>
      <c r="O25" s="34"/>
      <c r="P25" s="115" t="str">
        <f>VLOOKUP(C25,'Train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25" s="119" t="str">
        <f>VLOOKUP(C25,'Train Runs'!$A$13:$AE$10002,22,0)</f>
        <v>https://search-rtdc-monitor-bjffxe2xuh6vdkpspy63sjmuny.us-east-1.es.amazonaws.com/_plugin/kibana/#/discover/Steve-Slow-Train-Analysis-(2080s-and-2083s)?_g=(refreshInterval:(display:Off,section:0,value:0),time:(from:'2016-08-16 13:03:35-0600',mode:absolute,to:'2016-08-16 15:47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5" s="122" t="str">
        <f t="shared" si="0"/>
        <v>"C:\Program Files (x86)\AstroGrep\AstroGrep.exe" /spath="%USERPROFILE%\AppData\Local\Temp\OnboardLogs" /stypes="*4031*201608162*" /stext=" 20:.+((SYSTEM_STATE.+slice.+state.+changed )|(ment ac)|(system.+state.+changed )|(\|lc)|(penalty)|(\[timeout)|(PRM\|1\|D)|(kpr)|(kdp))" /e /r /s</v>
      </c>
      <c r="S25" s="9" t="str">
        <f t="shared" si="1"/>
        <v>4031</v>
      </c>
      <c r="T25" s="39">
        <f t="shared" si="2"/>
        <v>42598.855717592596</v>
      </c>
      <c r="U25" s="53" t="str">
        <f t="shared" si="3"/>
        <v>EC</v>
      </c>
      <c r="V25" s="53" t="str">
        <f t="shared" si="4"/>
        <v>KEEP</v>
      </c>
    </row>
    <row r="26" spans="1:24" x14ac:dyDescent="0.25">
      <c r="A26" s="39">
        <v>42598.264004629629</v>
      </c>
      <c r="B26" s="34" t="s">
        <v>121</v>
      </c>
      <c r="C26" s="34" t="s">
        <v>305</v>
      </c>
      <c r="D26" s="34" t="s">
        <v>49</v>
      </c>
      <c r="E26" s="34" t="s">
        <v>54</v>
      </c>
      <c r="F26" s="50">
        <v>0</v>
      </c>
      <c r="G26" s="50">
        <v>704</v>
      </c>
      <c r="H26" s="50">
        <v>166615</v>
      </c>
      <c r="I26" s="34" t="s">
        <v>55</v>
      </c>
      <c r="J26" s="50">
        <v>162262</v>
      </c>
      <c r="K26" s="34" t="s">
        <v>53</v>
      </c>
      <c r="L26" s="97" t="str">
        <f>VLOOKUP(C26,'Trips&amp;Operators'!$C$1:$E$9999,3,0)</f>
        <v>KILLION</v>
      </c>
      <c r="M26" s="141" t="s">
        <v>88</v>
      </c>
      <c r="N26" s="10" t="s">
        <v>283</v>
      </c>
      <c r="O26" s="34"/>
      <c r="P26" s="115" t="str">
        <f>VLOOKUP(C26,'Train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26" s="119" t="str">
        <f>VLOOKUP(C26,'Train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04:59:18-0600',mode:absolute,to:'2016-08-16 07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6" s="122" t="str">
        <f t="shared" si="0"/>
        <v>"C:\Program Files (x86)\AstroGrep\AstroGrep.exe" /spath="%USERPROFILE%\AppData\Local\Temp\OnboardLogs" /stypes="*4032*201608161*" /stext=" 12:.+((SYSTEM_STATE.+slice.+state.+changed )|(ment ac)|(system.+state.+changed )|(\|lc)|(penalty)|(\[timeout)|(PRM\|1\|D)|(kpr)|(kdp))" /e /r /s</v>
      </c>
      <c r="S26" s="9" t="str">
        <f t="shared" si="1"/>
        <v>4032</v>
      </c>
      <c r="T26" s="39">
        <f t="shared" si="2"/>
        <v>42598.514004629629</v>
      </c>
      <c r="U26" s="53" t="str">
        <f t="shared" si="3"/>
        <v>EC</v>
      </c>
      <c r="V26" s="53" t="str">
        <f t="shared" si="4"/>
        <v>KEEP</v>
      </c>
    </row>
    <row r="27" spans="1:24" x14ac:dyDescent="0.25">
      <c r="A27" s="39">
        <v>42598.628344907411</v>
      </c>
      <c r="B27" s="34" t="s">
        <v>121</v>
      </c>
      <c r="C27" s="34" t="s">
        <v>431</v>
      </c>
      <c r="D27" s="34" t="s">
        <v>49</v>
      </c>
      <c r="E27" s="34" t="s">
        <v>54</v>
      </c>
      <c r="F27" s="50">
        <v>0</v>
      </c>
      <c r="G27" s="50">
        <v>680</v>
      </c>
      <c r="H27" s="50">
        <v>170548</v>
      </c>
      <c r="I27" s="34" t="s">
        <v>55</v>
      </c>
      <c r="J27" s="50">
        <v>168014</v>
      </c>
      <c r="K27" s="34" t="s">
        <v>53</v>
      </c>
      <c r="L27" s="97" t="str">
        <f>VLOOKUP(C27,'Trips&amp;Operators'!$C$1:$E$9999,3,0)</f>
        <v>MAYBERRY</v>
      </c>
      <c r="M27" s="141" t="s">
        <v>88</v>
      </c>
      <c r="N27" s="10" t="s">
        <v>715</v>
      </c>
      <c r="O27" s="34"/>
      <c r="P27" s="115" t="str">
        <f>VLOOKUP(C27,'Train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27" s="119" t="str">
        <f>VLOOKUP(C27,'Train Runs'!$A$13:$AE$10002,22,0)</f>
        <v>https://search-rtdc-monitor-bjffxe2xuh6vdkpspy63sjmuny.us-east-1.es.amazonaws.com/_plugin/kibana/#/discover/Steve-Slow-Train-Analysis-(2080s-and-2083s)?_g=(refreshInterval:(display:Off,section:0,value:0),time:(from:'2016-08-16 13:49:46-0600',mode:absolute,to:'2016-08-16 16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7" s="122" t="str">
        <f t="shared" si="0"/>
        <v>"C:\Program Files (x86)\AstroGrep\AstroGrep.exe" /spath="%USERPROFILE%\AppData\Local\Temp\OnboardLogs" /stypes="*4032*201608162*" /stext=" 21:.+((SYSTEM_STATE.+slice.+state.+changed )|(ment ac)|(system.+state.+changed )|(\|lc)|(penalty)|(\[timeout)|(PRM\|1\|D)|(kpr)|(kdp))" /e /r /s</v>
      </c>
      <c r="S27" s="9" t="str">
        <f t="shared" si="1"/>
        <v>4032</v>
      </c>
      <c r="T27" s="39">
        <f t="shared" si="2"/>
        <v>42598.878344907411</v>
      </c>
      <c r="U27" s="53" t="str">
        <f t="shared" si="3"/>
        <v>EC</v>
      </c>
      <c r="V27" s="53" t="str">
        <f t="shared" si="4"/>
        <v>KEEP</v>
      </c>
      <c r="W27" s="24"/>
    </row>
    <row r="28" spans="1:24" x14ac:dyDescent="0.25">
      <c r="A28" s="39">
        <v>42598.660196759258</v>
      </c>
      <c r="B28" s="34" t="s">
        <v>161</v>
      </c>
      <c r="C28" s="34" t="s">
        <v>440</v>
      </c>
      <c r="D28" s="34" t="s">
        <v>49</v>
      </c>
      <c r="E28" s="34" t="s">
        <v>54</v>
      </c>
      <c r="F28" s="50">
        <v>0</v>
      </c>
      <c r="G28" s="50">
        <v>538</v>
      </c>
      <c r="H28" s="50">
        <v>169531</v>
      </c>
      <c r="I28" s="34" t="s">
        <v>55</v>
      </c>
      <c r="J28" s="50">
        <v>168014</v>
      </c>
      <c r="K28" s="34" t="s">
        <v>53</v>
      </c>
      <c r="L28" s="97" t="str">
        <f>VLOOKUP(C28,'Trips&amp;Operators'!$C$1:$E$9999,3,0)</f>
        <v>STEWART</v>
      </c>
      <c r="M28" s="141" t="s">
        <v>88</v>
      </c>
      <c r="N28" s="10" t="s">
        <v>715</v>
      </c>
      <c r="O28" s="34"/>
      <c r="P28" s="115" t="str">
        <f>VLOOKUP(C28,'Train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28" s="119" t="str">
        <f>VLOOKUP(C28,'Train Runs'!$A$13:$AE$10002,22,0)</f>
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8" s="122" t="str">
        <f t="shared" si="0"/>
        <v>"C:\Program Files (x86)\AstroGrep\AstroGrep.exe" /spath="%USERPROFILE%\AppData\Local\Temp\OnboardLogs" /stypes="*4037*201608162*" /stext=" 21:.+((SYSTEM_STATE.+slice.+state.+changed )|(ment ac)|(system.+state.+changed )|(\|lc)|(penalty)|(\[timeout)|(PRM\|1\|D)|(kpr)|(kdp))" /e /r /s</v>
      </c>
      <c r="S28" s="9" t="str">
        <f t="shared" si="1"/>
        <v>4037</v>
      </c>
      <c r="T28" s="39">
        <f t="shared" si="2"/>
        <v>42598.910196759258</v>
      </c>
      <c r="U28" s="53" t="str">
        <f t="shared" si="3"/>
        <v>EC</v>
      </c>
      <c r="V28" s="53" t="str">
        <f t="shared" si="4"/>
        <v>KEEP</v>
      </c>
      <c r="W28" s="24"/>
    </row>
    <row r="29" spans="1:24" x14ac:dyDescent="0.25">
      <c r="A29" s="39">
        <v>42598.365648148145</v>
      </c>
      <c r="B29" s="34" t="s">
        <v>231</v>
      </c>
      <c r="C29" s="34" t="s">
        <v>336</v>
      </c>
      <c r="D29" s="34" t="s">
        <v>49</v>
      </c>
      <c r="E29" s="34" t="s">
        <v>54</v>
      </c>
      <c r="F29" s="50">
        <v>0</v>
      </c>
      <c r="G29" s="50">
        <v>38</v>
      </c>
      <c r="H29" s="50">
        <v>198152</v>
      </c>
      <c r="I29" s="34" t="s">
        <v>55</v>
      </c>
      <c r="J29" s="50">
        <v>198242</v>
      </c>
      <c r="K29" s="34" t="s">
        <v>52</v>
      </c>
      <c r="L29" s="97" t="str">
        <f>VLOOKUP(C29,'Trips&amp;Operators'!$C$1:$E$9999,3,0)</f>
        <v>SPECTOR</v>
      </c>
      <c r="M29" s="141" t="s">
        <v>88</v>
      </c>
      <c r="N29" s="10" t="s">
        <v>714</v>
      </c>
      <c r="O29" s="34"/>
      <c r="P29" s="115" t="str">
        <f>VLOOKUP(C29,'Train Runs'!$A$13:$AE$10002,31,0)</f>
        <v>aws s3 cp s3://rtdc.mdm.uploadarchive/RTDC4009/2016-08-16/ "%USERPROFILE%\AppData\Local\Temp\OnboardLogs"\RTDC4009\2016-08-16 --recursive &amp; "%USERPROFILE%\Documents\GitHub\mrs-test-scripts\Headless Mode &amp; Sideloading\WalkAndUnGZ.bat" "%USERPROFILE%\AppData\Local\Temp\OnboardLogs"\RTDC4009\2016-08-16 &amp; aws s3 cp s3://rtdc.mdm.uploadarchive/RTDC4009/2016-08-17/ "%USERPROFILE%\AppData\Local\Temp\OnboardLogs"\RTDC4009\2016-08-17 --recursive &amp; "%USERPROFILE%\Documents\GitHub\mrs-test-scripts\Headless Mode &amp; Sideloading\WalkAndUnGZ.bat" "%USERPROFILE%\AppData\Local\Temp\OnboardLogs"\RTDC4009\2016-08-17</v>
      </c>
      <c r="Q29" s="119" t="str">
        <f>VLOOKUP(C29,'Train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06:53:45-0600',mode:absolute,to:'2016-08-16 09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9" s="122" t="str">
        <f t="shared" si="0"/>
        <v>"C:\Program Files (x86)\AstroGrep\AstroGrep.exe" /spath="%USERPROFILE%\AppData\Local\Temp\OnboardLogs" /stypes="*4009*201608161*" /stext=" 14:.+((SYSTEM_STATE.+slice.+state.+changed )|(ment ac)|(system.+state.+changed )|(\|lc)|(penalty)|(\[timeout)|(PRM\|1\|D)|(kpr)|(kdp))" /e /r /s</v>
      </c>
      <c r="S29" s="9" t="str">
        <f t="shared" si="1"/>
        <v>4009</v>
      </c>
      <c r="T29" s="39">
        <f t="shared" si="2"/>
        <v>42598.615648148145</v>
      </c>
      <c r="U29" s="53" t="str">
        <f t="shared" si="3"/>
        <v>EC</v>
      </c>
      <c r="V29" s="53" t="str">
        <f t="shared" si="4"/>
        <v>KEEP</v>
      </c>
      <c r="W29" s="24"/>
      <c r="X29" s="24"/>
    </row>
    <row r="30" spans="1:24" x14ac:dyDescent="0.25">
      <c r="A30" s="39">
        <v>42598.409861111111</v>
      </c>
      <c r="B30" s="34" t="s">
        <v>660</v>
      </c>
      <c r="C30" s="34" t="s">
        <v>361</v>
      </c>
      <c r="D30" s="34" t="s">
        <v>49</v>
      </c>
      <c r="E30" s="34" t="s">
        <v>54</v>
      </c>
      <c r="F30" s="50">
        <v>0</v>
      </c>
      <c r="G30" s="50">
        <v>707</v>
      </c>
      <c r="H30" s="50">
        <v>199637</v>
      </c>
      <c r="I30" s="34" t="s">
        <v>55</v>
      </c>
      <c r="J30" s="50">
        <v>204300</v>
      </c>
      <c r="K30" s="34" t="s">
        <v>52</v>
      </c>
      <c r="L30" s="97" t="str">
        <f>VLOOKUP(C30,'Trips&amp;Operators'!$C$1:$E$9999,3,0)</f>
        <v>ROCHA</v>
      </c>
      <c r="M30" s="141" t="s">
        <v>88</v>
      </c>
      <c r="N30" s="10" t="s">
        <v>714</v>
      </c>
      <c r="O30" s="34"/>
      <c r="P30" s="115" t="str">
        <f>VLOOKUP(C30,'Train Runs'!$A$13:$AE$10002,31,0)</f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Q30" s="119" t="str">
        <f>VLOOKUP(C30,'Train Runs'!$A$13:$AE$10002,22,0)</f>
        <v>https://search-rtdc-monitor-bjffxe2xuh6vdkpspy63sjmuny.us-east-1.es.amazonaws.com/_plugin/kibana/#/discover/Steve-Slow-Train-Analysis-(2080s-and-2083s)?_g=(refreshInterval:(display:Off,section:0,value:0),time:(from:'2016-08-16 08:11:58-0600',mode:absolute,to:'2016-08-16 10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30" s="122" t="str">
        <f t="shared" si="0"/>
        <v>"C:\Program Files (x86)\AstroGrep\AstroGrep.exe" /spath="%USERPROFILE%\AppData\Local\Temp\OnboardLogs" /stypes="*4018*201608161*" /stext=" 15:.+((SYSTEM_STATE.+slice.+state.+changed )|(ment ac)|(system.+state.+changed )|(\|lc)|(penalty)|(\[timeout)|(PRM\|1\|D)|(kpr)|(kdp))" /e /r /s</v>
      </c>
      <c r="S30" s="9" t="str">
        <f t="shared" si="1"/>
        <v>4018</v>
      </c>
      <c r="T30" s="39">
        <f t="shared" si="2"/>
        <v>42598.659861111111</v>
      </c>
      <c r="U30" s="53" t="str">
        <f t="shared" si="3"/>
        <v>EC</v>
      </c>
      <c r="V30" s="53" t="str">
        <f t="shared" si="4"/>
        <v>KEEP</v>
      </c>
      <c r="W30" s="24"/>
      <c r="X30" s="24"/>
    </row>
    <row r="31" spans="1:24" x14ac:dyDescent="0.25">
      <c r="A31" s="39">
        <v>42598.33388888889</v>
      </c>
      <c r="B31" s="34" t="s">
        <v>121</v>
      </c>
      <c r="C31" s="34" t="s">
        <v>327</v>
      </c>
      <c r="D31" s="34" t="s">
        <v>49</v>
      </c>
      <c r="E31" s="34" t="s">
        <v>54</v>
      </c>
      <c r="F31" s="50">
        <v>0</v>
      </c>
      <c r="G31" s="50">
        <v>759</v>
      </c>
      <c r="H31" s="50">
        <v>204751</v>
      </c>
      <c r="I31" s="34" t="s">
        <v>55</v>
      </c>
      <c r="J31" s="50">
        <v>204340</v>
      </c>
      <c r="K31" s="34" t="s">
        <v>53</v>
      </c>
      <c r="L31" s="97" t="str">
        <f>VLOOKUP(C31,'Trips&amp;Operators'!$C$1:$E$9999,3,0)</f>
        <v>KILLION</v>
      </c>
      <c r="M31" s="141" t="s">
        <v>88</v>
      </c>
      <c r="N31" s="10" t="s">
        <v>714</v>
      </c>
      <c r="O31" s="34"/>
      <c r="P31" s="115" t="str">
        <f>VLOOKUP(C31,'Train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31" s="119" t="str">
        <f>VLOOKUP(C31,'Train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06:48:48-0600',mode:absolute,to:'2016-08-16 09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1" s="122" t="str">
        <f t="shared" si="0"/>
        <v>"C:\Program Files (x86)\AstroGrep\AstroGrep.exe" /spath="%USERPROFILE%\AppData\Local\Temp\OnboardLogs" /stypes="*4032*201608161*" /stext=" 14:.+((SYSTEM_STATE.+slice.+state.+changed )|(ment ac)|(system.+state.+changed )|(\|lc)|(penalty)|(\[timeout)|(PRM\|1\|D)|(kpr)|(kdp))" /e /r /s</v>
      </c>
      <c r="S31" s="9" t="str">
        <f t="shared" si="1"/>
        <v>4032</v>
      </c>
      <c r="T31" s="39">
        <f t="shared" si="2"/>
        <v>42598.58388888889</v>
      </c>
      <c r="U31" s="53" t="str">
        <f t="shared" si="3"/>
        <v>EC</v>
      </c>
      <c r="V31" s="53" t="str">
        <f t="shared" si="4"/>
        <v>KEEP</v>
      </c>
    </row>
    <row r="32" spans="1:24" ht="15" customHeight="1" x14ac:dyDescent="0.25">
      <c r="A32" s="39">
        <v>42598.350868055553</v>
      </c>
      <c r="B32" s="34" t="s">
        <v>659</v>
      </c>
      <c r="C32" s="34" t="s">
        <v>329</v>
      </c>
      <c r="D32" s="34" t="s">
        <v>49</v>
      </c>
      <c r="E32" s="34" t="s">
        <v>54</v>
      </c>
      <c r="F32" s="50">
        <v>0</v>
      </c>
      <c r="G32" s="50">
        <v>159</v>
      </c>
      <c r="H32" s="50">
        <v>205170</v>
      </c>
      <c r="I32" s="34" t="s">
        <v>55</v>
      </c>
      <c r="J32" s="50">
        <v>204340</v>
      </c>
      <c r="K32" s="34" t="s">
        <v>53</v>
      </c>
      <c r="L32" s="97" t="str">
        <f>VLOOKUP(C32,'Trips&amp;Operators'!$C$1:$E$9999,3,0)</f>
        <v>ROCHA</v>
      </c>
      <c r="M32" s="141" t="s">
        <v>88</v>
      </c>
      <c r="N32" s="10" t="s">
        <v>714</v>
      </c>
      <c r="O32" s="34"/>
      <c r="P32" s="115" t="str">
        <f>VLOOKUP(C32,'Train Runs'!$A$13:$AE$10002,31,0)</f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Q32" s="119" t="str">
        <f>VLOOKUP(C32,'Train Runs'!$A$13:$AE$10002,22,0)</f>
        <v>https://search-rtdc-monitor-bjffxe2xuh6vdkpspy63sjmuny.us-east-1.es.amazonaws.com/_plugin/kibana/#/discover/Steve-Slow-Train-Analysis-(2080s-and-2083s)?_g=(refreshInterval:(display:Off,section:0,value:0),time:(from:'2016-08-16 07:11:50-0600',mode:absolute,to:'2016-08-16 10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2" s="122" t="str">
        <f t="shared" si="0"/>
        <v>"C:\Program Files (x86)\AstroGrep\AstroGrep.exe" /spath="%USERPROFILE%\AppData\Local\Temp\OnboardLogs" /stypes="*4017*201608161*" /stext=" 14:.+((SYSTEM_STATE.+slice.+state.+changed )|(ment ac)|(system.+state.+changed )|(\|lc)|(penalty)|(\[timeout)|(PRM\|1\|D)|(kpr)|(kdp))" /e /r /s</v>
      </c>
      <c r="S32" s="9" t="str">
        <f t="shared" si="1"/>
        <v>4017</v>
      </c>
      <c r="T32" s="39">
        <f t="shared" si="2"/>
        <v>42598.600868055553</v>
      </c>
      <c r="U32" s="53" t="str">
        <f t="shared" si="3"/>
        <v>EC</v>
      </c>
      <c r="V32" s="53" t="str">
        <f t="shared" si="4"/>
        <v>KEEP</v>
      </c>
    </row>
    <row r="33" spans="1:22" x14ac:dyDescent="0.25">
      <c r="A33" s="39">
        <v>42598.427986111114</v>
      </c>
      <c r="B33" s="34" t="s">
        <v>659</v>
      </c>
      <c r="C33" s="34" t="s">
        <v>363</v>
      </c>
      <c r="D33" s="34" t="s">
        <v>49</v>
      </c>
      <c r="E33" s="34" t="s">
        <v>54</v>
      </c>
      <c r="F33" s="50">
        <v>0</v>
      </c>
      <c r="G33" s="50">
        <v>642</v>
      </c>
      <c r="H33" s="50">
        <v>209358</v>
      </c>
      <c r="I33" s="34" t="s">
        <v>55</v>
      </c>
      <c r="J33" s="50">
        <v>204340</v>
      </c>
      <c r="K33" s="34" t="s">
        <v>53</v>
      </c>
      <c r="L33" s="97" t="str">
        <f>VLOOKUP(C33,'Trips&amp;Operators'!$C$1:$E$9999,3,0)</f>
        <v>ROCHA</v>
      </c>
      <c r="M33" s="141" t="s">
        <v>88</v>
      </c>
      <c r="N33" s="10" t="s">
        <v>714</v>
      </c>
      <c r="O33" s="34"/>
      <c r="P33" s="115" t="str">
        <f>VLOOKUP(C33,'Train Runs'!$A$13:$AE$10002,31,0)</f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Q33" s="119" t="str">
        <f>VLOOKUP(C33,'Train Runs'!$A$13:$AE$10002,22,0)</f>
        <v>https://search-rtdc-monitor-bjffxe2xuh6vdkpspy63sjmuny.us-east-1.es.amazonaws.com/_plugin/kibana/#/discover/Steve-Slow-Train-Analysis-(2080s-and-2083s)?_g=(refreshInterval:(display:Off,section:0,value:0),time:(from:'2016-08-16 09:28:34-0600',mode:absolute,to:'2016-08-16 11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3" s="122" t="str">
        <f t="shared" si="0"/>
        <v>"C:\Program Files (x86)\AstroGrep\AstroGrep.exe" /spath="%USERPROFILE%\AppData\Local\Temp\OnboardLogs" /stypes="*4017*201608161*" /stext=" 16:.+((SYSTEM_STATE.+slice.+state.+changed )|(ment ac)|(system.+state.+changed )|(\|lc)|(penalty)|(\[timeout)|(PRM\|1\|D)|(kpr)|(kdp))" /e /r /s</v>
      </c>
      <c r="S33" s="9" t="str">
        <f t="shared" si="1"/>
        <v>4017</v>
      </c>
      <c r="T33" s="39">
        <f t="shared" si="2"/>
        <v>42598.677986111114</v>
      </c>
      <c r="U33" s="53" t="str">
        <f t="shared" si="3"/>
        <v>EC</v>
      </c>
      <c r="V33" s="53" t="str">
        <f t="shared" si="4"/>
        <v>KEEP</v>
      </c>
    </row>
    <row r="34" spans="1:22" x14ac:dyDescent="0.25">
      <c r="A34" s="39">
        <v>42598.334791666668</v>
      </c>
      <c r="B34" s="34" t="s">
        <v>121</v>
      </c>
      <c r="C34" s="34" t="s">
        <v>327</v>
      </c>
      <c r="D34" s="34" t="s">
        <v>116</v>
      </c>
      <c r="E34" s="34" t="s">
        <v>54</v>
      </c>
      <c r="F34" s="50">
        <v>200</v>
      </c>
      <c r="G34" s="50">
        <v>254</v>
      </c>
      <c r="H34" s="50">
        <v>199983</v>
      </c>
      <c r="I34" s="34" t="s">
        <v>55</v>
      </c>
      <c r="J34" s="50">
        <v>204340</v>
      </c>
      <c r="K34" s="34" t="s">
        <v>53</v>
      </c>
      <c r="L34" s="97" t="str">
        <f>VLOOKUP(C34,'Trips&amp;Operators'!$C$1:$E$9999,3,0)</f>
        <v>KILLION</v>
      </c>
      <c r="M34" s="141" t="s">
        <v>88</v>
      </c>
      <c r="N34" s="10" t="s">
        <v>714</v>
      </c>
      <c r="O34" s="34"/>
      <c r="P34" s="115" t="str">
        <f>VLOOKUP(C34,'Train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34" s="119" t="str">
        <f>VLOOKUP(C34,'Train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06:48:48-0600',mode:absolute,to:'2016-08-16 09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4" s="122" t="str">
        <f t="shared" si="0"/>
        <v>"C:\Program Files (x86)\AstroGrep\AstroGrep.exe" /spath="%USERPROFILE%\AppData\Local\Temp\OnboardLogs" /stypes="*4032*201608161*" /stext=" 14:.+((SYSTEM_STATE.+slice.+state.+changed )|(ment ac)|(system.+state.+changed )|(\|lc)|(penalty)|(\[timeout)|(PRM\|1\|D)|(kpr)|(kdp))" /e /r /s</v>
      </c>
      <c r="S34" s="9" t="str">
        <f t="shared" si="1"/>
        <v>4032</v>
      </c>
      <c r="T34" s="39">
        <f t="shared" si="2"/>
        <v>42598.584791666668</v>
      </c>
      <c r="U34" s="53" t="str">
        <f t="shared" si="3"/>
        <v>EC</v>
      </c>
      <c r="V34" s="53" t="str">
        <f t="shared" si="4"/>
        <v>KEEP</v>
      </c>
    </row>
    <row r="35" spans="1:22" x14ac:dyDescent="0.25">
      <c r="A35" s="39">
        <v>42598.348865740743</v>
      </c>
      <c r="B35" s="34" t="s">
        <v>659</v>
      </c>
      <c r="C35" s="34" t="s">
        <v>329</v>
      </c>
      <c r="D35" s="34" t="s">
        <v>49</v>
      </c>
      <c r="E35" s="34" t="s">
        <v>54</v>
      </c>
      <c r="F35" s="50">
        <v>0</v>
      </c>
      <c r="G35" s="50">
        <v>125</v>
      </c>
      <c r="H35" s="50">
        <v>211471</v>
      </c>
      <c r="I35" s="34" t="s">
        <v>55</v>
      </c>
      <c r="J35" s="50">
        <v>210941</v>
      </c>
      <c r="K35" s="34" t="s">
        <v>53</v>
      </c>
      <c r="L35" s="97" t="str">
        <f>VLOOKUP(C35,'Trips&amp;Operators'!$C$1:$E$9999,3,0)</f>
        <v>ROCHA</v>
      </c>
      <c r="M35" s="141" t="s">
        <v>88</v>
      </c>
      <c r="N35" s="10" t="s">
        <v>714</v>
      </c>
      <c r="O35" s="34"/>
      <c r="P35" s="115" t="str">
        <f>VLOOKUP(C35,'Train Runs'!$A$13:$AE$10002,31,0)</f>
        <v>aws s3 cp s3://rtdc.mdm.uploadarchive/RTDC4017/2016-08-16/ "%USERPROFILE%\AppData\Local\Temp\OnboardLogs"\RTDC4017\2016-08-16 --recursive &amp; "%USERPROFILE%\Documents\GitHub\mrs-test-scripts\Headless Mode &amp; Sideloading\WalkAndUnGZ.bat" "%USERPROFILE%\AppData\Local\Temp\OnboardLogs"\RTDC4017\2016-08-16 &amp; aws s3 cp s3://rtdc.mdm.uploadarchive/RTDC4017/2016-08-17/ "%USERPROFILE%\AppData\Local\Temp\OnboardLogs"\RTDC4017\2016-08-17 --recursive &amp; "%USERPROFILE%\Documents\GitHub\mrs-test-scripts\Headless Mode &amp; Sideloading\WalkAndUnGZ.bat" "%USERPROFILE%\AppData\Local\Temp\OnboardLogs"\RTDC4017\2016-08-17</v>
      </c>
      <c r="Q35" s="119" t="str">
        <f>VLOOKUP(C35,'Train Runs'!$A$13:$AE$10002,22,0)</f>
        <v>https://search-rtdc-monitor-bjffxe2xuh6vdkpspy63sjmuny.us-east-1.es.amazonaws.com/_plugin/kibana/#/discover/Steve-Slow-Train-Analysis-(2080s-and-2083s)?_g=(refreshInterval:(display:Off,section:0,value:0),time:(from:'2016-08-16 07:11:50-0600',mode:absolute,to:'2016-08-16 10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35" s="122" t="str">
        <f t="shared" si="0"/>
        <v>"C:\Program Files (x86)\AstroGrep\AstroGrep.exe" /spath="%USERPROFILE%\AppData\Local\Temp\OnboardLogs" /stypes="*4017*201608161*" /stext=" 14:.+((SYSTEM_STATE.+slice.+state.+changed )|(ment ac)|(system.+state.+changed )|(\|lc)|(penalty)|(\[timeout)|(PRM\|1\|D)|(kpr)|(kdp))" /e /r /s</v>
      </c>
      <c r="S35" s="9" t="str">
        <f t="shared" si="1"/>
        <v>4017</v>
      </c>
      <c r="T35" s="39">
        <f t="shared" si="2"/>
        <v>42598.598865740743</v>
      </c>
      <c r="U35" s="53" t="str">
        <f t="shared" si="3"/>
        <v>EC</v>
      </c>
      <c r="V35" s="53" t="str">
        <f t="shared" si="4"/>
        <v>KEEP</v>
      </c>
    </row>
    <row r="36" spans="1:22" x14ac:dyDescent="0.25">
      <c r="A36" s="39">
        <v>42598.264363425929</v>
      </c>
      <c r="B36" s="34" t="s">
        <v>228</v>
      </c>
      <c r="C36" s="34" t="s">
        <v>295</v>
      </c>
      <c r="D36" s="34" t="s">
        <v>49</v>
      </c>
      <c r="E36" s="34" t="s">
        <v>204</v>
      </c>
      <c r="F36" s="50">
        <v>0</v>
      </c>
      <c r="G36" s="50">
        <v>16</v>
      </c>
      <c r="H36" s="50">
        <v>4118</v>
      </c>
      <c r="I36" s="34" t="s">
        <v>205</v>
      </c>
      <c r="J36" s="50">
        <v>4102</v>
      </c>
      <c r="K36" s="34" t="s">
        <v>53</v>
      </c>
      <c r="L36" s="97" t="str">
        <f>VLOOKUP(C36,'Trips&amp;Operators'!$C$1:$E$9999,3,0)</f>
        <v>DAVIS</v>
      </c>
      <c r="M36" s="141" t="s">
        <v>88</v>
      </c>
      <c r="N36" s="10" t="s">
        <v>283</v>
      </c>
      <c r="O36" s="34"/>
      <c r="P36" s="115" t="str">
        <f>VLOOKUP(C36,'Train Runs'!$A$13:$AE$10002,31,0)</f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Q36" s="119" t="str">
        <f>VLOOKUP(C36,'Train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04:33:42-0600',mode:absolute,to:'2016-08-16 07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6" s="122" t="str">
        <f t="shared" si="0"/>
        <v>"C:\Program Files (x86)\AstroGrep\AstroGrep.exe" /spath="%USERPROFILE%\AppData\Local\Temp\OnboardLogs" /stypes="*4043*201608161*" /stext=" 12:.+((SYSTEM_STATE.+slice.+state.+changed )|(ment ac)|(system.+state.+changed )|(\|lc)|(penalty)|(\[timeout)|(PRM\|1\|D)|(kpr)|(kdp))" /e /r /s</v>
      </c>
      <c r="S36" s="9" t="str">
        <f t="shared" si="1"/>
        <v>4043</v>
      </c>
      <c r="T36" s="39">
        <f t="shared" si="2"/>
        <v>42598.514363425929</v>
      </c>
      <c r="U36" s="53" t="str">
        <f t="shared" si="3"/>
        <v>EC</v>
      </c>
      <c r="V36" s="53" t="str">
        <f t="shared" si="4"/>
        <v>KEEP</v>
      </c>
    </row>
    <row r="37" spans="1:22" x14ac:dyDescent="0.25">
      <c r="A37" s="39">
        <v>42598.265046296299</v>
      </c>
      <c r="B37" s="34" t="s">
        <v>228</v>
      </c>
      <c r="C37" s="34" t="s">
        <v>295</v>
      </c>
      <c r="D37" s="34" t="s">
        <v>49</v>
      </c>
      <c r="E37" s="34" t="s">
        <v>204</v>
      </c>
      <c r="F37" s="50">
        <v>0</v>
      </c>
      <c r="G37" s="50">
        <v>16</v>
      </c>
      <c r="H37" s="50">
        <v>4118</v>
      </c>
      <c r="I37" s="34" t="s">
        <v>205</v>
      </c>
      <c r="J37" s="50">
        <v>4102</v>
      </c>
      <c r="K37" s="34" t="s">
        <v>53</v>
      </c>
      <c r="L37" s="97" t="str">
        <f>VLOOKUP(C37,'Trips&amp;Operators'!$C$1:$E$9999,3,0)</f>
        <v>DAVIS</v>
      </c>
      <c r="M37" s="141" t="s">
        <v>88</v>
      </c>
      <c r="N37" s="10" t="s">
        <v>283</v>
      </c>
      <c r="O37" s="34"/>
      <c r="P37" s="115" t="str">
        <f>VLOOKUP(C37,'Train Runs'!$A$13:$AE$10002,31,0)</f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Q37" s="119" t="str">
        <f>VLOOKUP(C37,'Train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04:33:42-0600',mode:absolute,to:'2016-08-16 07:26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7" s="122" t="str">
        <f t="shared" si="0"/>
        <v>"C:\Program Files (x86)\AstroGrep\AstroGrep.exe" /spath="%USERPROFILE%\AppData\Local\Temp\OnboardLogs" /stypes="*4043*201608161*" /stext=" 12:.+((SYSTEM_STATE.+slice.+state.+changed )|(ment ac)|(system.+state.+changed )|(\|lc)|(penalty)|(\[timeout)|(PRM\|1\|D)|(kpr)|(kdp))" /e /r /s</v>
      </c>
      <c r="S37" s="9" t="str">
        <f t="shared" si="1"/>
        <v>4043</v>
      </c>
      <c r="T37" s="39">
        <f t="shared" si="2"/>
        <v>42598.515046296299</v>
      </c>
      <c r="U37" s="53" t="str">
        <f t="shared" si="3"/>
        <v>EC</v>
      </c>
      <c r="V37" s="53" t="str">
        <f t="shared" si="4"/>
        <v>KEEP</v>
      </c>
    </row>
    <row r="38" spans="1:22" x14ac:dyDescent="0.25">
      <c r="A38" s="39">
        <v>42598.266099537039</v>
      </c>
      <c r="B38" s="34" t="s">
        <v>121</v>
      </c>
      <c r="C38" s="34" t="s">
        <v>305</v>
      </c>
      <c r="D38" s="34" t="s">
        <v>49</v>
      </c>
      <c r="E38" s="34" t="s">
        <v>204</v>
      </c>
      <c r="F38" s="50">
        <v>0</v>
      </c>
      <c r="G38" s="50">
        <v>191</v>
      </c>
      <c r="H38" s="50">
        <v>157407</v>
      </c>
      <c r="I38" s="34" t="s">
        <v>205</v>
      </c>
      <c r="J38" s="50">
        <v>156300</v>
      </c>
      <c r="K38" s="34" t="s">
        <v>53</v>
      </c>
      <c r="L38" s="97" t="str">
        <f>VLOOKUP(C38,'Trips&amp;Operators'!$C$1:$E$9999,3,0)</f>
        <v>KILLION</v>
      </c>
      <c r="M38" s="141" t="s">
        <v>88</v>
      </c>
      <c r="N38" s="10" t="s">
        <v>283</v>
      </c>
      <c r="O38" s="34"/>
      <c r="P38" s="115" t="str">
        <f>VLOOKUP(C38,'Train Runs'!$A$13:$AE$10002,31,0)</f>
        <v>aws s3 cp s3://rtdc.mdm.uploadarchive/RTDC4032/2016-08-16/ "%USERPROFILE%\AppData\Local\Temp\OnboardLogs"\RTDC4032\2016-08-16 --recursive &amp; "%USERPROFILE%\Documents\GitHub\mrs-test-scripts\Headless Mode &amp; Sideloading\WalkAndUnGZ.bat" "%USERPROFILE%\AppData\Local\Temp\OnboardLogs"\RTDC4032\2016-08-16 &amp; aws s3 cp s3://rtdc.mdm.uploadarchive/RTDC4032/2016-08-17/ "%USERPROFILE%\AppData\Local\Temp\OnboardLogs"\RTDC4032\2016-08-17 --recursive &amp; "%USERPROFILE%\Documents\GitHub\mrs-test-scripts\Headless Mode &amp; Sideloading\WalkAndUnGZ.bat" "%USERPROFILE%\AppData\Local\Temp\OnboardLogs"\RTDC4032\2016-08-17</v>
      </c>
      <c r="Q38" s="119" t="str">
        <f>VLOOKUP(C38,'Train Runs'!$A$13:$AE$10002,22,0)</f>
        <v>https://search-rtdc-monitor-bjffxe2xuh6vdkpspy63sjmuny.us-east-1.es.amazonaws.com/_plugin/kibana/#/discover/Steve-Slow-Train-Analysis-(2080s-and-2083s)?_g=(refreshInterval:(display:Off,section:0,value:0),time:(from:'2016-08-16 04:59:18-0600',mode:absolute,to:'2016-08-16 07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8" s="122" t="str">
        <f t="shared" si="0"/>
        <v>"C:\Program Files (x86)\AstroGrep\AstroGrep.exe" /spath="%USERPROFILE%\AppData\Local\Temp\OnboardLogs" /stypes="*4032*201608161*" /stext=" 12:.+((SYSTEM_STATE.+slice.+state.+changed )|(ment ac)|(system.+state.+changed )|(\|lc)|(penalty)|(\[timeout)|(PRM\|1\|D)|(kpr)|(kdp))" /e /r /s</v>
      </c>
      <c r="S38" s="9" t="str">
        <f t="shared" si="1"/>
        <v>4032</v>
      </c>
      <c r="T38" s="39">
        <f t="shared" si="2"/>
        <v>42598.516099537039</v>
      </c>
      <c r="U38" s="53" t="str">
        <f t="shared" si="3"/>
        <v>EC</v>
      </c>
      <c r="V38" s="53" t="str">
        <f t="shared" si="4"/>
        <v>KEEP</v>
      </c>
    </row>
    <row r="39" spans="1:22" x14ac:dyDescent="0.25">
      <c r="A39" s="39">
        <v>42598.307268518518</v>
      </c>
      <c r="B39" s="34" t="s">
        <v>161</v>
      </c>
      <c r="C39" s="34" t="s">
        <v>313</v>
      </c>
      <c r="D39" s="34" t="s">
        <v>49</v>
      </c>
      <c r="E39" s="34" t="s">
        <v>50</v>
      </c>
      <c r="F39" s="50">
        <v>0</v>
      </c>
      <c r="G39" s="50">
        <v>54</v>
      </c>
      <c r="H39" s="50">
        <v>163</v>
      </c>
      <c r="I39" s="34" t="s">
        <v>51</v>
      </c>
      <c r="J39" s="50">
        <v>1</v>
      </c>
      <c r="K39" s="34" t="s">
        <v>53</v>
      </c>
      <c r="L39" s="97" t="str">
        <f>VLOOKUP(C39,'Trips&amp;Operators'!$C$1:$E$9999,3,0)</f>
        <v>ACKERMAN</v>
      </c>
      <c r="M39" s="141" t="s">
        <v>89</v>
      </c>
      <c r="N39" s="10"/>
      <c r="O39" s="34"/>
      <c r="P39" s="115" t="str">
        <f>VLOOKUP(C39,'Train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39" s="119" t="str">
        <f>VLOOKUP(C39,'Train Runs'!$A$13:$AE$10002,22,0)</f>
        <v>https://search-rtdc-monitor-bjffxe2xuh6vdkpspy63sjmuny.us-east-1.es.amazonaws.com/_plugin/kibana/#/discover/Steve-Slow-Train-Analysis-(2080s-and-2083s)?_g=(refreshInterval:(display:Off,section:0,value:0),time:(from:'2016-08-16 05:33:11-0600',mode:absolute,to:'2016-08-16 08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39" s="122" t="str">
        <f t="shared" ref="R39:R70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/stypes="*4037*201608161*" /stext=" 13:.+((SYSTEM_STATE.+slice.+state.+changed )|(ment ac)|(system.+state.+changed )|(\|lc)|(penalty)|(\[timeout)|(PRM\|1\|D)|(kpr)|(kdp))" /e /r /s</v>
      </c>
      <c r="S39" s="9" t="str">
        <f t="shared" ref="S39:S60" si="6">MID(B39,13,4)</f>
        <v>4037</v>
      </c>
      <c r="T39" s="39">
        <f t="shared" ref="T39:T60" si="7">A39+6/24</f>
        <v>42598.557268518518</v>
      </c>
      <c r="U39" s="53" t="str">
        <f t="shared" ref="U39:U60" si="8">IF(VALUE(LEFT(IF(LEN(C39)=6,"0"&amp;C39,C39),2))&lt;=2,"EC",IF(OR(VALUE(LEFT(IF(LEN(C39)=6,"0"&amp;C39,C39),2))=8,VALUE(LEFT(IF(LEN(C39)=6,"0"&amp;C39,C39),2))=18),"NW","GL"))</f>
        <v>EC</v>
      </c>
      <c r="V39" s="53" t="str">
        <f t="shared" ref="V39:V60" si="9">IF(AND(E39="TRACK WARRANT AUTHORITY",G39&lt;10),"OMIT","KEEP")</f>
        <v>KEEP</v>
      </c>
    </row>
    <row r="40" spans="1:22" x14ac:dyDescent="0.25">
      <c r="A40" s="39">
        <v>42598.402986111112</v>
      </c>
      <c r="B40" s="34" t="s">
        <v>95</v>
      </c>
      <c r="C40" s="34" t="s">
        <v>335</v>
      </c>
      <c r="D40" s="34" t="s">
        <v>49</v>
      </c>
      <c r="E40" s="34" t="s">
        <v>50</v>
      </c>
      <c r="F40" s="50">
        <v>0</v>
      </c>
      <c r="G40" s="50">
        <v>52</v>
      </c>
      <c r="H40" s="50">
        <v>169</v>
      </c>
      <c r="I40" s="34" t="s">
        <v>51</v>
      </c>
      <c r="J40" s="50">
        <v>1</v>
      </c>
      <c r="K40" s="34" t="s">
        <v>53</v>
      </c>
      <c r="L40" s="97" t="str">
        <f>VLOOKUP(C40,'Trips&amp;Operators'!$C$1:$E$9999,3,0)</f>
        <v>CLARK</v>
      </c>
      <c r="M40" s="141" t="s">
        <v>89</v>
      </c>
      <c r="N40" s="10"/>
      <c r="O40" s="34"/>
      <c r="P40" s="115" t="str">
        <f>VLOOKUP(C40,'Train Runs'!$A$13:$AE$10002,31,0)</f>
        <v>aws s3 cp s3://rtdc.mdm.uploadarchive/RTDC4030/2016-08-16/ "%USERPROFILE%\AppData\Local\Temp\OnboardLogs"\RTDC4030\2016-08-16 --recursive &amp; "%USERPROFILE%\Documents\GitHub\mrs-test-scripts\Headless Mode &amp; Sideloading\WalkAndUnGZ.bat" "%USERPROFILE%\AppData\Local\Temp\OnboardLogs"\RTDC4030\2016-08-16 &amp; aws s3 cp s3://rtdc.mdm.uploadarchive/RTDC4030/2016-08-17/ "%USERPROFILE%\AppData\Local\Temp\OnboardLogs"\RTDC4030\2016-08-17 --recursive &amp; "%USERPROFILE%\Documents\GitHub\mrs-test-scripts\Headless Mode &amp; Sideloading\WalkAndUnGZ.bat" "%USERPROFILE%\AppData\Local\Temp\OnboardLogs"\RTDC4030\2016-08-17</v>
      </c>
      <c r="Q40" s="119" t="str">
        <f>VLOOKUP(C40,'Train Runs'!$A$13:$AE$10002,22,0)</f>
        <v>https://search-rtdc-monitor-bjffxe2xuh6vdkpspy63sjmuny.us-east-1.es.amazonaws.com/_plugin/kibana/#/discover/Steve-Slow-Train-Analysis-(2080s-and-2083s)?_g=(refreshInterval:(display:Off,section:0,value:0),time:(from:'2016-08-16 07:43:15-0600',mode:absolute,to:'2016-08-16 10:40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40" s="122" t="str">
        <f t="shared" si="5"/>
        <v>"C:\Program Files (x86)\AstroGrep\AstroGrep.exe" /spath="%USERPROFILE%\AppData\Local\Temp\OnboardLogs" /stypes="*4030*201608161*" /stext=" 15:.+((SYSTEM_STATE.+slice.+state.+changed )|(ment ac)|(system.+state.+changed )|(\|lc)|(penalty)|(\[timeout)|(PRM\|1\|D)|(kpr)|(kdp))" /e /r /s</v>
      </c>
      <c r="S40" s="9" t="str">
        <f t="shared" si="6"/>
        <v>4030</v>
      </c>
      <c r="T40" s="39">
        <f t="shared" si="7"/>
        <v>42598.652986111112</v>
      </c>
      <c r="U40" s="53" t="str">
        <f t="shared" si="8"/>
        <v>EC</v>
      </c>
      <c r="V40" s="53" t="str">
        <f t="shared" si="9"/>
        <v>KEEP</v>
      </c>
    </row>
    <row r="41" spans="1:22" x14ac:dyDescent="0.25">
      <c r="A41" s="39">
        <v>42598.629143518519</v>
      </c>
      <c r="B41" s="34" t="s">
        <v>234</v>
      </c>
      <c r="C41" s="34" t="s">
        <v>424</v>
      </c>
      <c r="D41" s="34" t="s">
        <v>49</v>
      </c>
      <c r="E41" s="34" t="s">
        <v>50</v>
      </c>
      <c r="F41" s="50">
        <v>0</v>
      </c>
      <c r="G41" s="50">
        <v>49</v>
      </c>
      <c r="H41" s="50">
        <v>149</v>
      </c>
      <c r="I41" s="34" t="s">
        <v>51</v>
      </c>
      <c r="J41" s="50">
        <v>1</v>
      </c>
      <c r="K41" s="34" t="s">
        <v>53</v>
      </c>
      <c r="L41" s="97" t="str">
        <f>VLOOKUP(C41,'Trips&amp;Operators'!$C$1:$E$9999,3,0)</f>
        <v>HAITHCOX</v>
      </c>
      <c r="M41" s="141" t="s">
        <v>89</v>
      </c>
      <c r="N41" s="10"/>
      <c r="O41" s="34"/>
      <c r="P41" s="115" t="str">
        <f>VLOOKUP(C41,'Train Runs'!$A$13:$AE$10002,31,0)</f>
        <v>aws s3 cp s3://rtdc.mdm.uploadarchive/RTDC4010/2016-08-16/ "%USERPROFILE%\AppData\Local\Temp\OnboardLogs"\RTDC4010\2016-08-16 --recursive &amp; "%USERPROFILE%\Documents\GitHub\mrs-test-scripts\Headless Mode &amp; Sideloading\WalkAndUnGZ.bat" "%USERPROFILE%\AppData\Local\Temp\OnboardLogs"\RTDC4010\2016-08-16 &amp; aws s3 cp s3://rtdc.mdm.uploadarchive/RTDC4010/2016-08-17/ "%USERPROFILE%\AppData\Local\Temp\OnboardLogs"\RTDC4010\2016-08-17 --recursive &amp; "%USERPROFILE%\Documents\GitHub\mrs-test-scripts\Headless Mode &amp; Sideloading\WalkAndUnGZ.bat" "%USERPROFILE%\AppData\Local\Temp\OnboardLogs"\RTDC4010\2016-08-17</v>
      </c>
      <c r="Q41" s="119" t="str">
        <f>VLOOKUP(C41,'Train Runs'!$A$13:$AE$10002,22,0)</f>
        <v>https://search-rtdc-monitor-bjffxe2xuh6vdkpspy63sjmuny.us-east-1.es.amazonaws.com/_plugin/kibana/#/discover/Steve-Slow-Train-Analysis-(2080s-and-2083s)?_g=(refreshInterval:(display:Off,section:0,value:0),time:(from:'2016-08-16 13:20:40-0600',mode:absolute,to:'2016-08-16 16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41" s="122" t="str">
        <f t="shared" si="5"/>
        <v>"C:\Program Files (x86)\AstroGrep\AstroGrep.exe" /spath="%USERPROFILE%\AppData\Local\Temp\OnboardLogs" /stypes="*4010*201608162*" /stext=" 21:.+((SYSTEM_STATE.+slice.+state.+changed )|(ment ac)|(system.+state.+changed )|(\|lc)|(penalty)|(\[timeout)|(PRM\|1\|D)|(kpr)|(kdp))" /e /r /s</v>
      </c>
      <c r="S41" s="9" t="str">
        <f t="shared" si="6"/>
        <v>4010</v>
      </c>
      <c r="T41" s="39">
        <f t="shared" si="7"/>
        <v>42598.879143518519</v>
      </c>
      <c r="U41" s="53" t="str">
        <f t="shared" si="8"/>
        <v>EC</v>
      </c>
      <c r="V41" s="53" t="str">
        <f t="shared" si="9"/>
        <v>KEEP</v>
      </c>
    </row>
    <row r="42" spans="1:22" ht="15" customHeight="1" x14ac:dyDescent="0.25">
      <c r="A42" s="39">
        <v>42598.684641203705</v>
      </c>
      <c r="B42" s="34" t="s">
        <v>161</v>
      </c>
      <c r="C42" s="34" t="s">
        <v>440</v>
      </c>
      <c r="D42" s="34" t="s">
        <v>49</v>
      </c>
      <c r="E42" s="34" t="s">
        <v>50</v>
      </c>
      <c r="F42" s="50">
        <v>0</v>
      </c>
      <c r="G42" s="50">
        <v>76</v>
      </c>
      <c r="H42" s="50">
        <v>283</v>
      </c>
      <c r="I42" s="34" t="s">
        <v>51</v>
      </c>
      <c r="J42" s="50">
        <v>1</v>
      </c>
      <c r="K42" s="34" t="s">
        <v>53</v>
      </c>
      <c r="L42" s="97" t="str">
        <f>VLOOKUP(C42,'Trips&amp;Operators'!$C$1:$E$9999,3,0)</f>
        <v>STEWART</v>
      </c>
      <c r="M42" s="141" t="s">
        <v>89</v>
      </c>
      <c r="N42" s="10"/>
      <c r="O42" s="34"/>
      <c r="P42" s="115" t="str">
        <f>VLOOKUP(C42,'Train Runs'!$A$13:$AE$10002,31,0)</f>
        <v>aws s3 cp s3://rtdc.mdm.uploadarchive/RTDC4037/2016-08-16/ "%USERPROFILE%\AppData\Local\Temp\OnboardLogs"\RTDC4037\2016-08-16 --recursive &amp; "%USERPROFILE%\Documents\GitHub\mrs-test-scripts\Headless Mode &amp; Sideloading\WalkAndUnGZ.bat" "%USERPROFILE%\AppData\Local\Temp\OnboardLogs"\RTDC4037\2016-08-16 &amp; aws s3 cp s3://rtdc.mdm.uploadarchive/RTDC4037/2016-08-17/ "%USERPROFILE%\AppData\Local\Temp\OnboardLogs"\RTDC4037\2016-08-17 --recursive &amp; "%USERPROFILE%\Documents\GitHub\mrs-test-scripts\Headless Mode &amp; Sideloading\WalkAndUnGZ.bat" "%USERPROFILE%\AppData\Local\Temp\OnboardLogs"\RTDC4037\2016-08-17</v>
      </c>
      <c r="Q42" s="119" t="str">
        <f>VLOOKUP(C42,'Train Runs'!$A$13:$AE$10002,22,0)</f>
        <v>https://search-rtdc-monitor-bjffxe2xuh6vdkpspy63sjmuny.us-east-1.es.amazonaws.com/_plugin/kibana/#/discover/Steve-Slow-Train-Analysis-(2080s-and-2083s)?_g=(refreshInterval:(display:Off,section:0,value:0),time:(from:'2016-08-16 14:37:01-0600',mode:absolute,to:'2016-08-16 17:26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42" s="122" t="str">
        <f t="shared" si="5"/>
        <v>"C:\Program Files (x86)\AstroGrep\AstroGrep.exe" /spath="%USERPROFILE%\AppData\Local\Temp\OnboardLogs" /stypes="*4037*201608162*" /stext=" 22:.+((SYSTEM_STATE.+slice.+state.+changed )|(ment ac)|(system.+state.+changed )|(\|lc)|(penalty)|(\[timeout)|(PRM\|1\|D)|(kpr)|(kdp))" /e /r /s</v>
      </c>
      <c r="S42" s="9" t="str">
        <f t="shared" si="6"/>
        <v>4037</v>
      </c>
      <c r="T42" s="39">
        <f t="shared" si="7"/>
        <v>42598.934641203705</v>
      </c>
      <c r="U42" s="53" t="str">
        <f t="shared" si="8"/>
        <v>EC</v>
      </c>
      <c r="V42" s="53" t="str">
        <f t="shared" si="9"/>
        <v>KEEP</v>
      </c>
    </row>
    <row r="43" spans="1:22" x14ac:dyDescent="0.25">
      <c r="A43" s="39">
        <v>42598.858657407407</v>
      </c>
      <c r="B43" s="34" t="s">
        <v>228</v>
      </c>
      <c r="C43" s="34" t="s">
        <v>501</v>
      </c>
      <c r="D43" s="34" t="s">
        <v>49</v>
      </c>
      <c r="E43" s="34" t="s">
        <v>50</v>
      </c>
      <c r="F43" s="50">
        <v>0</v>
      </c>
      <c r="G43" s="50">
        <v>56</v>
      </c>
      <c r="H43" s="50">
        <v>218</v>
      </c>
      <c r="I43" s="34" t="s">
        <v>51</v>
      </c>
      <c r="J43" s="50">
        <v>1</v>
      </c>
      <c r="K43" s="34" t="s">
        <v>53</v>
      </c>
      <c r="L43" s="97" t="str">
        <f>VLOOKUP(C43,'Trips&amp;Operators'!$C$1:$E$9999,3,0)</f>
        <v>OUN</v>
      </c>
      <c r="M43" s="141" t="s">
        <v>89</v>
      </c>
      <c r="N43" s="10"/>
      <c r="O43" s="34"/>
      <c r="P43" s="115" t="str">
        <f>VLOOKUP(C43,'Train Runs'!$A$13:$AE$10002,31,0)</f>
        <v>aws s3 cp s3://rtdc.mdm.uploadarchive/RTDC4043/2016-08-16/ "%USERPROFILE%\AppData\Local\Temp\OnboardLogs"\RTDC4043\2016-08-16 --recursive &amp; "%USERPROFILE%\Documents\GitHub\mrs-test-scripts\Headless Mode &amp; Sideloading\WalkAndUnGZ.bat" "%USERPROFILE%\AppData\Local\Temp\OnboardLogs"\RTDC4043\2016-08-16 &amp; aws s3 cp s3://rtdc.mdm.uploadarchive/RTDC4043/2016-08-17/ "%USERPROFILE%\AppData\Local\Temp\OnboardLogs"\RTDC4043\2016-08-17 --recursive &amp; "%USERPROFILE%\Documents\GitHub\mrs-test-scripts\Headless Mode &amp; Sideloading\WalkAndUnGZ.bat" "%USERPROFILE%\AppData\Local\Temp\OnboardLogs"\RTDC4043\2016-08-17</v>
      </c>
      <c r="Q43" s="119" t="str">
        <f>VLOOKUP(C43,'Train Runs'!$A$13:$AE$10002,22,0)</f>
        <v>https://search-rtdc-monitor-bjffxe2xuh6vdkpspy63sjmuny.us-east-1.es.amazonaws.com/_plugin/kibana/#/discover/Steve-Slow-Train-Analysis-(2080s-and-2083s)?_g=(refreshInterval:(display:Off,section:0,value:0),time:(from:'2016-08-16 18:49:52-0600',mode:absolute,to:'2016-08-16 21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43" s="122" t="str">
        <f t="shared" si="5"/>
        <v>"C:\Program Files (x86)\AstroGrep\AstroGrep.exe" /spath="%USERPROFILE%\AppData\Local\Temp\OnboardLogs" /stypes="*4043*201608170*" /stext=" 02:.+((SYSTEM_STATE.+slice.+state.+changed )|(ment ac)|(system.+state.+changed )|(\|lc)|(penalty)|(\[timeout)|(PRM\|1\|D)|(kpr)|(kdp))" /e /r /s</v>
      </c>
      <c r="S43" s="9" t="str">
        <f t="shared" si="6"/>
        <v>4043</v>
      </c>
      <c r="T43" s="39">
        <f t="shared" si="7"/>
        <v>42599.108657407407</v>
      </c>
      <c r="U43" s="53" t="str">
        <f t="shared" si="8"/>
        <v>EC</v>
      </c>
      <c r="V43" s="53" t="str">
        <f t="shared" si="9"/>
        <v>KEEP</v>
      </c>
    </row>
    <row r="44" spans="1:22" ht="15" customHeight="1" x14ac:dyDescent="0.25">
      <c r="A44" s="39">
        <v>42598.160474537035</v>
      </c>
      <c r="B44" s="34" t="s">
        <v>227</v>
      </c>
      <c r="C44" s="34" t="s">
        <v>286</v>
      </c>
      <c r="D44" s="34" t="s">
        <v>49</v>
      </c>
      <c r="E44" s="34" t="s">
        <v>50</v>
      </c>
      <c r="F44" s="50">
        <v>0</v>
      </c>
      <c r="G44" s="50">
        <v>17</v>
      </c>
      <c r="H44" s="50">
        <v>233474</v>
      </c>
      <c r="I44" s="34" t="s">
        <v>51</v>
      </c>
      <c r="J44" s="50">
        <v>233491</v>
      </c>
      <c r="K44" s="34" t="s">
        <v>52</v>
      </c>
      <c r="L44" s="97" t="str">
        <f>VLOOKUP(C44,'Trips&amp;Operators'!$C$1:$E$9999,3,0)</f>
        <v>KILLION</v>
      </c>
      <c r="M44" s="141" t="s">
        <v>89</v>
      </c>
      <c r="N44" s="10"/>
      <c r="O44" s="34"/>
      <c r="P44" s="115" t="str">
        <f>VLOOKUP(C44,'Train Runs'!$A$13:$AE$10002,31,0)</f>
        <v>aws s3 cp s3://rtdc.mdm.uploadarchive/RTDC4011/2016-08-16/ "%USERPROFILE%\AppData\Local\Temp\OnboardLogs"\RTDC4011\2016-08-16 --recursive &amp; "%USERPROFILE%\Documents\GitHub\mrs-test-scripts\Headless Mode &amp; Sideloading\WalkAndUnGZ.bat" "%USERPROFILE%\AppData\Local\Temp\OnboardLogs"\RTDC4011\2016-08-16 &amp; aws s3 cp s3://rtdc.mdm.uploadarchive/RTDC4011/2016-08-17/ "%USERPROFILE%\AppData\Local\Temp\OnboardLogs"\RTDC4011\2016-08-17 --recursive &amp; "%USERPROFILE%\Documents\GitHub\mrs-test-scripts\Headless Mode &amp; Sideloading\WalkAndUnGZ.bat" "%USERPROFILE%\AppData\Local\Temp\OnboardLogs"\RTDC4011\2016-08-17</v>
      </c>
      <c r="Q44" s="119" t="str">
        <f>VLOOKUP(C44,'Train Runs'!$A$13:$AE$10002,22,0)</f>
        <v>https://search-rtdc-monitor-bjffxe2xuh6vdkpspy63sjmuny.us-east-1.es.amazonaws.com/_plugin/kibana/#/discover/Steve-Slow-Train-Analysis-(2080s-and-2083s)?_g=(refreshInterval:(display:Off,section:0,value:0),time:(from:'2016-08-16 02:03:15-0600',mode:absolute,to:'2016-08-16 04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R44" s="122" t="str">
        <f t="shared" si="5"/>
        <v>"C:\Program Files (x86)\AstroGrep\AstroGrep.exe" /spath="%USERPROFILE%\AppData\Local\Temp\OnboardLogs" /stypes="*4011*201608160*" /stext=" 09:.+((SYSTEM_STATE.+slice.+state.+changed )|(ment ac)|(system.+state.+changed )|(\|lc)|(penalty)|(\[timeout)|(PRM\|1\|D)|(kpr)|(kdp))" /e /r /s</v>
      </c>
      <c r="S44" s="9" t="str">
        <f t="shared" si="6"/>
        <v>4011</v>
      </c>
      <c r="T44" s="39">
        <f t="shared" si="7"/>
        <v>42598.410474537035</v>
      </c>
      <c r="U44" s="53" t="str">
        <f t="shared" si="8"/>
        <v>EC</v>
      </c>
      <c r="V44" s="53" t="str">
        <f t="shared" si="9"/>
        <v>KEEP</v>
      </c>
    </row>
    <row r="45" spans="1:22" x14ac:dyDescent="0.25">
      <c r="A45" s="39">
        <v>42598.182812500003</v>
      </c>
      <c r="B45" s="34" t="s">
        <v>655</v>
      </c>
      <c r="C45" s="34" t="s">
        <v>291</v>
      </c>
      <c r="D45" s="34" t="s">
        <v>49</v>
      </c>
      <c r="E45" s="34" t="s">
        <v>50</v>
      </c>
      <c r="F45" s="50">
        <v>0</v>
      </c>
      <c r="G45" s="50">
        <v>73</v>
      </c>
      <c r="H45" s="50">
        <v>233291</v>
      </c>
      <c r="I45" s="34" t="s">
        <v>51</v>
      </c>
      <c r="J45" s="50">
        <v>233491</v>
      </c>
      <c r="K45" s="34" t="s">
        <v>52</v>
      </c>
      <c r="L45" s="97" t="str">
        <f>VLOOKUP(C45,'Trips&amp;Operators'!$C$1:$E$9999,3,0)</f>
        <v>ACKERMAN</v>
      </c>
      <c r="M45" s="141" t="s">
        <v>89</v>
      </c>
      <c r="N45" s="10"/>
      <c r="O45" s="34"/>
      <c r="P45" s="115" t="str">
        <f>VLOOKUP(C45,'Train Runs'!$A$13:$AE$10002,31,0)</f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Q45" s="119" t="str">
        <f>VLOOKUP(C45,'Train Runs'!$A$13:$AE$10002,22,0)</f>
        <v>https://search-rtdc-monitor-bjffxe2xuh6vdkpspy63sjmuny.us-east-1.es.amazonaws.com/_plugin/kibana/#/discover/Steve-Slow-Train-Analysis-(2080s-and-2083s)?_g=(refreshInterval:(display:Off,section:0,value:0),time:(from:'2016-08-16 02:45:22-0600',mode:absolute,to:'2016-08-16 05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45" s="122" t="str">
        <f t="shared" si="5"/>
        <v>"C:\Program Files (x86)\AstroGrep\AstroGrep.exe" /spath="%USERPROFILE%\AppData\Local\Temp\OnboardLogs" /stypes="*4003*201608161*" /stext=" 10:.+((SYSTEM_STATE.+slice.+state.+changed )|(ment ac)|(system.+state.+changed )|(\|lc)|(penalty)|(\[timeout)|(PRM\|1\|D)|(kpr)|(kdp))" /e /r /s</v>
      </c>
      <c r="S45" s="9" t="str">
        <f t="shared" si="6"/>
        <v>4003</v>
      </c>
      <c r="T45" s="39">
        <f t="shared" si="7"/>
        <v>42598.432812500003</v>
      </c>
      <c r="U45" s="53" t="str">
        <f t="shared" si="8"/>
        <v>EC</v>
      </c>
      <c r="V45" s="53" t="str">
        <f t="shared" si="9"/>
        <v>KEEP</v>
      </c>
    </row>
    <row r="46" spans="1:22" x14ac:dyDescent="0.25">
      <c r="A46" s="39">
        <v>42598.183287037034</v>
      </c>
      <c r="B46" s="34" t="s">
        <v>655</v>
      </c>
      <c r="C46" s="34" t="s">
        <v>291</v>
      </c>
      <c r="D46" s="34" t="s">
        <v>49</v>
      </c>
      <c r="E46" s="34" t="s">
        <v>50</v>
      </c>
      <c r="F46" s="50">
        <v>0</v>
      </c>
      <c r="G46" s="50">
        <v>20</v>
      </c>
      <c r="H46" s="50">
        <v>233405</v>
      </c>
      <c r="I46" s="34" t="s">
        <v>51</v>
      </c>
      <c r="J46" s="50">
        <v>233491</v>
      </c>
      <c r="K46" s="34" t="s">
        <v>52</v>
      </c>
      <c r="L46" s="97" t="str">
        <f>VLOOKUP(C46,'Trips&amp;Operators'!$C$1:$E$9999,3,0)</f>
        <v>ACKERMAN</v>
      </c>
      <c r="M46" s="141" t="s">
        <v>89</v>
      </c>
      <c r="N46" s="10"/>
      <c r="O46" s="34"/>
      <c r="P46" s="115" t="str">
        <f>VLOOKUP(C46,'Train Runs'!$A$13:$AE$10002,31,0)</f>
        <v>aws s3 cp s3://rtdc.mdm.uploadarchive/RTDC4003/2016-08-16/ "%USERPROFILE%\AppData\Local\Temp\OnboardLogs"\RTDC4003\2016-08-16 --recursive &amp; "%USERPROFILE%\Documents\GitHub\mrs-test-scripts\Headless Mode &amp; Sideloading\WalkAndUnGZ.bat" "%USERPROFILE%\AppData\Local\Temp\OnboardLogs"\RTDC4003\2016-08-16 &amp; aws s3 cp s3://rtdc.mdm.uploadarchive/RTDC4003/2016-08-17/ "%USERPROFILE%\AppData\Local\Temp\OnboardLogs"\RTDC4003\2016-08-17 --recursive &amp; "%USERPROFILE%\Documents\GitHub\mrs-test-scripts\Headless Mode &amp; Sideloading\WalkAndUnGZ.bat" "%USERPROFILE%\AppData\Local\Temp\OnboardLogs"\RTDC4003\2016-08-17</v>
      </c>
      <c r="Q46" s="119" t="str">
        <f>VLOOKUP(C46,'Train Runs'!$A$13:$AE$10002,22,0)</f>
        <v>https://search-rtdc-monitor-bjffxe2xuh6vdkpspy63sjmuny.us-east-1.es.amazonaws.com/_plugin/kibana/#/discover/Steve-Slow-Train-Analysis-(2080s-and-2083s)?_g=(refreshInterval:(display:Off,section:0,value:0),time:(from:'2016-08-16 02:45:22-0600',mode:absolute,to:'2016-08-16 05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46" s="122" t="str">
        <f t="shared" si="5"/>
        <v>"C:\Program Files (x86)\AstroGrep\AstroGrep.exe" /spath="%USERPROFILE%\AppData\Local\Temp\OnboardLogs" /stypes="*4003*201608161*" /stext=" 10:.+((SYSTEM_STATE.+slice.+state.+changed )|(ment ac)|(system.+state.+changed )|(\|lc)|(penalty)|(\[timeout)|(PRM\|1\|D)|(kpr)|(kdp))" /e /r /s</v>
      </c>
      <c r="S46" s="9" t="str">
        <f t="shared" si="6"/>
        <v>4003</v>
      </c>
      <c r="T46" s="39">
        <f t="shared" si="7"/>
        <v>42598.433287037034</v>
      </c>
      <c r="U46" s="53" t="str">
        <f t="shared" si="8"/>
        <v>EC</v>
      </c>
      <c r="V46" s="53" t="str">
        <f t="shared" si="9"/>
        <v>KEEP</v>
      </c>
    </row>
    <row r="47" spans="1:22" x14ac:dyDescent="0.25">
      <c r="A47" s="39">
        <v>42598.394513888888</v>
      </c>
      <c r="B47" s="34" t="s">
        <v>120</v>
      </c>
      <c r="C47" s="34" t="s">
        <v>351</v>
      </c>
      <c r="D47" s="34" t="s">
        <v>49</v>
      </c>
      <c r="E47" s="34" t="s">
        <v>50</v>
      </c>
      <c r="F47" s="50">
        <v>0</v>
      </c>
      <c r="G47" s="50">
        <v>95</v>
      </c>
      <c r="H47" s="50">
        <v>233184</v>
      </c>
      <c r="I47" s="34" t="s">
        <v>51</v>
      </c>
      <c r="J47" s="50">
        <v>233491</v>
      </c>
      <c r="K47" s="34" t="s">
        <v>52</v>
      </c>
      <c r="L47" s="97" t="str">
        <f>VLOOKUP(C47,'Trips&amp;Operators'!$C$1:$E$9999,3,0)</f>
        <v>KILLION</v>
      </c>
      <c r="M47" s="141" t="s">
        <v>89</v>
      </c>
      <c r="N47" s="10"/>
      <c r="O47" s="34"/>
      <c r="P47" s="115" t="str">
        <f>VLOOKUP(C47,'Train Runs'!$A$13:$AE$10002,31,0)</f>
        <v>aws s3 cp s3://rtdc.mdm.uploadarchive/RTDC4031/2016-08-16/ "%USERPROFILE%\AppData\Local\Temp\OnboardLogs"\RTDC4031\2016-08-16 --recursive &amp; "%USERPROFILE%\Documents\GitHub\mrs-test-scripts\Headless Mode &amp; Sideloading\WalkAndUnGZ.bat" "%USERPROFILE%\AppData\Local\Temp\OnboardLogs"\RTDC4031\2016-08-16 &amp; aws s3 cp s3://rtdc.mdm.uploadarchive/RTDC4031/2016-08-17/ "%USERPROFILE%\AppData\Local\Temp\OnboardLogs"\RTDC4031\2016-08-17 --recursive &amp; "%USERPROFILE%\Documents\GitHub\mrs-test-scripts\Headless Mode &amp; Sideloading\WalkAndUnGZ.bat" "%USERPROFILE%\AppData\Local\Temp\OnboardLogs"\RTDC4031\2016-08-17</v>
      </c>
      <c r="Q47" s="119" t="str">
        <f>VLOOKUP(C47,'Train Runs'!$A$13:$AE$10002,22,0)</f>
        <v>https://search-rtdc-monitor-bjffxe2xuh6vdkpspy63sjmuny.us-east-1.es.amazonaws.com/_plugin/kibana/#/discover/Steve-Slow-Train-Analysis-(2080s-and-2083s)?_g=(refreshInterval:(display:Off,section:0,value:0),time:(from:'2016-08-16 07:43:29-0600',mode:absolute,to:'2016-08-16 10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47" s="122" t="str">
        <f t="shared" si="5"/>
        <v>"C:\Program Files (x86)\AstroGrep\AstroGrep.exe" /spath="%USERPROFILE%\AppData\Local\Temp\OnboardLogs" /stypes="*4031*201608161*" /stext=" 15:.+((SYSTEM_STATE.+slice.+state.+changed )|(ment ac)|(system.+state.+changed )|(\|lc)|(penalty)|(\[timeout)|(PRM\|1\|D)|(kpr)|(kdp))" /e /r /s</v>
      </c>
      <c r="S47" s="9" t="str">
        <f t="shared" si="6"/>
        <v>4031</v>
      </c>
      <c r="T47" s="39">
        <f t="shared" si="7"/>
        <v>42598.644513888888</v>
      </c>
      <c r="U47" s="53" t="str">
        <f t="shared" si="8"/>
        <v>EC</v>
      </c>
      <c r="V47" s="53" t="str">
        <f t="shared" si="9"/>
        <v>KEEP</v>
      </c>
    </row>
    <row r="48" spans="1:22" ht="15" customHeight="1" x14ac:dyDescent="0.25">
      <c r="A48" s="39">
        <v>42598.564363425925</v>
      </c>
      <c r="B48" s="34" t="s">
        <v>660</v>
      </c>
      <c r="C48" s="34" t="s">
        <v>412</v>
      </c>
      <c r="D48" s="34" t="s">
        <v>49</v>
      </c>
      <c r="E48" s="34" t="s">
        <v>50</v>
      </c>
      <c r="F48" s="50">
        <v>0</v>
      </c>
      <c r="G48" s="50">
        <v>86</v>
      </c>
      <c r="H48" s="50">
        <v>233149</v>
      </c>
      <c r="I48" s="34" t="s">
        <v>51</v>
      </c>
      <c r="J48" s="50">
        <v>233491</v>
      </c>
      <c r="K48" s="34" t="s">
        <v>52</v>
      </c>
      <c r="L48" s="97" t="str">
        <f>VLOOKUP(C48,'Trips&amp;Operators'!$C$1:$E$9999,3,0)</f>
        <v>BARTLETT</v>
      </c>
      <c r="M48" s="141" t="s">
        <v>89</v>
      </c>
      <c r="N48" s="10"/>
      <c r="O48" s="34"/>
      <c r="P48" s="115" t="str">
        <f>VLOOKUP(C48,'Train Runs'!$A$13:$AE$10002,31,0)</f>
        <v>aws s3 cp s3://rtdc.mdm.uploadarchive/RTDC4018/2016-08-16/ "%USERPROFILE%\AppData\Local\Temp\OnboardLogs"\RTDC4018\2016-08-16 --recursive &amp; "%USERPROFILE%\Documents\GitHub\mrs-test-scripts\Headless Mode &amp; Sideloading\WalkAndUnGZ.bat" "%USERPROFILE%\AppData\Local\Temp\OnboardLogs"\RTDC4018\2016-08-16 &amp; aws s3 cp s3://rtdc.mdm.uploadarchive/RTDC4018/2016-08-17/ "%USERPROFILE%\AppData\Local\Temp\OnboardLogs"\RTDC4018\2016-08-17 --recursive &amp; "%USERPROFILE%\Documents\GitHub\mrs-test-scripts\Headless Mode &amp; Sideloading\WalkAndUnGZ.bat" "%USERPROFILE%\AppData\Local\Temp\OnboardLogs"\RTDC4018\2016-08-17</v>
      </c>
      <c r="Q48" s="119" t="str">
        <f>VLOOKUP(C48,'Train Runs'!$A$13:$AE$10002,22,0)</f>
        <v>https://search-rtdc-monitor-bjffxe2xuh6vdkpspy63sjmuny.us-east-1.es.amazonaws.com/_plugin/kibana/#/discover/Steve-Slow-Train-Analysis-(2080s-and-2083s)?_g=(refreshInterval:(display:Off,section:0,value:0),time:(from:'2016-08-16 11:45:13-0600',mode:absolute,to:'2016-08-16 14:32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48" s="122" t="str">
        <f t="shared" si="5"/>
        <v>"C:\Program Files (x86)\AstroGrep\AstroGrep.exe" /spath="%USERPROFILE%\AppData\Local\Temp\OnboardLogs" /stypes="*4018*201608161*" /stext=" 19:.+((SYSTEM_STATE.+slice.+state.+changed )|(ment ac)|(system.+state.+changed )|(\|lc)|(penalty)|(\[timeout)|(PRM\|1\|D)|(kpr)|(kdp))" /e /r /s</v>
      </c>
      <c r="S48" s="9" t="str">
        <f t="shared" si="6"/>
        <v>4018</v>
      </c>
      <c r="T48" s="39">
        <f t="shared" si="7"/>
        <v>42598.814363425925</v>
      </c>
      <c r="U48" s="53" t="str">
        <f t="shared" si="8"/>
        <v>EC</v>
      </c>
      <c r="V48" s="53" t="str">
        <f t="shared" si="9"/>
        <v>KEEP</v>
      </c>
    </row>
    <row r="49" spans="1:22" x14ac:dyDescent="0.25">
      <c r="A49" s="39">
        <v>42598.289409722223</v>
      </c>
      <c r="B49" s="34" t="s">
        <v>657</v>
      </c>
      <c r="C49" s="34" t="s">
        <v>557</v>
      </c>
      <c r="D49" s="34" t="s">
        <v>116</v>
      </c>
      <c r="E49" s="34" t="s">
        <v>56</v>
      </c>
      <c r="F49" s="50">
        <v>500</v>
      </c>
      <c r="G49" s="50">
        <v>554</v>
      </c>
      <c r="H49" s="50">
        <v>16479</v>
      </c>
      <c r="I49" s="34" t="s">
        <v>57</v>
      </c>
      <c r="J49" s="50">
        <v>14402</v>
      </c>
      <c r="K49" s="34" t="s">
        <v>52</v>
      </c>
      <c r="L49" s="97" t="str">
        <f>VLOOKUP(C49,'Trips&amp;Operators'!$C$1:$E$9999,3,0)</f>
        <v>STARKS</v>
      </c>
      <c r="M49" s="141" t="s">
        <v>89</v>
      </c>
      <c r="N49" s="10"/>
      <c r="O49" s="34"/>
      <c r="P49" s="115" t="str">
        <f>VLOOKUP(C49,'Train Runs'!$A$13:$AE$10002,31,0)</f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Q49" s="119" t="str">
        <f>VLOOKUP(C49,'Train Runs'!$A$13:$AE$10002,22,0)</f>
        <v>https://search-rtdc-monitor-bjffxe2xuh6vdkpspy63sjmuny.us-east-1.es.amazonaws.com/_plugin/kibana/#/discover/Steve-Slow-Train-Analysis-(2080s-and-2083s)?_g=(refreshInterval:(display:Off,section:0,value:0),time:(from:'2016-08-16 05:47:03-0600',mode:absolute,to:'2016-08-16 08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49" s="122" t="str">
        <f t="shared" si="5"/>
        <v>"C:\Program Files (x86)\AstroGrep\AstroGrep.exe" /spath="%USERPROFILE%\AppData\Local\Temp\OnboardLogs" /stypes="*4002*201608161*" /stext=" 12:.+((SYSTEM_STATE.+slice.+state.+changed )|(ment ac)|(system.+state.+changed )|(\|lc)|(penalty)|(\[timeout)|(PRM\|1\|D)|(kpr)|(kdp))" /e /r /s</v>
      </c>
      <c r="S49" s="9" t="str">
        <f t="shared" si="6"/>
        <v>4002</v>
      </c>
      <c r="T49" s="39">
        <f t="shared" si="7"/>
        <v>42598.539409722223</v>
      </c>
      <c r="U49" s="53" t="str">
        <f t="shared" si="8"/>
        <v>NW</v>
      </c>
      <c r="V49" s="53" t="str">
        <f t="shared" si="9"/>
        <v>KEEP</v>
      </c>
    </row>
    <row r="50" spans="1:22" x14ac:dyDescent="0.25">
      <c r="A50" s="39">
        <v>42598.332175925927</v>
      </c>
      <c r="B50" s="34" t="s">
        <v>657</v>
      </c>
      <c r="C50" s="34" t="s">
        <v>567</v>
      </c>
      <c r="D50" s="34" t="s">
        <v>49</v>
      </c>
      <c r="E50" s="34" t="s">
        <v>56</v>
      </c>
      <c r="F50" s="50">
        <v>300</v>
      </c>
      <c r="G50" s="50">
        <v>384</v>
      </c>
      <c r="H50" s="50">
        <v>19602</v>
      </c>
      <c r="I50" s="34" t="s">
        <v>57</v>
      </c>
      <c r="J50" s="50">
        <v>21314</v>
      </c>
      <c r="K50" s="34" t="s">
        <v>52</v>
      </c>
      <c r="L50" s="97" t="str">
        <f>VLOOKUP(C50,'Trips&amp;Operators'!$C$1:$E$9999,3,0)</f>
        <v>STARKS</v>
      </c>
      <c r="M50" s="141" t="s">
        <v>89</v>
      </c>
      <c r="N50" s="10"/>
      <c r="O50" s="34"/>
      <c r="P50" s="115" t="str">
        <f>VLOOKUP(C50,'Train Runs'!$A$13:$AE$10002,31,0)</f>
        <v>aws s3 cp s3://rtdc.mdm.uploadarchive/RTDC4002/2016-08-16/ "%USERPROFILE%\AppData\Local\Temp\OnboardLogs"\RTDC4002\2016-08-16 --recursive &amp; "%USERPROFILE%\Documents\GitHub\mrs-test-scripts\Headless Mode &amp; Sideloading\WalkAndUnGZ.bat" "%USERPROFILE%\AppData\Local\Temp\OnboardLogs"\RTDC4002\2016-08-16 &amp; aws s3 cp s3://rtdc.mdm.uploadarchive/RTDC4002/2016-08-17/ "%USERPROFILE%\AppData\Local\Temp\OnboardLogs"\RTDC4002\2016-08-17 --recursive &amp; "%USERPROFILE%\Documents\GitHub\mrs-test-scripts\Headless Mode &amp; Sideloading\WalkAndUnGZ.bat" "%USERPROFILE%\AppData\Local\Temp\OnboardLogs"\RTDC4002\2016-08-17</v>
      </c>
      <c r="Q50" s="119" t="str">
        <f>VLOOKUP(C50,'Train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06:51:19-0600',mode:absolute,to:'2016-08-16 09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50" s="122" t="str">
        <f t="shared" si="5"/>
        <v>"C:\Program Files (x86)\AstroGrep\AstroGrep.exe" /spath="%USERPROFILE%\AppData\Local\Temp\OnboardLogs" /stypes="*4002*201608161*" /stext=" 13:.+((SYSTEM_STATE.+slice.+state.+changed )|(ment ac)|(system.+state.+changed )|(\|lc)|(penalty)|(\[timeout)|(PRM\|1\|D)|(kpr)|(kdp))" /e /r /s</v>
      </c>
      <c r="S50" s="9" t="str">
        <f t="shared" si="6"/>
        <v>4002</v>
      </c>
      <c r="T50" s="39">
        <f t="shared" si="7"/>
        <v>42598.582175925927</v>
      </c>
      <c r="U50" s="53" t="str">
        <f t="shared" si="8"/>
        <v>NW</v>
      </c>
      <c r="V50" s="53" t="str">
        <f t="shared" si="9"/>
        <v>KEEP</v>
      </c>
    </row>
    <row r="51" spans="1:22" x14ac:dyDescent="0.25">
      <c r="A51" s="39">
        <v>42598.301701388889</v>
      </c>
      <c r="B51" s="34" t="s">
        <v>658</v>
      </c>
      <c r="C51" s="34" t="s">
        <v>559</v>
      </c>
      <c r="D51" s="34" t="s">
        <v>116</v>
      </c>
      <c r="E51" s="34" t="s">
        <v>56</v>
      </c>
      <c r="F51" s="50">
        <v>150</v>
      </c>
      <c r="G51" s="50">
        <v>204</v>
      </c>
      <c r="H51" s="50">
        <v>56971</v>
      </c>
      <c r="I51" s="34" t="s">
        <v>57</v>
      </c>
      <c r="J51" s="50">
        <v>59050</v>
      </c>
      <c r="K51" s="34" t="s">
        <v>53</v>
      </c>
      <c r="L51" s="97" t="str">
        <f>VLOOKUP(C51,'Trips&amp;Operators'!$C$1:$E$9999,3,0)</f>
        <v>STARKS</v>
      </c>
      <c r="M51" s="141" t="s">
        <v>89</v>
      </c>
      <c r="N51" s="10"/>
      <c r="O51" s="34"/>
      <c r="P51" s="115" t="str">
        <f>VLOOKUP(C51,'Train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51" s="119" t="str">
        <f>VLOOKUP(C51,'Train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1" s="122" t="str">
        <f t="shared" si="5"/>
        <v>"C:\Program Files (x86)\AstroGrep\AstroGrep.exe" /spath="%USERPROFILE%\AppData\Local\Temp\OnboardLogs" /stypes="*4001*201608161*" /stext=" 13:.+((SYSTEM_STATE.+slice.+state.+changed )|(ment ac)|(system.+state.+changed )|(\|lc)|(penalty)|(\[timeout)|(PRM\|1\|D)|(kpr)|(kdp))" /e /r /s</v>
      </c>
      <c r="S51" s="9" t="str">
        <f t="shared" si="6"/>
        <v>4001</v>
      </c>
      <c r="T51" s="39">
        <f t="shared" si="7"/>
        <v>42598.551701388889</v>
      </c>
      <c r="U51" s="53" t="str">
        <f t="shared" si="8"/>
        <v>NW</v>
      </c>
      <c r="V51" s="53" t="str">
        <f t="shared" si="9"/>
        <v>KEEP</v>
      </c>
    </row>
    <row r="52" spans="1:22" x14ac:dyDescent="0.25">
      <c r="A52" s="39">
        <v>42598.264976851853</v>
      </c>
      <c r="B52" s="34" t="s">
        <v>118</v>
      </c>
      <c r="C52" s="34" t="s">
        <v>554</v>
      </c>
      <c r="D52" s="34" t="s">
        <v>49</v>
      </c>
      <c r="E52" s="34" t="s">
        <v>54</v>
      </c>
      <c r="F52" s="50">
        <v>0</v>
      </c>
      <c r="G52" s="50">
        <v>138</v>
      </c>
      <c r="H52" s="50">
        <v>1452</v>
      </c>
      <c r="I52" s="34" t="s">
        <v>55</v>
      </c>
      <c r="J52" s="50">
        <v>1725</v>
      </c>
      <c r="K52" s="34" t="s">
        <v>52</v>
      </c>
      <c r="L52" s="97" t="str">
        <f>VLOOKUP(C52,'Trips&amp;Operators'!$C$1:$E$9999,3,0)</f>
        <v>LEVIN</v>
      </c>
      <c r="M52" s="141" t="s">
        <v>88</v>
      </c>
      <c r="N52" s="10" t="s">
        <v>283</v>
      </c>
      <c r="O52" s="34"/>
      <c r="P52" s="115" t="str">
        <f>VLOOKUP(C52,'Train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52" s="119" t="str">
        <f>VLOOKUP(C52,'Train Runs'!$A$13:$AE$10002,22,0)</f>
        <v>https://search-rtdc-monitor-bjffxe2xuh6vdkpspy63sjmuny.us-east-1.es.amazonaws.com/_plugin/kibana/#/discover/Steve-Slow-Train-Analysis-(2080s-and-2083s)?_g=(refreshInterval:(display:Off,section:0,value:0),time:(from:'2016-08-16 05:15:25-0600',mode:absolute,to:'2016-08-16 07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2" s="122" t="str">
        <f t="shared" si="5"/>
        <v>"C:\Program Files (x86)\AstroGrep\AstroGrep.exe" /spath="%USERPROFILE%\AppData\Local\Temp\OnboardLogs" /stypes="*4014*201608161*" /stext=" 12:.+((SYSTEM_STATE.+slice.+state.+changed )|(ment ac)|(system.+state.+changed )|(\|lc)|(penalty)|(\[timeout)|(PRM\|1\|D)|(kpr)|(kdp))" /e /r /s</v>
      </c>
      <c r="S52" s="9" t="str">
        <f t="shared" si="6"/>
        <v>4014</v>
      </c>
      <c r="T52" s="39">
        <f t="shared" si="7"/>
        <v>42598.514976851853</v>
      </c>
      <c r="U52" s="53" t="str">
        <f t="shared" si="8"/>
        <v>NW</v>
      </c>
      <c r="V52" s="53" t="str">
        <f t="shared" si="9"/>
        <v>KEEP</v>
      </c>
    </row>
    <row r="53" spans="1:22" x14ac:dyDescent="0.25">
      <c r="A53" s="39">
        <v>42598.514930555553</v>
      </c>
      <c r="B53" s="34" t="s">
        <v>118</v>
      </c>
      <c r="C53" s="34" t="s">
        <v>591</v>
      </c>
      <c r="D53" s="34" t="s">
        <v>49</v>
      </c>
      <c r="E53" s="34" t="s">
        <v>54</v>
      </c>
      <c r="F53" s="50">
        <v>0</v>
      </c>
      <c r="G53" s="50">
        <v>129</v>
      </c>
      <c r="H53" s="50">
        <v>1447</v>
      </c>
      <c r="I53" s="34" t="s">
        <v>55</v>
      </c>
      <c r="J53" s="50">
        <v>1725</v>
      </c>
      <c r="K53" s="34" t="s">
        <v>52</v>
      </c>
      <c r="L53" s="97" t="str">
        <f>VLOOKUP(C53,'Trips&amp;Operators'!$C$1:$E$9999,3,0)</f>
        <v>LEVIN</v>
      </c>
      <c r="M53" s="141" t="s">
        <v>88</v>
      </c>
      <c r="N53" s="10" t="s">
        <v>283</v>
      </c>
      <c r="O53" s="34"/>
      <c r="P53" s="115" t="str">
        <f>VLOOKUP(C53,'Train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53" s="119" t="str">
        <f>VLOOKUP(C53,'Train Runs'!$A$13:$AE$10002,22,0)</f>
        <v>https://search-rtdc-monitor-bjffxe2xuh6vdkpspy63sjmuny.us-east-1.es.amazonaws.com/_plugin/kibana/#/discover/Steve-Slow-Train-Analysis-(2080s-and-2083s)?_g=(refreshInterval:(display:Off,section:0,value:0),time:(from:'2016-08-16 11:11:13-0600',mode:absolute,to:'2016-08-16 13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3" s="122" t="str">
        <f t="shared" si="5"/>
        <v>"C:\Program Files (x86)\AstroGrep\AstroGrep.exe" /spath="%USERPROFILE%\AppData\Local\Temp\OnboardLogs" /stypes="*4014*201608161*" /stext=" 18:.+((SYSTEM_STATE.+slice.+state.+changed )|(ment ac)|(system.+state.+changed )|(\|lc)|(penalty)|(\[timeout)|(PRM\|1\|D)|(kpr)|(kdp))" /e /r /s</v>
      </c>
      <c r="S53" s="9" t="str">
        <f t="shared" si="6"/>
        <v>4014</v>
      </c>
      <c r="T53" s="39">
        <f t="shared" si="7"/>
        <v>42598.764930555553</v>
      </c>
      <c r="U53" s="53" t="str">
        <f t="shared" si="8"/>
        <v>NW</v>
      </c>
      <c r="V53" s="53" t="str">
        <f t="shared" si="9"/>
        <v>KEEP</v>
      </c>
    </row>
    <row r="54" spans="1:22" x14ac:dyDescent="0.25">
      <c r="A54" s="39">
        <v>42598.515532407408</v>
      </c>
      <c r="B54" s="34" t="s">
        <v>118</v>
      </c>
      <c r="C54" s="34" t="s">
        <v>591</v>
      </c>
      <c r="D54" s="34" t="s">
        <v>49</v>
      </c>
      <c r="E54" s="34" t="s">
        <v>54</v>
      </c>
      <c r="F54" s="50">
        <v>0</v>
      </c>
      <c r="G54" s="50">
        <v>25</v>
      </c>
      <c r="H54" s="50">
        <v>1594</v>
      </c>
      <c r="I54" s="34" t="s">
        <v>55</v>
      </c>
      <c r="J54" s="50">
        <v>1725</v>
      </c>
      <c r="K54" s="34" t="s">
        <v>52</v>
      </c>
      <c r="L54" s="97" t="str">
        <f>VLOOKUP(C54,'Trips&amp;Operators'!$C$1:$E$9999,3,0)</f>
        <v>LEVIN</v>
      </c>
      <c r="M54" s="141" t="s">
        <v>88</v>
      </c>
      <c r="N54" s="10" t="s">
        <v>283</v>
      </c>
      <c r="O54" s="34"/>
      <c r="P54" s="115" t="str">
        <f>VLOOKUP(C54,'Train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54" s="119" t="str">
        <f>VLOOKUP(C54,'Train Runs'!$A$13:$AE$10002,22,0)</f>
        <v>https://search-rtdc-monitor-bjffxe2xuh6vdkpspy63sjmuny.us-east-1.es.amazonaws.com/_plugin/kibana/#/discover/Steve-Slow-Train-Analysis-(2080s-and-2083s)?_g=(refreshInterval:(display:Off,section:0,value:0),time:(from:'2016-08-16 11:11:13-0600',mode:absolute,to:'2016-08-16 13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54" s="122" t="str">
        <f t="shared" si="5"/>
        <v>"C:\Program Files (x86)\AstroGrep\AstroGrep.exe" /spath="%USERPROFILE%\AppData\Local\Temp\OnboardLogs" /stypes="*4014*201608161*" /stext=" 18:.+((SYSTEM_STATE.+slice.+state.+changed )|(ment ac)|(system.+state.+changed )|(\|lc)|(penalty)|(\[timeout)|(PRM\|1\|D)|(kpr)|(kdp))" /e /r /s</v>
      </c>
      <c r="S54" s="9" t="str">
        <f t="shared" si="6"/>
        <v>4014</v>
      </c>
      <c r="T54" s="39">
        <f t="shared" si="7"/>
        <v>42598.765532407408</v>
      </c>
      <c r="U54" s="53" t="str">
        <f t="shared" si="8"/>
        <v>NW</v>
      </c>
      <c r="V54" s="53" t="str">
        <f t="shared" si="9"/>
        <v>KEEP</v>
      </c>
    </row>
    <row r="55" spans="1:22" x14ac:dyDescent="0.25">
      <c r="A55" s="39">
        <v>42598.310706018521</v>
      </c>
      <c r="B55" s="34" t="s">
        <v>658</v>
      </c>
      <c r="C55" s="34" t="s">
        <v>559</v>
      </c>
      <c r="D55" s="34" t="s">
        <v>49</v>
      </c>
      <c r="E55" s="34" t="s">
        <v>54</v>
      </c>
      <c r="F55" s="50">
        <v>0</v>
      </c>
      <c r="G55" s="50">
        <v>33</v>
      </c>
      <c r="H55" s="50">
        <v>5066</v>
      </c>
      <c r="I55" s="34" t="s">
        <v>55</v>
      </c>
      <c r="J55" s="50">
        <v>4798</v>
      </c>
      <c r="K55" s="34" t="s">
        <v>53</v>
      </c>
      <c r="L55" s="97" t="str">
        <f>VLOOKUP(C55,'Trips&amp;Operators'!$C$1:$E$9999,3,0)</f>
        <v>STARKS</v>
      </c>
      <c r="M55" s="141" t="s">
        <v>88</v>
      </c>
      <c r="N55" s="10" t="s">
        <v>706</v>
      </c>
      <c r="O55" s="34"/>
      <c r="P55" s="115" t="str">
        <f>VLOOKUP(C55,'Train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55" s="119" t="str">
        <f>VLOOKUP(C55,'Train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5" s="122" t="str">
        <f t="shared" si="5"/>
        <v>"C:\Program Files (x86)\AstroGrep\AstroGrep.exe" /spath="%USERPROFILE%\AppData\Local\Temp\OnboardLogs" /stypes="*4001*201608161*" /stext=" 13:.+((SYSTEM_STATE.+slice.+state.+changed )|(ment ac)|(system.+state.+changed )|(\|lc)|(penalty)|(\[timeout)|(PRM\|1\|D)|(kpr)|(kdp))" /e /r /s</v>
      </c>
      <c r="S55" s="9" t="str">
        <f t="shared" si="6"/>
        <v>4001</v>
      </c>
      <c r="T55" s="39">
        <f t="shared" si="7"/>
        <v>42598.560706018521</v>
      </c>
      <c r="U55" s="53" t="str">
        <f t="shared" si="8"/>
        <v>NW</v>
      </c>
      <c r="V55" s="53" t="str">
        <f t="shared" si="9"/>
        <v>KEEP</v>
      </c>
    </row>
    <row r="56" spans="1:22" x14ac:dyDescent="0.25">
      <c r="A56" s="39">
        <v>42598.312222222223</v>
      </c>
      <c r="B56" s="34" t="s">
        <v>658</v>
      </c>
      <c r="C56" s="34" t="s">
        <v>559</v>
      </c>
      <c r="D56" s="34" t="s">
        <v>49</v>
      </c>
      <c r="E56" s="34" t="s">
        <v>54</v>
      </c>
      <c r="F56" s="50">
        <v>0</v>
      </c>
      <c r="G56" s="50">
        <v>14</v>
      </c>
      <c r="H56" s="50">
        <v>4964</v>
      </c>
      <c r="I56" s="34" t="s">
        <v>55</v>
      </c>
      <c r="J56" s="50">
        <v>4798</v>
      </c>
      <c r="K56" s="34" t="s">
        <v>53</v>
      </c>
      <c r="L56" s="97" t="str">
        <f>VLOOKUP(C56,'Trips&amp;Operators'!$C$1:$E$9999,3,0)</f>
        <v>STARKS</v>
      </c>
      <c r="M56" s="141" t="s">
        <v>88</v>
      </c>
      <c r="N56" s="10" t="s">
        <v>706</v>
      </c>
      <c r="O56" s="34"/>
      <c r="P56" s="115" t="str">
        <f>VLOOKUP(C56,'Train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56" s="119" t="str">
        <f>VLOOKUP(C56,'Train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6" s="122" t="str">
        <f t="shared" si="5"/>
        <v>"C:\Program Files (x86)\AstroGrep\AstroGrep.exe" /spath="%USERPROFILE%\AppData\Local\Temp\OnboardLogs" /stypes="*4001*201608161*" /stext=" 13:.+((SYSTEM_STATE.+slice.+state.+changed )|(ment ac)|(system.+state.+changed )|(\|lc)|(penalty)|(\[timeout)|(PRM\|1\|D)|(kpr)|(kdp))" /e /r /s</v>
      </c>
      <c r="S56" s="9" t="str">
        <f t="shared" si="6"/>
        <v>4001</v>
      </c>
      <c r="T56" s="39">
        <f t="shared" si="7"/>
        <v>42598.562222222223</v>
      </c>
      <c r="U56" s="53" t="str">
        <f t="shared" si="8"/>
        <v>NW</v>
      </c>
      <c r="V56" s="53" t="str">
        <f t="shared" si="9"/>
        <v>KEEP</v>
      </c>
    </row>
    <row r="57" spans="1:22" x14ac:dyDescent="0.25">
      <c r="A57" s="39">
        <v>42598.312719907408</v>
      </c>
      <c r="B57" s="34" t="s">
        <v>658</v>
      </c>
      <c r="C57" s="34" t="s">
        <v>559</v>
      </c>
      <c r="D57" s="34" t="s">
        <v>49</v>
      </c>
      <c r="E57" s="34" t="s">
        <v>54</v>
      </c>
      <c r="F57" s="50">
        <v>0</v>
      </c>
      <c r="G57" s="50">
        <v>5</v>
      </c>
      <c r="H57" s="50">
        <v>4855</v>
      </c>
      <c r="I57" s="34" t="s">
        <v>55</v>
      </c>
      <c r="J57" s="50">
        <v>4798</v>
      </c>
      <c r="K57" s="34" t="s">
        <v>53</v>
      </c>
      <c r="L57" s="97" t="str">
        <f>VLOOKUP(C57,'Trips&amp;Operators'!$C$1:$E$9999,3,0)</f>
        <v>STARKS</v>
      </c>
      <c r="M57" s="141" t="s">
        <v>88</v>
      </c>
      <c r="N57" s="10" t="s">
        <v>706</v>
      </c>
      <c r="O57" s="34"/>
      <c r="P57" s="115" t="str">
        <f>VLOOKUP(C57,'Train Runs'!$A$13:$AE$10002,31,0)</f>
        <v>aws s3 cp s3://rtdc.mdm.uploadarchive/RTDC4001/2016-08-16/ "%USERPROFILE%\AppData\Local\Temp\OnboardLogs"\RTDC4001\2016-08-16 --recursive &amp; "%USERPROFILE%\Documents\GitHub\mrs-test-scripts\Headless Mode &amp; Sideloading\WalkAndUnGZ.bat" "%USERPROFILE%\AppData\Local\Temp\OnboardLogs"\RTDC4001\2016-08-16 &amp; aws s3 cp s3://rtdc.mdm.uploadarchive/RTDC4001/2016-08-17/ "%USERPROFILE%\AppData\Local\Temp\OnboardLogs"\RTDC4001\2016-08-17 --recursive &amp; "%USERPROFILE%\Documents\GitHub\mrs-test-scripts\Headless Mode &amp; Sideloading\WalkAndUnGZ.bat" "%USERPROFILE%\AppData\Local\Temp\OnboardLogs"\RTDC4001\2016-08-17</v>
      </c>
      <c r="Q57" s="119" t="str">
        <f>VLOOKUP(C57,'Train Runs'!$A$13:$AE$10002,22,0)</f>
        <v>https://search-rtdc-monitor-bjffxe2xuh6vdkpspy63sjmuny.us-east-1.es.amazonaws.com/_plugin/kibana/#/discover/Steve-Slow-Train-Analysis-(2080s-and-2083s)?_g=(refreshInterval:(display:Off,section:0,value:0),time:(from:'2016-08-16 06:07:34-0600',mode:absolute,to:'2016-08-16 08:30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57" s="122" t="str">
        <f t="shared" si="5"/>
        <v>"C:\Program Files (x86)\AstroGrep\AstroGrep.exe" /spath="%USERPROFILE%\AppData\Local\Temp\OnboardLogs" /stypes="*4001*201608161*" /stext=" 13:.+((SYSTEM_STATE.+slice.+state.+changed )|(ment ac)|(system.+state.+changed )|(\|lc)|(penalty)|(\[timeout)|(PRM\|1\|D)|(kpr)|(kdp))" /e /r /s</v>
      </c>
      <c r="S57" s="9" t="str">
        <f t="shared" si="6"/>
        <v>4001</v>
      </c>
      <c r="T57" s="39">
        <f t="shared" si="7"/>
        <v>42598.562719907408</v>
      </c>
      <c r="U57" s="53" t="str">
        <f t="shared" si="8"/>
        <v>NW</v>
      </c>
      <c r="V57" s="53" t="str">
        <f t="shared" si="9"/>
        <v>KEEP</v>
      </c>
    </row>
    <row r="58" spans="1:22" x14ac:dyDescent="0.25">
      <c r="A58" s="39">
        <v>42598.411354166667</v>
      </c>
      <c r="B58" s="34" t="s">
        <v>93</v>
      </c>
      <c r="C58" s="34" t="s">
        <v>579</v>
      </c>
      <c r="D58" s="34" t="s">
        <v>49</v>
      </c>
      <c r="E58" s="34" t="s">
        <v>661</v>
      </c>
      <c r="F58" s="50">
        <v>100</v>
      </c>
      <c r="G58" s="50">
        <v>288</v>
      </c>
      <c r="H58" s="50">
        <v>12195</v>
      </c>
      <c r="I58" s="34" t="s">
        <v>230</v>
      </c>
      <c r="J58" s="50">
        <v>11000</v>
      </c>
      <c r="K58" s="34" t="s">
        <v>53</v>
      </c>
      <c r="L58" s="97" t="str">
        <f>VLOOKUP(C58,'Trips&amp;Operators'!$C$1:$E$9999,3,0)</f>
        <v>LEVIN</v>
      </c>
      <c r="M58" s="141" t="s">
        <v>89</v>
      </c>
      <c r="N58" s="10"/>
      <c r="O58" s="34"/>
      <c r="P58" s="115" t="str">
        <f>VLOOKUP(C58,'Train Runs'!$A$13:$AE$10002,31,0)</f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Q58" s="119" t="str">
        <f>VLOOKUP(C58,'Train Runs'!$A$13:$AE$10002,22,0)</f>
        <v>https://search-rtdc-monitor-bjffxe2xuh6vdkpspy63sjmuny.us-east-1.es.amazonaws.com/_plugin/kibana/#/discover/Steve-Slow-Train-Analysis-(2080s-and-2083s)?_g=(refreshInterval:(display:Off,section:0,value:0),time:(from:'2016-08-16 08:36:04-0600',mode:absolute,to:'2016-08-16 10:56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8" s="122" t="str">
        <f t="shared" si="5"/>
        <v>"C:\Program Files (x86)\AstroGrep\AstroGrep.exe" /spath="%USERPROFILE%\AppData\Local\Temp\OnboardLogs" /stypes="*4013*201608161*" /stext=" 15:.+((SYSTEM_STATE.+slice.+state.+changed )|(ment ac)|(system.+state.+changed )|(\|lc)|(penalty)|(\[timeout)|(PRM\|1\|D)|(kpr)|(kdp))" /e /r /s</v>
      </c>
      <c r="S58" s="9" t="str">
        <f t="shared" si="6"/>
        <v>4013</v>
      </c>
      <c r="T58" s="39">
        <f t="shared" si="7"/>
        <v>42598.661354166667</v>
      </c>
      <c r="U58" s="53" t="str">
        <f t="shared" si="8"/>
        <v>NW</v>
      </c>
      <c r="V58" s="53" t="str">
        <f t="shared" si="9"/>
        <v>KEEP</v>
      </c>
    </row>
    <row r="59" spans="1:22" x14ac:dyDescent="0.25">
      <c r="A59" s="39">
        <v>42598.788032407407</v>
      </c>
      <c r="B59" s="34" t="s">
        <v>93</v>
      </c>
      <c r="C59" s="34" t="s">
        <v>629</v>
      </c>
      <c r="D59" s="34" t="s">
        <v>49</v>
      </c>
      <c r="E59" s="34" t="s">
        <v>50</v>
      </c>
      <c r="F59" s="50">
        <v>0</v>
      </c>
      <c r="G59" s="50">
        <v>44</v>
      </c>
      <c r="H59" s="50">
        <v>706</v>
      </c>
      <c r="I59" s="34" t="s">
        <v>51</v>
      </c>
      <c r="J59" s="50">
        <v>575</v>
      </c>
      <c r="K59" s="34" t="s">
        <v>53</v>
      </c>
      <c r="L59" s="97" t="str">
        <f>VLOOKUP(C59,'Trips&amp;Operators'!$C$1:$E$9999,3,0)</f>
        <v>BRUDER</v>
      </c>
      <c r="M59" s="141" t="s">
        <v>89</v>
      </c>
      <c r="N59" s="10"/>
      <c r="O59" s="34"/>
      <c r="P59" s="115" t="str">
        <f>VLOOKUP(C59,'Train Runs'!$A$13:$AE$10002,31,0)</f>
        <v>aws s3 cp s3://rtdc.mdm.uploadarchive/RTDC4013/2016-08-16/ "%USERPROFILE%\AppData\Local\Temp\OnboardLogs"\RTDC4013\2016-08-16 --recursive &amp; "%USERPROFILE%\Documents\GitHub\mrs-test-scripts\Headless Mode &amp; Sideloading\WalkAndUnGZ.bat" "%USERPROFILE%\AppData\Local\Temp\OnboardLogs"\RTDC4013\2016-08-16 &amp; aws s3 cp s3://rtdc.mdm.uploadarchive/RTDC4013/2016-08-17/ "%USERPROFILE%\AppData\Local\Temp\OnboardLogs"\RTDC4013\2016-08-17 --recursive &amp; "%USERPROFILE%\Documents\GitHub\mrs-test-scripts\Headless Mode &amp; Sideloading\WalkAndUnGZ.bat" "%USERPROFILE%\AppData\Local\Temp\OnboardLogs"\RTDC4013\2016-08-17</v>
      </c>
      <c r="Q59" s="119" t="str">
        <f>VLOOKUP(C59,'Train Runs'!$A$13:$AE$10002,22,0)</f>
        <v>https://search-rtdc-monitor-bjffxe2xuh6vdkpspy63sjmuny.us-east-1.es.amazonaws.com/_plugin/kibana/#/discover/Steve-Slow-Train-Analysis-(2080s-and-2083s)?_g=(refreshInterval:(display:Off,section:0,value:0),time:(from:'2016-08-16 17:35:33-0600',mode:absolute,to:'2016-08-16 19:55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59" s="122" t="str">
        <f t="shared" si="5"/>
        <v>"C:\Program Files (x86)\AstroGrep\AstroGrep.exe" /spath="%USERPROFILE%\AppData\Local\Temp\OnboardLogs" /stypes="*4013*201608170*" /stext=" 00:.+((SYSTEM_STATE.+slice.+state.+changed )|(ment ac)|(system.+state.+changed )|(\|lc)|(penalty)|(\[timeout)|(PRM\|1\|D)|(kpr)|(kdp))" /e /r /s</v>
      </c>
      <c r="S59" s="9" t="str">
        <f t="shared" si="6"/>
        <v>4013</v>
      </c>
      <c r="T59" s="39">
        <f t="shared" si="7"/>
        <v>42599.038032407407</v>
      </c>
      <c r="U59" s="53" t="str">
        <f t="shared" si="8"/>
        <v>NW</v>
      </c>
      <c r="V59" s="53" t="str">
        <f t="shared" si="9"/>
        <v>KEEP</v>
      </c>
    </row>
    <row r="60" spans="1:22" x14ac:dyDescent="0.25">
      <c r="A60" s="39">
        <v>42598.398414351854</v>
      </c>
      <c r="B60" s="34" t="s">
        <v>118</v>
      </c>
      <c r="C60" s="34" t="s">
        <v>576</v>
      </c>
      <c r="D60" s="34" t="s">
        <v>49</v>
      </c>
      <c r="E60" s="34" t="s">
        <v>50</v>
      </c>
      <c r="F60" s="50">
        <v>0</v>
      </c>
      <c r="G60" s="50">
        <v>66</v>
      </c>
      <c r="H60" s="50">
        <v>58871</v>
      </c>
      <c r="I60" s="34" t="s">
        <v>51</v>
      </c>
      <c r="J60" s="50">
        <v>59048</v>
      </c>
      <c r="K60" s="34" t="s">
        <v>52</v>
      </c>
      <c r="L60" s="97" t="str">
        <f>VLOOKUP(C60,'Trips&amp;Operators'!$C$1:$E$9999,3,0)</f>
        <v>LEVIN</v>
      </c>
      <c r="M60" s="141" t="s">
        <v>89</v>
      </c>
      <c r="N60" s="10"/>
      <c r="O60" s="34"/>
      <c r="P60" s="115" t="str">
        <f>VLOOKUP(C60,'Train Runs'!$A$13:$AE$10002,31,0)</f>
        <v>aws s3 cp s3://rtdc.mdm.uploadarchive/RTDC4014/2016-08-16/ "%USERPROFILE%\AppData\Local\Temp\OnboardLogs"\RTDC4014\2016-08-16 --recursive &amp; "%USERPROFILE%\Documents\GitHub\mrs-test-scripts\Headless Mode &amp; Sideloading\WalkAndUnGZ.bat" "%USERPROFILE%\AppData\Local\Temp\OnboardLogs"\RTDC4014\2016-08-16 &amp; aws s3 cp s3://rtdc.mdm.uploadarchive/RTDC4014/2016-08-17/ "%USERPROFILE%\AppData\Local\Temp\OnboardLogs"\RTDC4014\2016-08-17 --recursive &amp; "%USERPROFILE%\Documents\GitHub\mrs-test-scripts\Headless Mode &amp; Sideloading\WalkAndUnGZ.bat" "%USERPROFILE%\AppData\Local\Temp\OnboardLogs"\RTDC4014\2016-08-17</v>
      </c>
      <c r="Q60" s="119" t="str">
        <f>VLOOKUP(C60,'Train Runs'!$A$13:$AE$10002,22,0)</f>
        <v>https://search-rtdc-monitor-bjffxe2xuh6vdkpspy63sjmuny.us-east-1.es.amazonaws.com/_plugin/kibana/#/discover/Steve-Slow-Train-Analysis-(2080s-and-2083s)?_g=(refreshInterval:(display:Off,section:0,value:0),time:(from:'2016-08-16 08:14:39-0600',mode:absolute,to:'2016-08-16 10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60" s="122" t="str">
        <f t="shared" si="5"/>
        <v>"C:\Program Files (x86)\AstroGrep\AstroGrep.exe" /spath="%USERPROFILE%\AppData\Local\Temp\OnboardLogs" /stypes="*4014*201608161*" /stext=" 15:.+((SYSTEM_STATE.+slice.+state.+changed )|(ment ac)|(system.+state.+changed )|(\|lc)|(penalty)|(\[timeout)|(PRM\|1\|D)|(kpr)|(kdp))" /e /r /s</v>
      </c>
      <c r="S60" s="9" t="str">
        <f t="shared" si="6"/>
        <v>4014</v>
      </c>
      <c r="T60" s="39">
        <f t="shared" si="7"/>
        <v>42598.648414351854</v>
      </c>
      <c r="U60" s="53" t="str">
        <f t="shared" si="8"/>
        <v>NW</v>
      </c>
      <c r="V60" s="53" t="str">
        <f t="shared" si="9"/>
        <v>KEEP</v>
      </c>
    </row>
  </sheetData>
  <autoFilter ref="A6:V60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5" priority="14" operator="equal">
      <formula>"Y"</formula>
    </cfRule>
  </conditionalFormatting>
  <conditionalFormatting sqref="A7:N60">
    <cfRule type="expression" dxfId="4" priority="7">
      <formula>$M7="Y"</formula>
    </cfRule>
  </conditionalFormatting>
  <conditionalFormatting sqref="M2:M3">
    <cfRule type="cellIs" dxfId="3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D40" sqref="D40"/>
    </sheetView>
  </sheetViews>
  <sheetFormatPr defaultRowHeight="15" x14ac:dyDescent="0.25"/>
  <cols>
    <col min="1" max="1" width="9.140625" style="71" customWidth="1"/>
    <col min="2" max="2" width="8" style="139" bestFit="1" customWidth="1"/>
    <col min="3" max="3" width="9.85546875" style="130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2" t="str">
        <f>"Trips that did not appear in PTC Data "&amp;TEXT(Variables!$A$2,"YYYY-mm-dd")</f>
        <v>Trips that did not appear in PTC Data 2016-08-16</v>
      </c>
      <c r="B1" s="152"/>
      <c r="C1" s="152"/>
      <c r="D1" s="152"/>
      <c r="E1" s="152"/>
    </row>
    <row r="2" spans="1:10" s="27" customFormat="1" ht="45" x14ac:dyDescent="0.25">
      <c r="A2" s="112" t="s">
        <v>66</v>
      </c>
      <c r="B2" s="136" t="s">
        <v>67</v>
      </c>
      <c r="C2" s="137" t="s">
        <v>68</v>
      </c>
      <c r="D2" s="27" t="s">
        <v>64</v>
      </c>
      <c r="E2" s="27" t="s">
        <v>65</v>
      </c>
      <c r="F2" s="27" t="s">
        <v>69</v>
      </c>
      <c r="G2" s="32" t="s">
        <v>70</v>
      </c>
      <c r="H2" s="32" t="s">
        <v>128</v>
      </c>
    </row>
    <row r="3" spans="1:10" x14ac:dyDescent="0.25">
      <c r="A3" s="40" t="s">
        <v>520</v>
      </c>
      <c r="B3" s="138">
        <v>1</v>
      </c>
      <c r="C3" s="138">
        <v>4038</v>
      </c>
      <c r="D3" s="53" t="s">
        <v>704</v>
      </c>
      <c r="E3" s="25" t="str">
        <f>VLOOKUP(A3,'Trips&amp;Operators'!$C$2:$E$10000,3,FALSE)</f>
        <v>ISHMAEL</v>
      </c>
      <c r="F3" s="25" t="str">
        <f>VLOOKUP(A3,'Trips&amp;Operators'!$C$1:$F$10000,4,FALSE)</f>
        <v>rtdc.l.rtdc.4038:itc</v>
      </c>
      <c r="G3" s="33">
        <f>VLOOKUP(A3,'Trips&amp;Operators'!$C$1:$H$10000,5,FALSE)</f>
        <v>42598.910081018519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22233-16%22)),sort:!(Time,asc))</v>
      </c>
      <c r="I3" s="24"/>
      <c r="J3" s="24"/>
    </row>
    <row r="4" spans="1:10" x14ac:dyDescent="0.25">
      <c r="A4" s="40"/>
      <c r="B4" s="138"/>
      <c r="C4" s="138"/>
      <c r="D4" s="53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40"/>
      <c r="B5" s="138"/>
      <c r="C5" s="138"/>
      <c r="D5" s="53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40"/>
      <c r="B6" s="138"/>
      <c r="C6" s="138"/>
      <c r="D6" s="53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77"/>
      <c r="B7" s="138"/>
      <c r="C7" s="138"/>
      <c r="D7" s="53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77"/>
      <c r="B8" s="138"/>
      <c r="C8" s="138"/>
      <c r="D8" s="53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23"/>
      <c r="C9" s="123"/>
      <c r="H9" s="24"/>
      <c r="I9" s="24"/>
      <c r="J9" s="24"/>
    </row>
    <row r="10" spans="1:10" x14ac:dyDescent="0.25">
      <c r="B10" s="123"/>
      <c r="C10" s="123"/>
      <c r="H10" s="24"/>
      <c r="I10" s="24"/>
      <c r="J10" s="24"/>
    </row>
    <row r="11" spans="1:10" x14ac:dyDescent="0.25">
      <c r="B11" s="123"/>
      <c r="C11" s="123"/>
      <c r="H11" s="24"/>
      <c r="I11" s="24"/>
      <c r="J11" s="24"/>
    </row>
    <row r="12" spans="1:10" x14ac:dyDescent="0.25">
      <c r="B12" s="123"/>
      <c r="C12" s="123"/>
      <c r="H12" s="24"/>
      <c r="I12" s="24"/>
      <c r="J12" s="24"/>
    </row>
    <row r="13" spans="1:10" x14ac:dyDescent="0.25">
      <c r="B13" s="123"/>
      <c r="C13" s="123"/>
      <c r="H13" s="24"/>
      <c r="I13" s="24"/>
      <c r="J13" s="24"/>
    </row>
    <row r="14" spans="1:10" x14ac:dyDescent="0.25">
      <c r="B14" s="123"/>
      <c r="C14" s="123"/>
      <c r="H14" s="24"/>
      <c r="I14" s="24"/>
      <c r="J14" s="24"/>
    </row>
    <row r="15" spans="1:10" x14ac:dyDescent="0.25">
      <c r="B15" s="123"/>
      <c r="C15" s="123"/>
      <c r="H15" s="24"/>
      <c r="I15" s="24"/>
      <c r="J15" s="24"/>
    </row>
    <row r="16" spans="1:10" x14ac:dyDescent="0.25">
      <c r="B16" s="123"/>
      <c r="C16" s="123"/>
      <c r="H16" s="24"/>
      <c r="I16" s="24"/>
      <c r="J16" s="24"/>
    </row>
    <row r="17" spans="2:10" x14ac:dyDescent="0.25">
      <c r="B17" s="123"/>
      <c r="C17" s="123"/>
      <c r="H17" s="24"/>
      <c r="I17" s="24"/>
      <c r="J17" s="24"/>
    </row>
    <row r="18" spans="2:10" x14ac:dyDescent="0.25">
      <c r="B18" s="123"/>
      <c r="C18" s="123"/>
      <c r="H18" s="24"/>
      <c r="I18" s="24"/>
      <c r="J18" s="24"/>
    </row>
    <row r="19" spans="2:10" x14ac:dyDescent="0.25">
      <c r="B19" s="123"/>
      <c r="C19" s="123"/>
      <c r="H19" s="24"/>
      <c r="I19" s="24"/>
      <c r="J19" s="24"/>
    </row>
    <row r="20" spans="2:10" x14ac:dyDescent="0.25">
      <c r="B20" s="123"/>
      <c r="C20" s="123"/>
      <c r="H20" s="24"/>
      <c r="I20" s="24"/>
      <c r="J20" s="24"/>
    </row>
    <row r="21" spans="2:10" x14ac:dyDescent="0.25">
      <c r="B21" s="123"/>
      <c r="C21" s="123"/>
      <c r="H21" s="24"/>
      <c r="I21" s="24"/>
      <c r="J21" s="24"/>
    </row>
    <row r="22" spans="2:10" x14ac:dyDescent="0.25">
      <c r="B22" s="123"/>
      <c r="C22" s="123"/>
      <c r="H22" s="24"/>
      <c r="I22" s="24"/>
      <c r="J22" s="24"/>
    </row>
    <row r="23" spans="2:10" x14ac:dyDescent="0.25">
      <c r="B23" s="123"/>
      <c r="C23" s="123"/>
      <c r="H23" s="24"/>
      <c r="I23" s="24"/>
      <c r="J23" s="24"/>
    </row>
    <row r="24" spans="2:10" x14ac:dyDescent="0.25">
      <c r="B24" s="123"/>
      <c r="C24" s="123"/>
      <c r="H24" s="24"/>
      <c r="I24" s="24"/>
      <c r="J24" s="24"/>
    </row>
    <row r="25" spans="2:10" x14ac:dyDescent="0.25">
      <c r="B25" s="123"/>
      <c r="C25" s="123"/>
      <c r="H25" s="24"/>
      <c r="I25" s="24"/>
      <c r="J25" s="24"/>
    </row>
    <row r="26" spans="2:10" x14ac:dyDescent="0.25">
      <c r="B26" s="123"/>
      <c r="C26" s="123"/>
      <c r="H26" s="24"/>
      <c r="I26" s="24"/>
      <c r="J26" s="24"/>
    </row>
    <row r="27" spans="2:10" x14ac:dyDescent="0.25">
      <c r="B27" s="123"/>
      <c r="C27" s="123"/>
      <c r="H27" s="24"/>
      <c r="I27" s="24"/>
      <c r="J27" s="24"/>
    </row>
    <row r="28" spans="2:10" x14ac:dyDescent="0.25">
      <c r="B28" s="123"/>
      <c r="C28" s="123"/>
      <c r="H28" s="24"/>
      <c r="I28" s="24"/>
      <c r="J28" s="24"/>
    </row>
    <row r="29" spans="2:10" x14ac:dyDescent="0.25">
      <c r="B29" s="123"/>
      <c r="C29" s="123"/>
      <c r="H29" s="24"/>
      <c r="I29" s="24"/>
      <c r="J29" s="24"/>
    </row>
    <row r="30" spans="2:10" x14ac:dyDescent="0.25">
      <c r="B30" s="123"/>
      <c r="C30" s="123"/>
      <c r="H30" s="24"/>
      <c r="I30" s="24"/>
      <c r="J30" s="24"/>
    </row>
    <row r="31" spans="2:10" x14ac:dyDescent="0.25">
      <c r="B31" s="123"/>
      <c r="C31" s="123"/>
      <c r="H31" s="24"/>
      <c r="I31" s="24"/>
      <c r="J31" s="24"/>
    </row>
    <row r="32" spans="2:10" x14ac:dyDescent="0.25">
      <c r="B32" s="123"/>
      <c r="C32" s="123"/>
      <c r="H32" s="24"/>
      <c r="I32" s="24"/>
      <c r="J32" s="24"/>
    </row>
    <row r="33" spans="2:10" x14ac:dyDescent="0.25">
      <c r="B33" s="123"/>
      <c r="C33" s="123"/>
      <c r="H33" s="24"/>
      <c r="I33" s="24"/>
      <c r="J33" s="24"/>
    </row>
    <row r="34" spans="2:10" x14ac:dyDescent="0.25">
      <c r="B34" s="123"/>
      <c r="C34" s="123"/>
      <c r="H34" s="24"/>
      <c r="I34" s="24"/>
      <c r="J34" s="24"/>
    </row>
    <row r="35" spans="2:10" x14ac:dyDescent="0.25">
      <c r="B35" s="123"/>
      <c r="C35" s="123"/>
      <c r="H35" s="24"/>
      <c r="I35" s="24"/>
      <c r="J35" s="24"/>
    </row>
    <row r="36" spans="2:10" x14ac:dyDescent="0.25">
      <c r="B36" s="123"/>
      <c r="C36" s="123"/>
      <c r="H36" s="24"/>
      <c r="I36" s="24"/>
      <c r="J36" s="24"/>
    </row>
    <row r="37" spans="2:10" x14ac:dyDescent="0.25">
      <c r="B37" s="123"/>
      <c r="C37" s="123"/>
      <c r="H37" s="24"/>
      <c r="I37" s="24"/>
      <c r="J37" s="24"/>
    </row>
    <row r="38" spans="2:10" x14ac:dyDescent="0.25">
      <c r="B38" s="123"/>
      <c r="C38" s="123"/>
      <c r="H38" s="24"/>
      <c r="I38" s="24"/>
      <c r="J38" s="24"/>
    </row>
    <row r="39" spans="2:10" x14ac:dyDescent="0.25">
      <c r="B39" s="123"/>
      <c r="C39" s="123"/>
      <c r="H39" s="24"/>
      <c r="I39" s="24"/>
      <c r="J39" s="24"/>
    </row>
    <row r="40" spans="2:10" x14ac:dyDescent="0.25">
      <c r="B40" s="123"/>
      <c r="C40" s="123"/>
      <c r="H40" s="24"/>
      <c r="I40" s="24"/>
      <c r="J40" s="24"/>
    </row>
    <row r="41" spans="2:10" x14ac:dyDescent="0.25">
      <c r="B41" s="123"/>
      <c r="C41" s="123"/>
      <c r="H41" s="24"/>
      <c r="I41" s="24"/>
      <c r="J41" s="24"/>
    </row>
    <row r="42" spans="2:10" x14ac:dyDescent="0.25">
      <c r="B42" s="123"/>
      <c r="C42" s="123"/>
      <c r="H42" s="24"/>
      <c r="I42" s="24"/>
      <c r="J42" s="24"/>
    </row>
    <row r="43" spans="2:10" x14ac:dyDescent="0.25">
      <c r="B43" s="123"/>
      <c r="C43" s="123"/>
      <c r="H43" s="24"/>
      <c r="I43" s="24"/>
      <c r="J43" s="24"/>
    </row>
    <row r="44" spans="2:10" x14ac:dyDescent="0.25">
      <c r="B44" s="123"/>
      <c r="C44" s="123"/>
      <c r="H44" s="24"/>
      <c r="I44" s="24"/>
      <c r="J44" s="24"/>
    </row>
    <row r="45" spans="2:10" x14ac:dyDescent="0.25">
      <c r="B45" s="123"/>
      <c r="C45" s="123"/>
      <c r="H45" s="24"/>
      <c r="I45" s="24"/>
      <c r="J45" s="24"/>
    </row>
    <row r="46" spans="2:10" x14ac:dyDescent="0.25">
      <c r="B46" s="123"/>
      <c r="C46" s="123"/>
      <c r="H46" s="24"/>
      <c r="I46" s="24"/>
      <c r="J46" s="24"/>
    </row>
    <row r="47" spans="2:10" x14ac:dyDescent="0.25">
      <c r="B47" s="123"/>
      <c r="C47" s="123"/>
      <c r="H47" s="24"/>
      <c r="I47" s="24"/>
      <c r="J47" s="24"/>
    </row>
    <row r="48" spans="2:10" x14ac:dyDescent="0.25">
      <c r="B48" s="123"/>
      <c r="C48" s="123"/>
      <c r="H48" s="24"/>
      <c r="I48" s="24"/>
      <c r="J48" s="24"/>
    </row>
    <row r="49" spans="2:10" x14ac:dyDescent="0.25">
      <c r="B49" s="123"/>
      <c r="C49" s="123"/>
      <c r="H49" s="24"/>
      <c r="I49" s="24"/>
      <c r="J49" s="24"/>
    </row>
    <row r="50" spans="2:10" x14ac:dyDescent="0.25">
      <c r="B50" s="123"/>
      <c r="C50" s="123"/>
      <c r="H50" s="24"/>
      <c r="I50" s="24"/>
      <c r="J50" s="24"/>
    </row>
    <row r="51" spans="2:10" x14ac:dyDescent="0.25">
      <c r="B51" s="123"/>
      <c r="C51" s="123"/>
      <c r="H51" s="24"/>
      <c r="I51" s="24"/>
      <c r="J51" s="24"/>
    </row>
    <row r="52" spans="2:10" x14ac:dyDescent="0.25">
      <c r="B52" s="123"/>
      <c r="C52" s="123"/>
      <c r="H52" s="24"/>
      <c r="I52" s="24"/>
      <c r="J52" s="24"/>
    </row>
    <row r="53" spans="2:10" x14ac:dyDescent="0.25">
      <c r="B53" s="123"/>
      <c r="C53" s="123"/>
      <c r="H53" s="24"/>
      <c r="I53" s="24"/>
      <c r="J53" s="24"/>
    </row>
    <row r="54" spans="2:10" x14ac:dyDescent="0.25">
      <c r="B54" s="123"/>
      <c r="C54" s="123"/>
      <c r="H54" s="24"/>
      <c r="I54" s="24"/>
      <c r="J54" s="24"/>
    </row>
    <row r="55" spans="2:10" x14ac:dyDescent="0.25">
      <c r="B55" s="123"/>
      <c r="C55" s="123"/>
      <c r="H55" s="24"/>
      <c r="I55" s="24"/>
      <c r="J55" s="24"/>
    </row>
    <row r="56" spans="2:10" x14ac:dyDescent="0.25">
      <c r="B56" s="123"/>
      <c r="C56" s="123"/>
      <c r="H56" s="24"/>
      <c r="I56" s="24"/>
      <c r="J56" s="24"/>
    </row>
    <row r="57" spans="2:10" x14ac:dyDescent="0.25">
      <c r="B57" s="123"/>
      <c r="C57" s="123"/>
      <c r="H57" s="24"/>
      <c r="I57" s="24"/>
      <c r="J57" s="24"/>
    </row>
    <row r="58" spans="2:10" x14ac:dyDescent="0.25">
      <c r="B58" s="123"/>
      <c r="C58" s="123"/>
      <c r="H58" s="24"/>
      <c r="I58" s="24"/>
      <c r="J58" s="24"/>
    </row>
    <row r="59" spans="2:10" x14ac:dyDescent="0.25">
      <c r="B59" s="123"/>
      <c r="C59" s="123"/>
      <c r="H59" s="24"/>
      <c r="I59" s="24"/>
      <c r="J59" s="24"/>
    </row>
    <row r="60" spans="2:10" x14ac:dyDescent="0.25">
      <c r="B60" s="123"/>
      <c r="C60" s="123"/>
      <c r="H60" s="24"/>
      <c r="I60" s="24"/>
      <c r="J60" s="24"/>
    </row>
    <row r="61" spans="2:10" x14ac:dyDescent="0.25">
      <c r="B61" s="123"/>
      <c r="C61" s="123"/>
      <c r="H61" s="24"/>
      <c r="I61" s="24"/>
      <c r="J61" s="24"/>
    </row>
    <row r="62" spans="2:10" x14ac:dyDescent="0.25">
      <c r="B62" s="123"/>
      <c r="C62" s="123"/>
      <c r="H62" s="24"/>
      <c r="I62" s="24"/>
      <c r="J62" s="24"/>
    </row>
    <row r="63" spans="2:10" x14ac:dyDescent="0.25">
      <c r="B63" s="123"/>
      <c r="C63" s="123"/>
      <c r="H63" s="24"/>
      <c r="I63" s="24"/>
      <c r="J63" s="24"/>
    </row>
    <row r="64" spans="2:10" x14ac:dyDescent="0.25">
      <c r="B64" s="123"/>
      <c r="C64" s="123"/>
      <c r="H64" s="24"/>
      <c r="I64" s="24"/>
      <c r="J64" s="24"/>
    </row>
    <row r="65" spans="2:10" x14ac:dyDescent="0.25">
      <c r="B65" s="123"/>
      <c r="C65" s="123"/>
      <c r="H65" s="24"/>
      <c r="I65" s="24"/>
      <c r="J65" s="24"/>
    </row>
    <row r="66" spans="2:10" x14ac:dyDescent="0.25">
      <c r="B66" s="123"/>
      <c r="C66" s="123"/>
      <c r="H66" s="24"/>
      <c r="I66" s="24"/>
      <c r="J66" s="24"/>
    </row>
    <row r="67" spans="2:10" x14ac:dyDescent="0.25">
      <c r="B67" s="123"/>
      <c r="C67" s="123"/>
      <c r="H67" s="24"/>
      <c r="I67" s="24"/>
      <c r="J67" s="24"/>
    </row>
    <row r="68" spans="2:10" x14ac:dyDescent="0.25">
      <c r="B68" s="123"/>
      <c r="C68" s="123"/>
      <c r="H68" s="24"/>
      <c r="I68" s="24"/>
      <c r="J68" s="24"/>
    </row>
    <row r="69" spans="2:10" x14ac:dyDescent="0.25">
      <c r="B69" s="123"/>
      <c r="C69" s="123"/>
      <c r="H69" s="24"/>
      <c r="I69" s="24"/>
      <c r="J69" s="24"/>
    </row>
    <row r="70" spans="2:10" x14ac:dyDescent="0.25">
      <c r="B70" s="123"/>
      <c r="C70" s="123"/>
      <c r="H70" s="24"/>
      <c r="I70" s="24"/>
      <c r="J70" s="24"/>
    </row>
    <row r="71" spans="2:10" x14ac:dyDescent="0.25">
      <c r="B71" s="123"/>
      <c r="C71" s="123"/>
      <c r="H71" s="24"/>
      <c r="I71" s="24"/>
      <c r="J71" s="24"/>
    </row>
    <row r="72" spans="2:10" x14ac:dyDescent="0.25">
      <c r="B72" s="123"/>
      <c r="C72" s="123"/>
      <c r="H72" s="24"/>
      <c r="I72" s="24"/>
      <c r="J72" s="24"/>
    </row>
    <row r="73" spans="2:10" x14ac:dyDescent="0.25">
      <c r="B73" s="123"/>
      <c r="C73" s="123"/>
      <c r="H73" s="24"/>
      <c r="I73" s="24"/>
      <c r="J73" s="24"/>
    </row>
    <row r="74" spans="2:10" x14ac:dyDescent="0.25">
      <c r="B74" s="123"/>
      <c r="C74" s="123"/>
      <c r="H74" s="24"/>
      <c r="I74" s="24"/>
      <c r="J74" s="24"/>
    </row>
    <row r="75" spans="2:10" x14ac:dyDescent="0.25">
      <c r="B75" s="123"/>
      <c r="C75" s="123"/>
      <c r="H75" s="24"/>
      <c r="I75" s="24"/>
      <c r="J75" s="24"/>
    </row>
    <row r="76" spans="2:10" x14ac:dyDescent="0.25">
      <c r="B76" s="123"/>
      <c r="C76" s="123"/>
      <c r="H76" s="24"/>
      <c r="I76" s="24"/>
      <c r="J76" s="24"/>
    </row>
    <row r="77" spans="2:10" x14ac:dyDescent="0.25">
      <c r="B77" s="123"/>
      <c r="C77" s="123"/>
      <c r="H77" s="24"/>
      <c r="I77" s="24"/>
      <c r="J77" s="24"/>
    </row>
    <row r="78" spans="2:10" x14ac:dyDescent="0.25">
      <c r="B78" s="123"/>
      <c r="C78" s="123"/>
      <c r="H78" s="24"/>
      <c r="I78" s="24"/>
      <c r="J78" s="24"/>
    </row>
    <row r="79" spans="2:10" x14ac:dyDescent="0.25">
      <c r="B79" s="123"/>
      <c r="C79" s="123"/>
      <c r="H79" s="24"/>
      <c r="I79" s="24"/>
      <c r="J79" s="24"/>
    </row>
    <row r="80" spans="2:10" x14ac:dyDescent="0.25">
      <c r="B80" s="123"/>
      <c r="C80" s="123"/>
      <c r="H80" s="24"/>
      <c r="I80" s="24"/>
      <c r="J80" s="24"/>
    </row>
    <row r="81" spans="2:10" x14ac:dyDescent="0.25">
      <c r="B81" s="123"/>
      <c r="C81" s="123"/>
      <c r="H81" s="24"/>
      <c r="I81" s="24"/>
      <c r="J81" s="24"/>
    </row>
    <row r="82" spans="2:10" x14ac:dyDescent="0.25">
      <c r="B82" s="123"/>
      <c r="C82" s="123"/>
      <c r="H82" s="24"/>
      <c r="I82" s="24"/>
      <c r="J82" s="24"/>
    </row>
    <row r="83" spans="2:10" x14ac:dyDescent="0.25">
      <c r="B83" s="123"/>
      <c r="C83" s="123"/>
      <c r="H83" s="24"/>
      <c r="I83" s="24"/>
      <c r="J83" s="24"/>
    </row>
    <row r="84" spans="2:10" x14ac:dyDescent="0.25">
      <c r="B84" s="123"/>
      <c r="C84" s="123"/>
      <c r="H84" s="24"/>
      <c r="I84" s="24"/>
      <c r="J84" s="24"/>
    </row>
    <row r="85" spans="2:10" x14ac:dyDescent="0.25">
      <c r="B85" s="123"/>
      <c r="C85" s="123"/>
      <c r="H85" s="24"/>
      <c r="I85" s="24"/>
      <c r="J85" s="24"/>
    </row>
    <row r="86" spans="2:10" x14ac:dyDescent="0.25">
      <c r="B86" s="123"/>
      <c r="C86" s="123"/>
      <c r="H86" s="24"/>
      <c r="I86" s="24"/>
      <c r="J86" s="24"/>
    </row>
    <row r="87" spans="2:10" x14ac:dyDescent="0.25">
      <c r="B87" s="123"/>
      <c r="C87" s="123"/>
      <c r="H87" s="24"/>
      <c r="I87" s="24"/>
      <c r="J87" s="24"/>
    </row>
    <row r="88" spans="2:10" x14ac:dyDescent="0.25">
      <c r="B88" s="123"/>
      <c r="C88" s="123"/>
      <c r="H88" s="24"/>
      <c r="I88" s="24"/>
      <c r="J88" s="24"/>
    </row>
    <row r="89" spans="2:10" x14ac:dyDescent="0.25">
      <c r="B89" s="123"/>
      <c r="C89" s="123"/>
      <c r="H89" s="24"/>
      <c r="I89" s="24"/>
      <c r="J89" s="24"/>
    </row>
    <row r="90" spans="2:10" x14ac:dyDescent="0.25">
      <c r="B90" s="123"/>
      <c r="C90" s="123"/>
      <c r="H90" s="24"/>
      <c r="I90" s="24"/>
      <c r="J90" s="24"/>
    </row>
    <row r="91" spans="2:10" x14ac:dyDescent="0.25">
      <c r="B91" s="123"/>
      <c r="C91" s="123"/>
      <c r="H91" s="24"/>
      <c r="I91" s="24"/>
      <c r="J91" s="24"/>
    </row>
    <row r="92" spans="2:10" x14ac:dyDescent="0.25">
      <c r="B92" s="123"/>
      <c r="C92" s="123"/>
      <c r="H92" s="24"/>
      <c r="I92" s="24"/>
      <c r="J92" s="24"/>
    </row>
    <row r="93" spans="2:10" x14ac:dyDescent="0.25">
      <c r="B93" s="123"/>
      <c r="C93" s="123"/>
      <c r="H93" s="24"/>
      <c r="I93" s="24"/>
      <c r="J93" s="24"/>
    </row>
    <row r="94" spans="2:10" x14ac:dyDescent="0.25">
      <c r="B94" s="123"/>
      <c r="C94" s="123"/>
      <c r="H94" s="24"/>
      <c r="I94" s="24"/>
      <c r="J94" s="24"/>
    </row>
    <row r="95" spans="2:10" x14ac:dyDescent="0.25">
      <c r="B95" s="123"/>
      <c r="C95" s="123"/>
      <c r="H95" s="24"/>
      <c r="I95" s="24"/>
      <c r="J95" s="24"/>
    </row>
    <row r="96" spans="2:10" x14ac:dyDescent="0.25">
      <c r="B96" s="123"/>
      <c r="C96" s="123"/>
      <c r="H96" s="24"/>
      <c r="I96" s="24"/>
      <c r="J96" s="24"/>
    </row>
    <row r="97" spans="2:10" x14ac:dyDescent="0.25">
      <c r="B97" s="123"/>
      <c r="C97" s="123"/>
      <c r="H97" s="24"/>
      <c r="I97" s="24"/>
      <c r="J97" s="24"/>
    </row>
    <row r="98" spans="2:10" x14ac:dyDescent="0.25">
      <c r="B98" s="123"/>
      <c r="C98" s="123"/>
      <c r="H98" s="24"/>
      <c r="I98" s="24"/>
      <c r="J98" s="24"/>
    </row>
    <row r="99" spans="2:10" x14ac:dyDescent="0.25">
      <c r="B99" s="123"/>
      <c r="C99" s="123"/>
      <c r="H99" s="24"/>
      <c r="I99" s="24"/>
      <c r="J99" s="24"/>
    </row>
    <row r="100" spans="2:10" x14ac:dyDescent="0.25">
      <c r="B100" s="123"/>
      <c r="C100" s="123"/>
      <c r="H100" s="24"/>
      <c r="I100" s="24"/>
      <c r="J100" s="24"/>
    </row>
    <row r="101" spans="2:10" x14ac:dyDescent="0.25">
      <c r="B101" s="123"/>
      <c r="C101" s="123"/>
      <c r="H101" s="24"/>
      <c r="I101" s="24"/>
      <c r="J101" s="24"/>
    </row>
    <row r="102" spans="2:10" x14ac:dyDescent="0.25">
      <c r="B102" s="123"/>
      <c r="C102" s="123"/>
      <c r="H102" s="24"/>
      <c r="I102" s="24"/>
      <c r="J102" s="24"/>
    </row>
    <row r="103" spans="2:10" x14ac:dyDescent="0.25">
      <c r="B103" s="123"/>
      <c r="C103" s="123"/>
      <c r="H103" s="24"/>
      <c r="I103" s="24"/>
      <c r="J103" s="24"/>
    </row>
    <row r="104" spans="2:10" x14ac:dyDescent="0.25">
      <c r="B104" s="123"/>
      <c r="C104" s="123"/>
      <c r="H104" s="24"/>
      <c r="I104" s="24"/>
      <c r="J104" s="24"/>
    </row>
    <row r="105" spans="2:10" x14ac:dyDescent="0.25">
      <c r="B105" s="123"/>
      <c r="C105" s="123"/>
      <c r="H105" s="24"/>
      <c r="I105" s="24"/>
      <c r="J105" s="24"/>
    </row>
    <row r="106" spans="2:10" x14ac:dyDescent="0.25">
      <c r="B106" s="123"/>
      <c r="C106" s="123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conditionalFormatting sqref="A3:A6">
    <cfRule type="expression" dxfId="2" priority="3">
      <formula>$O3&gt;0</formula>
    </cfRule>
  </conditionalFormatting>
  <conditionalFormatting sqref="A3:A6">
    <cfRule type="expression" dxfId="1" priority="2">
      <formula>$P3&gt;0</formula>
    </cfRule>
  </conditionalFormatting>
  <pageMargins left="0.7" right="0.7" top="0.75" bottom="0.75" header="0.3" footer="0.3"/>
  <pageSetup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B93EFA5-C73B-4B11-BC52-43970A2FDE50}">
            <xm:f>IF($AG3="EC",$N3&gt;Variables!$C$2,$N3&gt;Variables!$D$2)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A3:A6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42598.037222222221</v>
      </c>
      <c r="B1" s="24" t="s">
        <v>170</v>
      </c>
      <c r="C1" s="24" t="s">
        <v>258</v>
      </c>
      <c r="D1" s="24">
        <v>1800000</v>
      </c>
      <c r="E1" s="24" t="s">
        <v>282</v>
      </c>
      <c r="F1" s="24" t="str">
        <f>B1</f>
        <v>rtdc.l.rtdc.4028:itc</v>
      </c>
      <c r="G1" s="8">
        <f>A1</f>
        <v>42598.037222222221</v>
      </c>
    </row>
    <row r="2" spans="1:7" x14ac:dyDescent="0.25">
      <c r="A2" s="8">
        <v>42598.048310185186</v>
      </c>
      <c r="B2" s="24" t="s">
        <v>171</v>
      </c>
      <c r="C2" s="24" t="s">
        <v>260</v>
      </c>
      <c r="D2" s="24">
        <v>1810000</v>
      </c>
      <c r="E2" s="24" t="s">
        <v>237</v>
      </c>
      <c r="F2" s="24" t="str">
        <f t="shared" ref="F2:F65" si="0">B2</f>
        <v>rtdc.l.rtdc.4042:itc</v>
      </c>
      <c r="G2" s="8">
        <f t="shared" ref="G2:G65" si="1">A2</f>
        <v>42598.048310185186</v>
      </c>
    </row>
    <row r="3" spans="1:7" x14ac:dyDescent="0.25">
      <c r="A3" s="8">
        <v>42598.05263888889</v>
      </c>
      <c r="B3" s="24" t="s">
        <v>206</v>
      </c>
      <c r="C3" s="24" t="s">
        <v>259</v>
      </c>
      <c r="D3" s="24">
        <v>2100000</v>
      </c>
      <c r="E3" s="24" t="s">
        <v>149</v>
      </c>
      <c r="F3" s="24" t="str">
        <f t="shared" si="0"/>
        <v>rtdc.l.rtdc.4019:itc</v>
      </c>
      <c r="G3" s="8">
        <f t="shared" si="1"/>
        <v>42598.05263888889</v>
      </c>
    </row>
    <row r="4" spans="1:7" x14ac:dyDescent="0.25">
      <c r="A4" s="8">
        <v>42598.071018518516</v>
      </c>
      <c r="B4" s="24" t="s">
        <v>96</v>
      </c>
      <c r="C4" s="24" t="s">
        <v>261</v>
      </c>
      <c r="D4" s="24">
        <v>1800000</v>
      </c>
      <c r="E4" s="24" t="s">
        <v>282</v>
      </c>
      <c r="F4" s="24" t="str">
        <f t="shared" si="0"/>
        <v>rtdc.l.rtdc.4027:itc</v>
      </c>
      <c r="G4" s="8">
        <f t="shared" si="1"/>
        <v>42598.071018518516</v>
      </c>
    </row>
    <row r="5" spans="1:7" x14ac:dyDescent="0.25">
      <c r="A5" s="8">
        <v>42598.088310185187</v>
      </c>
      <c r="B5" s="24" t="s">
        <v>203</v>
      </c>
      <c r="C5" s="24" t="s">
        <v>262</v>
      </c>
      <c r="D5" s="24">
        <v>2100000</v>
      </c>
      <c r="E5" s="24" t="s">
        <v>149</v>
      </c>
      <c r="F5" s="24" t="str">
        <f t="shared" si="0"/>
        <v>rtdc.l.rtdc.4020:itc</v>
      </c>
      <c r="G5" s="8">
        <f t="shared" si="1"/>
        <v>42598.088310185187</v>
      </c>
    </row>
    <row r="6" spans="1:7" x14ac:dyDescent="0.25">
      <c r="A6" s="8">
        <v>42598.088888888888</v>
      </c>
      <c r="B6" s="24" t="s">
        <v>203</v>
      </c>
      <c r="C6" s="24" t="s">
        <v>262</v>
      </c>
      <c r="D6" s="24">
        <v>2100000</v>
      </c>
      <c r="E6" s="24" t="s">
        <v>149</v>
      </c>
      <c r="F6" s="24" t="str">
        <f t="shared" si="0"/>
        <v>rtdc.l.rtdc.4020:itc</v>
      </c>
      <c r="G6" s="8">
        <f t="shared" si="1"/>
        <v>42598.088888888888</v>
      </c>
    </row>
    <row r="7" spans="1:7" x14ac:dyDescent="0.25">
      <c r="A7" s="8">
        <v>42598.116516203707</v>
      </c>
      <c r="B7" s="24" t="s">
        <v>121</v>
      </c>
      <c r="C7" s="24" t="s">
        <v>529</v>
      </c>
      <c r="D7" s="24">
        <v>2030000</v>
      </c>
      <c r="E7" s="24" t="s">
        <v>664</v>
      </c>
      <c r="F7" s="24" t="str">
        <f t="shared" si="0"/>
        <v>rtdc.l.rtdc.4032:itc</v>
      </c>
      <c r="G7" s="8">
        <f t="shared" si="1"/>
        <v>42598.116516203707</v>
      </c>
    </row>
    <row r="8" spans="1:7" x14ac:dyDescent="0.25">
      <c r="A8" s="8">
        <v>42598.127870370372</v>
      </c>
      <c r="B8" s="24" t="s">
        <v>227</v>
      </c>
      <c r="C8" s="24" t="s">
        <v>286</v>
      </c>
      <c r="D8" s="24">
        <v>2030000</v>
      </c>
      <c r="E8" s="24" t="s">
        <v>664</v>
      </c>
      <c r="F8" s="24" t="str">
        <f t="shared" si="0"/>
        <v>rtdc.l.rtdc.4011:itc</v>
      </c>
      <c r="G8" s="8">
        <f t="shared" si="1"/>
        <v>42598.127870370372</v>
      </c>
    </row>
    <row r="9" spans="1:7" ht="15.75" thickBot="1" x14ac:dyDescent="0.3">
      <c r="A9" s="28">
        <v>42598.154780092591</v>
      </c>
      <c r="B9" s="24" t="s">
        <v>655</v>
      </c>
      <c r="C9" s="24" t="s">
        <v>291</v>
      </c>
      <c r="D9" s="24">
        <v>1260000</v>
      </c>
      <c r="E9" s="24" t="s">
        <v>232</v>
      </c>
      <c r="F9" s="24" t="str">
        <f t="shared" si="0"/>
        <v>rtdc.l.rtdc.4003:itc</v>
      </c>
      <c r="G9" s="8">
        <f t="shared" si="1"/>
        <v>42598.154780092591</v>
      </c>
    </row>
    <row r="10" spans="1:7" x14ac:dyDescent="0.25">
      <c r="A10" s="8">
        <v>42598.156886574077</v>
      </c>
      <c r="B10" s="24" t="s">
        <v>655</v>
      </c>
      <c r="C10" s="24" t="s">
        <v>291</v>
      </c>
      <c r="D10" s="24">
        <v>1260000</v>
      </c>
      <c r="E10" s="24" t="s">
        <v>232</v>
      </c>
      <c r="F10" s="24" t="str">
        <f t="shared" si="0"/>
        <v>rtdc.l.rtdc.4003:itc</v>
      </c>
      <c r="G10" s="8">
        <f t="shared" si="1"/>
        <v>42598.156886574077</v>
      </c>
    </row>
    <row r="11" spans="1:7" x14ac:dyDescent="0.25">
      <c r="A11" s="8">
        <v>42598.168414351851</v>
      </c>
      <c r="B11" s="24" t="s">
        <v>121</v>
      </c>
      <c r="C11" s="24" t="s">
        <v>289</v>
      </c>
      <c r="D11" s="24">
        <v>2030000</v>
      </c>
      <c r="E11" s="24" t="s">
        <v>664</v>
      </c>
      <c r="F11" s="24" t="str">
        <f t="shared" si="0"/>
        <v>rtdc.l.rtdc.4032:itc</v>
      </c>
      <c r="G11" s="8">
        <f t="shared" si="1"/>
        <v>42598.168414351851</v>
      </c>
    </row>
    <row r="12" spans="1:7" x14ac:dyDescent="0.25">
      <c r="A12" s="8">
        <v>42598.174710648149</v>
      </c>
      <c r="B12" s="24" t="s">
        <v>234</v>
      </c>
      <c r="C12" s="24" t="s">
        <v>537</v>
      </c>
      <c r="D12" s="24">
        <v>1090000</v>
      </c>
      <c r="E12" s="24" t="s">
        <v>277</v>
      </c>
      <c r="F12" s="24" t="str">
        <f t="shared" si="0"/>
        <v>rtdc.l.rtdc.4010:itc</v>
      </c>
      <c r="G12" s="8">
        <f t="shared" si="1"/>
        <v>42598.174710648149</v>
      </c>
    </row>
    <row r="13" spans="1:7" x14ac:dyDescent="0.25">
      <c r="A13" s="8">
        <v>42598.184004629627</v>
      </c>
      <c r="B13" s="24" t="s">
        <v>228</v>
      </c>
      <c r="C13" s="24" t="s">
        <v>539</v>
      </c>
      <c r="D13" s="24">
        <v>1990000</v>
      </c>
      <c r="E13" s="24" t="s">
        <v>207</v>
      </c>
      <c r="F13" s="24" t="str">
        <f t="shared" si="0"/>
        <v>rtdc.l.rtdc.4043:itc</v>
      </c>
      <c r="G13" s="8">
        <f t="shared" si="1"/>
        <v>42598.184004629627</v>
      </c>
    </row>
    <row r="14" spans="1:7" x14ac:dyDescent="0.25">
      <c r="A14" s="8">
        <v>42598.194722222222</v>
      </c>
      <c r="B14" s="24" t="s">
        <v>226</v>
      </c>
      <c r="C14" s="24" t="s">
        <v>294</v>
      </c>
      <c r="D14" s="24">
        <v>1990000</v>
      </c>
      <c r="E14" s="24" t="s">
        <v>207</v>
      </c>
      <c r="F14" s="24" t="str">
        <f t="shared" si="0"/>
        <v>rtdc.l.rtdc.4044:itc</v>
      </c>
      <c r="G14" s="8">
        <f t="shared" si="1"/>
        <v>42598.194722222222</v>
      </c>
    </row>
    <row r="15" spans="1:7" x14ac:dyDescent="0.25">
      <c r="A15" s="8">
        <v>42598.206099537034</v>
      </c>
      <c r="B15" s="24" t="s">
        <v>120</v>
      </c>
      <c r="C15" s="24" t="s">
        <v>303</v>
      </c>
      <c r="D15" s="24">
        <v>2030000</v>
      </c>
      <c r="E15" s="24" t="s">
        <v>664</v>
      </c>
      <c r="F15" s="24" t="str">
        <f t="shared" si="0"/>
        <v>rtdc.l.rtdc.4031:itc</v>
      </c>
      <c r="G15" s="8">
        <f t="shared" si="1"/>
        <v>42598.206099537034</v>
      </c>
    </row>
    <row r="16" spans="1:7" x14ac:dyDescent="0.25">
      <c r="A16" s="8">
        <v>42598.206180555557</v>
      </c>
      <c r="B16" s="24" t="s">
        <v>227</v>
      </c>
      <c r="C16" s="24" t="s">
        <v>297</v>
      </c>
      <c r="D16" s="24">
        <v>2150000</v>
      </c>
      <c r="E16" s="24" t="s">
        <v>276</v>
      </c>
      <c r="F16" s="24" t="str">
        <f t="shared" si="0"/>
        <v>rtdc.l.rtdc.4011:itc</v>
      </c>
      <c r="G16" s="8">
        <f t="shared" si="1"/>
        <v>42598.206180555557</v>
      </c>
    </row>
    <row r="17" spans="1:7" x14ac:dyDescent="0.25">
      <c r="A17" s="8">
        <v>42598.223055555558</v>
      </c>
      <c r="B17" s="24" t="s">
        <v>234</v>
      </c>
      <c r="C17" s="24" t="s">
        <v>293</v>
      </c>
      <c r="D17" s="24">
        <v>1090000</v>
      </c>
      <c r="E17" s="24" t="s">
        <v>277</v>
      </c>
      <c r="F17" s="24" t="str">
        <f t="shared" si="0"/>
        <v>rtdc.l.rtdc.4010:itc</v>
      </c>
      <c r="G17" s="8">
        <f t="shared" si="1"/>
        <v>42598.223055555558</v>
      </c>
    </row>
    <row r="18" spans="1:7" x14ac:dyDescent="0.25">
      <c r="A18" s="8">
        <v>42598.230844907404</v>
      </c>
      <c r="B18" s="24" t="s">
        <v>655</v>
      </c>
      <c r="C18" s="24" t="s">
        <v>308</v>
      </c>
      <c r="D18" s="24">
        <v>900000</v>
      </c>
      <c r="E18" s="24" t="s">
        <v>278</v>
      </c>
      <c r="F18" s="24" t="str">
        <f t="shared" si="0"/>
        <v>rtdc.l.rtdc.4003:itc</v>
      </c>
      <c r="G18" s="8">
        <f t="shared" si="1"/>
        <v>42598.230844907404</v>
      </c>
    </row>
    <row r="19" spans="1:7" x14ac:dyDescent="0.25">
      <c r="A19" s="8">
        <v>42598.232754629629</v>
      </c>
      <c r="B19" s="24" t="s">
        <v>228</v>
      </c>
      <c r="C19" s="24" t="s">
        <v>295</v>
      </c>
      <c r="D19" s="24">
        <v>1990000</v>
      </c>
      <c r="E19" s="24" t="s">
        <v>207</v>
      </c>
      <c r="F19" s="24" t="str">
        <f t="shared" si="0"/>
        <v>rtdc.l.rtdc.4043:itc</v>
      </c>
      <c r="G19" s="8">
        <f t="shared" si="1"/>
        <v>42598.232754629629</v>
      </c>
    </row>
    <row r="20" spans="1:7" x14ac:dyDescent="0.25">
      <c r="A20" s="8">
        <v>42598.241168981483</v>
      </c>
      <c r="B20" s="24" t="s">
        <v>657</v>
      </c>
      <c r="C20" s="24" t="s">
        <v>551</v>
      </c>
      <c r="D20" s="24">
        <v>1110000</v>
      </c>
      <c r="E20" s="24" t="s">
        <v>251</v>
      </c>
      <c r="F20" s="24" t="str">
        <f t="shared" si="0"/>
        <v>rtdc.l.rtdc.4002:itc</v>
      </c>
      <c r="G20" s="8">
        <f t="shared" si="1"/>
        <v>42598.241168981483</v>
      </c>
    </row>
    <row r="21" spans="1:7" x14ac:dyDescent="0.25">
      <c r="A21" s="8">
        <v>42598.242280092592</v>
      </c>
      <c r="B21" s="24" t="s">
        <v>657</v>
      </c>
      <c r="C21" s="24" t="s">
        <v>551</v>
      </c>
      <c r="D21" s="24">
        <v>1110000</v>
      </c>
      <c r="E21" s="24" t="s">
        <v>251</v>
      </c>
      <c r="F21" s="24" t="str">
        <f t="shared" si="0"/>
        <v>rtdc.l.rtdc.4002:itc</v>
      </c>
      <c r="G21" s="8">
        <f t="shared" si="1"/>
        <v>42598.242280092592</v>
      </c>
    </row>
    <row r="22" spans="1:7" x14ac:dyDescent="0.25">
      <c r="A22" s="30">
        <v>42598.246099537035</v>
      </c>
      <c r="B22" s="24" t="s">
        <v>656</v>
      </c>
      <c r="C22" s="24" t="s">
        <v>299</v>
      </c>
      <c r="D22" s="24">
        <v>2150000</v>
      </c>
      <c r="E22" s="24" t="s">
        <v>276</v>
      </c>
      <c r="F22" s="24" t="str">
        <f t="shared" si="0"/>
        <v>rtdc.l.rtdc.4012:itc</v>
      </c>
      <c r="G22" s="8">
        <f t="shared" si="1"/>
        <v>42598.246099537035</v>
      </c>
    </row>
    <row r="23" spans="1:7" x14ac:dyDescent="0.25">
      <c r="A23" s="8">
        <v>42598.250057870369</v>
      </c>
      <c r="B23" s="24" t="s">
        <v>121</v>
      </c>
      <c r="C23" s="24" t="s">
        <v>305</v>
      </c>
      <c r="D23" s="24">
        <v>2030000</v>
      </c>
      <c r="E23" s="24" t="s">
        <v>664</v>
      </c>
      <c r="F23" s="24" t="str">
        <f t="shared" si="0"/>
        <v>rtdc.l.rtdc.4032:itc</v>
      </c>
      <c r="G23" s="8">
        <f t="shared" si="1"/>
        <v>42598.250057870369</v>
      </c>
    </row>
    <row r="24" spans="1:7" x14ac:dyDescent="0.25">
      <c r="A24" s="8">
        <v>42598.261203703703</v>
      </c>
      <c r="B24" s="24" t="s">
        <v>118</v>
      </c>
      <c r="C24" s="24" t="s">
        <v>554</v>
      </c>
      <c r="D24" s="24">
        <v>1300000</v>
      </c>
      <c r="E24" s="24" t="s">
        <v>155</v>
      </c>
      <c r="F24" s="24" t="str">
        <f t="shared" si="0"/>
        <v>rtdc.l.rtdc.4014:itc</v>
      </c>
      <c r="G24" s="8">
        <f t="shared" si="1"/>
        <v>42598.261203703703</v>
      </c>
    </row>
    <row r="25" spans="1:7" x14ac:dyDescent="0.25">
      <c r="A25" s="8">
        <v>42598.267476851855</v>
      </c>
      <c r="B25" s="24" t="s">
        <v>231</v>
      </c>
      <c r="C25" s="24" t="s">
        <v>315</v>
      </c>
      <c r="D25" s="24">
        <v>1090000</v>
      </c>
      <c r="E25" s="24" t="s">
        <v>277</v>
      </c>
      <c r="F25" s="24" t="str">
        <f t="shared" si="0"/>
        <v>rtdc.l.rtdc.4009:itc</v>
      </c>
      <c r="G25" s="8">
        <f t="shared" si="1"/>
        <v>42598.267476851855</v>
      </c>
    </row>
    <row r="26" spans="1:7" x14ac:dyDescent="0.25">
      <c r="A26" s="8">
        <v>42598.267824074072</v>
      </c>
      <c r="B26" s="24" t="s">
        <v>662</v>
      </c>
      <c r="C26" s="24" t="s">
        <v>310</v>
      </c>
      <c r="D26" s="24">
        <v>900000</v>
      </c>
      <c r="E26" s="24" t="s">
        <v>278</v>
      </c>
      <c r="F26" s="24" t="str">
        <f t="shared" si="0"/>
        <v>rtdc.l.rtdc.4004:itc</v>
      </c>
      <c r="G26" s="8">
        <f t="shared" si="1"/>
        <v>42598.267824074072</v>
      </c>
    </row>
    <row r="27" spans="1:7" x14ac:dyDescent="0.25">
      <c r="A27" s="8">
        <v>42598.269502314812</v>
      </c>
      <c r="B27" s="24" t="s">
        <v>231</v>
      </c>
      <c r="C27" s="24" t="s">
        <v>315</v>
      </c>
      <c r="D27" s="24">
        <v>1090000</v>
      </c>
      <c r="E27" s="24" t="s">
        <v>277</v>
      </c>
      <c r="F27" s="24" t="str">
        <f t="shared" si="0"/>
        <v>rtdc.l.rtdc.4009:itc</v>
      </c>
      <c r="G27" s="8">
        <f t="shared" si="1"/>
        <v>42598.269502314812</v>
      </c>
    </row>
    <row r="28" spans="1:7" x14ac:dyDescent="0.25">
      <c r="A28" s="8">
        <v>42598.269872685189</v>
      </c>
      <c r="B28" s="24" t="s">
        <v>226</v>
      </c>
      <c r="C28" s="24" t="s">
        <v>320</v>
      </c>
      <c r="D28" s="24">
        <v>1990000</v>
      </c>
      <c r="E28" s="24" t="s">
        <v>207</v>
      </c>
      <c r="F28" s="24" t="str">
        <f t="shared" si="0"/>
        <v>rtdc.l.rtdc.4044:itc</v>
      </c>
      <c r="G28" s="8">
        <f t="shared" si="1"/>
        <v>42598.269872685189</v>
      </c>
    </row>
    <row r="29" spans="1:7" x14ac:dyDescent="0.25">
      <c r="A29" s="8">
        <v>42598.272534722222</v>
      </c>
      <c r="B29" s="24" t="s">
        <v>656</v>
      </c>
      <c r="C29" s="24" t="s">
        <v>299</v>
      </c>
      <c r="D29" s="24">
        <v>2150000</v>
      </c>
      <c r="E29" s="24" t="s">
        <v>276</v>
      </c>
      <c r="F29" s="24" t="str">
        <f t="shared" si="0"/>
        <v>rtdc.l.rtdc.4012:itc</v>
      </c>
      <c r="G29" s="8">
        <f t="shared" si="1"/>
        <v>42598.272534722222</v>
      </c>
    </row>
    <row r="30" spans="1:7" x14ac:dyDescent="0.25">
      <c r="A30" s="8">
        <v>42598.273888888885</v>
      </c>
      <c r="B30" s="24" t="s">
        <v>161</v>
      </c>
      <c r="C30" s="24" t="s">
        <v>313</v>
      </c>
      <c r="D30" s="24">
        <v>1260000</v>
      </c>
      <c r="E30" s="24" t="s">
        <v>232</v>
      </c>
      <c r="F30" s="24" t="str">
        <f t="shared" si="0"/>
        <v>rtdc.l.rtdc.4037:itc</v>
      </c>
      <c r="G30" s="8">
        <f t="shared" si="1"/>
        <v>42598.273888888885</v>
      </c>
    </row>
    <row r="31" spans="1:7" x14ac:dyDescent="0.25">
      <c r="A31" s="8">
        <v>42598.277719907404</v>
      </c>
      <c r="B31" s="24" t="s">
        <v>93</v>
      </c>
      <c r="C31" s="24" t="s">
        <v>556</v>
      </c>
      <c r="D31" s="24">
        <v>1300000</v>
      </c>
      <c r="E31" s="24" t="s">
        <v>155</v>
      </c>
      <c r="F31" s="24" t="str">
        <f t="shared" si="0"/>
        <v>rtdc.l.rtdc.4013:itc</v>
      </c>
      <c r="G31" s="8">
        <f t="shared" si="1"/>
        <v>42598.277719907404</v>
      </c>
    </row>
    <row r="32" spans="1:7" x14ac:dyDescent="0.25">
      <c r="A32" s="8">
        <v>42598.283136574071</v>
      </c>
      <c r="B32" s="24" t="s">
        <v>657</v>
      </c>
      <c r="C32" s="24" t="s">
        <v>557</v>
      </c>
      <c r="D32" s="24">
        <v>1110000</v>
      </c>
      <c r="E32" s="24" t="s">
        <v>251</v>
      </c>
      <c r="F32" s="24" t="str">
        <f t="shared" si="0"/>
        <v>rtdc.l.rtdc.4002:itc</v>
      </c>
      <c r="G32" s="8">
        <f t="shared" si="1"/>
        <v>42598.283136574071</v>
      </c>
    </row>
    <row r="33" spans="1:7" x14ac:dyDescent="0.25">
      <c r="A33" s="8">
        <v>42598.283495370371</v>
      </c>
      <c r="B33" s="24" t="s">
        <v>227</v>
      </c>
      <c r="C33" s="24" t="s">
        <v>323</v>
      </c>
      <c r="D33" s="24">
        <v>2150000</v>
      </c>
      <c r="E33" s="24" t="s">
        <v>276</v>
      </c>
      <c r="F33" s="24" t="str">
        <f t="shared" si="0"/>
        <v>rtdc.l.rtdc.4011:itc</v>
      </c>
      <c r="G33" s="8">
        <f t="shared" si="1"/>
        <v>42598.283495370371</v>
      </c>
    </row>
    <row r="34" spans="1:7" x14ac:dyDescent="0.25">
      <c r="A34" s="8">
        <v>42598.288148148145</v>
      </c>
      <c r="B34" s="24" t="s">
        <v>120</v>
      </c>
      <c r="C34" s="24" t="s">
        <v>326</v>
      </c>
      <c r="D34" s="24">
        <v>2030000</v>
      </c>
      <c r="E34" s="24" t="s">
        <v>664</v>
      </c>
      <c r="F34" s="24" t="str">
        <f t="shared" si="0"/>
        <v>rtdc.l.rtdc.4031:itc</v>
      </c>
      <c r="G34" s="8">
        <f t="shared" si="1"/>
        <v>42598.288148148145</v>
      </c>
    </row>
    <row r="35" spans="1:7" x14ac:dyDescent="0.25">
      <c r="A35" s="8">
        <v>42598.295138888891</v>
      </c>
      <c r="B35" s="24" t="s">
        <v>234</v>
      </c>
      <c r="C35" s="24" t="s">
        <v>318</v>
      </c>
      <c r="D35" s="24">
        <v>1090000</v>
      </c>
      <c r="E35" s="24" t="s">
        <v>277</v>
      </c>
      <c r="F35" s="24" t="str">
        <f t="shared" si="0"/>
        <v>rtdc.l.rtdc.4010:itc</v>
      </c>
      <c r="G35" s="8">
        <f t="shared" si="1"/>
        <v>42598.295138888891</v>
      </c>
    </row>
    <row r="36" spans="1:7" x14ac:dyDescent="0.25">
      <c r="A36" s="8">
        <v>42598.297523148147</v>
      </c>
      <c r="B36" s="24" t="s">
        <v>658</v>
      </c>
      <c r="C36" s="24" t="s">
        <v>559</v>
      </c>
      <c r="D36" s="24">
        <v>1110000</v>
      </c>
      <c r="E36" s="24" t="s">
        <v>251</v>
      </c>
      <c r="F36" s="24" t="str">
        <f t="shared" si="0"/>
        <v>rtdc.l.rtdc.4001:itc</v>
      </c>
      <c r="G36" s="8">
        <f t="shared" si="1"/>
        <v>42598.297523148147</v>
      </c>
    </row>
    <row r="37" spans="1:7" x14ac:dyDescent="0.25">
      <c r="A37" s="8">
        <v>42598.300208333334</v>
      </c>
      <c r="B37" s="24" t="s">
        <v>660</v>
      </c>
      <c r="C37" s="24" t="s">
        <v>328</v>
      </c>
      <c r="D37" s="24">
        <v>900000</v>
      </c>
      <c r="E37" s="24" t="s">
        <v>278</v>
      </c>
      <c r="F37" s="24" t="str">
        <f t="shared" si="0"/>
        <v>rtdc.l.rtdc.4018:itc</v>
      </c>
      <c r="G37" s="8">
        <f t="shared" si="1"/>
        <v>42598.300208333334</v>
      </c>
    </row>
    <row r="38" spans="1:7" x14ac:dyDescent="0.25">
      <c r="A38" s="8">
        <v>42598.303252314814</v>
      </c>
      <c r="B38" s="24" t="s">
        <v>118</v>
      </c>
      <c r="C38" s="24" t="s">
        <v>562</v>
      </c>
      <c r="D38" s="24">
        <v>1300000</v>
      </c>
      <c r="E38" s="24" t="s">
        <v>155</v>
      </c>
      <c r="F38" s="24" t="str">
        <f t="shared" si="0"/>
        <v>rtdc.l.rtdc.4014:itc</v>
      </c>
      <c r="G38" s="8">
        <f t="shared" si="1"/>
        <v>42598.303252314814</v>
      </c>
    </row>
    <row r="39" spans="1:7" x14ac:dyDescent="0.25">
      <c r="A39" s="8">
        <v>42598.305335648147</v>
      </c>
      <c r="B39" s="24" t="s">
        <v>228</v>
      </c>
      <c r="C39" s="24" t="s">
        <v>322</v>
      </c>
      <c r="D39" s="24">
        <v>1990000</v>
      </c>
      <c r="E39" s="24" t="s">
        <v>207</v>
      </c>
      <c r="F39" s="24" t="str">
        <f t="shared" si="0"/>
        <v>rtdc.l.rtdc.4043:itc</v>
      </c>
      <c r="G39" s="8">
        <f t="shared" si="1"/>
        <v>42598.305335648147</v>
      </c>
    </row>
    <row r="40" spans="1:7" x14ac:dyDescent="0.25">
      <c r="A40" s="8">
        <v>42598.310879629629</v>
      </c>
      <c r="B40" s="29" t="s">
        <v>172</v>
      </c>
      <c r="C40" s="24" t="s">
        <v>331</v>
      </c>
      <c r="D40" s="24">
        <v>1260000</v>
      </c>
      <c r="E40" s="24" t="s">
        <v>232</v>
      </c>
      <c r="F40" s="24" t="str">
        <f t="shared" si="0"/>
        <v>rtdc.l.rtdc.4038:itc</v>
      </c>
      <c r="G40" s="8">
        <f t="shared" si="1"/>
        <v>42598.310879629629</v>
      </c>
    </row>
    <row r="41" spans="1:7" x14ac:dyDescent="0.25">
      <c r="A41" s="8">
        <v>42598.317210648151</v>
      </c>
      <c r="B41" s="24" t="s">
        <v>93</v>
      </c>
      <c r="C41" s="24" t="s">
        <v>564</v>
      </c>
      <c r="D41" s="24">
        <v>1300000</v>
      </c>
      <c r="E41" s="24" t="s">
        <v>155</v>
      </c>
      <c r="F41" s="24" t="str">
        <f t="shared" si="0"/>
        <v>rtdc.l.rtdc.4013:itc</v>
      </c>
      <c r="G41" s="8">
        <f t="shared" si="1"/>
        <v>42598.317210648151</v>
      </c>
    </row>
    <row r="42" spans="1:7" x14ac:dyDescent="0.25">
      <c r="A42" s="8">
        <v>42598.319884259261</v>
      </c>
      <c r="B42" s="24" t="s">
        <v>656</v>
      </c>
      <c r="C42" s="24" t="s">
        <v>324</v>
      </c>
      <c r="D42" s="24">
        <v>2150000</v>
      </c>
      <c r="E42" s="24" t="s">
        <v>276</v>
      </c>
      <c r="F42" s="24" t="str">
        <f t="shared" si="0"/>
        <v>rtdc.l.rtdc.4012:itc</v>
      </c>
      <c r="G42" s="8">
        <f t="shared" si="1"/>
        <v>42598.319884259261</v>
      </c>
    </row>
    <row r="43" spans="1:7" x14ac:dyDescent="0.25">
      <c r="A43" s="8">
        <v>42598.322314814817</v>
      </c>
      <c r="B43" s="24" t="s">
        <v>94</v>
      </c>
      <c r="C43" s="24" t="s">
        <v>334</v>
      </c>
      <c r="D43" s="24">
        <v>1190000</v>
      </c>
      <c r="E43" s="24" t="s">
        <v>665</v>
      </c>
      <c r="F43" s="24" t="str">
        <f t="shared" si="0"/>
        <v>rtdc.l.rtdc.4029:itc</v>
      </c>
      <c r="G43" s="8">
        <f t="shared" si="1"/>
        <v>42598.322314814817</v>
      </c>
    </row>
    <row r="44" spans="1:7" x14ac:dyDescent="0.25">
      <c r="A44" s="8">
        <v>42598.324803240743</v>
      </c>
      <c r="B44" s="24" t="s">
        <v>94</v>
      </c>
      <c r="C44" s="24" t="s">
        <v>334</v>
      </c>
      <c r="D44" s="24">
        <v>1190000</v>
      </c>
      <c r="E44" s="24" t="s">
        <v>665</v>
      </c>
      <c r="F44" s="24" t="str">
        <f t="shared" si="0"/>
        <v>rtdc.l.rtdc.4029:itc</v>
      </c>
      <c r="G44" s="8">
        <f t="shared" si="1"/>
        <v>42598.324803240743</v>
      </c>
    </row>
    <row r="45" spans="1:7" x14ac:dyDescent="0.25">
      <c r="A45" s="8">
        <v>42598.325995370367</v>
      </c>
      <c r="B45" s="24" t="s">
        <v>121</v>
      </c>
      <c r="C45" s="24" t="s">
        <v>327</v>
      </c>
      <c r="D45" s="24">
        <v>2030000</v>
      </c>
      <c r="E45" s="24" t="s">
        <v>664</v>
      </c>
      <c r="F45" s="24" t="str">
        <f t="shared" si="0"/>
        <v>rtdc.l.rtdc.4032:itc</v>
      </c>
      <c r="G45" s="8">
        <f t="shared" si="1"/>
        <v>42598.325995370367</v>
      </c>
    </row>
    <row r="46" spans="1:7" x14ac:dyDescent="0.25">
      <c r="A46" s="8">
        <v>42598.327650462961</v>
      </c>
      <c r="B46" s="24" t="s">
        <v>657</v>
      </c>
      <c r="C46" s="24" t="s">
        <v>567</v>
      </c>
      <c r="D46" s="24">
        <v>1110000</v>
      </c>
      <c r="E46" s="24" t="s">
        <v>251</v>
      </c>
      <c r="F46" s="24" t="str">
        <f t="shared" si="0"/>
        <v>rtdc.l.rtdc.4002:itc</v>
      </c>
      <c r="G46" s="8">
        <f t="shared" si="1"/>
        <v>42598.327650462961</v>
      </c>
    </row>
    <row r="47" spans="1:7" x14ac:dyDescent="0.25">
      <c r="A47" s="8">
        <v>42598.32953703704</v>
      </c>
      <c r="B47" s="24" t="s">
        <v>231</v>
      </c>
      <c r="C47" s="24" t="s">
        <v>336</v>
      </c>
      <c r="D47" s="24">
        <v>1090000</v>
      </c>
      <c r="E47" s="24" t="s">
        <v>277</v>
      </c>
      <c r="F47" s="24" t="str">
        <f t="shared" si="0"/>
        <v>rtdc.l.rtdc.4009:itc</v>
      </c>
      <c r="G47" s="8">
        <f t="shared" si="1"/>
        <v>42598.32953703704</v>
      </c>
    </row>
    <row r="48" spans="1:7" x14ac:dyDescent="0.25">
      <c r="A48" s="8">
        <v>42598.331296296295</v>
      </c>
      <c r="B48" s="24" t="s">
        <v>231</v>
      </c>
      <c r="C48" s="24" t="s">
        <v>336</v>
      </c>
      <c r="D48" s="24">
        <v>1090000</v>
      </c>
      <c r="E48" s="24" t="s">
        <v>277</v>
      </c>
      <c r="F48" s="24" t="str">
        <f t="shared" si="0"/>
        <v>rtdc.l.rtdc.4009:itc</v>
      </c>
      <c r="G48" s="8">
        <f t="shared" si="1"/>
        <v>42598.331296296295</v>
      </c>
    </row>
    <row r="49" spans="1:7" x14ac:dyDescent="0.25">
      <c r="A49" s="8">
        <v>42598.339085648149</v>
      </c>
      <c r="B49" s="24" t="s">
        <v>658</v>
      </c>
      <c r="C49" s="24" t="s">
        <v>569</v>
      </c>
      <c r="D49" s="24">
        <v>1110000</v>
      </c>
      <c r="E49" s="24" t="s">
        <v>251</v>
      </c>
      <c r="F49" s="24" t="str">
        <f t="shared" si="0"/>
        <v>rtdc.l.rtdc.4001:itc</v>
      </c>
      <c r="G49" s="8">
        <f t="shared" si="1"/>
        <v>42598.339085648149</v>
      </c>
    </row>
    <row r="50" spans="1:7" x14ac:dyDescent="0.25">
      <c r="A50" s="8">
        <v>42598.341435185182</v>
      </c>
      <c r="B50" s="24" t="s">
        <v>226</v>
      </c>
      <c r="C50" s="24" t="s">
        <v>343</v>
      </c>
      <c r="D50" s="24">
        <v>1990000</v>
      </c>
      <c r="E50" s="24" t="s">
        <v>207</v>
      </c>
      <c r="F50" s="24" t="str">
        <f t="shared" si="0"/>
        <v>rtdc.l.rtdc.4044:itc</v>
      </c>
      <c r="G50" s="8">
        <f t="shared" si="1"/>
        <v>42598.341435185182</v>
      </c>
    </row>
    <row r="51" spans="1:7" x14ac:dyDescent="0.25">
      <c r="A51" s="8">
        <v>42598.341979166667</v>
      </c>
      <c r="B51" s="24" t="s">
        <v>659</v>
      </c>
      <c r="C51" s="24" t="s">
        <v>329</v>
      </c>
      <c r="D51" s="24">
        <v>900000</v>
      </c>
      <c r="E51" s="24" t="s">
        <v>278</v>
      </c>
      <c r="F51" s="24" t="str">
        <f t="shared" si="0"/>
        <v>rtdc.l.rtdc.4017:itc</v>
      </c>
      <c r="G51" s="8">
        <f t="shared" si="1"/>
        <v>42598.341979166667</v>
      </c>
    </row>
    <row r="52" spans="1:7" x14ac:dyDescent="0.25">
      <c r="A52" s="8">
        <v>42598.34652777778</v>
      </c>
      <c r="B52" s="24" t="s">
        <v>161</v>
      </c>
      <c r="C52" s="24" t="s">
        <v>333</v>
      </c>
      <c r="D52" s="24">
        <v>1260000</v>
      </c>
      <c r="E52" s="24" t="s">
        <v>232</v>
      </c>
      <c r="F52" s="24" t="str">
        <f t="shared" si="0"/>
        <v>rtdc.l.rtdc.4037:itc</v>
      </c>
      <c r="G52" s="8">
        <f t="shared" si="1"/>
        <v>42598.34652777778</v>
      </c>
    </row>
    <row r="53" spans="1:7" x14ac:dyDescent="0.25">
      <c r="A53" s="8">
        <v>42598.346712962964</v>
      </c>
      <c r="B53" s="24" t="s">
        <v>118</v>
      </c>
      <c r="C53" s="24" t="s">
        <v>572</v>
      </c>
      <c r="D53" s="24">
        <v>1300000</v>
      </c>
      <c r="E53" s="24" t="s">
        <v>155</v>
      </c>
      <c r="F53" s="24" t="str">
        <f t="shared" si="0"/>
        <v>rtdc.l.rtdc.4014:itc</v>
      </c>
      <c r="G53" s="8">
        <f t="shared" si="1"/>
        <v>42598.346712962964</v>
      </c>
    </row>
    <row r="54" spans="1:7" x14ac:dyDescent="0.25">
      <c r="A54" s="8">
        <v>42598.350682870368</v>
      </c>
      <c r="B54" s="24" t="s">
        <v>655</v>
      </c>
      <c r="C54" s="24" t="s">
        <v>347</v>
      </c>
      <c r="D54" s="24">
        <v>2150000</v>
      </c>
      <c r="E54" s="24" t="s">
        <v>276</v>
      </c>
      <c r="F54" s="24" t="str">
        <f t="shared" si="0"/>
        <v>rtdc.l.rtdc.4003:itc</v>
      </c>
      <c r="G54" s="8">
        <f t="shared" si="1"/>
        <v>42598.350682870368</v>
      </c>
    </row>
    <row r="55" spans="1:7" x14ac:dyDescent="0.25">
      <c r="A55" s="8">
        <v>42598.354664351849</v>
      </c>
      <c r="B55" s="24" t="s">
        <v>657</v>
      </c>
      <c r="C55" s="24" t="s">
        <v>645</v>
      </c>
      <c r="D55" s="24">
        <v>1110000</v>
      </c>
      <c r="E55" s="24" t="s">
        <v>251</v>
      </c>
      <c r="F55" s="24" t="str">
        <f t="shared" si="0"/>
        <v>rtdc.l.rtdc.4002:itc</v>
      </c>
      <c r="G55" s="8">
        <f t="shared" si="1"/>
        <v>42598.354664351849</v>
      </c>
    </row>
    <row r="56" spans="1:7" x14ac:dyDescent="0.25">
      <c r="A56" s="8">
        <v>42598.35837962963</v>
      </c>
      <c r="B56" s="24" t="s">
        <v>93</v>
      </c>
      <c r="C56" s="24" t="s">
        <v>574</v>
      </c>
      <c r="D56" s="24">
        <v>1300000</v>
      </c>
      <c r="E56" s="24" t="s">
        <v>155</v>
      </c>
      <c r="F56" s="24" t="str">
        <f t="shared" si="0"/>
        <v>rtdc.l.rtdc.4013:itc</v>
      </c>
      <c r="G56" s="8">
        <f t="shared" si="1"/>
        <v>42598.35837962963</v>
      </c>
    </row>
    <row r="57" spans="1:7" x14ac:dyDescent="0.25">
      <c r="A57" s="8">
        <v>42598.36383101852</v>
      </c>
      <c r="B57" s="24" t="s">
        <v>95</v>
      </c>
      <c r="C57" s="24" t="s">
        <v>335</v>
      </c>
      <c r="D57" s="24">
        <v>930000</v>
      </c>
      <c r="E57" s="24" t="s">
        <v>666</v>
      </c>
      <c r="F57" s="24" t="str">
        <f t="shared" si="0"/>
        <v>rtdc.l.rtdc.4030:itc</v>
      </c>
      <c r="G57" s="8">
        <f t="shared" si="1"/>
        <v>42598.36383101852</v>
      </c>
    </row>
    <row r="58" spans="1:7" x14ac:dyDescent="0.25">
      <c r="A58" s="8">
        <v>42598.363935185182</v>
      </c>
      <c r="B58" s="24" t="s">
        <v>120</v>
      </c>
      <c r="C58" s="24" t="s">
        <v>351</v>
      </c>
      <c r="D58" s="24">
        <v>2030000</v>
      </c>
      <c r="E58" s="24" t="s">
        <v>664</v>
      </c>
      <c r="F58" s="24" t="str">
        <f t="shared" si="0"/>
        <v>rtdc.l.rtdc.4031:itc</v>
      </c>
      <c r="G58" s="8">
        <f t="shared" si="1"/>
        <v>42598.363935185182</v>
      </c>
    </row>
    <row r="59" spans="1:7" x14ac:dyDescent="0.25">
      <c r="A59" s="8">
        <v>42598.374745370369</v>
      </c>
      <c r="B59" s="24" t="s">
        <v>227</v>
      </c>
      <c r="C59" s="24" t="s">
        <v>355</v>
      </c>
      <c r="D59" s="24">
        <v>1240000</v>
      </c>
      <c r="E59" s="24" t="s">
        <v>667</v>
      </c>
      <c r="F59" s="24" t="str">
        <f t="shared" si="0"/>
        <v>rtdc.l.rtdc.4011:itc</v>
      </c>
      <c r="G59" s="8">
        <f t="shared" si="1"/>
        <v>42598.374745370369</v>
      </c>
    </row>
    <row r="60" spans="1:7" x14ac:dyDescent="0.25">
      <c r="A60" s="8">
        <v>42598.375254629631</v>
      </c>
      <c r="B60" s="24" t="s">
        <v>227</v>
      </c>
      <c r="C60" s="24" t="s">
        <v>355</v>
      </c>
      <c r="D60" s="24">
        <v>1240000</v>
      </c>
      <c r="E60" s="24" t="s">
        <v>667</v>
      </c>
      <c r="F60" s="24" t="str">
        <f t="shared" si="0"/>
        <v>rtdc.l.rtdc.4011:itc</v>
      </c>
      <c r="G60" s="8">
        <f t="shared" si="1"/>
        <v>42598.375254629631</v>
      </c>
    </row>
    <row r="61" spans="1:7" x14ac:dyDescent="0.25">
      <c r="A61" s="8">
        <v>42598.376516203702</v>
      </c>
      <c r="B61" s="24" t="s">
        <v>227</v>
      </c>
      <c r="C61" s="24" t="s">
        <v>355</v>
      </c>
      <c r="D61" s="24">
        <v>1240000</v>
      </c>
      <c r="E61" s="24" t="s">
        <v>667</v>
      </c>
      <c r="F61" s="24" t="str">
        <f t="shared" si="0"/>
        <v>rtdc.l.rtdc.4011:itc</v>
      </c>
      <c r="G61" s="8">
        <f t="shared" si="1"/>
        <v>42598.376516203702</v>
      </c>
    </row>
    <row r="62" spans="1:7" x14ac:dyDescent="0.25">
      <c r="A62" s="8">
        <v>42598.377164351848</v>
      </c>
      <c r="B62" s="24" t="s">
        <v>234</v>
      </c>
      <c r="C62" s="24" t="s">
        <v>339</v>
      </c>
      <c r="D62" s="24">
        <v>1090000</v>
      </c>
      <c r="E62" s="24" t="s">
        <v>277</v>
      </c>
      <c r="F62" s="24" t="str">
        <f t="shared" si="0"/>
        <v>rtdc.l.rtdc.4010:itc</v>
      </c>
      <c r="G62" s="8">
        <f t="shared" si="1"/>
        <v>42598.377164351848</v>
      </c>
    </row>
    <row r="63" spans="1:7" x14ac:dyDescent="0.25">
      <c r="A63" s="8">
        <v>42598.38318287037</v>
      </c>
      <c r="B63" s="24" t="s">
        <v>228</v>
      </c>
      <c r="C63" s="24" t="s">
        <v>345</v>
      </c>
      <c r="D63" s="24">
        <v>1990000</v>
      </c>
      <c r="E63" s="24" t="s">
        <v>207</v>
      </c>
      <c r="F63" s="24" t="str">
        <f t="shared" si="0"/>
        <v>rtdc.l.rtdc.4043:itc</v>
      </c>
      <c r="G63" s="8">
        <f t="shared" si="1"/>
        <v>42598.38318287037</v>
      </c>
    </row>
    <row r="64" spans="1:7" x14ac:dyDescent="0.25">
      <c r="A64" s="30">
        <v>42598.383611111109</v>
      </c>
      <c r="B64" s="24" t="s">
        <v>660</v>
      </c>
      <c r="C64" s="24" t="s">
        <v>361</v>
      </c>
      <c r="D64" s="24">
        <v>900000</v>
      </c>
      <c r="E64" s="24" t="s">
        <v>278</v>
      </c>
      <c r="F64" s="24" t="str">
        <f t="shared" si="0"/>
        <v>rtdc.l.rtdc.4018:itc</v>
      </c>
      <c r="G64" s="8">
        <f t="shared" si="1"/>
        <v>42598.383611111109</v>
      </c>
    </row>
    <row r="65" spans="1:7" x14ac:dyDescent="0.25">
      <c r="A65" s="8">
        <v>42598.385694444441</v>
      </c>
      <c r="B65" s="24" t="s">
        <v>118</v>
      </c>
      <c r="C65" s="24" t="s">
        <v>576</v>
      </c>
      <c r="D65" s="24">
        <v>1300000</v>
      </c>
      <c r="E65" s="24" t="s">
        <v>155</v>
      </c>
      <c r="F65" s="24" t="str">
        <f t="shared" si="0"/>
        <v>rtdc.l.rtdc.4014:itc</v>
      </c>
      <c r="G65" s="8">
        <f t="shared" si="1"/>
        <v>42598.385694444441</v>
      </c>
    </row>
    <row r="66" spans="1:7" x14ac:dyDescent="0.25">
      <c r="A66" s="8">
        <v>42598.390081018515</v>
      </c>
      <c r="B66" s="24" t="s">
        <v>662</v>
      </c>
      <c r="C66" s="24" t="s">
        <v>348</v>
      </c>
      <c r="D66" s="24">
        <v>2150000</v>
      </c>
      <c r="E66" s="24" t="s">
        <v>276</v>
      </c>
      <c r="F66" s="24" t="str">
        <f t="shared" ref="F66:F129" si="2">B66</f>
        <v>rtdc.l.rtdc.4004:itc</v>
      </c>
      <c r="G66" s="8">
        <f t="shared" ref="G66:G129" si="3">A66</f>
        <v>42598.390081018515</v>
      </c>
    </row>
    <row r="67" spans="1:7" x14ac:dyDescent="0.25">
      <c r="A67" s="8">
        <v>42598.393009259256</v>
      </c>
      <c r="B67" s="24" t="s">
        <v>172</v>
      </c>
      <c r="C67" s="24" t="s">
        <v>368</v>
      </c>
      <c r="D67" s="24">
        <v>1260000</v>
      </c>
      <c r="E67" s="24" t="s">
        <v>232</v>
      </c>
      <c r="F67" s="24" t="str">
        <f t="shared" si="2"/>
        <v>rtdc.l.rtdc.4038:itc</v>
      </c>
      <c r="G67" s="8">
        <f t="shared" si="3"/>
        <v>42598.393009259256</v>
      </c>
    </row>
    <row r="68" spans="1:7" x14ac:dyDescent="0.25">
      <c r="A68" s="8">
        <v>42598.397499999999</v>
      </c>
      <c r="B68" s="24" t="s">
        <v>234</v>
      </c>
      <c r="C68" s="24" t="s">
        <v>339</v>
      </c>
      <c r="D68" s="24">
        <v>1090000</v>
      </c>
      <c r="E68" s="24" t="s">
        <v>277</v>
      </c>
      <c r="F68" s="24" t="str">
        <f t="shared" si="2"/>
        <v>rtdc.l.rtdc.4010:itc</v>
      </c>
      <c r="G68" s="8">
        <f t="shared" si="3"/>
        <v>42598.397499999999</v>
      </c>
    </row>
    <row r="69" spans="1:7" x14ac:dyDescent="0.25">
      <c r="A69" s="8">
        <v>42598.400370370371</v>
      </c>
      <c r="B69" s="24" t="s">
        <v>93</v>
      </c>
      <c r="C69" s="24" t="s">
        <v>579</v>
      </c>
      <c r="D69" s="24">
        <v>1300000</v>
      </c>
      <c r="E69" s="24" t="s">
        <v>155</v>
      </c>
      <c r="F69" s="24" t="str">
        <f t="shared" si="2"/>
        <v>rtdc.l.rtdc.4013:itc</v>
      </c>
      <c r="G69" s="8">
        <f t="shared" si="3"/>
        <v>42598.400370370371</v>
      </c>
    </row>
    <row r="70" spans="1:7" x14ac:dyDescent="0.25">
      <c r="A70" s="8">
        <v>42598.400983796295</v>
      </c>
      <c r="B70" s="24" t="s">
        <v>172</v>
      </c>
      <c r="C70" s="24" t="s">
        <v>368</v>
      </c>
      <c r="D70" s="24">
        <v>1260000</v>
      </c>
      <c r="E70" s="24" t="s">
        <v>232</v>
      </c>
      <c r="F70" s="24" t="str">
        <f t="shared" si="2"/>
        <v>rtdc.l.rtdc.4038:itc</v>
      </c>
      <c r="G70" s="8">
        <f t="shared" si="3"/>
        <v>42598.400983796295</v>
      </c>
    </row>
    <row r="71" spans="1:7" x14ac:dyDescent="0.25">
      <c r="A71" s="8">
        <v>42598.401250000003</v>
      </c>
      <c r="B71" s="24" t="s">
        <v>121</v>
      </c>
      <c r="C71" s="24" t="s">
        <v>353</v>
      </c>
      <c r="D71" s="24">
        <v>2030000</v>
      </c>
      <c r="E71" s="24" t="s">
        <v>664</v>
      </c>
      <c r="F71" s="24" t="str">
        <f t="shared" si="2"/>
        <v>rtdc.l.rtdc.4032:itc</v>
      </c>
      <c r="G71" s="8">
        <f t="shared" si="3"/>
        <v>42598.401250000003</v>
      </c>
    </row>
    <row r="72" spans="1:7" x14ac:dyDescent="0.25">
      <c r="A72" s="8">
        <v>42598.405243055553</v>
      </c>
      <c r="B72" s="24" t="s">
        <v>94</v>
      </c>
      <c r="C72" s="24" t="s">
        <v>376</v>
      </c>
      <c r="D72" s="24">
        <v>930000</v>
      </c>
      <c r="E72" s="24" t="s">
        <v>666</v>
      </c>
      <c r="F72" s="24" t="str">
        <f t="shared" si="2"/>
        <v>rtdc.l.rtdc.4029:itc</v>
      </c>
      <c r="G72" s="8">
        <f t="shared" si="3"/>
        <v>42598.405243055553</v>
      </c>
    </row>
    <row r="73" spans="1:7" x14ac:dyDescent="0.25">
      <c r="A73" s="8">
        <v>42598.409108796295</v>
      </c>
      <c r="B73" s="24" t="s">
        <v>662</v>
      </c>
      <c r="C73" s="24" t="s">
        <v>348</v>
      </c>
      <c r="D73" s="24">
        <v>2150000</v>
      </c>
      <c r="E73" s="24" t="s">
        <v>276</v>
      </c>
      <c r="F73" s="24" t="str">
        <f t="shared" si="2"/>
        <v>rtdc.l.rtdc.4004:itc</v>
      </c>
      <c r="G73" s="8">
        <f t="shared" si="3"/>
        <v>42598.409108796295</v>
      </c>
    </row>
    <row r="74" spans="1:7" x14ac:dyDescent="0.25">
      <c r="A74" s="8">
        <v>42598.411030092589</v>
      </c>
      <c r="B74" s="24" t="s">
        <v>656</v>
      </c>
      <c r="C74" s="24" t="s">
        <v>358</v>
      </c>
      <c r="D74" s="24">
        <v>1240000</v>
      </c>
      <c r="E74" s="24" t="s">
        <v>667</v>
      </c>
      <c r="F74" s="24" t="str">
        <f t="shared" si="2"/>
        <v>rtdc.l.rtdc.4012:itc</v>
      </c>
      <c r="G74" s="8">
        <f t="shared" si="3"/>
        <v>42598.411030092589</v>
      </c>
    </row>
    <row r="75" spans="1:7" x14ac:dyDescent="0.25">
      <c r="A75" s="8">
        <v>42598.418402777781</v>
      </c>
      <c r="B75" s="24" t="s">
        <v>231</v>
      </c>
      <c r="C75" s="24" t="s">
        <v>379</v>
      </c>
      <c r="D75" s="24">
        <v>1090000</v>
      </c>
      <c r="E75" s="24" t="s">
        <v>277</v>
      </c>
      <c r="F75" s="24" t="str">
        <f t="shared" si="2"/>
        <v>rtdc.l.rtdc.4009:itc</v>
      </c>
      <c r="G75" s="8">
        <f t="shared" si="3"/>
        <v>42598.418402777781</v>
      </c>
    </row>
    <row r="76" spans="1:7" x14ac:dyDescent="0.25">
      <c r="A76" s="8">
        <v>42598.420243055552</v>
      </c>
      <c r="B76" s="24" t="s">
        <v>656</v>
      </c>
      <c r="C76" s="24" t="s">
        <v>358</v>
      </c>
      <c r="D76" s="24">
        <v>1240000</v>
      </c>
      <c r="E76" s="24" t="s">
        <v>667</v>
      </c>
      <c r="F76" s="24" t="str">
        <f t="shared" si="2"/>
        <v>rtdc.l.rtdc.4012:itc</v>
      </c>
      <c r="G76" s="8">
        <f t="shared" si="3"/>
        <v>42598.420243055552</v>
      </c>
    </row>
    <row r="77" spans="1:7" x14ac:dyDescent="0.25">
      <c r="A77" s="8">
        <v>42598.422743055555</v>
      </c>
      <c r="B77" s="24" t="s">
        <v>659</v>
      </c>
      <c r="C77" s="24" t="s">
        <v>363</v>
      </c>
      <c r="D77" s="24">
        <v>900000</v>
      </c>
      <c r="E77" s="24" t="s">
        <v>278</v>
      </c>
      <c r="F77" s="24" t="str">
        <f t="shared" si="2"/>
        <v>rtdc.l.rtdc.4017:itc</v>
      </c>
      <c r="G77" s="8">
        <f t="shared" si="3"/>
        <v>42598.422743055555</v>
      </c>
    </row>
    <row r="78" spans="1:7" x14ac:dyDescent="0.25">
      <c r="A78" s="8">
        <v>42598.425891203704</v>
      </c>
      <c r="B78" s="24" t="s">
        <v>226</v>
      </c>
      <c r="C78" s="24" t="s">
        <v>383</v>
      </c>
      <c r="D78" s="24">
        <v>1990000</v>
      </c>
      <c r="E78" s="24" t="s">
        <v>207</v>
      </c>
      <c r="F78" s="24" t="str">
        <f t="shared" si="2"/>
        <v>rtdc.l.rtdc.4044:itc</v>
      </c>
      <c r="G78" s="8">
        <f t="shared" si="3"/>
        <v>42598.425891203704</v>
      </c>
    </row>
    <row r="79" spans="1:7" x14ac:dyDescent="0.25">
      <c r="A79" s="8">
        <v>42598.428969907407</v>
      </c>
      <c r="B79" s="24" t="s">
        <v>118</v>
      </c>
      <c r="C79" s="24" t="s">
        <v>582</v>
      </c>
      <c r="D79" s="24">
        <v>1300000</v>
      </c>
      <c r="E79" s="24" t="s">
        <v>155</v>
      </c>
      <c r="F79" s="24" t="str">
        <f t="shared" si="2"/>
        <v>rtdc.l.rtdc.4014:itc</v>
      </c>
      <c r="G79" s="8">
        <f t="shared" si="3"/>
        <v>42598.428969907407</v>
      </c>
    </row>
    <row r="80" spans="1:7" x14ac:dyDescent="0.25">
      <c r="A80" s="8">
        <v>42598.431215277778</v>
      </c>
      <c r="B80" s="24" t="s">
        <v>161</v>
      </c>
      <c r="C80" s="24" t="s">
        <v>373</v>
      </c>
      <c r="D80" s="24">
        <v>1260000</v>
      </c>
      <c r="E80" s="24" t="s">
        <v>232</v>
      </c>
      <c r="F80" s="24" t="str">
        <f t="shared" si="2"/>
        <v>rtdc.l.rtdc.4037:itc</v>
      </c>
      <c r="G80" s="8">
        <f t="shared" si="3"/>
        <v>42598.431215277778</v>
      </c>
    </row>
    <row r="81" spans="1:7" x14ac:dyDescent="0.25">
      <c r="A81" s="8">
        <v>42598.431331018517</v>
      </c>
      <c r="B81" s="24" t="s">
        <v>655</v>
      </c>
      <c r="C81" s="24" t="s">
        <v>386</v>
      </c>
      <c r="D81" s="24">
        <v>1100000</v>
      </c>
      <c r="E81" s="24" t="s">
        <v>668</v>
      </c>
      <c r="F81" s="24" t="str">
        <f t="shared" si="2"/>
        <v>rtdc.l.rtdc.4003:itc</v>
      </c>
      <c r="G81" s="8">
        <f t="shared" si="3"/>
        <v>42598.431331018517</v>
      </c>
    </row>
    <row r="82" spans="1:7" x14ac:dyDescent="0.25">
      <c r="A82" s="8">
        <v>42598.435694444444</v>
      </c>
      <c r="B82" s="24" t="s">
        <v>655</v>
      </c>
      <c r="C82" s="24" t="s">
        <v>386</v>
      </c>
      <c r="D82" s="24">
        <v>1110000</v>
      </c>
      <c r="E82" s="24" t="s">
        <v>251</v>
      </c>
      <c r="F82" s="24" t="str">
        <f t="shared" si="2"/>
        <v>rtdc.l.rtdc.4003:itc</v>
      </c>
      <c r="G82" s="8">
        <f t="shared" si="3"/>
        <v>42598.435694444444</v>
      </c>
    </row>
    <row r="83" spans="1:7" x14ac:dyDescent="0.25">
      <c r="A83" s="8">
        <v>42598.436678240738</v>
      </c>
      <c r="B83" s="24" t="s">
        <v>659</v>
      </c>
      <c r="C83" s="24" t="s">
        <v>363</v>
      </c>
      <c r="D83" s="24">
        <v>900000</v>
      </c>
      <c r="E83" s="24" t="s">
        <v>278</v>
      </c>
      <c r="F83" s="24" t="str">
        <f t="shared" si="2"/>
        <v>rtdc.l.rtdc.4017:itc</v>
      </c>
      <c r="G83" s="8">
        <f t="shared" si="3"/>
        <v>42598.436678240738</v>
      </c>
    </row>
    <row r="84" spans="1:7" x14ac:dyDescent="0.25">
      <c r="A84" s="8">
        <v>42598.437280092592</v>
      </c>
      <c r="B84" s="24" t="s">
        <v>655</v>
      </c>
      <c r="C84" s="24" t="s">
        <v>386</v>
      </c>
      <c r="D84" s="24">
        <v>1110000</v>
      </c>
      <c r="E84" s="24" t="s">
        <v>251</v>
      </c>
      <c r="F84" s="24" t="str">
        <f t="shared" si="2"/>
        <v>rtdc.l.rtdc.4003:itc</v>
      </c>
      <c r="G84" s="8">
        <f t="shared" si="3"/>
        <v>42598.437280092592</v>
      </c>
    </row>
    <row r="85" spans="1:7" x14ac:dyDescent="0.25">
      <c r="A85" s="8">
        <v>42598.440706018519</v>
      </c>
      <c r="B85" s="24" t="s">
        <v>95</v>
      </c>
      <c r="C85" s="24" t="s">
        <v>378</v>
      </c>
      <c r="D85" s="24">
        <v>930000</v>
      </c>
      <c r="E85" s="24" t="s">
        <v>666</v>
      </c>
      <c r="F85" s="24" t="str">
        <f t="shared" si="2"/>
        <v>rtdc.l.rtdc.4030:itc</v>
      </c>
      <c r="G85" s="8">
        <f t="shared" si="3"/>
        <v>42598.440706018519</v>
      </c>
    </row>
    <row r="86" spans="1:7" x14ac:dyDescent="0.25">
      <c r="A86" s="8">
        <v>42598.441782407404</v>
      </c>
      <c r="B86" s="24" t="s">
        <v>93</v>
      </c>
      <c r="C86" s="24" t="s">
        <v>584</v>
      </c>
      <c r="D86" s="24">
        <v>1300000</v>
      </c>
      <c r="E86" s="24" t="s">
        <v>155</v>
      </c>
      <c r="F86" s="24" t="str">
        <f t="shared" si="2"/>
        <v>rtdc.l.rtdc.4013:itc</v>
      </c>
      <c r="G86" s="8">
        <f t="shared" si="3"/>
        <v>42598.441782407404</v>
      </c>
    </row>
    <row r="87" spans="1:7" x14ac:dyDescent="0.25">
      <c r="A87" s="8">
        <v>42598.447314814817</v>
      </c>
      <c r="B87" s="24" t="s">
        <v>227</v>
      </c>
      <c r="C87" s="24" t="s">
        <v>388</v>
      </c>
      <c r="D87" s="24">
        <v>1240000</v>
      </c>
      <c r="E87" s="24" t="s">
        <v>667</v>
      </c>
      <c r="F87" s="24" t="str">
        <f t="shared" si="2"/>
        <v>rtdc.l.rtdc.4011:itc</v>
      </c>
      <c r="G87" s="8">
        <f t="shared" si="3"/>
        <v>42598.447314814817</v>
      </c>
    </row>
    <row r="88" spans="1:7" x14ac:dyDescent="0.25">
      <c r="A88" s="8">
        <v>42598.451504629629</v>
      </c>
      <c r="B88" s="24" t="s">
        <v>234</v>
      </c>
      <c r="C88" s="24" t="s">
        <v>381</v>
      </c>
      <c r="D88" s="24">
        <v>1090000</v>
      </c>
      <c r="E88" s="24" t="s">
        <v>277</v>
      </c>
      <c r="F88" s="24" t="str">
        <f t="shared" si="2"/>
        <v>rtdc.l.rtdc.4010:itc</v>
      </c>
      <c r="G88" s="8">
        <f t="shared" si="3"/>
        <v>42598.451504629629</v>
      </c>
    </row>
    <row r="89" spans="1:7" x14ac:dyDescent="0.25">
      <c r="A89" s="8">
        <v>42598.452766203707</v>
      </c>
      <c r="B89" s="24" t="s">
        <v>234</v>
      </c>
      <c r="C89" s="24" t="s">
        <v>381</v>
      </c>
      <c r="D89" s="24">
        <v>1090000</v>
      </c>
      <c r="E89" s="24" t="s">
        <v>277</v>
      </c>
      <c r="F89" s="24" t="str">
        <f t="shared" si="2"/>
        <v>rtdc.l.rtdc.4010:itc</v>
      </c>
      <c r="G89" s="8">
        <f t="shared" si="3"/>
        <v>42598.452766203707</v>
      </c>
    </row>
    <row r="90" spans="1:7" x14ac:dyDescent="0.25">
      <c r="A90" s="8">
        <v>42598.45689814815</v>
      </c>
      <c r="B90" s="24" t="s">
        <v>660</v>
      </c>
      <c r="C90" s="24" t="s">
        <v>392</v>
      </c>
      <c r="D90" s="24">
        <v>1280000</v>
      </c>
      <c r="E90" s="24" t="s">
        <v>235</v>
      </c>
      <c r="F90" s="24" t="str">
        <f t="shared" si="2"/>
        <v>rtdc.l.rtdc.4018:itc</v>
      </c>
      <c r="G90" s="8">
        <f t="shared" si="3"/>
        <v>42598.45689814815</v>
      </c>
    </row>
    <row r="91" spans="1:7" x14ac:dyDescent="0.25">
      <c r="A91" s="8">
        <v>42598.458680555559</v>
      </c>
      <c r="B91" s="24" t="s">
        <v>228</v>
      </c>
      <c r="C91" s="24" t="s">
        <v>384</v>
      </c>
      <c r="D91" s="24">
        <v>1990000</v>
      </c>
      <c r="E91" s="24" t="s">
        <v>207</v>
      </c>
      <c r="F91" s="24" t="str">
        <f t="shared" si="2"/>
        <v>rtdc.l.rtdc.4043:itc</v>
      </c>
      <c r="G91" s="8">
        <f t="shared" si="3"/>
        <v>42598.458680555559</v>
      </c>
    </row>
    <row r="92" spans="1:7" x14ac:dyDescent="0.25">
      <c r="A92" s="8">
        <v>42598.467083333337</v>
      </c>
      <c r="B92" s="24" t="s">
        <v>118</v>
      </c>
      <c r="C92" s="24" t="s">
        <v>587</v>
      </c>
      <c r="D92" s="24">
        <v>1300000</v>
      </c>
      <c r="E92" s="24" t="s">
        <v>155</v>
      </c>
      <c r="F92" s="24" t="str">
        <f t="shared" si="2"/>
        <v>rtdc.l.rtdc.4014:itc</v>
      </c>
      <c r="G92" s="8">
        <f t="shared" si="3"/>
        <v>42598.467083333337</v>
      </c>
    </row>
    <row r="93" spans="1:7" x14ac:dyDescent="0.25">
      <c r="A93" s="8">
        <v>42598.470520833333</v>
      </c>
      <c r="B93" s="24" t="s">
        <v>172</v>
      </c>
      <c r="C93" s="24" t="s">
        <v>395</v>
      </c>
      <c r="D93" s="24">
        <v>880000</v>
      </c>
      <c r="E93" s="24" t="s">
        <v>208</v>
      </c>
      <c r="F93" s="24" t="str">
        <f t="shared" si="2"/>
        <v>rtdc.l.rtdc.4038:itc</v>
      </c>
      <c r="G93" s="8">
        <f t="shared" si="3"/>
        <v>42598.470520833333</v>
      </c>
    </row>
    <row r="94" spans="1:7" x14ac:dyDescent="0.25">
      <c r="A94" s="8">
        <v>42598.474293981482</v>
      </c>
      <c r="B94" s="24" t="s">
        <v>662</v>
      </c>
      <c r="C94" s="24" t="s">
        <v>387</v>
      </c>
      <c r="D94" s="24">
        <v>1110000</v>
      </c>
      <c r="E94" s="24" t="s">
        <v>251</v>
      </c>
      <c r="F94" s="24" t="str">
        <f t="shared" si="2"/>
        <v>rtdc.l.rtdc.4004:itc</v>
      </c>
      <c r="G94" s="8">
        <f t="shared" si="3"/>
        <v>42598.474293981482</v>
      </c>
    </row>
    <row r="95" spans="1:7" x14ac:dyDescent="0.25">
      <c r="A95" s="8">
        <v>42598.478726851848</v>
      </c>
      <c r="B95" s="24" t="s">
        <v>656</v>
      </c>
      <c r="C95" s="24" t="s">
        <v>390</v>
      </c>
      <c r="D95" s="24">
        <v>1240000</v>
      </c>
      <c r="E95" s="24" t="s">
        <v>667</v>
      </c>
      <c r="F95" s="24" t="str">
        <f t="shared" si="2"/>
        <v>rtdc.l.rtdc.4012:itc</v>
      </c>
      <c r="G95" s="8">
        <f t="shared" si="3"/>
        <v>42598.478726851848</v>
      </c>
    </row>
    <row r="96" spans="1:7" x14ac:dyDescent="0.25">
      <c r="A96" s="8">
        <v>42598.478993055556</v>
      </c>
      <c r="B96" s="24" t="s">
        <v>94</v>
      </c>
      <c r="C96" s="24" t="s">
        <v>398</v>
      </c>
      <c r="D96" s="24">
        <v>1540000</v>
      </c>
      <c r="E96" s="24" t="s">
        <v>280</v>
      </c>
      <c r="F96" s="24" t="str">
        <f t="shared" si="2"/>
        <v>rtdc.l.rtdc.4029:itc</v>
      </c>
      <c r="G96" s="8">
        <f t="shared" si="3"/>
        <v>42598.478993055556</v>
      </c>
    </row>
    <row r="97" spans="1:7" x14ac:dyDescent="0.25">
      <c r="A97" s="8">
        <v>42598.484224537038</v>
      </c>
      <c r="B97" s="24" t="s">
        <v>93</v>
      </c>
      <c r="C97" s="24" t="s">
        <v>589</v>
      </c>
      <c r="D97" s="24">
        <v>1300000</v>
      </c>
      <c r="E97" s="24" t="s">
        <v>155</v>
      </c>
      <c r="F97" s="24" t="str">
        <f t="shared" si="2"/>
        <v>rtdc.l.rtdc.4013:itc</v>
      </c>
      <c r="G97" s="8">
        <f t="shared" si="3"/>
        <v>42598.484224537038</v>
      </c>
    </row>
    <row r="98" spans="1:7" x14ac:dyDescent="0.25">
      <c r="A98" s="8">
        <v>42598.48646990741</v>
      </c>
      <c r="B98" s="24" t="s">
        <v>659</v>
      </c>
      <c r="C98" s="24" t="s">
        <v>394</v>
      </c>
      <c r="D98" s="24">
        <v>1280000</v>
      </c>
      <c r="E98" s="24" t="s">
        <v>235</v>
      </c>
      <c r="F98" s="24" t="str">
        <f t="shared" si="2"/>
        <v>rtdc.l.rtdc.4017:itc</v>
      </c>
      <c r="G98" s="8">
        <f t="shared" si="3"/>
        <v>42598.48646990741</v>
      </c>
    </row>
    <row r="99" spans="1:7" x14ac:dyDescent="0.25">
      <c r="A99" s="8">
        <v>42598.48709490741</v>
      </c>
      <c r="B99" s="24" t="s">
        <v>231</v>
      </c>
      <c r="C99" s="24" t="s">
        <v>400</v>
      </c>
      <c r="D99" s="24">
        <v>2090000</v>
      </c>
      <c r="E99" s="24" t="s">
        <v>279</v>
      </c>
      <c r="F99" s="24" t="str">
        <f t="shared" si="2"/>
        <v>rtdc.l.rtdc.4009:itc</v>
      </c>
      <c r="G99" s="8">
        <f t="shared" si="3"/>
        <v>42598.48709490741</v>
      </c>
    </row>
    <row r="100" spans="1:7" x14ac:dyDescent="0.25">
      <c r="A100" s="8">
        <v>42598.498599537037</v>
      </c>
      <c r="B100" s="24" t="s">
        <v>226</v>
      </c>
      <c r="C100" s="24" t="s">
        <v>403</v>
      </c>
      <c r="D100" s="24">
        <v>1810000</v>
      </c>
      <c r="E100" s="24" t="s">
        <v>237</v>
      </c>
      <c r="F100" s="24" t="str">
        <f t="shared" si="2"/>
        <v>rtdc.l.rtdc.4044:itc</v>
      </c>
      <c r="G100" s="8">
        <f t="shared" si="3"/>
        <v>42598.498599537037</v>
      </c>
    </row>
    <row r="101" spans="1:7" x14ac:dyDescent="0.25">
      <c r="A101" s="8">
        <v>42598.505439814813</v>
      </c>
      <c r="B101" s="24" t="s">
        <v>161</v>
      </c>
      <c r="C101" s="24" t="s">
        <v>397</v>
      </c>
      <c r="D101" s="24">
        <v>880000</v>
      </c>
      <c r="E101" s="24" t="s">
        <v>208</v>
      </c>
      <c r="F101" s="24" t="str">
        <f t="shared" si="2"/>
        <v>rtdc.l.rtdc.4037:itc</v>
      </c>
      <c r="G101" s="8">
        <f t="shared" si="3"/>
        <v>42598.505439814813</v>
      </c>
    </row>
    <row r="102" spans="1:7" x14ac:dyDescent="0.25">
      <c r="A102" s="8">
        <v>42598.508113425924</v>
      </c>
      <c r="B102" s="24" t="s">
        <v>118</v>
      </c>
      <c r="C102" s="24" t="s">
        <v>591</v>
      </c>
      <c r="D102" s="24">
        <v>1300000</v>
      </c>
      <c r="E102" s="24" t="s">
        <v>155</v>
      </c>
      <c r="F102" s="24" t="str">
        <f t="shared" si="2"/>
        <v>rtdc.l.rtdc.4014:itc</v>
      </c>
      <c r="G102" s="8">
        <f t="shared" si="3"/>
        <v>42598.508113425924</v>
      </c>
    </row>
    <row r="103" spans="1:7" x14ac:dyDescent="0.25">
      <c r="A103" s="8">
        <v>42598.511041666665</v>
      </c>
      <c r="B103" s="24" t="s">
        <v>655</v>
      </c>
      <c r="C103" s="24" t="s">
        <v>406</v>
      </c>
      <c r="D103" s="24">
        <v>1520000</v>
      </c>
      <c r="E103" s="24" t="s">
        <v>209</v>
      </c>
      <c r="F103" s="24" t="str">
        <f t="shared" si="2"/>
        <v>rtdc.l.rtdc.4003:itc</v>
      </c>
      <c r="G103" s="8">
        <f t="shared" si="3"/>
        <v>42598.511041666665</v>
      </c>
    </row>
    <row r="104" spans="1:7" x14ac:dyDescent="0.25">
      <c r="A104" s="8">
        <v>42598.511377314811</v>
      </c>
      <c r="B104" s="24" t="s">
        <v>95</v>
      </c>
      <c r="C104" s="24" t="s">
        <v>399</v>
      </c>
      <c r="D104" s="24">
        <v>1540000</v>
      </c>
      <c r="E104" s="24" t="s">
        <v>280</v>
      </c>
      <c r="F104" s="24" t="str">
        <f t="shared" si="2"/>
        <v>rtdc.l.rtdc.4030:itc</v>
      </c>
      <c r="G104" s="8">
        <f t="shared" si="3"/>
        <v>42598.511377314811</v>
      </c>
    </row>
    <row r="105" spans="1:7" x14ac:dyDescent="0.25">
      <c r="A105" s="8">
        <v>42598.520960648151</v>
      </c>
      <c r="B105" s="24" t="s">
        <v>234</v>
      </c>
      <c r="C105" s="24" t="s">
        <v>402</v>
      </c>
      <c r="D105" s="24">
        <v>2090000</v>
      </c>
      <c r="E105" s="24" t="s">
        <v>279</v>
      </c>
      <c r="F105" s="24" t="str">
        <f t="shared" si="2"/>
        <v>rtdc.l.rtdc.4010:itc</v>
      </c>
      <c r="G105" s="8">
        <f t="shared" si="3"/>
        <v>42598.520960648151</v>
      </c>
    </row>
    <row r="106" spans="1:7" x14ac:dyDescent="0.25">
      <c r="A106" s="8">
        <v>42598.525104166663</v>
      </c>
      <c r="B106" s="24" t="s">
        <v>227</v>
      </c>
      <c r="C106" s="24" t="s">
        <v>411</v>
      </c>
      <c r="D106" s="24">
        <v>1240000</v>
      </c>
      <c r="E106" s="24" t="s">
        <v>667</v>
      </c>
      <c r="F106" s="24" t="str">
        <f t="shared" si="2"/>
        <v>rtdc.l.rtdc.4011:itc</v>
      </c>
      <c r="G106" s="8">
        <f t="shared" si="3"/>
        <v>42598.525104166663</v>
      </c>
    </row>
    <row r="107" spans="1:7" x14ac:dyDescent="0.25">
      <c r="A107" s="8">
        <v>42598.525787037041</v>
      </c>
      <c r="B107" s="24" t="s">
        <v>227</v>
      </c>
      <c r="C107" s="24" t="s">
        <v>410</v>
      </c>
      <c r="D107" s="24">
        <v>1240000</v>
      </c>
      <c r="E107" s="24" t="s">
        <v>667</v>
      </c>
      <c r="F107" s="24" t="str">
        <f t="shared" si="2"/>
        <v>rtdc.l.rtdc.4011:itc</v>
      </c>
      <c r="G107" s="8">
        <f t="shared" si="3"/>
        <v>42598.525787037041</v>
      </c>
    </row>
    <row r="108" spans="1:7" x14ac:dyDescent="0.25">
      <c r="A108" s="8">
        <v>42598.526504629626</v>
      </c>
      <c r="B108" s="24" t="s">
        <v>93</v>
      </c>
      <c r="C108" s="24" t="s">
        <v>594</v>
      </c>
      <c r="D108" s="24">
        <v>1300000</v>
      </c>
      <c r="E108" s="24" t="s">
        <v>155</v>
      </c>
      <c r="F108" s="24" t="str">
        <f t="shared" si="2"/>
        <v>rtdc.l.rtdc.4013:itc</v>
      </c>
      <c r="G108" s="8">
        <f t="shared" si="3"/>
        <v>42598.526504629626</v>
      </c>
    </row>
    <row r="109" spans="1:7" x14ac:dyDescent="0.25">
      <c r="A109" s="8">
        <v>42598.531759259262</v>
      </c>
      <c r="B109" s="24" t="s">
        <v>660</v>
      </c>
      <c r="C109" s="24" t="s">
        <v>412</v>
      </c>
      <c r="D109" s="24">
        <v>1280000</v>
      </c>
      <c r="E109" s="24" t="s">
        <v>235</v>
      </c>
      <c r="F109" s="24" t="str">
        <f t="shared" si="2"/>
        <v>rtdc.l.rtdc.4018:itc</v>
      </c>
      <c r="G109" s="8">
        <f t="shared" si="3"/>
        <v>42598.531759259262</v>
      </c>
    </row>
    <row r="110" spans="1:7" x14ac:dyDescent="0.25">
      <c r="A110" s="8">
        <v>42598.53197916667</v>
      </c>
      <c r="B110" s="24" t="s">
        <v>228</v>
      </c>
      <c r="C110" s="24" t="s">
        <v>404</v>
      </c>
      <c r="D110" s="24">
        <v>1810000</v>
      </c>
      <c r="E110" s="24" t="s">
        <v>237</v>
      </c>
      <c r="F110" s="24" t="str">
        <f t="shared" si="2"/>
        <v>rtdc.l.rtdc.4043:itc</v>
      </c>
      <c r="G110" s="8">
        <f t="shared" si="3"/>
        <v>42598.53197916667</v>
      </c>
    </row>
    <row r="111" spans="1:7" x14ac:dyDescent="0.25">
      <c r="A111" s="8">
        <v>42598.53974537037</v>
      </c>
      <c r="B111" s="24" t="s">
        <v>172</v>
      </c>
      <c r="C111" s="24" t="s">
        <v>416</v>
      </c>
      <c r="D111" s="24">
        <v>880000</v>
      </c>
      <c r="E111" s="24" t="s">
        <v>208</v>
      </c>
      <c r="F111" s="24" t="str">
        <f t="shared" si="2"/>
        <v>rtdc.l.rtdc.4038:itc</v>
      </c>
      <c r="G111" s="8">
        <f t="shared" si="3"/>
        <v>42598.53974537037</v>
      </c>
    </row>
    <row r="112" spans="1:7" x14ac:dyDescent="0.25">
      <c r="A112" s="8">
        <v>42598.541851851849</v>
      </c>
      <c r="B112" s="24" t="s">
        <v>662</v>
      </c>
      <c r="C112" s="24" t="s">
        <v>408</v>
      </c>
      <c r="D112" s="24">
        <v>1520000</v>
      </c>
      <c r="E112" s="24" t="s">
        <v>209</v>
      </c>
      <c r="F112" s="24" t="str">
        <f t="shared" si="2"/>
        <v>rtdc.l.rtdc.4004:itc</v>
      </c>
      <c r="G112" s="8">
        <f t="shared" si="3"/>
        <v>42598.541851851849</v>
      </c>
    </row>
    <row r="113" spans="1:7" x14ac:dyDescent="0.25">
      <c r="A113" s="8">
        <v>42598.54965277778</v>
      </c>
      <c r="B113" s="24" t="s">
        <v>118</v>
      </c>
      <c r="C113" s="24" t="s">
        <v>596</v>
      </c>
      <c r="D113" s="24">
        <v>1770000</v>
      </c>
      <c r="E113" s="24" t="s">
        <v>236</v>
      </c>
      <c r="F113" s="24" t="str">
        <f t="shared" si="2"/>
        <v>rtdc.l.rtdc.4014:itc</v>
      </c>
      <c r="G113" s="8">
        <f t="shared" si="3"/>
        <v>42598.54965277778</v>
      </c>
    </row>
    <row r="114" spans="1:7" x14ac:dyDescent="0.25">
      <c r="A114" s="8">
        <v>42598.551388888889</v>
      </c>
      <c r="B114" s="24" t="s">
        <v>94</v>
      </c>
      <c r="C114" s="24" t="s">
        <v>419</v>
      </c>
      <c r="D114" s="24">
        <v>1540000</v>
      </c>
      <c r="E114" s="24" t="s">
        <v>280</v>
      </c>
      <c r="F114" s="24" t="str">
        <f t="shared" si="2"/>
        <v>rtdc.l.rtdc.4029:itc</v>
      </c>
      <c r="G114" s="8">
        <f t="shared" si="3"/>
        <v>42598.551388888889</v>
      </c>
    </row>
    <row r="115" spans="1:7" x14ac:dyDescent="0.25">
      <c r="A115" s="8">
        <v>42598.556747685187</v>
      </c>
      <c r="B115" s="24" t="s">
        <v>228</v>
      </c>
      <c r="C115" s="24" t="s">
        <v>404</v>
      </c>
      <c r="D115" s="24">
        <v>1810000</v>
      </c>
      <c r="E115" s="24" t="s">
        <v>237</v>
      </c>
      <c r="F115" s="24" t="str">
        <f t="shared" si="2"/>
        <v>rtdc.l.rtdc.4043:itc</v>
      </c>
      <c r="G115" s="8">
        <f t="shared" si="3"/>
        <v>42598.556747685187</v>
      </c>
    </row>
    <row r="116" spans="1:7" x14ac:dyDescent="0.25">
      <c r="A116" s="8">
        <v>42598.557881944442</v>
      </c>
      <c r="B116" s="24" t="s">
        <v>656</v>
      </c>
      <c r="C116" s="24" t="s">
        <v>411</v>
      </c>
      <c r="D116" s="24">
        <v>1240000</v>
      </c>
      <c r="E116" s="24" t="s">
        <v>667</v>
      </c>
      <c r="F116" s="24" t="str">
        <f t="shared" si="2"/>
        <v>rtdc.l.rtdc.4012:itc</v>
      </c>
      <c r="G116" s="8">
        <f t="shared" si="3"/>
        <v>42598.557881944442</v>
      </c>
    </row>
    <row r="117" spans="1:7" x14ac:dyDescent="0.25">
      <c r="A117" s="8">
        <v>42598.559675925928</v>
      </c>
      <c r="B117" s="24" t="s">
        <v>231</v>
      </c>
      <c r="C117" s="24" t="s">
        <v>423</v>
      </c>
      <c r="D117" s="24">
        <v>2090000</v>
      </c>
      <c r="E117" s="24" t="s">
        <v>279</v>
      </c>
      <c r="F117" s="24" t="str">
        <f t="shared" si="2"/>
        <v>rtdc.l.rtdc.4009:itc</v>
      </c>
      <c r="G117" s="8">
        <f t="shared" si="3"/>
        <v>42598.559675925928</v>
      </c>
    </row>
    <row r="118" spans="1:7" x14ac:dyDescent="0.25">
      <c r="A118" s="8">
        <v>42598.568101851852</v>
      </c>
      <c r="B118" s="24" t="s">
        <v>93</v>
      </c>
      <c r="C118" s="24" t="s">
        <v>599</v>
      </c>
      <c r="D118" s="24">
        <v>1770000</v>
      </c>
      <c r="E118" s="24" t="s">
        <v>236</v>
      </c>
      <c r="F118" s="24" t="str">
        <f t="shared" si="2"/>
        <v>rtdc.l.rtdc.4013:itc</v>
      </c>
      <c r="G118" s="8">
        <f t="shared" si="3"/>
        <v>42598.568101851852</v>
      </c>
    </row>
    <row r="119" spans="1:7" x14ac:dyDescent="0.25">
      <c r="A119" s="8">
        <v>42598.569201388891</v>
      </c>
      <c r="B119" s="24" t="s">
        <v>659</v>
      </c>
      <c r="C119" s="24" t="s">
        <v>414</v>
      </c>
      <c r="D119" s="24">
        <v>1280000</v>
      </c>
      <c r="E119" s="24" t="s">
        <v>235</v>
      </c>
      <c r="F119" s="24" t="str">
        <f t="shared" si="2"/>
        <v>rtdc.l.rtdc.4017:itc</v>
      </c>
      <c r="G119" s="8">
        <f t="shared" si="3"/>
        <v>42598.569201388891</v>
      </c>
    </row>
    <row r="120" spans="1:7" x14ac:dyDescent="0.25">
      <c r="A120" s="8">
        <v>42598.574247685188</v>
      </c>
      <c r="B120" s="24" t="s">
        <v>226</v>
      </c>
      <c r="C120" s="24" t="s">
        <v>426</v>
      </c>
      <c r="D120" s="24">
        <v>1810000</v>
      </c>
      <c r="E120" s="24" t="s">
        <v>237</v>
      </c>
      <c r="F120" s="24" t="str">
        <f t="shared" si="2"/>
        <v>rtdc.l.rtdc.4044:itc</v>
      </c>
      <c r="G120" s="8">
        <f t="shared" si="3"/>
        <v>42598.574247685188</v>
      </c>
    </row>
    <row r="121" spans="1:7" x14ac:dyDescent="0.25">
      <c r="A121" s="8">
        <v>42598.578344907408</v>
      </c>
      <c r="B121" s="24" t="s">
        <v>161</v>
      </c>
      <c r="C121" s="24" t="s">
        <v>418</v>
      </c>
      <c r="D121" s="24">
        <v>880000</v>
      </c>
      <c r="E121" s="24" t="s">
        <v>208</v>
      </c>
      <c r="F121" s="24" t="str">
        <f t="shared" si="2"/>
        <v>rtdc.l.rtdc.4037:itc</v>
      </c>
      <c r="G121" s="8">
        <f t="shared" si="3"/>
        <v>42598.578344907408</v>
      </c>
    </row>
    <row r="122" spans="1:7" x14ac:dyDescent="0.25">
      <c r="A122" s="8">
        <v>42598.586006944446</v>
      </c>
      <c r="B122" s="29" t="s">
        <v>95</v>
      </c>
      <c r="C122" s="24" t="s">
        <v>421</v>
      </c>
      <c r="D122" s="24">
        <v>1540000</v>
      </c>
      <c r="E122" s="24" t="s">
        <v>280</v>
      </c>
      <c r="F122" s="24" t="str">
        <f t="shared" si="2"/>
        <v>rtdc.l.rtdc.4030:itc</v>
      </c>
      <c r="G122" s="8">
        <f t="shared" si="3"/>
        <v>42598.586006944446</v>
      </c>
    </row>
    <row r="123" spans="1:7" x14ac:dyDescent="0.25">
      <c r="A123" s="8">
        <v>42598.586516203701</v>
      </c>
      <c r="B123" s="24" t="s">
        <v>120</v>
      </c>
      <c r="C123" s="24" t="s">
        <v>429</v>
      </c>
      <c r="D123" s="24">
        <v>1520000</v>
      </c>
      <c r="E123" s="24" t="s">
        <v>209</v>
      </c>
      <c r="F123" s="24" t="str">
        <f t="shared" si="2"/>
        <v>rtdc.l.rtdc.4031:itc</v>
      </c>
      <c r="G123" s="8">
        <f t="shared" si="3"/>
        <v>42598.586516203701</v>
      </c>
    </row>
    <row r="124" spans="1:7" x14ac:dyDescent="0.25">
      <c r="A124" s="8">
        <v>42598.593368055554</v>
      </c>
      <c r="B124" s="24" t="s">
        <v>227</v>
      </c>
      <c r="C124" s="24" t="s">
        <v>432</v>
      </c>
      <c r="D124" s="24">
        <v>1240000</v>
      </c>
      <c r="E124" s="24" t="s">
        <v>667</v>
      </c>
      <c r="F124" s="24" t="str">
        <f t="shared" si="2"/>
        <v>rtdc.l.rtdc.4011:itc</v>
      </c>
      <c r="G124" s="8">
        <f t="shared" si="3"/>
        <v>42598.593368055554</v>
      </c>
    </row>
    <row r="125" spans="1:7" x14ac:dyDescent="0.25">
      <c r="A125" s="8">
        <v>42598.594548611109</v>
      </c>
      <c r="B125" s="24" t="s">
        <v>118</v>
      </c>
      <c r="C125" s="24" t="s">
        <v>601</v>
      </c>
      <c r="D125" s="24">
        <v>1770000</v>
      </c>
      <c r="E125" s="24" t="s">
        <v>236</v>
      </c>
      <c r="F125" s="24" t="str">
        <f t="shared" si="2"/>
        <v>rtdc.l.rtdc.4014:itc</v>
      </c>
      <c r="G125" s="8">
        <f t="shared" si="3"/>
        <v>42598.594548611109</v>
      </c>
    </row>
    <row r="126" spans="1:7" x14ac:dyDescent="0.25">
      <c r="A126" s="8">
        <v>42598.598020833335</v>
      </c>
      <c r="B126" s="24" t="s">
        <v>234</v>
      </c>
      <c r="C126" s="24" t="s">
        <v>424</v>
      </c>
      <c r="D126" s="24">
        <v>2090000</v>
      </c>
      <c r="E126" s="24" t="s">
        <v>279</v>
      </c>
      <c r="F126" s="24" t="str">
        <f t="shared" si="2"/>
        <v>rtdc.l.rtdc.4010:itc</v>
      </c>
      <c r="G126" s="8">
        <f t="shared" si="3"/>
        <v>42598.598020833335</v>
      </c>
    </row>
    <row r="127" spans="1:7" x14ac:dyDescent="0.25">
      <c r="A127" s="8">
        <v>42598.602731481478</v>
      </c>
      <c r="B127" s="24" t="s">
        <v>228</v>
      </c>
      <c r="C127" s="24" t="s">
        <v>428</v>
      </c>
      <c r="D127" s="24">
        <v>1810000</v>
      </c>
      <c r="E127" s="24" t="s">
        <v>237</v>
      </c>
      <c r="F127" s="24" t="str">
        <f t="shared" si="2"/>
        <v>rtdc.l.rtdc.4043:itc</v>
      </c>
      <c r="G127" s="8">
        <f t="shared" si="3"/>
        <v>42598.602731481478</v>
      </c>
    </row>
    <row r="128" spans="1:7" x14ac:dyDescent="0.25">
      <c r="A128" s="8">
        <v>42598.603032407409</v>
      </c>
      <c r="B128" s="24" t="s">
        <v>660</v>
      </c>
      <c r="C128" s="24" t="s">
        <v>436</v>
      </c>
      <c r="D128" s="24">
        <v>1280000</v>
      </c>
      <c r="E128" s="24" t="s">
        <v>235</v>
      </c>
      <c r="F128" s="24" t="str">
        <f t="shared" si="2"/>
        <v>rtdc.l.rtdc.4018:itc</v>
      </c>
      <c r="G128" s="8">
        <f t="shared" si="3"/>
        <v>42598.603032407409</v>
      </c>
    </row>
    <row r="129" spans="1:7" x14ac:dyDescent="0.25">
      <c r="A129" s="8">
        <v>42598.609710648147</v>
      </c>
      <c r="B129" s="24" t="s">
        <v>93</v>
      </c>
      <c r="C129" s="24" t="s">
        <v>602</v>
      </c>
      <c r="D129" s="24">
        <v>1770000</v>
      </c>
      <c r="E129" s="24" t="s">
        <v>236</v>
      </c>
      <c r="F129" s="24" t="str">
        <f t="shared" si="2"/>
        <v>rtdc.l.rtdc.4013:itc</v>
      </c>
      <c r="G129" s="8">
        <f t="shared" si="3"/>
        <v>42598.609710648147</v>
      </c>
    </row>
    <row r="130" spans="1:7" x14ac:dyDescent="0.25">
      <c r="A130" s="8">
        <v>42598.614247685182</v>
      </c>
      <c r="B130" s="24" t="s">
        <v>172</v>
      </c>
      <c r="C130" s="24" t="s">
        <v>439</v>
      </c>
      <c r="D130" s="24">
        <v>880000</v>
      </c>
      <c r="E130" s="24" t="s">
        <v>208</v>
      </c>
      <c r="F130" s="24" t="str">
        <f t="shared" ref="F130:F193" si="4">B130</f>
        <v>rtdc.l.rtdc.4038:itc</v>
      </c>
      <c r="G130" s="8">
        <f t="shared" ref="G130:G193" si="5">A130</f>
        <v>42598.614247685182</v>
      </c>
    </row>
    <row r="131" spans="1:7" x14ac:dyDescent="0.25">
      <c r="A131" s="8">
        <v>42598.619131944448</v>
      </c>
      <c r="B131" s="24" t="s">
        <v>121</v>
      </c>
      <c r="C131" s="24" t="s">
        <v>431</v>
      </c>
      <c r="D131" s="24">
        <v>1520000</v>
      </c>
      <c r="E131" s="24" t="s">
        <v>209</v>
      </c>
      <c r="F131" s="24" t="str">
        <f t="shared" si="4"/>
        <v>rtdc.l.rtdc.4032:itc</v>
      </c>
      <c r="G131" s="8">
        <f t="shared" si="5"/>
        <v>42598.619131944448</v>
      </c>
    </row>
    <row r="132" spans="1:7" x14ac:dyDescent="0.25">
      <c r="A132" s="8">
        <v>42598.62332175926</v>
      </c>
      <c r="B132" s="24" t="s">
        <v>94</v>
      </c>
      <c r="C132" s="24" t="s">
        <v>443</v>
      </c>
      <c r="D132" s="24">
        <v>1540000</v>
      </c>
      <c r="E132" s="24" t="s">
        <v>280</v>
      </c>
      <c r="F132" s="24" t="str">
        <f t="shared" si="4"/>
        <v>rtdc.l.rtdc.4029:itc</v>
      </c>
      <c r="G132" s="8">
        <f t="shared" si="5"/>
        <v>42598.62332175926</v>
      </c>
    </row>
    <row r="133" spans="1:7" x14ac:dyDescent="0.25">
      <c r="A133" s="8">
        <v>42598.630937499998</v>
      </c>
      <c r="B133" s="24" t="s">
        <v>231</v>
      </c>
      <c r="C133" s="24" t="s">
        <v>446</v>
      </c>
      <c r="D133" s="24">
        <v>2090000</v>
      </c>
      <c r="E133" s="24" t="s">
        <v>279</v>
      </c>
      <c r="F133" s="24" t="str">
        <f t="shared" si="4"/>
        <v>rtdc.l.rtdc.4009:itc</v>
      </c>
      <c r="G133" s="8">
        <f t="shared" si="5"/>
        <v>42598.630937499998</v>
      </c>
    </row>
    <row r="134" spans="1:7" x14ac:dyDescent="0.25">
      <c r="A134" s="8">
        <v>42598.631099537037</v>
      </c>
      <c r="B134" s="24" t="s">
        <v>656</v>
      </c>
      <c r="C134" s="24" t="s">
        <v>434</v>
      </c>
      <c r="D134" s="24">
        <v>1240000</v>
      </c>
      <c r="E134" s="24" t="s">
        <v>667</v>
      </c>
      <c r="F134" s="24" t="str">
        <f t="shared" si="4"/>
        <v>rtdc.l.rtdc.4012:itc</v>
      </c>
      <c r="G134" s="8">
        <f t="shared" si="5"/>
        <v>42598.631099537037</v>
      </c>
    </row>
    <row r="135" spans="1:7" x14ac:dyDescent="0.25">
      <c r="A135" s="8">
        <v>42598.636180555557</v>
      </c>
      <c r="B135" s="24" t="s">
        <v>118</v>
      </c>
      <c r="C135" s="24" t="s">
        <v>604</v>
      </c>
      <c r="D135" s="24">
        <v>1770000</v>
      </c>
      <c r="E135" s="24" t="s">
        <v>236</v>
      </c>
      <c r="F135" s="24" t="str">
        <f t="shared" si="4"/>
        <v>rtdc.l.rtdc.4014:itc</v>
      </c>
      <c r="G135" s="8">
        <f t="shared" si="5"/>
        <v>42598.636180555557</v>
      </c>
    </row>
    <row r="136" spans="1:7" x14ac:dyDescent="0.25">
      <c r="A136" s="8">
        <v>42598.639780092592</v>
      </c>
      <c r="B136" s="24" t="s">
        <v>659</v>
      </c>
      <c r="C136" s="24" t="s">
        <v>438</v>
      </c>
      <c r="D136" s="24">
        <v>1280000</v>
      </c>
      <c r="E136" s="24" t="s">
        <v>235</v>
      </c>
      <c r="F136" s="24" t="str">
        <f t="shared" si="4"/>
        <v>rtdc.l.rtdc.4017:itc</v>
      </c>
      <c r="G136" s="8">
        <f t="shared" si="5"/>
        <v>42598.639780092592</v>
      </c>
    </row>
    <row r="137" spans="1:7" x14ac:dyDescent="0.25">
      <c r="A137" s="8">
        <v>42598.640428240738</v>
      </c>
      <c r="B137" s="24" t="s">
        <v>226</v>
      </c>
      <c r="C137" s="24" t="s">
        <v>448</v>
      </c>
      <c r="D137" s="24">
        <v>1810000</v>
      </c>
      <c r="E137" s="24" t="s">
        <v>237</v>
      </c>
      <c r="F137" s="24" t="str">
        <f t="shared" si="4"/>
        <v>rtdc.l.rtdc.4044:itc</v>
      </c>
      <c r="G137" s="8">
        <f t="shared" si="5"/>
        <v>42598.640428240738</v>
      </c>
    </row>
    <row r="138" spans="1:7" x14ac:dyDescent="0.25">
      <c r="A138" s="8">
        <v>42598.649340277778</v>
      </c>
      <c r="B138" s="24" t="s">
        <v>658</v>
      </c>
      <c r="C138" s="24" t="s">
        <v>648</v>
      </c>
      <c r="D138" s="24">
        <v>1480000</v>
      </c>
      <c r="E138" s="24" t="s">
        <v>669</v>
      </c>
      <c r="F138" s="24" t="str">
        <f t="shared" si="4"/>
        <v>rtdc.l.rtdc.4001:itc</v>
      </c>
      <c r="G138" s="8">
        <f t="shared" si="5"/>
        <v>42598.649340277778</v>
      </c>
    </row>
    <row r="139" spans="1:7" x14ac:dyDescent="0.25">
      <c r="A139" s="8">
        <v>42598.65121527778</v>
      </c>
      <c r="B139" s="24" t="s">
        <v>161</v>
      </c>
      <c r="C139" s="24" t="s">
        <v>440</v>
      </c>
      <c r="D139" s="24">
        <v>880000</v>
      </c>
      <c r="E139" s="24" t="s">
        <v>208</v>
      </c>
      <c r="F139" s="24" t="str">
        <f t="shared" si="4"/>
        <v>rtdc.l.rtdc.4037:itc</v>
      </c>
      <c r="G139" s="8">
        <f t="shared" si="5"/>
        <v>42598.65121527778</v>
      </c>
    </row>
    <row r="140" spans="1:7" x14ac:dyDescent="0.25">
      <c r="A140" s="8">
        <v>42598.652199074073</v>
      </c>
      <c r="B140" s="24" t="s">
        <v>93</v>
      </c>
      <c r="C140" s="24" t="s">
        <v>606</v>
      </c>
      <c r="D140" s="24">
        <v>1770000</v>
      </c>
      <c r="E140" s="24" t="s">
        <v>236</v>
      </c>
      <c r="F140" s="24" t="str">
        <f t="shared" si="4"/>
        <v>rtdc.l.rtdc.4013:itc</v>
      </c>
      <c r="G140" s="8">
        <f t="shared" si="5"/>
        <v>42598.652199074073</v>
      </c>
    </row>
    <row r="141" spans="1:7" x14ac:dyDescent="0.25">
      <c r="A141" s="8">
        <v>42598.654386574075</v>
      </c>
      <c r="B141" s="24" t="s">
        <v>95</v>
      </c>
      <c r="C141" s="24" t="s">
        <v>444</v>
      </c>
      <c r="D141" s="24">
        <v>1540000</v>
      </c>
      <c r="E141" s="24" t="s">
        <v>280</v>
      </c>
      <c r="F141" s="24" t="str">
        <f t="shared" si="4"/>
        <v>rtdc.l.rtdc.4030:itc</v>
      </c>
      <c r="G141" s="8">
        <f t="shared" si="5"/>
        <v>42598.654386574075</v>
      </c>
    </row>
    <row r="142" spans="1:7" x14ac:dyDescent="0.25">
      <c r="A142" s="8">
        <v>42598.654641203706</v>
      </c>
      <c r="B142" s="24" t="s">
        <v>120</v>
      </c>
      <c r="C142" s="24" t="s">
        <v>454</v>
      </c>
      <c r="D142" s="24">
        <v>1520000</v>
      </c>
      <c r="E142" s="24" t="s">
        <v>209</v>
      </c>
      <c r="F142" s="24" t="str">
        <f t="shared" si="4"/>
        <v>rtdc.l.rtdc.4031:itc</v>
      </c>
      <c r="G142" s="8">
        <f t="shared" si="5"/>
        <v>42598.654641203706</v>
      </c>
    </row>
    <row r="143" spans="1:7" x14ac:dyDescent="0.25">
      <c r="A143" s="8">
        <v>42598.655601851853</v>
      </c>
      <c r="B143" s="24" t="s">
        <v>120</v>
      </c>
      <c r="C143" s="24" t="s">
        <v>452</v>
      </c>
      <c r="D143" s="24">
        <v>1520000</v>
      </c>
      <c r="E143" s="24" t="s">
        <v>209</v>
      </c>
      <c r="F143" s="24" t="str">
        <f t="shared" si="4"/>
        <v>rtdc.l.rtdc.4031:itc</v>
      </c>
      <c r="G143" s="8">
        <f t="shared" si="5"/>
        <v>42598.655601851853</v>
      </c>
    </row>
    <row r="144" spans="1:7" x14ac:dyDescent="0.25">
      <c r="A144" s="8">
        <v>42598.660578703704</v>
      </c>
      <c r="B144" s="24" t="s">
        <v>657</v>
      </c>
      <c r="C144" s="24" t="s">
        <v>609</v>
      </c>
      <c r="D144" s="24">
        <v>1480000</v>
      </c>
      <c r="E144" s="24" t="s">
        <v>669</v>
      </c>
      <c r="F144" s="24" t="str">
        <f t="shared" si="4"/>
        <v>rtdc.l.rtdc.4002:itc</v>
      </c>
      <c r="G144" s="8">
        <f t="shared" si="5"/>
        <v>42598.660578703704</v>
      </c>
    </row>
    <row r="145" spans="1:7" x14ac:dyDescent="0.25">
      <c r="A145" s="8">
        <v>42598.665763888886</v>
      </c>
      <c r="B145" s="24" t="s">
        <v>656</v>
      </c>
      <c r="C145" s="24" t="s">
        <v>434</v>
      </c>
      <c r="D145" s="24">
        <v>1240000</v>
      </c>
      <c r="E145" s="24" t="s">
        <v>667</v>
      </c>
      <c r="F145" s="24" t="str">
        <f t="shared" si="4"/>
        <v>rtdc.l.rtdc.4012:itc</v>
      </c>
      <c r="G145" s="8">
        <f t="shared" si="5"/>
        <v>42598.665763888886</v>
      </c>
    </row>
    <row r="146" spans="1:7" x14ac:dyDescent="0.25">
      <c r="A146" s="8">
        <v>42598.668645833335</v>
      </c>
      <c r="B146" s="24" t="s">
        <v>655</v>
      </c>
      <c r="C146" s="24" t="s">
        <v>456</v>
      </c>
      <c r="D146" s="24">
        <v>2140000</v>
      </c>
      <c r="E146" s="24" t="s">
        <v>670</v>
      </c>
      <c r="F146" s="24" t="str">
        <f t="shared" si="4"/>
        <v>rtdc.l.rtdc.4003:itc</v>
      </c>
      <c r="G146" s="8">
        <f t="shared" si="5"/>
        <v>42598.668645833335</v>
      </c>
    </row>
    <row r="147" spans="1:7" x14ac:dyDescent="0.25">
      <c r="A147" s="8">
        <v>42598.669108796297</v>
      </c>
      <c r="B147" s="24" t="s">
        <v>234</v>
      </c>
      <c r="C147" s="24" t="s">
        <v>447</v>
      </c>
      <c r="D147" s="24">
        <v>2090000</v>
      </c>
      <c r="E147" s="24" t="s">
        <v>279</v>
      </c>
      <c r="F147" s="24" t="str">
        <f t="shared" si="4"/>
        <v>rtdc.l.rtdc.4010:itc</v>
      </c>
      <c r="G147" s="8">
        <f t="shared" si="5"/>
        <v>42598.669108796297</v>
      </c>
    </row>
    <row r="148" spans="1:7" x14ac:dyDescent="0.25">
      <c r="A148" s="8">
        <v>42598.673252314817</v>
      </c>
      <c r="B148" s="24" t="s">
        <v>660</v>
      </c>
      <c r="C148" s="24" t="s">
        <v>462</v>
      </c>
      <c r="D148" s="24">
        <v>1280000</v>
      </c>
      <c r="E148" s="24" t="s">
        <v>235</v>
      </c>
      <c r="F148" s="24" t="str">
        <f t="shared" si="4"/>
        <v>rtdc.l.rtdc.4018:itc</v>
      </c>
      <c r="G148" s="8">
        <f t="shared" si="5"/>
        <v>42598.673252314817</v>
      </c>
    </row>
    <row r="149" spans="1:7" x14ac:dyDescent="0.25">
      <c r="A149" s="8">
        <v>42598.675752314812</v>
      </c>
      <c r="B149" s="24" t="s">
        <v>228</v>
      </c>
      <c r="C149" s="24" t="s">
        <v>450</v>
      </c>
      <c r="D149" s="24">
        <v>1810000</v>
      </c>
      <c r="E149" s="24" t="s">
        <v>237</v>
      </c>
      <c r="F149" s="24" t="str">
        <f t="shared" si="4"/>
        <v>rtdc.l.rtdc.4043:itc</v>
      </c>
      <c r="G149" s="8">
        <f t="shared" si="5"/>
        <v>42598.675752314812</v>
      </c>
    </row>
    <row r="150" spans="1:7" x14ac:dyDescent="0.25">
      <c r="A150" s="8">
        <v>42598.676249999997</v>
      </c>
      <c r="B150" s="24" t="s">
        <v>95</v>
      </c>
      <c r="C150" s="24" t="s">
        <v>444</v>
      </c>
      <c r="D150" s="24">
        <v>1540000</v>
      </c>
      <c r="E150" s="24" t="s">
        <v>280</v>
      </c>
      <c r="F150" s="24" t="str">
        <f t="shared" si="4"/>
        <v>rtdc.l.rtdc.4030:itc</v>
      </c>
      <c r="G150" s="8">
        <f t="shared" si="5"/>
        <v>42598.676249999997</v>
      </c>
    </row>
    <row r="151" spans="1:7" x14ac:dyDescent="0.25">
      <c r="A151" s="8">
        <v>42598.677627314813</v>
      </c>
      <c r="B151" s="24" t="s">
        <v>118</v>
      </c>
      <c r="C151" s="24" t="s">
        <v>612</v>
      </c>
      <c r="D151" s="24">
        <v>1770000</v>
      </c>
      <c r="E151" s="24" t="s">
        <v>236</v>
      </c>
      <c r="F151" s="24" t="str">
        <f t="shared" si="4"/>
        <v>rtdc.l.rtdc.4014:itc</v>
      </c>
      <c r="G151" s="8">
        <f t="shared" si="5"/>
        <v>42598.677627314813</v>
      </c>
    </row>
    <row r="152" spans="1:7" x14ac:dyDescent="0.25">
      <c r="A152" s="8">
        <v>42598.678067129629</v>
      </c>
      <c r="B152" s="24" t="s">
        <v>658</v>
      </c>
      <c r="C152" s="24" t="s">
        <v>611</v>
      </c>
      <c r="D152" s="24">
        <v>1480000</v>
      </c>
      <c r="E152" s="24" t="s">
        <v>669</v>
      </c>
      <c r="F152" s="24" t="str">
        <f t="shared" si="4"/>
        <v>rtdc.l.rtdc.4001:itc</v>
      </c>
      <c r="G152" s="8">
        <f t="shared" si="5"/>
        <v>42598.678067129629</v>
      </c>
    </row>
    <row r="153" spans="1:7" x14ac:dyDescent="0.25">
      <c r="A153" s="8">
        <v>42598.686828703707</v>
      </c>
      <c r="B153" s="24" t="s">
        <v>172</v>
      </c>
      <c r="C153" s="24" t="s">
        <v>467</v>
      </c>
      <c r="D153" s="24">
        <v>880000</v>
      </c>
      <c r="E153" s="24" t="s">
        <v>208</v>
      </c>
      <c r="F153" s="24" t="str">
        <f t="shared" si="4"/>
        <v>rtdc.l.rtdc.4038:itc</v>
      </c>
      <c r="G153" s="8">
        <f t="shared" si="5"/>
        <v>42598.686828703707</v>
      </c>
    </row>
    <row r="154" spans="1:7" x14ac:dyDescent="0.25">
      <c r="A154" s="8">
        <v>42598.687013888892</v>
      </c>
      <c r="B154" s="24" t="s">
        <v>121</v>
      </c>
      <c r="C154" s="24" t="s">
        <v>454</v>
      </c>
      <c r="D154" s="24">
        <v>1520000</v>
      </c>
      <c r="E154" s="24" t="s">
        <v>209</v>
      </c>
      <c r="F154" s="24" t="str">
        <f t="shared" si="4"/>
        <v>rtdc.l.rtdc.4032:itc</v>
      </c>
      <c r="G154" s="8">
        <f t="shared" si="5"/>
        <v>42598.687013888892</v>
      </c>
    </row>
    <row r="155" spans="1:7" x14ac:dyDescent="0.25">
      <c r="A155" s="8">
        <v>42598.691817129627</v>
      </c>
      <c r="B155" s="24" t="s">
        <v>93</v>
      </c>
      <c r="C155" s="24" t="s">
        <v>614</v>
      </c>
      <c r="D155" s="24">
        <v>1770000</v>
      </c>
      <c r="E155" s="24" t="s">
        <v>236</v>
      </c>
      <c r="F155" s="24" t="str">
        <f t="shared" si="4"/>
        <v>rtdc.l.rtdc.4013:itc</v>
      </c>
      <c r="G155" s="8">
        <f t="shared" si="5"/>
        <v>42598.691817129627</v>
      </c>
    </row>
    <row r="156" spans="1:7" x14ac:dyDescent="0.25">
      <c r="A156" s="8">
        <v>42598.692997685182</v>
      </c>
      <c r="B156" s="24" t="s">
        <v>657</v>
      </c>
      <c r="C156" s="24" t="s">
        <v>616</v>
      </c>
      <c r="D156" s="24">
        <v>1480000</v>
      </c>
      <c r="E156" s="24" t="s">
        <v>669</v>
      </c>
      <c r="F156" s="24" t="str">
        <f t="shared" si="4"/>
        <v>rtdc.l.rtdc.4002:itc</v>
      </c>
      <c r="G156" s="8">
        <f t="shared" si="5"/>
        <v>42598.692997685182</v>
      </c>
    </row>
    <row r="157" spans="1:7" x14ac:dyDescent="0.25">
      <c r="A157" s="8">
        <v>42598.697824074072</v>
      </c>
      <c r="B157" s="24" t="s">
        <v>94</v>
      </c>
      <c r="C157" s="24" t="s">
        <v>472</v>
      </c>
      <c r="D157" s="24">
        <v>1540000</v>
      </c>
      <c r="E157" s="24" t="s">
        <v>280</v>
      </c>
      <c r="F157" s="24" t="str">
        <f t="shared" si="4"/>
        <v>rtdc.l.rtdc.4029:itc</v>
      </c>
      <c r="G157" s="8">
        <f t="shared" si="5"/>
        <v>42598.697824074072</v>
      </c>
    </row>
    <row r="158" spans="1:7" x14ac:dyDescent="0.25">
      <c r="A158" s="8">
        <v>42598.700879629629</v>
      </c>
      <c r="B158" s="24" t="s">
        <v>111</v>
      </c>
      <c r="C158" s="24" t="s">
        <v>548</v>
      </c>
      <c r="D158" s="24">
        <v>2110000</v>
      </c>
      <c r="E158" s="24" t="s">
        <v>281</v>
      </c>
      <c r="F158" s="24" t="str">
        <f t="shared" si="4"/>
        <v>rtdc.l.rtdc.4015:itc</v>
      </c>
      <c r="G158" s="8">
        <f t="shared" si="5"/>
        <v>42598.700879629629</v>
      </c>
    </row>
    <row r="159" spans="1:7" x14ac:dyDescent="0.25">
      <c r="A159" s="8">
        <v>42598.704733796294</v>
      </c>
      <c r="B159" s="24" t="s">
        <v>231</v>
      </c>
      <c r="C159" s="24" t="s">
        <v>477</v>
      </c>
      <c r="D159" s="24">
        <v>2090000</v>
      </c>
      <c r="E159" s="24" t="s">
        <v>279</v>
      </c>
      <c r="F159" s="24" t="str">
        <f t="shared" si="4"/>
        <v>rtdc.l.rtdc.4009:itc</v>
      </c>
      <c r="G159" s="8">
        <f t="shared" si="5"/>
        <v>42598.704733796294</v>
      </c>
    </row>
    <row r="160" spans="1:7" x14ac:dyDescent="0.25">
      <c r="A160" s="8">
        <v>42598.704826388886</v>
      </c>
      <c r="B160" s="24" t="s">
        <v>662</v>
      </c>
      <c r="C160" s="24" t="s">
        <v>459</v>
      </c>
      <c r="D160" s="24">
        <v>2140000</v>
      </c>
      <c r="E160" s="24" t="s">
        <v>670</v>
      </c>
      <c r="F160" s="24" t="str">
        <f t="shared" si="4"/>
        <v>rtdc.l.rtdc.4004:itc</v>
      </c>
      <c r="G160" s="8">
        <f t="shared" si="5"/>
        <v>42598.704826388886</v>
      </c>
    </row>
    <row r="161" spans="1:7" x14ac:dyDescent="0.25">
      <c r="A161" s="8">
        <v>42598.706666666665</v>
      </c>
      <c r="B161" s="24" t="s">
        <v>659</v>
      </c>
      <c r="C161" s="24" t="s">
        <v>465</v>
      </c>
      <c r="D161" s="24">
        <v>1280000</v>
      </c>
      <c r="E161" s="24" t="s">
        <v>235</v>
      </c>
      <c r="F161" s="24" t="str">
        <f t="shared" si="4"/>
        <v>rtdc.l.rtdc.4017:itc</v>
      </c>
      <c r="G161" s="8">
        <f t="shared" si="5"/>
        <v>42598.706666666665</v>
      </c>
    </row>
    <row r="162" spans="1:7" x14ac:dyDescent="0.25">
      <c r="A162" s="8">
        <v>42598.714988425927</v>
      </c>
      <c r="B162" s="24" t="s">
        <v>658</v>
      </c>
      <c r="C162" s="24" t="s">
        <v>618</v>
      </c>
      <c r="D162" s="24">
        <v>1480000</v>
      </c>
      <c r="E162" s="24" t="s">
        <v>669</v>
      </c>
      <c r="F162" s="24" t="str">
        <f t="shared" si="4"/>
        <v>rtdc.l.rtdc.4001:itc</v>
      </c>
      <c r="G162" s="8">
        <f t="shared" si="5"/>
        <v>42598.714988425927</v>
      </c>
    </row>
    <row r="163" spans="1:7" x14ac:dyDescent="0.25">
      <c r="A163" s="8">
        <v>42598.716516203705</v>
      </c>
      <c r="B163" s="24" t="s">
        <v>118</v>
      </c>
      <c r="C163" s="24" t="s">
        <v>621</v>
      </c>
      <c r="D163" s="24">
        <v>1770000</v>
      </c>
      <c r="E163" s="24" t="s">
        <v>236</v>
      </c>
      <c r="F163" s="24" t="str">
        <f t="shared" si="4"/>
        <v>rtdc.l.rtdc.4014:itc</v>
      </c>
      <c r="G163" s="8">
        <f t="shared" si="5"/>
        <v>42598.716516203705</v>
      </c>
    </row>
    <row r="164" spans="1:7" x14ac:dyDescent="0.25">
      <c r="A164" s="8">
        <v>42598.717719907407</v>
      </c>
      <c r="B164" s="24" t="s">
        <v>226</v>
      </c>
      <c r="C164" s="24" t="s">
        <v>480</v>
      </c>
      <c r="D164" s="24">
        <v>2110000</v>
      </c>
      <c r="E164" s="24" t="s">
        <v>281</v>
      </c>
      <c r="F164" s="24" t="str">
        <f t="shared" si="4"/>
        <v>rtdc.l.rtdc.4044:itc</v>
      </c>
      <c r="G164" s="8">
        <f t="shared" si="5"/>
        <v>42598.717719907407</v>
      </c>
    </row>
    <row r="165" spans="1:7" x14ac:dyDescent="0.25">
      <c r="A165" s="8">
        <v>42598.722581018519</v>
      </c>
      <c r="B165" s="24" t="s">
        <v>161</v>
      </c>
      <c r="C165" s="24" t="s">
        <v>469</v>
      </c>
      <c r="D165" s="24">
        <v>880000</v>
      </c>
      <c r="E165" s="24" t="s">
        <v>208</v>
      </c>
      <c r="F165" s="24" t="str">
        <f t="shared" si="4"/>
        <v>rtdc.l.rtdc.4037:itc</v>
      </c>
      <c r="G165" s="8">
        <f t="shared" si="5"/>
        <v>42598.722581018519</v>
      </c>
    </row>
    <row r="166" spans="1:7" x14ac:dyDescent="0.25">
      <c r="A166" s="8">
        <v>42598.730162037034</v>
      </c>
      <c r="B166" s="24" t="s">
        <v>120</v>
      </c>
      <c r="C166" s="24" t="s">
        <v>483</v>
      </c>
      <c r="D166" s="24">
        <v>1810000</v>
      </c>
      <c r="E166" s="24" t="s">
        <v>237</v>
      </c>
      <c r="F166" s="24" t="str">
        <f t="shared" si="4"/>
        <v>rtdc.l.rtdc.4031:itc</v>
      </c>
      <c r="G166" s="8">
        <f t="shared" si="5"/>
        <v>42598.730162037034</v>
      </c>
    </row>
    <row r="167" spans="1:7" x14ac:dyDescent="0.25">
      <c r="A167" s="8">
        <v>42598.731782407405</v>
      </c>
      <c r="B167" s="24" t="s">
        <v>95</v>
      </c>
      <c r="C167" s="24" t="s">
        <v>474</v>
      </c>
      <c r="D167" s="24">
        <v>1540000</v>
      </c>
      <c r="E167" s="24" t="s">
        <v>280</v>
      </c>
      <c r="F167" s="24" t="str">
        <f t="shared" si="4"/>
        <v>rtdc.l.rtdc.4030:itc</v>
      </c>
      <c r="G167" s="8">
        <f t="shared" si="5"/>
        <v>42598.731782407405</v>
      </c>
    </row>
    <row r="168" spans="1:7" x14ac:dyDescent="0.25">
      <c r="A168" s="8">
        <v>42598.734074074076</v>
      </c>
      <c r="B168" s="24" t="s">
        <v>93</v>
      </c>
      <c r="C168" s="24" t="s">
        <v>623</v>
      </c>
      <c r="D168" s="24">
        <v>1770000</v>
      </c>
      <c r="E168" s="24" t="s">
        <v>236</v>
      </c>
      <c r="F168" s="24" t="str">
        <f t="shared" si="4"/>
        <v>rtdc.l.rtdc.4013:itc</v>
      </c>
      <c r="G168" s="8">
        <f t="shared" si="5"/>
        <v>42598.734074074076</v>
      </c>
    </row>
    <row r="169" spans="1:7" x14ac:dyDescent="0.25">
      <c r="A169" s="8">
        <v>42598.734479166669</v>
      </c>
      <c r="B169" s="24" t="s">
        <v>250</v>
      </c>
      <c r="C169" s="24" t="s">
        <v>487</v>
      </c>
      <c r="D169" s="24">
        <v>1740000</v>
      </c>
      <c r="E169" s="24" t="s">
        <v>233</v>
      </c>
      <c r="F169" s="24" t="str">
        <f t="shared" si="4"/>
        <v>rtdc.l.rtdc.4016:itc</v>
      </c>
      <c r="G169" s="8">
        <f t="shared" si="5"/>
        <v>42598.734479166669</v>
      </c>
    </row>
    <row r="170" spans="1:7" x14ac:dyDescent="0.25">
      <c r="A170" s="8">
        <v>42598.73978009259</v>
      </c>
      <c r="B170" s="24" t="s">
        <v>657</v>
      </c>
      <c r="C170" s="24" t="s">
        <v>618</v>
      </c>
      <c r="D170" s="24">
        <v>1480000</v>
      </c>
      <c r="E170" s="24" t="s">
        <v>669</v>
      </c>
      <c r="F170" s="24" t="str">
        <f t="shared" si="4"/>
        <v>rtdc.l.rtdc.4002:itc</v>
      </c>
      <c r="G170" s="8">
        <f t="shared" si="5"/>
        <v>42598.73978009259</v>
      </c>
    </row>
    <row r="171" spans="1:7" x14ac:dyDescent="0.25">
      <c r="A171" s="8">
        <v>42598.741064814814</v>
      </c>
      <c r="B171" s="24" t="s">
        <v>657</v>
      </c>
      <c r="C171" s="24" t="s">
        <v>624</v>
      </c>
      <c r="D171" s="24">
        <v>1480000</v>
      </c>
      <c r="E171" s="24" t="s">
        <v>669</v>
      </c>
      <c r="F171" s="24" t="str">
        <f t="shared" si="4"/>
        <v>rtdc.l.rtdc.4002:itc</v>
      </c>
      <c r="G171" s="8">
        <f t="shared" si="5"/>
        <v>42598.741064814814</v>
      </c>
    </row>
    <row r="172" spans="1:7" x14ac:dyDescent="0.25">
      <c r="A172" s="8">
        <v>42598.74454861111</v>
      </c>
      <c r="B172" s="24" t="s">
        <v>161</v>
      </c>
      <c r="C172" s="24" t="s">
        <v>469</v>
      </c>
      <c r="D172" s="24">
        <v>880000</v>
      </c>
      <c r="E172" s="24" t="s">
        <v>208</v>
      </c>
      <c r="F172" s="24" t="str">
        <f t="shared" si="4"/>
        <v>rtdc.l.rtdc.4037:itc</v>
      </c>
      <c r="G172" s="8">
        <f t="shared" si="5"/>
        <v>42598.74454861111</v>
      </c>
    </row>
    <row r="173" spans="1:7" x14ac:dyDescent="0.25">
      <c r="A173" s="8">
        <v>42598.74596064815</v>
      </c>
      <c r="B173" s="24" t="s">
        <v>234</v>
      </c>
      <c r="C173" s="24" t="s">
        <v>479</v>
      </c>
      <c r="D173" s="24">
        <v>2090000</v>
      </c>
      <c r="E173" s="24" t="s">
        <v>279</v>
      </c>
      <c r="F173" s="24" t="str">
        <f t="shared" si="4"/>
        <v>rtdc.l.rtdc.4010:itc</v>
      </c>
      <c r="G173" s="8">
        <f t="shared" si="5"/>
        <v>42598.74596064815</v>
      </c>
    </row>
    <row r="174" spans="1:7" x14ac:dyDescent="0.25">
      <c r="A174" s="8">
        <v>42598.749988425923</v>
      </c>
      <c r="B174" s="24" t="s">
        <v>671</v>
      </c>
      <c r="C174" s="24" t="s">
        <v>496</v>
      </c>
      <c r="D174" s="24">
        <v>1800000</v>
      </c>
      <c r="E174" s="24" t="s">
        <v>282</v>
      </c>
      <c r="F174" s="24" t="str">
        <f t="shared" si="4"/>
        <v>rtdc.l.rtdc.4005:itc</v>
      </c>
      <c r="G174" s="8">
        <f t="shared" si="5"/>
        <v>42598.749988425923</v>
      </c>
    </row>
    <row r="175" spans="1:7" x14ac:dyDescent="0.25">
      <c r="A175" s="8">
        <v>42598.751493055555</v>
      </c>
      <c r="B175" s="24" t="s">
        <v>95</v>
      </c>
      <c r="C175" s="24" t="s">
        <v>474</v>
      </c>
      <c r="D175" s="24">
        <v>1540000</v>
      </c>
      <c r="E175" s="24" t="s">
        <v>280</v>
      </c>
      <c r="F175" s="24" t="str">
        <f t="shared" si="4"/>
        <v>rtdc.l.rtdc.4030:itc</v>
      </c>
      <c r="G175" s="8">
        <f t="shared" si="5"/>
        <v>42598.751493055555</v>
      </c>
    </row>
    <row r="176" spans="1:7" x14ac:dyDescent="0.25">
      <c r="A176" s="8">
        <v>42598.752152777779</v>
      </c>
      <c r="B176" s="24" t="s">
        <v>671</v>
      </c>
      <c r="C176" s="24" t="s">
        <v>496</v>
      </c>
      <c r="D176" s="24">
        <v>1800000</v>
      </c>
      <c r="E176" s="24" t="s">
        <v>282</v>
      </c>
      <c r="F176" s="24" t="str">
        <f t="shared" si="4"/>
        <v>rtdc.l.rtdc.4005:itc</v>
      </c>
      <c r="G176" s="8">
        <f t="shared" si="5"/>
        <v>42598.752152777779</v>
      </c>
    </row>
    <row r="177" spans="1:7" x14ac:dyDescent="0.25">
      <c r="A177" s="8">
        <v>42598.753148148149</v>
      </c>
      <c r="B177" s="24" t="s">
        <v>660</v>
      </c>
      <c r="C177" s="24" t="s">
        <v>492</v>
      </c>
      <c r="D177" s="24">
        <v>2140000</v>
      </c>
      <c r="E177" s="24" t="s">
        <v>670</v>
      </c>
      <c r="F177" s="24" t="str">
        <f t="shared" si="4"/>
        <v>rtdc.l.rtdc.4018:itc</v>
      </c>
      <c r="G177" s="8">
        <f t="shared" si="5"/>
        <v>42598.753148148149</v>
      </c>
    </row>
    <row r="178" spans="1:7" x14ac:dyDescent="0.25">
      <c r="A178" s="8">
        <v>42598.754062499997</v>
      </c>
      <c r="B178" s="24" t="s">
        <v>228</v>
      </c>
      <c r="C178" s="24" t="s">
        <v>482</v>
      </c>
      <c r="D178" s="24">
        <v>2110000</v>
      </c>
      <c r="E178" s="24" t="s">
        <v>281</v>
      </c>
      <c r="F178" s="24" t="str">
        <f t="shared" si="4"/>
        <v>rtdc.l.rtdc.4043:itc</v>
      </c>
      <c r="G178" s="8">
        <f t="shared" si="5"/>
        <v>42598.754062499997</v>
      </c>
    </row>
    <row r="179" spans="1:7" x14ac:dyDescent="0.25">
      <c r="A179" s="8">
        <v>42598.756261574075</v>
      </c>
      <c r="B179" s="24" t="s">
        <v>658</v>
      </c>
      <c r="C179" s="24" t="s">
        <v>626</v>
      </c>
      <c r="D179" s="24">
        <v>1480000</v>
      </c>
      <c r="E179" s="24" t="s">
        <v>669</v>
      </c>
      <c r="F179" s="24" t="str">
        <f t="shared" si="4"/>
        <v>rtdc.l.rtdc.4001:itc</v>
      </c>
      <c r="G179" s="8">
        <f t="shared" si="5"/>
        <v>42598.756261574075</v>
      </c>
    </row>
    <row r="180" spans="1:7" x14ac:dyDescent="0.25">
      <c r="A180" s="8">
        <v>42598.761122685188</v>
      </c>
      <c r="B180" s="24" t="s">
        <v>118</v>
      </c>
      <c r="C180" s="24" t="s">
        <v>628</v>
      </c>
      <c r="D180" s="24">
        <v>1770000</v>
      </c>
      <c r="E180" s="24" t="s">
        <v>236</v>
      </c>
      <c r="F180" s="24" t="str">
        <f t="shared" si="4"/>
        <v>rtdc.l.rtdc.4014:itc</v>
      </c>
      <c r="G180" s="8">
        <f t="shared" si="5"/>
        <v>42598.761122685188</v>
      </c>
    </row>
    <row r="181" spans="1:7" x14ac:dyDescent="0.25">
      <c r="A181" s="8">
        <v>42598.763009259259</v>
      </c>
      <c r="B181" s="24" t="s">
        <v>121</v>
      </c>
      <c r="C181" s="24" t="s">
        <v>485</v>
      </c>
      <c r="D181" s="24">
        <v>1810000</v>
      </c>
      <c r="E181" s="24" t="s">
        <v>237</v>
      </c>
      <c r="F181" s="24" t="str">
        <f t="shared" si="4"/>
        <v>rtdc.l.rtdc.4032:itc</v>
      </c>
      <c r="G181" s="8">
        <f t="shared" si="5"/>
        <v>42598.763009259259</v>
      </c>
    </row>
    <row r="182" spans="1:7" x14ac:dyDescent="0.25">
      <c r="A182" s="8">
        <v>42598.766064814816</v>
      </c>
      <c r="B182" s="24" t="s">
        <v>172</v>
      </c>
      <c r="C182" s="24" t="s">
        <v>494</v>
      </c>
      <c r="D182" s="24">
        <v>2100000</v>
      </c>
      <c r="E182" s="24" t="s">
        <v>149</v>
      </c>
      <c r="F182" s="24" t="str">
        <f t="shared" si="4"/>
        <v>rtdc.l.rtdc.4038:itc</v>
      </c>
      <c r="G182" s="8">
        <f t="shared" si="5"/>
        <v>42598.766064814816</v>
      </c>
    </row>
    <row r="183" spans="1:7" x14ac:dyDescent="0.25">
      <c r="A183" s="8">
        <v>42598.773078703707</v>
      </c>
      <c r="B183" s="24" t="s">
        <v>94</v>
      </c>
      <c r="C183" s="24" t="s">
        <v>496</v>
      </c>
      <c r="D183" s="24">
        <v>1800000</v>
      </c>
      <c r="E183" s="24" t="s">
        <v>282</v>
      </c>
      <c r="F183" s="24" t="str">
        <f t="shared" si="4"/>
        <v>rtdc.l.rtdc.4029:itc</v>
      </c>
      <c r="G183" s="8">
        <f t="shared" si="5"/>
        <v>42598.773078703707</v>
      </c>
    </row>
    <row r="184" spans="1:7" x14ac:dyDescent="0.25">
      <c r="A184" s="8">
        <v>42598.774814814817</v>
      </c>
      <c r="B184" s="24" t="s">
        <v>657</v>
      </c>
      <c r="C184" s="24" t="s">
        <v>631</v>
      </c>
      <c r="D184" s="24">
        <v>1480000</v>
      </c>
      <c r="E184" s="24" t="s">
        <v>669</v>
      </c>
      <c r="F184" s="24" t="str">
        <f t="shared" si="4"/>
        <v>rtdc.l.rtdc.4002:itc</v>
      </c>
      <c r="G184" s="8">
        <f t="shared" si="5"/>
        <v>42598.774814814817</v>
      </c>
    </row>
    <row r="185" spans="1:7" x14ac:dyDescent="0.25">
      <c r="A185" s="8">
        <v>42598.774837962963</v>
      </c>
      <c r="B185" s="24" t="s">
        <v>111</v>
      </c>
      <c r="C185" s="24" t="s">
        <v>490</v>
      </c>
      <c r="D185" s="24">
        <v>1740000</v>
      </c>
      <c r="E185" s="24" t="s">
        <v>233</v>
      </c>
      <c r="F185" s="24" t="str">
        <f t="shared" si="4"/>
        <v>rtdc.l.rtdc.4015:itc</v>
      </c>
      <c r="G185" s="8">
        <f t="shared" si="5"/>
        <v>42598.774837962963</v>
      </c>
    </row>
    <row r="186" spans="1:7" x14ac:dyDescent="0.25">
      <c r="A186" s="8">
        <v>42598.775543981479</v>
      </c>
      <c r="B186" s="24" t="s">
        <v>93</v>
      </c>
      <c r="C186" s="24" t="s">
        <v>629</v>
      </c>
      <c r="D186" s="24">
        <v>1770000</v>
      </c>
      <c r="E186" s="24" t="s">
        <v>236</v>
      </c>
      <c r="F186" s="24" t="str">
        <f t="shared" si="4"/>
        <v>rtdc.l.rtdc.4013:itc</v>
      </c>
      <c r="G186" s="8">
        <f t="shared" si="5"/>
        <v>42598.775543981479</v>
      </c>
    </row>
    <row r="187" spans="1:7" x14ac:dyDescent="0.25">
      <c r="A187" s="8">
        <v>42598.777141203704</v>
      </c>
      <c r="B187" s="24" t="s">
        <v>231</v>
      </c>
      <c r="C187" s="24" t="s">
        <v>532</v>
      </c>
      <c r="D187" s="24">
        <v>2090000</v>
      </c>
      <c r="E187" s="24" t="s">
        <v>279</v>
      </c>
      <c r="F187" s="24" t="str">
        <f t="shared" si="4"/>
        <v>rtdc.l.rtdc.4009:itc</v>
      </c>
      <c r="G187" s="8">
        <f t="shared" si="5"/>
        <v>42598.777141203704</v>
      </c>
    </row>
    <row r="188" spans="1:7" x14ac:dyDescent="0.25">
      <c r="A188" s="8">
        <v>42598.786168981482</v>
      </c>
      <c r="B188" s="24" t="s">
        <v>659</v>
      </c>
      <c r="C188" s="24" t="s">
        <v>492</v>
      </c>
      <c r="D188" s="24">
        <v>2140000</v>
      </c>
      <c r="E188" s="24" t="s">
        <v>670</v>
      </c>
      <c r="F188" s="24" t="str">
        <f t="shared" si="4"/>
        <v>rtdc.l.rtdc.4017:itc</v>
      </c>
      <c r="G188" s="8">
        <f t="shared" si="5"/>
        <v>42598.786168981482</v>
      </c>
    </row>
    <row r="189" spans="1:7" x14ac:dyDescent="0.25">
      <c r="A189" s="8">
        <v>42598.787731481483</v>
      </c>
      <c r="B189" s="24" t="s">
        <v>659</v>
      </c>
      <c r="C189" s="24" t="s">
        <v>492</v>
      </c>
      <c r="D189" s="24">
        <v>2140000</v>
      </c>
      <c r="E189" s="24" t="s">
        <v>670</v>
      </c>
      <c r="F189" s="24" t="str">
        <f t="shared" si="4"/>
        <v>rtdc.l.rtdc.4017:itc</v>
      </c>
      <c r="G189" s="8">
        <f t="shared" si="5"/>
        <v>42598.787731481483</v>
      </c>
    </row>
    <row r="190" spans="1:7" x14ac:dyDescent="0.25">
      <c r="A190" s="8">
        <v>42598.788657407407</v>
      </c>
      <c r="B190" s="24" t="s">
        <v>659</v>
      </c>
      <c r="C190" s="24" t="s">
        <v>493</v>
      </c>
      <c r="D190" s="24">
        <v>2140000</v>
      </c>
      <c r="E190" s="24" t="s">
        <v>670</v>
      </c>
      <c r="F190" s="24" t="str">
        <f t="shared" si="4"/>
        <v>rtdc.l.rtdc.4017:itc</v>
      </c>
      <c r="G190" s="8">
        <f t="shared" si="5"/>
        <v>42598.788657407407</v>
      </c>
    </row>
    <row r="191" spans="1:7" x14ac:dyDescent="0.25">
      <c r="A191" s="8">
        <v>42598.791122685187</v>
      </c>
      <c r="B191" s="24" t="s">
        <v>226</v>
      </c>
      <c r="C191" s="24" t="s">
        <v>499</v>
      </c>
      <c r="D191" s="24">
        <v>2110000</v>
      </c>
      <c r="E191" s="24" t="s">
        <v>281</v>
      </c>
      <c r="F191" s="24" t="str">
        <f t="shared" si="4"/>
        <v>rtdc.l.rtdc.4044:itc</v>
      </c>
      <c r="G191" s="8">
        <f t="shared" si="5"/>
        <v>42598.791122685187</v>
      </c>
    </row>
    <row r="192" spans="1:7" x14ac:dyDescent="0.25">
      <c r="A192" s="8">
        <v>42598.794942129629</v>
      </c>
      <c r="B192" s="24" t="s">
        <v>161</v>
      </c>
      <c r="C192" s="24" t="s">
        <v>495</v>
      </c>
      <c r="D192" s="24">
        <v>2100000</v>
      </c>
      <c r="E192" s="24" t="s">
        <v>149</v>
      </c>
      <c r="F192" s="24" t="str">
        <f t="shared" si="4"/>
        <v>rtdc.l.rtdc.4037:itc</v>
      </c>
      <c r="G192" s="8">
        <f t="shared" si="5"/>
        <v>42598.794942129629</v>
      </c>
    </row>
    <row r="193" spans="1:7" x14ac:dyDescent="0.25">
      <c r="A193" s="8">
        <v>42598.798217592594</v>
      </c>
      <c r="B193" s="24" t="s">
        <v>658</v>
      </c>
      <c r="C193" s="24" t="s">
        <v>651</v>
      </c>
      <c r="D193" s="24">
        <v>1480000</v>
      </c>
      <c r="E193" s="24" t="s">
        <v>669</v>
      </c>
      <c r="F193" s="24" t="str">
        <f t="shared" si="4"/>
        <v>rtdc.l.rtdc.4001:itc</v>
      </c>
      <c r="G193" s="8">
        <f t="shared" si="5"/>
        <v>42598.798217592594</v>
      </c>
    </row>
    <row r="194" spans="1:7" x14ac:dyDescent="0.25">
      <c r="A194" s="8">
        <v>42598.802291666667</v>
      </c>
      <c r="B194" s="24" t="s">
        <v>118</v>
      </c>
      <c r="C194" s="24" t="s">
        <v>634</v>
      </c>
      <c r="D194" s="24">
        <v>1770000</v>
      </c>
      <c r="E194" s="24" t="s">
        <v>236</v>
      </c>
      <c r="F194" s="24" t="str">
        <f t="shared" ref="F194:F235" si="6">B194</f>
        <v>rtdc.l.rtdc.4014:itc</v>
      </c>
      <c r="G194" s="8">
        <f t="shared" ref="G194:G235" si="7">A194</f>
        <v>42598.802291666667</v>
      </c>
    </row>
    <row r="195" spans="1:7" x14ac:dyDescent="0.25">
      <c r="A195" s="8">
        <v>42598.809398148151</v>
      </c>
      <c r="B195" s="24" t="s">
        <v>95</v>
      </c>
      <c r="C195" s="24" t="s">
        <v>497</v>
      </c>
      <c r="D195" s="24">
        <v>1800000</v>
      </c>
      <c r="E195" s="24" t="s">
        <v>282</v>
      </c>
      <c r="F195" s="24" t="str">
        <f t="shared" si="6"/>
        <v>rtdc.l.rtdc.4030:itc</v>
      </c>
      <c r="G195" s="8">
        <f t="shared" si="7"/>
        <v>42598.809398148151</v>
      </c>
    </row>
    <row r="196" spans="1:7" x14ac:dyDescent="0.25">
      <c r="A196" s="8">
        <v>42598.81</v>
      </c>
      <c r="B196" s="24" t="s">
        <v>250</v>
      </c>
      <c r="C196" s="24" t="s">
        <v>503</v>
      </c>
      <c r="D196" s="24">
        <v>1740000</v>
      </c>
      <c r="E196" s="24" t="s">
        <v>233</v>
      </c>
      <c r="F196" s="24" t="str">
        <f t="shared" si="6"/>
        <v>rtdc.l.rtdc.4016:itc</v>
      </c>
      <c r="G196" s="8">
        <f t="shared" si="7"/>
        <v>42598.81</v>
      </c>
    </row>
    <row r="197" spans="1:7" x14ac:dyDescent="0.25">
      <c r="A197" s="8">
        <v>42598.819780092592</v>
      </c>
      <c r="B197" s="24" t="s">
        <v>93</v>
      </c>
      <c r="C197" s="24" t="s">
        <v>633</v>
      </c>
      <c r="D197" s="24">
        <v>1770000</v>
      </c>
      <c r="E197" s="24" t="s">
        <v>236</v>
      </c>
      <c r="F197" s="24" t="str">
        <f t="shared" si="6"/>
        <v>rtdc.l.rtdc.4013:itc</v>
      </c>
      <c r="G197" s="8">
        <f t="shared" si="7"/>
        <v>42598.819780092592</v>
      </c>
    </row>
    <row r="198" spans="1:7" x14ac:dyDescent="0.25">
      <c r="A198" s="8">
        <v>42598.822430555556</v>
      </c>
      <c r="B198" s="24" t="s">
        <v>660</v>
      </c>
      <c r="C198" s="24" t="s">
        <v>534</v>
      </c>
      <c r="D198" s="24">
        <v>2140000</v>
      </c>
      <c r="E198" s="24" t="s">
        <v>670</v>
      </c>
      <c r="F198" s="24" t="str">
        <f t="shared" si="6"/>
        <v>rtdc.l.rtdc.4018:itc</v>
      </c>
      <c r="G198" s="8">
        <f t="shared" si="7"/>
        <v>42598.822430555556</v>
      </c>
    </row>
    <row r="199" spans="1:7" x14ac:dyDescent="0.25">
      <c r="A199" s="8">
        <v>42598.826666666668</v>
      </c>
      <c r="B199" s="24" t="s">
        <v>228</v>
      </c>
      <c r="C199" s="24" t="s">
        <v>501</v>
      </c>
      <c r="D199" s="24">
        <v>2110000</v>
      </c>
      <c r="E199" s="24" t="s">
        <v>281</v>
      </c>
      <c r="F199" s="24" t="str">
        <f t="shared" si="6"/>
        <v>rtdc.l.rtdc.4043:itc</v>
      </c>
      <c r="G199" s="8">
        <f t="shared" si="7"/>
        <v>42598.826666666668</v>
      </c>
    </row>
    <row r="200" spans="1:7" x14ac:dyDescent="0.25">
      <c r="A200" s="8">
        <v>42598.828993055555</v>
      </c>
      <c r="B200" s="24" t="s">
        <v>172</v>
      </c>
      <c r="C200" s="24" t="s">
        <v>507</v>
      </c>
      <c r="D200" s="24">
        <v>2100000</v>
      </c>
      <c r="E200" s="24" t="s">
        <v>149</v>
      </c>
      <c r="F200" s="24" t="str">
        <f t="shared" si="6"/>
        <v>rtdc.l.rtdc.4038:itc</v>
      </c>
      <c r="G200" s="8">
        <f t="shared" si="7"/>
        <v>42598.828993055555</v>
      </c>
    </row>
    <row r="201" spans="1:7" x14ac:dyDescent="0.25">
      <c r="A201" s="8">
        <v>42598.841782407406</v>
      </c>
      <c r="B201" s="24" t="s">
        <v>118</v>
      </c>
      <c r="C201" s="24" t="s">
        <v>639</v>
      </c>
      <c r="D201" s="24">
        <v>1770000</v>
      </c>
      <c r="E201" s="24" t="s">
        <v>236</v>
      </c>
      <c r="F201" s="24" t="str">
        <f t="shared" si="6"/>
        <v>rtdc.l.rtdc.4014:itc</v>
      </c>
      <c r="G201" s="8">
        <f t="shared" si="7"/>
        <v>42598.841782407406</v>
      </c>
    </row>
    <row r="202" spans="1:7" x14ac:dyDescent="0.25">
      <c r="A202" s="30">
        <v>42598.845127314817</v>
      </c>
      <c r="B202" s="24" t="s">
        <v>111</v>
      </c>
      <c r="C202" s="24" t="s">
        <v>505</v>
      </c>
      <c r="D202" s="24">
        <v>1740000</v>
      </c>
      <c r="E202" s="24" t="s">
        <v>233</v>
      </c>
      <c r="F202" s="24" t="str">
        <f t="shared" si="6"/>
        <v>rtdc.l.rtdc.4015:itc</v>
      </c>
      <c r="G202" s="8">
        <f t="shared" si="7"/>
        <v>42598.845127314817</v>
      </c>
    </row>
    <row r="203" spans="1:7" x14ac:dyDescent="0.25">
      <c r="A203" s="8">
        <v>42598.853888888887</v>
      </c>
      <c r="B203" s="24" t="s">
        <v>94</v>
      </c>
      <c r="C203" s="24" t="s">
        <v>510</v>
      </c>
      <c r="D203" s="24">
        <v>1800000</v>
      </c>
      <c r="E203" s="24" t="s">
        <v>282</v>
      </c>
      <c r="F203" s="24" t="str">
        <f t="shared" si="6"/>
        <v>rtdc.l.rtdc.4029:itc</v>
      </c>
      <c r="G203" s="8">
        <f t="shared" si="7"/>
        <v>42598.853888888887</v>
      </c>
    </row>
    <row r="204" spans="1:7" x14ac:dyDescent="0.25">
      <c r="A204" s="8">
        <v>42598.858993055554</v>
      </c>
      <c r="B204" s="24" t="s">
        <v>93</v>
      </c>
      <c r="C204" s="24" t="s">
        <v>636</v>
      </c>
      <c r="D204" s="24">
        <v>1770000</v>
      </c>
      <c r="E204" s="24" t="s">
        <v>236</v>
      </c>
      <c r="F204" s="24" t="str">
        <f t="shared" si="6"/>
        <v>rtdc.l.rtdc.4013:itc</v>
      </c>
      <c r="G204" s="8">
        <f t="shared" si="7"/>
        <v>42598.858993055554</v>
      </c>
    </row>
    <row r="205" spans="1:7" x14ac:dyDescent="0.25">
      <c r="A205" s="8">
        <v>42598.867766203701</v>
      </c>
      <c r="B205" s="24" t="s">
        <v>161</v>
      </c>
      <c r="C205" s="24" t="s">
        <v>508</v>
      </c>
      <c r="D205" s="24">
        <v>2100000</v>
      </c>
      <c r="E205" s="24" t="s">
        <v>149</v>
      </c>
      <c r="F205" s="24" t="str">
        <f t="shared" si="6"/>
        <v>rtdc.l.rtdc.4037:itc</v>
      </c>
      <c r="G205" s="8">
        <f t="shared" si="7"/>
        <v>42598.867766203701</v>
      </c>
    </row>
    <row r="206" spans="1:7" x14ac:dyDescent="0.25">
      <c r="A206" s="8">
        <v>42598.869606481479</v>
      </c>
      <c r="B206" s="24" t="s">
        <v>226</v>
      </c>
      <c r="C206" s="24" t="s">
        <v>513</v>
      </c>
      <c r="D206" s="24">
        <v>2110000</v>
      </c>
      <c r="E206" s="24" t="s">
        <v>281</v>
      </c>
      <c r="F206" s="24" t="str">
        <f t="shared" si="6"/>
        <v>rtdc.l.rtdc.4044:itc</v>
      </c>
      <c r="G206" s="8">
        <f t="shared" si="7"/>
        <v>42598.869606481479</v>
      </c>
    </row>
    <row r="207" spans="1:7" x14ac:dyDescent="0.25">
      <c r="A207" s="8">
        <v>42598.880358796298</v>
      </c>
      <c r="B207" s="24" t="s">
        <v>118</v>
      </c>
      <c r="C207" s="24" t="s">
        <v>641</v>
      </c>
      <c r="D207" s="24">
        <v>1480000</v>
      </c>
      <c r="E207" s="24" t="s">
        <v>669</v>
      </c>
      <c r="F207" s="24" t="str">
        <f t="shared" si="6"/>
        <v>rtdc.l.rtdc.4014:itc</v>
      </c>
      <c r="G207" s="8">
        <f t="shared" si="7"/>
        <v>42598.880358796298</v>
      </c>
    </row>
    <row r="208" spans="1:7" x14ac:dyDescent="0.25">
      <c r="A208" s="8">
        <v>42598.886944444443</v>
      </c>
      <c r="B208" s="24" t="s">
        <v>250</v>
      </c>
      <c r="C208" s="24" t="s">
        <v>516</v>
      </c>
      <c r="D208" s="24">
        <v>1740000</v>
      </c>
      <c r="E208" s="24" t="s">
        <v>233</v>
      </c>
      <c r="F208" s="24" t="str">
        <f t="shared" si="6"/>
        <v>rtdc.l.rtdc.4016:itc</v>
      </c>
      <c r="G208" s="8">
        <f t="shared" si="7"/>
        <v>42598.886944444443</v>
      </c>
    </row>
    <row r="209" spans="1:7" x14ac:dyDescent="0.25">
      <c r="A209" s="8">
        <v>42598.892326388886</v>
      </c>
      <c r="B209" s="24" t="s">
        <v>95</v>
      </c>
      <c r="C209" s="24" t="s">
        <v>511</v>
      </c>
      <c r="D209" s="24">
        <v>1800000</v>
      </c>
      <c r="E209" s="24" t="s">
        <v>282</v>
      </c>
      <c r="F209" s="24" t="str">
        <f t="shared" si="6"/>
        <v>rtdc.l.rtdc.4030:itc</v>
      </c>
      <c r="G209" s="8">
        <f t="shared" si="7"/>
        <v>42598.892326388886</v>
      </c>
    </row>
    <row r="210" spans="1:7" x14ac:dyDescent="0.25">
      <c r="A210" s="8">
        <v>42598.903379629628</v>
      </c>
      <c r="B210" s="24" t="s">
        <v>93</v>
      </c>
      <c r="C210" s="24" t="s">
        <v>640</v>
      </c>
      <c r="D210" s="24">
        <v>1480000</v>
      </c>
      <c r="E210" s="24" t="s">
        <v>669</v>
      </c>
      <c r="F210" s="24" t="str">
        <f t="shared" si="6"/>
        <v>rtdc.l.rtdc.4013:itc</v>
      </c>
      <c r="G210" s="8">
        <f t="shared" si="7"/>
        <v>42598.903379629628</v>
      </c>
    </row>
    <row r="211" spans="1:7" x14ac:dyDescent="0.25">
      <c r="A211" s="8">
        <v>42598.908912037034</v>
      </c>
      <c r="B211" s="24" t="s">
        <v>228</v>
      </c>
      <c r="C211" s="24" t="s">
        <v>514</v>
      </c>
      <c r="D211" s="24">
        <v>2110000</v>
      </c>
      <c r="E211" s="24" t="s">
        <v>281</v>
      </c>
      <c r="F211" s="24" t="str">
        <f t="shared" si="6"/>
        <v>rtdc.l.rtdc.4043:itc</v>
      </c>
      <c r="G211" s="8">
        <f t="shared" si="7"/>
        <v>42598.908912037034</v>
      </c>
    </row>
    <row r="212" spans="1:7" x14ac:dyDescent="0.25">
      <c r="A212" s="8">
        <v>42598.910081018519</v>
      </c>
      <c r="B212" s="24" t="s">
        <v>172</v>
      </c>
      <c r="C212" s="24" t="s">
        <v>520</v>
      </c>
      <c r="D212" s="24">
        <v>2100000</v>
      </c>
      <c r="E212" s="24" t="s">
        <v>149</v>
      </c>
      <c r="F212" s="24" t="str">
        <f t="shared" si="6"/>
        <v>rtdc.l.rtdc.4038:itc</v>
      </c>
      <c r="G212" s="8">
        <f t="shared" si="7"/>
        <v>42598.910081018519</v>
      </c>
    </row>
    <row r="213" spans="1:7" x14ac:dyDescent="0.25">
      <c r="A213" s="8">
        <v>42598.916250000002</v>
      </c>
      <c r="B213" s="24" t="s">
        <v>172</v>
      </c>
      <c r="C213" s="24" t="s">
        <v>672</v>
      </c>
      <c r="D213" s="24">
        <v>1200000</v>
      </c>
      <c r="E213" s="24" t="s">
        <v>673</v>
      </c>
      <c r="F213" s="24" t="str">
        <f t="shared" si="6"/>
        <v>rtdc.l.rtdc.4038:itc</v>
      </c>
      <c r="G213" s="8">
        <f t="shared" si="7"/>
        <v>42598.916250000002</v>
      </c>
    </row>
    <row r="214" spans="1:7" x14ac:dyDescent="0.25">
      <c r="A214" s="8">
        <v>42598.927129629628</v>
      </c>
      <c r="B214" s="24" t="s">
        <v>118</v>
      </c>
      <c r="C214" s="24" t="s">
        <v>643</v>
      </c>
      <c r="D214" s="24">
        <v>1480000</v>
      </c>
      <c r="E214" s="24" t="s">
        <v>669</v>
      </c>
      <c r="F214" s="24" t="str">
        <f t="shared" si="6"/>
        <v>rtdc.l.rtdc.4014:itc</v>
      </c>
      <c r="G214" s="8">
        <f t="shared" si="7"/>
        <v>42598.927129629628</v>
      </c>
    </row>
    <row r="215" spans="1:7" x14ac:dyDescent="0.25">
      <c r="A215" s="8">
        <v>42598.929664351854</v>
      </c>
      <c r="B215" s="24" t="s">
        <v>111</v>
      </c>
      <c r="C215" s="24" t="s">
        <v>518</v>
      </c>
      <c r="D215" s="24">
        <v>1740000</v>
      </c>
      <c r="E215" s="24" t="s">
        <v>233</v>
      </c>
      <c r="F215" s="24" t="str">
        <f t="shared" si="6"/>
        <v>rtdc.l.rtdc.4015:itc</v>
      </c>
      <c r="G215" s="8">
        <f t="shared" si="7"/>
        <v>42598.929664351854</v>
      </c>
    </row>
    <row r="216" spans="1:7" x14ac:dyDescent="0.25">
      <c r="A216" s="8">
        <v>42598.935185185182</v>
      </c>
      <c r="B216" s="24" t="s">
        <v>94</v>
      </c>
      <c r="C216" s="24" t="s">
        <v>523</v>
      </c>
      <c r="D216" s="24">
        <v>1800000</v>
      </c>
      <c r="E216" s="24" t="s">
        <v>282</v>
      </c>
      <c r="F216" s="24" t="str">
        <f t="shared" si="6"/>
        <v>rtdc.l.rtdc.4029:itc</v>
      </c>
      <c r="G216" s="8">
        <f t="shared" si="7"/>
        <v>42598.935185185182</v>
      </c>
    </row>
    <row r="217" spans="1:7" x14ac:dyDescent="0.25">
      <c r="A217" s="8">
        <v>42598.936909722222</v>
      </c>
      <c r="B217" s="24" t="s">
        <v>94</v>
      </c>
      <c r="C217" s="24" t="s">
        <v>522</v>
      </c>
      <c r="D217" s="24">
        <v>1800000</v>
      </c>
      <c r="E217" s="24" t="s">
        <v>282</v>
      </c>
      <c r="F217" s="24" t="str">
        <f t="shared" si="6"/>
        <v>rtdc.l.rtdc.4029:itc</v>
      </c>
      <c r="G217" s="8">
        <f t="shared" si="7"/>
        <v>42598.936909722222</v>
      </c>
    </row>
    <row r="218" spans="1:7" x14ac:dyDescent="0.25">
      <c r="A218" s="8">
        <v>42598.945590277777</v>
      </c>
      <c r="B218" s="24" t="s">
        <v>93</v>
      </c>
      <c r="C218" s="24" t="s">
        <v>653</v>
      </c>
      <c r="D218" s="24">
        <v>1480000</v>
      </c>
      <c r="E218" s="24" t="s">
        <v>669</v>
      </c>
      <c r="F218" s="24" t="str">
        <f t="shared" si="6"/>
        <v>rtdc.l.rtdc.4013:itc</v>
      </c>
      <c r="G218" s="8">
        <f t="shared" si="7"/>
        <v>42598.945590277777</v>
      </c>
    </row>
    <row r="219" spans="1:7" x14ac:dyDescent="0.25">
      <c r="A219" s="8">
        <v>42598.952905092592</v>
      </c>
      <c r="B219" s="24" t="s">
        <v>161</v>
      </c>
      <c r="C219" s="24" t="s">
        <v>521</v>
      </c>
      <c r="D219" s="24">
        <v>1200000</v>
      </c>
      <c r="E219" s="24" t="s">
        <v>673</v>
      </c>
      <c r="F219" s="24" t="str">
        <f t="shared" si="6"/>
        <v>rtdc.l.rtdc.4037:itc</v>
      </c>
      <c r="G219" s="8">
        <f t="shared" si="7"/>
        <v>42598.952905092592</v>
      </c>
    </row>
    <row r="220" spans="1:7" x14ac:dyDescent="0.25">
      <c r="A220" s="8">
        <v>42598.955150462964</v>
      </c>
      <c r="B220" s="24" t="s">
        <v>226</v>
      </c>
      <c r="C220" s="24" t="s">
        <v>524</v>
      </c>
      <c r="D220" s="24">
        <v>2110000</v>
      </c>
      <c r="E220" s="24" t="s">
        <v>281</v>
      </c>
      <c r="F220" s="24" t="str">
        <f t="shared" si="6"/>
        <v>rtdc.l.rtdc.4044:itc</v>
      </c>
      <c r="G220" s="8">
        <f t="shared" si="7"/>
        <v>42598.955150462964</v>
      </c>
    </row>
    <row r="221" spans="1:7" x14ac:dyDescent="0.25">
      <c r="A221" s="8">
        <v>42598.975960648146</v>
      </c>
      <c r="B221" s="24" t="s">
        <v>95</v>
      </c>
      <c r="C221" s="24" t="s">
        <v>523</v>
      </c>
      <c r="D221" s="24">
        <v>1800000</v>
      </c>
      <c r="E221" s="24" t="s">
        <v>282</v>
      </c>
      <c r="F221" s="24" t="str">
        <f t="shared" si="6"/>
        <v>rtdc.l.rtdc.4030:itc</v>
      </c>
      <c r="G221" s="8">
        <f t="shared" si="7"/>
        <v>42598.975960648146</v>
      </c>
    </row>
    <row r="222" spans="1:7" x14ac:dyDescent="0.25">
      <c r="A222" s="8">
        <v>42598.976400462961</v>
      </c>
      <c r="B222" s="24" t="s">
        <v>250</v>
      </c>
      <c r="C222" s="24" t="s">
        <v>525</v>
      </c>
      <c r="D222" s="24">
        <v>1740000</v>
      </c>
      <c r="E222" s="24" t="s">
        <v>233</v>
      </c>
      <c r="F222" s="24" t="str">
        <f t="shared" si="6"/>
        <v>rtdc.l.rtdc.4016:itc</v>
      </c>
      <c r="G222" s="8">
        <f t="shared" si="7"/>
        <v>42598.976400462961</v>
      </c>
    </row>
    <row r="223" spans="1:7" x14ac:dyDescent="0.25">
      <c r="A223" s="8">
        <v>42598.992256944446</v>
      </c>
      <c r="B223" s="24" t="s">
        <v>228</v>
      </c>
      <c r="C223" s="24" t="s">
        <v>674</v>
      </c>
      <c r="D223" s="24">
        <v>2110000</v>
      </c>
      <c r="E223" s="24" t="s">
        <v>281</v>
      </c>
      <c r="F223" s="24" t="str">
        <f t="shared" si="6"/>
        <v>rtdc.l.rtdc.4043:itc</v>
      </c>
      <c r="G223" s="8">
        <f t="shared" si="7"/>
        <v>42598.992256944446</v>
      </c>
    </row>
    <row r="224" spans="1:7" x14ac:dyDescent="0.25">
      <c r="A224" s="8">
        <v>42598.994328703702</v>
      </c>
      <c r="B224" t="s">
        <v>172</v>
      </c>
      <c r="C224" t="s">
        <v>526</v>
      </c>
      <c r="D224">
        <v>2100000</v>
      </c>
      <c r="E224" t="s">
        <v>149</v>
      </c>
      <c r="F224" s="24" t="str">
        <f t="shared" si="6"/>
        <v>rtdc.l.rtdc.4038:itc</v>
      </c>
      <c r="G224" s="8">
        <f t="shared" si="7"/>
        <v>42598.994328703702</v>
      </c>
    </row>
    <row r="225" spans="1:7" x14ac:dyDescent="0.25">
      <c r="A225" s="8">
        <v>42599.011666666665</v>
      </c>
      <c r="B225" t="s">
        <v>111</v>
      </c>
      <c r="C225" t="s">
        <v>675</v>
      </c>
      <c r="D225">
        <v>1740000</v>
      </c>
      <c r="E225" t="s">
        <v>233</v>
      </c>
      <c r="F225" s="24" t="str">
        <f t="shared" si="6"/>
        <v>rtdc.l.rtdc.4015:itc</v>
      </c>
      <c r="G225" s="8">
        <f t="shared" si="7"/>
        <v>42599.011666666665</v>
      </c>
    </row>
    <row r="226" spans="1:7" x14ac:dyDescent="0.25">
      <c r="A226" s="8">
        <v>42599.02071759259</v>
      </c>
      <c r="B226" t="s">
        <v>94</v>
      </c>
      <c r="C226" t="s">
        <v>676</v>
      </c>
      <c r="D226">
        <v>1800000</v>
      </c>
      <c r="E226" t="s">
        <v>282</v>
      </c>
      <c r="F226" s="24" t="str">
        <f t="shared" si="6"/>
        <v>rtdc.l.rtdc.4029:itc</v>
      </c>
      <c r="G226" s="8">
        <f t="shared" si="7"/>
        <v>42599.02071759259</v>
      </c>
    </row>
    <row r="227" spans="1:7" x14ac:dyDescent="0.25">
      <c r="A227" s="8">
        <v>42599.059386574074</v>
      </c>
      <c r="B227" t="s">
        <v>95</v>
      </c>
      <c r="C227" t="s">
        <v>527</v>
      </c>
      <c r="D227">
        <v>1800000</v>
      </c>
      <c r="E227" t="s">
        <v>282</v>
      </c>
      <c r="F227" s="24" t="str">
        <f t="shared" si="6"/>
        <v>rtdc.l.rtdc.4030:itc</v>
      </c>
      <c r="G227" s="8">
        <f t="shared" si="7"/>
        <v>42599.059386574074</v>
      </c>
    </row>
    <row r="228" spans="1:7" x14ac:dyDescent="0.25">
      <c r="A228" s="8">
        <v>42599.081250000003</v>
      </c>
      <c r="B228" t="s">
        <v>172</v>
      </c>
      <c r="C228" t="s">
        <v>542</v>
      </c>
      <c r="D228">
        <v>2100000</v>
      </c>
      <c r="E228" t="s">
        <v>149</v>
      </c>
      <c r="F228" s="24" t="str">
        <f t="shared" si="6"/>
        <v>rtdc.l.rtdc.4038:itc</v>
      </c>
      <c r="G228" s="8">
        <f t="shared" si="7"/>
        <v>42599.081250000003</v>
      </c>
    </row>
    <row r="229" spans="1:7" x14ac:dyDescent="0.25">
      <c r="A229" s="8">
        <v>42599.092766203707</v>
      </c>
      <c r="B229" t="s">
        <v>94</v>
      </c>
      <c r="C229" t="s">
        <v>527</v>
      </c>
      <c r="D229">
        <v>1800000</v>
      </c>
      <c r="E229" t="s">
        <v>282</v>
      </c>
      <c r="F229" s="24" t="str">
        <f t="shared" si="6"/>
        <v>rtdc.l.rtdc.4029:itc</v>
      </c>
      <c r="G229" s="8">
        <f t="shared" si="7"/>
        <v>42599.092766203707</v>
      </c>
    </row>
    <row r="230" spans="1:7" x14ac:dyDescent="0.25">
      <c r="A230" s="8">
        <v>42599.095381944448</v>
      </c>
      <c r="B230" t="s">
        <v>94</v>
      </c>
      <c r="C230" t="s">
        <v>545</v>
      </c>
      <c r="D230">
        <v>1800000</v>
      </c>
      <c r="E230" t="s">
        <v>677</v>
      </c>
      <c r="F230" s="24" t="str">
        <f t="shared" si="6"/>
        <v>rtdc.l.rtdc.4029:itc</v>
      </c>
      <c r="G230" s="8">
        <f t="shared" si="7"/>
        <v>42599.095381944448</v>
      </c>
    </row>
    <row r="231" spans="1:7" x14ac:dyDescent="0.25">
      <c r="A231" s="8">
        <v>42594.933275462965</v>
      </c>
      <c r="B231" t="s">
        <v>161</v>
      </c>
      <c r="C231" t="s">
        <v>184</v>
      </c>
      <c r="D231">
        <v>1300000</v>
      </c>
      <c r="E231" t="s">
        <v>155</v>
      </c>
      <c r="F231" s="24" t="str">
        <f t="shared" si="6"/>
        <v>rtdc.l.rtdc.4037:itc</v>
      </c>
      <c r="G231" s="8">
        <f t="shared" si="7"/>
        <v>42594.933275462965</v>
      </c>
    </row>
    <row r="232" spans="1:7" x14ac:dyDescent="0.25">
      <c r="A232" s="8">
        <v>42594.933877314812</v>
      </c>
      <c r="B232" t="s">
        <v>212</v>
      </c>
      <c r="C232" t="s">
        <v>200</v>
      </c>
      <c r="D232">
        <v>730000</v>
      </c>
      <c r="E232" t="s">
        <v>213</v>
      </c>
      <c r="F232" s="24" t="str">
        <f t="shared" si="6"/>
        <v>rtdc.l.rtdc.4022:itc</v>
      </c>
      <c r="G232" s="8">
        <f t="shared" si="7"/>
        <v>42594.933877314812</v>
      </c>
    </row>
    <row r="233" spans="1:7" x14ac:dyDescent="0.25">
      <c r="A233" s="8">
        <v>42594.934988425928</v>
      </c>
      <c r="B233" t="s">
        <v>212</v>
      </c>
      <c r="C233" t="s">
        <v>200</v>
      </c>
      <c r="D233">
        <v>730000</v>
      </c>
      <c r="E233" t="s">
        <v>213</v>
      </c>
      <c r="F233" s="24" t="str">
        <f t="shared" si="6"/>
        <v>rtdc.l.rtdc.4022:itc</v>
      </c>
      <c r="G233" s="8">
        <f t="shared" si="7"/>
        <v>42594.934988425928</v>
      </c>
    </row>
    <row r="234" spans="1:7" x14ac:dyDescent="0.25">
      <c r="A234" s="8">
        <v>42594.944837962961</v>
      </c>
      <c r="B234" t="s">
        <v>202</v>
      </c>
      <c r="C234" t="s">
        <v>201</v>
      </c>
      <c r="D234">
        <v>1460000</v>
      </c>
      <c r="E234" t="s">
        <v>210</v>
      </c>
      <c r="F234" s="24" t="str">
        <f t="shared" si="6"/>
        <v>rtdc.l.rtdc.4008:itc</v>
      </c>
      <c r="G234" s="8">
        <f t="shared" si="7"/>
        <v>42594.944837962961</v>
      </c>
    </row>
    <row r="235" spans="1:7" x14ac:dyDescent="0.25">
      <c r="A235" s="8">
        <v>42594.945891203701</v>
      </c>
      <c r="B235" t="s">
        <v>202</v>
      </c>
      <c r="C235" t="s">
        <v>201</v>
      </c>
      <c r="D235">
        <v>1460000</v>
      </c>
      <c r="E235" t="s">
        <v>210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121</v>
      </c>
      <c r="C236" t="s">
        <v>185</v>
      </c>
      <c r="D236">
        <v>2000000</v>
      </c>
      <c r="E236" t="s">
        <v>160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172</v>
      </c>
      <c r="C237" t="s">
        <v>187</v>
      </c>
      <c r="D237">
        <v>1300000</v>
      </c>
      <c r="E237" t="s">
        <v>155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94</v>
      </c>
      <c r="C238" t="s">
        <v>189</v>
      </c>
      <c r="D238">
        <v>1230000</v>
      </c>
      <c r="E238" t="s">
        <v>211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93</v>
      </c>
      <c r="C239" t="s">
        <v>186</v>
      </c>
      <c r="D239">
        <v>2100000</v>
      </c>
      <c r="E239" t="s">
        <v>149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161</v>
      </c>
      <c r="C240" t="s">
        <v>188</v>
      </c>
      <c r="D240">
        <v>1300000</v>
      </c>
      <c r="E240" t="s">
        <v>155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120</v>
      </c>
      <c r="C241" t="s">
        <v>191</v>
      </c>
      <c r="D241">
        <v>2000000</v>
      </c>
      <c r="E241" t="s">
        <v>160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95</v>
      </c>
      <c r="C242" t="s">
        <v>190</v>
      </c>
      <c r="D242">
        <v>1230000</v>
      </c>
      <c r="E242" t="s">
        <v>211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118</v>
      </c>
      <c r="C243" t="s">
        <v>193</v>
      </c>
      <c r="D243">
        <v>2100000</v>
      </c>
      <c r="E243" t="s">
        <v>149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172</v>
      </c>
      <c r="C244" t="s">
        <v>195</v>
      </c>
      <c r="D244">
        <v>1300000</v>
      </c>
      <c r="E244" t="s">
        <v>155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121</v>
      </c>
      <c r="C245" t="s">
        <v>192</v>
      </c>
      <c r="D245">
        <v>2000000</v>
      </c>
      <c r="E245" t="s">
        <v>160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94</v>
      </c>
      <c r="C246" t="s">
        <v>197</v>
      </c>
      <c r="D246">
        <v>1230000</v>
      </c>
      <c r="E246" t="s">
        <v>211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93</v>
      </c>
      <c r="C247" t="s">
        <v>194</v>
      </c>
      <c r="D247">
        <v>2100000</v>
      </c>
      <c r="E247" t="s">
        <v>149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120</v>
      </c>
      <c r="C248" t="s">
        <v>198</v>
      </c>
      <c r="D248">
        <v>2000000</v>
      </c>
      <c r="E248" t="s">
        <v>160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161</v>
      </c>
      <c r="C249" t="s">
        <v>196</v>
      </c>
      <c r="D249">
        <v>1300000</v>
      </c>
      <c r="E249" t="s">
        <v>155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118</v>
      </c>
      <c r="C250" t="s">
        <v>214</v>
      </c>
      <c r="D250">
        <v>2100000</v>
      </c>
      <c r="E250" t="s">
        <v>149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172</v>
      </c>
      <c r="C251" t="s">
        <v>199</v>
      </c>
      <c r="D251">
        <v>1300000</v>
      </c>
      <c r="E251" t="s">
        <v>155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8" t="s">
        <v>123</v>
      </c>
      <c r="D1" s="79" t="s">
        <v>124</v>
      </c>
      <c r="J1" s="35" t="s">
        <v>125</v>
      </c>
      <c r="K1" s="35" t="s">
        <v>74</v>
      </c>
      <c r="L1" s="35" t="s">
        <v>75</v>
      </c>
      <c r="O1" s="82" t="s">
        <v>126</v>
      </c>
    </row>
    <row r="2" spans="1:16" ht="15.75" thickBot="1" x14ac:dyDescent="0.3">
      <c r="A2" s="15">
        <v>42598</v>
      </c>
      <c r="B2" s="4"/>
      <c r="C2" s="80">
        <v>50</v>
      </c>
      <c r="D2" s="81">
        <v>25</v>
      </c>
      <c r="F2" t="s">
        <v>162</v>
      </c>
      <c r="J2" s="35"/>
      <c r="K2" s="35" t="s">
        <v>74</v>
      </c>
      <c r="L2" s="35" t="s">
        <v>75</v>
      </c>
    </row>
    <row r="3" spans="1:16" x14ac:dyDescent="0.25">
      <c r="F3" t="s">
        <v>58</v>
      </c>
      <c r="J3" s="36" t="s">
        <v>76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127</v>
      </c>
      <c r="P3" s="71">
        <f>AVERAGE(1.0714,1.1016)</f>
        <v>1.0865</v>
      </c>
    </row>
    <row r="4" spans="1:16" x14ac:dyDescent="0.25">
      <c r="F4" t="s">
        <v>59</v>
      </c>
      <c r="J4" s="36" t="s">
        <v>77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78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163</v>
      </c>
      <c r="J6" s="36" t="s">
        <v>79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164</v>
      </c>
      <c r="J7" s="36" t="s">
        <v>80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165</v>
      </c>
      <c r="J8" s="36" t="s">
        <v>81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82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83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84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85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86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87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100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101</v>
      </c>
      <c r="K19" s="37"/>
      <c r="L19" s="37"/>
      <c r="M19" s="71" t="s">
        <v>138</v>
      </c>
    </row>
    <row r="20" spans="10:13" x14ac:dyDescent="0.25">
      <c r="J20" t="s">
        <v>102</v>
      </c>
      <c r="M20" s="71" t="s">
        <v>709</v>
      </c>
    </row>
    <row r="21" spans="10:13" x14ac:dyDescent="0.25">
      <c r="J21" s="24" t="s">
        <v>105</v>
      </c>
      <c r="K21" s="24" t="s">
        <v>106</v>
      </c>
      <c r="M21" s="71" t="s">
        <v>106</v>
      </c>
    </row>
    <row r="22" spans="10:13" x14ac:dyDescent="0.25">
      <c r="J22" s="24" t="s">
        <v>107</v>
      </c>
      <c r="K22" s="24" t="s">
        <v>108</v>
      </c>
      <c r="M22" s="71" t="s">
        <v>137</v>
      </c>
    </row>
    <row r="23" spans="10:13" x14ac:dyDescent="0.25">
      <c r="J23" s="32" t="s">
        <v>110</v>
      </c>
      <c r="K23" s="24"/>
      <c r="M23" s="123">
        <v>-6</v>
      </c>
    </row>
    <row r="24" spans="10:13" x14ac:dyDescent="0.25">
      <c r="J24" s="24" t="s">
        <v>134</v>
      </c>
      <c r="K24" s="24"/>
      <c r="M24" s="71" t="s">
        <v>136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2016-08-17T19:08:54Z</dcterms:modified>
</cp:coreProperties>
</file>