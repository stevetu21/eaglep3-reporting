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 activeTab="1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Enforcements!$A$6:$AC$62</definedName>
    <definedName name="_xlnm._FilterDatabase" localSheetId="2" hidden="1">'Missing Trips'!$A$2:$J$86</definedName>
    <definedName name="_xlnm._FilterDatabase" localSheetId="0" hidden="1">'Train Runs'!$A$12:$AG$258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Runs'!$A$12:$J$60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4" i="1" l="1"/>
  <c r="X205" i="1"/>
  <c r="X206" i="1"/>
  <c r="X207" i="1"/>
  <c r="Y94" i="1"/>
  <c r="Y95" i="1"/>
  <c r="Y96" i="1"/>
  <c r="Y97" i="1"/>
  <c r="X98" i="1"/>
  <c r="Y98" i="1"/>
  <c r="Y99" i="1"/>
  <c r="X100" i="1"/>
  <c r="Y100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G16" i="1" s="1"/>
  <c r="AE16" i="1"/>
  <c r="AF16" i="1"/>
  <c r="AH16" i="1"/>
  <c r="AI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R15" i="3" s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R19" i="3" s="1"/>
  <c r="AF21" i="1"/>
  <c r="AH21" i="1"/>
  <c r="AM21" i="1"/>
  <c r="AN21" i="1"/>
  <c r="K22" i="1"/>
  <c r="L22" i="1"/>
  <c r="M22" i="1"/>
  <c r="N22" i="1" s="1"/>
  <c r="V22" i="1"/>
  <c r="S14" i="3" s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I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X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X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G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I35" i="1" s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S13" i="3" s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X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G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S9" i="3" s="1"/>
  <c r="Y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I64" i="1" s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AA79" i="1" s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AA89" i="1" s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X94" i="1" s="1"/>
  <c r="AE93" i="1"/>
  <c r="AF93" i="1"/>
  <c r="AH93" i="1"/>
  <c r="AM93" i="1"/>
  <c r="AN93" i="1"/>
  <c r="K94" i="1"/>
  <c r="L94" i="1"/>
  <c r="M94" i="1"/>
  <c r="N94" i="1" s="1"/>
  <c r="V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Z95" i="1"/>
  <c r="AB95" i="1"/>
  <c r="AC95" i="1"/>
  <c r="AD95" i="1"/>
  <c r="T95" i="1" s="1"/>
  <c r="AE95" i="1"/>
  <c r="AF95" i="1"/>
  <c r="AG95" i="1"/>
  <c r="AH95" i="1"/>
  <c r="AM95" i="1"/>
  <c r="AN95" i="1"/>
  <c r="K96" i="1"/>
  <c r="L96" i="1"/>
  <c r="M96" i="1"/>
  <c r="N96" i="1" s="1"/>
  <c r="V96" i="1"/>
  <c r="Z96" i="1"/>
  <c r="AB96" i="1"/>
  <c r="AC96" i="1"/>
  <c r="AD96" i="1"/>
  <c r="X96" i="1" s="1"/>
  <c r="AE96" i="1"/>
  <c r="AF96" i="1"/>
  <c r="AH96" i="1"/>
  <c r="AM96" i="1"/>
  <c r="AN96" i="1"/>
  <c r="K97" i="1"/>
  <c r="L97" i="1"/>
  <c r="M97" i="1"/>
  <c r="N97" i="1" s="1"/>
  <c r="V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S21" i="3" s="1"/>
  <c r="Z98" i="1"/>
  <c r="AB98" i="1"/>
  <c r="AC98" i="1"/>
  <c r="AD98" i="1"/>
  <c r="AE98" i="1"/>
  <c r="R20" i="3" s="1"/>
  <c r="AF98" i="1"/>
  <c r="AH98" i="1"/>
  <c r="AM98" i="1"/>
  <c r="AN98" i="1"/>
  <c r="K99" i="1"/>
  <c r="L99" i="1"/>
  <c r="M99" i="1"/>
  <c r="N99" i="1" s="1"/>
  <c r="V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/>
  <c r="V100" i="1"/>
  <c r="S24" i="3" s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S26" i="3" s="1"/>
  <c r="Y106" i="1"/>
  <c r="AA106" i="1" s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T109" i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R18" i="3" s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T117" i="1"/>
  <c r="V117" i="1"/>
  <c r="Y117" i="1"/>
  <c r="Z117" i="1"/>
  <c r="AA117" i="1" s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T118" i="1"/>
  <c r="V118" i="1"/>
  <c r="Y118" i="1"/>
  <c r="Z118" i="1"/>
  <c r="AB118" i="1"/>
  <c r="AC118" i="1"/>
  <c r="AD118" i="1"/>
  <c r="X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S27" i="3" s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G126" i="1"/>
  <c r="AH126" i="1"/>
  <c r="AM126" i="1"/>
  <c r="AN126" i="1"/>
  <c r="K127" i="1"/>
  <c r="L127" i="1"/>
  <c r="M127" i="1"/>
  <c r="N127" i="1" s="1"/>
  <c r="V127" i="1"/>
  <c r="S30" i="3" s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A128" i="1" s="1"/>
  <c r="AB128" i="1"/>
  <c r="AC128" i="1"/>
  <c r="AD128" i="1"/>
  <c r="T128" i="1" s="1"/>
  <c r="AE128" i="1"/>
  <c r="R12" i="3" s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S8" i="3" s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S31" i="3" s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P147" i="1" s="1"/>
  <c r="V147" i="1"/>
  <c r="Y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S16" i="3" s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A157" i="1" s="1"/>
  <c r="W157" i="1" s="1"/>
  <c r="AB157" i="1"/>
  <c r="AC157" i="1"/>
  <c r="AD157" i="1"/>
  <c r="AG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I208" i="1" s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S38" i="3" s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I217" i="1" s="1"/>
  <c r="AE217" i="1"/>
  <c r="AF217" i="1"/>
  <c r="AH170" i="1"/>
  <c r="AM170" i="1"/>
  <c r="AN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6" i="1"/>
  <c r="AM176" i="1"/>
  <c r="AN176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77" i="1"/>
  <c r="AM177" i="1"/>
  <c r="AN177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78" i="1"/>
  <c r="AM178" i="1"/>
  <c r="AN178" i="1"/>
  <c r="K161" i="1"/>
  <c r="L161" i="1"/>
  <c r="M161" i="1"/>
  <c r="N161" i="1" s="1"/>
  <c r="V161" i="1"/>
  <c r="S33" i="3" s="1"/>
  <c r="Y161" i="1"/>
  <c r="Z161" i="1"/>
  <c r="AB161" i="1"/>
  <c r="AC161" i="1"/>
  <c r="AD161" i="1"/>
  <c r="T161" i="1" s="1"/>
  <c r="AE161" i="1"/>
  <c r="AF161" i="1"/>
  <c r="AH179" i="1"/>
  <c r="AM179" i="1"/>
  <c r="AN17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0" i="1"/>
  <c r="AM180" i="1"/>
  <c r="AN180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81" i="1"/>
  <c r="AM181" i="1"/>
  <c r="AN18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2" i="1"/>
  <c r="AM182" i="1"/>
  <c r="AN182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83" i="1"/>
  <c r="AM183" i="1"/>
  <c r="AN183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4" i="1"/>
  <c r="AM184" i="1"/>
  <c r="AN184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85" i="1"/>
  <c r="AM185" i="1"/>
  <c r="AN185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86" i="1"/>
  <c r="AM186" i="1"/>
  <c r="AN186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87" i="1"/>
  <c r="AM187" i="1"/>
  <c r="AN187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8" i="1"/>
  <c r="AM188" i="1"/>
  <c r="AN188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89" i="1"/>
  <c r="AM189" i="1"/>
  <c r="AN18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0" i="1"/>
  <c r="AM190" i="1"/>
  <c r="AN190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1" i="1"/>
  <c r="AM191" i="1"/>
  <c r="AN191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2" i="1"/>
  <c r="AM192" i="1"/>
  <c r="AN192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3" i="1"/>
  <c r="AM193" i="1"/>
  <c r="AN193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4" i="1"/>
  <c r="AM194" i="1"/>
  <c r="AN19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5" i="1"/>
  <c r="AM195" i="1"/>
  <c r="AN195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6" i="1"/>
  <c r="AM196" i="1"/>
  <c r="AN196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7" i="1"/>
  <c r="AM197" i="1"/>
  <c r="AN197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98" i="1"/>
  <c r="AM198" i="1"/>
  <c r="AN198" i="1"/>
  <c r="K181" i="1"/>
  <c r="L181" i="1"/>
  <c r="M181" i="1"/>
  <c r="N181" i="1" s="1"/>
  <c r="V181" i="1"/>
  <c r="Y181" i="1"/>
  <c r="Z181" i="1"/>
  <c r="AA181" i="1" s="1"/>
  <c r="AB181" i="1"/>
  <c r="AC181" i="1"/>
  <c r="AD181" i="1"/>
  <c r="AE181" i="1"/>
  <c r="AF181" i="1"/>
  <c r="AH199" i="1"/>
  <c r="AM199" i="1"/>
  <c r="AN199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0" i="1"/>
  <c r="AM200" i="1"/>
  <c r="AN200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1" i="1"/>
  <c r="AM201" i="1"/>
  <c r="AN20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2" i="1"/>
  <c r="AM202" i="1"/>
  <c r="AN202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03" i="1"/>
  <c r="AM203" i="1"/>
  <c r="AN20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04" i="1"/>
  <c r="AM204" i="1"/>
  <c r="AN204" i="1"/>
  <c r="K187" i="1"/>
  <c r="L187" i="1"/>
  <c r="M187" i="1"/>
  <c r="N187" i="1" s="1"/>
  <c r="V187" i="1"/>
  <c r="Y187" i="1"/>
  <c r="Z187" i="1"/>
  <c r="AA187" i="1" s="1"/>
  <c r="W187" i="1" s="1"/>
  <c r="AB187" i="1"/>
  <c r="AC187" i="1"/>
  <c r="AD187" i="1"/>
  <c r="T187" i="1" s="1"/>
  <c r="AE187" i="1"/>
  <c r="AF187" i="1"/>
  <c r="AG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5" i="1"/>
  <c r="AM205" i="1"/>
  <c r="AN205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6" i="1"/>
  <c r="AM206" i="1"/>
  <c r="AN206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7" i="1"/>
  <c r="AM207" i="1"/>
  <c r="AN207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8" i="1"/>
  <c r="AM208" i="1"/>
  <c r="AN208" i="1"/>
  <c r="K192" i="1"/>
  <c r="L192" i="1"/>
  <c r="M192" i="1"/>
  <c r="N192" i="1" s="1"/>
  <c r="V192" i="1"/>
  <c r="S32" i="3" s="1"/>
  <c r="Y192" i="1"/>
  <c r="Z192" i="1"/>
  <c r="AB192" i="1"/>
  <c r="AC192" i="1"/>
  <c r="AD192" i="1"/>
  <c r="T192" i="1" s="1"/>
  <c r="AE192" i="1"/>
  <c r="R32" i="3" s="1"/>
  <c r="AF192" i="1"/>
  <c r="AH209" i="1"/>
  <c r="AM209" i="1"/>
  <c r="AN209" i="1"/>
  <c r="K193" i="1"/>
  <c r="L193" i="1"/>
  <c r="M193" i="1"/>
  <c r="N193" i="1" s="1"/>
  <c r="V193" i="1"/>
  <c r="Y193" i="1"/>
  <c r="AA193" i="1" s="1"/>
  <c r="Z193" i="1"/>
  <c r="AB193" i="1"/>
  <c r="AC193" i="1"/>
  <c r="AD193" i="1"/>
  <c r="AG193" i="1" s="1"/>
  <c r="AE193" i="1"/>
  <c r="AF193" i="1"/>
  <c r="AH210" i="1"/>
  <c r="AM210" i="1"/>
  <c r="AN21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1" i="1"/>
  <c r="AM211" i="1"/>
  <c r="AN211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2" i="1"/>
  <c r="AI212" i="1"/>
  <c r="AM212" i="1"/>
  <c r="AN212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3" i="1"/>
  <c r="AM213" i="1"/>
  <c r="AN213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14" i="1"/>
  <c r="AM214" i="1"/>
  <c r="AN214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15" i="1"/>
  <c r="AM215" i="1"/>
  <c r="AN215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16" i="1"/>
  <c r="AM216" i="1"/>
  <c r="AN216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17" i="1"/>
  <c r="AM217" i="1"/>
  <c r="AN217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8" i="1"/>
  <c r="AM218" i="1"/>
  <c r="AN218" i="1"/>
  <c r="K202" i="1"/>
  <c r="L202" i="1"/>
  <c r="M202" i="1"/>
  <c r="N202" i="1"/>
  <c r="V202" i="1"/>
  <c r="Y202" i="1"/>
  <c r="Z202" i="1"/>
  <c r="AB202" i="1"/>
  <c r="AC202" i="1"/>
  <c r="AD202" i="1"/>
  <c r="T202" i="1" s="1"/>
  <c r="AE202" i="1"/>
  <c r="AF202" i="1"/>
  <c r="AH219" i="1"/>
  <c r="AM219" i="1"/>
  <c r="AN219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0" i="1"/>
  <c r="AM220" i="1"/>
  <c r="AN220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21" i="1"/>
  <c r="AM221" i="1"/>
  <c r="AN221" i="1"/>
  <c r="R34" i="3"/>
  <c r="AH222" i="1"/>
  <c r="AM222" i="1"/>
  <c r="AN22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3" i="1"/>
  <c r="AM223" i="1"/>
  <c r="AN223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4" i="1"/>
  <c r="AM224" i="1"/>
  <c r="AN224" i="1"/>
  <c r="K219" i="1"/>
  <c r="L219" i="1"/>
  <c r="M219" i="1"/>
  <c r="N219" i="1" s="1"/>
  <c r="V219" i="1"/>
  <c r="Y219" i="1"/>
  <c r="Z219" i="1"/>
  <c r="AA219" i="1" s="1"/>
  <c r="W219" i="1" s="1"/>
  <c r="AB219" i="1"/>
  <c r="AC219" i="1"/>
  <c r="AD219" i="1"/>
  <c r="AG219" i="1" s="1"/>
  <c r="AE219" i="1"/>
  <c r="AF219" i="1"/>
  <c r="AH225" i="1"/>
  <c r="AM225" i="1"/>
  <c r="AN225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6" i="1"/>
  <c r="AM226" i="1"/>
  <c r="AN226" i="1"/>
  <c r="K221" i="1"/>
  <c r="L221" i="1"/>
  <c r="M221" i="1"/>
  <c r="N221" i="1" s="1"/>
  <c r="V221" i="1"/>
  <c r="Y221" i="1"/>
  <c r="Z221" i="1"/>
  <c r="AA221" i="1" s="1"/>
  <c r="AB221" i="1"/>
  <c r="AC221" i="1"/>
  <c r="AD221" i="1"/>
  <c r="T221" i="1" s="1"/>
  <c r="AE221" i="1"/>
  <c r="AF221" i="1"/>
  <c r="AH227" i="1"/>
  <c r="AM227" i="1"/>
  <c r="AN227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28" i="1"/>
  <c r="AM228" i="1"/>
  <c r="AN228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29" i="1"/>
  <c r="AM229" i="1"/>
  <c r="AN229" i="1"/>
  <c r="M38" i="3"/>
  <c r="R38" i="3"/>
  <c r="U38" i="3"/>
  <c r="T38" i="3" s="1"/>
  <c r="V38" i="3"/>
  <c r="W38" i="3"/>
  <c r="X38" i="3"/>
  <c r="Y38" i="3"/>
  <c r="M15" i="3"/>
  <c r="S15" i="3"/>
  <c r="U15" i="3"/>
  <c r="T15" i="3" s="1"/>
  <c r="V15" i="3"/>
  <c r="W15" i="3"/>
  <c r="X15" i="3"/>
  <c r="AC15" i="3"/>
  <c r="M19" i="3"/>
  <c r="S19" i="3"/>
  <c r="U19" i="3"/>
  <c r="AC19" i="3" s="1"/>
  <c r="V19" i="3"/>
  <c r="W19" i="3"/>
  <c r="X19" i="3"/>
  <c r="M14" i="3"/>
  <c r="R14" i="3"/>
  <c r="U14" i="3"/>
  <c r="AD14" i="3" s="1"/>
  <c r="V14" i="3"/>
  <c r="W14" i="3"/>
  <c r="X14" i="3"/>
  <c r="Y14" i="3"/>
  <c r="M33" i="3"/>
  <c r="R33" i="3"/>
  <c r="U33" i="3"/>
  <c r="T33" i="3" s="1"/>
  <c r="V33" i="3"/>
  <c r="W33" i="3"/>
  <c r="X33" i="3"/>
  <c r="M7" i="3"/>
  <c r="R7" i="3"/>
  <c r="S7" i="3"/>
  <c r="U7" i="3"/>
  <c r="V7" i="3"/>
  <c r="W7" i="3"/>
  <c r="X7" i="3"/>
  <c r="AC7" i="3"/>
  <c r="M22" i="3"/>
  <c r="R22" i="3"/>
  <c r="S22" i="3"/>
  <c r="U22" i="3"/>
  <c r="AC22" i="3" s="1"/>
  <c r="V22" i="3"/>
  <c r="W22" i="3"/>
  <c r="Y22" i="3" s="1"/>
  <c r="X22" i="3"/>
  <c r="M9" i="3"/>
  <c r="R9" i="3"/>
  <c r="U9" i="3"/>
  <c r="AD9" i="3" s="1"/>
  <c r="V9" i="3"/>
  <c r="W9" i="3"/>
  <c r="X9" i="3"/>
  <c r="M10" i="3"/>
  <c r="R10" i="3"/>
  <c r="S10" i="3"/>
  <c r="U10" i="3"/>
  <c r="T10" i="3" s="1"/>
  <c r="V10" i="3"/>
  <c r="W10" i="3"/>
  <c r="Y10" i="3" s="1"/>
  <c r="X10" i="3"/>
  <c r="M13" i="3"/>
  <c r="R13" i="3"/>
  <c r="T13" i="3"/>
  <c r="U13" i="3"/>
  <c r="V13" i="3"/>
  <c r="W13" i="3"/>
  <c r="X13" i="3"/>
  <c r="AC13" i="3"/>
  <c r="M36" i="3"/>
  <c r="R36" i="3"/>
  <c r="S36" i="3"/>
  <c r="U36" i="3"/>
  <c r="AC36" i="3" s="1"/>
  <c r="V36" i="3"/>
  <c r="W36" i="3"/>
  <c r="X36" i="3"/>
  <c r="M37" i="3"/>
  <c r="R37" i="3"/>
  <c r="S37" i="3"/>
  <c r="U37" i="3"/>
  <c r="V37" i="3"/>
  <c r="W37" i="3"/>
  <c r="X37" i="3"/>
  <c r="AC37" i="3"/>
  <c r="M28" i="3"/>
  <c r="R28" i="3"/>
  <c r="S28" i="3"/>
  <c r="U28" i="3"/>
  <c r="T28" i="3" s="1"/>
  <c r="V28" i="3"/>
  <c r="W28" i="3"/>
  <c r="X28" i="3"/>
  <c r="M17" i="3"/>
  <c r="R17" i="3"/>
  <c r="S17" i="3"/>
  <c r="T17" i="3"/>
  <c r="U17" i="3"/>
  <c r="V17" i="3"/>
  <c r="W17" i="3"/>
  <c r="X17" i="3"/>
  <c r="AC17" i="3"/>
  <c r="M23" i="3"/>
  <c r="R23" i="3"/>
  <c r="S23" i="3"/>
  <c r="U23" i="3"/>
  <c r="AC23" i="3" s="1"/>
  <c r="V23" i="3"/>
  <c r="W23" i="3"/>
  <c r="X23" i="3"/>
  <c r="M29" i="3"/>
  <c r="R29" i="3"/>
  <c r="S29" i="3"/>
  <c r="U29" i="3"/>
  <c r="AC29" i="3" s="1"/>
  <c r="V29" i="3"/>
  <c r="W29" i="3"/>
  <c r="X29" i="3"/>
  <c r="M20" i="3"/>
  <c r="S20" i="3"/>
  <c r="U20" i="3"/>
  <c r="T20" i="3" s="1"/>
  <c r="V20" i="3"/>
  <c r="W20" i="3"/>
  <c r="X20" i="3"/>
  <c r="M21" i="3"/>
  <c r="R21" i="3"/>
  <c r="U21" i="3"/>
  <c r="AD21" i="3" s="1"/>
  <c r="V21" i="3"/>
  <c r="W21" i="3"/>
  <c r="X21" i="3"/>
  <c r="AC21" i="3"/>
  <c r="AD25" i="3"/>
  <c r="M24" i="3"/>
  <c r="R24" i="3"/>
  <c r="U24" i="3"/>
  <c r="AC24" i="3" s="1"/>
  <c r="V24" i="3"/>
  <c r="W24" i="3"/>
  <c r="X24" i="3"/>
  <c r="M25" i="3"/>
  <c r="R25" i="3"/>
  <c r="U25" i="3"/>
  <c r="V25" i="3"/>
  <c r="W25" i="3"/>
  <c r="X25" i="3"/>
  <c r="M26" i="3"/>
  <c r="R26" i="3"/>
  <c r="U26" i="3"/>
  <c r="T26" i="3" s="1"/>
  <c r="V26" i="3"/>
  <c r="W26" i="3"/>
  <c r="X26" i="3"/>
  <c r="M18" i="3"/>
  <c r="S18" i="3"/>
  <c r="U18" i="3"/>
  <c r="V18" i="3"/>
  <c r="W18" i="3"/>
  <c r="X18" i="3"/>
  <c r="AC18" i="3"/>
  <c r="M11" i="3"/>
  <c r="S11" i="3"/>
  <c r="U11" i="3"/>
  <c r="AC11" i="3" s="1"/>
  <c r="V11" i="3"/>
  <c r="W11" i="3"/>
  <c r="X11" i="3"/>
  <c r="M32" i="3"/>
  <c r="U32" i="3"/>
  <c r="T32" i="3" s="1"/>
  <c r="V32" i="3"/>
  <c r="W32" i="3"/>
  <c r="X32" i="3"/>
  <c r="M30" i="3"/>
  <c r="R30" i="3"/>
  <c r="U30" i="3"/>
  <c r="T30" i="3" s="1"/>
  <c r="V30" i="3"/>
  <c r="W30" i="3"/>
  <c r="X30" i="3"/>
  <c r="M27" i="3"/>
  <c r="R27" i="3"/>
  <c r="U27" i="3"/>
  <c r="V27" i="3"/>
  <c r="W27" i="3"/>
  <c r="X27" i="3"/>
  <c r="AC27" i="3"/>
  <c r="M8" i="3"/>
  <c r="R8" i="3"/>
  <c r="U8" i="3"/>
  <c r="AC8" i="3" s="1"/>
  <c r="V8" i="3"/>
  <c r="W8" i="3"/>
  <c r="X8" i="3"/>
  <c r="M12" i="3"/>
  <c r="S12" i="3"/>
  <c r="U12" i="3"/>
  <c r="T12" i="3" s="1"/>
  <c r="V12" i="3"/>
  <c r="W12" i="3"/>
  <c r="X12" i="3"/>
  <c r="M34" i="3"/>
  <c r="S34" i="3"/>
  <c r="U34" i="3"/>
  <c r="T34" i="3" s="1"/>
  <c r="V34" i="3"/>
  <c r="W34" i="3"/>
  <c r="X34" i="3"/>
  <c r="M31" i="3"/>
  <c r="R31" i="3"/>
  <c r="U31" i="3"/>
  <c r="T31" i="3" s="1"/>
  <c r="V31" i="3"/>
  <c r="W31" i="3"/>
  <c r="X31" i="3"/>
  <c r="AC31" i="3"/>
  <c r="M16" i="3"/>
  <c r="R16" i="3"/>
  <c r="U16" i="3"/>
  <c r="AC16" i="3" s="1"/>
  <c r="V16" i="3"/>
  <c r="W16" i="3"/>
  <c r="X16" i="3"/>
  <c r="Y28" i="3" l="1"/>
  <c r="Y17" i="3"/>
  <c r="AD29" i="3"/>
  <c r="Y29" i="3"/>
  <c r="Y9" i="3"/>
  <c r="AA222" i="1"/>
  <c r="T211" i="1"/>
  <c r="X150" i="1"/>
  <c r="AG77" i="1"/>
  <c r="X77" i="1"/>
  <c r="AG76" i="1"/>
  <c r="AI72" i="1"/>
  <c r="T53" i="1"/>
  <c r="AA52" i="1"/>
  <c r="T17" i="1"/>
  <c r="X99" i="1"/>
  <c r="X97" i="1"/>
  <c r="X95" i="1"/>
  <c r="AA164" i="1"/>
  <c r="AA227" i="1"/>
  <c r="W227" i="1" s="1"/>
  <c r="AA215" i="1"/>
  <c r="X126" i="1"/>
  <c r="X122" i="1"/>
  <c r="AA57" i="1"/>
  <c r="AA44" i="1"/>
  <c r="T24" i="1"/>
  <c r="T16" i="1"/>
  <c r="R11" i="3"/>
  <c r="AI60" i="1"/>
  <c r="AA60" i="1"/>
  <c r="AG54" i="1"/>
  <c r="U54" i="1" s="1"/>
  <c r="AA32" i="1"/>
  <c r="X27" i="1"/>
  <c r="Y34" i="3"/>
  <c r="AD33" i="3"/>
  <c r="Y32" i="3"/>
  <c r="S25" i="3"/>
  <c r="AD13" i="3"/>
  <c r="AI167" i="1"/>
  <c r="AG166" i="1"/>
  <c r="U166" i="1" s="1"/>
  <c r="S166" i="1" s="1"/>
  <c r="AA165" i="1"/>
  <c r="AA161" i="1"/>
  <c r="AA156" i="1"/>
  <c r="AA149" i="1"/>
  <c r="W149" i="1" s="1"/>
  <c r="AI145" i="1"/>
  <c r="AG118" i="1"/>
  <c r="U118" i="1" s="1"/>
  <c r="S118" i="1" s="1"/>
  <c r="X117" i="1"/>
  <c r="AA115" i="1"/>
  <c r="AA111" i="1"/>
  <c r="AA84" i="1"/>
  <c r="AA78" i="1"/>
  <c r="T72" i="1"/>
  <c r="AA69" i="1"/>
  <c r="AA64" i="1"/>
  <c r="W64" i="1" s="1"/>
  <c r="AA58" i="1"/>
  <c r="AA56" i="1"/>
  <c r="AG37" i="1"/>
  <c r="AA36" i="1"/>
  <c r="AG14" i="1"/>
  <c r="U14" i="1" s="1"/>
  <c r="X28" i="1"/>
  <c r="Y30" i="3"/>
  <c r="AD19" i="3"/>
  <c r="AD18" i="3"/>
  <c r="AA216" i="1"/>
  <c r="W216" i="1" s="1"/>
  <c r="AA154" i="1"/>
  <c r="W154" i="1" s="1"/>
  <c r="AA96" i="1"/>
  <c r="AA63" i="1"/>
  <c r="T60" i="1"/>
  <c r="AA59" i="1"/>
  <c r="AA43" i="1"/>
  <c r="AA39" i="1"/>
  <c r="W39" i="1" s="1"/>
  <c r="AI27" i="1"/>
  <c r="AA20" i="1"/>
  <c r="X29" i="1"/>
  <c r="AD38" i="3"/>
  <c r="AE37" i="3"/>
  <c r="T37" i="3"/>
  <c r="X223" i="1"/>
  <c r="AG182" i="1"/>
  <c r="X182" i="1"/>
  <c r="AA175" i="1"/>
  <c r="W175" i="1" s="1"/>
  <c r="AA173" i="1"/>
  <c r="AA225" i="1"/>
  <c r="AA217" i="1"/>
  <c r="W217" i="1" s="1"/>
  <c r="AA214" i="1"/>
  <c r="AA212" i="1"/>
  <c r="W212" i="1" s="1"/>
  <c r="AA148" i="1"/>
  <c r="AA141" i="1"/>
  <c r="AA139" i="1"/>
  <c r="AA124" i="1"/>
  <c r="X110" i="1"/>
  <c r="AA104" i="1"/>
  <c r="W104" i="1" s="1"/>
  <c r="AI102" i="1"/>
  <c r="AA88" i="1"/>
  <c r="AA83" i="1"/>
  <c r="AA74" i="1"/>
  <c r="AG65" i="1"/>
  <c r="U65" i="1" s="1"/>
  <c r="X65" i="1"/>
  <c r="AA53" i="1"/>
  <c r="W53" i="1" s="1"/>
  <c r="X48" i="1"/>
  <c r="X32" i="1"/>
  <c r="AA21" i="1"/>
  <c r="AD37" i="3"/>
  <c r="Y37" i="3"/>
  <c r="W193" i="1"/>
  <c r="T64" i="1"/>
  <c r="U64" i="1" s="1"/>
  <c r="S64" i="1" s="1"/>
  <c r="Y24" i="3"/>
  <c r="Y19" i="3"/>
  <c r="Y16" i="3"/>
  <c r="AD30" i="3"/>
  <c r="Y25" i="3"/>
  <c r="AD22" i="3"/>
  <c r="AE17" i="3"/>
  <c r="AE19" i="3"/>
  <c r="Y13" i="3"/>
  <c r="AA204" i="1"/>
  <c r="AA192" i="1"/>
  <c r="AA182" i="1"/>
  <c r="AA176" i="1"/>
  <c r="AA172" i="1"/>
  <c r="AA168" i="1"/>
  <c r="W168" i="1" s="1"/>
  <c r="AA226" i="1"/>
  <c r="W226" i="1" s="1"/>
  <c r="AA211" i="1"/>
  <c r="X155" i="1"/>
  <c r="AA144" i="1"/>
  <c r="AA140" i="1"/>
  <c r="T121" i="1"/>
  <c r="T110" i="1"/>
  <c r="U110" i="1" s="1"/>
  <c r="S110" i="1" s="1"/>
  <c r="AA109" i="1"/>
  <c r="X105" i="1"/>
  <c r="AA103" i="1"/>
  <c r="W103" i="1" s="1"/>
  <c r="AA80" i="1"/>
  <c r="AA73" i="1"/>
  <c r="AI39" i="1"/>
  <c r="X36" i="1"/>
  <c r="AI31" i="1"/>
  <c r="X154" i="1"/>
  <c r="T122" i="1"/>
  <c r="U95" i="1"/>
  <c r="T25" i="1"/>
  <c r="X220" i="1"/>
  <c r="AA201" i="1"/>
  <c r="T181" i="1"/>
  <c r="AG181" i="1"/>
  <c r="U181" i="1" s="1"/>
  <c r="S181" i="1" s="1"/>
  <c r="T170" i="1"/>
  <c r="AG170" i="1"/>
  <c r="AA224" i="1"/>
  <c r="AG214" i="1"/>
  <c r="AI214" i="1" s="1"/>
  <c r="X214" i="1"/>
  <c r="X147" i="1"/>
  <c r="T147" i="1"/>
  <c r="T106" i="1"/>
  <c r="X106" i="1"/>
  <c r="AG106" i="1"/>
  <c r="AI106" i="1" s="1"/>
  <c r="AG84" i="1"/>
  <c r="X84" i="1"/>
  <c r="X219" i="1"/>
  <c r="AA191" i="1"/>
  <c r="X185" i="1"/>
  <c r="U182" i="1"/>
  <c r="X160" i="1"/>
  <c r="X229" i="1"/>
  <c r="AG228" i="1"/>
  <c r="X228" i="1"/>
  <c r="AG224" i="1"/>
  <c r="AG215" i="1"/>
  <c r="W215" i="1" s="1"/>
  <c r="T136" i="1"/>
  <c r="AG136" i="1"/>
  <c r="AI136" i="1" s="1"/>
  <c r="AA223" i="1"/>
  <c r="T220" i="1"/>
  <c r="AA218" i="1"/>
  <c r="AA203" i="1"/>
  <c r="AA199" i="1"/>
  <c r="AG191" i="1"/>
  <c r="AI191" i="1" s="1"/>
  <c r="AA190" i="1"/>
  <c r="X181" i="1"/>
  <c r="AA179" i="1"/>
  <c r="AA177" i="1"/>
  <c r="T173" i="1"/>
  <c r="X173" i="1"/>
  <c r="AG173" i="1"/>
  <c r="W173" i="1" s="1"/>
  <c r="X169" i="1"/>
  <c r="X168" i="1"/>
  <c r="AI163" i="1"/>
  <c r="AG162" i="1"/>
  <c r="U162" i="1" s="1"/>
  <c r="S162" i="1" s="1"/>
  <c r="X162" i="1"/>
  <c r="AG161" i="1"/>
  <c r="U161" i="1" s="1"/>
  <c r="S161" i="1" s="1"/>
  <c r="X161" i="1"/>
  <c r="AG225" i="1"/>
  <c r="W225" i="1" s="1"/>
  <c r="W211" i="1"/>
  <c r="T146" i="1"/>
  <c r="X146" i="1"/>
  <c r="AG146" i="1"/>
  <c r="T85" i="1"/>
  <c r="X85" i="1"/>
  <c r="AG85" i="1"/>
  <c r="W60" i="1"/>
  <c r="T41" i="1"/>
  <c r="AG41" i="1"/>
  <c r="U41" i="1" s="1"/>
  <c r="S41" i="1" s="1"/>
  <c r="X190" i="1"/>
  <c r="AG190" i="1"/>
  <c r="U190" i="1" s="1"/>
  <c r="S190" i="1" s="1"/>
  <c r="T179" i="1"/>
  <c r="U179" i="1" s="1"/>
  <c r="S179" i="1" s="1"/>
  <c r="AG179" i="1"/>
  <c r="AG164" i="1"/>
  <c r="W164" i="1" s="1"/>
  <c r="X164" i="1"/>
  <c r="AA209" i="1"/>
  <c r="W209" i="1" s="1"/>
  <c r="AA158" i="1"/>
  <c r="W158" i="1" s="1"/>
  <c r="T151" i="1"/>
  <c r="X151" i="1"/>
  <c r="AG151" i="1"/>
  <c r="AI151" i="1" s="1"/>
  <c r="T98" i="1"/>
  <c r="AA47" i="1"/>
  <c r="AI47" i="1"/>
  <c r="AA35" i="1"/>
  <c r="W35" i="1" s="1"/>
  <c r="U33" i="1"/>
  <c r="AA30" i="1"/>
  <c r="AA29" i="1"/>
  <c r="AA27" i="1"/>
  <c r="W27" i="1" s="1"/>
  <c r="AA23" i="1"/>
  <c r="AA22" i="1"/>
  <c r="X138" i="1"/>
  <c r="AA97" i="1"/>
  <c r="W97" i="1" s="1"/>
  <c r="AA92" i="1"/>
  <c r="W92" i="1" s="1"/>
  <c r="AA87" i="1"/>
  <c r="AA71" i="1"/>
  <c r="AA210" i="1"/>
  <c r="AA134" i="1"/>
  <c r="X133" i="1"/>
  <c r="AG128" i="1"/>
  <c r="U128" i="1" s="1"/>
  <c r="S128" i="1" s="1"/>
  <c r="AG112" i="1"/>
  <c r="U112" i="1" s="1"/>
  <c r="S112" i="1" s="1"/>
  <c r="AI103" i="1"/>
  <c r="AA99" i="1"/>
  <c r="W99" i="1" s="1"/>
  <c r="AG97" i="1"/>
  <c r="AI97" i="1" s="1"/>
  <c r="X92" i="1"/>
  <c r="AG73" i="1"/>
  <c r="X73" i="1"/>
  <c r="AG56" i="1"/>
  <c r="W56" i="1" s="1"/>
  <c r="AG44" i="1"/>
  <c r="AI44" i="1" s="1"/>
  <c r="AA40" i="1"/>
  <c r="AA38" i="1"/>
  <c r="AA37" i="1"/>
  <c r="W37" i="1" s="1"/>
  <c r="AG29" i="1"/>
  <c r="T28" i="1"/>
  <c r="T27" i="1"/>
  <c r="AA24" i="1"/>
  <c r="W24" i="1" s="1"/>
  <c r="AG22" i="1"/>
  <c r="U22" i="1" s="1"/>
  <c r="AG21" i="1"/>
  <c r="AI21" i="1" s="1"/>
  <c r="X21" i="1"/>
  <c r="AA189" i="1"/>
  <c r="W189" i="1" s="1"/>
  <c r="AI171" i="1"/>
  <c r="AA169" i="1"/>
  <c r="X165" i="1"/>
  <c r="AA160" i="1"/>
  <c r="W160" i="1" s="1"/>
  <c r="AI159" i="1"/>
  <c r="AA228" i="1"/>
  <c r="W228" i="1" s="1"/>
  <c r="AA213" i="1"/>
  <c r="W213" i="1" s="1"/>
  <c r="AG210" i="1"/>
  <c r="AI210" i="1" s="1"/>
  <c r="X210" i="1"/>
  <c r="AA206" i="1"/>
  <c r="AG156" i="1"/>
  <c r="W156" i="1" s="1"/>
  <c r="AG155" i="1"/>
  <c r="AI155" i="1" s="1"/>
  <c r="AG152" i="1"/>
  <c r="AA150" i="1"/>
  <c r="AG148" i="1"/>
  <c r="W148" i="1" s="1"/>
  <c r="AA147" i="1"/>
  <c r="AA146" i="1"/>
  <c r="X142" i="1"/>
  <c r="T141" i="1"/>
  <c r="T138" i="1"/>
  <c r="AA136" i="1"/>
  <c r="AG134" i="1"/>
  <c r="X134" i="1"/>
  <c r="AG132" i="1"/>
  <c r="AI132" i="1" s="1"/>
  <c r="X130" i="1"/>
  <c r="AA130" i="1"/>
  <c r="AA126" i="1"/>
  <c r="X125" i="1"/>
  <c r="AG122" i="1"/>
  <c r="AG120" i="1"/>
  <c r="AA119" i="1"/>
  <c r="X114" i="1"/>
  <c r="AA114" i="1"/>
  <c r="AG110" i="1"/>
  <c r="X109" i="1"/>
  <c r="AI101" i="1"/>
  <c r="AA101" i="1"/>
  <c r="W101" i="1" s="1"/>
  <c r="AG99" i="1"/>
  <c r="AA94" i="1"/>
  <c r="X93" i="1"/>
  <c r="AA91" i="1"/>
  <c r="AA86" i="1"/>
  <c r="AA81" i="1"/>
  <c r="T75" i="1"/>
  <c r="U75" i="1" s="1"/>
  <c r="S75" i="1" s="1"/>
  <c r="AA68" i="1"/>
  <c r="T57" i="1"/>
  <c r="X44" i="1"/>
  <c r="AA42" i="1"/>
  <c r="U37" i="1"/>
  <c r="AA34" i="1"/>
  <c r="AA33" i="1"/>
  <c r="W33" i="1" s="1"/>
  <c r="AG197" i="1"/>
  <c r="X197" i="1"/>
  <c r="AG194" i="1"/>
  <c r="T194" i="1"/>
  <c r="T193" i="1"/>
  <c r="U193" i="1" s="1"/>
  <c r="S193" i="1" s="1"/>
  <c r="AA220" i="1"/>
  <c r="T219" i="1"/>
  <c r="T204" i="1"/>
  <c r="AG201" i="1"/>
  <c r="AI201" i="1" s="1"/>
  <c r="X194" i="1"/>
  <c r="X189" i="1"/>
  <c r="AI187" i="1"/>
  <c r="T183" i="1"/>
  <c r="AG183" i="1"/>
  <c r="AI183" i="1" s="1"/>
  <c r="AI175" i="1"/>
  <c r="AG220" i="1"/>
  <c r="U220" i="1" s="1"/>
  <c r="S220" i="1" s="1"/>
  <c r="AA205" i="1"/>
  <c r="AG198" i="1"/>
  <c r="X198" i="1"/>
  <c r="AA197" i="1"/>
  <c r="AA196" i="1"/>
  <c r="T195" i="1"/>
  <c r="AG195" i="1"/>
  <c r="AI195" i="1" s="1"/>
  <c r="AA195" i="1"/>
  <c r="X193" i="1"/>
  <c r="X186" i="1"/>
  <c r="AG186" i="1"/>
  <c r="T186" i="1"/>
  <c r="X177" i="1"/>
  <c r="AG177" i="1"/>
  <c r="U177" i="1" s="1"/>
  <c r="S177" i="1" s="1"/>
  <c r="AG223" i="1"/>
  <c r="X224" i="1"/>
  <c r="T223" i="1"/>
  <c r="U223" i="1" s="1"/>
  <c r="S223" i="1" s="1"/>
  <c r="AI179" i="1"/>
  <c r="X174" i="1"/>
  <c r="AG174" i="1"/>
  <c r="AI174" i="1" s="1"/>
  <c r="T174" i="1"/>
  <c r="T189" i="1"/>
  <c r="U189" i="1" s="1"/>
  <c r="S189" i="1" s="1"/>
  <c r="AA188" i="1"/>
  <c r="AA186" i="1"/>
  <c r="AG185" i="1"/>
  <c r="U185" i="1" s="1"/>
  <c r="S185" i="1" s="1"/>
  <c r="AA183" i="1"/>
  <c r="W183" i="1" s="1"/>
  <c r="AG178" i="1"/>
  <c r="U178" i="1" s="1"/>
  <c r="S178" i="1" s="1"/>
  <c r="X178" i="1"/>
  <c r="AA174" i="1"/>
  <c r="U170" i="1"/>
  <c r="X170" i="1"/>
  <c r="X166" i="1"/>
  <c r="AA159" i="1"/>
  <c r="W159" i="1" s="1"/>
  <c r="AA229" i="1"/>
  <c r="T229" i="1"/>
  <c r="U228" i="1"/>
  <c r="S228" i="1" s="1"/>
  <c r="T227" i="1"/>
  <c r="U227" i="1" s="1"/>
  <c r="S227" i="1" s="1"/>
  <c r="W224" i="1"/>
  <c r="T217" i="1"/>
  <c r="T213" i="1"/>
  <c r="U213" i="1" s="1"/>
  <c r="S213" i="1" s="1"/>
  <c r="T209" i="1"/>
  <c r="U209" i="1" s="1"/>
  <c r="S209" i="1" s="1"/>
  <c r="AA208" i="1"/>
  <c r="AA207" i="1"/>
  <c r="T206" i="1"/>
  <c r="AA145" i="1"/>
  <c r="W145" i="1" s="1"/>
  <c r="T145" i="1"/>
  <c r="U145" i="1" s="1"/>
  <c r="S145" i="1" s="1"/>
  <c r="AA137" i="1"/>
  <c r="T137" i="1"/>
  <c r="U134" i="1"/>
  <c r="S134" i="1" s="1"/>
  <c r="AA131" i="1"/>
  <c r="T130" i="1"/>
  <c r="AA129" i="1"/>
  <c r="T129" i="1"/>
  <c r="U129" i="1" s="1"/>
  <c r="S129" i="1" s="1"/>
  <c r="U126" i="1"/>
  <c r="T124" i="1"/>
  <c r="AG124" i="1"/>
  <c r="AI124" i="1" s="1"/>
  <c r="T114" i="1"/>
  <c r="AA113" i="1"/>
  <c r="W113" i="1" s="1"/>
  <c r="T113" i="1"/>
  <c r="AA107" i="1"/>
  <c r="X102" i="1"/>
  <c r="AG88" i="1"/>
  <c r="X88" i="1"/>
  <c r="AG80" i="1"/>
  <c r="AI80" i="1" s="1"/>
  <c r="X80" i="1"/>
  <c r="U76" i="1"/>
  <c r="S76" i="1" s="1"/>
  <c r="AI76" i="1"/>
  <c r="AA75" i="1"/>
  <c r="W75" i="1" s="1"/>
  <c r="AI75" i="1"/>
  <c r="W72" i="1"/>
  <c r="T61" i="1"/>
  <c r="X61" i="1"/>
  <c r="AG61" i="1"/>
  <c r="AI61" i="1" s="1"/>
  <c r="T49" i="1"/>
  <c r="X49" i="1"/>
  <c r="AG49" i="1"/>
  <c r="AG43" i="1"/>
  <c r="T43" i="1"/>
  <c r="AA31" i="1"/>
  <c r="W31" i="1" s="1"/>
  <c r="T169" i="1"/>
  <c r="T165" i="1"/>
  <c r="T158" i="1"/>
  <c r="T150" i="1"/>
  <c r="AA142" i="1"/>
  <c r="W142" i="1" s="1"/>
  <c r="T142" i="1"/>
  <c r="AA138" i="1"/>
  <c r="U120" i="1"/>
  <c r="S120" i="1" s="1"/>
  <c r="AI120" i="1"/>
  <c r="T103" i="1"/>
  <c r="U103" i="1" s="1"/>
  <c r="S103" i="1" s="1"/>
  <c r="AI99" i="1"/>
  <c r="U99" i="1"/>
  <c r="S99" i="1" s="1"/>
  <c r="U72" i="1"/>
  <c r="S72" i="1" s="1"/>
  <c r="T68" i="1"/>
  <c r="AG68" i="1"/>
  <c r="W68" i="1" s="1"/>
  <c r="T66" i="1"/>
  <c r="AG66" i="1"/>
  <c r="AA202" i="1"/>
  <c r="AA200" i="1"/>
  <c r="W200" i="1" s="1"/>
  <c r="AA194" i="1"/>
  <c r="W194" i="1" s="1"/>
  <c r="AA180" i="1"/>
  <c r="AA178" i="1"/>
  <c r="AA170" i="1"/>
  <c r="W170" i="1" s="1"/>
  <c r="AG169" i="1"/>
  <c r="T168" i="1"/>
  <c r="U168" i="1" s="1"/>
  <c r="S168" i="1" s="1"/>
  <c r="AA166" i="1"/>
  <c r="W166" i="1" s="1"/>
  <c r="AG165" i="1"/>
  <c r="T164" i="1"/>
  <c r="AG229" i="1"/>
  <c r="U229" i="1" s="1"/>
  <c r="X227" i="1"/>
  <c r="X217" i="1"/>
  <c r="X213" i="1"/>
  <c r="X209" i="1"/>
  <c r="AG207" i="1"/>
  <c r="AG206" i="1"/>
  <c r="AI206" i="1" s="1"/>
  <c r="AA155" i="1"/>
  <c r="T154" i="1"/>
  <c r="U154" i="1" s="1"/>
  <c r="S154" i="1" s="1"/>
  <c r="AA153" i="1"/>
  <c r="W153" i="1" s="1"/>
  <c r="AA152" i="1"/>
  <c r="W152" i="1" s="1"/>
  <c r="AA151" i="1"/>
  <c r="AG150" i="1"/>
  <c r="W150" i="1" s="1"/>
  <c r="AG147" i="1"/>
  <c r="AI146" i="1"/>
  <c r="X145" i="1"/>
  <c r="AG142" i="1"/>
  <c r="AG140" i="1"/>
  <c r="AG138" i="1"/>
  <c r="X137" i="1"/>
  <c r="AA135" i="1"/>
  <c r="AA133" i="1"/>
  <c r="W133" i="1" s="1"/>
  <c r="T133" i="1"/>
  <c r="AG130" i="1"/>
  <c r="U130" i="1" s="1"/>
  <c r="X129" i="1"/>
  <c r="AA127" i="1"/>
  <c r="AA125" i="1"/>
  <c r="W125" i="1" s="1"/>
  <c r="T125" i="1"/>
  <c r="AA123" i="1"/>
  <c r="AA122" i="1"/>
  <c r="AG114" i="1"/>
  <c r="X113" i="1"/>
  <c r="AA112" i="1"/>
  <c r="T108" i="1"/>
  <c r="AG108" i="1"/>
  <c r="AI108" i="1" s="1"/>
  <c r="X104" i="1"/>
  <c r="T104" i="1"/>
  <c r="AA102" i="1"/>
  <c r="W102" i="1" s="1"/>
  <c r="T102" i="1"/>
  <c r="AA100" i="1"/>
  <c r="T89" i="1"/>
  <c r="X89" i="1"/>
  <c r="AG89" i="1"/>
  <c r="T88" i="1"/>
  <c r="U88" i="1" s="1"/>
  <c r="S88" i="1" s="1"/>
  <c r="T81" i="1"/>
  <c r="X81" i="1"/>
  <c r="AG81" i="1"/>
  <c r="W81" i="1" s="1"/>
  <c r="T80" i="1"/>
  <c r="AA76" i="1"/>
  <c r="W76" i="1" s="1"/>
  <c r="U73" i="1"/>
  <c r="X69" i="1"/>
  <c r="T52" i="1"/>
  <c r="X53" i="1"/>
  <c r="AG52" i="1"/>
  <c r="W52" i="1" s="1"/>
  <c r="T50" i="1"/>
  <c r="AG50" i="1"/>
  <c r="U50" i="1" s="1"/>
  <c r="W47" i="1"/>
  <c r="U29" i="1"/>
  <c r="S29" i="1" s="1"/>
  <c r="AA184" i="1"/>
  <c r="W182" i="1"/>
  <c r="AA171" i="1"/>
  <c r="W171" i="1" s="1"/>
  <c r="AA167" i="1"/>
  <c r="W167" i="1" s="1"/>
  <c r="AA163" i="1"/>
  <c r="W163" i="1" s="1"/>
  <c r="AA162" i="1"/>
  <c r="T160" i="1"/>
  <c r="X225" i="1"/>
  <c r="X215" i="1"/>
  <c r="U211" i="1"/>
  <c r="X211" i="1"/>
  <c r="X158" i="1"/>
  <c r="AA143" i="1"/>
  <c r="W143" i="1" s="1"/>
  <c r="X141" i="1"/>
  <c r="W134" i="1"/>
  <c r="AI128" i="1"/>
  <c r="W126" i="1"/>
  <c r="X121" i="1"/>
  <c r="AA120" i="1"/>
  <c r="W120" i="1" s="1"/>
  <c r="T116" i="1"/>
  <c r="AG116" i="1"/>
  <c r="AI116" i="1" s="1"/>
  <c r="AA105" i="1"/>
  <c r="W105" i="1" s="1"/>
  <c r="T105" i="1"/>
  <c r="U105" i="1" s="1"/>
  <c r="S105" i="1" s="1"/>
  <c r="U104" i="1"/>
  <c r="AI104" i="1"/>
  <c r="X103" i="1"/>
  <c r="AG100" i="1"/>
  <c r="AI100" i="1" s="1"/>
  <c r="X68" i="1"/>
  <c r="T45" i="1"/>
  <c r="X45" i="1"/>
  <c r="AG45" i="1"/>
  <c r="X41" i="1"/>
  <c r="X40" i="1"/>
  <c r="AG40" i="1"/>
  <c r="AG20" i="1"/>
  <c r="AI20" i="1" s="1"/>
  <c r="T20" i="1"/>
  <c r="T18" i="1"/>
  <c r="AG18" i="1"/>
  <c r="AA93" i="1"/>
  <c r="W93" i="1" s="1"/>
  <c r="T93" i="1"/>
  <c r="W77" i="1"/>
  <c r="X76" i="1"/>
  <c r="W73" i="1"/>
  <c r="T69" i="1"/>
  <c r="T48" i="1"/>
  <c r="T36" i="1"/>
  <c r="T32" i="1"/>
  <c r="W29" i="1"/>
  <c r="AA28" i="1"/>
  <c r="AA25" i="1"/>
  <c r="AA17" i="1"/>
  <c r="AA15" i="1"/>
  <c r="AA118" i="1"/>
  <c r="AA110" i="1"/>
  <c r="W110" i="1" s="1"/>
  <c r="AA98" i="1"/>
  <c r="W98" i="1" s="1"/>
  <c r="AA95" i="1"/>
  <c r="AG93" i="1"/>
  <c r="T92" i="1"/>
  <c r="AA85" i="1"/>
  <c r="W85" i="1" s="1"/>
  <c r="T84" i="1"/>
  <c r="U77" i="1"/>
  <c r="X75" i="1"/>
  <c r="AG69" i="1"/>
  <c r="AI69" i="1" s="1"/>
  <c r="AA65" i="1"/>
  <c r="W65" i="1" s="1"/>
  <c r="AG62" i="1"/>
  <c r="U62" i="1" s="1"/>
  <c r="AG57" i="1"/>
  <c r="U57" i="1" s="1"/>
  <c r="AA55" i="1"/>
  <c r="AA54" i="1"/>
  <c r="W54" i="1" s="1"/>
  <c r="AG48" i="1"/>
  <c r="W48" i="1" s="1"/>
  <c r="AG36" i="1"/>
  <c r="AI36" i="1" s="1"/>
  <c r="AG32" i="1"/>
  <c r="AI32" i="1" s="1"/>
  <c r="AG28" i="1"/>
  <c r="AI28" i="1" s="1"/>
  <c r="U27" i="1"/>
  <c r="AA26" i="1"/>
  <c r="AG25" i="1"/>
  <c r="AI25" i="1" s="1"/>
  <c r="AG17" i="1"/>
  <c r="AI17" i="1" s="1"/>
  <c r="AA90" i="1"/>
  <c r="AA82" i="1"/>
  <c r="AA67" i="1"/>
  <c r="AA66" i="1"/>
  <c r="AA61" i="1"/>
  <c r="U60" i="1"/>
  <c r="S60" i="1" s="1"/>
  <c r="U58" i="1"/>
  <c r="S58" i="1" s="1"/>
  <c r="U53" i="1"/>
  <c r="S53" i="1" s="1"/>
  <c r="AA51" i="1"/>
  <c r="AA50" i="1"/>
  <c r="AA49" i="1"/>
  <c r="W49" i="1" s="1"/>
  <c r="AA46" i="1"/>
  <c r="U44" i="1"/>
  <c r="S44" i="1" s="1"/>
  <c r="X37" i="1"/>
  <c r="T35" i="1"/>
  <c r="U35" i="1" s="1"/>
  <c r="S35" i="1" s="1"/>
  <c r="X33" i="1"/>
  <c r="T31" i="1"/>
  <c r="U31" i="1" s="1"/>
  <c r="S31" i="1" s="1"/>
  <c r="AA19" i="1"/>
  <c r="AA18" i="1"/>
  <c r="U204" i="1"/>
  <c r="S204" i="1" s="1"/>
  <c r="U219" i="1"/>
  <c r="S219" i="1" s="1"/>
  <c r="W204" i="1"/>
  <c r="AG221" i="1"/>
  <c r="W221" i="1" s="1"/>
  <c r="AG205" i="1"/>
  <c r="AG202" i="1"/>
  <c r="X201" i="1"/>
  <c r="T200" i="1"/>
  <c r="U195" i="1"/>
  <c r="U183" i="1"/>
  <c r="S183" i="1" s="1"/>
  <c r="AI193" i="1"/>
  <c r="AI186" i="1"/>
  <c r="AI182" i="1"/>
  <c r="U164" i="1"/>
  <c r="S164" i="1" s="1"/>
  <c r="AI169" i="1"/>
  <c r="U207" i="1"/>
  <c r="S207" i="1" s="1"/>
  <c r="AI157" i="1"/>
  <c r="AI154" i="1"/>
  <c r="AI149" i="1"/>
  <c r="U201" i="1"/>
  <c r="S201" i="1" s="1"/>
  <c r="U198" i="1"/>
  <c r="S198" i="1" s="1"/>
  <c r="AI215" i="1"/>
  <c r="AG222" i="1"/>
  <c r="W222" i="1" s="1"/>
  <c r="X221" i="1"/>
  <c r="AI226" i="1"/>
  <c r="AG218" i="1"/>
  <c r="AI218" i="1" s="1"/>
  <c r="AG203" i="1"/>
  <c r="AI203" i="1" s="1"/>
  <c r="X202" i="1"/>
  <c r="X200" i="1"/>
  <c r="T199" i="1"/>
  <c r="X199" i="1"/>
  <c r="U194" i="1"/>
  <c r="S194" i="1" s="1"/>
  <c r="AI211" i="1"/>
  <c r="U187" i="1"/>
  <c r="S187" i="1" s="1"/>
  <c r="U160" i="1"/>
  <c r="S160" i="1" s="1"/>
  <c r="U156" i="1"/>
  <c r="S156" i="1" s="1"/>
  <c r="AI153" i="1"/>
  <c r="U148" i="1"/>
  <c r="S148" i="1" s="1"/>
  <c r="U200" i="1"/>
  <c r="S200" i="1" s="1"/>
  <c r="AI177" i="1"/>
  <c r="AI158" i="1"/>
  <c r="U158" i="1"/>
  <c r="S158" i="1" s="1"/>
  <c r="X222" i="1"/>
  <c r="X218" i="1"/>
  <c r="X203" i="1"/>
  <c r="AG199" i="1"/>
  <c r="AI199" i="1" s="1"/>
  <c r="W198" i="1"/>
  <c r="U191" i="1"/>
  <c r="S191" i="1" s="1"/>
  <c r="AI189" i="1"/>
  <c r="AI185" i="1"/>
  <c r="AI181" i="1"/>
  <c r="AI170" i="1"/>
  <c r="U217" i="1"/>
  <c r="S217" i="1" s="1"/>
  <c r="AI166" i="1"/>
  <c r="AI162" i="1"/>
  <c r="W208" i="1"/>
  <c r="U152" i="1"/>
  <c r="S152" i="1" s="1"/>
  <c r="AG196" i="1"/>
  <c r="AI196" i="1" s="1"/>
  <c r="X195" i="1"/>
  <c r="AG192" i="1"/>
  <c r="AI192" i="1" s="1"/>
  <c r="X191" i="1"/>
  <c r="AI207" i="1"/>
  <c r="AG188" i="1"/>
  <c r="X187" i="1"/>
  <c r="AI204" i="1"/>
  <c r="AG184" i="1"/>
  <c r="AI184" i="1" s="1"/>
  <c r="X183" i="1"/>
  <c r="AI200" i="1"/>
  <c r="S182" i="1"/>
  <c r="AG180" i="1"/>
  <c r="AI180" i="1" s="1"/>
  <c r="X179" i="1"/>
  <c r="AG176" i="1"/>
  <c r="AI176" i="1" s="1"/>
  <c r="X175" i="1"/>
  <c r="T175" i="1"/>
  <c r="U175" i="1" s="1"/>
  <c r="S175" i="1" s="1"/>
  <c r="AG172" i="1"/>
  <c r="W172" i="1" s="1"/>
  <c r="X171" i="1"/>
  <c r="T171" i="1"/>
  <c r="U171" i="1" s="1"/>
  <c r="S171" i="1" s="1"/>
  <c r="AI188" i="1"/>
  <c r="S170" i="1"/>
  <c r="X167" i="1"/>
  <c r="T167" i="1"/>
  <c r="U167" i="1" s="1"/>
  <c r="S167" i="1" s="1"/>
  <c r="X163" i="1"/>
  <c r="T163" i="1"/>
  <c r="U163" i="1" s="1"/>
  <c r="S163" i="1" s="1"/>
  <c r="X159" i="1"/>
  <c r="T159" i="1"/>
  <c r="U159" i="1" s="1"/>
  <c r="S159" i="1" s="1"/>
  <c r="S229" i="1"/>
  <c r="X226" i="1"/>
  <c r="T226" i="1"/>
  <c r="U226" i="1" s="1"/>
  <c r="S226" i="1" s="1"/>
  <c r="X216" i="1"/>
  <c r="T216" i="1"/>
  <c r="U216" i="1" s="1"/>
  <c r="S216" i="1" s="1"/>
  <c r="AI168" i="1"/>
  <c r="X212" i="1"/>
  <c r="T212" i="1"/>
  <c r="U212" i="1" s="1"/>
  <c r="S212" i="1" s="1"/>
  <c r="S211" i="1"/>
  <c r="X208" i="1"/>
  <c r="T208" i="1"/>
  <c r="U208" i="1" s="1"/>
  <c r="S208" i="1" s="1"/>
  <c r="AI160" i="1"/>
  <c r="X157" i="1"/>
  <c r="T157" i="1"/>
  <c r="U157" i="1" s="1"/>
  <c r="S157" i="1" s="1"/>
  <c r="AI156" i="1"/>
  <c r="X153" i="1"/>
  <c r="T153" i="1"/>
  <c r="U153" i="1" s="1"/>
  <c r="S153" i="1" s="1"/>
  <c r="AI152" i="1"/>
  <c r="X149" i="1"/>
  <c r="T149" i="1"/>
  <c r="U149" i="1" s="1"/>
  <c r="S149" i="1" s="1"/>
  <c r="AI148" i="1"/>
  <c r="AI143" i="1"/>
  <c r="U141" i="1"/>
  <c r="S141" i="1" s="1"/>
  <c r="AI141" i="1"/>
  <c r="U137" i="1"/>
  <c r="S137" i="1" s="1"/>
  <c r="AI137" i="1"/>
  <c r="AI129" i="1"/>
  <c r="U121" i="1"/>
  <c r="S121" i="1" s="1"/>
  <c r="AI121" i="1"/>
  <c r="U113" i="1"/>
  <c r="S113" i="1" s="1"/>
  <c r="AI113" i="1"/>
  <c r="AI105" i="1"/>
  <c r="X196" i="1"/>
  <c r="S195" i="1"/>
  <c r="X192" i="1"/>
  <c r="X188" i="1"/>
  <c r="X184" i="1"/>
  <c r="X180" i="1"/>
  <c r="X176" i="1"/>
  <c r="X172" i="1"/>
  <c r="U224" i="1"/>
  <c r="S224" i="1" s="1"/>
  <c r="U214" i="1"/>
  <c r="S214" i="1" s="1"/>
  <c r="U155" i="1"/>
  <c r="S155" i="1" s="1"/>
  <c r="U151" i="1"/>
  <c r="S151" i="1" s="1"/>
  <c r="U147" i="1"/>
  <c r="S147" i="1" s="1"/>
  <c r="X143" i="1"/>
  <c r="W117" i="1"/>
  <c r="W109" i="1"/>
  <c r="T144" i="1"/>
  <c r="X144" i="1"/>
  <c r="U133" i="1"/>
  <c r="S133" i="1" s="1"/>
  <c r="AI133" i="1"/>
  <c r="U125" i="1"/>
  <c r="S125" i="1" s="1"/>
  <c r="AI125" i="1"/>
  <c r="U124" i="1"/>
  <c r="S124" i="1" s="1"/>
  <c r="U117" i="1"/>
  <c r="S117" i="1" s="1"/>
  <c r="AI117" i="1"/>
  <c r="U116" i="1"/>
  <c r="S116" i="1" s="1"/>
  <c r="U109" i="1"/>
  <c r="S109" i="1" s="1"/>
  <c r="AI109" i="1"/>
  <c r="X156" i="1"/>
  <c r="X152" i="1"/>
  <c r="X148" i="1"/>
  <c r="AI147" i="1"/>
  <c r="AG144" i="1"/>
  <c r="T143" i="1"/>
  <c r="U143" i="1" s="1"/>
  <c r="S143" i="1" s="1"/>
  <c r="W141" i="1"/>
  <c r="W137" i="1"/>
  <c r="W129" i="1"/>
  <c r="W121" i="1"/>
  <c r="AG139" i="1"/>
  <c r="W139" i="1" s="1"/>
  <c r="AG135" i="1"/>
  <c r="AG131" i="1"/>
  <c r="AG127" i="1"/>
  <c r="W127" i="1" s="1"/>
  <c r="AG123" i="1"/>
  <c r="AG119" i="1"/>
  <c r="AG115" i="1"/>
  <c r="W115" i="1" s="1"/>
  <c r="AG111" i="1"/>
  <c r="W111" i="1" s="1"/>
  <c r="AG107" i="1"/>
  <c r="T101" i="1"/>
  <c r="U101" i="1" s="1"/>
  <c r="S101" i="1" s="1"/>
  <c r="X101" i="1"/>
  <c r="AG98" i="1"/>
  <c r="U97" i="1"/>
  <c r="S97" i="1" s="1"/>
  <c r="T96" i="1"/>
  <c r="AG96" i="1"/>
  <c r="W95" i="1"/>
  <c r="AI88" i="1"/>
  <c r="U80" i="1"/>
  <c r="S80" i="1" s="1"/>
  <c r="X139" i="1"/>
  <c r="X135" i="1"/>
  <c r="AI134" i="1"/>
  <c r="X131" i="1"/>
  <c r="AI130" i="1"/>
  <c r="S130" i="1"/>
  <c r="X127" i="1"/>
  <c r="AI126" i="1"/>
  <c r="S126" i="1"/>
  <c r="X123" i="1"/>
  <c r="AI122" i="1"/>
  <c r="X119" i="1"/>
  <c r="X115" i="1"/>
  <c r="AI114" i="1"/>
  <c r="X111" i="1"/>
  <c r="AI110" i="1"/>
  <c r="X107" i="1"/>
  <c r="S104" i="1"/>
  <c r="S95" i="1"/>
  <c r="AI95" i="1"/>
  <c r="X140" i="1"/>
  <c r="X136" i="1"/>
  <c r="X132" i="1"/>
  <c r="X128" i="1"/>
  <c r="X124" i="1"/>
  <c r="X120" i="1"/>
  <c r="X116" i="1"/>
  <c r="X112" i="1"/>
  <c r="X108" i="1"/>
  <c r="U102" i="1"/>
  <c r="S102" i="1" s="1"/>
  <c r="T94" i="1"/>
  <c r="AG94" i="1"/>
  <c r="U84" i="1"/>
  <c r="S84" i="1" s="1"/>
  <c r="AI84" i="1"/>
  <c r="AI70" i="1"/>
  <c r="AI93" i="1"/>
  <c r="U92" i="1"/>
  <c r="S92" i="1" s="1"/>
  <c r="AI92" i="1"/>
  <c r="W88" i="1"/>
  <c r="AG90" i="1"/>
  <c r="W90" i="1" s="1"/>
  <c r="AG86" i="1"/>
  <c r="W86" i="1" s="1"/>
  <c r="AG82" i="1"/>
  <c r="W82" i="1" s="1"/>
  <c r="AG78" i="1"/>
  <c r="T74" i="1"/>
  <c r="X74" i="1"/>
  <c r="T71" i="1"/>
  <c r="X71" i="1"/>
  <c r="AG71" i="1"/>
  <c r="W71" i="1" s="1"/>
  <c r="AG91" i="1"/>
  <c r="X90" i="1"/>
  <c r="AI89" i="1"/>
  <c r="AG87" i="1"/>
  <c r="W87" i="1" s="1"/>
  <c r="X86" i="1"/>
  <c r="AI85" i="1"/>
  <c r="AG83" i="1"/>
  <c r="X82" i="1"/>
  <c r="AI81" i="1"/>
  <c r="AG79" i="1"/>
  <c r="X78" i="1"/>
  <c r="AG74" i="1"/>
  <c r="W62" i="1"/>
  <c r="W58" i="1"/>
  <c r="W16" i="1"/>
  <c r="X91" i="1"/>
  <c r="X87" i="1"/>
  <c r="X83" i="1"/>
  <c r="X79" i="1"/>
  <c r="S77" i="1"/>
  <c r="AI77" i="1"/>
  <c r="S73" i="1"/>
  <c r="AI73" i="1"/>
  <c r="X72" i="1"/>
  <c r="AA70" i="1"/>
  <c r="W70" i="1" s="1"/>
  <c r="X64" i="1"/>
  <c r="T63" i="1"/>
  <c r="X63" i="1"/>
  <c r="AG63" i="1"/>
  <c r="X60" i="1"/>
  <c r="T59" i="1"/>
  <c r="X59" i="1"/>
  <c r="AG59" i="1"/>
  <c r="X56" i="1"/>
  <c r="T55" i="1"/>
  <c r="X55" i="1"/>
  <c r="AG55" i="1"/>
  <c r="X52" i="1"/>
  <c r="T51" i="1"/>
  <c r="X51" i="1"/>
  <c r="AG51" i="1"/>
  <c r="U24" i="1"/>
  <c r="S24" i="1" s="1"/>
  <c r="U16" i="1"/>
  <c r="S16" i="1" s="1"/>
  <c r="T70" i="1"/>
  <c r="U70" i="1" s="1"/>
  <c r="S70" i="1" s="1"/>
  <c r="X70" i="1"/>
  <c r="T67" i="1"/>
  <c r="X67" i="1"/>
  <c r="AG67" i="1"/>
  <c r="AI66" i="1"/>
  <c r="S62" i="1"/>
  <c r="AI62" i="1"/>
  <c r="AI58" i="1"/>
  <c r="S54" i="1"/>
  <c r="AI54" i="1"/>
  <c r="S50" i="1"/>
  <c r="AI50" i="1"/>
  <c r="T26" i="1"/>
  <c r="AG26" i="1"/>
  <c r="W26" i="1" s="1"/>
  <c r="W20" i="1"/>
  <c r="X66" i="1"/>
  <c r="AI65" i="1"/>
  <c r="S65" i="1"/>
  <c r="X62" i="1"/>
  <c r="X58" i="1"/>
  <c r="AI57" i="1"/>
  <c r="S57" i="1"/>
  <c r="X54" i="1"/>
  <c r="AI53" i="1"/>
  <c r="X50" i="1"/>
  <c r="AA45" i="1"/>
  <c r="W45" i="1" s="1"/>
  <c r="AA41" i="1"/>
  <c r="W41" i="1" s="1"/>
  <c r="T38" i="1"/>
  <c r="X38" i="1"/>
  <c r="AG38" i="1"/>
  <c r="U36" i="1"/>
  <c r="S36" i="1" s="1"/>
  <c r="T34" i="1"/>
  <c r="X34" i="1"/>
  <c r="AG34" i="1"/>
  <c r="W34" i="1" s="1"/>
  <c r="X35" i="1"/>
  <c r="U32" i="1"/>
  <c r="S32" i="1" s="1"/>
  <c r="T30" i="1"/>
  <c r="AG30" i="1"/>
  <c r="X31" i="1"/>
  <c r="W22" i="1"/>
  <c r="W18" i="1"/>
  <c r="AA14" i="1"/>
  <c r="W14" i="1" s="1"/>
  <c r="AI49" i="1"/>
  <c r="T46" i="1"/>
  <c r="X46" i="1"/>
  <c r="AG46" i="1"/>
  <c r="T42" i="1"/>
  <c r="X42" i="1"/>
  <c r="AG42" i="1"/>
  <c r="W42" i="1" s="1"/>
  <c r="X43" i="1"/>
  <c r="S37" i="1"/>
  <c r="AI37" i="1"/>
  <c r="S33" i="1"/>
  <c r="AI33" i="1"/>
  <c r="AI29" i="1"/>
  <c r="S27" i="1"/>
  <c r="T23" i="1"/>
  <c r="X23" i="1"/>
  <c r="AG23" i="1"/>
  <c r="X24" i="1"/>
  <c r="T19" i="1"/>
  <c r="X19" i="1"/>
  <c r="AG19" i="1"/>
  <c r="X20" i="1"/>
  <c r="T15" i="1"/>
  <c r="X15" i="1"/>
  <c r="AG15" i="1"/>
  <c r="X16" i="1"/>
  <c r="AI45" i="1"/>
  <c r="AI41" i="1"/>
  <c r="S22" i="1"/>
  <c r="AI22" i="1"/>
  <c r="AI18" i="1"/>
  <c r="S14" i="1"/>
  <c r="AI14" i="1"/>
  <c r="X47" i="1"/>
  <c r="T47" i="1"/>
  <c r="U47" i="1" s="1"/>
  <c r="S47" i="1" s="1"/>
  <c r="X39" i="1"/>
  <c r="T39" i="1"/>
  <c r="U39" i="1" s="1"/>
  <c r="S39" i="1" s="1"/>
  <c r="U25" i="1"/>
  <c r="S25" i="1" s="1"/>
  <c r="U21" i="1"/>
  <c r="S21" i="1" s="1"/>
  <c r="X22" i="1"/>
  <c r="X18" i="1"/>
  <c r="AC12" i="3"/>
  <c r="T27" i="3"/>
  <c r="Y12" i="3"/>
  <c r="AD34" i="3"/>
  <c r="Y27" i="3"/>
  <c r="AD31" i="3"/>
  <c r="AD27" i="3"/>
  <c r="AE23" i="3"/>
  <c r="Y23" i="3"/>
  <c r="AD17" i="3"/>
  <c r="T9" i="3"/>
  <c r="Y33" i="3"/>
  <c r="AD10" i="3"/>
  <c r="Y15" i="3"/>
  <c r="Y31" i="3"/>
  <c r="AE33" i="3"/>
  <c r="Y26" i="3"/>
  <c r="AD26" i="3"/>
  <c r="Y20" i="3"/>
  <c r="AD23" i="3"/>
  <c r="AE9" i="3"/>
  <c r="AE25" i="3"/>
  <c r="AE21" i="3"/>
  <c r="AD15" i="3"/>
  <c r="AD11" i="3"/>
  <c r="T18" i="3"/>
  <c r="T25" i="3"/>
  <c r="T7" i="3"/>
  <c r="T14" i="3"/>
  <c r="Y8" i="3"/>
  <c r="AC32" i="3"/>
  <c r="AE31" i="3"/>
  <c r="AE29" i="3"/>
  <c r="Y18" i="3"/>
  <c r="T21" i="3"/>
  <c r="T29" i="3"/>
  <c r="Y36" i="3"/>
  <c r="AC9" i="3"/>
  <c r="AE15" i="3"/>
  <c r="AE13" i="3"/>
  <c r="Y7" i="3"/>
  <c r="Y11" i="3"/>
  <c r="AC25" i="3"/>
  <c r="AE27" i="3"/>
  <c r="Y21" i="3"/>
  <c r="AC14" i="3"/>
  <c r="AE11" i="3"/>
  <c r="AD36" i="3"/>
  <c r="AD32" i="3"/>
  <c r="AD28" i="3"/>
  <c r="AD24" i="3"/>
  <c r="AD20" i="3"/>
  <c r="AD16" i="3"/>
  <c r="AD12" i="3"/>
  <c r="AD8" i="3"/>
  <c r="AE38" i="3"/>
  <c r="T16" i="3"/>
  <c r="AC34" i="3"/>
  <c r="AE34" i="3"/>
  <c r="T8" i="3"/>
  <c r="AC30" i="3"/>
  <c r="AE30" i="3"/>
  <c r="T11" i="3"/>
  <c r="AC26" i="3"/>
  <c r="AE26" i="3"/>
  <c r="T24" i="3"/>
  <c r="AC20" i="3"/>
  <c r="AE22" i="3"/>
  <c r="T23" i="3"/>
  <c r="AC28" i="3"/>
  <c r="AE18" i="3"/>
  <c r="T36" i="3"/>
  <c r="AC10" i="3"/>
  <c r="AE14" i="3"/>
  <c r="T22" i="3"/>
  <c r="AC33" i="3"/>
  <c r="AE10" i="3"/>
  <c r="T19" i="3"/>
  <c r="AC38" i="3"/>
  <c r="AE36" i="3"/>
  <c r="AE32" i="3"/>
  <c r="AE28" i="3"/>
  <c r="AE24" i="3"/>
  <c r="AE20" i="3"/>
  <c r="AE16" i="3"/>
  <c r="AE12" i="3"/>
  <c r="AE8" i="3"/>
  <c r="W210" i="1" l="1"/>
  <c r="W80" i="1"/>
  <c r="U100" i="1"/>
  <c r="S100" i="1" s="1"/>
  <c r="AI161" i="1"/>
  <c r="W50" i="1"/>
  <c r="W151" i="1"/>
  <c r="W181" i="1"/>
  <c r="W123" i="1"/>
  <c r="AI229" i="1"/>
  <c r="U108" i="1"/>
  <c r="S108" i="1" s="1"/>
  <c r="U114" i="1"/>
  <c r="S114" i="1" s="1"/>
  <c r="U138" i="1"/>
  <c r="S138" i="1" s="1"/>
  <c r="U165" i="1"/>
  <c r="S165" i="1" s="1"/>
  <c r="U49" i="1"/>
  <c r="S49" i="1" s="1"/>
  <c r="W214" i="1"/>
  <c r="U146" i="1"/>
  <c r="S146" i="1" s="1"/>
  <c r="W179" i="1"/>
  <c r="W223" i="1"/>
  <c r="W191" i="1"/>
  <c r="U122" i="1"/>
  <c r="S122" i="1" s="1"/>
  <c r="W21" i="1"/>
  <c r="W43" i="1"/>
  <c r="W84" i="1"/>
  <c r="W66" i="1"/>
  <c r="U20" i="1"/>
  <c r="S20" i="1" s="1"/>
  <c r="W136" i="1"/>
  <c r="U17" i="1"/>
  <c r="S17" i="1" s="1"/>
  <c r="W46" i="1"/>
  <c r="AI118" i="1"/>
  <c r="W131" i="1"/>
  <c r="AI173" i="1"/>
  <c r="W61" i="1"/>
  <c r="U93" i="1"/>
  <c r="S93" i="1" s="1"/>
  <c r="W118" i="1"/>
  <c r="W28" i="1"/>
  <c r="U225" i="1"/>
  <c r="S225" i="1" s="1"/>
  <c r="W155" i="1"/>
  <c r="U106" i="1"/>
  <c r="S106" i="1" s="1"/>
  <c r="W106" i="1"/>
  <c r="W146" i="1"/>
  <c r="W107" i="1"/>
  <c r="U206" i="1"/>
  <c r="S206" i="1" s="1"/>
  <c r="AI178" i="1"/>
  <c r="AI165" i="1"/>
  <c r="U69" i="1"/>
  <c r="S69" i="1" s="1"/>
  <c r="W17" i="1"/>
  <c r="AI56" i="1"/>
  <c r="U215" i="1"/>
  <c r="S215" i="1" s="1"/>
  <c r="W122" i="1"/>
  <c r="W147" i="1"/>
  <c r="W178" i="1"/>
  <c r="AI112" i="1"/>
  <c r="U173" i="1"/>
  <c r="S173" i="1" s="1"/>
  <c r="W195" i="1"/>
  <c r="W197" i="1"/>
  <c r="U28" i="1"/>
  <c r="S28" i="1" s="1"/>
  <c r="AI138" i="1"/>
  <c r="U132" i="1"/>
  <c r="S132" i="1" s="1"/>
  <c r="U210" i="1"/>
  <c r="S210" i="1" s="1"/>
  <c r="AI164" i="1"/>
  <c r="AI225" i="1"/>
  <c r="U45" i="1"/>
  <c r="S45" i="1" s="1"/>
  <c r="U56" i="1"/>
  <c r="S56" i="1" s="1"/>
  <c r="W162" i="1"/>
  <c r="W112" i="1"/>
  <c r="W161" i="1"/>
  <c r="U136" i="1"/>
  <c r="S136" i="1" s="1"/>
  <c r="AI172" i="1"/>
  <c r="U18" i="1"/>
  <c r="S18" i="1" s="1"/>
  <c r="U61" i="1"/>
  <c r="S61" i="1" s="1"/>
  <c r="U85" i="1"/>
  <c r="S85" i="1" s="1"/>
  <c r="W108" i="1"/>
  <c r="W128" i="1"/>
  <c r="W174" i="1"/>
  <c r="U186" i="1"/>
  <c r="S186" i="1" s="1"/>
  <c r="AI221" i="1"/>
  <c r="U66" i="1"/>
  <c r="S66" i="1" s="1"/>
  <c r="W130" i="1"/>
  <c r="W132" i="1"/>
  <c r="W44" i="1"/>
  <c r="W190" i="1"/>
  <c r="U89" i="1"/>
  <c r="S89" i="1" s="1"/>
  <c r="U169" i="1"/>
  <c r="S169" i="1" s="1"/>
  <c r="U68" i="1"/>
  <c r="S68" i="1" s="1"/>
  <c r="AI68" i="1"/>
  <c r="W32" i="1"/>
  <c r="W229" i="1"/>
  <c r="W186" i="1"/>
  <c r="U174" i="1"/>
  <c r="S174" i="1" s="1"/>
  <c r="W185" i="1"/>
  <c r="W116" i="1"/>
  <c r="W124" i="1"/>
  <c r="W57" i="1"/>
  <c r="W207" i="1"/>
  <c r="W165" i="1"/>
  <c r="W25" i="1"/>
  <c r="U40" i="1"/>
  <c r="S40" i="1" s="1"/>
  <c r="AI40" i="1"/>
  <c r="W40" i="1"/>
  <c r="U140" i="1"/>
  <c r="S140" i="1" s="1"/>
  <c r="AI140" i="1"/>
  <c r="W69" i="1"/>
  <c r="W114" i="1"/>
  <c r="W138" i="1"/>
  <c r="U43" i="1"/>
  <c r="S43" i="1" s="1"/>
  <c r="AI43" i="1"/>
  <c r="W169" i="1"/>
  <c r="W177" i="1"/>
  <c r="U197" i="1"/>
  <c r="S197" i="1" s="1"/>
  <c r="AI197" i="1"/>
  <c r="AI222" i="1"/>
  <c r="U48" i="1"/>
  <c r="S48" i="1" s="1"/>
  <c r="AI48" i="1"/>
  <c r="U52" i="1"/>
  <c r="S52" i="1" s="1"/>
  <c r="AI52" i="1"/>
  <c r="U81" i="1"/>
  <c r="S81" i="1" s="1"/>
  <c r="W89" i="1"/>
  <c r="W100" i="1"/>
  <c r="U142" i="1"/>
  <c r="S142" i="1" s="1"/>
  <c r="AI142" i="1"/>
  <c r="U150" i="1"/>
  <c r="S150" i="1" s="1"/>
  <c r="AI150" i="1"/>
  <c r="W36" i="1"/>
  <c r="W206" i="1"/>
  <c r="W140" i="1"/>
  <c r="W220" i="1"/>
  <c r="W201" i="1"/>
  <c r="U19" i="1"/>
  <c r="S19" i="1" s="1"/>
  <c r="AI19" i="1"/>
  <c r="U23" i="1"/>
  <c r="S23" i="1" s="1"/>
  <c r="AI23" i="1"/>
  <c r="U67" i="1"/>
  <c r="S67" i="1" s="1"/>
  <c r="AI67" i="1"/>
  <c r="AI51" i="1"/>
  <c r="U51" i="1"/>
  <c r="S51" i="1" s="1"/>
  <c r="AI55" i="1"/>
  <c r="U55" i="1"/>
  <c r="S55" i="1" s="1"/>
  <c r="AI59" i="1"/>
  <c r="U59" i="1"/>
  <c r="S59" i="1" s="1"/>
  <c r="AI63" i="1"/>
  <c r="U63" i="1"/>
  <c r="S63" i="1" s="1"/>
  <c r="W55" i="1"/>
  <c r="W63" i="1"/>
  <c r="AI74" i="1"/>
  <c r="U74" i="1"/>
  <c r="S74" i="1" s="1"/>
  <c r="AI94" i="1"/>
  <c r="U94" i="1"/>
  <c r="S94" i="1" s="1"/>
  <c r="AI96" i="1"/>
  <c r="U96" i="1"/>
  <c r="S96" i="1" s="1"/>
  <c r="AI119" i="1"/>
  <c r="U119" i="1"/>
  <c r="S119" i="1" s="1"/>
  <c r="AI135" i="1"/>
  <c r="U135" i="1"/>
  <c r="S135" i="1" s="1"/>
  <c r="U144" i="1"/>
  <c r="S144" i="1" s="1"/>
  <c r="AI144" i="1"/>
  <c r="AI194" i="1"/>
  <c r="U176" i="1"/>
  <c r="S176" i="1" s="1"/>
  <c r="AI198" i="1"/>
  <c r="U180" i="1"/>
  <c r="S180" i="1" s="1"/>
  <c r="AI202" i="1"/>
  <c r="U184" i="1"/>
  <c r="S184" i="1" s="1"/>
  <c r="AI205" i="1"/>
  <c r="U188" i="1"/>
  <c r="S188" i="1" s="1"/>
  <c r="AI209" i="1"/>
  <c r="U192" i="1"/>
  <c r="S192" i="1" s="1"/>
  <c r="U199" i="1"/>
  <c r="S199" i="1" s="1"/>
  <c r="W199" i="1"/>
  <c r="AI216" i="1"/>
  <c r="W144" i="1"/>
  <c r="AI220" i="1"/>
  <c r="U203" i="1"/>
  <c r="S203" i="1" s="1"/>
  <c r="S218" i="1"/>
  <c r="U218" i="1"/>
  <c r="AI224" i="1"/>
  <c r="W192" i="1"/>
  <c r="W180" i="1"/>
  <c r="U15" i="1"/>
  <c r="S15" i="1"/>
  <c r="AI15" i="1"/>
  <c r="U46" i="1"/>
  <c r="S46" i="1" s="1"/>
  <c r="AI46" i="1"/>
  <c r="W19" i="1"/>
  <c r="U34" i="1"/>
  <c r="S34" i="1" s="1"/>
  <c r="AI34" i="1"/>
  <c r="U38" i="1"/>
  <c r="S38" i="1" s="1"/>
  <c r="AI38" i="1"/>
  <c r="AI78" i="1"/>
  <c r="U78" i="1"/>
  <c r="S78" i="1" s="1"/>
  <c r="W67" i="1"/>
  <c r="U42" i="1"/>
  <c r="S42" i="1" s="1"/>
  <c r="AI42" i="1"/>
  <c r="W74" i="1"/>
  <c r="W38" i="1"/>
  <c r="AI82" i="1"/>
  <c r="U82" i="1"/>
  <c r="S82" i="1" s="1"/>
  <c r="W78" i="1"/>
  <c r="U98" i="1"/>
  <c r="S98" i="1" s="1"/>
  <c r="AI98" i="1"/>
  <c r="AI107" i="1"/>
  <c r="U107" i="1"/>
  <c r="S107" i="1" s="1"/>
  <c r="AI123" i="1"/>
  <c r="U123" i="1"/>
  <c r="S123" i="1" s="1"/>
  <c r="AI139" i="1"/>
  <c r="U139" i="1"/>
  <c r="S139" i="1" s="1"/>
  <c r="W135" i="1"/>
  <c r="W188" i="1"/>
  <c r="W176" i="1"/>
  <c r="W184" i="1"/>
  <c r="AI219" i="1"/>
  <c r="U202" i="1"/>
  <c r="S202" i="1" s="1"/>
  <c r="W51" i="1"/>
  <c r="W59" i="1"/>
  <c r="AI79" i="1"/>
  <c r="U79" i="1"/>
  <c r="S79" i="1" s="1"/>
  <c r="AI83" i="1"/>
  <c r="U83" i="1"/>
  <c r="S83" i="1" s="1"/>
  <c r="AI87" i="1"/>
  <c r="U87" i="1"/>
  <c r="S87" i="1" s="1"/>
  <c r="U91" i="1"/>
  <c r="S91" i="1" s="1"/>
  <c r="AI91" i="1"/>
  <c r="W91" i="1"/>
  <c r="AI86" i="1"/>
  <c r="U86" i="1"/>
  <c r="S86" i="1" s="1"/>
  <c r="W79" i="1"/>
  <c r="W94" i="1"/>
  <c r="AI111" i="1"/>
  <c r="U111" i="1"/>
  <c r="S111" i="1" s="1"/>
  <c r="AI127" i="1"/>
  <c r="U127" i="1"/>
  <c r="S127" i="1" s="1"/>
  <c r="AI213" i="1"/>
  <c r="U196" i="1"/>
  <c r="S196" i="1" s="1"/>
  <c r="W196" i="1"/>
  <c r="AI223" i="1"/>
  <c r="U205" i="1"/>
  <c r="S205" i="1" s="1"/>
  <c r="W205" i="1"/>
  <c r="W202" i="1"/>
  <c r="W15" i="1"/>
  <c r="W23" i="1"/>
  <c r="U26" i="1"/>
  <c r="S26" i="1" s="1"/>
  <c r="AI26" i="1"/>
  <c r="U30" i="1"/>
  <c r="S30" i="1" s="1"/>
  <c r="AI30" i="1"/>
  <c r="W30" i="1"/>
  <c r="U71" i="1"/>
  <c r="S71" i="1" s="1"/>
  <c r="AI71" i="1"/>
  <c r="AI90" i="1"/>
  <c r="U90" i="1"/>
  <c r="S90" i="1" s="1"/>
  <c r="W83" i="1"/>
  <c r="W96" i="1"/>
  <c r="AI115" i="1"/>
  <c r="U115" i="1"/>
  <c r="S115" i="1" s="1"/>
  <c r="AI131" i="1"/>
  <c r="U131" i="1"/>
  <c r="S131" i="1" s="1"/>
  <c r="W119" i="1"/>
  <c r="AI190" i="1"/>
  <c r="U172" i="1"/>
  <c r="S172" i="1" s="1"/>
  <c r="U222" i="1"/>
  <c r="S222" i="1" s="1"/>
  <c r="AI228" i="1"/>
  <c r="AI227" i="1"/>
  <c r="U221" i="1"/>
  <c r="S221" i="1" s="1"/>
  <c r="W218" i="1"/>
  <c r="W203" i="1"/>
  <c r="M35" i="3"/>
  <c r="R35" i="3"/>
  <c r="S35" i="3"/>
  <c r="U35" i="3"/>
  <c r="V35" i="3"/>
  <c r="W35" i="3"/>
  <c r="X35" i="3"/>
  <c r="AC35" i="3" l="1"/>
  <c r="AD35" i="3"/>
  <c r="AE35" i="3"/>
  <c r="Y35" i="3"/>
  <c r="T35" i="3"/>
  <c r="AD7" i="3" l="1"/>
  <c r="AE7" i="3"/>
  <c r="M28" i="5" l="1"/>
  <c r="M23" i="5" l="1"/>
  <c r="AN13" i="1" l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2" i="10" l="1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N38" i="3" s="1"/>
  <c r="G14" i="4"/>
  <c r="G15" i="4"/>
  <c r="G16" i="4"/>
  <c r="G17" i="4"/>
  <c r="G18" i="4"/>
  <c r="G19" i="4"/>
  <c r="G20" i="4"/>
  <c r="N15" i="3" s="1"/>
  <c r="G21" i="4"/>
  <c r="G22" i="4"/>
  <c r="N19" i="3" s="1"/>
  <c r="G23" i="4"/>
  <c r="G24" i="4"/>
  <c r="G25" i="4"/>
  <c r="G26" i="4"/>
  <c r="G27" i="4"/>
  <c r="G28" i="4"/>
  <c r="G29" i="4"/>
  <c r="G30" i="4"/>
  <c r="G31" i="4"/>
  <c r="G32" i="4"/>
  <c r="G33" i="4"/>
  <c r="N14" i="3" s="1"/>
  <c r="G34" i="4"/>
  <c r="G35" i="4"/>
  <c r="G36" i="4"/>
  <c r="G37" i="4"/>
  <c r="G38" i="4"/>
  <c r="G39" i="4"/>
  <c r="G40" i="4"/>
  <c r="N33" i="3" s="1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N35" i="3" s="1"/>
  <c r="G76" i="4"/>
  <c r="G77" i="4"/>
  <c r="G78" i="4"/>
  <c r="G79" i="4"/>
  <c r="G80" i="4"/>
  <c r="G81" i="4"/>
  <c r="G82" i="4"/>
  <c r="N9" i="3" s="1"/>
  <c r="G83" i="4"/>
  <c r="N10" i="3" s="1"/>
  <c r="G84" i="4"/>
  <c r="N13" i="3" s="1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N28" i="3" s="1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N17" i="3" s="1"/>
  <c r="G114" i="4"/>
  <c r="G115" i="4"/>
  <c r="G116" i="4"/>
  <c r="G117" i="4"/>
  <c r="G118" i="4"/>
  <c r="G119" i="4"/>
  <c r="G120" i="4"/>
  <c r="G121" i="4"/>
  <c r="G122" i="4"/>
  <c r="N23" i="3" s="1"/>
  <c r="G123" i="4"/>
  <c r="G124" i="4"/>
  <c r="G125" i="4"/>
  <c r="G126" i="4"/>
  <c r="G127" i="4"/>
  <c r="G128" i="4"/>
  <c r="N29" i="3" s="1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N26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N32" i="3" s="1"/>
  <c r="G168" i="4"/>
  <c r="G169" i="4"/>
  <c r="G170" i="4"/>
  <c r="G171" i="4"/>
  <c r="G172" i="4"/>
  <c r="G173" i="4"/>
  <c r="G174" i="4"/>
  <c r="G175" i="4"/>
  <c r="G176" i="4"/>
  <c r="G177" i="4"/>
  <c r="G178" i="4"/>
  <c r="N30" i="3" s="1"/>
  <c r="G179" i="4"/>
  <c r="G180" i="4"/>
  <c r="G181" i="4"/>
  <c r="G182" i="4"/>
  <c r="G183" i="4"/>
  <c r="N27" i="3" s="1"/>
  <c r="G184" i="4"/>
  <c r="G185" i="4"/>
  <c r="G186" i="4"/>
  <c r="G187" i="4"/>
  <c r="G188" i="4"/>
  <c r="G189" i="4"/>
  <c r="N12" i="3" s="1"/>
  <c r="G190" i="4"/>
  <c r="G191" i="4"/>
  <c r="N8" i="3" s="1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N31" i="3" s="1"/>
  <c r="G207" i="4"/>
  <c r="N34" i="3" s="1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N16" i="3" s="1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7" i="3" l="1"/>
  <c r="N22" i="3"/>
  <c r="N24" i="3"/>
  <c r="N25" i="3"/>
  <c r="N20" i="3"/>
  <c r="N21" i="3"/>
  <c r="N36" i="3"/>
  <c r="N37" i="3"/>
  <c r="N11" i="3"/>
  <c r="N18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H3" i="6"/>
  <c r="J3" i="6"/>
  <c r="G3" i="6"/>
  <c r="B4" i="6"/>
  <c r="I4" i="6" l="1"/>
  <c r="F4" i="6"/>
  <c r="H4" i="6"/>
  <c r="J4" i="6"/>
  <c r="G4" i="6"/>
  <c r="B5" i="6" l="1"/>
  <c r="I5" i="6" l="1"/>
  <c r="F5" i="6"/>
  <c r="B6" i="6"/>
  <c r="J5" i="6"/>
  <c r="G5" i="6"/>
  <c r="H5" i="6"/>
  <c r="I6" i="6" l="1"/>
  <c r="F6" i="6"/>
  <c r="B7" i="6"/>
  <c r="J6" i="6"/>
  <c r="G6" i="6"/>
  <c r="H6" i="6"/>
  <c r="I7" i="6" l="1"/>
  <c r="F7" i="6"/>
  <c r="H7" i="6"/>
  <c r="J7" i="6"/>
  <c r="G7" i="6"/>
  <c r="B8" i="6"/>
  <c r="I8" i="6" l="1"/>
  <c r="F8" i="6"/>
  <c r="B9" i="6"/>
  <c r="G8" i="6"/>
  <c r="J8" i="6"/>
  <c r="H8" i="6"/>
  <c r="I9" i="6" l="1"/>
  <c r="F9" i="6"/>
  <c r="G9" i="6"/>
  <c r="H9" i="6"/>
  <c r="J9" i="6"/>
  <c r="B10" i="6"/>
  <c r="I10" i="6" l="1"/>
  <c r="F10" i="6"/>
  <c r="J10" i="6"/>
  <c r="G10" i="6"/>
  <c r="H10" i="6"/>
  <c r="B11" i="6"/>
  <c r="I11" i="6" l="1"/>
  <c r="F11" i="6"/>
  <c r="G11" i="6"/>
  <c r="H11" i="6"/>
  <c r="J11" i="6"/>
  <c r="B12" i="6"/>
  <c r="I12" i="6" l="1"/>
  <c r="F12" i="6"/>
  <c r="B13" i="6"/>
  <c r="J12" i="6"/>
  <c r="H12" i="6"/>
  <c r="G12" i="6"/>
  <c r="I13" i="6" l="1"/>
  <c r="F13" i="6"/>
  <c r="J13" i="6"/>
  <c r="G13" i="6"/>
  <c r="H13" i="6"/>
  <c r="B14" i="6"/>
  <c r="I14" i="6" l="1"/>
  <c r="F14" i="6"/>
  <c r="B15" i="6"/>
  <c r="G14" i="6"/>
  <c r="J14" i="6"/>
  <c r="H14" i="6"/>
  <c r="I15" i="6" l="1"/>
  <c r="F15" i="6"/>
  <c r="G15" i="6"/>
  <c r="J15" i="6"/>
  <c r="H15" i="6"/>
  <c r="B16" i="6"/>
  <c r="I16" i="6" l="1"/>
  <c r="F16" i="6"/>
  <c r="B17" i="6"/>
  <c r="G16" i="6"/>
  <c r="J16" i="6"/>
  <c r="H16" i="6"/>
  <c r="I17" i="6" l="1"/>
  <c r="F17" i="6"/>
  <c r="G17" i="6"/>
  <c r="H17" i="6"/>
  <c r="J17" i="6"/>
  <c r="B18" i="6" l="1"/>
  <c r="I18" i="6" l="1"/>
  <c r="F18" i="6"/>
  <c r="G18" i="6"/>
  <c r="H18" i="6"/>
  <c r="J18" i="6"/>
  <c r="B19" i="6"/>
  <c r="I19" i="6" l="1"/>
  <c r="F19" i="6"/>
  <c r="G19" i="6"/>
  <c r="H19" i="6"/>
  <c r="J19" i="6"/>
  <c r="B20" i="6"/>
  <c r="I20" i="6" l="1"/>
  <c r="F20" i="6"/>
  <c r="B21" i="6"/>
  <c r="J20" i="6"/>
  <c r="G20" i="6"/>
  <c r="H20" i="6"/>
  <c r="I21" i="6" l="1"/>
  <c r="F21" i="6"/>
  <c r="B22" i="6"/>
  <c r="J21" i="6"/>
  <c r="G21" i="6"/>
  <c r="H21" i="6"/>
  <c r="I22" i="6" l="1"/>
  <c r="F22" i="6"/>
  <c r="H22" i="6"/>
  <c r="G22" i="6"/>
  <c r="J22" i="6"/>
  <c r="B23" i="6"/>
  <c r="I23" i="6" l="1"/>
  <c r="F23" i="6"/>
  <c r="B24" i="6"/>
  <c r="G23" i="6"/>
  <c r="J23" i="6"/>
  <c r="H23" i="6"/>
  <c r="I24" i="6" l="1"/>
  <c r="F24" i="6"/>
  <c r="B25" i="6"/>
  <c r="J24" i="6"/>
  <c r="G24" i="6"/>
  <c r="H24" i="6"/>
  <c r="I25" i="6" l="1"/>
  <c r="F25" i="6"/>
  <c r="J25" i="6"/>
  <c r="G25" i="6"/>
  <c r="H25" i="6"/>
  <c r="B26" i="6"/>
  <c r="I26" i="6" l="1"/>
  <c r="F26" i="6"/>
  <c r="H26" i="6"/>
  <c r="J26" i="6"/>
  <c r="G26" i="6"/>
  <c r="B27" i="6"/>
  <c r="I27" i="6" l="1"/>
  <c r="F27" i="6"/>
  <c r="B28" i="6"/>
  <c r="J27" i="6"/>
  <c r="H27" i="6"/>
  <c r="G27" i="6"/>
  <c r="I28" i="6" l="1"/>
  <c r="F28" i="6"/>
  <c r="J28" i="6"/>
  <c r="G28" i="6"/>
  <c r="H28" i="6"/>
  <c r="B29" i="6"/>
  <c r="I29" i="6" l="1"/>
  <c r="F29" i="6"/>
  <c r="G29" i="6"/>
  <c r="H29" i="6"/>
  <c r="J29" i="6"/>
  <c r="B30" i="6"/>
  <c r="I30" i="6" l="1"/>
  <c r="F30" i="6"/>
  <c r="G30" i="6"/>
  <c r="H30" i="6"/>
  <c r="J30" i="6"/>
  <c r="B31" i="6"/>
  <c r="I31" i="6" l="1"/>
  <c r="F31" i="6"/>
  <c r="B32" i="6"/>
  <c r="J31" i="6"/>
  <c r="H31" i="6"/>
  <c r="G31" i="6"/>
  <c r="I32" i="6" l="1"/>
  <c r="F32" i="6"/>
  <c r="B33" i="6"/>
  <c r="J32" i="6"/>
  <c r="G32" i="6"/>
  <c r="H32" i="6"/>
  <c r="I33" i="6" l="1"/>
  <c r="F33" i="6"/>
  <c r="H33" i="6"/>
  <c r="G33" i="6"/>
  <c r="J33" i="6"/>
  <c r="B34" i="6"/>
  <c r="I34" i="6" l="1"/>
  <c r="F34" i="6"/>
  <c r="G34" i="6"/>
  <c r="H34" i="6"/>
  <c r="J34" i="6"/>
  <c r="B35" i="6"/>
  <c r="I35" i="6" l="1"/>
  <c r="F35" i="6"/>
  <c r="B36" i="6"/>
  <c r="J35" i="6"/>
  <c r="H35" i="6"/>
  <c r="G35" i="6"/>
  <c r="I36" i="6" l="1"/>
  <c r="F36" i="6"/>
  <c r="B37" i="6"/>
  <c r="J36" i="6"/>
  <c r="G36" i="6"/>
  <c r="H36" i="6"/>
  <c r="I37" i="6" l="1"/>
  <c r="F37" i="6"/>
  <c r="B38" i="6"/>
  <c r="J37" i="6"/>
  <c r="G37" i="6"/>
  <c r="H37" i="6"/>
  <c r="I38" i="6" l="1"/>
  <c r="F38" i="6"/>
  <c r="J38" i="6"/>
  <c r="H38" i="6"/>
  <c r="G38" i="6"/>
  <c r="B39" i="6"/>
  <c r="I39" i="6" l="1"/>
  <c r="F39" i="6"/>
  <c r="J39" i="6"/>
  <c r="H39" i="6"/>
  <c r="G39" i="6"/>
  <c r="B40" i="6"/>
  <c r="I40" i="6" l="1"/>
  <c r="F40" i="6"/>
  <c r="J40" i="6"/>
  <c r="G40" i="6"/>
  <c r="H40" i="6"/>
  <c r="B41" i="6"/>
  <c r="I41" i="6" l="1"/>
  <c r="F41" i="6"/>
  <c r="B42" i="6"/>
  <c r="G41" i="6"/>
  <c r="H41" i="6"/>
  <c r="J41" i="6"/>
  <c r="I42" i="6" l="1"/>
  <c r="F42" i="6"/>
  <c r="G42" i="6"/>
  <c r="H42" i="6"/>
  <c r="J42" i="6"/>
  <c r="B43" i="6"/>
  <c r="I43" i="6" l="1"/>
  <c r="F43" i="6"/>
  <c r="B44" i="6"/>
  <c r="J43" i="6"/>
  <c r="G43" i="6"/>
  <c r="H43" i="6"/>
  <c r="I44" i="6" l="1"/>
  <c r="F44" i="6"/>
  <c r="H44" i="6"/>
  <c r="G44" i="6"/>
  <c r="J44" i="6"/>
  <c r="B45" i="6"/>
  <c r="I45" i="6" l="1"/>
  <c r="F45" i="6"/>
  <c r="B46" i="6"/>
  <c r="H45" i="6"/>
  <c r="G45" i="6"/>
  <c r="J45" i="6"/>
  <c r="I46" i="6" l="1"/>
  <c r="F46" i="6"/>
  <c r="B47" i="6"/>
  <c r="J46" i="6"/>
  <c r="H46" i="6"/>
  <c r="G46" i="6"/>
  <c r="I47" i="6" l="1"/>
  <c r="F47" i="6"/>
  <c r="J47" i="6"/>
  <c r="H47" i="6"/>
  <c r="G47" i="6"/>
  <c r="B48" i="6"/>
  <c r="I48" i="6" l="1"/>
  <c r="F48" i="6"/>
  <c r="J48" i="6"/>
  <c r="H48" i="6"/>
  <c r="G48" i="6"/>
  <c r="B49" i="6"/>
  <c r="I49" i="6" l="1"/>
  <c r="F49" i="6"/>
  <c r="B50" i="6"/>
  <c r="J49" i="6"/>
  <c r="G49" i="6"/>
  <c r="H49" i="6"/>
  <c r="I50" i="6" l="1"/>
  <c r="F50" i="6"/>
  <c r="B51" i="6"/>
  <c r="G50" i="6"/>
  <c r="H50" i="6"/>
  <c r="J50" i="6"/>
  <c r="I51" i="6" l="1"/>
  <c r="F51" i="6"/>
  <c r="B52" i="6"/>
  <c r="J51" i="6"/>
  <c r="H51" i="6"/>
  <c r="G51" i="6"/>
  <c r="I52" i="6" l="1"/>
  <c r="F52" i="6"/>
  <c r="B53" i="6"/>
  <c r="H52" i="6"/>
  <c r="J52" i="6"/>
  <c r="G52" i="6"/>
  <c r="I53" i="6" l="1"/>
  <c r="F53" i="6"/>
  <c r="G53" i="6"/>
  <c r="H53" i="6"/>
  <c r="J53" i="6"/>
  <c r="B54" i="6"/>
  <c r="I54" i="6" l="1"/>
  <c r="F54" i="6"/>
  <c r="B55" i="6"/>
  <c r="G54" i="6"/>
  <c r="J54" i="6"/>
  <c r="H54" i="6"/>
  <c r="I55" i="6" l="1"/>
  <c r="F55" i="6"/>
  <c r="H55" i="6"/>
  <c r="J55" i="6"/>
  <c r="G55" i="6"/>
  <c r="B56" i="6"/>
  <c r="I56" i="6" l="1"/>
  <c r="F56" i="6"/>
  <c r="H56" i="6"/>
  <c r="G56" i="6"/>
  <c r="J56" i="6"/>
  <c r="B57" i="6"/>
  <c r="I57" i="6" l="1"/>
  <c r="F57" i="6"/>
  <c r="H57" i="6"/>
  <c r="G57" i="6"/>
  <c r="J57" i="6"/>
  <c r="B58" i="6"/>
  <c r="I58" i="6" l="1"/>
  <c r="F58" i="6"/>
  <c r="H58" i="6"/>
  <c r="J58" i="6"/>
  <c r="G58" i="6"/>
  <c r="B59" i="6"/>
  <c r="I59" i="6" l="1"/>
  <c r="F59" i="6"/>
  <c r="J59" i="6"/>
  <c r="G59" i="6"/>
  <c r="H59" i="6"/>
  <c r="B60" i="6"/>
  <c r="I60" i="6" l="1"/>
  <c r="F60" i="6"/>
  <c r="J60" i="6"/>
  <c r="H60" i="6"/>
  <c r="G60" i="6"/>
  <c r="B61" i="6"/>
  <c r="I61" i="6" l="1"/>
  <c r="F61" i="6"/>
  <c r="G61" i="6"/>
  <c r="H61" i="6"/>
  <c r="J61" i="6"/>
  <c r="B62" i="6"/>
  <c r="I62" i="6" l="1"/>
  <c r="F62" i="6"/>
  <c r="B63" i="6"/>
  <c r="J62" i="6"/>
  <c r="G62" i="6"/>
  <c r="H62" i="6"/>
  <c r="I63" i="6" l="1"/>
  <c r="F63" i="6"/>
  <c r="J63" i="6"/>
  <c r="H63" i="6"/>
  <c r="G63" i="6"/>
  <c r="B64" i="6"/>
  <c r="I64" i="6" l="1"/>
  <c r="F64" i="6"/>
  <c r="B65" i="6"/>
  <c r="J64" i="6"/>
  <c r="G64" i="6"/>
  <c r="H64" i="6"/>
  <c r="I65" i="6" l="1"/>
  <c r="F65" i="6"/>
  <c r="B66" i="6"/>
  <c r="H65" i="6"/>
  <c r="G65" i="6"/>
  <c r="J65" i="6"/>
  <c r="I66" i="6" l="1"/>
  <c r="F66" i="6"/>
  <c r="B67" i="6"/>
  <c r="J66" i="6"/>
  <c r="G66" i="6"/>
  <c r="H66" i="6"/>
  <c r="I67" i="6" l="1"/>
  <c r="F67" i="6"/>
  <c r="B68" i="6"/>
  <c r="J67" i="6"/>
  <c r="H67" i="6"/>
  <c r="G67" i="6"/>
  <c r="I68" i="6" l="1"/>
  <c r="F68" i="6"/>
  <c r="G68" i="6"/>
  <c r="H68" i="6"/>
  <c r="J68" i="6"/>
  <c r="B69" i="6"/>
  <c r="I69" i="6" l="1"/>
  <c r="F69" i="6"/>
  <c r="B70" i="6"/>
  <c r="J69" i="6"/>
  <c r="G69" i="6"/>
  <c r="H69" i="6"/>
  <c r="I70" i="6" l="1"/>
  <c r="F70" i="6"/>
  <c r="G70" i="6"/>
  <c r="H70" i="6"/>
  <c r="J70" i="6"/>
  <c r="B71" i="6"/>
  <c r="I71" i="6" l="1"/>
  <c r="F71" i="6"/>
  <c r="H71" i="6"/>
  <c r="G71" i="6"/>
  <c r="J71" i="6"/>
  <c r="B72" i="6"/>
  <c r="I72" i="6" l="1"/>
  <c r="F72" i="6"/>
  <c r="J72" i="6"/>
  <c r="H72" i="6"/>
  <c r="G72" i="6"/>
  <c r="B73" i="6"/>
  <c r="I73" i="6" l="1"/>
  <c r="F73" i="6"/>
  <c r="H73" i="6"/>
  <c r="G73" i="6"/>
  <c r="J73" i="6"/>
  <c r="B74" i="6"/>
  <c r="I74" i="6" l="1"/>
  <c r="F74" i="6"/>
  <c r="H74" i="6"/>
  <c r="G74" i="6"/>
  <c r="J74" i="6"/>
  <c r="B75" i="6"/>
  <c r="I75" i="6" l="1"/>
  <c r="F75" i="6"/>
  <c r="J75" i="6"/>
  <c r="G75" i="6"/>
  <c r="H75" i="6"/>
  <c r="B76" i="6"/>
  <c r="I76" i="6" l="1"/>
  <c r="F76" i="6"/>
  <c r="G76" i="6"/>
  <c r="H76" i="6"/>
  <c r="J76" i="6"/>
  <c r="B77" i="6"/>
  <c r="I77" i="6" l="1"/>
  <c r="F77" i="6"/>
  <c r="B78" i="6"/>
  <c r="H77" i="6"/>
  <c r="G77" i="6"/>
  <c r="J77" i="6"/>
  <c r="I78" i="6" l="1"/>
  <c r="F78" i="6"/>
  <c r="B79" i="6"/>
  <c r="J78" i="6"/>
  <c r="G78" i="6"/>
  <c r="H78" i="6"/>
  <c r="I79" i="6" l="1"/>
  <c r="F79" i="6"/>
  <c r="H79" i="6"/>
  <c r="G79" i="6"/>
  <c r="J79" i="6"/>
  <c r="B80" i="6"/>
  <c r="I80" i="6" l="1"/>
  <c r="F80" i="6"/>
  <c r="H80" i="6"/>
  <c r="J80" i="6"/>
  <c r="G80" i="6"/>
  <c r="B81" i="6"/>
  <c r="I81" i="6" l="1"/>
  <c r="F81" i="6"/>
  <c r="G81" i="6"/>
  <c r="J81" i="6"/>
  <c r="H81" i="6"/>
  <c r="B82" i="6"/>
  <c r="I82" i="6" l="1"/>
  <c r="F82" i="6"/>
  <c r="B83" i="6"/>
  <c r="H82" i="6"/>
  <c r="J82" i="6"/>
  <c r="G82" i="6"/>
  <c r="I83" i="6" l="1"/>
  <c r="F83" i="6"/>
  <c r="B84" i="6"/>
  <c r="J83" i="6"/>
  <c r="H83" i="6"/>
  <c r="G83" i="6"/>
  <c r="I84" i="6" l="1"/>
  <c r="F84" i="6"/>
  <c r="B86" i="6"/>
  <c r="B85" i="6"/>
  <c r="G84" i="6"/>
  <c r="H84" i="6"/>
  <c r="J84" i="6"/>
  <c r="I85" i="6" l="1"/>
  <c r="F85" i="6"/>
  <c r="I86" i="6"/>
  <c r="F86" i="6"/>
  <c r="G85" i="6"/>
  <c r="H85" i="6"/>
  <c r="J85" i="6"/>
  <c r="J86" i="6"/>
  <c r="G86" i="6"/>
  <c r="H86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<sst xmlns="http://schemas.openxmlformats.org/spreadsheetml/2006/main" count="2845" uniqueCount="1008">
  <si>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</si>
  <si>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</si>
  <si>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</si>
  <si>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</si>
  <si>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</si>
  <si>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</si>
  <si>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</si>
  <si>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</si>
  <si>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</si>
  <si>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</si>
  <si>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</si>
  <si>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</si>
  <si>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</si>
  <si>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</si>
  <si>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</si>
  <si>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</si>
  <si>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</si>
  <si>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</si>
  <si>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</si>
  <si>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</si>
  <si>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</si>
  <si>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</si>
  <si>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</si>
  <si>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</si>
  <si>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</si>
  <si>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</si>
  <si>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</si>
  <si>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</si>
  <si>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</si>
  <si>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</si>
  <si>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</si>
  <si>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</si>
  <si>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</si>
  <si>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</si>
  <si>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</si>
  <si>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</si>
  <si>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</si>
  <si>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</si>
  <si>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</si>
  <si>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</si>
  <si>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</si>
  <si>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</si>
  <si>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</si>
  <si>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</si>
  <si>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</si>
  <si>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</si>
  <si>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</si>
  <si>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</si>
  <si>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</si>
  <si>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</si>
  <si>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</si>
  <si>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</si>
  <si>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</si>
  <si>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</si>
  <si>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</si>
  <si>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</si>
  <si>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</si>
  <si>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</si>
  <si>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</si>
  <si>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</si>
  <si>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</si>
  <si>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</si>
  <si>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</si>
  <si>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</si>
  <si>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</si>
  <si>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</si>
  <si>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</si>
  <si>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</si>
  <si>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</si>
  <si>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</si>
  <si>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</si>
  <si>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</si>
  <si>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</si>
  <si>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</si>
  <si>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</si>
  <si>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</si>
  <si>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</si>
  <si>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</si>
  <si>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</si>
  <si>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</si>
  <si>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</si>
  <si>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</si>
  <si>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</si>
  <si>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</si>
  <si>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</si>
  <si>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</si>
  <si>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</si>
  <si>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</si>
  <si>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</si>
  <si>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</si>
  <si>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</si>
  <si>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</si>
  <si>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</si>
  <si>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</si>
  <si>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</si>
  <si>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</si>
  <si>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</si>
  <si>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</si>
  <si>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</si>
  <si>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</si>
  <si>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</si>
  <si>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</si>
  <si>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</si>
  <si>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</si>
  <si>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</si>
  <si>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</si>
  <si>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</si>
  <si>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</si>
  <si>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</si>
  <si>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</si>
  <si>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</si>
  <si>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</si>
  <si>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</si>
  <si>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</si>
  <si>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</si>
  <si>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</si>
  <si>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</si>
  <si>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</si>
  <si>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</si>
  <si>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</si>
  <si>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</si>
  <si>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</si>
  <si>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</si>
  <si>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</si>
  <si>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</si>
  <si>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</si>
  <si>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</si>
  <si>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</si>
  <si>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</si>
  <si>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</si>
  <si>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</si>
  <si>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</si>
  <si>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</si>
  <si>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</si>
  <si>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</si>
  <si>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</si>
  <si>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</si>
  <si>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</si>
  <si>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</si>
  <si>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</si>
  <si>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</si>
  <si>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</si>
  <si>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</si>
  <si>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</si>
  <si>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</si>
  <si>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</si>
  <si>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</si>
  <si>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</si>
  <si>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</si>
  <si>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</si>
  <si>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</si>
  <si>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</si>
  <si>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</si>
  <si>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</si>
  <si>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</si>
  <si>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</si>
  <si>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</si>
  <si>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</si>
  <si>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</si>
  <si>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</si>
  <si>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</si>
  <si>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</si>
  <si>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</si>
  <si>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</si>
  <si>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</si>
  <si>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</si>
  <si>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</si>
  <si>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</si>
  <si>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</si>
  <si>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</si>
  <si>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</si>
  <si>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</si>
  <si>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</si>
  <si>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</si>
  <si>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</si>
  <si>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</si>
  <si>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</si>
  <si>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</si>
  <si>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</si>
  <si>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</si>
  <si>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</si>
  <si>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</si>
  <si>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</si>
  <si>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</si>
  <si>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</si>
  <si>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</si>
  <si>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</si>
  <si>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</si>
  <si>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</si>
  <si>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</si>
  <si>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</si>
  <si>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</si>
  <si>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</si>
  <si>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</si>
  <si>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</si>
  <si>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</si>
  <si>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</si>
  <si>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</si>
  <si>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</si>
  <si>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</si>
  <si>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</si>
  <si>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</si>
  <si>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</si>
  <si>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</si>
  <si>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</si>
  <si>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</si>
  <si>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</si>
  <si>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</si>
  <si>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</si>
  <si>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</si>
  <si>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</si>
  <si>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</si>
  <si>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</si>
  <si>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</si>
  <si>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</si>
  <si>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</si>
  <si>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</si>
  <si>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</si>
  <si>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</si>
  <si>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</si>
  <si>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</si>
  <si>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</si>
  <si>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</si>
  <si>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</si>
  <si>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</si>
  <si>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</si>
  <si>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</si>
  <si>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</si>
  <si>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</si>
  <si>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</si>
  <si>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</si>
  <si>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</si>
  <si>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</si>
  <si>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</si>
  <si>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</si>
  <si>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</si>
  <si>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</si>
  <si>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</si>
  <si>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</si>
  <si>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</si>
  <si>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</si>
  <si>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</si>
  <si>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</si>
  <si>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</si>
  <si>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</si>
  <si>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</si>
  <si>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</si>
  <si>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</si>
  <si>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</si>
  <si>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</si>
  <si>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</si>
  <si>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</si>
  <si>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</si>
  <si>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</si>
  <si>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</si>
  <si>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</si>
  <si>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</si>
  <si>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</si>
  <si>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</si>
  <si>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</si>
  <si>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</si>
  <si>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</si>
  <si>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</si>
  <si>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</si>
  <si>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</si>
  <si>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</si>
  <si>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</si>
  <si>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</si>
  <si>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</si>
  <si>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</si>
  <si>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</si>
  <si>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</si>
  <si>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</si>
  <si>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</si>
  <si>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</si>
  <si>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</si>
  <si>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</si>
  <si>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</si>
  <si>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</si>
  <si>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</si>
  <si>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</si>
  <si>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</si>
  <si>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</si>
  <si>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</si>
  <si>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</si>
  <si>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</si>
  <si>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</si>
  <si>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</si>
  <si>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</si>
  <si>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</si>
  <si>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</si>
  <si>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</si>
  <si>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</si>
  <si>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</si>
  <si>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</si>
  <si>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</si>
  <si>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</si>
  <si>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</si>
  <si>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</si>
  <si>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</si>
  <si>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</si>
  <si>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</si>
  <si>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</si>
  <si>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</si>
  <si>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</si>
  <si>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</si>
  <si>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</si>
  <si>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</si>
  <si>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</si>
  <si>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</si>
  <si>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</si>
  <si>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</si>
  <si>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</si>
  <si>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</si>
  <si>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</si>
  <si>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</si>
  <si>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</si>
  <si>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</si>
  <si>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</si>
  <si>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</si>
  <si>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</si>
  <si>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</si>
  <si>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</si>
  <si>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</si>
  <si>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</si>
  <si>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</si>
  <si>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</si>
  <si>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</si>
  <si>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</si>
  <si>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</si>
  <si>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</si>
  <si>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</si>
  <si>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</si>
  <si>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</si>
  <si>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</si>
  <si>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</si>
  <si>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</si>
  <si>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</si>
  <si>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</si>
  <si>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</si>
  <si>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</si>
  <si>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</si>
  <si>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</si>
  <si>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</si>
  <si>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</si>
  <si>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</si>
  <si>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</si>
  <si>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</si>
  <si>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</si>
  <si>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</si>
  <si>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</si>
  <si>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</si>
  <si>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</si>
  <si>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</si>
  <si>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</si>
  <si>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</si>
  <si>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</si>
  <si>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</si>
  <si>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</si>
  <si>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</si>
  <si>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</si>
  <si>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</si>
  <si>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</si>
  <si>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</si>
  <si>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</si>
  <si>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</si>
  <si>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</si>
  <si>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</si>
  <si>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</si>
  <si>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</si>
  <si>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</si>
  <si>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</si>
  <si>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</si>
  <si>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</si>
  <si>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</si>
  <si>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</si>
  <si>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</si>
  <si>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</si>
  <si>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</si>
  <si>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</si>
  <si>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</si>
  <si>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204:143</t>
  </si>
  <si>
    <t>rtdc.l.rtdc.4021:itc</t>
  </si>
  <si>
    <t>rtdc.l.rtdc.4022:itc</t>
  </si>
  <si>
    <t>SMITH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</si>
  <si>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</si>
  <si>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</si>
  <si>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</si>
  <si>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</si>
  <si>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</si>
  <si>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</si>
  <si>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</si>
  <si>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</si>
  <si>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</si>
  <si>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</si>
  <si>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</si>
  <si>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</si>
  <si>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</si>
  <si>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</si>
  <si>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</si>
  <si>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204:161</t>
  </si>
  <si>
    <t>STORY</t>
  </si>
  <si>
    <t>SAMANTHA</t>
  </si>
  <si>
    <t>204:232994</t>
  </si>
  <si>
    <t>rtdc.l.rtdc.4014:itc</t>
  </si>
  <si>
    <t>rtdc.l.rtdc.4013:itc</t>
  </si>
  <si>
    <t>204:233295</t>
  </si>
  <si>
    <t>204:139</t>
  </si>
  <si>
    <t>204:233299</t>
  </si>
  <si>
    <t>204:141</t>
  </si>
  <si>
    <t>204:163</t>
  </si>
  <si>
    <t>204:134</t>
  </si>
  <si>
    <t>204:233303</t>
  </si>
  <si>
    <t>WCR Redmine cURL</t>
  </si>
  <si>
    <t>27f4683f8c668ceb395ce0223286e38dfe180cf8</t>
  </si>
  <si>
    <t>https://ptcsupport.wabtec.com/issues.json</t>
  </si>
  <si>
    <t>rtdc.l.rtdc.4010:itc</t>
  </si>
  <si>
    <t>204:233304</t>
  </si>
  <si>
    <t>204:462</t>
  </si>
  <si>
    <t>204:232993</t>
  </si>
  <si>
    <t>204:440</t>
  </si>
  <si>
    <t>204:232989</t>
  </si>
  <si>
    <t>204:233308</t>
  </si>
  <si>
    <t>300:23346</t>
  </si>
  <si>
    <t>rtdc.l.rtdc.4052:itc</t>
  </si>
  <si>
    <t>204:446</t>
  </si>
  <si>
    <t>rtdc.l.rtdc.4009:itc</t>
  </si>
  <si>
    <t>rtdc.l.rtdc.4045:itc</t>
  </si>
  <si>
    <t>partly-cloudy-night</t>
  </si>
  <si>
    <t>204:233297</t>
  </si>
  <si>
    <t>204:145</t>
  </si>
  <si>
    <t>204:466</t>
  </si>
  <si>
    <t>204:160</t>
  </si>
  <si>
    <t>204:232998</t>
  </si>
  <si>
    <t>rtdc.l.rtdc.4017:itc</t>
  </si>
  <si>
    <t>DUNCAN</t>
  </si>
  <si>
    <t>SHEILA</t>
  </si>
  <si>
    <t>204:458</t>
  </si>
  <si>
    <t>204:232985</t>
  </si>
  <si>
    <t>rtdc.l.rtdc.4041:itc</t>
  </si>
  <si>
    <t>rtdc.l.rtdc.4004:itc</t>
  </si>
  <si>
    <t>rtdc.l.rtdc.4003:itc</t>
  </si>
  <si>
    <t>SIGNAL</t>
  </si>
  <si>
    <t>Signal based authority (5)</t>
  </si>
  <si>
    <t>STARKS</t>
  </si>
  <si>
    <t>ANGELINA</t>
  </si>
  <si>
    <t>FORTUNATO</t>
  </si>
  <si>
    <t>FRANK</t>
  </si>
  <si>
    <t>MENGES</t>
  </si>
  <si>
    <t>BRAD</t>
  </si>
  <si>
    <t>CLARK</t>
  </si>
  <si>
    <t>KATHLEEN</t>
  </si>
  <si>
    <t>WILLIAMS</t>
  </si>
  <si>
    <t>DONTE</t>
  </si>
  <si>
    <t>rtdc.l.rtdc.4042:itc</t>
  </si>
  <si>
    <t>GUZMAN</t>
  </si>
  <si>
    <t>DANNY</t>
  </si>
  <si>
    <t>204:232971</t>
  </si>
  <si>
    <t>204:233319</t>
  </si>
  <si>
    <t>204:165</t>
  </si>
  <si>
    <t>204:232975</t>
  </si>
  <si>
    <t>Early arrival</t>
  </si>
  <si>
    <t>rtdc.l.rtdc.4053:itc</t>
  </si>
  <si>
    <t>rtdc.l.rtdc.4019:itc</t>
  </si>
  <si>
    <t>239-04</t>
  </si>
  <si>
    <t>81-04</t>
  </si>
  <si>
    <t>rtdc.l.rtdc.4016:itc</t>
  </si>
  <si>
    <t>LOZA</t>
  </si>
  <si>
    <t>FIDEL</t>
  </si>
  <si>
    <t>rtdc.l.rtdc.4015:itc</t>
  </si>
  <si>
    <t>rtdc.l.rtdc.4020:itc</t>
  </si>
  <si>
    <t>STRICKLAND</t>
  </si>
  <si>
    <t>EVAN</t>
  </si>
  <si>
    <t>82-04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</si>
  <si>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</si>
  <si>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</si>
  <si>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</si>
  <si>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</si>
  <si>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</si>
  <si>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</si>
  <si>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</si>
  <si>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</si>
  <si>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</si>
  <si>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</si>
  <si>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</si>
  <si>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</si>
  <si>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</si>
  <si>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</si>
  <si>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</si>
  <si>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</si>
  <si>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</si>
  <si>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</si>
  <si>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204:167</t>
  </si>
  <si>
    <t>204:132</t>
  </si>
  <si>
    <t>204:444</t>
  </si>
  <si>
    <t>204:484</t>
  </si>
  <si>
    <t>204:233300</t>
  </si>
  <si>
    <t>300:58638</t>
  </si>
  <si>
    <t>300:58944</t>
  </si>
  <si>
    <t>300:58956</t>
  </si>
  <si>
    <t>300:58621</t>
  </si>
  <si>
    <t>Onboard in-route failure</t>
  </si>
  <si>
    <t>rtdc.l.rtdc.4051:itc</t>
  </si>
  <si>
    <t>rtdc.l.rtdc.4001:itc</t>
  </si>
  <si>
    <t>rtdc.l.rtdc.4005:itc</t>
  </si>
  <si>
    <t>rtdc.l.rtdc.4006:itc</t>
  </si>
  <si>
    <t>BADERTSCHER</t>
  </si>
  <si>
    <t>DIANE</t>
  </si>
  <si>
    <t>rtdc.l.rtdc.4002:itc</t>
  </si>
  <si>
    <t>GEBRETEKLE</t>
  </si>
  <si>
    <t>DAGNEW</t>
  </si>
  <si>
    <t>JOHN</t>
  </si>
  <si>
    <t>SULLIVAN</t>
  </si>
  <si>
    <t>BRANDON</t>
  </si>
  <si>
    <t>WHITED</t>
  </si>
  <si>
    <t>DUSTIN</t>
  </si>
  <si>
    <t>DELGADO</t>
  </si>
  <si>
    <t>DIANAH</t>
  </si>
  <si>
    <t>LOPES</t>
  </si>
  <si>
    <t>KIMBERLY</t>
  </si>
  <si>
    <t>204:233353</t>
  </si>
  <si>
    <t>204:469</t>
  </si>
  <si>
    <t>204:232978</t>
  </si>
  <si>
    <t>204:233015</t>
  </si>
  <si>
    <t>204:233289</t>
  </si>
  <si>
    <t>204:233310</t>
  </si>
  <si>
    <t>204:233306</t>
  </si>
  <si>
    <t>204:232967</t>
  </si>
  <si>
    <t>204:232980</t>
  </si>
  <si>
    <t>204:232983</t>
  </si>
  <si>
    <t>204:467</t>
  </si>
  <si>
    <t>204:233305</t>
  </si>
  <si>
    <t>204:136</t>
  </si>
  <si>
    <t>204:233291</t>
  </si>
  <si>
    <t>204:233002</t>
  </si>
  <si>
    <t>204:233270</t>
  </si>
  <si>
    <t>204:233278</t>
  </si>
  <si>
    <t>204:127</t>
  </si>
  <si>
    <t>204:232961</t>
  </si>
  <si>
    <t>204:233302</t>
  </si>
  <si>
    <t>204:464</t>
  </si>
  <si>
    <t>300:58941</t>
  </si>
  <si>
    <t>204:673</t>
  </si>
  <si>
    <t>204:976</t>
  </si>
  <si>
    <t>204:969</t>
  </si>
  <si>
    <t>300:58948</t>
  </si>
  <si>
    <t>204:978</t>
  </si>
  <si>
    <t>204:967</t>
  </si>
  <si>
    <t>300:58995</t>
  </si>
  <si>
    <t>300:58670</t>
  </si>
  <si>
    <t>rtdc.l.rtdc.4054:itc</t>
  </si>
  <si>
    <t>SPECTOR</t>
  </si>
  <si>
    <t>ROBINSON</t>
  </si>
  <si>
    <t>KADDIBA</t>
  </si>
  <si>
    <t>SHOOK</t>
  </si>
  <si>
    <t>BRANDNER</t>
  </si>
  <si>
    <t>MELINDA</t>
  </si>
  <si>
    <t>rtdc.l.rtdc.4026:itc</t>
  </si>
  <si>
    <t>MACDONALD</t>
  </si>
  <si>
    <t>THOMAS</t>
  </si>
  <si>
    <t>908-06</t>
  </si>
  <si>
    <t>234-06</t>
  </si>
  <si>
    <t>237-06</t>
  </si>
  <si>
    <t>236-06</t>
  </si>
  <si>
    <t>239-06</t>
  </si>
  <si>
    <t>241-06</t>
  </si>
  <si>
    <t>238-06</t>
  </si>
  <si>
    <t>243-06</t>
  </si>
  <si>
    <t>240-06</t>
  </si>
  <si>
    <t>315-06</t>
  </si>
  <si>
    <t>242-06</t>
  </si>
  <si>
    <t>309-06</t>
  </si>
  <si>
    <t>244-06</t>
  </si>
  <si>
    <t>311-06</t>
  </si>
  <si>
    <t>313-06</t>
  </si>
  <si>
    <t>204:754</t>
  </si>
  <si>
    <t>204:232990</t>
  </si>
  <si>
    <t>204:746</t>
  </si>
  <si>
    <t>204:233359</t>
  </si>
  <si>
    <t>204:233272</t>
  </si>
  <si>
    <t>204:442</t>
  </si>
  <si>
    <t>204:232986</t>
  </si>
  <si>
    <t>204:232991</t>
  </si>
  <si>
    <t>204:233293</t>
  </si>
  <si>
    <t>204:233287</t>
  </si>
  <si>
    <t>204:232981</t>
  </si>
  <si>
    <t>204:232973</t>
  </si>
  <si>
    <t>204:233332</t>
  </si>
  <si>
    <t>204:232965</t>
  </si>
  <si>
    <t>204:486</t>
  </si>
  <si>
    <t>204:233276</t>
  </si>
  <si>
    <t>204:232976</t>
  </si>
  <si>
    <t>204:233323</t>
  </si>
  <si>
    <t>204:233268</t>
  </si>
  <si>
    <t>204:233071</t>
  </si>
  <si>
    <t>204:232987</t>
  </si>
  <si>
    <t>204:232996</t>
  </si>
  <si>
    <t>204:169</t>
  </si>
  <si>
    <t>204:233017</t>
  </si>
  <si>
    <t>204:233283</t>
  </si>
  <si>
    <t>204:478</t>
  </si>
  <si>
    <t>204:379</t>
  </si>
  <si>
    <t>300:23308</t>
  </si>
  <si>
    <t>204:731</t>
  </si>
  <si>
    <t>204:1018</t>
  </si>
  <si>
    <t>300:58990</t>
  </si>
  <si>
    <t>204:964</t>
  </si>
  <si>
    <t>300:58675</t>
  </si>
  <si>
    <t>204:724</t>
  </si>
  <si>
    <t>204:971</t>
  </si>
  <si>
    <t>204:1011</t>
  </si>
  <si>
    <t>300:23306</t>
  </si>
  <si>
    <t>300:58677</t>
  </si>
  <si>
    <t>204:972</t>
  </si>
  <si>
    <t>300:58969</t>
  </si>
  <si>
    <t>300:58651</t>
  </si>
  <si>
    <t>204:685</t>
  </si>
  <si>
    <t>300:58632</t>
  </si>
  <si>
    <t>300:58630</t>
  </si>
  <si>
    <t>204:706</t>
  </si>
  <si>
    <t>204:965</t>
  </si>
  <si>
    <t>300:58992</t>
  </si>
  <si>
    <t>204:684</t>
  </si>
  <si>
    <t>300:24254</t>
  </si>
  <si>
    <t>start /low /b %USERPROFILE%\Documents\GitHub\eaglep3\Utilities\DownloadLogsFromS3.py --loco 4016 --day 2017-04-07</t>
  </si>
  <si>
    <t>51-07</t>
  </si>
  <si>
    <t>306-07</t>
  </si>
  <si>
    <t>107-07</t>
  </si>
  <si>
    <t>109-07</t>
  </si>
  <si>
    <t>110-07</t>
  </si>
  <si>
    <t>rtdc.l.rtdc.4011:itc</t>
  </si>
  <si>
    <t>802-07</t>
  </si>
  <si>
    <t>116-07</t>
  </si>
  <si>
    <t>149-07</t>
  </si>
  <si>
    <t>151-07</t>
  </si>
  <si>
    <t>144-07</t>
  </si>
  <si>
    <t>52-07</t>
  </si>
  <si>
    <t>161-07</t>
  </si>
  <si>
    <t>171-07</t>
  </si>
  <si>
    <t>172-07</t>
  </si>
  <si>
    <t>183-07</t>
  </si>
  <si>
    <t>186-07</t>
  </si>
  <si>
    <t>188-07</t>
  </si>
  <si>
    <t>194-07</t>
  </si>
  <si>
    <t>200-07</t>
  </si>
  <si>
    <t>rtdc.l.rtdc.4008:itc</t>
  </si>
  <si>
    <t>833-07</t>
  </si>
  <si>
    <t>215-07</t>
  </si>
  <si>
    <t>212-07</t>
  </si>
  <si>
    <t>221-07</t>
  </si>
  <si>
    <t>216-07</t>
  </si>
  <si>
    <t>845-07</t>
  </si>
  <si>
    <t>229-07</t>
  </si>
  <si>
    <t>237-07</t>
  </si>
  <si>
    <t>302-07</t>
  </si>
  <si>
    <t>50-07</t>
  </si>
  <si>
    <t>101-07</t>
  </si>
  <si>
    <t>304-07</t>
  </si>
  <si>
    <t>DAVIS</t>
  </si>
  <si>
    <t>WENDY</t>
  </si>
  <si>
    <t>103-07</t>
  </si>
  <si>
    <t>308-07</t>
  </si>
  <si>
    <t>102-07</t>
  </si>
  <si>
    <t>105-07</t>
  </si>
  <si>
    <t>310-07</t>
  </si>
  <si>
    <t>104-07</t>
  </si>
  <si>
    <t>901-07</t>
  </si>
  <si>
    <t>111-07</t>
  </si>
  <si>
    <t>113-07</t>
  </si>
  <si>
    <t>106-07</t>
  </si>
  <si>
    <t>800-07</t>
  </si>
  <si>
    <t>108-07</t>
  </si>
  <si>
    <t>115-07</t>
  </si>
  <si>
    <t>801-07</t>
  </si>
  <si>
    <t>117-07</t>
  </si>
  <si>
    <t>112-07</t>
  </si>
  <si>
    <t>rtdc.l.rtdc.4007:itc</t>
  </si>
  <si>
    <t>902-07</t>
  </si>
  <si>
    <t>119-07</t>
  </si>
  <si>
    <t>114-07</t>
  </si>
  <si>
    <t>803-07</t>
  </si>
  <si>
    <t>121-07</t>
  </si>
  <si>
    <t>123-07</t>
  </si>
  <si>
    <t>805-07</t>
  </si>
  <si>
    <t>804-07</t>
  </si>
  <si>
    <t>118-07</t>
  </si>
  <si>
    <t>125-07</t>
  </si>
  <si>
    <t>rtdc.l.rtdc.4025:itc</t>
  </si>
  <si>
    <t>120-07</t>
  </si>
  <si>
    <t>127-07</t>
  </si>
  <si>
    <t>807-07</t>
  </si>
  <si>
    <t>806-07</t>
  </si>
  <si>
    <t>122-07</t>
  </si>
  <si>
    <t>124-07</t>
  </si>
  <si>
    <t>129-07</t>
  </si>
  <si>
    <t>131-07</t>
  </si>
  <si>
    <t>809-07</t>
  </si>
  <si>
    <t>126-07</t>
  </si>
  <si>
    <t>808-07</t>
  </si>
  <si>
    <t>133-07</t>
  </si>
  <si>
    <t>128-07</t>
  </si>
  <si>
    <t>811-07</t>
  </si>
  <si>
    <t>135-07</t>
  </si>
  <si>
    <t>130-07</t>
  </si>
  <si>
    <t>810-07</t>
  </si>
  <si>
    <t>137-07</t>
  </si>
  <si>
    <t>132-07</t>
  </si>
  <si>
    <t>139-07</t>
  </si>
  <si>
    <t>903-07</t>
  </si>
  <si>
    <t>812-07</t>
  </si>
  <si>
    <t>134-07</t>
  </si>
  <si>
    <t>141-07</t>
  </si>
  <si>
    <t>136-07</t>
  </si>
  <si>
    <t>138-07</t>
  </si>
  <si>
    <t>143-07</t>
  </si>
  <si>
    <t>813-07</t>
  </si>
  <si>
    <t>145-07</t>
  </si>
  <si>
    <t>140-07</t>
  </si>
  <si>
    <t>147-07</t>
  </si>
  <si>
    <t>142-07</t>
  </si>
  <si>
    <t>814-07</t>
  </si>
  <si>
    <t>815-07</t>
  </si>
  <si>
    <t>146-07</t>
  </si>
  <si>
    <t>153-07</t>
  </si>
  <si>
    <t>148-07</t>
  </si>
  <si>
    <t>155-07</t>
  </si>
  <si>
    <t>150-07</t>
  </si>
  <si>
    <t>816-07</t>
  </si>
  <si>
    <t>157-07</t>
  </si>
  <si>
    <t>152-07</t>
  </si>
  <si>
    <t>159-07</t>
  </si>
  <si>
    <t>STEWART</t>
  </si>
  <si>
    <t>154-07</t>
  </si>
  <si>
    <t>817-07</t>
  </si>
  <si>
    <t>ROMERO</t>
  </si>
  <si>
    <t>CHAD</t>
  </si>
  <si>
    <t>156-07</t>
  </si>
  <si>
    <t>163-07</t>
  </si>
  <si>
    <t>158-07</t>
  </si>
  <si>
    <t>165-07</t>
  </si>
  <si>
    <t>BRUDER</t>
  </si>
  <si>
    <t>RICHARD</t>
  </si>
  <si>
    <t>818-07</t>
  </si>
  <si>
    <t>160-07</t>
  </si>
  <si>
    <t>162-07</t>
  </si>
  <si>
    <t>167-07</t>
  </si>
  <si>
    <t>819-07</t>
  </si>
  <si>
    <t>169-07</t>
  </si>
  <si>
    <t>164-07</t>
  </si>
  <si>
    <t>166-07</t>
  </si>
  <si>
    <t>820-07</t>
  </si>
  <si>
    <t>173-07</t>
  </si>
  <si>
    <t>168-07</t>
  </si>
  <si>
    <t>175-07</t>
  </si>
  <si>
    <t>170-07</t>
  </si>
  <si>
    <t>821-07</t>
  </si>
  <si>
    <t>177-07</t>
  </si>
  <si>
    <t>179-07</t>
  </si>
  <si>
    <t>174-07</t>
  </si>
  <si>
    <t>822-07</t>
  </si>
  <si>
    <t>176-07</t>
  </si>
  <si>
    <t>181-07</t>
  </si>
  <si>
    <t>178-07</t>
  </si>
  <si>
    <t>185-07</t>
  </si>
  <si>
    <t>823-07</t>
  </si>
  <si>
    <t>180-07</t>
  </si>
  <si>
    <t>187-07</t>
  </si>
  <si>
    <t>182-07</t>
  </si>
  <si>
    <t>824-07</t>
  </si>
  <si>
    <t>189-07</t>
  </si>
  <si>
    <t>191-07</t>
  </si>
  <si>
    <t>184-07</t>
  </si>
  <si>
    <t>825-07</t>
  </si>
  <si>
    <t>193-07</t>
  </si>
  <si>
    <t>904-07</t>
  </si>
  <si>
    <t>195-07</t>
  </si>
  <si>
    <t>826-07</t>
  </si>
  <si>
    <t>827-07</t>
  </si>
  <si>
    <t>190-07</t>
  </si>
  <si>
    <t>197-07</t>
  </si>
  <si>
    <t>192-07</t>
  </si>
  <si>
    <t>199-07</t>
  </si>
  <si>
    <t>828-07</t>
  </si>
  <si>
    <t>196-07</t>
  </si>
  <si>
    <t>829-07</t>
  </si>
  <si>
    <t>201-07</t>
  </si>
  <si>
    <t>203-07</t>
  </si>
  <si>
    <t>831-07</t>
  </si>
  <si>
    <t>198-07</t>
  </si>
  <si>
    <t>830-07</t>
  </si>
  <si>
    <t>205-07</t>
  </si>
  <si>
    <t>207-07</t>
  </si>
  <si>
    <t>202-07</t>
  </si>
  <si>
    <t>832-07</t>
  </si>
  <si>
    <t>209-07</t>
  </si>
  <si>
    <t>204-07</t>
  </si>
  <si>
    <t>211-07</t>
  </si>
  <si>
    <t>206-07</t>
  </si>
  <si>
    <t>834-07</t>
  </si>
  <si>
    <t>835-07</t>
  </si>
  <si>
    <t>54-07</t>
  </si>
  <si>
    <t>SAFIEF</t>
  </si>
  <si>
    <t>AEIMEN</t>
  </si>
  <si>
    <t>213-07</t>
  </si>
  <si>
    <t>208-07</t>
  </si>
  <si>
    <t>210-07</t>
  </si>
  <si>
    <t>217-07</t>
  </si>
  <si>
    <t>836-07</t>
  </si>
  <si>
    <t>837-07</t>
  </si>
  <si>
    <t>219-07</t>
  </si>
  <si>
    <t>839-07</t>
  </si>
  <si>
    <t>214-07</t>
  </si>
  <si>
    <t>838-07</t>
  </si>
  <si>
    <t>303-07</t>
  </si>
  <si>
    <t>218-07</t>
  </si>
  <si>
    <t>841-07</t>
  </si>
  <si>
    <t>906-07</t>
  </si>
  <si>
    <t>305-07</t>
  </si>
  <si>
    <t>220-07</t>
  </si>
  <si>
    <t>223-07</t>
  </si>
  <si>
    <t>DAVIDSON</t>
  </si>
  <si>
    <t>DAVID</t>
  </si>
  <si>
    <t>840-07</t>
  </si>
  <si>
    <t>307-07</t>
  </si>
  <si>
    <t>222-07</t>
  </si>
  <si>
    <t>225-07</t>
  </si>
  <si>
    <t>843-07</t>
  </si>
  <si>
    <t>224-07</t>
  </si>
  <si>
    <t>227-07</t>
  </si>
  <si>
    <t>842-07</t>
  </si>
  <si>
    <t>226-07</t>
  </si>
  <si>
    <t>844-07</t>
  </si>
  <si>
    <t>228-07</t>
  </si>
  <si>
    <t>231-07</t>
  </si>
  <si>
    <t>233-07</t>
  </si>
  <si>
    <t>230-07</t>
  </si>
  <si>
    <t>847-07</t>
  </si>
  <si>
    <t>235-07</t>
  </si>
  <si>
    <t>232-07</t>
  </si>
  <si>
    <t>908-07</t>
  </si>
  <si>
    <t>234-07</t>
  </si>
  <si>
    <t>236-07</t>
  </si>
  <si>
    <t>239-07</t>
  </si>
  <si>
    <t>241-07</t>
  </si>
  <si>
    <t>238-07</t>
  </si>
  <si>
    <t>240-07</t>
  </si>
  <si>
    <t>243-07</t>
  </si>
  <si>
    <t>242-07</t>
  </si>
  <si>
    <t>245-07</t>
  </si>
  <si>
    <t>309-07</t>
  </si>
  <si>
    <t>244-07</t>
  </si>
  <si>
    <t>311-07</t>
  </si>
  <si>
    <t>246-07</t>
  </si>
  <si>
    <t>313-07</t>
  </si>
  <si>
    <t>315-07</t>
  </si>
  <si>
    <t>Mostly Cloudy</t>
  </si>
  <si>
    <t>204:232632</t>
  </si>
  <si>
    <t>204:755</t>
  </si>
  <si>
    <t>204:232670</t>
  </si>
  <si>
    <t>204:232713</t>
  </si>
  <si>
    <t>204:150</t>
  </si>
  <si>
    <t>204:233307</t>
  </si>
  <si>
    <t>204:719</t>
  </si>
  <si>
    <t>204:232982</t>
  </si>
  <si>
    <t>204:429</t>
  </si>
  <si>
    <t>204:233285</t>
  </si>
  <si>
    <t>204:759</t>
  </si>
  <si>
    <t>204:232979</t>
  </si>
  <si>
    <t>204:233316</t>
  </si>
  <si>
    <t>204:438</t>
  </si>
  <si>
    <t>204:447</t>
  </si>
  <si>
    <t>204:422</t>
  </si>
  <si>
    <t>204:64159</t>
  </si>
  <si>
    <t>204:233408</t>
  </si>
  <si>
    <t>204:233088</t>
  </si>
  <si>
    <t>204:233326</t>
  </si>
  <si>
    <t>204:233005</t>
  </si>
  <si>
    <t>204:473</t>
  </si>
  <si>
    <t>204:233391</t>
  </si>
  <si>
    <t>204:233091</t>
  </si>
  <si>
    <t>204:477</t>
  </si>
  <si>
    <t>204:233380</t>
  </si>
  <si>
    <t>204:233032</t>
  </si>
  <si>
    <t>204:209</t>
  </si>
  <si>
    <t>204:233325</t>
  </si>
  <si>
    <t>204:233063</t>
  </si>
  <si>
    <t>204:500</t>
  </si>
  <si>
    <t>204:176</t>
  </si>
  <si>
    <t>204:232984</t>
  </si>
  <si>
    <t>204:232974</t>
  </si>
  <si>
    <t>204:1181</t>
  </si>
  <si>
    <t>204:437</t>
  </si>
  <si>
    <t>204:519</t>
  </si>
  <si>
    <t>204:233030</t>
  </si>
  <si>
    <t>204:378</t>
  </si>
  <si>
    <t>204:233389</t>
  </si>
  <si>
    <t>204:233100</t>
  </si>
  <si>
    <t>204:489</t>
  </si>
  <si>
    <t>204:185</t>
  </si>
  <si>
    <t>204:411</t>
  </si>
  <si>
    <t>204:233000</t>
  </si>
  <si>
    <t>204:233364</t>
  </si>
  <si>
    <t>204:233378</t>
  </si>
  <si>
    <t>204:191</t>
  </si>
  <si>
    <t>204:232970</t>
  </si>
  <si>
    <t>204:233415</t>
  </si>
  <si>
    <t>204:233093</t>
  </si>
  <si>
    <t>204:233318</t>
  </si>
  <si>
    <t>204:497</t>
  </si>
  <si>
    <t>204:233324</t>
  </si>
  <si>
    <t>204:233284</t>
  </si>
  <si>
    <t>204:233398</t>
  </si>
  <si>
    <t>204:233098</t>
  </si>
  <si>
    <t>204:27062</t>
  </si>
  <si>
    <t>204:233011</t>
  </si>
  <si>
    <t>204:475</t>
  </si>
  <si>
    <t>204:233066</t>
  </si>
  <si>
    <t>204:233340</t>
  </si>
  <si>
    <t>204:233368</t>
  </si>
  <si>
    <t>204:233064</t>
  </si>
  <si>
    <t>204:233040</t>
  </si>
  <si>
    <t>204:233314</t>
  </si>
  <si>
    <t>204:233010</t>
  </si>
  <si>
    <t>300:22887</t>
  </si>
  <si>
    <t>300:23489</t>
  </si>
  <si>
    <t>204:482</t>
  </si>
  <si>
    <t>300:23007</t>
  </si>
  <si>
    <t>300:23650</t>
  </si>
  <si>
    <t>300:22944</t>
  </si>
  <si>
    <t>300:23451</t>
  </si>
  <si>
    <t>300:23045</t>
  </si>
  <si>
    <t>204:1152</t>
  </si>
  <si>
    <t>204:128278</t>
  </si>
  <si>
    <t>300:19171</t>
  </si>
  <si>
    <t>204:82</t>
  </si>
  <si>
    <t>204:1477</t>
  </si>
  <si>
    <t>204:128020</t>
  </si>
  <si>
    <t>204:1834</t>
  </si>
  <si>
    <t>300:22718</t>
  </si>
  <si>
    <t>300:23474</t>
  </si>
  <si>
    <t>204:1028</t>
  </si>
  <si>
    <t>204:995</t>
  </si>
  <si>
    <t>300:58984</t>
  </si>
  <si>
    <t>204:743</t>
  </si>
  <si>
    <t>300:58993</t>
  </si>
  <si>
    <t>300:58679</t>
  </si>
  <si>
    <t>204:775</t>
  </si>
  <si>
    <t>204:1016</t>
  </si>
  <si>
    <t>300:58999</t>
  </si>
  <si>
    <t>300:58673</t>
  </si>
  <si>
    <t>204:717</t>
  </si>
  <si>
    <t>204:1021</t>
  </si>
  <si>
    <t>204:745</t>
  </si>
  <si>
    <t>204:981</t>
  </si>
  <si>
    <t>300:58982</t>
  </si>
  <si>
    <t>300:58668</t>
  </si>
  <si>
    <t>204:175</t>
  </si>
  <si>
    <t>204:1023</t>
  </si>
  <si>
    <t>300:58986</t>
  </si>
  <si>
    <t>204:1013</t>
  </si>
  <si>
    <t>204:729</t>
  </si>
  <si>
    <t>300:58624</t>
  </si>
  <si>
    <t>204:698</t>
  </si>
  <si>
    <t>300:58647</t>
  </si>
  <si>
    <t>204:678</t>
  </si>
  <si>
    <t>300:58920</t>
  </si>
  <si>
    <t>300:58602</t>
  </si>
  <si>
    <t>204:712</t>
  </si>
  <si>
    <t>300:58926</t>
  </si>
  <si>
    <t>204:680</t>
  </si>
  <si>
    <t>204:983</t>
  </si>
  <si>
    <t>300:58641</t>
  </si>
  <si>
    <t>300:58929</t>
  </si>
  <si>
    <t>300:58613</t>
  </si>
  <si>
    <t>204:699</t>
  </si>
  <si>
    <t>204:958</t>
  </si>
  <si>
    <t>300:59001</t>
  </si>
  <si>
    <t>300:58950</t>
  </si>
  <si>
    <t>204:715</t>
  </si>
  <si>
    <t>300:58939</t>
  </si>
  <si>
    <t>300:58707</t>
  </si>
  <si>
    <t>204:670</t>
  </si>
  <si>
    <t>204:992</t>
  </si>
  <si>
    <t>300:58070</t>
  </si>
  <si>
    <t>300:29693</t>
  </si>
  <si>
    <t>300:22963</t>
  </si>
  <si>
    <t>204:722</t>
  </si>
  <si>
    <t>300:23351</t>
  </si>
  <si>
    <t>300:58690</t>
  </si>
  <si>
    <t>300:28784</t>
  </si>
  <si>
    <t>300:21555</t>
  </si>
  <si>
    <t>start /low /b %USERPROFILE%\Documents\GitHub\eaglep3\Utilities\DownloadLogsFromS3.py --loco 4010 --day 2017-04-07</t>
  </si>
  <si>
    <t>start /low /b %USERPROFILE%\Documents\GitHub\eaglep3\Utilities\DownloadLogsFromS3.py --loco 4010 --day 2017-04-08</t>
  </si>
  <si>
    <t>start /low /b %USERPROFILE%\Documents\GitHub\eaglep3\Utilities\DownloadLogsFromS3.py --loco 4008 --day 2017-04-07</t>
  </si>
  <si>
    <t>start /low /b %USERPROFILE%\Documents\GitHub\eaglep3\Utilities\DownloadLogsFromS3.py --loco 4031 --day 2017-04-07</t>
  </si>
  <si>
    <t>start /low /b %USERPROFILE%\Documents\GitHub\eaglep3\Utilities\DownloadLogsFromS3.py --loco 4030 --day 2017-04-08</t>
  </si>
  <si>
    <t>start /low /b %USERPROFILE%\Documents\GitHub\eaglep3\Utilities\DownloadLogsFromS3.py --loco 4013 --day 2017-04-08</t>
  </si>
  <si>
    <t>start /low /b %USERPROFILE%\Documents\GitHub\eaglep3\Utilities\DownloadLogsFromS3.py --loco 4015 --day 2017-04-07</t>
  </si>
  <si>
    <t>start /low /b %USERPROFILE%\Documents\GitHub\eaglep3\Utilities\DownloadLogsFromS3.py --loco 4032 --day 2017-04-07</t>
  </si>
  <si>
    <t>start /low /b %USERPROFILE%\Documents\GitHub\eaglep3\Utilities\DownloadLogsFromS3.py --loco 4013 --day 2017-04-07</t>
  </si>
  <si>
    <t>start /low /b %USERPROFILE%\Documents\GitHub\eaglep3\Utilities\DownloadLogsFromS3.py --loco 4021 --day 2017-04-08</t>
  </si>
  <si>
    <t>start /low /b %USERPROFILE%\Documents\GitHub\eaglep3\Utilities\DownloadLogsFromS3.py --loco 4026 --day 2017-04-07</t>
  </si>
  <si>
    <t>start /low /b %USERPROFILE%\Documents\GitHub\eaglep3\Utilities\DownloadLogsFromS3.py --loco 4022 --day 2017-04-07</t>
  </si>
  <si>
    <t>start /low /b %USERPROFILE%\Documents\GitHub\eaglep3\Utilities\DownloadLogsFromS3.py --loco 4014 --day 2017-04-08</t>
  </si>
  <si>
    <t>start /low /b %USERPROFILE%\Documents\GitHub\eaglep3\Utilities\DownloadLogsFromS3.py --loco 4011 --day 2017-04-07</t>
  </si>
  <si>
    <t>start /low /b %USERPROFILE%\Documents\GitHub\eaglep3\Utilities\DownloadLogsFromS3.py --loco 4008 --day 2017-04-08</t>
  </si>
  <si>
    <t>Onboard in-route failure delayed departure</t>
  </si>
  <si>
    <t>Enforced for track warrant targets (bumper posts, 15.7 mph and then 7.5 mph)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</si>
</sst>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4"/>
  <sheetViews>
    <sheetView zoomScaleNormal="100" workbookViewId="0">
      <selection activeCell="R147" sqref="R147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42832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42832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COUNTIFS($N$13:$N$9323,"&gt;0",$AG$13:$AG$9323,I1)</f>
        <v>145</v>
      </c>
      <c r="K5" s="40"/>
      <c r="L5" s="40"/>
      <c r="M5" s="41">
        <f>AVERAGEIFS($N$13:$N$9323,$AG$13:$AG$9323,I1)</f>
        <v>38.858045977596518</v>
      </c>
      <c r="N5" s="39">
        <f t="array" ref="N5">MIN(IF($AG$13:$AG$9323=I1,IF(ISNUMBER($N$13:$N$9323),IF($N$13:$N$9323&gt;0,$N$13:$N$9323))))</f>
        <v>34.266666672192514</v>
      </c>
      <c r="O5" s="3">
        <f t="array" ref="O5">MAX(IF($AG$13:$AG$9323=I1,IF(ISNUMBER($N$13:$N$9323),IF($N$13:$N$9323&gt;0,$N$13:$N$9323))))</f>
        <v>55.950000003213063</v>
      </c>
      <c r="P5" s="2"/>
      <c r="R5" s="74" t="s">
        <v>17</v>
      </c>
      <c r="S5" s="50">
        <f>COUNTIFS($N$13:$N$9323,"&gt;0",$AG$13:$AG$9323,R1)</f>
        <v>47</v>
      </c>
      <c r="T5" s="40"/>
      <c r="U5" s="173"/>
      <c r="V5" s="170">
        <f>AVERAGEIFS($N$13:$N$9323,$AG$13:$AG$9323,R1)</f>
        <v>15.264539006587237</v>
      </c>
      <c r="W5" s="171">
        <f t="array" ref="W5">MIN(IF($AG$13:$AG$9323=R1,IF(ISNUMBER($N$13:$N$9323),IF($N$13:$N$9323&gt;0,$N$13:$N$9323))))</f>
        <v>12.600000001257285</v>
      </c>
      <c r="X5" s="172">
        <f t="array" ref="X5">MAX(IF($AG$13:$AG$9323=R1,IF(ISNUMBER($N$13:$N$9323),IF($N$13:$N$9323&gt;0,$N$13:$N$9323))))</f>
        <v>19.78333332692273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COUNT($O$13:$O$109)</f>
        <v>0</v>
      </c>
      <c r="K6" s="40"/>
      <c r="L6" s="40"/>
      <c r="M6" s="41">
        <f>IFERROR(AVERAGE($O$13:$O$109),0)</f>
        <v>0</v>
      </c>
      <c r="N6" s="39">
        <f>MIN($O$13:$O$109)</f>
        <v>0</v>
      </c>
      <c r="O6" s="3">
        <f>MAX($O$13:$O$109)</f>
        <v>0</v>
      </c>
      <c r="P6" s="2"/>
      <c r="R6" s="75" t="s">
        <v>43</v>
      </c>
      <c r="S6" s="50">
        <f>COUNT($O$13:$O$109)</f>
        <v>0</v>
      </c>
      <c r="T6" s="40"/>
      <c r="U6" s="173"/>
      <c r="V6" s="170">
        <f>IFERROR(AVERAGE($O$13:$O$109),0)</f>
        <v>0</v>
      </c>
      <c r="W6" s="171">
        <f>MIN($O$13:$O$109)</f>
        <v>0</v>
      </c>
      <c r="X6" s="172">
        <f>MAX($O$13:$O$109)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COUNTIFS($P$13:$P$9323,"&gt;0",$AG$13:$AG$9323,I1)</f>
        <v>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COUNTIFS($P$13:$P$9323,"&gt;0",$AG$13:$AG$9323,R1)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145</v>
      </c>
      <c r="K8" s="40"/>
      <c r="L8" s="40"/>
      <c r="M8" s="41">
        <f>M5</f>
        <v>38.858045977596518</v>
      </c>
      <c r="N8" s="39">
        <f>N5</f>
        <v>34.266666672192514</v>
      </c>
      <c r="O8" s="3">
        <f>O5</f>
        <v>55.950000003213063</v>
      </c>
      <c r="P8" s="2"/>
      <c r="R8" s="74" t="s">
        <v>16</v>
      </c>
      <c r="S8" s="50">
        <f>S5</f>
        <v>47</v>
      </c>
      <c r="T8" s="40"/>
      <c r="U8" s="173"/>
      <c r="V8" s="170">
        <f>V5</f>
        <v>15.264539006587237</v>
      </c>
      <c r="W8" s="171">
        <f>W5</f>
        <v>12.600000001257285</v>
      </c>
      <c r="X8" s="172">
        <f>X5</f>
        <v>19.78333332692273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0.99315068493150682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- 2017-04-07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AVERAGE(S13:S83)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201</v>
      </c>
      <c r="AN12" s="47" t="s">
        <v>413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656</v>
      </c>
      <c r="B13" s="7">
        <v>4020</v>
      </c>
      <c r="C13" s="21" t="s">
        <v>216</v>
      </c>
      <c r="D13" s="21" t="s">
        <v>619</v>
      </c>
      <c r="E13" s="13">
        <v>42832.12908564815</v>
      </c>
      <c r="F13" s="13">
        <v>42832.13559027778</v>
      </c>
      <c r="G13" s="7">
        <v>2</v>
      </c>
      <c r="H13" s="21" t="s">
        <v>579</v>
      </c>
      <c r="I13" s="13">
        <v>42832.162800925929</v>
      </c>
      <c r="J13" s="7">
        <v>0</v>
      </c>
      <c r="K13" s="97" t="str">
        <f t="shared" ref="K13:K76" si="0">IF(ISEVEN(B13),(B13-1)&amp;"/"&amp;B13,B13&amp;"/"&amp;(B13+1))</f>
        <v>4019/4020</v>
      </c>
      <c r="L13" s="21" t="str">
        <f>VLOOKUP(A13,'Trips&amp;Operators'!$C$1:$G$99999,5,FALSE)</f>
        <v>BADERTSCHER DIANE</v>
      </c>
      <c r="M13" s="6">
        <f t="shared" ref="M13:M76" si="1">I13-F13</f>
        <v>2.7210648149775807E-2</v>
      </c>
      <c r="N13" s="7">
        <f t="shared" ref="N13:N44" si="2">24*60*SUM($M13:$M13)</f>
        <v>39.183333335677162</v>
      </c>
      <c r="O13" s="7"/>
      <c r="P13" s="7"/>
      <c r="Q13" s="22"/>
      <c r="R13" s="22"/>
      <c r="S13" s="31">
        <f t="shared" ref="S13:S76" si="3">SUM(U13:U13)/IF(AG13="EC",12,1)</f>
        <v>1</v>
      </c>
      <c r="T13" s="46" t="str">
        <f t="shared" ref="T13:T76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-07T02:05:53-0600',mode:absolute,to:'2017-04-07T04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" s="183" t="str">
        <f t="shared" ref="W13:W76" si="6">IF(AA13&lt;IF(AG13="EC",23,5.65),"Y","N")</f>
        <v>N</v>
      </c>
      <c r="X13" s="183" t="e">
        <f t="shared" ref="X13:X24" si="7">VALUE(LEFT(AD13,4))-VALUE(LEFT(AD12,4))</f>
        <v>#VALUE!</v>
      </c>
      <c r="Y13" s="62">
        <f t="shared" ref="Y13:Y44" si="8">RIGHT(D13,LEN(D13)-4)/10000</f>
        <v>7.0599999999999996E-2</v>
      </c>
      <c r="Z13" s="62">
        <f t="shared" ref="Z13:Z60" si="9">RIGHT(H13,LEN(H13)-4)/10000</f>
        <v>23.327200000000001</v>
      </c>
      <c r="AA13" s="62">
        <f t="shared" ref="AA13:AA76" si="10">ABS(Z13-Y13)</f>
        <v>23.256600000000002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0101-07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 &amp; 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/stypes="app*4020*20170407*"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4020 --swversion DE.1.0.9.0 --startMP 204:706 --initTime 2017-04-07T03:05:53 --startdatetime 2017-04-07T03:15:15 --delay 2 --endMP 204:233272 --enddatetime 2017-04-07T03:54:26 --enforcementcount 0 &gt;&gt;C:\Users\stu\Documents\GitHub\eaglep3-reporting\EC\2017-04-07-refined-times.txt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{"issue":{"subject":"","project_id":79,"tracker_id":40,"status_id":1,"priority_id":2,"assigned_to_id":23,"start_date":"2017-04-07","description":"","custom_fields":[{"id":1,"name":"Subdivision","value":"EC"},{"id":4,"name":"Milepost","value":"23.3272"},{"id":17,"name":"Train ID","value":"101-07"},{"id":16,"name":"Locomotive ID","value":"4020"},{"id":130,"name":"Impact","value":""},{"id":150,"name":"Time of Event (Mountain Time)","value":"03:54:26"},{"id":151,"name":"Denver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4020 --day 2017-04-07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09:54:26"},{"id":29,"name":"Sharepoint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662</v>
      </c>
      <c r="B14" s="7">
        <v>4021</v>
      </c>
      <c r="C14" s="21" t="s">
        <v>216</v>
      </c>
      <c r="D14" s="21" t="s">
        <v>856</v>
      </c>
      <c r="E14" s="13">
        <v>42832.168807870374</v>
      </c>
      <c r="F14" s="13">
        <v>42832.17459490741</v>
      </c>
      <c r="G14" s="7">
        <v>1</v>
      </c>
      <c r="H14" s="21" t="s">
        <v>493</v>
      </c>
      <c r="I14" s="13">
        <v>42832.204513888886</v>
      </c>
      <c r="J14" s="7">
        <v>0</v>
      </c>
      <c r="K14" s="97" t="str">
        <f t="shared" si="0"/>
        <v>4021/4022</v>
      </c>
      <c r="L14" s="21" t="str">
        <f>VLOOKUP(A14,'Trips&amp;Operators'!$C$1:$G$99999,5,FALSE)</f>
        <v>BADERTSCHER DIANE</v>
      </c>
      <c r="M14" s="6">
        <f t="shared" si="1"/>
        <v>2.9918981475930195E-2</v>
      </c>
      <c r="N14" s="7">
        <f t="shared" si="2"/>
        <v>43.083333325339481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-04-07T03:03:05-0600',mode:absolute,to:'2017-04-07T05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23.263200000000001</v>
      </c>
      <c r="Z14" s="62">
        <f t="shared" si="9"/>
        <v>1.32E-2</v>
      </c>
      <c r="AA14" s="62">
        <f t="shared" si="10"/>
        <v>23.25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0102-07</v>
      </c>
      <c r="AE14" s="85" t="str">
        <f t="shared" si="12"/>
        <v>aws s3 cp s3://rtdc.mdm.uploadarchive.raw/RTDC4021/ "%USERPROFILE%\AppData\Local\Temp\OnboardLogs"\RTDC4021\2017-04-07 --exclude "*" --recursive --include "*20170407*" &amp; "%USERPROFILE%\Documents\GitHub\mrs-test-scripts\Headless Mode &amp; Sideloading\WalkAndUnGZ.bat" "%USERPROFILE%\AppData\Local\Temp\OnboardLogs"\RTDC4021\2017-04-07 &amp; 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</v>
      </c>
      <c r="AF14" s="82" t="str">
        <f t="shared" si="13"/>
        <v>"C:\Program Files (x86)\AstroGrep\AstroGrep.exe" /e /r /s /spath="%USERPROFILE%\AppData\Local\Temp\OnboardLogs" /stypes="app*4021*20170407*"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4021 --swversion DE.1.0.9.0 --startMP 204:232632 --initTime 2017-04-07T04:03:05 --startdatetime 2017-04-07T04:11:25 --delay 1 --endMP 204:132 --enddatetime 2017-04-07T04:54:30 --enforcementcount 0 &gt;&gt;C:\Users\stu\Documents\GitHub\eaglep3-reporting\EC\2017-04-07-refined-times.txt</v>
      </c>
      <c r="AI14" s="104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{"issue":{"subject":"","project_id":79,"tracker_id":40,"status_id":1,"priority_id":2,"assigned_to_id":23,"start_date":"2017-04-07","description":"","custom_fields":[{"id":1,"name":"Subdivision","value":"EC"},{"id":4,"name":"Milepost","value":"0.0132"},{"id":17,"name":"Train ID","value":"102-07"},{"id":16,"name":"Locomotive ID","value":"4021"},{"id":130,"name":"Impact","value":""},{"id":150,"name":"Time of Event (Mountain Time)","value":"04:54:30"},{"id":151,"name":"Denver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6" si="21">"start /low /b "&amp;dls3logs&amp;" --loco "&amp;B14&amp;" --day "&amp;TEXT(F14,"YYYY-MM-DD")</f>
        <v>start /low /b %USERPROFILE%\Documents\GitHub\eaglep3\Utilities\DownloadLogsFromS3.py --loco 4021 --day 2017-04-07</v>
      </c>
      <c r="AN14" s="159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10:54:30"},{"id":29,"name":"Sharepoint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660</v>
      </c>
      <c r="B15" s="7">
        <v>4032</v>
      </c>
      <c r="C15" s="21" t="s">
        <v>216</v>
      </c>
      <c r="D15" s="21" t="s">
        <v>857</v>
      </c>
      <c r="E15" s="13">
        <v>42832.14980324074</v>
      </c>
      <c r="F15" s="13">
        <v>42832.156458333331</v>
      </c>
      <c r="G15" s="7">
        <v>1</v>
      </c>
      <c r="H15" s="21" t="s">
        <v>533</v>
      </c>
      <c r="I15" s="13">
        <v>42832.183530092596</v>
      </c>
      <c r="J15" s="7">
        <v>0</v>
      </c>
      <c r="K15" s="97" t="str">
        <f t="shared" si="0"/>
        <v>4031/4032</v>
      </c>
      <c r="L15" s="21" t="str">
        <f>VLOOKUP(A15,'Trips&amp;Operators'!$C$1:$G$99999,5,FALSE)</f>
        <v>DAVIS WENDY</v>
      </c>
      <c r="M15" s="6">
        <f t="shared" si="1"/>
        <v>2.7071759264799766E-2</v>
      </c>
      <c r="N15" s="7">
        <f t="shared" si="2"/>
        <v>38.983333341311663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-04-07T02:35:43-0600',mode:absolute,to:'2017-04-07T05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7.5499999999999998E-2</v>
      </c>
      <c r="Z15" s="62">
        <f t="shared" si="9"/>
        <v>23.3291</v>
      </c>
      <c r="AA15" s="62">
        <f t="shared" si="10"/>
        <v>23.253599999999999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0103-07</v>
      </c>
      <c r="AE15" s="85" t="str">
        <f t="shared" si="12"/>
        <v>aws s3 cp s3://rtdc.mdm.uploadarchive.raw/RTDC4032/ "%USERPROFILE%\AppData\Local\Temp\OnboardLogs"\RTDC4032\2017-04-07 --exclude "*" --recursive --include "*20170407*" &amp; "%USERPROFILE%\Documents\GitHub\mrs-test-scripts\Headless Mode &amp; Sideloading\WalkAndUnGZ.bat" "%USERPROFILE%\AppData\Local\Temp\OnboardLogs"\RTDC4032\2017-04-07 &amp; aws s3 cp s3://rtdc.mdm.uploadarchive.raw/RTDC4032/ "%USERPROFILE%\AppData\Local\Temp\OnboardLogs"\RTDC4032\2017-04-08 --exclude "*" --recursive --include "*20170408*" &amp; "%USERPROFILE%\Documents\GitHub\mrs-test-scripts\Headless Mode &amp; Sideloading\WalkAndUnGZ.bat" "%USERPROFILE%\AppData\Local\Temp\OnboardLogs"\RTDC4032\2017-04-08</v>
      </c>
      <c r="AF15" s="82" t="str">
        <f t="shared" si="13"/>
        <v>"C:\Program Files (x86)\AstroGrep\AstroGrep.exe" /e /r /s /spath="%USERPROFILE%\AppData\Local\Temp\OnboardLogs" /stypes="app*4032*20170407*"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103-07 --locoid 4032 --swversion DE.1.0.9.0 --startMP 204:755 --initTime 2017-04-07T03:35:43 --startdatetime 2017-04-07T03:45:18 --delay 1 --endMP 204:233291 --enddatetime 2017-04-07T04:24:17 --enforcementcount 0 &gt;&gt;C:\Users\stu\Documents\GitHub\eaglep3-reporting\EC\2017-04-07-refined-times.txt</v>
      </c>
      <c r="AI15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{"issue":{"subject":"","project_id":79,"tracker_id":40,"status_id":1,"priority_id":2,"assigned_to_id":23,"start_date":"2017-04-07","description":"","custom_fields":[{"id":1,"name":"Subdivision","value":"EC"},{"id":4,"name":"Milepost","value":"23.3291"},{"id":17,"name":"Train ID","value":"103-07"},{"id":16,"name":"Locomotive ID","value":"4032"},{"id":130,"name":"Impact","value":""},{"id":150,"name":"Time of Event (Mountain Time)","value":"04:24:17"},{"id":151,"name":"Denver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4032 --day 2017-04-07</v>
      </c>
      <c r="AN15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10:24:17"},{"id":29,"name":"Sharepoint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665</v>
      </c>
      <c r="B16" s="7">
        <v>4013</v>
      </c>
      <c r="C16" s="21" t="s">
        <v>216</v>
      </c>
      <c r="D16" s="21" t="s">
        <v>858</v>
      </c>
      <c r="E16" s="13">
        <v>42832.192766203705</v>
      </c>
      <c r="F16" s="13">
        <v>42832.195428240739</v>
      </c>
      <c r="G16" s="7">
        <v>1</v>
      </c>
      <c r="H16" s="21" t="s">
        <v>459</v>
      </c>
      <c r="I16" s="13">
        <v>42832.224050925928</v>
      </c>
      <c r="J16" s="7">
        <v>0</v>
      </c>
      <c r="K16" s="97" t="str">
        <f t="shared" si="0"/>
        <v>4013/4014</v>
      </c>
      <c r="L16" s="21" t="str">
        <f>VLOOKUP(A16,'Trips&amp;Operators'!$C$1:$G$99999,5,FALSE)</f>
        <v>DAVIS WENDY</v>
      </c>
      <c r="M16" s="6">
        <f t="shared" si="1"/>
        <v>2.8622685189475305E-2</v>
      </c>
      <c r="N16" s="7">
        <f t="shared" si="2"/>
        <v>41.21666667284444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-04-07T03:37:35-0600',mode:absolute,to:'2017-04-07T06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23.266999999999999</v>
      </c>
      <c r="Z16" s="62">
        <f t="shared" si="9"/>
        <v>1.6500000000000001E-2</v>
      </c>
      <c r="AA16" s="62">
        <f t="shared" si="10"/>
        <v>23.250499999999999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0104-07</v>
      </c>
      <c r="AE16" s="85" t="str">
        <f t="shared" si="12"/>
        <v>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 &amp; 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</v>
      </c>
      <c r="AF16" s="82" t="str">
        <f t="shared" si="13"/>
        <v>"C:\Program Files (x86)\AstroGrep\AstroGrep.exe" /e /r /s /spath="%USERPROFILE%\AppData\Local\Temp\OnboardLogs" /stypes="app*4013*20170407*"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104-07 --locoid 4013 --swversion DE.1.0.9.0 --startMP 204:232670 --initTime 2017-04-07T04:37:35 --startdatetime 2017-04-07T04:41:25 --delay 1 --endMP 204:165 --enddatetime 2017-04-07T05:22:38 --enforcementcount 0 &gt;&gt;C:\Users\stu\Documents\GitHub\eaglep3-reporting\EC\2017-04-07-refined-times.txt</v>
      </c>
      <c r="AI16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{"issue":{"subject":"","project_id":79,"tracker_id":40,"status_id":1,"priority_id":2,"assigned_to_id":23,"start_date":"2017-04-07","description":"","custom_fields":[{"id":1,"name":"Subdivision","value":"EC"},{"id":4,"name":"Milepost","value":"0.0165"},{"id":17,"name":"Train ID","value":"104-07"},{"id":16,"name":"Locomotive ID","value":"4013"},{"id":130,"name":"Impact","value":""},{"id":150,"name":"Time of Event (Mountain Time)","value":"05:22:38"},{"id":151,"name":"Denver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4013 --day 2017-04-07</v>
      </c>
      <c r="AN16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11:22:38"},{"id":29,"name":"Sharepoint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663</v>
      </c>
      <c r="B17" s="7">
        <v>4026</v>
      </c>
      <c r="C17" s="21" t="s">
        <v>216</v>
      </c>
      <c r="D17" s="21" t="s">
        <v>577</v>
      </c>
      <c r="E17" s="13">
        <v>42832.168946759259</v>
      </c>
      <c r="F17" s="13">
        <v>42832.177256944444</v>
      </c>
      <c r="G17" s="7">
        <v>1</v>
      </c>
      <c r="H17" s="21" t="s">
        <v>520</v>
      </c>
      <c r="I17" s="13">
        <v>42832.2030787037</v>
      </c>
      <c r="J17" s="7">
        <v>0</v>
      </c>
      <c r="K17" s="97" t="str">
        <f t="shared" si="0"/>
        <v>4025/4026</v>
      </c>
      <c r="L17" s="21" t="str">
        <f>VLOOKUP(A17,'Trips&amp;Operators'!$C$1:$G$99999,5,FALSE)</f>
        <v>ROBINSON KADDIBA</v>
      </c>
      <c r="M17" s="6">
        <f t="shared" si="1"/>
        <v>2.5821759256359655E-2</v>
      </c>
      <c r="N17" s="7">
        <f t="shared" si="2"/>
        <v>37.183333329157904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-04-07T03:03:17-0600',mode:absolute,to:'2017-04-07T05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7.46E-2</v>
      </c>
      <c r="Z17" s="62">
        <f t="shared" si="9"/>
        <v>23.3353</v>
      </c>
      <c r="AA17" s="62">
        <f t="shared" si="10"/>
        <v>23.2607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0105-07</v>
      </c>
      <c r="AE17" s="85" t="str">
        <f t="shared" si="12"/>
        <v>aws s3 cp s3://rtdc.mdm.uploadarchive.raw/RTDC4026/ "%USERPROFILE%\AppData\Local\Temp\OnboardLogs"\RTDC4026\2017-04-07 --exclude "*" --recursive --include "*20170407*" &amp; "%USERPROFILE%\Documents\GitHub\mrs-test-scripts\Headless Mode &amp; Sideloading\WalkAndUnGZ.bat" "%USERPROFILE%\AppData\Local\Temp\OnboardLogs"\RTDC4026\2017-04-07 &amp; aws s3 cp s3://rtdc.mdm.uploadarchive.raw/RTDC4026/ "%USERPROFILE%\AppData\Local\Temp\OnboardLogs"\RTDC4026\2017-04-08 --exclude "*" --recursive --include "*20170408*" &amp; "%USERPROFILE%\Documents\GitHub\mrs-test-scripts\Headless Mode &amp; Sideloading\WalkAndUnGZ.bat" "%USERPROFILE%\AppData\Local\Temp\OnboardLogs"\RTDC4026\2017-04-08</v>
      </c>
      <c r="AF17" s="82" t="str">
        <f t="shared" si="13"/>
        <v>"C:\Program Files (x86)\AstroGrep\AstroGrep.exe" /e /r /s /spath="%USERPROFILE%\AppData\Local\Temp\OnboardLogs" /stypes="app*4026*20170407*"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105-07 --locoid 4026 --swversion DE.1.0.9.0 --startMP 204:746 --initTime 2017-04-07T04:03:17 --startdatetime 2017-04-07T04:15:15 --delay 1 --endMP 204:233353 --enddatetime 2017-04-07T04:52:26 --enforcementcount 0 &gt;&gt;C:\Users\stu\Documents\GitHub\eaglep3-reporting\EC\2017-04-07-refined-times.txt</v>
      </c>
      <c r="AI17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{"issue":{"subject":"","project_id":79,"tracker_id":40,"status_id":1,"priority_id":2,"assigned_to_id":23,"start_date":"2017-04-07","description":"","custom_fields":[{"id":1,"name":"Subdivision","value":"EC"},{"id":4,"name":"Milepost","value":"23.3353"},{"id":17,"name":"Train ID","value":"105-07"},{"id":16,"name":"Locomotive ID","value":"4026"},{"id":130,"name":"Impact","value":""},{"id":150,"name":"Time of Event (Mountain Time)","value":"04:52:26"},{"id":151,"name":"Denver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4026 --day 2017-04-07</v>
      </c>
      <c r="AN17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10:52:26"},{"id":29,"name":"Sharepoint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669</v>
      </c>
      <c r="B18" s="7">
        <v>4029</v>
      </c>
      <c r="C18" s="21" t="s">
        <v>216</v>
      </c>
      <c r="D18" s="21" t="s">
        <v>859</v>
      </c>
      <c r="E18" s="13">
        <v>42832.209560185183</v>
      </c>
      <c r="F18" s="13">
        <v>42832.216122685182</v>
      </c>
      <c r="G18" s="7">
        <v>2</v>
      </c>
      <c r="H18" s="21" t="s">
        <v>860</v>
      </c>
      <c r="I18" s="13">
        <v>42832.245289351849</v>
      </c>
      <c r="J18" s="7">
        <v>0</v>
      </c>
      <c r="K18" s="97" t="str">
        <f t="shared" si="0"/>
        <v>4029/4030</v>
      </c>
      <c r="L18" s="21" t="str">
        <f>VLOOKUP(A18,'Trips&amp;Operators'!$C$1:$G$99999,5,FALSE)</f>
        <v>ROBINSON KADDIBA</v>
      </c>
      <c r="M18" s="6">
        <f t="shared" si="1"/>
        <v>2.9166666667151731E-2</v>
      </c>
      <c r="N18" s="7">
        <f t="shared" si="2"/>
        <v>42.000000000698492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-04-07T04:01:46-0600',mode:absolute,to:'2017-04-07T06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23.2713</v>
      </c>
      <c r="Z18" s="62">
        <f t="shared" si="9"/>
        <v>1.4999999999999999E-2</v>
      </c>
      <c r="AA18" s="62">
        <f t="shared" si="10"/>
        <v>23.2563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0106-07</v>
      </c>
      <c r="AE18" s="85" t="str">
        <f t="shared" si="12"/>
        <v>aws s3 cp s3://rtdc.mdm.uploadarchive.raw/RTDC4029/ "%USERPROFILE%\AppData\Local\Temp\OnboardLogs"\RTDC4029\2017-04-07 --exclude "*" --recursive --include "*20170407*" &amp; "%USERPROFILE%\Documents\GitHub\mrs-test-scripts\Headless Mode &amp; Sideloading\WalkAndUnGZ.bat" "%USERPROFILE%\AppData\Local\Temp\OnboardLogs"\RTDC4029\2017-04-07 &amp; aws s3 cp s3://rtdc.mdm.uploadarchive.raw/RTDC4029/ "%USERPROFILE%\AppData\Local\Temp\OnboardLogs"\RTDC4029\2017-04-08 --exclude "*" --recursive --include "*20170408*" &amp; "%USERPROFILE%\Documents\GitHub\mrs-test-scripts\Headless Mode &amp; Sideloading\WalkAndUnGZ.bat" "%USERPROFILE%\AppData\Local\Temp\OnboardLogs"\RTDC4029\2017-04-08</v>
      </c>
      <c r="AF18" s="82" t="str">
        <f t="shared" si="13"/>
        <v>"C:\Program Files (x86)\AstroGrep\AstroGrep.exe" /e /r /s /spath="%USERPROFILE%\AppData\Local\Temp\OnboardLogs" /stypes="app*4029*20170407*"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106-07 --locoid 4029 --swversion DE.1.0.9.0 --startMP 204:232713 --initTime 2017-04-07T05:01:46 --startdatetime 2017-04-07T05:11:13 --delay 2 --endMP 204:150 --enddatetime 2017-04-07T05:53:13 --enforcementcount 0 &gt;&gt;C:\Users\stu\Documents\GitHub\eaglep3-reporting\EC\2017-04-07-refined-times.txt</v>
      </c>
      <c r="AI18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{"issue":{"subject":"","project_id":79,"tracker_id":40,"status_id":1,"priority_id":2,"assigned_to_id":23,"start_date":"2017-04-07","description":"","custom_fields":[{"id":1,"name":"Subdivision","value":"EC"},{"id":4,"name":"Milepost","value":"0.015"},{"id":17,"name":"Train ID","value":"106-07"},{"id":16,"name":"Locomotive ID","value":"4029"},{"id":130,"name":"Impact","value":""},{"id":150,"name":"Time of Event (Mountain Time)","value":"05:53:13"},{"id":151,"name":"Denver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4029 --day 2017-04-07</v>
      </c>
      <c r="AN18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11:53:13"},{"id":29,"name":"Sharepoint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627</v>
      </c>
      <c r="B19" s="7">
        <v>4010</v>
      </c>
      <c r="C19" s="21" t="s">
        <v>216</v>
      </c>
      <c r="D19" s="21" t="s">
        <v>418</v>
      </c>
      <c r="E19" s="13">
        <v>42832.183113425926</v>
      </c>
      <c r="F19" s="13">
        <v>42832.187743055554</v>
      </c>
      <c r="G19" s="7">
        <v>1</v>
      </c>
      <c r="H19" s="21" t="s">
        <v>861</v>
      </c>
      <c r="I19" s="13">
        <v>42832.213159722225</v>
      </c>
      <c r="J19" s="7">
        <v>0</v>
      </c>
      <c r="K19" s="97" t="str">
        <f t="shared" si="0"/>
        <v>4009/4010</v>
      </c>
      <c r="L19" s="21" t="str">
        <f>VLOOKUP(A19,'Trips&amp;Operators'!$C$1:$G$99999,5,FALSE)</f>
        <v>STARKS ANGELINA</v>
      </c>
      <c r="M19" s="6">
        <f t="shared" si="1"/>
        <v>2.5416666670935228E-2</v>
      </c>
      <c r="N19" s="7">
        <f t="shared" si="2"/>
        <v>36.600000006146729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-04-07T03:23:41-0600',mode:absolute,to:'2017-04-07T06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4.6199999999999998E-2</v>
      </c>
      <c r="Z19" s="62">
        <f t="shared" si="9"/>
        <v>23.3307</v>
      </c>
      <c r="AA19" s="62">
        <f t="shared" si="10"/>
        <v>23.284500000000001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0107-07</v>
      </c>
      <c r="AE19" s="85" t="str">
        <f t="shared" si="12"/>
        <v>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 &amp; 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</v>
      </c>
      <c r="AF19" s="82" t="str">
        <f t="shared" si="13"/>
        <v>"C:\Program Files (x86)\AstroGrep\AstroGrep.exe" /e /r /s /spath="%USERPROFILE%\AppData\Local\Temp\OnboardLogs" /stypes="app*4010*20170407*"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107-07 --locoid 4010 --swversion DE.1.0.9.0 --startMP 204:462 --initTime 2017-04-07T04:23:41 --startdatetime 2017-04-07T04:30:21 --delay 1 --endMP 204:233307 --enddatetime 2017-04-07T05:06:57 --enforcementcount 0 &gt;&gt;C:\Users\stu\Documents\GitHub\eaglep3-reporting\EC\2017-04-07-refined-times.txt</v>
      </c>
      <c r="AI19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{"issue":{"subject":"","project_id":79,"tracker_id":40,"status_id":1,"priority_id":2,"assigned_to_id":23,"start_date":"2017-04-07","description":"","custom_fields":[{"id":1,"name":"Subdivision","value":"EC"},{"id":4,"name":"Milepost","value":"23.3307"},{"id":17,"name":"Train ID","value":"107-07"},{"id":16,"name":"Locomotive ID","value":"4010"},{"id":130,"name":"Impact","value":""},{"id":150,"name":"Time of Event (Mountain Time)","value":"05:06:57"},{"id":151,"name":"Denver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4010 --day 2017-04-07</v>
      </c>
      <c r="AN19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11:06:57"},{"id":29,"name":"Sharepoint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671</v>
      </c>
      <c r="B20" s="7">
        <v>4009</v>
      </c>
      <c r="C20" s="21" t="s">
        <v>216</v>
      </c>
      <c r="D20" s="21" t="s">
        <v>581</v>
      </c>
      <c r="E20" s="13">
        <v>42832.225185185183</v>
      </c>
      <c r="F20" s="13">
        <v>42832.2265625</v>
      </c>
      <c r="G20" s="7">
        <v>1</v>
      </c>
      <c r="H20" s="21" t="s">
        <v>400</v>
      </c>
      <c r="I20" s="13">
        <v>42832.254745370374</v>
      </c>
      <c r="J20" s="7">
        <v>0</v>
      </c>
      <c r="K20" s="97" t="str">
        <f t="shared" si="0"/>
        <v>4009/4010</v>
      </c>
      <c r="L20" s="21" t="str">
        <f>VLOOKUP(A20,'Trips&amp;Operators'!$C$1:$G$99999,5,FALSE)</f>
        <v>STARKS ANGELINA</v>
      </c>
      <c r="M20" s="6">
        <f t="shared" si="1"/>
        <v>2.8182870373711921E-2</v>
      </c>
      <c r="N20" s="7">
        <f t="shared" si="2"/>
        <v>40.583333338145167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-04-07T04:24:16-0600',mode:absolute,to:'2017-04-07T07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23.2986</v>
      </c>
      <c r="Z20" s="62">
        <f t="shared" si="9"/>
        <v>1.61E-2</v>
      </c>
      <c r="AA20" s="62">
        <f t="shared" si="10"/>
        <v>23.282499999999999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0108-07</v>
      </c>
      <c r="AE20" s="85" t="str">
        <f t="shared" si="12"/>
        <v>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 &amp; aws s3 cp s3://rtdc.mdm.uploadarchive.raw/RTDC4009/ "%USERPROFILE%\AppData\Local\Temp\OnboardLogs"\RTDC4009\2017-04-08 --exclude "*" --recursive --include "*20170408*" &amp; "%USERPROFILE%\Documents\GitHub\mrs-test-scripts\Headless Mode &amp; Sideloading\WalkAndUnGZ.bat" "%USERPROFILE%\AppData\Local\Temp\OnboardLogs"\RTDC4009\2017-04-08</v>
      </c>
      <c r="AF20" s="82" t="str">
        <f t="shared" si="13"/>
        <v>"C:\Program Files (x86)\AstroGrep\AstroGrep.exe" /e /r /s /spath="%USERPROFILE%\AppData\Local\Temp\OnboardLogs" /stypes="app*4009*20170407*"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108-07 --locoid 4009 --swversion DE.1.0.9.0 --startMP 204:232986 --initTime 2017-04-07T05:24:16 --startdatetime 2017-04-07T05:26:15 --delay 1 --endMP 204:161 --enddatetime 2017-04-07T06:06:50 --enforcementcount 0 &gt;&gt;C:\Users\stu\Documents\GitHub\eaglep3-reporting\EC\2017-04-07-refined-times.txt</v>
      </c>
      <c r="AI20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{"issue":{"subject":"","project_id":79,"tracker_id":40,"status_id":1,"priority_id":2,"assigned_to_id":23,"start_date":"2017-04-07","description":"","custom_fields":[{"id":1,"name":"Subdivision","value":"EC"},{"id":4,"name":"Milepost","value":"0.0161"},{"id":17,"name":"Train ID","value":"108-07"},{"id":16,"name":"Locomotive ID","value":"4009"},{"id":130,"name":"Impact","value":""},{"id":150,"name":"Time of Event (Mountain Time)","value":"06:06:50"},{"id":151,"name":"Denver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4009 --day 2017-04-07</v>
      </c>
      <c r="AN20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12:06:50"},{"id":29,"name":"Sharepoint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628</v>
      </c>
      <c r="B21" s="7">
        <v>4016</v>
      </c>
      <c r="C21" s="21" t="s">
        <v>216</v>
      </c>
      <c r="D21" s="21" t="s">
        <v>206</v>
      </c>
      <c r="E21" s="13">
        <v>42832.192546296297</v>
      </c>
      <c r="F21" s="13">
        <v>42832.198263888888</v>
      </c>
      <c r="G21" s="7">
        <v>1</v>
      </c>
      <c r="H21" s="21" t="s">
        <v>592</v>
      </c>
      <c r="I21" s="13">
        <v>42832.225034722222</v>
      </c>
      <c r="J21" s="7">
        <v>0</v>
      </c>
      <c r="K21" s="97" t="str">
        <f t="shared" si="0"/>
        <v>4015/4016</v>
      </c>
      <c r="L21" s="21" t="str">
        <f>VLOOKUP(A21,'Trips&amp;Operators'!$C$1:$G$99999,5,FALSE)</f>
        <v>LOZA FIDEL</v>
      </c>
      <c r="M21" s="6">
        <f t="shared" si="1"/>
        <v>2.6770833334012423E-2</v>
      </c>
      <c r="N21" s="7">
        <f t="shared" si="2"/>
        <v>38.550000000977889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-04-07T03:37:16-0600',mode:absolute,to:'2017-04-07T06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4.5699999999999998E-2</v>
      </c>
      <c r="Z21" s="62">
        <f t="shared" si="9"/>
        <v>23.3323</v>
      </c>
      <c r="AA21" s="62">
        <f t="shared" si="10"/>
        <v>23.2866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0109-07</v>
      </c>
      <c r="AE21" s="85" t="str">
        <f t="shared" si="12"/>
        <v>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 &amp; aws s3 cp s3://rtdc.mdm.uploadarchive.raw/RTDC4016/ "%USERPROFILE%\AppData\Local\Temp\OnboardLogs"\RTDC4016\2017-04-08 --exclude "*" --recursive --include "*20170408*" &amp; "%USERPROFILE%\Documents\GitHub\mrs-test-scripts\Headless Mode &amp; Sideloading\WalkAndUnGZ.bat" "%USERPROFILE%\AppData\Local\Temp\OnboardLogs"\RTDC4016\2017-04-08</v>
      </c>
      <c r="AF21" s="82" t="str">
        <f t="shared" si="13"/>
        <v>"C:\Program Files (x86)\AstroGrep\AstroGrep.exe" /e /r /s /spath="%USERPROFILE%\AppData\Local\Temp\OnboardLogs" /stypes="app*4016*20170407*"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109-07 --locoid 4016 --swversion DE.1.0.9.0 --startMP 204:457 --initTime 2017-04-07T04:37:16 --startdatetime 2017-04-07T04:45:30 --delay 1 --endMP 204:233323 --enddatetime 2017-04-07T05:24:03 --enforcementcount 0 &gt;&gt;C:\Users\stu\Documents\GitHub\eaglep3-reporting\EC\2017-04-07-refined-times.txt</v>
      </c>
      <c r="AI21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{"issue":{"subject":"","project_id":79,"tracker_id":40,"status_id":1,"priority_id":2,"assigned_to_id":23,"start_date":"2017-04-07","description":"","custom_fields":[{"id":1,"name":"Subdivision","value":"EC"},{"id":4,"name":"Milepost","value":"23.3323"},{"id":17,"name":"Train ID","value":"109-07"},{"id":16,"name":"Locomotive ID","value":"4016"},{"id":130,"name":"Impact","value":""},{"id":150,"name":"Time of Event (Mountain Time)","value":"05:24:03"},{"id":151,"name":"Denver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4016 --day 2017-04-07</v>
      </c>
      <c r="AN21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11:24:03"},{"id":29,"name":"Sharepoint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629</v>
      </c>
      <c r="B22" s="7">
        <v>4015</v>
      </c>
      <c r="C22" s="21" t="s">
        <v>216</v>
      </c>
      <c r="D22" s="21" t="s">
        <v>419</v>
      </c>
      <c r="E22" s="13">
        <v>42832.227789351855</v>
      </c>
      <c r="F22" s="13">
        <v>42832.23709490741</v>
      </c>
      <c r="G22" s="7">
        <v>1</v>
      </c>
      <c r="H22" s="21" t="s">
        <v>432</v>
      </c>
      <c r="I22" s="13">
        <v>42832.264953703707</v>
      </c>
      <c r="J22" s="7">
        <v>0</v>
      </c>
      <c r="K22" s="97" t="str">
        <f t="shared" si="0"/>
        <v>4015/4016</v>
      </c>
      <c r="L22" s="21" t="str">
        <f>VLOOKUP(A22,'Trips&amp;Operators'!$C$1:$G$99999,5,FALSE)</f>
        <v>LOZA FIDEL</v>
      </c>
      <c r="M22" s="6">
        <f t="shared" si="1"/>
        <v>2.7858796296641231E-2</v>
      </c>
      <c r="N22" s="7">
        <f t="shared" si="2"/>
        <v>40.116666667163372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-04-07T04:28:01-0600',mode:absolute,to:'2017-04-07T07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23.299299999999999</v>
      </c>
      <c r="Z22" s="62">
        <f t="shared" si="9"/>
        <v>1.6E-2</v>
      </c>
      <c r="AA22" s="62">
        <f t="shared" si="10"/>
        <v>23.283300000000001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0110-07</v>
      </c>
      <c r="AE22" s="85" t="str">
        <f t="shared" si="12"/>
        <v>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 &amp; aws s3 cp s3://rtdc.mdm.uploadarchive.raw/RTDC4015/ "%USERPROFILE%\AppData\Local\Temp\OnboardLogs"\RTDC4015\2017-04-08 --exclude "*" --recursive --include "*20170408*" &amp; "%USERPROFILE%\Documents\GitHub\mrs-test-scripts\Headless Mode &amp; Sideloading\WalkAndUnGZ.bat" "%USERPROFILE%\AppData\Local\Temp\OnboardLogs"\RTDC4015\2017-04-08</v>
      </c>
      <c r="AF22" s="82" t="str">
        <f t="shared" si="13"/>
        <v>"C:\Program Files (x86)\AstroGrep\AstroGrep.exe" /e /r /s /spath="%USERPROFILE%\AppData\Local\Temp\OnboardLogs" /stypes="app*4015*20170407*"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110-07 --locoid 4015 --swversion DE.1.0.9.0 --startMP 204:232993 --initTime 2017-04-07T05:28:01 --startdatetime 2017-04-07T05:41:25 --delay 1 --endMP 204:160 --enddatetime 2017-04-07T06:21:32 --enforcementcount 0 &gt;&gt;C:\Users\stu\Documents\GitHub\eaglep3-reporting\EC\2017-04-07-refined-times.txt</v>
      </c>
      <c r="AI22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{"issue":{"subject":"","project_id":79,"tracker_id":40,"status_id":1,"priority_id":2,"assigned_to_id":23,"start_date":"2017-04-07","description":"","custom_fields":[{"id":1,"name":"Subdivision","value":"EC"},{"id":4,"name":"Milepost","value":"0.016"},{"id":17,"name":"Train ID","value":"110-07"},{"id":16,"name":"Locomotive ID","value":"4015"},{"id":130,"name":"Impact","value":""},{"id":150,"name":"Time of Event (Mountain Time)","value":"06:21:32"},{"id":151,"name":"Denver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4015 --day 2017-04-07</v>
      </c>
      <c r="AN22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12:21:32"},{"id":29,"name":"Sharepoint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667</v>
      </c>
      <c r="B23" s="7">
        <v>4020</v>
      </c>
      <c r="C23" s="21" t="s">
        <v>216</v>
      </c>
      <c r="D23" s="21" t="s">
        <v>862</v>
      </c>
      <c r="E23" s="13">
        <v>42832.206180555557</v>
      </c>
      <c r="F23" s="13">
        <v>42832.208935185183</v>
      </c>
      <c r="G23" s="7">
        <v>1</v>
      </c>
      <c r="H23" s="21" t="s">
        <v>429</v>
      </c>
      <c r="I23" s="13">
        <v>42832.235173611109</v>
      </c>
      <c r="J23" s="7">
        <v>0</v>
      </c>
      <c r="K23" s="97" t="str">
        <f t="shared" si="0"/>
        <v>4019/4020</v>
      </c>
      <c r="L23" s="21" t="str">
        <f>VLOOKUP(A23,'Trips&amp;Operators'!$C$1:$G$99999,5,FALSE)</f>
        <v>FORTUNATO FRANK</v>
      </c>
      <c r="M23" s="6">
        <f t="shared" si="1"/>
        <v>2.6238425925839692E-2</v>
      </c>
      <c r="N23" s="7">
        <f t="shared" si="2"/>
        <v>37.783333333209157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-04-07T03:56:54-0600',mode:absolute,to:'2017-04-07T06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7.1900000000000006E-2</v>
      </c>
      <c r="Z23" s="62">
        <f t="shared" si="9"/>
        <v>23.329699999999999</v>
      </c>
      <c r="AA23" s="62">
        <f t="shared" si="10"/>
        <v>23.2578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0111-07</v>
      </c>
      <c r="AE23" s="85" t="str">
        <f t="shared" si="12"/>
        <v>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 &amp; 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</v>
      </c>
      <c r="AF23" s="82" t="str">
        <f t="shared" si="13"/>
        <v>"C:\Program Files (x86)\AstroGrep\AstroGrep.exe" /e /r /s /spath="%USERPROFILE%\AppData\Local\Temp\OnboardLogs" /stypes="app*4020*20170407*"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111-07 --locoid 4020 --swversion DE.1.0.9.0 --startMP 204:719 --initTime 2017-04-07T04:56:54 --startdatetime 2017-04-07T05:00:52 --delay 1 --endMP 204:233297 --enddatetime 2017-04-07T05:38:39 --enforcementcount 0 &gt;&gt;C:\Users\stu\Documents\GitHub\eaglep3-reporting\EC\2017-04-07-refined-times.txt</v>
      </c>
      <c r="AI23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{"issue":{"subject":"","project_id":79,"tracker_id":40,"status_id":1,"priority_id":2,"assigned_to_id":23,"start_date":"2017-04-07","description":"","custom_fields":[{"id":1,"name":"Subdivision","value":"EC"},{"id":4,"name":"Milepost","value":"23.3297"},{"id":17,"name":"Train ID","value":"111-07"},{"id":16,"name":"Locomotive ID","value":"4020"},{"id":130,"name":"Impact","value":""},{"id":150,"name":"Time of Event (Mountain Time)","value":"05:38:39"},{"id":151,"name":"Denver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4020 --day 2017-04-07</v>
      </c>
      <c r="AN23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11:38:39"},{"id":29,"name":"Sharepoint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675</v>
      </c>
      <c r="B24" s="7">
        <v>4019</v>
      </c>
      <c r="C24" s="21" t="s">
        <v>216</v>
      </c>
      <c r="D24" s="21" t="s">
        <v>863</v>
      </c>
      <c r="E24" s="13">
        <v>42832.238518518519</v>
      </c>
      <c r="F24" s="13">
        <v>42832.247627314813</v>
      </c>
      <c r="G24" s="7">
        <v>1</v>
      </c>
      <c r="H24" s="21" t="s">
        <v>184</v>
      </c>
      <c r="I24" s="13">
        <v>42832.276261574072</v>
      </c>
      <c r="J24" s="7">
        <v>0</v>
      </c>
      <c r="K24" s="97" t="str">
        <f t="shared" si="0"/>
        <v>4019/4020</v>
      </c>
      <c r="L24" s="21" t="str">
        <f>VLOOKUP(A24,'Trips&amp;Operators'!$C$1:$G$99999,5,FALSE)</f>
        <v>FORTUNATO FRANK</v>
      </c>
      <c r="M24" s="6">
        <f t="shared" si="1"/>
        <v>2.8634259258979E-2</v>
      </c>
      <c r="N24" s="7">
        <f t="shared" si="2"/>
        <v>41.23333333292976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-04-07T04:43:28-0600',mode:absolute,to:'2017-04-07T07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23.298200000000001</v>
      </c>
      <c r="Z24" s="62">
        <f t="shared" si="9"/>
        <v>1.49E-2</v>
      </c>
      <c r="AA24" s="62">
        <f t="shared" si="10"/>
        <v>23.283300000000001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0112-07</v>
      </c>
      <c r="AE24" s="85" t="str">
        <f t="shared" si="12"/>
        <v>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 &amp; aws s3 cp s3://rtdc.mdm.uploadarchive.raw/RTDC4019/ "%USERPROFILE%\AppData\Local\Temp\OnboardLogs"\RTDC4019\2017-04-08 --exclude "*" --recursive --include "*20170408*" &amp; "%USERPROFILE%\Documents\GitHub\mrs-test-scripts\Headless Mode &amp; Sideloading\WalkAndUnGZ.bat" "%USERPROFILE%\AppData\Local\Temp\OnboardLogs"\RTDC4019\2017-04-08</v>
      </c>
      <c r="AF24" s="82" t="str">
        <f t="shared" si="13"/>
        <v>"C:\Program Files (x86)\AstroGrep\AstroGrep.exe" /e /r /s /spath="%USERPROFILE%\AppData\Local\Temp\OnboardLogs" /stypes="app*4019*20170407*"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112-07 --locoid 4019 --swversion DE.1.0.9.0 --startMP 204:232982 --initTime 2017-04-07T05:43:28 --startdatetime 2017-04-07T05:56:35 --delay 1 --endMP 204:149 --enddatetime 2017-04-07T06:37:49 --enforcementcount 0 &gt;&gt;C:\Users\stu\Documents\GitHub\eaglep3-reporting\EC\2017-04-07-refined-times.txt</v>
      </c>
      <c r="AI24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{"issue":{"subject":"","project_id":79,"tracker_id":40,"status_id":1,"priority_id":2,"assigned_to_id":23,"start_date":"2017-04-07","description":"","custom_fields":[{"id":1,"name":"Subdivision","value":"EC"},{"id":4,"name":"Milepost","value":"0.0149"},{"id":17,"name":"Train ID","value":"112-07"},{"id":16,"name":"Locomotive ID","value":"4019"},{"id":130,"name":"Impact","value":""},{"id":150,"name":"Time of Event (Mountain Time)","value":"06:37:49"},{"id":151,"name":"Denver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4019 --day 2017-04-07</v>
      </c>
      <c r="AN24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12:37:49"},{"id":29,"name":"Sharepoint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668</v>
      </c>
      <c r="B25" s="7">
        <v>4022</v>
      </c>
      <c r="C25" s="21" t="s">
        <v>216</v>
      </c>
      <c r="D25" s="21" t="s">
        <v>864</v>
      </c>
      <c r="E25" s="13">
        <v>42832.217118055552</v>
      </c>
      <c r="F25" s="13">
        <v>42832.2190162037</v>
      </c>
      <c r="G25" s="7">
        <v>1</v>
      </c>
      <c r="H25" s="21" t="s">
        <v>417</v>
      </c>
      <c r="I25" s="13">
        <v>42832.247094907405</v>
      </c>
      <c r="J25" s="7">
        <v>0</v>
      </c>
      <c r="K25" s="97" t="str">
        <f t="shared" si="0"/>
        <v>4021/4022</v>
      </c>
      <c r="L25" s="21" t="str">
        <f>VLOOKUP(A25,'Trips&amp;Operators'!$C$1:$G$99999,5,FALSE)</f>
        <v>BADERTSCHER DIANE</v>
      </c>
      <c r="M25" s="6">
        <f t="shared" si="1"/>
        <v>2.8078703704522923E-2</v>
      </c>
      <c r="N25" s="7">
        <f t="shared" si="2"/>
        <v>40.433333334513009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-04-07T04:12:39-0600',mode:absolute,to:'2017-04-07T06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183" t="str">
        <f t="shared" si="6"/>
        <v>N</v>
      </c>
      <c r="X25" s="183">
        <f t="shared" ref="X25:X30" si="23">VALUE(LEFT(AD25,4))-VALUE(LEFT(AD24,4))</f>
        <v>1</v>
      </c>
      <c r="Y25" s="62">
        <f t="shared" si="8"/>
        <v>4.2900000000000001E-2</v>
      </c>
      <c r="Z25" s="62">
        <f t="shared" si="9"/>
        <v>23.330400000000001</v>
      </c>
      <c r="AA25" s="62">
        <f t="shared" si="10"/>
        <v>23.287500000000001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0113-07</v>
      </c>
      <c r="AE25" s="85" t="str">
        <f t="shared" si="12"/>
        <v>aws s3 cp s3://rtdc.mdm.uploadarchive.raw/RTDC4022/ "%USERPROFILE%\AppData\Local\Temp\OnboardLogs"\RTDC4022\2017-04-07 --exclude "*" --recursive --include "*20170407*" &amp; "%USERPROFILE%\Documents\GitHub\mrs-test-scripts\Headless Mode &amp; Sideloading\WalkAndUnGZ.bat" "%USERPROFILE%\AppData\Local\Temp\OnboardLogs"\RTDC4022\2017-04-07 &amp; 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</v>
      </c>
      <c r="AF25" s="82" t="str">
        <f t="shared" si="13"/>
        <v>"C:\Program Files (x86)\AstroGrep\AstroGrep.exe" /e /r /s /spath="%USERPROFILE%\AppData\Local\Temp\OnboardLogs" /stypes="app*4022*20170407*"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113-07 --locoid 4022 --swversion DE.1.0.9.0 --startMP 204:429 --initTime 2017-04-07T05:12:39 --startdatetime 2017-04-07T05:15:23 --delay 1 --endMP 204:233304 --enddatetime 2017-04-07T05:55:49 --enforcementcount 0 &gt;&gt;C:\Users\stu\Documents\GitHub\eaglep3-reporting\EC\2017-04-07-refined-times.txt</v>
      </c>
      <c r="AI25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{"issue":{"subject":"","project_id":79,"tracker_id":40,"status_id":1,"priority_id":2,"assigned_to_id":23,"start_date":"2017-04-07","description":"","custom_fields":[{"id":1,"name":"Subdivision","value":"EC"},{"id":4,"name":"Milepost","value":"23.3304"},{"id":17,"name":"Train ID","value":"113-07"},{"id":16,"name":"Locomotive ID","value":"4022"},{"id":130,"name":"Impact","value":""},{"id":150,"name":"Time of Event (Mountain Time)","value":"05:55:49"},{"id":151,"name":"Denver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4022 --day 2017-04-07</v>
      </c>
      <c r="AN25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11:55:49"},{"id":29,"name":"Sharepoint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679</v>
      </c>
      <c r="B26" s="7">
        <v>4021</v>
      </c>
      <c r="C26" s="21" t="s">
        <v>216</v>
      </c>
      <c r="D26" s="21" t="s">
        <v>596</v>
      </c>
      <c r="E26" s="13">
        <v>42832.251759259256</v>
      </c>
      <c r="F26" s="13">
        <v>42832.2578125</v>
      </c>
      <c r="G26" s="7">
        <v>1</v>
      </c>
      <c r="H26" s="21" t="s">
        <v>184</v>
      </c>
      <c r="I26" s="13">
        <v>42832.287199074075</v>
      </c>
      <c r="J26" s="7">
        <v>0</v>
      </c>
      <c r="K26" s="97" t="str">
        <f t="shared" si="0"/>
        <v>4021/4022</v>
      </c>
      <c r="L26" s="21" t="str">
        <f>VLOOKUP(A26,'Trips&amp;Operators'!$C$1:$G$99999,5,FALSE)</f>
        <v>BADERTSCHER DIANE</v>
      </c>
      <c r="M26" s="6">
        <f t="shared" si="1"/>
        <v>2.9386574075033423E-2</v>
      </c>
      <c r="N26" s="7">
        <f t="shared" si="2"/>
        <v>42.316666668048128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-04-07T05:02:32-0600',mode:absolute,to:'2017-04-07T07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183" t="str">
        <f t="shared" si="6"/>
        <v>N</v>
      </c>
      <c r="X26" s="183">
        <f t="shared" si="23"/>
        <v>1</v>
      </c>
      <c r="Y26" s="62">
        <f t="shared" si="8"/>
        <v>23.299600000000002</v>
      </c>
      <c r="Z26" s="62">
        <f t="shared" si="9"/>
        <v>1.49E-2</v>
      </c>
      <c r="AA26" s="62">
        <f t="shared" si="10"/>
        <v>23.284700000000001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0114-07</v>
      </c>
      <c r="AE26" s="85" t="str">
        <f t="shared" si="12"/>
        <v>aws s3 cp s3://rtdc.mdm.uploadarchive.raw/RTDC4021/ "%USERPROFILE%\AppData\Local\Temp\OnboardLogs"\RTDC4021\2017-04-07 --exclude "*" --recursive --include "*20170407*" &amp; "%USERPROFILE%\Documents\GitHub\mrs-test-scripts\Headless Mode &amp; Sideloading\WalkAndUnGZ.bat" "%USERPROFILE%\AppData\Local\Temp\OnboardLogs"\RTDC4021\2017-04-07 &amp; 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</v>
      </c>
      <c r="AF26" s="82" t="str">
        <f t="shared" si="13"/>
        <v>"C:\Program Files (x86)\AstroGrep\AstroGrep.exe" /e /r /s /spath="%USERPROFILE%\AppData\Local\Temp\OnboardLogs" /stypes="app*4021*20170407*"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114-07 --locoid 4021 --swversion DE.1.0.9.0 --startMP 204:232996 --initTime 2017-04-07T06:02:32 --startdatetime 2017-04-07T06:11:15 --delay 1 --endMP 204:149 --enddatetime 2017-04-07T06:53:34 --enforcementcount 0 &gt;&gt;C:\Users\stu\Documents\GitHub\eaglep3-reporting\EC\2017-04-07-refined-times.txt</v>
      </c>
      <c r="AI26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{"issue":{"subject":"","project_id":79,"tracker_id":40,"status_id":1,"priority_id":2,"assigned_to_id":23,"start_date":"2017-04-07","description":"","custom_fields":[{"id":1,"name":"Subdivision","value":"EC"},{"id":4,"name":"Milepost","value":"0.0149"},{"id":17,"name":"Train ID","value":"114-07"},{"id":16,"name":"Locomotive ID","value":"4021"},{"id":130,"name":"Impact","value":""},{"id":150,"name":"Time of Event (Mountain Time)","value":"06:53:34"},{"id":151,"name":"Denver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4021 --day 2017-04-07</v>
      </c>
      <c r="AN26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12:53:34"},{"id":29,"name":"Sharepoint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672</v>
      </c>
      <c r="B27" s="7">
        <v>4032</v>
      </c>
      <c r="C27" s="21" t="s">
        <v>216</v>
      </c>
      <c r="D27" s="21" t="s">
        <v>575</v>
      </c>
      <c r="E27" s="13">
        <v>42832.226875</v>
      </c>
      <c r="F27" s="13">
        <v>42832.229456018518</v>
      </c>
      <c r="G27" s="7">
        <v>1</v>
      </c>
      <c r="H27" s="21" t="s">
        <v>412</v>
      </c>
      <c r="I27" s="13">
        <v>42832.253680555557</v>
      </c>
      <c r="J27" s="7">
        <v>0</v>
      </c>
      <c r="K27" s="97" t="str">
        <f t="shared" si="0"/>
        <v>4031/4032</v>
      </c>
      <c r="L27" s="21" t="str">
        <f>VLOOKUP(A27,'Trips&amp;Operators'!$C$1:$G$99999,5,FALSE)</f>
        <v>MENGES BRAD</v>
      </c>
      <c r="M27" s="6">
        <f t="shared" si="1"/>
        <v>2.4224537039117422E-2</v>
      </c>
      <c r="N27" s="7">
        <f t="shared" si="2"/>
        <v>34.883333336329088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-04-07T04:26:42-0600',mode:absolute,to:'2017-04-07T07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7" s="183" t="str">
        <f t="shared" si="6"/>
        <v>N</v>
      </c>
      <c r="X27" s="183">
        <f t="shared" si="23"/>
        <v>1</v>
      </c>
      <c r="Y27" s="62">
        <f t="shared" si="8"/>
        <v>7.5399999999999995E-2</v>
      </c>
      <c r="Z27" s="62">
        <f t="shared" si="9"/>
        <v>23.330300000000001</v>
      </c>
      <c r="AA27" s="62">
        <f t="shared" si="10"/>
        <v>23.254900000000003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0115-07</v>
      </c>
      <c r="AE27" s="85" t="str">
        <f t="shared" si="12"/>
        <v>aws s3 cp s3://rtdc.mdm.uploadarchive.raw/RTDC4032/ "%USERPROFILE%\AppData\Local\Temp\OnboardLogs"\RTDC4032\2017-04-07 --exclude "*" --recursive --include "*20170407*" &amp; "%USERPROFILE%\Documents\GitHub\mrs-test-scripts\Headless Mode &amp; Sideloading\WalkAndUnGZ.bat" "%USERPROFILE%\AppData\Local\Temp\OnboardLogs"\RTDC4032\2017-04-07 &amp; aws s3 cp s3://rtdc.mdm.uploadarchive.raw/RTDC4032/ "%USERPROFILE%\AppData\Local\Temp\OnboardLogs"\RTDC4032\2017-04-08 --exclude "*" --recursive --include "*20170408*" &amp; "%USERPROFILE%\Documents\GitHub\mrs-test-scripts\Headless Mode &amp; Sideloading\WalkAndUnGZ.bat" "%USERPROFILE%\AppData\Local\Temp\OnboardLogs"\RTDC4032\2017-04-08</v>
      </c>
      <c r="AF27" s="82" t="str">
        <f t="shared" si="13"/>
        <v>"C:\Program Files (x86)\AstroGrep\AstroGrep.exe" /e /r /s /spath="%USERPROFILE%\AppData\Local\Temp\OnboardLogs" /stypes="app*4032*20170407*"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115-07 --locoid 4032 --swversion DE.1.0.9.0 --startMP 204:754 --initTime 2017-04-07T05:26:42 --startdatetime 2017-04-07T05:30:25 --delay 1 --endMP 204:233303 --enddatetime 2017-04-07T06:05:18 --enforcementcount 0 &gt;&gt;C:\Users\stu\Documents\GitHub\eaglep3-reporting\EC\2017-04-07-refined-times.txt</v>
      </c>
      <c r="AI27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{"issue":{"subject":"","project_id":79,"tracker_id":40,"status_id":1,"priority_id":2,"assigned_to_id":23,"start_date":"2017-04-07","description":"","custom_fields":[{"id":1,"name":"Subdivision","value":"EC"},{"id":4,"name":"Milepost","value":"23.3303"},{"id":17,"name":"Train ID","value":"115-07"},{"id":16,"name":"Locomotive ID","value":"4032"},{"id":130,"name":"Impact","value":""},{"id":150,"name":"Time of Event (Mountain Time)","value":"06:05:18"},{"id":151,"name":"Denver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4032 --day 2017-04-07</v>
      </c>
      <c r="AN27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12:05:18"},{"id":29,"name":"Sharepoint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632</v>
      </c>
      <c r="B28" s="7">
        <v>4031</v>
      </c>
      <c r="C28" s="21" t="s">
        <v>216</v>
      </c>
      <c r="D28" s="21" t="s">
        <v>457</v>
      </c>
      <c r="E28" s="13">
        <v>42832.256053240744</v>
      </c>
      <c r="F28" s="13">
        <v>42832.268217592595</v>
      </c>
      <c r="G28" s="7">
        <v>1</v>
      </c>
      <c r="H28" s="21" t="s">
        <v>212</v>
      </c>
      <c r="I28" s="13">
        <v>42832.296979166669</v>
      </c>
      <c r="J28" s="7">
        <v>0</v>
      </c>
      <c r="K28" s="97" t="str">
        <f t="shared" si="0"/>
        <v>4031/4032</v>
      </c>
      <c r="L28" s="21" t="str">
        <f>VLOOKUP(A28,'Trips&amp;Operators'!$C$1:$G$99999,5,FALSE)</f>
        <v>MENGES BRAD</v>
      </c>
      <c r="M28" s="6">
        <f t="shared" si="1"/>
        <v>2.8761574074451346E-2</v>
      </c>
      <c r="N28" s="7">
        <f t="shared" si="2"/>
        <v>41.416666667209938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-04-07T05:08:43-0600',mode:absolute,to:'2017-04-07T08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8" s="183" t="str">
        <f t="shared" si="6"/>
        <v>N</v>
      </c>
      <c r="X28" s="183">
        <f t="shared" si="23"/>
        <v>1</v>
      </c>
      <c r="Y28" s="62">
        <f t="shared" si="8"/>
        <v>23.2971</v>
      </c>
      <c r="Z28" s="62">
        <f t="shared" si="9"/>
        <v>1.5599999999999999E-2</v>
      </c>
      <c r="AA28" s="62">
        <f t="shared" si="10"/>
        <v>23.281500000000001</v>
      </c>
      <c r="AB28" s="59" t="str">
        <f>VLOOKUP(A28,Enforcements!$C$7:$K$13,8,0)</f>
        <v>Bulletin (2)</v>
      </c>
      <c r="AC28" s="55" t="str">
        <f>VLOOKUP(A28,Enforcements!$C$7:$E$13,3,0)</f>
        <v>GRADE CROSSING</v>
      </c>
      <c r="AD28" s="56" t="str">
        <f t="shared" si="11"/>
        <v>0116-07</v>
      </c>
      <c r="AE28" s="85" t="str">
        <f t="shared" si="12"/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AF28" s="82" t="str">
        <f t="shared" si="13"/>
        <v>"C:\Program Files (x86)\AstroGrep\AstroGrep.exe" /e /r /s /spath="%USERPROFILE%\AppData\Local\Temp\OnboardLogs" /stypes="app*4031*20170407*"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116-07 --locoid 4031 --swversion DE.1.0.9.0 --startMP 204:232971 --initTime 2017-04-07T06:08:43 --startdatetime 2017-04-07T06:26:14 --delay 1 --endMP 204:156 --enddatetime 2017-04-07T07:07:39 --enforcementcount 0 &gt;&gt;C:\Users\stu\Documents\GitHub\eaglep3-reporting\EC\2017-04-07-refined-times.txt</v>
      </c>
      <c r="AI28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{"issue":{"subject":"","project_id":79,"tracker_id":40,"status_id":1,"priority_id":2,"assigned_to_id":23,"start_date":"2017-04-07","description":"","custom_fields":[{"id":1,"name":"Subdivision","value":"EC"},{"id":4,"name":"Milepost","value":"0.0156"},{"id":17,"name":"Train ID","value":"116-07"},{"id":16,"name":"Locomotive ID","value":"4031"},{"id":130,"name":"Impact","value":""},{"id":150,"name":"Time of Event (Mountain Time)","value":"07:07:39"},{"id":151,"name":"Denver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4031 --day 2017-04-07</v>
      </c>
      <c r="AN28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674</v>
      </c>
      <c r="B29" s="7">
        <v>4014</v>
      </c>
      <c r="C29" s="21" t="s">
        <v>216</v>
      </c>
      <c r="D29" s="21" t="s">
        <v>494</v>
      </c>
      <c r="E29" s="13">
        <v>42832.234259259261</v>
      </c>
      <c r="F29" s="13">
        <v>42832.239756944444</v>
      </c>
      <c r="G29" s="7">
        <v>1</v>
      </c>
      <c r="H29" s="21" t="s">
        <v>865</v>
      </c>
      <c r="I29" s="13">
        <v>42832.267048611109</v>
      </c>
      <c r="J29" s="7">
        <v>0</v>
      </c>
      <c r="K29" s="97" t="str">
        <f t="shared" si="0"/>
        <v>4013/4014</v>
      </c>
      <c r="L29" s="21" t="str">
        <f>VLOOKUP(A29,'Trips&amp;Operators'!$C$1:$G$99999,5,FALSE)</f>
        <v>DAVIS WENDY</v>
      </c>
      <c r="M29" s="6">
        <f t="shared" si="1"/>
        <v>2.7291666665405501E-2</v>
      </c>
      <c r="N29" s="7">
        <f t="shared" si="2"/>
        <v>39.299999998183921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-04-07T04:37:20-0600',mode:absolute,to:'2017-04-07T07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9" s="183" t="str">
        <f t="shared" si="6"/>
        <v>N</v>
      </c>
      <c r="X29" s="183">
        <f t="shared" si="23"/>
        <v>1</v>
      </c>
      <c r="Y29" s="62">
        <f t="shared" si="8"/>
        <v>4.4400000000000002E-2</v>
      </c>
      <c r="Z29" s="62">
        <f t="shared" si="9"/>
        <v>23.328499999999998</v>
      </c>
      <c r="AA29" s="62">
        <f t="shared" si="10"/>
        <v>23.284099999999999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0117-07</v>
      </c>
      <c r="AE29" s="85" t="str">
        <f t="shared" si="12"/>
        <v>aws s3 cp s3://rtdc.mdm.uploadarchive.raw/RTDC4014/ "%USERPROFILE%\AppData\Local\Temp\OnboardLogs"\RTDC4014\2017-04-07 --exclude "*" --recursive --include "*20170407*" &amp; "%USERPROFILE%\Documents\GitHub\mrs-test-scripts\Headless Mode &amp; Sideloading\WalkAndUnGZ.bat" "%USERPROFILE%\AppData\Local\Temp\OnboardLogs"\RTDC4014\2017-04-07 &amp; 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</v>
      </c>
      <c r="AF29" s="82" t="str">
        <f t="shared" si="13"/>
        <v>"C:\Program Files (x86)\AstroGrep\AstroGrep.exe" /e /r /s /spath="%USERPROFILE%\AppData\Local\Temp\OnboardLogs" /stypes="app*4014*20170407*"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117-07 --locoid 4014 --swversion DE.1.0.9.0 --startMP 204:444 --initTime 2017-04-07T05:37:20 --startdatetime 2017-04-07T05:45:15 --delay 1 --endMP 204:233285 --enddatetime 2017-04-07T06:24:33 --enforcementcount 0 &gt;&gt;C:\Users\stu\Documents\GitHub\eaglep3-reporting\EC\2017-04-07-refined-times.txt</v>
      </c>
      <c r="AI29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{"issue":{"subject":"","project_id":79,"tracker_id":40,"status_id":1,"priority_id":2,"assigned_to_id":23,"start_date":"2017-04-07","description":"","custom_fields":[{"id":1,"name":"Subdivision","value":"EC"},{"id":4,"name":"Milepost","value":"23.3285"},{"id":17,"name":"Train ID","value":"117-07"},{"id":16,"name":"Locomotive ID","value":"4014"},{"id":130,"name":"Impact","value":""},{"id":150,"name":"Time of Event (Mountain Time)","value":"06:24:33"},{"id":151,"name":"Denver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4014 --day 2017-04-07</v>
      </c>
      <c r="AN29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12:24:33"},{"id":29,"name":"Sharepoint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685</v>
      </c>
      <c r="B30" s="7">
        <v>4013</v>
      </c>
      <c r="C30" s="21" t="s">
        <v>216</v>
      </c>
      <c r="D30" s="21" t="s">
        <v>596</v>
      </c>
      <c r="E30" s="13">
        <v>42832.276122685187</v>
      </c>
      <c r="F30" s="13">
        <v>42832.278645833336</v>
      </c>
      <c r="G30" s="7">
        <v>1</v>
      </c>
      <c r="H30" s="21" t="s">
        <v>492</v>
      </c>
      <c r="I30" s="13">
        <v>42832.306250000001</v>
      </c>
      <c r="J30" s="7">
        <v>0</v>
      </c>
      <c r="K30" s="97" t="str">
        <f t="shared" si="0"/>
        <v>4013/4014</v>
      </c>
      <c r="L30" s="21" t="str">
        <f>VLOOKUP(A30,'Trips&amp;Operators'!$C$1:$G$99999,5,FALSE)</f>
        <v>DAVIS WENDY</v>
      </c>
      <c r="M30" s="6">
        <f t="shared" si="1"/>
        <v>2.7604166665696539E-2</v>
      </c>
      <c r="N30" s="7">
        <f t="shared" si="2"/>
        <v>39.749999998603016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-04-07T05:37:37-0600',mode:absolute,to:'2017-04-07T08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0" s="183" t="str">
        <f t="shared" si="6"/>
        <v>N</v>
      </c>
      <c r="X30" s="183">
        <f t="shared" si="23"/>
        <v>1</v>
      </c>
      <c r="Y30" s="62">
        <f t="shared" si="8"/>
        <v>23.299600000000002</v>
      </c>
      <c r="Z30" s="62">
        <f t="shared" si="9"/>
        <v>1.67E-2</v>
      </c>
      <c r="AA30" s="62">
        <f t="shared" si="10"/>
        <v>23.282900000000001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0118-07</v>
      </c>
      <c r="AE30" s="85" t="str">
        <f t="shared" si="12"/>
        <v>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 &amp; 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</v>
      </c>
      <c r="AF30" s="82" t="str">
        <f t="shared" si="13"/>
        <v>"C:\Program Files (x86)\AstroGrep\AstroGrep.exe" /e /r /s /spath="%USERPROFILE%\AppData\Local\Temp\OnboardLogs" /stypes="app*4013*20170407*"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118-07 --locoid 4013 --swversion DE.1.0.9.0 --startMP 204:232996 --initTime 2017-04-07T06:37:37 --startdatetime 2017-04-07T06:41:15 --delay 1 --endMP 204:167 --enddatetime 2017-04-07T07:21:00 --enforcementcount 0 &gt;&gt;C:\Users\stu\Documents\GitHub\eaglep3-reporting\EC\2017-04-07-refined-times.txt</v>
      </c>
      <c r="AI30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{"issue":{"subject":"","project_id":79,"tracker_id":40,"status_id":1,"priority_id":2,"assigned_to_id":23,"start_date":"2017-04-07","description":"","custom_fields":[{"id":1,"name":"Subdivision","value":"EC"},{"id":4,"name":"Milepost","value":"0.0167"},{"id":17,"name":"Train ID","value":"118-07"},{"id":16,"name":"Locomotive ID","value":"4013"},{"id":130,"name":"Impact","value":""},{"id":150,"name":"Time of Event (Mountain Time)","value":"07:21:00"},{"id":151,"name":"Denver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4013 --day 2017-04-07</v>
      </c>
      <c r="AN30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13:21:00"},{"id":29,"name":"Sharepoint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678</v>
      </c>
      <c r="B31" s="7">
        <v>4026</v>
      </c>
      <c r="C31" s="21" t="s">
        <v>216</v>
      </c>
      <c r="D31" s="21" t="s">
        <v>866</v>
      </c>
      <c r="E31" s="13">
        <v>42832.248819444445</v>
      </c>
      <c r="F31" s="13">
        <v>42832.250196759262</v>
      </c>
      <c r="G31" s="7">
        <v>1</v>
      </c>
      <c r="H31" s="21" t="s">
        <v>593</v>
      </c>
      <c r="I31" s="13">
        <v>42832.276076388887</v>
      </c>
      <c r="J31" s="7">
        <v>0</v>
      </c>
      <c r="K31" s="97" t="str">
        <f t="shared" si="0"/>
        <v>4025/4026</v>
      </c>
      <c r="L31" s="21" t="str">
        <f>VLOOKUP(A31,'Trips&amp;Operators'!$C$1:$G$99999,5,FALSE)</f>
        <v>ROBINSON KADDIBA</v>
      </c>
      <c r="M31" s="6">
        <f t="shared" si="1"/>
        <v>2.5879629625706002E-2</v>
      </c>
      <c r="N31" s="7">
        <f t="shared" si="2"/>
        <v>37.266666661016643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-04-07T04:58:18-0600',mode:absolute,to:'2017-04-07T07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1" s="183" t="str">
        <f t="shared" si="6"/>
        <v>N</v>
      </c>
      <c r="X31" s="183">
        <f t="shared" ref="X31:X62" si="24">VALUE(LEFT(AD31,4))-VALUE(LEFT(AD30,4))</f>
        <v>1</v>
      </c>
      <c r="Y31" s="62">
        <f t="shared" si="8"/>
        <v>7.5899999999999995E-2</v>
      </c>
      <c r="Z31" s="62">
        <f t="shared" si="9"/>
        <v>23.326799999999999</v>
      </c>
      <c r="AA31" s="62">
        <f t="shared" si="10"/>
        <v>23.250899999999998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0119-07</v>
      </c>
      <c r="AE31" s="85" t="str">
        <f t="shared" si="12"/>
        <v>aws s3 cp s3://rtdc.mdm.uploadarchive.raw/RTDC4026/ "%USERPROFILE%\AppData\Local\Temp\OnboardLogs"\RTDC4026\2017-04-07 --exclude "*" --recursive --include "*20170407*" &amp; "%USERPROFILE%\Documents\GitHub\mrs-test-scripts\Headless Mode &amp; Sideloading\WalkAndUnGZ.bat" "%USERPROFILE%\AppData\Local\Temp\OnboardLogs"\RTDC4026\2017-04-07 &amp; aws s3 cp s3://rtdc.mdm.uploadarchive.raw/RTDC4026/ "%USERPROFILE%\AppData\Local\Temp\OnboardLogs"\RTDC4026\2017-04-08 --exclude "*" --recursive --include "*20170408*" &amp; "%USERPROFILE%\Documents\GitHub\mrs-test-scripts\Headless Mode &amp; Sideloading\WalkAndUnGZ.bat" "%USERPROFILE%\AppData\Local\Temp\OnboardLogs"\RTDC4026\2017-04-08</v>
      </c>
      <c r="AF31" s="82" t="str">
        <f t="shared" si="13"/>
        <v>"C:\Program Files (x86)\AstroGrep\AstroGrep.exe" /e /r /s /spath="%USERPROFILE%\AppData\Local\Temp\OnboardLogs" /stypes="app*4026*20170407*"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119-07 --locoid 4026 --swversion DE.1.0.9.0 --startMP 204:759 --initTime 2017-04-07T05:58:18 --startdatetime 2017-04-07T06:00:17 --delay 1 --endMP 204:233268 --enddatetime 2017-04-07T06:37:33 --enforcementcount 0 &gt;&gt;C:\Users\stu\Documents\GitHub\eaglep3-reporting\EC\2017-04-07-refined-times.txt</v>
      </c>
      <c r="AI31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{"issue":{"subject":"","project_id":79,"tracker_id":40,"status_id":1,"priority_id":2,"assigned_to_id":23,"start_date":"2017-04-07","description":"","custom_fields":[{"id":1,"name":"Subdivision","value":"EC"},{"id":4,"name":"Milepost","value":"23.3268"},{"id":17,"name":"Train ID","value":"119-07"},{"id":16,"name":"Locomotive ID","value":"4026"},{"id":130,"name":"Impact","value":""},{"id":150,"name":"Time of Event (Mountain Time)","value":"06:37:33"},{"id":151,"name":"Denver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1"/>
        <v>start /low /b %USERPROFILE%\Documents\GitHub\eaglep3\Utilities\DownloadLogsFromS3.py --loco 4026 --day 2017-04-07</v>
      </c>
      <c r="AN31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12:37:33"},{"id":29,"name":"Sharepoint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688</v>
      </c>
      <c r="B32" s="7">
        <v>4025</v>
      </c>
      <c r="C32" s="21" t="s">
        <v>216</v>
      </c>
      <c r="D32" s="21" t="s">
        <v>538</v>
      </c>
      <c r="E32" s="13">
        <v>42832.285532407404</v>
      </c>
      <c r="F32" s="13">
        <v>42832.289050925923</v>
      </c>
      <c r="G32" s="7">
        <v>1</v>
      </c>
      <c r="H32" s="21" t="s">
        <v>381</v>
      </c>
      <c r="I32" s="13">
        <v>42832.316631944443</v>
      </c>
      <c r="J32" s="7">
        <v>0</v>
      </c>
      <c r="K32" s="97" t="str">
        <f t="shared" si="0"/>
        <v>4025/4026</v>
      </c>
      <c r="L32" s="21" t="str">
        <f>VLOOKUP(A32,'Trips&amp;Operators'!$C$1:$G$99999,5,FALSE)</f>
        <v>ROBINSON KADDIBA</v>
      </c>
      <c r="M32" s="6">
        <f t="shared" si="1"/>
        <v>2.7581018519413192E-2</v>
      </c>
      <c r="N32" s="7">
        <f t="shared" si="2"/>
        <v>39.716666667954996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-04-07T05:51:10-0600',mode:absolute,to:'2017-04-07T08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2" s="183" t="str">
        <f t="shared" si="6"/>
        <v>N</v>
      </c>
      <c r="X32" s="183">
        <f t="shared" si="24"/>
        <v>1</v>
      </c>
      <c r="Y32" s="62">
        <f t="shared" si="8"/>
        <v>23.296099999999999</v>
      </c>
      <c r="Z32" s="62">
        <f t="shared" si="9"/>
        <v>1.43E-2</v>
      </c>
      <c r="AA32" s="62">
        <f t="shared" si="10"/>
        <v>23.2818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0120-07</v>
      </c>
      <c r="AE32" s="85" t="str">
        <f t="shared" si="12"/>
        <v>aws s3 cp s3://rtdc.mdm.uploadarchive.raw/RTDC4025/ "%USERPROFILE%\AppData\Local\Temp\OnboardLogs"\RTDC4025\2017-04-07 --exclude "*" --recursive --include "*20170407*" &amp; "%USERPROFILE%\Documents\GitHub\mrs-test-scripts\Headless Mode &amp; Sideloading\WalkAndUnGZ.bat" "%USERPROFILE%\AppData\Local\Temp\OnboardLogs"\RTDC4025\2017-04-07 &amp; aws s3 cp s3://rtdc.mdm.uploadarchive.raw/RTDC4025/ "%USERPROFILE%\AppData\Local\Temp\OnboardLogs"\RTDC4025\2017-04-08 --exclude "*" --recursive --include "*20170408*" &amp; "%USERPROFILE%\Documents\GitHub\mrs-test-scripts\Headless Mode &amp; Sideloading\WalkAndUnGZ.bat" "%USERPROFILE%\AppData\Local\Temp\OnboardLogs"\RTDC4025\2017-04-08</v>
      </c>
      <c r="AF32" s="82" t="str">
        <f t="shared" si="13"/>
        <v>"C:\Program Files (x86)\AstroGrep\AstroGrep.exe" /e /r /s /spath="%USERPROFILE%\AppData\Local\Temp\OnboardLogs" /stypes="app*4025*20170407*"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120-07 --locoid 4025 --swversion DE.1.0.9.0 --startMP 204:232961 --initTime 2017-04-07T06:51:10 --startdatetime 2017-04-07T06:56:14 --delay 1 --endMP 204:143 --enddatetime 2017-04-07T07:35:57 --enforcementcount 0 &gt;&gt;C:\Users\stu\Documents\GitHub\eaglep3-reporting\EC\2017-04-07-refined-times.txt</v>
      </c>
      <c r="AI32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{"issue":{"subject":"","project_id":79,"tracker_id":40,"status_id":1,"priority_id":2,"assigned_to_id":23,"start_date":"2017-04-07","description":"","custom_fields":[{"id":1,"name":"Subdivision","value":"EC"},{"id":4,"name":"Milepost","value":"0.0143"},{"id":17,"name":"Train ID","value":"120-07"},{"id":16,"name":"Locomotive ID","value":"4025"},{"id":130,"name":"Impact","value":""},{"id":150,"name":"Time of Event (Mountain Time)","value":"07:35:57"},{"id":151,"name":"Denver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4025 --day 2017-04-07</v>
      </c>
      <c r="AN32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13:35:57"},{"id":29,"name":"Sharepoint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681</v>
      </c>
      <c r="B33" s="7">
        <v>4010</v>
      </c>
      <c r="C33" s="21" t="s">
        <v>216</v>
      </c>
      <c r="D33" s="21" t="s">
        <v>494</v>
      </c>
      <c r="E33" s="13">
        <v>42832.257222222222</v>
      </c>
      <c r="F33" s="13">
        <v>42832.260613425926</v>
      </c>
      <c r="G33" s="7">
        <v>1</v>
      </c>
      <c r="H33" s="21" t="s">
        <v>417</v>
      </c>
      <c r="I33" s="13">
        <v>42832.285798611112</v>
      </c>
      <c r="J33" s="7">
        <v>0</v>
      </c>
      <c r="K33" s="97" t="str">
        <f t="shared" si="0"/>
        <v>4009/4010</v>
      </c>
      <c r="L33" s="21" t="str">
        <f>VLOOKUP(A33,'Trips&amp;Operators'!$C$1:$G$99999,5,FALSE)</f>
        <v>STARKS ANGELINA</v>
      </c>
      <c r="M33" s="6">
        <f t="shared" si="1"/>
        <v>2.5185185186273884E-2</v>
      </c>
      <c r="N33" s="7">
        <f t="shared" si="2"/>
        <v>36.266666668234393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-04-07T05:10:24-0600',mode:absolute,to:'2017-04-07T07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3" s="183" t="str">
        <f t="shared" si="6"/>
        <v>N</v>
      </c>
      <c r="X33" s="183">
        <f t="shared" si="24"/>
        <v>1</v>
      </c>
      <c r="Y33" s="62">
        <f t="shared" si="8"/>
        <v>4.4400000000000002E-2</v>
      </c>
      <c r="Z33" s="62">
        <f t="shared" si="9"/>
        <v>23.330400000000001</v>
      </c>
      <c r="AA33" s="62">
        <f t="shared" si="10"/>
        <v>23.286000000000001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0121-07</v>
      </c>
      <c r="AE33" s="85" t="str">
        <f t="shared" si="12"/>
        <v>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 &amp; 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</v>
      </c>
      <c r="AF33" s="82" t="str">
        <f t="shared" si="13"/>
        <v>"C:\Program Files (x86)\AstroGrep\AstroGrep.exe" /e /r /s /spath="%USERPROFILE%\AppData\Local\Temp\OnboardLogs" /stypes="app*4010*20170407*"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121-07 --locoid 4010 --swversion DE.1.0.9.0 --startMP 204:444 --initTime 2017-04-07T06:10:24 --startdatetime 2017-04-07T06:15:17 --delay 1 --endMP 204:233304 --enddatetime 2017-04-07T06:51:33 --enforcementcount 0 &gt;&gt;C:\Users\stu\Documents\GitHub\eaglep3-reporting\EC\2017-04-07-refined-times.txt</v>
      </c>
      <c r="AI33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{"issue":{"subject":"","project_id":79,"tracker_id":40,"status_id":1,"priority_id":2,"assigned_to_id":23,"start_date":"2017-04-07","description":"","custom_fields":[{"id":1,"name":"Subdivision","value":"EC"},{"id":4,"name":"Milepost","value":"23.3304"},{"id":17,"name":"Train ID","value":"121-07"},{"id":16,"name":"Locomotive ID","value":"4010"},{"id":130,"name":"Impact","value":""},{"id":150,"name":"Time of Event (Mountain Time)","value":"06:51:33"},{"id":151,"name":"Denver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4010 --day 2017-04-07</v>
      </c>
      <c r="AN33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12:51:33"},{"id":29,"name":"Sharepoint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692</v>
      </c>
      <c r="B34" s="7">
        <v>4009</v>
      </c>
      <c r="C34" s="21" t="s">
        <v>216</v>
      </c>
      <c r="D34" s="21" t="s">
        <v>867</v>
      </c>
      <c r="E34" s="13">
        <v>42832.295995370368</v>
      </c>
      <c r="F34" s="13">
        <v>42832.299826388888</v>
      </c>
      <c r="G34" s="7">
        <v>1</v>
      </c>
      <c r="H34" s="21" t="s">
        <v>409</v>
      </c>
      <c r="I34" s="13">
        <v>42832.327673611115</v>
      </c>
      <c r="J34" s="7">
        <v>0</v>
      </c>
      <c r="K34" s="97" t="str">
        <f t="shared" si="0"/>
        <v>4009/4010</v>
      </c>
      <c r="L34" s="21" t="str">
        <f>VLOOKUP(A34,'Trips&amp;Operators'!$C$1:$G$99999,5,FALSE)</f>
        <v>STARKS ANGELINA</v>
      </c>
      <c r="M34" s="6">
        <f t="shared" si="1"/>
        <v>2.7847222227137536E-2</v>
      </c>
      <c r="N34" s="7">
        <f t="shared" si="2"/>
        <v>40.100000007078052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-04-07T06:06:14-0600',mode:absolute,to:'2017-04-07T08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4" s="183" t="str">
        <f t="shared" si="6"/>
        <v>N</v>
      </c>
      <c r="X34" s="183">
        <f t="shared" si="24"/>
        <v>1</v>
      </c>
      <c r="Y34" s="62">
        <f t="shared" si="8"/>
        <v>23.297899999999998</v>
      </c>
      <c r="Z34" s="62">
        <f t="shared" si="9"/>
        <v>1.41E-2</v>
      </c>
      <c r="AA34" s="62">
        <f t="shared" si="10"/>
        <v>23.283799999999999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0122-07</v>
      </c>
      <c r="AE34" s="85" t="str">
        <f t="shared" si="12"/>
        <v>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 &amp; aws s3 cp s3://rtdc.mdm.uploadarchive.raw/RTDC4009/ "%USERPROFILE%\AppData\Local\Temp\OnboardLogs"\RTDC4009\2017-04-08 --exclude "*" --recursive --include "*20170408*" &amp; "%USERPROFILE%\Documents\GitHub\mrs-test-scripts\Headless Mode &amp; Sideloading\WalkAndUnGZ.bat" "%USERPROFILE%\AppData\Local\Temp\OnboardLogs"\RTDC4009\2017-04-08</v>
      </c>
      <c r="AF34" s="82" t="str">
        <f t="shared" si="13"/>
        <v>"C:\Program Files (x86)\AstroGrep\AstroGrep.exe" /e /r /s /spath="%USERPROFILE%\AppData\Local\Temp\OnboardLogs" /stypes="app*4009*20170407*"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122-07 --locoid 4009 --swversion DE.1.0.9.0 --startMP 204:232979 --initTime 2017-04-07T07:06:14 --startdatetime 2017-04-07T07:11:45 --delay 1 --endMP 204:141 --enddatetime 2017-04-07T07:51:51 --enforcementcount 0 &gt;&gt;C:\Users\stu\Documents\GitHub\eaglep3-reporting\EC\2017-04-07-refined-times.txt</v>
      </c>
      <c r="AI34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{"issue":{"subject":"","project_id":79,"tracker_id":40,"status_id":1,"priority_id":2,"assigned_to_id":23,"start_date":"2017-04-07","description":"","custom_fields":[{"id":1,"name":"Subdivision","value":"EC"},{"id":4,"name":"Milepost","value":"0.0141"},{"id":17,"name":"Train ID","value":"122-07"},{"id":16,"name":"Locomotive ID","value":"4009"},{"id":130,"name":"Impact","value":""},{"id":150,"name":"Time of Event (Mountain Time)","value":"07:51:51"},{"id":151,"name":"Denver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4009 --day 2017-04-07</v>
      </c>
      <c r="AN34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13:51:51"},{"id":29,"name":"Sharepoint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682</v>
      </c>
      <c r="B35" s="7">
        <v>4016</v>
      </c>
      <c r="C35" s="21" t="s">
        <v>216</v>
      </c>
      <c r="D35" s="21" t="s">
        <v>494</v>
      </c>
      <c r="E35" s="13">
        <v>42832.267858796295</v>
      </c>
      <c r="F35" s="13">
        <v>42832.27107638889</v>
      </c>
      <c r="G35" s="7">
        <v>1</v>
      </c>
      <c r="H35" s="21" t="s">
        <v>531</v>
      </c>
      <c r="I35" s="13">
        <v>42832.29550925926</v>
      </c>
      <c r="J35" s="7">
        <v>0</v>
      </c>
      <c r="K35" s="97" t="str">
        <f t="shared" si="0"/>
        <v>4015/4016</v>
      </c>
      <c r="L35" s="21" t="str">
        <f>VLOOKUP(A35,'Trips&amp;Operators'!$C$1:$G$99999,5,FALSE)</f>
        <v>LOZA FIDEL</v>
      </c>
      <c r="M35" s="6">
        <f t="shared" si="1"/>
        <v>2.4432870370219462E-2</v>
      </c>
      <c r="N35" s="7">
        <f t="shared" si="2"/>
        <v>35.183333333116025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-04-07T05:25:43-0600',mode:absolute,to:'2017-04-07T08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5" s="183" t="str">
        <f t="shared" si="6"/>
        <v>N</v>
      </c>
      <c r="X35" s="183">
        <f t="shared" si="24"/>
        <v>1</v>
      </c>
      <c r="Y35" s="62">
        <f t="shared" si="8"/>
        <v>4.4400000000000002E-2</v>
      </c>
      <c r="Z35" s="62">
        <f t="shared" si="9"/>
        <v>23.330500000000001</v>
      </c>
      <c r="AA35" s="62">
        <f t="shared" si="10"/>
        <v>23.286100000000001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0123-07</v>
      </c>
      <c r="AE35" s="85" t="str">
        <f t="shared" si="12"/>
        <v>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 &amp; aws s3 cp s3://rtdc.mdm.uploadarchive.raw/RTDC4016/ "%USERPROFILE%\AppData\Local\Temp\OnboardLogs"\RTDC4016\2017-04-08 --exclude "*" --recursive --include "*20170408*" &amp; "%USERPROFILE%\Documents\GitHub\mrs-test-scripts\Headless Mode &amp; Sideloading\WalkAndUnGZ.bat" "%USERPROFILE%\AppData\Local\Temp\OnboardLogs"\RTDC4016\2017-04-08</v>
      </c>
      <c r="AF35" s="82" t="str">
        <f t="shared" si="13"/>
        <v>"C:\Program Files (x86)\AstroGrep\AstroGrep.exe" /e /r /s /spath="%USERPROFILE%\AppData\Local\Temp\OnboardLogs" /stypes="app*4016*20170407*"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123-07 --locoid 4016 --swversion DE.1.0.9.0 --startMP 204:444 --initTime 2017-04-07T06:25:43 --startdatetime 2017-04-07T06:30:21 --delay 1 --endMP 204:233305 --enddatetime 2017-04-07T07:05:32 --enforcementcount 0 &gt;&gt;C:\Users\stu\Documents\GitHub\eaglep3-reporting\EC\2017-04-07-refined-times.txt</v>
      </c>
      <c r="AI35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{"issue":{"subject":"","project_id":79,"tracker_id":40,"status_id":1,"priority_id":2,"assigned_to_id":23,"start_date":"2017-04-07","description":"","custom_fields":[{"id":1,"name":"Subdivision","value":"EC"},{"id":4,"name":"Milepost","value":"23.3305"},{"id":17,"name":"Train ID","value":"123-07"},{"id":16,"name":"Locomotive ID","value":"4016"},{"id":130,"name":"Impact","value":""},{"id":150,"name":"Time of Event (Mountain Time)","value":"07:05:32"},{"id":151,"name":"Denver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4016 --day 2017-04-07</v>
      </c>
      <c r="AN35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13:05:32"},{"id":29,"name":"Sharepoint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693</v>
      </c>
      <c r="B36" s="7">
        <v>4015</v>
      </c>
      <c r="C36" s="21" t="s">
        <v>216</v>
      </c>
      <c r="D36" s="21" t="s">
        <v>403</v>
      </c>
      <c r="E36" s="13">
        <v>42832.297511574077</v>
      </c>
      <c r="F36" s="13">
        <v>42832.309942129628</v>
      </c>
      <c r="G36" s="7">
        <v>1</v>
      </c>
      <c r="H36" s="21" t="s">
        <v>213</v>
      </c>
      <c r="I36" s="13">
        <v>42832.336817129632</v>
      </c>
      <c r="J36" s="7">
        <v>0</v>
      </c>
      <c r="K36" s="97" t="str">
        <f t="shared" si="0"/>
        <v>4015/4016</v>
      </c>
      <c r="L36" s="21" t="str">
        <f>VLOOKUP(A36,'Trips&amp;Operators'!$C$1:$G$99999,5,FALSE)</f>
        <v>LOZA FIDEL</v>
      </c>
      <c r="M36" s="6">
        <f t="shared" si="1"/>
        <v>2.6875000003201421E-2</v>
      </c>
      <c r="N36" s="7">
        <f t="shared" si="2"/>
        <v>38.700000004610047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-04-07T06:08:25-0600',mode:absolute,to:'2017-04-07T09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6" s="183" t="str">
        <f t="shared" si="6"/>
        <v>N</v>
      </c>
      <c r="X36" s="183">
        <f t="shared" si="24"/>
        <v>1</v>
      </c>
      <c r="Y36" s="62">
        <f t="shared" si="8"/>
        <v>23.299399999999999</v>
      </c>
      <c r="Z36" s="62">
        <f t="shared" si="9"/>
        <v>1.47E-2</v>
      </c>
      <c r="AA36" s="62">
        <f t="shared" si="10"/>
        <v>23.284699999999997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0124-07</v>
      </c>
      <c r="AE36" s="85" t="str">
        <f t="shared" si="12"/>
        <v>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 &amp; aws s3 cp s3://rtdc.mdm.uploadarchive.raw/RTDC4015/ "%USERPROFILE%\AppData\Local\Temp\OnboardLogs"\RTDC4015\2017-04-08 --exclude "*" --recursive --include "*20170408*" &amp; "%USERPROFILE%\Documents\GitHub\mrs-test-scripts\Headless Mode &amp; Sideloading\WalkAndUnGZ.bat" "%USERPROFILE%\AppData\Local\Temp\OnboardLogs"\RTDC4015\2017-04-08</v>
      </c>
      <c r="AF36" s="82" t="str">
        <f t="shared" si="13"/>
        <v>"C:\Program Files (x86)\AstroGrep\AstroGrep.exe" /e /r /s /spath="%USERPROFILE%\AppData\Local\Temp\OnboardLogs" /stypes="app*4015*20170407*"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124-07 --locoid 4015 --swversion DE.1.0.9.0 --startMP 204:232994 --initTime 2017-04-07T07:08:25 --startdatetime 2017-04-07T07:26:19 --delay 1 --endMP 204:147 --enddatetime 2017-04-07T08:05:01 --enforcementcount 0 &gt;&gt;C:\Users\stu\Documents\GitHub\eaglep3-reporting\EC\2017-04-07-refined-times.txt</v>
      </c>
      <c r="AI36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{"issue":{"subject":"","project_id":79,"tracker_id":40,"status_id":1,"priority_id":2,"assigned_to_id":23,"start_date":"2017-04-07","description":"","custom_fields":[{"id":1,"name":"Subdivision","value":"EC"},{"id":4,"name":"Milepost","value":"0.0147"},{"id":17,"name":"Train ID","value":"124-07"},{"id":16,"name":"Locomotive ID","value":"4015"},{"id":130,"name":"Impact","value":""},{"id":150,"name":"Time of Event (Mountain Time)","value":"08:05:01"},{"id":151,"name":"Denver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4015 --day 2017-04-07</v>
      </c>
      <c r="AN36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14:05:01"},{"id":29,"name":"Sharepoint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686</v>
      </c>
      <c r="B37" s="7">
        <v>4020</v>
      </c>
      <c r="C37" s="21" t="s">
        <v>216</v>
      </c>
      <c r="D37" s="21" t="s">
        <v>580</v>
      </c>
      <c r="E37" s="13">
        <v>42832.277870370373</v>
      </c>
      <c r="F37" s="13">
        <v>42832.2815162037</v>
      </c>
      <c r="G37" s="7">
        <v>1</v>
      </c>
      <c r="H37" s="21" t="s">
        <v>525</v>
      </c>
      <c r="I37" s="13">
        <v>42832.307743055557</v>
      </c>
      <c r="J37" s="7">
        <v>0</v>
      </c>
      <c r="K37" s="97" t="str">
        <f t="shared" si="0"/>
        <v>4019/4020</v>
      </c>
      <c r="L37" s="21" t="str">
        <f>VLOOKUP(A37,'Trips&amp;Operators'!$C$1:$G$99999,5,FALSE)</f>
        <v>FORTUNATO FRANK</v>
      </c>
      <c r="M37" s="6">
        <f t="shared" si="1"/>
        <v>2.6226851856335998E-2</v>
      </c>
      <c r="N37" s="7">
        <f t="shared" si="2"/>
        <v>37.766666673123837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-04-07T05:40:08-0600',mode:absolute,to:'2017-04-07T08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7" s="183" t="str">
        <f t="shared" si="6"/>
        <v>N</v>
      </c>
      <c r="X37" s="183">
        <f t="shared" si="24"/>
        <v>1</v>
      </c>
      <c r="Y37" s="62">
        <f t="shared" si="8"/>
        <v>4.4200000000000003E-2</v>
      </c>
      <c r="Z37" s="62">
        <f t="shared" si="9"/>
        <v>23.331</v>
      </c>
      <c r="AA37" s="62">
        <f t="shared" si="10"/>
        <v>23.286799999999999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0125-07</v>
      </c>
      <c r="AE37" s="85" t="str">
        <f t="shared" si="12"/>
        <v>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 &amp; 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</v>
      </c>
      <c r="AF37" s="82" t="str">
        <f t="shared" si="13"/>
        <v>"C:\Program Files (x86)\AstroGrep\AstroGrep.exe" /e /r /s /spath="%USERPROFILE%\AppData\Local\Temp\OnboardLogs" /stypes="app*4020*20170407*"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125-07 --locoid 4020 --swversion DE.1.0.9.0 --startMP 204:442 --initTime 2017-04-07T06:40:08 --startdatetime 2017-04-07T06:45:23 --delay 1 --endMP 204:233310 --enddatetime 2017-04-07T07:23:09 --enforcementcount 0 &gt;&gt;C:\Users\stu\Documents\GitHub\eaglep3-reporting\EC\2017-04-07-refined-times.txt</v>
      </c>
      <c r="AI37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{"issue":{"subject":"","project_id":79,"tracker_id":40,"status_id":1,"priority_id":2,"assigned_to_id":23,"start_date":"2017-04-07","description":"","custom_fields":[{"id":1,"name":"Subdivision","value":"EC"},{"id":4,"name":"Milepost","value":"23.331"},{"id":17,"name":"Train ID","value":"125-07"},{"id":16,"name":"Locomotive ID","value":"4020"},{"id":130,"name":"Impact","value":""},{"id":150,"name":"Time of Event (Mountain Time)","value":"07:23:09"},{"id":151,"name":"Denver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4020 --day 2017-04-07</v>
      </c>
      <c r="AN37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13:23:09"},{"id":29,"name":"Sharepoint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697</v>
      </c>
      <c r="B38" s="7">
        <v>4019</v>
      </c>
      <c r="C38" s="21" t="s">
        <v>216</v>
      </c>
      <c r="D38" s="21" t="s">
        <v>421</v>
      </c>
      <c r="E38" s="13">
        <v>42832.312789351854</v>
      </c>
      <c r="F38" s="13">
        <v>42832.320324074077</v>
      </c>
      <c r="G38" s="7">
        <v>1</v>
      </c>
      <c r="H38" s="21" t="s">
        <v>198</v>
      </c>
      <c r="I38" s="13">
        <v>42832.348553240743</v>
      </c>
      <c r="J38" s="7">
        <v>0</v>
      </c>
      <c r="K38" s="97" t="str">
        <f t="shared" si="0"/>
        <v>4019/4020</v>
      </c>
      <c r="L38" s="21" t="str">
        <f>VLOOKUP(A38,'Trips&amp;Operators'!$C$1:$G$99999,5,FALSE)</f>
        <v>FORTUNATO FRANK</v>
      </c>
      <c r="M38" s="6">
        <f t="shared" si="1"/>
        <v>2.8229166666278616E-2</v>
      </c>
      <c r="N38" s="7">
        <f t="shared" si="2"/>
        <v>40.649999999441206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-04-07T06:30:25-0600',mode:absolute,to:'2017-04-07T09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8" s="183" t="str">
        <f t="shared" si="6"/>
        <v>N</v>
      </c>
      <c r="X38" s="183">
        <f t="shared" si="24"/>
        <v>1</v>
      </c>
      <c r="Y38" s="62">
        <f t="shared" si="8"/>
        <v>23.2989</v>
      </c>
      <c r="Z38" s="62">
        <f t="shared" si="9"/>
        <v>1.52E-2</v>
      </c>
      <c r="AA38" s="62">
        <f t="shared" si="10"/>
        <v>23.2837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0126-07</v>
      </c>
      <c r="AE38" s="85" t="str">
        <f t="shared" si="12"/>
        <v>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 &amp; aws s3 cp s3://rtdc.mdm.uploadarchive.raw/RTDC4019/ "%USERPROFILE%\AppData\Local\Temp\OnboardLogs"\RTDC4019\2017-04-08 --exclude "*" --recursive --include "*20170408*" &amp; "%USERPROFILE%\Documents\GitHub\mrs-test-scripts\Headless Mode &amp; Sideloading\WalkAndUnGZ.bat" "%USERPROFILE%\AppData\Local\Temp\OnboardLogs"\RTDC4019\2017-04-08</v>
      </c>
      <c r="AF38" s="82" t="str">
        <f t="shared" si="13"/>
        <v>"C:\Program Files (x86)\AstroGrep\AstroGrep.exe" /e /r /s /spath="%USERPROFILE%\AppData\Local\Temp\OnboardLogs" /stypes="app*4019*20170407*"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126-07 --locoid 4019 --swversion DE.1.0.9.0 --startMP 204:232989 --initTime 2017-04-07T07:30:25 --startdatetime 2017-04-07T07:41:16 --delay 1 --endMP 204:152 --enddatetime 2017-04-07T08:21:55 --enforcementcount 0 &gt;&gt;C:\Users\stu\Documents\GitHub\eaglep3-reporting\EC\2017-04-07-refined-times.txt</v>
      </c>
      <c r="AI38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{"issue":{"subject":"","project_id":79,"tracker_id":40,"status_id":1,"priority_id":2,"assigned_to_id":23,"start_date":"2017-04-07","description":"","custom_fields":[{"id":1,"name":"Subdivision","value":"EC"},{"id":4,"name":"Milepost","value":"0.0152"},{"id":17,"name":"Train ID","value":"126-07"},{"id":16,"name":"Locomotive ID","value":"4019"},{"id":130,"name":"Impact","value":""},{"id":150,"name":"Time of Event (Mountain Time)","value":"08:21:55"},{"id":151,"name":"Denver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4019 --day 2017-04-07</v>
      </c>
      <c r="AN38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14:21:55"},{"id":29,"name":"Sharepoint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689</v>
      </c>
      <c r="B39" s="7">
        <v>4022</v>
      </c>
      <c r="C39" s="21" t="s">
        <v>216</v>
      </c>
      <c r="D39" s="21" t="s">
        <v>211</v>
      </c>
      <c r="E39" s="13">
        <v>42832.289050925923</v>
      </c>
      <c r="F39" s="13">
        <v>42832.291828703703</v>
      </c>
      <c r="G39" s="7">
        <v>1</v>
      </c>
      <c r="H39" s="21" t="s">
        <v>583</v>
      </c>
      <c r="I39" s="13">
        <v>42832.317453703705</v>
      </c>
      <c r="J39" s="7">
        <v>0</v>
      </c>
      <c r="K39" s="97" t="str">
        <f t="shared" si="0"/>
        <v>4021/4022</v>
      </c>
      <c r="L39" s="21" t="str">
        <f>VLOOKUP(A39,'Trips&amp;Operators'!$C$1:$G$99999,5,FALSE)</f>
        <v>BADERTSCHER DIANE</v>
      </c>
      <c r="M39" s="6">
        <f t="shared" si="1"/>
        <v>2.5625000002037268E-2</v>
      </c>
      <c r="N39" s="7">
        <f t="shared" si="2"/>
        <v>36.900000002933666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-04-07T05:56:14-0600',mode:absolute,to:'2017-04-07T08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183" t="str">
        <f t="shared" si="6"/>
        <v>N</v>
      </c>
      <c r="X39" s="183">
        <f t="shared" si="24"/>
        <v>1</v>
      </c>
      <c r="Y39" s="62">
        <f t="shared" si="8"/>
        <v>4.5499999999999999E-2</v>
      </c>
      <c r="Z39" s="62">
        <f t="shared" si="9"/>
        <v>23.3293</v>
      </c>
      <c r="AA39" s="62">
        <f t="shared" si="10"/>
        <v>23.283799999999999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0127-07</v>
      </c>
      <c r="AE39" s="85" t="str">
        <f t="shared" si="12"/>
        <v>aws s3 cp s3://rtdc.mdm.uploadarchive.raw/RTDC4022/ "%USERPROFILE%\AppData\Local\Temp\OnboardLogs"\RTDC4022\2017-04-07 --exclude "*" --recursive --include "*20170407*" &amp; "%USERPROFILE%\Documents\GitHub\mrs-test-scripts\Headless Mode &amp; Sideloading\WalkAndUnGZ.bat" "%USERPROFILE%\AppData\Local\Temp\OnboardLogs"\RTDC4022\2017-04-07 &amp; 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</v>
      </c>
      <c r="AF39" s="82" t="str">
        <f t="shared" si="13"/>
        <v>"C:\Program Files (x86)\AstroGrep\AstroGrep.exe" /e /r /s /spath="%USERPROFILE%\AppData\Local\Temp\OnboardLogs" /stypes="app*4022*20170407*"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127-07 --locoid 4022 --swversion DE.1.0.9.0 --startMP 204:455 --initTime 2017-04-07T06:56:14 --startdatetime 2017-04-07T07:00:14 --delay 1 --endMP 204:233293 --enddatetime 2017-04-07T07:37:08 --enforcementcount 0 &gt;&gt;C:\Users\stu\Documents\GitHub\eaglep3-reporting\EC\2017-04-07-refined-times.txt</v>
      </c>
      <c r="AI39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{"issue":{"subject":"","project_id":79,"tracker_id":40,"status_id":1,"priority_id":2,"assigned_to_id":23,"start_date":"2017-04-07","description":"","custom_fields":[{"id":1,"name":"Subdivision","value":"EC"},{"id":4,"name":"Milepost","value":"23.3293"},{"id":17,"name":"Train ID","value":"127-07"},{"id":16,"name":"Locomotive ID","value":"4022"},{"id":130,"name":"Impact","value":""},{"id":150,"name":"Time of Event (Mountain Time)","value":"07:37:08"},{"id":151,"name":"Denver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4022 --day 2017-04-07</v>
      </c>
      <c r="AN39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700</v>
      </c>
      <c r="B40" s="7">
        <v>4021</v>
      </c>
      <c r="C40" s="21" t="s">
        <v>216</v>
      </c>
      <c r="D40" s="21" t="s">
        <v>588</v>
      </c>
      <c r="E40" s="13">
        <v>42832.324525462966</v>
      </c>
      <c r="F40" s="13">
        <v>42832.330729166664</v>
      </c>
      <c r="G40" s="7">
        <v>1</v>
      </c>
      <c r="H40" s="21" t="s">
        <v>381</v>
      </c>
      <c r="I40" s="13">
        <v>42832.359525462962</v>
      </c>
      <c r="J40" s="7">
        <v>0</v>
      </c>
      <c r="K40" s="97" t="str">
        <f t="shared" si="0"/>
        <v>4021/4022</v>
      </c>
      <c r="L40" s="21" t="str">
        <f>VLOOKUP(A40,'Trips&amp;Operators'!$C$1:$G$99999,5,FALSE)</f>
        <v>BADERTSCHER DIANE</v>
      </c>
      <c r="M40" s="6">
        <f t="shared" si="1"/>
        <v>2.8796296297514345E-2</v>
      </c>
      <c r="N40" s="7">
        <f t="shared" si="2"/>
        <v>41.466666668420658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-04-07T06:47:19-0600',mode:absolute,to:'2017-04-07T09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183" t="str">
        <f t="shared" si="6"/>
        <v>N</v>
      </c>
      <c r="X40" s="183">
        <f t="shared" si="24"/>
        <v>1</v>
      </c>
      <c r="Y40" s="62">
        <f t="shared" si="8"/>
        <v>23.296500000000002</v>
      </c>
      <c r="Z40" s="62">
        <f t="shared" si="9"/>
        <v>1.43E-2</v>
      </c>
      <c r="AA40" s="62">
        <f t="shared" si="10"/>
        <v>23.282200000000003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0128-07</v>
      </c>
      <c r="AE40" s="85" t="str">
        <f t="shared" si="12"/>
        <v>aws s3 cp s3://rtdc.mdm.uploadarchive.raw/RTDC4021/ "%USERPROFILE%\AppData\Local\Temp\OnboardLogs"\RTDC4021\2017-04-07 --exclude "*" --recursive --include "*20170407*" &amp; "%USERPROFILE%\Documents\GitHub\mrs-test-scripts\Headless Mode &amp; Sideloading\WalkAndUnGZ.bat" "%USERPROFILE%\AppData\Local\Temp\OnboardLogs"\RTDC4021\2017-04-07 &amp; 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</v>
      </c>
      <c r="AF40" s="82" t="str">
        <f t="shared" si="13"/>
        <v>"C:\Program Files (x86)\AstroGrep\AstroGrep.exe" /e /r /s /spath="%USERPROFILE%\AppData\Local\Temp\OnboardLogs" /stypes="app*4021*20170407*"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128-07 --locoid 4021 --swversion DE.1.0.9.0 --startMP 204:232965 --initTime 2017-04-07T07:47:19 --startdatetime 2017-04-07T07:56:15 --delay 1 --endMP 204:143 --enddatetime 2017-04-07T08:37:43 --enforcementcount 0 &gt;&gt;C:\Users\stu\Documents\GitHub\eaglep3-reporting\EC\2017-04-07-refined-times.txt</v>
      </c>
      <c r="AI40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{"issue":{"subject":"","project_id":79,"tracker_id":40,"status_id":1,"priority_id":2,"assigned_to_id":23,"start_date":"2017-04-07","description":"","custom_fields":[{"id":1,"name":"Subdivision","value":"EC"},{"id":4,"name":"Milepost","value":"0.0143"},{"id":17,"name":"Train ID","value":"128-07"},{"id":16,"name":"Locomotive ID","value":"4021"},{"id":130,"name":"Impact","value":""},{"id":150,"name":"Time of Event (Mountain Time)","value":"08:37:43"},{"id":151,"name":"Denver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4021 --day 2017-04-07</v>
      </c>
      <c r="AN40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14:37:43"},{"id":29,"name":"Sharepoint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694</v>
      </c>
      <c r="B41" s="7">
        <v>4032</v>
      </c>
      <c r="C41" s="21" t="s">
        <v>216</v>
      </c>
      <c r="D41" s="21" t="s">
        <v>437</v>
      </c>
      <c r="E41" s="13">
        <v>42832.298576388886</v>
      </c>
      <c r="F41" s="13">
        <v>42832.302442129629</v>
      </c>
      <c r="G41" s="7">
        <v>1</v>
      </c>
      <c r="H41" s="21" t="s">
        <v>406</v>
      </c>
      <c r="I41" s="13">
        <v>42832.328506944446</v>
      </c>
      <c r="J41" s="7">
        <v>0</v>
      </c>
      <c r="K41" s="97" t="str">
        <f t="shared" si="0"/>
        <v>4031/4032</v>
      </c>
      <c r="L41" s="21" t="str">
        <f>VLOOKUP(A41,'Trips&amp;Operators'!$C$1:$G$99999,5,FALSE)</f>
        <v>MENGES BRAD</v>
      </c>
      <c r="M41" s="6">
        <f t="shared" si="1"/>
        <v>2.6064814817800652E-2</v>
      </c>
      <c r="N41" s="7">
        <f t="shared" si="2"/>
        <v>37.533333337632939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-04-07T06:09:57-0600',mode:absolute,to:'2017-04-07T08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1" s="183" t="str">
        <f t="shared" si="6"/>
        <v>N</v>
      </c>
      <c r="X41" s="183">
        <f t="shared" si="24"/>
        <v>1</v>
      </c>
      <c r="Y41" s="62">
        <f t="shared" si="8"/>
        <v>4.58E-2</v>
      </c>
      <c r="Z41" s="62">
        <f t="shared" si="9"/>
        <v>23.329499999999999</v>
      </c>
      <c r="AA41" s="62">
        <f t="shared" si="10"/>
        <v>23.2837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0129-07</v>
      </c>
      <c r="AE41" s="85" t="str">
        <f t="shared" si="12"/>
        <v>aws s3 cp s3://rtdc.mdm.uploadarchive.raw/RTDC4032/ "%USERPROFILE%\AppData\Local\Temp\OnboardLogs"\RTDC4032\2017-04-07 --exclude "*" --recursive --include "*20170407*" &amp; "%USERPROFILE%\Documents\GitHub\mrs-test-scripts\Headless Mode &amp; Sideloading\WalkAndUnGZ.bat" "%USERPROFILE%\AppData\Local\Temp\OnboardLogs"\RTDC4032\2017-04-07 &amp; aws s3 cp s3://rtdc.mdm.uploadarchive.raw/RTDC4032/ "%USERPROFILE%\AppData\Local\Temp\OnboardLogs"\RTDC4032\2017-04-08 --exclude "*" --recursive --include "*20170408*" &amp; "%USERPROFILE%\Documents\GitHub\mrs-test-scripts\Headless Mode &amp; Sideloading\WalkAndUnGZ.bat" "%USERPROFILE%\AppData\Local\Temp\OnboardLogs"\RTDC4032\2017-04-08</v>
      </c>
      <c r="AF41" s="82" t="str">
        <f t="shared" si="13"/>
        <v>"C:\Program Files (x86)\AstroGrep\AstroGrep.exe" /e /r /s /spath="%USERPROFILE%\AppData\Local\Temp\OnboardLogs" /stypes="app*4032*20170407*"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129-07 --locoid 4032 --swversion DE.1.0.9.0 --startMP 204:458 --initTime 2017-04-07T07:09:57 --startdatetime 2017-04-07T07:15:31 --delay 1 --endMP 204:233295 --enddatetime 2017-04-07T07:53:03 --enforcementcount 0 &gt;&gt;C:\Users\stu\Documents\GitHub\eaglep3-reporting\EC\2017-04-07-refined-times.txt</v>
      </c>
      <c r="AI41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{"issue":{"subject":"","project_id":79,"tracker_id":40,"status_id":1,"priority_id":2,"assigned_to_id":23,"start_date":"2017-04-07","description":"","custom_fields":[{"id":1,"name":"Subdivision","value":"EC"},{"id":4,"name":"Milepost","value":"23.3295"},{"id":17,"name":"Train ID","value":"129-07"},{"id":16,"name":"Locomotive ID","value":"4032"},{"id":130,"name":"Impact","value":""},{"id":150,"name":"Time of Event (Mountain Time)","value":"07:53:03"},{"id":151,"name":"Denver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4032 --day 2017-04-07</v>
      </c>
      <c r="AN41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13:53:03"},{"id":29,"name":"Sharepoint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703</v>
      </c>
      <c r="B42" s="7">
        <v>4031</v>
      </c>
      <c r="C42" s="21" t="s">
        <v>216</v>
      </c>
      <c r="D42" s="21" t="s">
        <v>529</v>
      </c>
      <c r="E42" s="13">
        <v>42832.334421296298</v>
      </c>
      <c r="F42" s="13">
        <v>42832.341226851851</v>
      </c>
      <c r="G42" s="7">
        <v>1</v>
      </c>
      <c r="H42" s="21" t="s">
        <v>212</v>
      </c>
      <c r="I42" s="13">
        <v>42832.36891203704</v>
      </c>
      <c r="J42" s="7">
        <v>0</v>
      </c>
      <c r="K42" s="97" t="str">
        <f t="shared" si="0"/>
        <v>4031/4032</v>
      </c>
      <c r="L42" s="21" t="str">
        <f>VLOOKUP(A42,'Trips&amp;Operators'!$C$1:$G$99999,5,FALSE)</f>
        <v>MENGES BRAD</v>
      </c>
      <c r="M42" s="6">
        <f t="shared" si="1"/>
        <v>2.768518518860219E-2</v>
      </c>
      <c r="N42" s="7">
        <f t="shared" si="2"/>
        <v>39.866666671587154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-04-07T07:01:34-0600',mode:absolute,to:'2017-04-07T09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2" s="183" t="str">
        <f t="shared" si="6"/>
        <v>N</v>
      </c>
      <c r="X42" s="183">
        <f t="shared" si="24"/>
        <v>1</v>
      </c>
      <c r="Y42" s="62">
        <f t="shared" si="8"/>
        <v>23.298300000000001</v>
      </c>
      <c r="Z42" s="62">
        <f t="shared" si="9"/>
        <v>1.5599999999999999E-2</v>
      </c>
      <c r="AA42" s="62">
        <f t="shared" si="10"/>
        <v>23.282700000000002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0130-07</v>
      </c>
      <c r="AE42" s="85" t="str">
        <f t="shared" si="12"/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AF42" s="82" t="str">
        <f t="shared" si="13"/>
        <v>"C:\Program Files (x86)\AstroGrep\AstroGrep.exe" /e /r /s /spath="%USERPROFILE%\AppData\Local\Temp\OnboardLogs" /stypes="app*4031*20170407*"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130-07 --locoid 4031 --swversion DE.1.0.9.0 --startMP 204:232983 --initTime 2017-04-07T08:01:34 --startdatetime 2017-04-07T08:11:22 --delay 1 --endMP 204:156 --enddatetime 2017-04-07T08:51:14 --enforcementcount 0 &gt;&gt;C:\Users\stu\Documents\GitHub\eaglep3-reporting\EC\2017-04-07-refined-times.txt</v>
      </c>
      <c r="AI42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{"issue":{"subject":"","project_id":79,"tracker_id":40,"status_id":1,"priority_id":2,"assigned_to_id":23,"start_date":"2017-04-07","description":"","custom_fields":[{"id":1,"name":"Subdivision","value":"EC"},{"id":4,"name":"Milepost","value":"0.0156"},{"id":17,"name":"Train ID","value":"130-07"},{"id":16,"name":"Locomotive ID","value":"4031"},{"id":130,"name":"Impact","value":""},{"id":150,"name":"Time of Event (Mountain Time)","value":"08:51:14"},{"id":151,"name":"Denver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4031 --day 2017-04-07</v>
      </c>
      <c r="AN42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14:51:14"},{"id":29,"name":"Sharepoint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695</v>
      </c>
      <c r="B43" s="7">
        <v>4014</v>
      </c>
      <c r="C43" s="21" t="s">
        <v>216</v>
      </c>
      <c r="D43" s="21" t="s">
        <v>207</v>
      </c>
      <c r="E43" s="13">
        <v>42832.308032407411</v>
      </c>
      <c r="F43" s="13">
        <v>42832.312719907408</v>
      </c>
      <c r="G43" s="7">
        <v>1</v>
      </c>
      <c r="H43" s="21" t="s">
        <v>868</v>
      </c>
      <c r="I43" s="13">
        <v>42832.338402777779</v>
      </c>
      <c r="J43" s="7">
        <v>0</v>
      </c>
      <c r="K43" s="97" t="str">
        <f t="shared" si="0"/>
        <v>4013/4014</v>
      </c>
      <c r="L43" s="21" t="str">
        <f>VLOOKUP(A43,'Trips&amp;Operators'!$C$1:$G$99999,5,FALSE)</f>
        <v>DAVIS WENDY</v>
      </c>
      <c r="M43" s="6">
        <f t="shared" si="1"/>
        <v>2.5682870371383615E-2</v>
      </c>
      <c r="N43" s="7">
        <f t="shared" si="2"/>
        <v>36.983333334792405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-04-07T06:23:34-0600',mode:absolute,to:'2017-04-07T09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3" s="183" t="str">
        <f t="shared" si="6"/>
        <v>N</v>
      </c>
      <c r="X43" s="183">
        <f t="shared" si="24"/>
        <v>1</v>
      </c>
      <c r="Y43" s="62">
        <f t="shared" si="8"/>
        <v>4.5999999999999999E-2</v>
      </c>
      <c r="Z43" s="62">
        <f t="shared" si="9"/>
        <v>23.331600000000002</v>
      </c>
      <c r="AA43" s="62">
        <f t="shared" si="10"/>
        <v>23.285600000000002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0131-07</v>
      </c>
      <c r="AE43" s="85" t="str">
        <f t="shared" si="12"/>
        <v>aws s3 cp s3://rtdc.mdm.uploadarchive.raw/RTDC4014/ "%USERPROFILE%\AppData\Local\Temp\OnboardLogs"\RTDC4014\2017-04-07 --exclude "*" --recursive --include "*20170407*" &amp; "%USERPROFILE%\Documents\GitHub\mrs-test-scripts\Headless Mode &amp; Sideloading\WalkAndUnGZ.bat" "%USERPROFILE%\AppData\Local\Temp\OnboardLogs"\RTDC4014\2017-04-07 &amp; 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</v>
      </c>
      <c r="AF43" s="82" t="str">
        <f t="shared" si="13"/>
        <v>"C:\Program Files (x86)\AstroGrep\AstroGrep.exe" /e /r /s /spath="%USERPROFILE%\AppData\Local\Temp\OnboardLogs" /stypes="app*4014*20170407*"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131-07 --locoid 4014 --swversion DE.1.0.9.0 --startMP 204:460 --initTime 2017-04-07T07:23:34 --startdatetime 2017-04-07T07:30:19 --delay 1 --endMP 204:233316 --enddatetime 2017-04-07T08:07:18 --enforcementcount 0 &gt;&gt;C:\Users\stu\Documents\GitHub\eaglep3-reporting\EC\2017-04-07-refined-times.txt</v>
      </c>
      <c r="AI43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{"issue":{"subject":"","project_id":79,"tracker_id":40,"status_id":1,"priority_id":2,"assigned_to_id":23,"start_date":"2017-04-07","description":"","custom_fields":[{"id":1,"name":"Subdivision","value":"EC"},{"id":4,"name":"Milepost","value":"23.3316"},{"id":17,"name":"Train ID","value":"131-07"},{"id":16,"name":"Locomotive ID","value":"4014"},{"id":130,"name":"Impact","value":""},{"id":150,"name":"Time of Event (Mountain Time)","value":"08:07:18"},{"id":151,"name":"Denver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4014 --day 2017-04-07</v>
      </c>
      <c r="AN43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14:07:18"},{"id":29,"name":"Sharepoint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706</v>
      </c>
      <c r="B44" s="7">
        <v>4013</v>
      </c>
      <c r="C44" s="21" t="s">
        <v>216</v>
      </c>
      <c r="D44" s="21" t="s">
        <v>596</v>
      </c>
      <c r="E44" s="13">
        <v>42832.347870370373</v>
      </c>
      <c r="F44" s="13">
        <v>42832.3515625</v>
      </c>
      <c r="G44" s="7">
        <v>1</v>
      </c>
      <c r="H44" s="21" t="s">
        <v>198</v>
      </c>
      <c r="I44" s="13">
        <v>42832.379305555558</v>
      </c>
      <c r="J44" s="7">
        <v>0</v>
      </c>
      <c r="K44" s="97" t="str">
        <f t="shared" si="0"/>
        <v>4013/4014</v>
      </c>
      <c r="L44" s="21" t="str">
        <f>VLOOKUP(A44,'Trips&amp;Operators'!$C$1:$G$99999,5,FALSE)</f>
        <v>DAVIS WENDY</v>
      </c>
      <c r="M44" s="6">
        <f t="shared" si="1"/>
        <v>2.7743055557948537E-2</v>
      </c>
      <c r="N44" s="7">
        <f t="shared" si="2"/>
        <v>39.950000003445894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-04-07T07:20:56-0600',mode:absolute,to:'2017-04-07T10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4" s="183" t="str">
        <f t="shared" si="6"/>
        <v>N</v>
      </c>
      <c r="X44" s="183">
        <f t="shared" si="24"/>
        <v>1</v>
      </c>
      <c r="Y44" s="62">
        <f t="shared" si="8"/>
        <v>23.299600000000002</v>
      </c>
      <c r="Z44" s="62">
        <f t="shared" si="9"/>
        <v>1.52E-2</v>
      </c>
      <c r="AA44" s="62">
        <f t="shared" si="10"/>
        <v>23.284400000000002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0132-07</v>
      </c>
      <c r="AE44" s="85" t="str">
        <f t="shared" si="12"/>
        <v>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 &amp; 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</v>
      </c>
      <c r="AF44" s="82" t="str">
        <f t="shared" si="13"/>
        <v>"C:\Program Files (x86)\AstroGrep\AstroGrep.exe" /e /r /s /spath="%USERPROFILE%\AppData\Local\Temp\OnboardLogs" /stypes="app*4013*20170407*"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132-07 --locoid 4013 --swversion DE.1.0.9.0 --startMP 204:232996 --initTime 2017-04-07T08:20:56 --startdatetime 2017-04-07T08:26:15 --delay 1 --endMP 204:152 --enddatetime 2017-04-07T09:06:12 --enforcementcount 0 &gt;&gt;C:\Users\stu\Documents\GitHub\eaglep3-reporting\EC\2017-04-07-refined-times.txt</v>
      </c>
      <c r="AI44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{"issue":{"subject":"","project_id":79,"tracker_id":40,"status_id":1,"priority_id":2,"assigned_to_id":23,"start_date":"2017-04-07","description":"","custom_fields":[{"id":1,"name":"Subdivision","value":"EC"},{"id":4,"name":"Milepost","value":"0.0152"},{"id":17,"name":"Train ID","value":"132-07"},{"id":16,"name":"Locomotive ID","value":"4013"},{"id":130,"name":"Impact","value":""},{"id":150,"name":"Time of Event (Mountain Time)","value":"09:06:12"},{"id":151,"name":"Denver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4013 --day 2017-04-07</v>
      </c>
      <c r="AN44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15:06:12"},{"id":29,"name":"Sharepoint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699</v>
      </c>
      <c r="B45" s="7">
        <v>4026</v>
      </c>
      <c r="C45" s="21" t="s">
        <v>216</v>
      </c>
      <c r="D45" s="21" t="s">
        <v>869</v>
      </c>
      <c r="E45" s="13">
        <v>42832.319016203706</v>
      </c>
      <c r="F45" s="13">
        <v>42832.323078703703</v>
      </c>
      <c r="G45" s="7">
        <v>1</v>
      </c>
      <c r="H45" s="21" t="s">
        <v>587</v>
      </c>
      <c r="I45" s="13">
        <v>42832.348425925928</v>
      </c>
      <c r="J45" s="7">
        <v>0</v>
      </c>
      <c r="K45" s="97" t="str">
        <f t="shared" si="0"/>
        <v>4025/4026</v>
      </c>
      <c r="L45" s="21" t="str">
        <f>VLOOKUP(A45,'Trips&amp;Operators'!$C$1:$G$99999,5,FALSE)</f>
        <v>ROBINSON KADDIBA</v>
      </c>
      <c r="M45" s="6">
        <f t="shared" si="1"/>
        <v>2.5347222224809229E-2</v>
      </c>
      <c r="N45" s="7">
        <f t="shared" ref="N45:N76" si="25">24*60*SUM($M45:$M45)</f>
        <v>36.50000000372529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-04-07T06:39:23-0600',mode:absolute,to:'2017-04-07T09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5" s="183" t="str">
        <f t="shared" si="6"/>
        <v>N</v>
      </c>
      <c r="X45" s="183">
        <f t="shared" si="24"/>
        <v>1</v>
      </c>
      <c r="Y45" s="62">
        <f t="shared" ref="Y45:Y76" si="26">RIGHT(D45,LEN(D45)-4)/10000</f>
        <v>4.3799999999999999E-2</v>
      </c>
      <c r="Z45" s="62">
        <f t="shared" si="9"/>
        <v>23.333200000000001</v>
      </c>
      <c r="AA45" s="62">
        <f t="shared" si="10"/>
        <v>23.289400000000001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0133-07</v>
      </c>
      <c r="AE45" s="85" t="str">
        <f t="shared" si="12"/>
        <v>aws s3 cp s3://rtdc.mdm.uploadarchive.raw/RTDC4026/ "%USERPROFILE%\AppData\Local\Temp\OnboardLogs"\RTDC4026\2017-04-07 --exclude "*" --recursive --include "*20170407*" &amp; "%USERPROFILE%\Documents\GitHub\mrs-test-scripts\Headless Mode &amp; Sideloading\WalkAndUnGZ.bat" "%USERPROFILE%\AppData\Local\Temp\OnboardLogs"\RTDC4026\2017-04-07 &amp; aws s3 cp s3://rtdc.mdm.uploadarchive.raw/RTDC4026/ "%USERPROFILE%\AppData\Local\Temp\OnboardLogs"\RTDC4026\2017-04-08 --exclude "*" --recursive --include "*20170408*" &amp; "%USERPROFILE%\Documents\GitHub\mrs-test-scripts\Headless Mode &amp; Sideloading\WalkAndUnGZ.bat" "%USERPROFILE%\AppData\Local\Temp\OnboardLogs"\RTDC4026\2017-04-08</v>
      </c>
      <c r="AF45" s="82" t="str">
        <f t="shared" si="13"/>
        <v>"C:\Program Files (x86)\AstroGrep\AstroGrep.exe" /e /r /s /spath="%USERPROFILE%\AppData\Local\Temp\OnboardLogs" /stypes="app*4026*20170407*"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9"/>
        <v>"%USERPROFILE%\Documents\GitHub\eaglep3\Utilities\RefineRTDCRunTimes.py" --tripid 133-07 --locoid 4026 --swversion DE.1.0.9.0 --startMP 204:438 --initTime 2017-04-07T07:39:23 --startdatetime 2017-04-07T07:45:14 --delay 1 --endMP 204:233332 --enddatetime 2017-04-07T08:21:44 --enforcementcount 0 &gt;&gt;C:\Users\stu\Documents\GitHub\eaglep3-reporting\EC\2017-04-07-refined-times.txt</v>
      </c>
      <c r="AI45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{"issue":{"subject":"","project_id":79,"tracker_id":40,"status_id":1,"priority_id":2,"assigned_to_id":23,"start_date":"2017-04-07","description":"","custom_fields":[{"id":1,"name":"Subdivision","value":"EC"},{"id":4,"name":"Milepost","value":"23.3332"},{"id":17,"name":"Train ID","value":"133-07"},{"id":16,"name":"Locomotive ID","value":"4026"},{"id":130,"name":"Impact","value":""},{"id":150,"name":"Time of Event (Mountain Time)","value":"08:21:44"},{"id":151,"name":"Denver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4026 --day 2017-04-07</v>
      </c>
      <c r="AN45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14:21:44"},{"id":29,"name":"Sharepoint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710</v>
      </c>
      <c r="B46" s="7">
        <v>4025</v>
      </c>
      <c r="C46" s="21" t="s">
        <v>216</v>
      </c>
      <c r="D46" s="21" t="s">
        <v>523</v>
      </c>
      <c r="E46" s="13">
        <v>42832.359398148146</v>
      </c>
      <c r="F46" s="13">
        <v>42832.361967592595</v>
      </c>
      <c r="G46" s="7">
        <v>1</v>
      </c>
      <c r="H46" s="21" t="s">
        <v>198</v>
      </c>
      <c r="I46" s="13">
        <v>42832.389074074075</v>
      </c>
      <c r="J46" s="7">
        <v>0</v>
      </c>
      <c r="K46" s="97" t="str">
        <f t="shared" si="0"/>
        <v>4025/4026</v>
      </c>
      <c r="L46" s="21" t="str">
        <f>VLOOKUP(A46,'Trips&amp;Operators'!$C$1:$G$99999,5,FALSE)</f>
        <v>ROBINSON KADDIBA</v>
      </c>
      <c r="M46" s="6">
        <f t="shared" si="1"/>
        <v>2.7106481480586808E-2</v>
      </c>
      <c r="N46" s="7">
        <f t="shared" si="25"/>
        <v>39.033333332045004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-04-07T07:37:32-0600',mode:absolute,to:'2017-04-07T10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6" s="183" t="str">
        <f t="shared" si="6"/>
        <v>N</v>
      </c>
      <c r="X46" s="183">
        <f t="shared" si="24"/>
        <v>1</v>
      </c>
      <c r="Y46" s="62">
        <f t="shared" si="26"/>
        <v>23.301500000000001</v>
      </c>
      <c r="Z46" s="62">
        <f t="shared" si="9"/>
        <v>1.52E-2</v>
      </c>
      <c r="AA46" s="62">
        <f t="shared" si="10"/>
        <v>23.286300000000001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0134-07</v>
      </c>
      <c r="AE46" s="85" t="str">
        <f t="shared" si="12"/>
        <v>aws s3 cp s3://rtdc.mdm.uploadarchive.raw/RTDC4025/ "%USERPROFILE%\AppData\Local\Temp\OnboardLogs"\RTDC4025\2017-04-07 --exclude "*" --recursive --include "*20170407*" &amp; "%USERPROFILE%\Documents\GitHub\mrs-test-scripts\Headless Mode &amp; Sideloading\WalkAndUnGZ.bat" "%USERPROFILE%\AppData\Local\Temp\OnboardLogs"\RTDC4025\2017-04-07 &amp; aws s3 cp s3://rtdc.mdm.uploadarchive.raw/RTDC4025/ "%USERPROFILE%\AppData\Local\Temp\OnboardLogs"\RTDC4025\2017-04-08 --exclude "*" --recursive --include "*20170408*" &amp; "%USERPROFILE%\Documents\GitHub\mrs-test-scripts\Headless Mode &amp; Sideloading\WalkAndUnGZ.bat" "%USERPROFILE%\AppData\Local\Temp\OnboardLogs"\RTDC4025\2017-04-08</v>
      </c>
      <c r="AF46" s="82" t="str">
        <f t="shared" si="13"/>
        <v>"C:\Program Files (x86)\AstroGrep\AstroGrep.exe" /e /r /s /spath="%USERPROFILE%\AppData\Local\Temp\OnboardLogs" /stypes="app*4025*20170407*"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9"/>
        <v>"%USERPROFILE%\Documents\GitHub\eaglep3\Utilities\RefineRTDCRunTimes.py" --tripid 134-07 --locoid 4025 --swversion DE.1.0.9.0 --startMP 204:233015 --initTime 2017-04-07T08:37:32 --startdatetime 2017-04-07T08:41:14 --delay 1 --endMP 204:152 --enddatetime 2017-04-07T09:20:16 --enforcementcount 0 &gt;&gt;C:\Users\stu\Documents\GitHub\eaglep3-reporting\EC\2017-04-07-refined-times.txt</v>
      </c>
      <c r="AI46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{"issue":{"subject":"","project_id":79,"tracker_id":40,"status_id":1,"priority_id":2,"assigned_to_id":23,"start_date":"2017-04-07","description":"","custom_fields":[{"id":1,"name":"Subdivision","value":"EC"},{"id":4,"name":"Milepost","value":"0.0152"},{"id":17,"name":"Train ID","value":"134-07"},{"id":16,"name":"Locomotive ID","value":"4025"},{"id":130,"name":"Impact","value":""},{"id":150,"name":"Time of Event (Mountain Time)","value":"09:20:16"},{"id":151,"name":"Denver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4025 --day 2017-04-07</v>
      </c>
      <c r="AN46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15:20:16"},{"id":29,"name":"Sharepoint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702</v>
      </c>
      <c r="B47" s="7">
        <v>4010</v>
      </c>
      <c r="C47" s="21" t="s">
        <v>216</v>
      </c>
      <c r="D47" s="21" t="s">
        <v>396</v>
      </c>
      <c r="E47" s="13">
        <v>42832.331956018519</v>
      </c>
      <c r="F47" s="13">
        <v>42832.333495370367</v>
      </c>
      <c r="G47" s="7">
        <v>1</v>
      </c>
      <c r="H47" s="21" t="s">
        <v>429</v>
      </c>
      <c r="I47" s="13">
        <v>42832.358796296299</v>
      </c>
      <c r="J47" s="7">
        <v>0</v>
      </c>
      <c r="K47" s="97" t="str">
        <f t="shared" si="0"/>
        <v>4009/4010</v>
      </c>
      <c r="L47" s="21" t="str">
        <f>VLOOKUP(A47,'Trips&amp;Operators'!$C$1:$G$99999,5,FALSE)</f>
        <v>STARKS ANGELINA</v>
      </c>
      <c r="M47" s="6">
        <f t="shared" si="1"/>
        <v>2.5300925932242535E-2</v>
      </c>
      <c r="N47" s="7">
        <f t="shared" si="25"/>
        <v>36.43333334242925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-04-07T06:58:01-0600',mode:absolute,to:'2017-04-07T09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7" s="183" t="str">
        <f t="shared" si="6"/>
        <v>N</v>
      </c>
      <c r="X47" s="183">
        <f t="shared" si="24"/>
        <v>1</v>
      </c>
      <c r="Y47" s="62">
        <f t="shared" si="26"/>
        <v>4.4900000000000002E-2</v>
      </c>
      <c r="Z47" s="62">
        <f t="shared" si="9"/>
        <v>23.329699999999999</v>
      </c>
      <c r="AA47" s="62">
        <f t="shared" si="10"/>
        <v>23.284800000000001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0135-07</v>
      </c>
      <c r="AE47" s="85" t="str">
        <f t="shared" si="12"/>
        <v>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 &amp; 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</v>
      </c>
      <c r="AF47" s="82" t="str">
        <f t="shared" si="13"/>
        <v>"C:\Program Files (x86)\AstroGrep\AstroGrep.exe" /e /r /s /spath="%USERPROFILE%\AppData\Local\Temp\OnboardLogs" /stypes="app*4010*20170407*"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9"/>
        <v>"%USERPROFILE%\Documents\GitHub\eaglep3\Utilities\RefineRTDCRunTimes.py" --tripid 135-07 --locoid 4010 --swversion DE.1.0.9.0 --startMP 204:449 --initTime 2017-04-07T07:58:01 --startdatetime 2017-04-07T08:00:14 --delay 1 --endMP 204:233297 --enddatetime 2017-04-07T08:36:40 --enforcementcount 0 &gt;&gt;C:\Users\stu\Documents\GitHub\eaglep3-reporting\EC\2017-04-07-refined-times.txt</v>
      </c>
      <c r="AI47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{"issue":{"subject":"","project_id":79,"tracker_id":40,"status_id":1,"priority_id":2,"assigned_to_id":23,"start_date":"2017-04-07","description":"","custom_fields":[{"id":1,"name":"Subdivision","value":"EC"},{"id":4,"name":"Milepost","value":"23.3297"},{"id":17,"name":"Train ID","value":"135-07"},{"id":16,"name":"Locomotive ID","value":"4010"},{"id":130,"name":"Impact","value":""},{"id":150,"name":"Time of Event (Mountain Time)","value":"08:36:40"},{"id":151,"name":"Denver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4010 --day 2017-04-07</v>
      </c>
      <c r="AN47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14:36:40"},{"id":29,"name":"Sharepoint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712</v>
      </c>
      <c r="B48" s="7">
        <v>4009</v>
      </c>
      <c r="C48" s="21" t="s">
        <v>216</v>
      </c>
      <c r="D48" s="21" t="s">
        <v>460</v>
      </c>
      <c r="E48" s="13">
        <v>42832.36451388889</v>
      </c>
      <c r="F48" s="13">
        <v>42832.372384259259</v>
      </c>
      <c r="G48" s="7">
        <v>2</v>
      </c>
      <c r="H48" s="21" t="s">
        <v>409</v>
      </c>
      <c r="I48" s="13">
        <v>42832.399930555555</v>
      </c>
      <c r="J48" s="7">
        <v>0</v>
      </c>
      <c r="K48" s="97" t="str">
        <f t="shared" si="0"/>
        <v>4009/4010</v>
      </c>
      <c r="L48" s="21" t="str">
        <f>VLOOKUP(A48,'Trips&amp;Operators'!$C$1:$G$99999,5,FALSE)</f>
        <v>STARKS ANGELINA</v>
      </c>
      <c r="M48" s="6">
        <f t="shared" si="1"/>
        <v>2.7546296296350192E-2</v>
      </c>
      <c r="N48" s="7">
        <f t="shared" si="25"/>
        <v>39.666666666744277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-04-07T07:44:54-0600',mode:absolute,to:'2017-04-07T10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8" s="183" t="str">
        <f t="shared" si="6"/>
        <v>N</v>
      </c>
      <c r="X48" s="183">
        <f t="shared" si="24"/>
        <v>1</v>
      </c>
      <c r="Y48" s="62">
        <f t="shared" si="26"/>
        <v>23.297499999999999</v>
      </c>
      <c r="Z48" s="62">
        <f t="shared" si="9"/>
        <v>1.41E-2</v>
      </c>
      <c r="AA48" s="62">
        <f t="shared" si="10"/>
        <v>23.2834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0136-07</v>
      </c>
      <c r="AE48" s="85" t="str">
        <f t="shared" si="12"/>
        <v>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 &amp; aws s3 cp s3://rtdc.mdm.uploadarchive.raw/RTDC4009/ "%USERPROFILE%\AppData\Local\Temp\OnboardLogs"\RTDC4009\2017-04-08 --exclude "*" --recursive --include "*20170408*" &amp; "%USERPROFILE%\Documents\GitHub\mrs-test-scripts\Headless Mode &amp; Sideloading\WalkAndUnGZ.bat" "%USERPROFILE%\AppData\Local\Temp\OnboardLogs"\RTDC4009\2017-04-08</v>
      </c>
      <c r="AF48" s="82" t="str">
        <f t="shared" si="13"/>
        <v>"C:\Program Files (x86)\AstroGrep\AstroGrep.exe" /e /r /s /spath="%USERPROFILE%\AppData\Local\Temp\OnboardLogs" /stypes="app*4009*20170407*"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9"/>
        <v>"%USERPROFILE%\Documents\GitHub\eaglep3\Utilities\RefineRTDCRunTimes.py" --tripid 136-07 --locoid 4009 --swversion DE.1.0.9.0 --startMP 204:232975 --initTime 2017-04-07T08:44:54 --startdatetime 2017-04-07T08:56:14 --delay 2 --endMP 204:141 --enddatetime 2017-04-07T09:35:54 --enforcementcount 0 &gt;&gt;C:\Users\stu\Documents\GitHub\eaglep3-reporting\EC\2017-04-07-refined-times.txt</v>
      </c>
      <c r="AI48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{"issue":{"subject":"","project_id":79,"tracker_id":40,"status_id":1,"priority_id":2,"assigned_to_id":23,"start_date":"2017-04-07","description":"","custom_fields":[{"id":1,"name":"Subdivision","value":"EC"},{"id":4,"name":"Milepost","value":"0.0141"},{"id":17,"name":"Train ID","value":"136-07"},{"id":16,"name":"Locomotive ID","value":"4009"},{"id":130,"name":"Impact","value":""},{"id":150,"name":"Time of Event (Mountain Time)","value":"09:35:54"},{"id":151,"name":"Denver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4009 --day 2017-04-07</v>
      </c>
      <c r="AN48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15:35:54"},{"id":29,"name":"Sharepoint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705</v>
      </c>
      <c r="B49" s="7">
        <v>4016</v>
      </c>
      <c r="C49" s="21" t="s">
        <v>216</v>
      </c>
      <c r="D49" s="21" t="s">
        <v>521</v>
      </c>
      <c r="E49" s="13">
        <v>42832.338900462964</v>
      </c>
      <c r="F49" s="13">
        <v>42832.344074074077</v>
      </c>
      <c r="G49" s="7">
        <v>1</v>
      </c>
      <c r="H49" s="21" t="s">
        <v>535</v>
      </c>
      <c r="I49" s="13">
        <v>42832.36886574074</v>
      </c>
      <c r="J49" s="7">
        <v>0</v>
      </c>
      <c r="K49" s="97" t="str">
        <f t="shared" si="0"/>
        <v>4015/4016</v>
      </c>
      <c r="L49" s="21" t="str">
        <f>VLOOKUP(A49,'Trips&amp;Operators'!$C$1:$G$99999,5,FALSE)</f>
        <v>LOZA FIDEL</v>
      </c>
      <c r="M49" s="6">
        <f t="shared" si="1"/>
        <v>2.4791666663077194E-2</v>
      </c>
      <c r="N49" s="7">
        <f t="shared" si="25"/>
        <v>35.69999999483116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-04-07T07:08:01-0600',mode:absolute,to:'2017-04-07T09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183" t="str">
        <f t="shared" si="6"/>
        <v>N</v>
      </c>
      <c r="X49" s="183">
        <f t="shared" si="24"/>
        <v>1</v>
      </c>
      <c r="Y49" s="62">
        <f t="shared" si="26"/>
        <v>4.6899999999999997E-2</v>
      </c>
      <c r="Z49" s="62">
        <f t="shared" si="9"/>
        <v>23.327000000000002</v>
      </c>
      <c r="AA49" s="62">
        <f t="shared" si="10"/>
        <v>23.280100000000001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0137-07</v>
      </c>
      <c r="AE49" s="85" t="str">
        <f t="shared" si="12"/>
        <v>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 &amp; aws s3 cp s3://rtdc.mdm.uploadarchive.raw/RTDC4016/ "%USERPROFILE%\AppData\Local\Temp\OnboardLogs"\RTDC4016\2017-04-08 --exclude "*" --recursive --include "*20170408*" &amp; "%USERPROFILE%\Documents\GitHub\mrs-test-scripts\Headless Mode &amp; Sideloading\WalkAndUnGZ.bat" "%USERPROFILE%\AppData\Local\Temp\OnboardLogs"\RTDC4016\2017-04-08</v>
      </c>
      <c r="AF49" s="82" t="str">
        <f t="shared" si="13"/>
        <v>"C:\Program Files (x86)\AstroGrep\AstroGrep.exe" /e /r /s /spath="%USERPROFILE%\AppData\Local\Temp\OnboardLogs" /stypes="app*4016*20170407*"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9"/>
        <v>"%USERPROFILE%\Documents\GitHub\eaglep3\Utilities\RefineRTDCRunTimes.py" --tripid 137-07 --locoid 4016 --swversion DE.1.0.9.0 --startMP 204:469 --initTime 2017-04-07T08:08:01 --startdatetime 2017-04-07T08:15:28 --delay 1 --endMP 204:233270 --enddatetime 2017-04-07T08:51:10 --enforcementcount 0 &gt;&gt;C:\Users\stu\Documents\GitHub\eaglep3-reporting\EC\2017-04-07-refined-times.txt</v>
      </c>
      <c r="AI49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{"issue":{"subject":"","project_id":79,"tracker_id":40,"status_id":1,"priority_id":2,"assigned_to_id":23,"start_date":"2017-04-07","description":"","custom_fields":[{"id":1,"name":"Subdivision","value":"EC"},{"id":4,"name":"Milepost","value":"23.327"},{"id":17,"name":"Train ID","value":"137-07"},{"id":16,"name":"Locomotive ID","value":"4016"},{"id":130,"name":"Impact","value":""},{"id":150,"name":"Time of Event (Mountain Time)","value":"08:51:10"},{"id":151,"name":"Denver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4016 --day 2017-04-07</v>
      </c>
      <c r="AN49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14:51:10"},{"id":29,"name":"Sharepoint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713</v>
      </c>
      <c r="B50" s="7">
        <v>4015</v>
      </c>
      <c r="C50" s="21" t="s">
        <v>216</v>
      </c>
      <c r="D50" s="21" t="s">
        <v>585</v>
      </c>
      <c r="E50" s="13">
        <v>42832.370752314811</v>
      </c>
      <c r="F50" s="13">
        <v>42832.383263888885</v>
      </c>
      <c r="G50" s="7">
        <v>1</v>
      </c>
      <c r="H50" s="21" t="s">
        <v>400</v>
      </c>
      <c r="I50" s="13">
        <v>42832.410162037035</v>
      </c>
      <c r="J50" s="7">
        <v>0</v>
      </c>
      <c r="K50" s="97" t="str">
        <f t="shared" si="0"/>
        <v>4015/4016</v>
      </c>
      <c r="L50" s="21" t="str">
        <f>VLOOKUP(A50,'Trips&amp;Operators'!$C$1:$G$99999,5,FALSE)</f>
        <v>LOZA FIDEL</v>
      </c>
      <c r="M50" s="6">
        <f t="shared" si="1"/>
        <v>2.6898148149484769E-2</v>
      </c>
      <c r="N50" s="7">
        <f t="shared" si="25"/>
        <v>38.733333335258067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-04-07T07:53:53-0600',mode:absolute,to:'2017-04-07T10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0" s="183" t="str">
        <f t="shared" si="6"/>
        <v>N</v>
      </c>
      <c r="X50" s="183">
        <f t="shared" si="24"/>
        <v>1</v>
      </c>
      <c r="Y50" s="62">
        <f t="shared" si="26"/>
        <v>23.298100000000002</v>
      </c>
      <c r="Z50" s="62">
        <f t="shared" si="9"/>
        <v>1.61E-2</v>
      </c>
      <c r="AA50" s="62">
        <f t="shared" si="10"/>
        <v>23.282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0138-07</v>
      </c>
      <c r="AE50" s="85" t="str">
        <f t="shared" si="12"/>
        <v>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 &amp; aws s3 cp s3://rtdc.mdm.uploadarchive.raw/RTDC4015/ "%USERPROFILE%\AppData\Local\Temp\OnboardLogs"\RTDC4015\2017-04-08 --exclude "*" --recursive --include "*20170408*" &amp; "%USERPROFILE%\Documents\GitHub\mrs-test-scripts\Headless Mode &amp; Sideloading\WalkAndUnGZ.bat" "%USERPROFILE%\AppData\Local\Temp\OnboardLogs"\RTDC4015\2017-04-08</v>
      </c>
      <c r="AF50" s="82" t="str">
        <f t="shared" si="13"/>
        <v>"C:\Program Files (x86)\AstroGrep\AstroGrep.exe" /e /r /s /spath="%USERPROFILE%\AppData\Local\Temp\OnboardLogs" /stypes="app*4015*20170407*"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9"/>
        <v>"%USERPROFILE%\Documents\GitHub\eaglep3\Utilities\RefineRTDCRunTimes.py" --tripid 138-07 --locoid 4015 --swversion DE.1.0.9.0 --startMP 204:232981 --initTime 2017-04-07T08:53:53 --startdatetime 2017-04-07T09:11:54 --delay 1 --endMP 204:161 --enddatetime 2017-04-07T09:50:38 --enforcementcount 0 &gt;&gt;C:\Users\stu\Documents\GitHub\eaglep3-reporting\EC\2017-04-07-refined-times.txt</v>
      </c>
      <c r="AI50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{"issue":{"subject":"","project_id":79,"tracker_id":40,"status_id":1,"priority_id":2,"assigned_to_id":23,"start_date":"2017-04-07","description":"","custom_fields":[{"id":1,"name":"Subdivision","value":"EC"},{"id":4,"name":"Milepost","value":"0.0161"},{"id":17,"name":"Train ID","value":"138-07"},{"id":16,"name":"Locomotive ID","value":"4015"},{"id":130,"name":"Impact","value":""},{"id":150,"name":"Time of Event (Mountain Time)","value":"09:50:38"},{"id":151,"name":"Denver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4015 --day 2017-04-07</v>
      </c>
      <c r="AN50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15:50:38"},{"id":29,"name":"Sharepoint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707</v>
      </c>
      <c r="B51" s="7">
        <v>4020</v>
      </c>
      <c r="C51" s="21" t="s">
        <v>216</v>
      </c>
      <c r="D51" s="21" t="s">
        <v>870</v>
      </c>
      <c r="E51" s="13">
        <v>42832.350115740737</v>
      </c>
      <c r="F51" s="13">
        <v>42832.354317129626</v>
      </c>
      <c r="G51" s="7">
        <v>1</v>
      </c>
      <c r="H51" s="21" t="s">
        <v>408</v>
      </c>
      <c r="I51" s="13">
        <v>42832.380439814813</v>
      </c>
      <c r="J51" s="7">
        <v>0</v>
      </c>
      <c r="K51" s="97" t="str">
        <f t="shared" si="0"/>
        <v>4019/4020</v>
      </c>
      <c r="L51" s="21" t="str">
        <f>VLOOKUP(A51,'Trips&amp;Operators'!$C$1:$G$99999,5,FALSE)</f>
        <v>FORTUNATO FRANK</v>
      </c>
      <c r="M51" s="6">
        <f t="shared" si="1"/>
        <v>2.6122685187146999E-2</v>
      </c>
      <c r="N51" s="7">
        <f t="shared" si="25"/>
        <v>37.616666669491678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-04-07T07:24:10-0600',mode:absolute,to:'2017-04-07T10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1" s="183" t="str">
        <f t="shared" si="6"/>
        <v>N</v>
      </c>
      <c r="X51" s="183">
        <f t="shared" si="24"/>
        <v>1</v>
      </c>
      <c r="Y51" s="62">
        <f t="shared" si="26"/>
        <v>4.4699999999999997E-2</v>
      </c>
      <c r="Z51" s="62">
        <f t="shared" si="9"/>
        <v>23.329899999999999</v>
      </c>
      <c r="AA51" s="62">
        <f t="shared" si="10"/>
        <v>23.2852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0139-07</v>
      </c>
      <c r="AE51" s="85" t="str">
        <f t="shared" si="12"/>
        <v>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 &amp; 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</v>
      </c>
      <c r="AF51" s="82" t="str">
        <f t="shared" si="13"/>
        <v>"C:\Program Files (x86)\AstroGrep\AstroGrep.exe" /e /r /s /spath="%USERPROFILE%\AppData\Local\Temp\OnboardLogs" /stypes="app*4020*20170407*"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9"/>
        <v>"%USERPROFILE%\Documents\GitHub\eaglep3\Utilities\RefineRTDCRunTimes.py" --tripid 139-07 --locoid 4020 --swversion DE.1.0.9.0 --startMP 204:447 --initTime 2017-04-07T08:24:10 --startdatetime 2017-04-07T08:30:13 --delay 1 --endMP 204:233299 --enddatetime 2017-04-07T09:07:50 --enforcementcount 0 &gt;&gt;C:\Users\stu\Documents\GitHub\eaglep3-reporting\EC\2017-04-07-refined-times.txt</v>
      </c>
      <c r="AI51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{"issue":{"subject":"","project_id":79,"tracker_id":40,"status_id":1,"priority_id":2,"assigned_to_id":23,"start_date":"2017-04-07","description":"","custom_fields":[{"id":1,"name":"Subdivision","value":"EC"},{"id":4,"name":"Milepost","value":"23.3299"},{"id":17,"name":"Train ID","value":"139-07"},{"id":16,"name":"Locomotive ID","value":"4020"},{"id":130,"name":"Impact","value":""},{"id":150,"name":"Time of Event (Mountain Time)","value":"09:07:50"},{"id":151,"name":"Denver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4020 --day 2017-04-07</v>
      </c>
      <c r="AN51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15:07:50"},{"id":29,"name":"Sharepoint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717</v>
      </c>
      <c r="B52" s="7">
        <v>4019</v>
      </c>
      <c r="C52" s="21" t="s">
        <v>216</v>
      </c>
      <c r="D52" s="21" t="s">
        <v>528</v>
      </c>
      <c r="E52" s="13">
        <v>42832.386157407411</v>
      </c>
      <c r="F52" s="13">
        <v>42832.39335648148</v>
      </c>
      <c r="G52" s="7">
        <v>1</v>
      </c>
      <c r="H52" s="21" t="s">
        <v>212</v>
      </c>
      <c r="I52" s="13">
        <v>42832.422222222223</v>
      </c>
      <c r="J52" s="7">
        <v>0</v>
      </c>
      <c r="K52" s="97" t="str">
        <f t="shared" si="0"/>
        <v>4019/4020</v>
      </c>
      <c r="L52" s="21" t="str">
        <f>VLOOKUP(A52,'Trips&amp;Operators'!$C$1:$G$99999,5,FALSE)</f>
        <v>FORTUNATO FRANK</v>
      </c>
      <c r="M52" s="6">
        <f t="shared" si="1"/>
        <v>2.8865740743640345E-2</v>
      </c>
      <c r="N52" s="7">
        <f t="shared" si="25"/>
        <v>41.566666670842096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-04-07T08:16:04-0600',mode:absolute,to:'2017-04-07T11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2" s="183" t="str">
        <f t="shared" si="6"/>
        <v>N</v>
      </c>
      <c r="X52" s="183">
        <f t="shared" si="24"/>
        <v>1</v>
      </c>
      <c r="Y52" s="62">
        <f t="shared" si="26"/>
        <v>23.297999999999998</v>
      </c>
      <c r="Z52" s="62">
        <f t="shared" si="9"/>
        <v>1.5599999999999999E-2</v>
      </c>
      <c r="AA52" s="62">
        <f t="shared" si="10"/>
        <v>23.282399999999999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0140-07</v>
      </c>
      <c r="AE52" s="85" t="str">
        <f t="shared" si="12"/>
        <v>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 &amp; aws s3 cp s3://rtdc.mdm.uploadarchive.raw/RTDC4019/ "%USERPROFILE%\AppData\Local\Temp\OnboardLogs"\RTDC4019\2017-04-08 --exclude "*" --recursive --include "*20170408*" &amp; "%USERPROFILE%\Documents\GitHub\mrs-test-scripts\Headless Mode &amp; Sideloading\WalkAndUnGZ.bat" "%USERPROFILE%\AppData\Local\Temp\OnboardLogs"\RTDC4019\2017-04-08</v>
      </c>
      <c r="AF52" s="82" t="str">
        <f t="shared" si="13"/>
        <v>"C:\Program Files (x86)\AstroGrep\AstroGrep.exe" /e /r /s /spath="%USERPROFILE%\AppData\Local\Temp\OnboardLogs" /stypes="app*4019*20170407*"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9"/>
        <v>"%USERPROFILE%\Documents\GitHub\eaglep3\Utilities\RefineRTDCRunTimes.py" --tripid 140-07 --locoid 4019 --swversion DE.1.0.9.0 --startMP 204:232980 --initTime 2017-04-07T09:16:04 --startdatetime 2017-04-07T09:26:26 --delay 1 --endMP 204:156 --enddatetime 2017-04-07T10:08:00 --enforcementcount 0 &gt;&gt;C:\Users\stu\Documents\GitHub\eaglep3-reporting\EC\2017-04-07-refined-times.txt</v>
      </c>
      <c r="AI52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{"issue":{"subject":"","project_id":79,"tracker_id":40,"status_id":1,"priority_id":2,"assigned_to_id":23,"start_date":"2017-04-07","description":"","custom_fields":[{"id":1,"name":"Subdivision","value":"EC"},{"id":4,"name":"Milepost","value":"0.0156"},{"id":17,"name":"Train ID","value":"140-07"},{"id":16,"name":"Locomotive ID","value":"4019"},{"id":130,"name":"Impact","value":""},{"id":150,"name":"Time of Event (Mountain Time)","value":"10:08:00"},{"id":151,"name":"Denver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4019 --day 2017-04-07</v>
      </c>
      <c r="AN52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16:08:00"},{"id":29,"name":"Sharepoint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711</v>
      </c>
      <c r="B53" s="7">
        <v>4022</v>
      </c>
      <c r="C53" s="21" t="s">
        <v>216</v>
      </c>
      <c r="D53" s="21" t="s">
        <v>205</v>
      </c>
      <c r="E53" s="13">
        <v>42832.361689814818</v>
      </c>
      <c r="F53" s="13">
        <v>42832.364768518521</v>
      </c>
      <c r="G53" s="7">
        <v>1</v>
      </c>
      <c r="H53" s="21" t="s">
        <v>592</v>
      </c>
      <c r="I53" s="13">
        <v>42832.390474537038</v>
      </c>
      <c r="J53" s="7">
        <v>0</v>
      </c>
      <c r="K53" s="97" t="str">
        <f t="shared" si="0"/>
        <v>4021/4022</v>
      </c>
      <c r="L53" s="21" t="str">
        <f>VLOOKUP(A53,'Trips&amp;Operators'!$C$1:$G$99999,5,FALSE)</f>
        <v>BADERTSCHER DIANE</v>
      </c>
      <c r="M53" s="6">
        <f t="shared" si="1"/>
        <v>2.5706018517666962E-2</v>
      </c>
      <c r="N53" s="7">
        <f t="shared" si="25"/>
        <v>37.016666665440425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-04-07T07:40:50-0600',mode:absolute,to:'2017-04-07T10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3" s="183" t="str">
        <f t="shared" si="6"/>
        <v>N</v>
      </c>
      <c r="X53" s="183">
        <f t="shared" si="24"/>
        <v>1</v>
      </c>
      <c r="Y53" s="62">
        <f t="shared" si="26"/>
        <v>4.5100000000000001E-2</v>
      </c>
      <c r="Z53" s="62">
        <f t="shared" si="9"/>
        <v>23.3323</v>
      </c>
      <c r="AA53" s="62">
        <f t="shared" si="10"/>
        <v>23.287199999999999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0141-07</v>
      </c>
      <c r="AE53" s="85" t="str">
        <f t="shared" si="12"/>
        <v>aws s3 cp s3://rtdc.mdm.uploadarchive.raw/RTDC4022/ "%USERPROFILE%\AppData\Local\Temp\OnboardLogs"\RTDC4022\2017-04-07 --exclude "*" --recursive --include "*20170407*" &amp; "%USERPROFILE%\Documents\GitHub\mrs-test-scripts\Headless Mode &amp; Sideloading\WalkAndUnGZ.bat" "%USERPROFILE%\AppData\Local\Temp\OnboardLogs"\RTDC4022\2017-04-07 &amp; 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</v>
      </c>
      <c r="AF53" s="82" t="str">
        <f t="shared" si="13"/>
        <v>"C:\Program Files (x86)\AstroGrep\AstroGrep.exe" /e /r /s /spath="%USERPROFILE%\AppData\Local\Temp\OnboardLogs" /stypes="app*4022*20170407*"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9"/>
        <v>"%USERPROFILE%\Documents\GitHub\eaglep3\Utilities\RefineRTDCRunTimes.py" --tripid 141-07 --locoid 4022 --swversion DE.1.0.9.0 --startMP 204:451 --initTime 2017-04-07T08:40:50 --startdatetime 2017-04-07T08:45:16 --delay 1 --endMP 204:233323 --enddatetime 2017-04-07T09:22:17 --enforcementcount 0 &gt;&gt;C:\Users\stu\Documents\GitHub\eaglep3-reporting\EC\2017-04-07-refined-times.txt</v>
      </c>
      <c r="AI53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{"issue":{"subject":"","project_id":79,"tracker_id":40,"status_id":1,"priority_id":2,"assigned_to_id":23,"start_date":"2017-04-07","description":"","custom_fields":[{"id":1,"name":"Subdivision","value":"EC"},{"id":4,"name":"Milepost","value":"23.3323"},{"id":17,"name":"Train ID","value":"141-07"},{"id":16,"name":"Locomotive ID","value":"4022"},{"id":130,"name":"Impact","value":""},{"id":150,"name":"Time of Event (Mountain Time)","value":"09:22:17"},{"id":151,"name":"Denver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4022 --day 2017-04-07</v>
      </c>
      <c r="AN53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15:22:17"},{"id":29,"name":"Sharepoint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719</v>
      </c>
      <c r="B54" s="7">
        <v>4021</v>
      </c>
      <c r="C54" s="21" t="s">
        <v>216</v>
      </c>
      <c r="D54" s="21" t="s">
        <v>419</v>
      </c>
      <c r="E54" s="13">
        <v>42832.398298611108</v>
      </c>
      <c r="F54" s="13">
        <v>42832.403645833336</v>
      </c>
      <c r="G54" s="7">
        <v>1</v>
      </c>
      <c r="H54" s="21" t="s">
        <v>432</v>
      </c>
      <c r="I54" s="13">
        <v>42832.431504629632</v>
      </c>
      <c r="J54" s="7">
        <v>0</v>
      </c>
      <c r="K54" s="97" t="str">
        <f t="shared" si="0"/>
        <v>4021/4022</v>
      </c>
      <c r="L54" s="21" t="str">
        <f>VLOOKUP(A54,'Trips&amp;Operators'!$C$1:$G$99999,5,FALSE)</f>
        <v>BADERTSCHER DIANE</v>
      </c>
      <c r="M54" s="6">
        <f t="shared" si="1"/>
        <v>2.7858796296641231E-2</v>
      </c>
      <c r="N54" s="7">
        <f t="shared" si="25"/>
        <v>40.116666667163372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-04-07T08:33:33-0600',mode:absolute,to:'2017-04-07T11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4" s="183" t="str">
        <f t="shared" si="6"/>
        <v>N</v>
      </c>
      <c r="X54" s="183">
        <f t="shared" si="24"/>
        <v>1</v>
      </c>
      <c r="Y54" s="62">
        <f t="shared" si="26"/>
        <v>23.299299999999999</v>
      </c>
      <c r="Z54" s="62">
        <f t="shared" si="9"/>
        <v>1.6E-2</v>
      </c>
      <c r="AA54" s="62">
        <f t="shared" si="10"/>
        <v>23.283300000000001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0142-07</v>
      </c>
      <c r="AE54" s="85" t="str">
        <f t="shared" si="12"/>
        <v>aws s3 cp s3://rtdc.mdm.uploadarchive.raw/RTDC4021/ "%USERPROFILE%\AppData\Local\Temp\OnboardLogs"\RTDC4021\2017-04-07 --exclude "*" --recursive --include "*20170407*" &amp; "%USERPROFILE%\Documents\GitHub\mrs-test-scripts\Headless Mode &amp; Sideloading\WalkAndUnGZ.bat" "%USERPROFILE%\AppData\Local\Temp\OnboardLogs"\RTDC4021\2017-04-07 &amp; 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</v>
      </c>
      <c r="AF54" s="82" t="str">
        <f t="shared" si="13"/>
        <v>"C:\Program Files (x86)\AstroGrep\AstroGrep.exe" /e /r /s /spath="%USERPROFILE%\AppData\Local\Temp\OnboardLogs" /stypes="app*4021*20170407*"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9"/>
        <v>"%USERPROFILE%\Documents\GitHub\eaglep3\Utilities\RefineRTDCRunTimes.py" --tripid 142-07 --locoid 4021 --swversion DE.1.0.9.0 --startMP 204:232993 --initTime 2017-04-07T09:33:33 --startdatetime 2017-04-07T09:41:15 --delay 1 --endMP 204:160 --enddatetime 2017-04-07T10:21:22 --enforcementcount 0 &gt;&gt;C:\Users\stu\Documents\GitHub\eaglep3-reporting\EC\2017-04-07-refined-times.txt</v>
      </c>
      <c r="AI54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{"issue":{"subject":"","project_id":79,"tracker_id":40,"status_id":1,"priority_id":2,"assigned_to_id":23,"start_date":"2017-04-07","description":"","custom_fields":[{"id":1,"name":"Subdivision","value":"EC"},{"id":4,"name":"Milepost","value":"0.016"},{"id":17,"name":"Train ID","value":"142-07"},{"id":16,"name":"Locomotive ID","value":"4021"},{"id":130,"name":"Impact","value":""},{"id":150,"name":"Time of Event (Mountain Time)","value":"10:21:22"},{"id":151,"name":"Denver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4021 --day 2017-04-07</v>
      </c>
      <c r="AN54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16:21:22"},{"id":29,"name":"Sharepoint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714</v>
      </c>
      <c r="B55" s="7">
        <v>4032</v>
      </c>
      <c r="C55" s="21" t="s">
        <v>216</v>
      </c>
      <c r="D55" s="21" t="s">
        <v>207</v>
      </c>
      <c r="E55" s="13">
        <v>42832.370949074073</v>
      </c>
      <c r="F55" s="13">
        <v>42832.375648148147</v>
      </c>
      <c r="G55" s="7">
        <v>2</v>
      </c>
      <c r="H55" s="21" t="s">
        <v>861</v>
      </c>
      <c r="I55" s="13">
        <v>42832.399444444447</v>
      </c>
      <c r="J55" s="7">
        <v>0</v>
      </c>
      <c r="K55" s="97" t="str">
        <f t="shared" si="0"/>
        <v>4031/4032</v>
      </c>
      <c r="L55" s="21" t="str">
        <f>VLOOKUP(A55,'Trips&amp;Operators'!$C$1:$G$99999,5,FALSE)</f>
        <v>MENGES BRAD</v>
      </c>
      <c r="M55" s="6">
        <f t="shared" si="1"/>
        <v>2.379629630013369E-2</v>
      </c>
      <c r="N55" s="7">
        <f t="shared" si="25"/>
        <v>34.266666672192514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-04-07T07:54:10-0600',mode:absolute,to:'2017-04-07T10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5" s="183" t="str">
        <f t="shared" si="6"/>
        <v>N</v>
      </c>
      <c r="X55" s="183">
        <f t="shared" si="24"/>
        <v>1</v>
      </c>
      <c r="Y55" s="62">
        <f t="shared" si="26"/>
        <v>4.5999999999999999E-2</v>
      </c>
      <c r="Z55" s="62">
        <f t="shared" si="9"/>
        <v>23.3307</v>
      </c>
      <c r="AA55" s="62">
        <f t="shared" si="10"/>
        <v>23.284700000000001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0143-07</v>
      </c>
      <c r="AE55" s="85" t="str">
        <f t="shared" si="12"/>
        <v>aws s3 cp s3://rtdc.mdm.uploadarchive.raw/RTDC4032/ "%USERPROFILE%\AppData\Local\Temp\OnboardLogs"\RTDC4032\2017-04-07 --exclude "*" --recursive --include "*20170407*" &amp; "%USERPROFILE%\Documents\GitHub\mrs-test-scripts\Headless Mode &amp; Sideloading\WalkAndUnGZ.bat" "%USERPROFILE%\AppData\Local\Temp\OnboardLogs"\RTDC4032\2017-04-07 &amp; aws s3 cp s3://rtdc.mdm.uploadarchive.raw/RTDC4032/ "%USERPROFILE%\AppData\Local\Temp\OnboardLogs"\RTDC4032\2017-04-08 --exclude "*" --recursive --include "*20170408*" &amp; "%USERPROFILE%\Documents\GitHub\mrs-test-scripts\Headless Mode &amp; Sideloading\WalkAndUnGZ.bat" "%USERPROFILE%\AppData\Local\Temp\OnboardLogs"\RTDC4032\2017-04-08</v>
      </c>
      <c r="AF55" s="82" t="str">
        <f t="shared" si="13"/>
        <v>"C:\Program Files (x86)\AstroGrep\AstroGrep.exe" /e /r /s /spath="%USERPROFILE%\AppData\Local\Temp\OnboardLogs" /stypes="app*4032*20170407*"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9"/>
        <v>"%USERPROFILE%\Documents\GitHub\eaglep3\Utilities\RefineRTDCRunTimes.py" --tripid 143-07 --locoid 4032 --swversion DE.1.0.9.0 --startMP 204:460 --initTime 2017-04-07T08:54:10 --startdatetime 2017-04-07T09:00:56 --delay 2 --endMP 204:233307 --enddatetime 2017-04-07T09:35:12 --enforcementcount 0 &gt;&gt;C:\Users\stu\Documents\GitHub\eaglep3-reporting\EC\2017-04-07-refined-times.txt</v>
      </c>
      <c r="AI55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{"issue":{"subject":"","project_id":79,"tracker_id":40,"status_id":1,"priority_id":2,"assigned_to_id":23,"start_date":"2017-04-07","description":"","custom_fields":[{"id":1,"name":"Subdivision","value":"EC"},{"id":4,"name":"Milepost","value":"23.3307"},{"id":17,"name":"Train ID","value":"143-07"},{"id":16,"name":"Locomotive ID","value":"4032"},{"id":130,"name":"Impact","value":""},{"id":150,"name":"Time of Event (Mountain Time)","value":"09:35:12"},{"id":151,"name":"Denver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4032 --day 2017-04-07</v>
      </c>
      <c r="AN55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15:35:12"},{"id":29,"name":"Sharepoint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635</v>
      </c>
      <c r="B56" s="7">
        <v>4031</v>
      </c>
      <c r="C56" s="21" t="s">
        <v>216</v>
      </c>
      <c r="D56" s="21" t="s">
        <v>863</v>
      </c>
      <c r="E56" s="13">
        <v>42832.412569444445</v>
      </c>
      <c r="F56" s="13">
        <v>42832.414085648146</v>
      </c>
      <c r="G56" s="7">
        <v>1</v>
      </c>
      <c r="H56" s="21" t="s">
        <v>860</v>
      </c>
      <c r="I56" s="13">
        <v>42832.441076388888</v>
      </c>
      <c r="J56" s="7">
        <v>0</v>
      </c>
      <c r="K56" s="97" t="str">
        <f t="shared" si="0"/>
        <v>4031/4032</v>
      </c>
      <c r="L56" s="21" t="str">
        <f>VLOOKUP(A56,'Trips&amp;Operators'!$C$1:$G$99999,5,FALSE)</f>
        <v>MENGES BRAD</v>
      </c>
      <c r="M56" s="6">
        <f t="shared" si="1"/>
        <v>2.6990740741894115E-2</v>
      </c>
      <c r="N56" s="7">
        <f t="shared" si="25"/>
        <v>38.866666668327525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-04-07T08:54:06-0600',mode:absolute,to:'2017-04-07T11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6" s="183" t="str">
        <f t="shared" si="6"/>
        <v>N</v>
      </c>
      <c r="X56" s="183">
        <f t="shared" si="24"/>
        <v>1</v>
      </c>
      <c r="Y56" s="62">
        <f t="shared" si="26"/>
        <v>23.298200000000001</v>
      </c>
      <c r="Z56" s="62">
        <f t="shared" si="9"/>
        <v>1.4999999999999999E-2</v>
      </c>
      <c r="AA56" s="62">
        <f t="shared" si="10"/>
        <v>23.283200000000001</v>
      </c>
      <c r="AB56" s="59" t="str">
        <f>VLOOKUP(A56,Enforcements!$C$7:$K$13,8,0)</f>
        <v>Bulletin (2)</v>
      </c>
      <c r="AC56" s="55" t="str">
        <f>VLOOKUP(A56,Enforcements!$C$7:$E$13,3,0)</f>
        <v>GRADE CROSSING</v>
      </c>
      <c r="AD56" s="56" t="str">
        <f t="shared" si="11"/>
        <v>0144-07</v>
      </c>
      <c r="AE56" s="85" t="str">
        <f t="shared" si="12"/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AF56" s="82" t="str">
        <f t="shared" si="13"/>
        <v>"C:\Program Files (x86)\AstroGrep\AstroGrep.exe" /e /r /s /spath="%USERPROFILE%\AppData\Local\Temp\OnboardLogs" /stypes="app*4031*20170407*"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9"/>
        <v>"%USERPROFILE%\Documents\GitHub\eaglep3\Utilities\RefineRTDCRunTimes.py" --tripid 144-07 --locoid 4031 --swversion DE.1.0.9.0 --startMP 204:232982 --initTime 2017-04-07T09:54:06 --startdatetime 2017-04-07T09:56:17 --delay 1 --endMP 204:150 --enddatetime 2017-04-07T10:35:09 --enforcementcount 0 &gt;&gt;C:\Users\stu\Documents\GitHub\eaglep3-reporting\EC\2017-04-07-refined-times.txt</v>
      </c>
      <c r="AI56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{"issue":{"subject":"","project_id":79,"tracker_id":40,"status_id":1,"priority_id":2,"assigned_to_id":23,"start_date":"2017-04-07","description":"","custom_fields":[{"id":1,"name":"Subdivision","value":"EC"},{"id":4,"name":"Milepost","value":"0.015"},{"id":17,"name":"Train ID","value":"144-07"},{"id":16,"name":"Locomotive ID","value":"4031"},{"id":130,"name":"Impact","value":""},{"id":150,"name":"Time of Event (Mountain Time)","value":"10:35:09"},{"id":151,"name":"Denver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4031 --day 2017-04-07</v>
      </c>
      <c r="AN56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16:35:09"},{"id":29,"name":"Sharepoint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716</v>
      </c>
      <c r="B57" s="7">
        <v>4014</v>
      </c>
      <c r="C57" s="21" t="s">
        <v>216</v>
      </c>
      <c r="D57" s="21" t="s">
        <v>418</v>
      </c>
      <c r="E57" s="13">
        <v>42832.380972222221</v>
      </c>
      <c r="F57" s="13">
        <v>42832.385578703703</v>
      </c>
      <c r="G57" s="7">
        <v>1</v>
      </c>
      <c r="H57" s="21" t="s">
        <v>539</v>
      </c>
      <c r="I57" s="13">
        <v>42832.411550925928</v>
      </c>
      <c r="J57" s="7">
        <v>0</v>
      </c>
      <c r="K57" s="97" t="str">
        <f t="shared" si="0"/>
        <v>4013/4014</v>
      </c>
      <c r="L57" s="21" t="str">
        <f>VLOOKUP(A57,'Trips&amp;Operators'!$C$1:$G$99999,5,FALSE)</f>
        <v>DAVIS WENDY</v>
      </c>
      <c r="M57" s="6">
        <f t="shared" si="1"/>
        <v>2.5972222225391306E-2</v>
      </c>
      <c r="N57" s="7">
        <f t="shared" si="25"/>
        <v>37.400000004563481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-04-07T08:08:36-0600',mode:absolute,to:'2017-04-07T10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7" s="183" t="str">
        <f t="shared" si="6"/>
        <v>N</v>
      </c>
      <c r="X57" s="183">
        <f t="shared" si="24"/>
        <v>1</v>
      </c>
      <c r="Y57" s="62">
        <f t="shared" si="26"/>
        <v>4.6199999999999998E-2</v>
      </c>
      <c r="Z57" s="62">
        <f t="shared" si="9"/>
        <v>23.330200000000001</v>
      </c>
      <c r="AA57" s="62">
        <f t="shared" si="10"/>
        <v>23.284000000000002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0145-07</v>
      </c>
      <c r="AE57" s="85" t="str">
        <f t="shared" si="12"/>
        <v>aws s3 cp s3://rtdc.mdm.uploadarchive.raw/RTDC4014/ "%USERPROFILE%\AppData\Local\Temp\OnboardLogs"\RTDC4014\2017-04-07 --exclude "*" --recursive --include "*20170407*" &amp; "%USERPROFILE%\Documents\GitHub\mrs-test-scripts\Headless Mode &amp; Sideloading\WalkAndUnGZ.bat" "%USERPROFILE%\AppData\Local\Temp\OnboardLogs"\RTDC4014\2017-04-07 &amp; 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</v>
      </c>
      <c r="AF57" s="82" t="str">
        <f t="shared" si="13"/>
        <v>"C:\Program Files (x86)\AstroGrep\AstroGrep.exe" /e /r /s /spath="%USERPROFILE%\AppData\Local\Temp\OnboardLogs" /stypes="app*4014*20170407*"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9"/>
        <v>"%USERPROFILE%\Documents\GitHub\eaglep3\Utilities\RefineRTDCRunTimes.py" --tripid 145-07 --locoid 4014 --swversion DE.1.0.9.0 --startMP 204:462 --initTime 2017-04-07T09:08:36 --startdatetime 2017-04-07T09:15:14 --delay 1 --endMP 204:233302 --enddatetime 2017-04-07T09:52:38 --enforcementcount 0 &gt;&gt;C:\Users\stu\Documents\GitHub\eaglep3-reporting\EC\2017-04-07-refined-times.txt</v>
      </c>
      <c r="AI57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{"issue":{"subject":"","project_id":79,"tracker_id":40,"status_id":1,"priority_id":2,"assigned_to_id":23,"start_date":"2017-04-07","description":"","custom_fields":[{"id":1,"name":"Subdivision","value":"EC"},{"id":4,"name":"Milepost","value":"23.3302"},{"id":17,"name":"Train ID","value":"145-07"},{"id":16,"name":"Locomotive ID","value":"4014"},{"id":130,"name":"Impact","value":""},{"id":150,"name":"Time of Event (Mountain Time)","value":"09:52:38"},{"id":151,"name":"Denver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4014 --day 2017-04-07</v>
      </c>
      <c r="AN57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15:52:38"},{"id":29,"name":"Sharepoint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722</v>
      </c>
      <c r="B58" s="7">
        <v>4013</v>
      </c>
      <c r="C58" s="21" t="s">
        <v>216</v>
      </c>
      <c r="D58" s="21" t="s">
        <v>867</v>
      </c>
      <c r="E58" s="13">
        <v>42832.422303240739</v>
      </c>
      <c r="F58" s="13">
        <v>42832.424467592595</v>
      </c>
      <c r="G58" s="7">
        <v>1</v>
      </c>
      <c r="H58" s="21" t="s">
        <v>532</v>
      </c>
      <c r="I58" s="13">
        <v>42832.451898148145</v>
      </c>
      <c r="J58" s="7">
        <v>0</v>
      </c>
      <c r="K58" s="97" t="str">
        <f t="shared" si="0"/>
        <v>4013/4014</v>
      </c>
      <c r="L58" s="21" t="str">
        <f>VLOOKUP(A58,'Trips&amp;Operators'!$C$1:$G$99999,5,FALSE)</f>
        <v>DAVIS WENDY</v>
      </c>
      <c r="M58" s="6">
        <f t="shared" si="1"/>
        <v>2.7430555550381541E-2</v>
      </c>
      <c r="N58" s="7">
        <f t="shared" si="25"/>
        <v>39.499999992549419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-04-07T09:08:07-0600',mode:absolute,to:'2017-04-07T11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8" s="183" t="str">
        <f t="shared" si="6"/>
        <v>N</v>
      </c>
      <c r="X58" s="183">
        <f t="shared" si="24"/>
        <v>1</v>
      </c>
      <c r="Y58" s="62">
        <f t="shared" si="26"/>
        <v>23.297899999999998</v>
      </c>
      <c r="Z58" s="62">
        <f t="shared" si="9"/>
        <v>1.3599999999999999E-2</v>
      </c>
      <c r="AA58" s="62">
        <f t="shared" si="10"/>
        <v>23.284299999999998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0146-07</v>
      </c>
      <c r="AE58" s="85" t="str">
        <f t="shared" si="12"/>
        <v>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 &amp; 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</v>
      </c>
      <c r="AF58" s="82" t="str">
        <f t="shared" si="13"/>
        <v>"C:\Program Files (x86)\AstroGrep\AstroGrep.exe" /e /r /s /spath="%USERPROFILE%\AppData\Local\Temp\OnboardLogs" /stypes="app*4013*20170407*"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9"/>
        <v>"%USERPROFILE%\Documents\GitHub\eaglep3\Utilities\RefineRTDCRunTimes.py" --tripid 146-07 --locoid 4013 --swversion DE.1.0.9.0 --startMP 204:232979 --initTime 2017-04-07T10:08:07 --startdatetime 2017-04-07T10:11:14 --delay 1 --endMP 204:136 --enddatetime 2017-04-07T10:50:44 --enforcementcount 0 &gt;&gt;C:\Users\stu\Documents\GitHub\eaglep3-reporting\EC\2017-04-07-refined-times.txt</v>
      </c>
      <c r="AI58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{"issue":{"subject":"","project_id":79,"tracker_id":40,"status_id":1,"priority_id":2,"assigned_to_id":23,"start_date":"2017-04-07","description":"","custom_fields":[{"id":1,"name":"Subdivision","value":"EC"},{"id":4,"name":"Milepost","value":"0.0136"},{"id":17,"name":"Train ID","value":"146-07"},{"id":16,"name":"Locomotive ID","value":"4013"},{"id":130,"name":"Impact","value":""},{"id":150,"name":"Time of Event (Mountain Time)","value":"10:50:44"},{"id":151,"name":"Denver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4013 --day 2017-04-07</v>
      </c>
      <c r="AN58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16:50:44"},{"id":29,"name":"Sharepoint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718</v>
      </c>
      <c r="B59" s="7">
        <v>4026</v>
      </c>
      <c r="C59" s="21" t="s">
        <v>216</v>
      </c>
      <c r="D59" s="21" t="s">
        <v>396</v>
      </c>
      <c r="E59" s="13">
        <v>42832.390208333331</v>
      </c>
      <c r="F59" s="13">
        <v>42832.395995370367</v>
      </c>
      <c r="G59" s="7">
        <v>2</v>
      </c>
      <c r="H59" s="21" t="s">
        <v>524</v>
      </c>
      <c r="I59" s="13">
        <v>42832.421215277776</v>
      </c>
      <c r="J59" s="7">
        <v>0</v>
      </c>
      <c r="K59" s="97" t="str">
        <f t="shared" si="0"/>
        <v>4025/4026</v>
      </c>
      <c r="L59" s="21" t="str">
        <f>VLOOKUP(A59,'Trips&amp;Operators'!$C$1:$G$99999,5,FALSE)</f>
        <v>ROBINSON KADDIBA</v>
      </c>
      <c r="M59" s="6">
        <f t="shared" si="1"/>
        <v>2.5219907409336884E-2</v>
      </c>
      <c r="N59" s="7">
        <f t="shared" si="25"/>
        <v>36.316666669445112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-04-07T08:21:54-0600',mode:absolute,to:'2017-04-07T11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9" s="183" t="str">
        <f t="shared" si="6"/>
        <v>N</v>
      </c>
      <c r="X59" s="183">
        <f t="shared" si="24"/>
        <v>1</v>
      </c>
      <c r="Y59" s="62">
        <f t="shared" si="26"/>
        <v>4.4900000000000002E-2</v>
      </c>
      <c r="Z59" s="62">
        <f t="shared" si="9"/>
        <v>23.328900000000001</v>
      </c>
      <c r="AA59" s="62">
        <f t="shared" si="10"/>
        <v>23.284000000000002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0147-07</v>
      </c>
      <c r="AE59" s="85" t="str">
        <f t="shared" si="12"/>
        <v>aws s3 cp s3://rtdc.mdm.uploadarchive.raw/RTDC4026/ "%USERPROFILE%\AppData\Local\Temp\OnboardLogs"\RTDC4026\2017-04-07 --exclude "*" --recursive --include "*20170407*" &amp; "%USERPROFILE%\Documents\GitHub\mrs-test-scripts\Headless Mode &amp; Sideloading\WalkAndUnGZ.bat" "%USERPROFILE%\AppData\Local\Temp\OnboardLogs"\RTDC4026\2017-04-07 &amp; aws s3 cp s3://rtdc.mdm.uploadarchive.raw/RTDC4026/ "%USERPROFILE%\AppData\Local\Temp\OnboardLogs"\RTDC4026\2017-04-08 --exclude "*" --recursive --include "*20170408*" &amp; "%USERPROFILE%\Documents\GitHub\mrs-test-scripts\Headless Mode &amp; Sideloading\WalkAndUnGZ.bat" "%USERPROFILE%\AppData\Local\Temp\OnboardLogs"\RTDC4026\2017-04-08</v>
      </c>
      <c r="AF59" s="82" t="str">
        <f t="shared" si="13"/>
        <v>"C:\Program Files (x86)\AstroGrep\AstroGrep.exe" /e /r /s /spath="%USERPROFILE%\AppData\Local\Temp\OnboardLogs" /stypes="app*4026*20170407*"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9"/>
        <v>"%USERPROFILE%\Documents\GitHub\eaglep3\Utilities\RefineRTDCRunTimes.py" --tripid 147-07 --locoid 4026 --swversion DE.1.0.9.0 --startMP 204:449 --initTime 2017-04-07T09:21:54 --startdatetime 2017-04-07T09:30:14 --delay 2 --endMP 204:233289 --enddatetime 2017-04-07T10:06:33 --enforcementcount 0 &gt;&gt;C:\Users\stu\Documents\GitHub\eaglep3-reporting\EC\2017-04-07-refined-times.txt</v>
      </c>
      <c r="AI59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{"issue":{"subject":"","project_id":79,"tracker_id":40,"status_id":1,"priority_id":2,"assigned_to_id":23,"start_date":"2017-04-07","description":"","custom_fields":[{"id":1,"name":"Subdivision","value":"EC"},{"id":4,"name":"Milepost","value":"23.3289"},{"id":17,"name":"Train ID","value":"147-07"},{"id":16,"name":"Locomotive ID","value":"4026"},{"id":130,"name":"Impact","value":""},{"id":150,"name":"Time of Event (Mountain Time)","value":"10:06:33"},{"id":151,"name":"Denver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4026 --day 2017-04-07</v>
      </c>
      <c r="AN59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16:06:33"},{"id":29,"name":"Sharepoint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724</v>
      </c>
      <c r="B60" s="7">
        <v>4025</v>
      </c>
      <c r="C60" s="21" t="s">
        <v>216</v>
      </c>
      <c r="D60" s="21" t="s">
        <v>538</v>
      </c>
      <c r="E60" s="13">
        <v>42832.429884259262</v>
      </c>
      <c r="F60" s="13">
        <v>42832.434895833336</v>
      </c>
      <c r="G60" s="7">
        <v>1</v>
      </c>
      <c r="H60" s="21" t="s">
        <v>213</v>
      </c>
      <c r="I60" s="13">
        <v>42832.462500000001</v>
      </c>
      <c r="J60" s="7">
        <v>0</v>
      </c>
      <c r="K60" s="97" t="str">
        <f t="shared" si="0"/>
        <v>4025/4026</v>
      </c>
      <c r="L60" s="21" t="str">
        <f>VLOOKUP(A60,'Trips&amp;Operators'!$C$1:$G$99999,5,FALSE)</f>
        <v>ROBINSON KADDIBA</v>
      </c>
      <c r="M60" s="6">
        <f t="shared" si="1"/>
        <v>2.7604166665696539E-2</v>
      </c>
      <c r="N60" s="7">
        <f t="shared" si="25"/>
        <v>39.749999998603016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-04-07T09:19:02-0600',mode:absolute,to:'2017-04-07T12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0" s="183" t="str">
        <f t="shared" si="6"/>
        <v>N</v>
      </c>
      <c r="X60" s="183">
        <f t="shared" si="24"/>
        <v>1</v>
      </c>
      <c r="Y60" s="62">
        <f t="shared" si="26"/>
        <v>23.296099999999999</v>
      </c>
      <c r="Z60" s="62">
        <f t="shared" si="9"/>
        <v>1.47E-2</v>
      </c>
      <c r="AA60" s="62">
        <f t="shared" si="10"/>
        <v>23.281399999999998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0148-07</v>
      </c>
      <c r="AE60" s="85" t="str">
        <f t="shared" si="12"/>
        <v>aws s3 cp s3://rtdc.mdm.uploadarchive.raw/RTDC4025/ "%USERPROFILE%\AppData\Local\Temp\OnboardLogs"\RTDC4025\2017-04-07 --exclude "*" --recursive --include "*20170407*" &amp; "%USERPROFILE%\Documents\GitHub\mrs-test-scripts\Headless Mode &amp; Sideloading\WalkAndUnGZ.bat" "%USERPROFILE%\AppData\Local\Temp\OnboardLogs"\RTDC4025\2017-04-07 &amp; aws s3 cp s3://rtdc.mdm.uploadarchive.raw/RTDC4025/ "%USERPROFILE%\AppData\Local\Temp\OnboardLogs"\RTDC4025\2017-04-08 --exclude "*" --recursive --include "*20170408*" &amp; "%USERPROFILE%\Documents\GitHub\mrs-test-scripts\Headless Mode &amp; Sideloading\WalkAndUnGZ.bat" "%USERPROFILE%\AppData\Local\Temp\OnboardLogs"\RTDC4025\2017-04-08</v>
      </c>
      <c r="AF60" s="82" t="str">
        <f t="shared" si="13"/>
        <v>"C:\Program Files (x86)\AstroGrep\AstroGrep.exe" /e /r /s /spath="%USERPROFILE%\AppData\Local\Temp\OnboardLogs" /stypes="app*4025*20170407*"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9"/>
        <v>"%USERPROFILE%\Documents\GitHub\eaglep3\Utilities\RefineRTDCRunTimes.py" --tripid 148-07 --locoid 4025 --swversion DE.1.0.9.0 --startMP 204:232961 --initTime 2017-04-07T10:19:02 --startdatetime 2017-04-07T10:26:15 --delay 1 --endMP 204:147 --enddatetime 2017-04-07T11:06:00 --enforcementcount 0 &gt;&gt;C:\Users\stu\Documents\GitHub\eaglep3-reporting\EC\2017-04-07-refined-times.txt</v>
      </c>
      <c r="AI60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{"issue":{"subject":"","project_id":79,"tracker_id":40,"status_id":1,"priority_id":2,"assigned_to_id":23,"start_date":"2017-04-07","description":"","custom_fields":[{"id":1,"name":"Subdivision","value":"EC"},{"id":4,"name":"Milepost","value":"0.0147"},{"id":17,"name":"Train ID","value":"148-07"},{"id":16,"name":"Locomotive ID","value":"4025"},{"id":130,"name":"Impact","value":""},{"id":150,"name":"Time of Event (Mountain Time)","value":"11:06:00"},{"id":151,"name":"Denver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4025 --day 2017-04-07</v>
      </c>
      <c r="AN60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17:06:00"},{"id":29,"name":"Sharepoint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633</v>
      </c>
      <c r="B61" s="7">
        <v>4010</v>
      </c>
      <c r="C61" s="21" t="s">
        <v>216</v>
      </c>
      <c r="D61" s="21" t="s">
        <v>871</v>
      </c>
      <c r="E61" s="13">
        <v>42832.404513888891</v>
      </c>
      <c r="F61" s="13">
        <v>42832.406400462962</v>
      </c>
      <c r="G61" s="7">
        <v>1</v>
      </c>
      <c r="H61" s="21" t="s">
        <v>872</v>
      </c>
      <c r="I61" s="13">
        <v>42832.431979166664</v>
      </c>
      <c r="J61" s="7">
        <v>0</v>
      </c>
      <c r="K61" s="97" t="str">
        <f t="shared" si="0"/>
        <v>4009/4010</v>
      </c>
      <c r="L61" s="21" t="str">
        <f>VLOOKUP(A61,'Trips&amp;Operators'!$C$1:$G$99999,5,FALSE)</f>
        <v>STARKS ANGELINA</v>
      </c>
      <c r="M61" s="6">
        <f t="shared" si="1"/>
        <v>2.5578703702194616E-2</v>
      </c>
      <c r="N61" s="7">
        <f t="shared" si="25"/>
        <v>36.833333331160247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-04-07T08:42:30-0600',mode:absolute,to:'2017-04-07T11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1" s="183" t="str">
        <f t="shared" si="6"/>
        <v>N</v>
      </c>
      <c r="X61" s="183">
        <f t="shared" si="24"/>
        <v>1</v>
      </c>
      <c r="Y61" s="62">
        <f t="shared" si="26"/>
        <v>4.2200000000000001E-2</v>
      </c>
      <c r="Z61" s="62">
        <v>23.3</v>
      </c>
      <c r="AA61" s="62">
        <f t="shared" si="10"/>
        <v>23.2578</v>
      </c>
      <c r="AB61" s="59" t="str">
        <f>VLOOKUP(A61,Enforcements!$C$7:$K$13,8,0)</f>
        <v>Bulletin (2)</v>
      </c>
      <c r="AC61" s="55" t="str">
        <f>VLOOKUP(A61,Enforcements!$C$7:$E$13,3,0)</f>
        <v>GRADE CROSSING</v>
      </c>
      <c r="AD61" s="56" t="str">
        <f t="shared" si="11"/>
        <v>0149-07</v>
      </c>
      <c r="AE61" s="85" t="str">
        <f t="shared" si="12"/>
        <v>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 &amp; 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</v>
      </c>
      <c r="AF61" s="82" t="str">
        <f t="shared" si="13"/>
        <v>"C:\Program Files (x86)\AstroGrep\AstroGrep.exe" /e /r /s /spath="%USERPROFILE%\AppData\Local\Temp\OnboardLogs" /stypes="app*4010*20170407*"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9"/>
        <v>"%USERPROFILE%\Documents\GitHub\eaglep3\Utilities\RefineRTDCRunTimes.py" --tripid 149-07 --locoid 4010 --swversion DE.1.0.9.0 --startMP 204:422 --initTime 2017-04-07T09:42:30 --startdatetime 2017-04-07T09:45:13 --delay 1 --endMP 204:64159 --enddatetime 2017-04-07T10:22:03 --enforcementcount 0 &gt;&gt;C:\Users\stu\Documents\GitHub\eaglep3-reporting\EC\2017-04-07-refined-times.txt</v>
      </c>
      <c r="AI61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{"issue":{"subject":"","project_id":79,"tracker_id":40,"status_id":1,"priority_id":2,"assigned_to_id":23,"start_date":"2017-04-07","description":"","custom_fields":[{"id":1,"name":"Subdivision","value":"EC"},{"id":4,"name":"Milepost","value":"23.3"},{"id":17,"name":"Train ID","value":"149-07"},{"id":16,"name":"Locomotive ID","value":"4010"},{"id":130,"name":"Impact","value":""},{"id":150,"name":"Time of Event (Mountain Time)","value":"10:22:03"},{"id":151,"name":"Denver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4010 --day 2017-04-07</v>
      </c>
      <c r="AN61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16:22:03"},{"id":29,"name":"Sharepoint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726</v>
      </c>
      <c r="B62" s="7">
        <v>4009</v>
      </c>
      <c r="C62" s="21" t="s">
        <v>216</v>
      </c>
      <c r="D62" s="21" t="s">
        <v>421</v>
      </c>
      <c r="E62" s="13">
        <v>42832.437395833331</v>
      </c>
      <c r="F62" s="13">
        <v>42832.445300925923</v>
      </c>
      <c r="G62" s="7">
        <v>2</v>
      </c>
      <c r="H62" s="21" t="s">
        <v>860</v>
      </c>
      <c r="I62" s="13">
        <v>42832.476064814815</v>
      </c>
      <c r="J62" s="7">
        <v>0</v>
      </c>
      <c r="K62" s="97" t="str">
        <f t="shared" si="0"/>
        <v>4009/4010</v>
      </c>
      <c r="L62" s="21" t="str">
        <f>VLOOKUP(A62,'Trips&amp;Operators'!$C$1:$G$99999,5,FALSE)</f>
        <v>STARKS ANGELINA</v>
      </c>
      <c r="M62" s="6">
        <f t="shared" si="1"/>
        <v>3.0763888891669922E-2</v>
      </c>
      <c r="N62" s="7">
        <f t="shared" si="25"/>
        <v>44.300000004004687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-04-07T09:29:51-0600',mode:absolute,to:'2017-04-07T12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2" s="183" t="str">
        <f t="shared" si="6"/>
        <v>N</v>
      </c>
      <c r="X62" s="183">
        <f t="shared" si="24"/>
        <v>1</v>
      </c>
      <c r="Y62" s="62">
        <f t="shared" si="26"/>
        <v>23.2989</v>
      </c>
      <c r="Z62" s="62">
        <f t="shared" ref="Z62:Z93" si="27">RIGHT(H62,LEN(H62)-4)/10000</f>
        <v>1.4999999999999999E-2</v>
      </c>
      <c r="AA62" s="62">
        <f t="shared" si="10"/>
        <v>23.283899999999999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0150-07</v>
      </c>
      <c r="AE62" s="85" t="str">
        <f t="shared" si="12"/>
        <v>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 &amp; aws s3 cp s3://rtdc.mdm.uploadarchive.raw/RTDC4009/ "%USERPROFILE%\AppData\Local\Temp\OnboardLogs"\RTDC4009\2017-04-08 --exclude "*" --recursive --include "*20170408*" &amp; "%USERPROFILE%\Documents\GitHub\mrs-test-scripts\Headless Mode &amp; Sideloading\WalkAndUnGZ.bat" "%USERPROFILE%\AppData\Local\Temp\OnboardLogs"\RTDC4009\2017-04-08</v>
      </c>
      <c r="AF62" s="82" t="str">
        <f t="shared" si="13"/>
        <v>"C:\Program Files (x86)\AstroGrep\AstroGrep.exe" /e /r /s /spath="%USERPROFILE%\AppData\Local\Temp\OnboardLogs" /stypes="app*4009*20170407*"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9"/>
        <v>"%USERPROFILE%\Documents\GitHub\eaglep3\Utilities\RefineRTDCRunTimes.py" --tripid 150-07 --locoid 4009 --swversion DE.1.0.9.0 --startMP 204:232989 --initTime 2017-04-07T10:29:51 --startdatetime 2017-04-07T10:41:14 --delay 2 --endMP 204:150 --enddatetime 2017-04-07T11:25:32 --enforcementcount 0 &gt;&gt;C:\Users\stu\Documents\GitHub\eaglep3-reporting\EC\2017-04-07-refined-times.txt</v>
      </c>
      <c r="AI62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{"issue":{"subject":"","project_id":79,"tracker_id":40,"status_id":1,"priority_id":2,"assigned_to_id":23,"start_date":"2017-04-07","description":"","custom_fields":[{"id":1,"name":"Subdivision","value":"EC"},{"id":4,"name":"Milepost","value":"0.015"},{"id":17,"name":"Train ID","value":"150-07"},{"id":16,"name":"Locomotive ID","value":"4009"},{"id":130,"name":"Impact","value":""},{"id":150,"name":"Time of Event (Mountain Time)","value":"11:25:32"},{"id":151,"name":"Denver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4009 --day 2017-04-07</v>
      </c>
      <c r="AN62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17:25:32"},{"id":29,"name":"Sharepoint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634</v>
      </c>
      <c r="B63" s="7">
        <v>4016</v>
      </c>
      <c r="C63" s="21" t="s">
        <v>216</v>
      </c>
      <c r="D63" s="21" t="s">
        <v>521</v>
      </c>
      <c r="E63" s="13">
        <v>42832.411932870367</v>
      </c>
      <c r="F63" s="13">
        <v>42832.416909722226</v>
      </c>
      <c r="G63" s="7">
        <v>1</v>
      </c>
      <c r="H63" s="21" t="s">
        <v>873</v>
      </c>
      <c r="I63" s="13">
        <v>42832.441504629627</v>
      </c>
      <c r="J63" s="7">
        <v>0</v>
      </c>
      <c r="K63" s="97" t="str">
        <f t="shared" si="0"/>
        <v>4015/4016</v>
      </c>
      <c r="L63" s="21" t="str">
        <f>VLOOKUP(A63,'Trips&amp;Operators'!$C$1:$G$99999,5,FALSE)</f>
        <v>LOZA FIDEL</v>
      </c>
      <c r="M63" s="6">
        <f t="shared" si="1"/>
        <v>2.4594907401478849E-2</v>
      </c>
      <c r="N63" s="7">
        <f t="shared" si="25"/>
        <v>35.416666658129543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-04-07T08:53:11-0600',mode:absolute,to:'2017-04-07T11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183" t="str">
        <f t="shared" si="6"/>
        <v>N</v>
      </c>
      <c r="X63" s="183">
        <f t="shared" ref="X63:X93" si="28">VALUE(LEFT(AD63,4))-VALUE(LEFT(AD62,4))</f>
        <v>1</v>
      </c>
      <c r="Y63" s="62">
        <f t="shared" si="26"/>
        <v>4.6899999999999997E-2</v>
      </c>
      <c r="Z63" s="62">
        <f t="shared" si="27"/>
        <v>23.340800000000002</v>
      </c>
      <c r="AA63" s="62">
        <f t="shared" si="10"/>
        <v>23.293900000000001</v>
      </c>
      <c r="AB63" s="59" t="str">
        <f>VLOOKUP(A63,Enforcements!$C$7:$K$13,8,0)</f>
        <v>Bulletin (2)</v>
      </c>
      <c r="AC63" s="55" t="str">
        <f>VLOOKUP(A63,Enforcements!$C$7:$E$13,3,0)</f>
        <v>GRADE CROSSING</v>
      </c>
      <c r="AD63" s="56" t="str">
        <f t="shared" si="11"/>
        <v>0151-07</v>
      </c>
      <c r="AE63" s="85" t="str">
        <f t="shared" si="12"/>
        <v>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 &amp; aws s3 cp s3://rtdc.mdm.uploadarchive.raw/RTDC4016/ "%USERPROFILE%\AppData\Local\Temp\OnboardLogs"\RTDC4016\2017-04-08 --exclude "*" --recursive --include "*20170408*" &amp; "%USERPROFILE%\Documents\GitHub\mrs-test-scripts\Headless Mode &amp; Sideloading\WalkAndUnGZ.bat" "%USERPROFILE%\AppData\Local\Temp\OnboardLogs"\RTDC4016\2017-04-08</v>
      </c>
      <c r="AF63" s="82" t="str">
        <f t="shared" si="13"/>
        <v>"C:\Program Files (x86)\AstroGrep\AstroGrep.exe" /e /r /s /spath="%USERPROFILE%\AppData\Local\Temp\OnboardLogs" /stypes="app*4016*20170407*"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9"/>
        <v>"%USERPROFILE%\Documents\GitHub\eaglep3\Utilities\RefineRTDCRunTimes.py" --tripid 151-07 --locoid 4016 --swversion DE.1.0.9.0 --startMP 204:469 --initTime 2017-04-07T09:53:11 --startdatetime 2017-04-07T10:00:21 --delay 1 --endMP 204:233408 --enddatetime 2017-04-07T10:35:46 --enforcementcount 0 &gt;&gt;C:\Users\stu\Documents\GitHub\eaglep3-reporting\EC\2017-04-07-refined-times.txt</v>
      </c>
      <c r="AI63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{"issue":{"subject":"","project_id":79,"tracker_id":40,"status_id":1,"priority_id":2,"assigned_to_id":23,"start_date":"2017-04-07","description":"","custom_fields":[{"id":1,"name":"Subdivision","value":"EC"},{"id":4,"name":"Milepost","value":"23.3408"},{"id":17,"name":"Train ID","value":"151-07"},{"id":16,"name":"Locomotive ID","value":"4016"},{"id":130,"name":"Impact","value":""},{"id":150,"name":"Time of Event (Mountain Time)","value":"10:35:46"},{"id":151,"name":"Denver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4016 --day 2017-04-07</v>
      </c>
      <c r="AN63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16:35:46"},{"id":29,"name":"Sharepoint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729</v>
      </c>
      <c r="B64" s="7">
        <v>4015</v>
      </c>
      <c r="C64" s="21" t="s">
        <v>216</v>
      </c>
      <c r="D64" s="21" t="s">
        <v>874</v>
      </c>
      <c r="E64" s="13">
        <v>42832.445752314816</v>
      </c>
      <c r="F64" s="13">
        <v>42832.456099537034</v>
      </c>
      <c r="G64" s="7">
        <v>1</v>
      </c>
      <c r="H64" s="21" t="s">
        <v>432</v>
      </c>
      <c r="I64" s="13">
        <v>42832.483113425929</v>
      </c>
      <c r="J64" s="7">
        <v>0</v>
      </c>
      <c r="K64" s="97" t="str">
        <f t="shared" si="0"/>
        <v>4015/4016</v>
      </c>
      <c r="L64" s="21" t="str">
        <f>VLOOKUP(A64,'Trips&amp;Operators'!$C$1:$G$99999,5,FALSE)</f>
        <v>LOZA FIDEL</v>
      </c>
      <c r="M64" s="6">
        <f t="shared" si="1"/>
        <v>2.701388889545342E-2</v>
      </c>
      <c r="N64" s="7">
        <f t="shared" si="25"/>
        <v>38.900000009452924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-04-07T09:41:53-0600',mode:absolute,to:'2017-04-07T12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183" t="str">
        <f t="shared" si="6"/>
        <v>N</v>
      </c>
      <c r="X64" s="183">
        <f t="shared" si="28"/>
        <v>1</v>
      </c>
      <c r="Y64" s="62">
        <f t="shared" si="26"/>
        <v>23.308800000000002</v>
      </c>
      <c r="Z64" s="62">
        <f t="shared" si="27"/>
        <v>1.6E-2</v>
      </c>
      <c r="AA64" s="62">
        <f t="shared" si="10"/>
        <v>23.292800000000003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0152-07</v>
      </c>
      <c r="AE64" s="85" t="str">
        <f t="shared" si="12"/>
        <v>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 &amp; aws s3 cp s3://rtdc.mdm.uploadarchive.raw/RTDC4015/ "%USERPROFILE%\AppData\Local\Temp\OnboardLogs"\RTDC4015\2017-04-08 --exclude "*" --recursive --include "*20170408*" &amp; "%USERPROFILE%\Documents\GitHub\mrs-test-scripts\Headless Mode &amp; Sideloading\WalkAndUnGZ.bat" "%USERPROFILE%\AppData\Local\Temp\OnboardLogs"\RTDC4015\2017-04-08</v>
      </c>
      <c r="AF64" s="82" t="str">
        <f t="shared" si="13"/>
        <v>"C:\Program Files (x86)\AstroGrep\AstroGrep.exe" /e /r /s /spath="%USERPROFILE%\AppData\Local\Temp\OnboardLogs" /stypes="app*4015*20170407*"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9"/>
        <v>"%USERPROFILE%\Documents\GitHub\eaglep3\Utilities\RefineRTDCRunTimes.py" --tripid 152-07 --locoid 4015 --swversion DE.1.0.9.0 --startMP 204:233088 --initTime 2017-04-07T10:41:53 --startdatetime 2017-04-07T10:56:47 --delay 1 --endMP 204:160 --enddatetime 2017-04-07T11:35:41 --enforcementcount 0 &gt;&gt;C:\Users\stu\Documents\GitHub\eaglep3-reporting\EC\2017-04-07-refined-times.txt</v>
      </c>
      <c r="AI64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{"issue":{"subject":"","project_id":79,"tracker_id":40,"status_id":1,"priority_id":2,"assigned_to_id":23,"start_date":"2017-04-07","description":"","custom_fields":[{"id":1,"name":"Subdivision","value":"EC"},{"id":4,"name":"Milepost","value":"0.016"},{"id":17,"name":"Train ID","value":"152-07"},{"id":16,"name":"Locomotive ID","value":"4015"},{"id":130,"name":"Impact","value":""},{"id":150,"name":"Time of Event (Mountain Time)","value":"11:35:41"},{"id":151,"name":"Denver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4015 --day 2017-04-07</v>
      </c>
      <c r="AN64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723</v>
      </c>
      <c r="B65" s="7">
        <v>4020</v>
      </c>
      <c r="C65" s="21" t="s">
        <v>216</v>
      </c>
      <c r="D65" s="21" t="s">
        <v>418</v>
      </c>
      <c r="E65" s="13">
        <v>42832.42391203704</v>
      </c>
      <c r="F65" s="13">
        <v>42832.42732638889</v>
      </c>
      <c r="G65" s="7">
        <v>1</v>
      </c>
      <c r="H65" s="21" t="s">
        <v>496</v>
      </c>
      <c r="I65" s="13">
        <v>42832.453634259262</v>
      </c>
      <c r="J65" s="7">
        <v>0</v>
      </c>
      <c r="K65" s="97" t="str">
        <f t="shared" si="0"/>
        <v>4019/4020</v>
      </c>
      <c r="L65" s="21" t="str">
        <f>VLOOKUP(A65,'Trips&amp;Operators'!$C$1:$G$99999,5,FALSE)</f>
        <v>FORTUNATO FRANK</v>
      </c>
      <c r="M65" s="6">
        <f t="shared" si="1"/>
        <v>2.6307870371965691E-2</v>
      </c>
      <c r="N65" s="7">
        <f t="shared" si="25"/>
        <v>37.883333335630596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-04-07T09:10:26-0600',mode:absolute,to:'2017-04-07T11:53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5" s="183" t="str">
        <f t="shared" si="6"/>
        <v>N</v>
      </c>
      <c r="X65" s="183">
        <f t="shared" si="28"/>
        <v>1</v>
      </c>
      <c r="Y65" s="62">
        <f t="shared" si="26"/>
        <v>4.6199999999999998E-2</v>
      </c>
      <c r="Z65" s="62">
        <f t="shared" si="27"/>
        <v>23.33</v>
      </c>
      <c r="AA65" s="62">
        <f t="shared" si="10"/>
        <v>23.283799999999999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0153-07</v>
      </c>
      <c r="AE65" s="85" t="str">
        <f t="shared" si="12"/>
        <v>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 &amp; 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</v>
      </c>
      <c r="AF65" s="82" t="str">
        <f t="shared" si="13"/>
        <v>"C:\Program Files (x86)\AstroGrep\AstroGrep.exe" /e /r /s /spath="%USERPROFILE%\AppData\Local\Temp\OnboardLogs" /stypes="app*4020*20170407*"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9"/>
        <v>"%USERPROFILE%\Documents\GitHub\eaglep3\Utilities\RefineRTDCRunTimes.py" --tripid 153-07 --locoid 4020 --swversion DE.1.0.9.0 --startMP 204:462 --initTime 2017-04-07T10:10:26 --startdatetime 2017-04-07T10:15:21 --delay 1 --endMP 204:233300 --enddatetime 2017-04-07T10:53:14 --enforcementcount 0 &gt;&gt;C:\Users\stu\Documents\GitHub\eaglep3-reporting\EC\2017-04-07-refined-times.txt</v>
      </c>
      <c r="AI65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{"issue":{"subject":"","project_id":79,"tracker_id":40,"status_id":1,"priority_id":2,"assigned_to_id":23,"start_date":"2017-04-07","description":"","custom_fields":[{"id":1,"name":"Subdivision","value":"EC"},{"id":4,"name":"Milepost","value":"23.33"},{"id":17,"name":"Train ID","value":"153-07"},{"id":16,"name":"Locomotive ID","value":"4020"},{"id":130,"name":"Impact","value":""},{"id":150,"name":"Time of Event (Mountain Time)","value":"10:53:14"},{"id":151,"name":"Denver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4020 --day 2017-04-07</v>
      </c>
      <c r="AN65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16:53:14"},{"id":29,"name":"Sharepoint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732</v>
      </c>
      <c r="B66" s="7">
        <v>4019</v>
      </c>
      <c r="C66" s="21" t="s">
        <v>216</v>
      </c>
      <c r="D66" s="21" t="s">
        <v>582</v>
      </c>
      <c r="E66" s="13">
        <v>42832.45648148148</v>
      </c>
      <c r="F66" s="13">
        <v>42832.466249999998</v>
      </c>
      <c r="G66" s="7">
        <v>0</v>
      </c>
      <c r="H66" s="21" t="s">
        <v>184</v>
      </c>
      <c r="I66" s="13">
        <v>42832.494710648149</v>
      </c>
      <c r="J66" s="7">
        <v>0</v>
      </c>
      <c r="K66" s="97" t="str">
        <f t="shared" si="0"/>
        <v>4019/4020</v>
      </c>
      <c r="L66" s="21" t="str">
        <f>VLOOKUP(A66,'Trips&amp;Operators'!$C$1:$G$99999,5,FALSE)</f>
        <v>FORTUNATO FRANK</v>
      </c>
      <c r="M66" s="6">
        <f t="shared" si="1"/>
        <v>2.846064815093996E-2</v>
      </c>
      <c r="N66" s="7">
        <f t="shared" si="25"/>
        <v>40.983333337353542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-04-07T09:57:20-0600',mode:absolute,to:'2017-04-07T12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6" s="183" t="str">
        <f t="shared" si="6"/>
        <v>N</v>
      </c>
      <c r="X66" s="183">
        <f t="shared" si="28"/>
        <v>1</v>
      </c>
      <c r="Y66" s="62">
        <f t="shared" si="26"/>
        <v>23.299099999999999</v>
      </c>
      <c r="Z66" s="62">
        <f t="shared" si="27"/>
        <v>1.49E-2</v>
      </c>
      <c r="AA66" s="62">
        <f t="shared" si="10"/>
        <v>23.284199999999998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0154-07</v>
      </c>
      <c r="AE66" s="85" t="str">
        <f t="shared" si="12"/>
        <v>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 &amp; aws s3 cp s3://rtdc.mdm.uploadarchive.raw/RTDC4019/ "%USERPROFILE%\AppData\Local\Temp\OnboardLogs"\RTDC4019\2017-04-08 --exclude "*" --recursive --include "*20170408*" &amp; "%USERPROFILE%\Documents\GitHub\mrs-test-scripts\Headless Mode &amp; Sideloading\WalkAndUnGZ.bat" "%USERPROFILE%\AppData\Local\Temp\OnboardLogs"\RTDC4019\2017-04-08</v>
      </c>
      <c r="AF66" s="82" t="str">
        <f t="shared" si="13"/>
        <v>"C:\Program Files (x86)\AstroGrep\AstroGrep.exe" /e /r /s /spath="%USERPROFILE%\AppData\Local\Temp\OnboardLogs" /stypes="app*4019*20170407*"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9"/>
        <v>"%USERPROFILE%\Documents\GitHub\eaglep3\Utilities\RefineRTDCRunTimes.py" --tripid 154-07 --locoid 4019 --swversion DE.1.0.9.0 --startMP 204:232991 --initTime 2017-04-07T10:57:20 --startdatetime 2017-04-07T11:11:24 --delay 0 --endMP 204:149 --enddatetime 2017-04-07T11:52:23 --enforcementcount 0 &gt;&gt;C:\Users\stu\Documents\GitHub\eaglep3-reporting\EC\2017-04-07-refined-times.txt</v>
      </c>
      <c r="AI66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{"issue":{"subject":"","project_id":79,"tracker_id":40,"status_id":1,"priority_id":2,"assigned_to_id":23,"start_date":"2017-04-07","description":"","custom_fields":[{"id":1,"name":"Subdivision","value":"EC"},{"id":4,"name":"Milepost","value":"0.0149"},{"id":17,"name":"Train ID","value":"154-07"},{"id":16,"name":"Locomotive ID","value":"4019"},{"id":130,"name":"Impact","value":""},{"id":150,"name":"Time of Event (Mountain Time)","value":"11:52:23"},{"id":151,"name":"Denver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4019 --day 2017-04-07</v>
      </c>
      <c r="AN66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17:52:23"},{"id":29,"name":"Sharepoint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725</v>
      </c>
      <c r="B67" s="7">
        <v>4022</v>
      </c>
      <c r="C67" s="21" t="s">
        <v>216</v>
      </c>
      <c r="D67" s="21" t="s">
        <v>420</v>
      </c>
      <c r="E67" s="13">
        <v>42832.433483796296</v>
      </c>
      <c r="F67" s="13">
        <v>42832.437754629631</v>
      </c>
      <c r="G67" s="7">
        <v>2</v>
      </c>
      <c r="H67" s="21" t="s">
        <v>875</v>
      </c>
      <c r="I67" s="13">
        <v>42832.462048611109</v>
      </c>
      <c r="J67" s="7">
        <v>0</v>
      </c>
      <c r="K67" s="97" t="str">
        <f t="shared" si="0"/>
        <v>4021/4022</v>
      </c>
      <c r="L67" s="21" t="str">
        <f>VLOOKUP(A67,'Trips&amp;Operators'!$C$1:$G$99999,5,FALSE)</f>
        <v>GEBRETEKLE DAGNEW</v>
      </c>
      <c r="M67" s="6">
        <f t="shared" si="1"/>
        <v>2.4293981477967463E-2</v>
      </c>
      <c r="N67" s="7">
        <f t="shared" si="25"/>
        <v>34.983333328273147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-04-07T09:24:13-0600',mode:absolute,to:'2017-04-07T12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7" s="183" t="str">
        <f t="shared" si="6"/>
        <v>N</v>
      </c>
      <c r="X67" s="183">
        <f t="shared" si="28"/>
        <v>1</v>
      </c>
      <c r="Y67" s="62">
        <f t="shared" si="26"/>
        <v>4.3999999999999997E-2</v>
      </c>
      <c r="Z67" s="62">
        <f t="shared" si="27"/>
        <v>23.332599999999999</v>
      </c>
      <c r="AA67" s="62">
        <f t="shared" si="10"/>
        <v>23.288599999999999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0155-07</v>
      </c>
      <c r="AE67" s="85" t="str">
        <f t="shared" si="12"/>
        <v>aws s3 cp s3://rtdc.mdm.uploadarchive.raw/RTDC4022/ "%USERPROFILE%\AppData\Local\Temp\OnboardLogs"\RTDC4022\2017-04-07 --exclude "*" --recursive --include "*20170407*" &amp; "%USERPROFILE%\Documents\GitHub\mrs-test-scripts\Headless Mode &amp; Sideloading\WalkAndUnGZ.bat" "%USERPROFILE%\AppData\Local\Temp\OnboardLogs"\RTDC4022\2017-04-07 &amp; 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</v>
      </c>
      <c r="AF67" s="82" t="str">
        <f t="shared" si="13"/>
        <v>"C:\Program Files (x86)\AstroGrep\AstroGrep.exe" /e /r /s /spath="%USERPROFILE%\AppData\Local\Temp\OnboardLogs" /stypes="app*4022*20170407*"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9"/>
        <v>"%USERPROFILE%\Documents\GitHub\eaglep3\Utilities\RefineRTDCRunTimes.py" --tripid 155-07 --locoid 4022 --swversion DE.1.0.9.0 --startMP 204:440 --initTime 2017-04-07T10:24:13 --startdatetime 2017-04-07T10:30:22 --delay 2 --endMP 204:233326 --enddatetime 2017-04-07T11:05:21 --enforcementcount 0 &gt;&gt;C:\Users\stu\Documents\GitHub\eaglep3-reporting\EC\2017-04-07-refined-times.txt</v>
      </c>
      <c r="AI67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{"issue":{"subject":"","project_id":79,"tracker_id":40,"status_id":1,"priority_id":2,"assigned_to_id":23,"start_date":"2017-04-07","description":"","custom_fields":[{"id":1,"name":"Subdivision","value":"EC"},{"id":4,"name":"Milepost","value":"23.3326"},{"id":17,"name":"Train ID","value":"155-07"},{"id":16,"name":"Locomotive ID","value":"4022"},{"id":130,"name":"Impact","value":""},{"id":150,"name":"Time of Event (Mountain Time)","value":"11:05:21"},{"id":151,"name":"Denver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4022 --day 2017-04-07</v>
      </c>
      <c r="AN67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17:05:21"},{"id":29,"name":"Sharepoint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736</v>
      </c>
      <c r="B68" s="7">
        <v>4021</v>
      </c>
      <c r="C68" s="21" t="s">
        <v>216</v>
      </c>
      <c r="D68" s="21" t="s">
        <v>876</v>
      </c>
      <c r="E68" s="13">
        <v>42832.471817129626</v>
      </c>
      <c r="F68" s="13">
        <v>42832.476574074077</v>
      </c>
      <c r="G68" s="7">
        <v>2</v>
      </c>
      <c r="H68" s="21" t="s">
        <v>860</v>
      </c>
      <c r="I68" s="13">
        <v>42832.503379629627</v>
      </c>
      <c r="J68" s="7">
        <v>0</v>
      </c>
      <c r="K68" s="97" t="str">
        <f t="shared" si="0"/>
        <v>4021/4022</v>
      </c>
      <c r="L68" s="21" t="str">
        <f>VLOOKUP(A68,'Trips&amp;Operators'!$C$1:$G$99999,5,FALSE)</f>
        <v>GEBRETEKLE DAGNEW</v>
      </c>
      <c r="M68" s="6">
        <f t="shared" si="1"/>
        <v>2.6805555549799465E-2</v>
      </c>
      <c r="N68" s="7">
        <f t="shared" si="25"/>
        <v>38.599999991711229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-04-07T10:19:25-0600',mode:absolute,to:'2017-04-07T13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8" s="183" t="str">
        <f t="shared" si="6"/>
        <v>N</v>
      </c>
      <c r="X68" s="183">
        <f t="shared" si="28"/>
        <v>1</v>
      </c>
      <c r="Y68" s="62">
        <f t="shared" si="26"/>
        <v>23.3005</v>
      </c>
      <c r="Z68" s="62">
        <f t="shared" si="27"/>
        <v>1.4999999999999999E-2</v>
      </c>
      <c r="AA68" s="62">
        <f t="shared" si="10"/>
        <v>23.285499999999999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0156-07</v>
      </c>
      <c r="AE68" s="85" t="str">
        <f t="shared" si="12"/>
        <v>aws s3 cp s3://rtdc.mdm.uploadarchive.raw/RTDC4021/ "%USERPROFILE%\AppData\Local\Temp\OnboardLogs"\RTDC4021\2017-04-07 --exclude "*" --recursive --include "*20170407*" &amp; "%USERPROFILE%\Documents\GitHub\mrs-test-scripts\Headless Mode &amp; Sideloading\WalkAndUnGZ.bat" "%USERPROFILE%\AppData\Local\Temp\OnboardLogs"\RTDC4021\2017-04-07 &amp; 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</v>
      </c>
      <c r="AF68" s="82" t="str">
        <f t="shared" si="13"/>
        <v>"C:\Program Files (x86)\AstroGrep\AstroGrep.exe" /e /r /s /spath="%USERPROFILE%\AppData\Local\Temp\OnboardLogs" /stypes="app*4021*20170407*"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9"/>
        <v>"%USERPROFILE%\Documents\GitHub\eaglep3\Utilities\RefineRTDCRunTimes.py" --tripid 156-07 --locoid 4021 --swversion DE.1.0.9.0 --startMP 204:233005 --initTime 2017-04-07T11:19:25 --startdatetime 2017-04-07T11:26:16 --delay 2 --endMP 204:150 --enddatetime 2017-04-07T12:04:52 --enforcementcount 0 &gt;&gt;C:\Users\stu\Documents\GitHub\eaglep3-reporting\EC\2017-04-07-refined-times.txt</v>
      </c>
      <c r="AI68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{"issue":{"subject":"","project_id":79,"tracker_id":40,"status_id":1,"priority_id":2,"assigned_to_id":23,"start_date":"2017-04-07","description":"","custom_fields":[{"id":1,"name":"Subdivision","value":"EC"},{"id":4,"name":"Milepost","value":"0.015"},{"id":17,"name":"Train ID","value":"156-07"},{"id":16,"name":"Locomotive ID","value":"4021"},{"id":130,"name":"Impact","value":""},{"id":150,"name":"Time of Event (Mountain Time)","value":"12:04:52"},{"id":151,"name":"Denver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4021 --day 2017-04-07</v>
      </c>
      <c r="AN68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18:04:52"},{"id":29,"name":"Sharepoint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728</v>
      </c>
      <c r="B69" s="7">
        <v>4032</v>
      </c>
      <c r="C69" s="21" t="s">
        <v>216</v>
      </c>
      <c r="D69" s="21" t="s">
        <v>877</v>
      </c>
      <c r="E69" s="13">
        <v>42832.443113425928</v>
      </c>
      <c r="F69" s="13">
        <v>42832.448368055557</v>
      </c>
      <c r="G69" s="7">
        <v>1</v>
      </c>
      <c r="H69" s="21" t="s">
        <v>584</v>
      </c>
      <c r="I69" s="13">
        <v>42832.474490740744</v>
      </c>
      <c r="J69" s="7">
        <v>0</v>
      </c>
      <c r="K69" s="97" t="str">
        <f t="shared" si="0"/>
        <v>4031/4032</v>
      </c>
      <c r="L69" s="21" t="str">
        <f>VLOOKUP(A69,'Trips&amp;Operators'!$C$1:$G$99999,5,FALSE)</f>
        <v>MENGES BRAD</v>
      </c>
      <c r="M69" s="6">
        <f t="shared" si="1"/>
        <v>2.6122685187146999E-2</v>
      </c>
      <c r="N69" s="7">
        <f t="shared" si="25"/>
        <v>37.616666669491678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-04-07T09:38:05-0600',mode:absolute,to:'2017-04-07T12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9" s="183" t="str">
        <f t="shared" si="6"/>
        <v>N</v>
      </c>
      <c r="X69" s="183">
        <f t="shared" si="28"/>
        <v>1</v>
      </c>
      <c r="Y69" s="62">
        <f t="shared" si="26"/>
        <v>4.7300000000000002E-2</v>
      </c>
      <c r="Z69" s="62">
        <f t="shared" si="27"/>
        <v>23.328700000000001</v>
      </c>
      <c r="AA69" s="62">
        <f t="shared" si="10"/>
        <v>23.281400000000001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0157-07</v>
      </c>
      <c r="AE69" s="85" t="str">
        <f t="shared" si="12"/>
        <v>aws s3 cp s3://rtdc.mdm.uploadarchive.raw/RTDC4032/ "%USERPROFILE%\AppData\Local\Temp\OnboardLogs"\RTDC4032\2017-04-07 --exclude "*" --recursive --include "*20170407*" &amp; "%USERPROFILE%\Documents\GitHub\mrs-test-scripts\Headless Mode &amp; Sideloading\WalkAndUnGZ.bat" "%USERPROFILE%\AppData\Local\Temp\OnboardLogs"\RTDC4032\2017-04-07 &amp; aws s3 cp s3://rtdc.mdm.uploadarchive.raw/RTDC4032/ "%USERPROFILE%\AppData\Local\Temp\OnboardLogs"\RTDC4032\2017-04-08 --exclude "*" --recursive --include "*20170408*" &amp; "%USERPROFILE%\Documents\GitHub\mrs-test-scripts\Headless Mode &amp; Sideloading\WalkAndUnGZ.bat" "%USERPROFILE%\AppData\Local\Temp\OnboardLogs"\RTDC4032\2017-04-08</v>
      </c>
      <c r="AF69" s="82" t="str">
        <f t="shared" si="13"/>
        <v>"C:\Program Files (x86)\AstroGrep\AstroGrep.exe" /e /r /s /spath="%USERPROFILE%\AppData\Local\Temp\OnboardLogs" /stypes="app*4032*20170407*"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9"/>
        <v>"%USERPROFILE%\Documents\GitHub\eaglep3\Utilities\RefineRTDCRunTimes.py" --tripid 157-07 --locoid 4032 --swversion DE.1.0.9.0 --startMP 204:473 --initTime 2017-04-07T10:38:05 --startdatetime 2017-04-07T10:45:39 --delay 1 --endMP 204:233287 --enddatetime 2017-04-07T11:23:16 --enforcementcount 0 &gt;&gt;C:\Users\stu\Documents\GitHub\eaglep3-reporting\EC\2017-04-07-refined-times.txt</v>
      </c>
      <c r="AI69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{"issue":{"subject":"","project_id":79,"tracker_id":40,"status_id":1,"priority_id":2,"assigned_to_id":23,"start_date":"2017-04-07","description":"","custom_fields":[{"id":1,"name":"Subdivision","value":"EC"},{"id":4,"name":"Milepost","value":"23.3287"},{"id":17,"name":"Train ID","value":"157-07"},{"id":16,"name":"Locomotive ID","value":"4032"},{"id":130,"name":"Impact","value":""},{"id":150,"name":"Time of Event (Mountain Time)","value":"11:23:16"},{"id":151,"name":"Denver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1"/>
        <v>start /low /b %USERPROFILE%\Documents\GitHub\eaglep3\Utilities\DownloadLogsFromS3.py --loco 4032 --day 2017-04-07</v>
      </c>
      <c r="AN69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17:23:16"},{"id":29,"name":"Sharepoint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738</v>
      </c>
      <c r="B70" s="7">
        <v>4031</v>
      </c>
      <c r="C70" s="21" t="s">
        <v>216</v>
      </c>
      <c r="D70" s="21" t="s">
        <v>595</v>
      </c>
      <c r="E70" s="13">
        <v>42832.480034722219</v>
      </c>
      <c r="F70" s="13">
        <v>42832.487233796295</v>
      </c>
      <c r="G70" s="7">
        <v>1</v>
      </c>
      <c r="H70" s="21" t="s">
        <v>184</v>
      </c>
      <c r="I70" s="13">
        <v>42832.515439814815</v>
      </c>
      <c r="J70" s="7">
        <v>0</v>
      </c>
      <c r="K70" s="97" t="str">
        <f t="shared" si="0"/>
        <v>4031/4032</v>
      </c>
      <c r="L70" s="21" t="str">
        <f>VLOOKUP(A70,'Trips&amp;Operators'!$C$1:$G$99999,5,FALSE)</f>
        <v>MENGES BRAD</v>
      </c>
      <c r="M70" s="6">
        <f t="shared" si="1"/>
        <v>2.8206018519995268E-2</v>
      </c>
      <c r="N70" s="7">
        <f t="shared" si="25"/>
        <v>40.616666668793187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-04-07T10:31:15-0600',mode:absolute,to:'2017-04-07T13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0" s="183" t="str">
        <f t="shared" si="6"/>
        <v>N</v>
      </c>
      <c r="X70" s="183">
        <f t="shared" si="28"/>
        <v>1</v>
      </c>
      <c r="Y70" s="62">
        <f t="shared" si="26"/>
        <v>23.2987</v>
      </c>
      <c r="Z70" s="62">
        <f t="shared" si="27"/>
        <v>1.49E-2</v>
      </c>
      <c r="AA70" s="62">
        <f t="shared" si="10"/>
        <v>23.283799999999999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0158-07</v>
      </c>
      <c r="AE70" s="85" t="str">
        <f t="shared" si="12"/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AF70" s="82" t="str">
        <f t="shared" si="13"/>
        <v>"C:\Program Files (x86)\AstroGrep\AstroGrep.exe" /e /r /s /spath="%USERPROFILE%\AppData\Local\Temp\OnboardLogs" /stypes="app*4031*20170407*"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9"/>
        <v>"%USERPROFILE%\Documents\GitHub\eaglep3\Utilities\RefineRTDCRunTimes.py" --tripid 158-07 --locoid 4031 --swversion DE.1.0.9.0 --startMP 204:232987 --initTime 2017-04-07T11:31:15 --startdatetime 2017-04-07T11:41:37 --delay 1 --endMP 204:149 --enddatetime 2017-04-07T12:22:14 --enforcementcount 0 &gt;&gt;C:\Users\stu\Documents\GitHub\eaglep3-reporting\EC\2017-04-07-refined-times.txt</v>
      </c>
      <c r="AI70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{"issue":{"subject":"","project_id":79,"tracker_id":40,"status_id":1,"priority_id":2,"assigned_to_id":23,"start_date":"2017-04-07","description":"","custom_fields":[{"id":1,"name":"Subdivision","value":"EC"},{"id":4,"name":"Milepost","value":"0.0149"},{"id":17,"name":"Train ID","value":"158-07"},{"id":16,"name":"Locomotive ID","value":"4031"},{"id":130,"name":"Impact","value":""},{"id":150,"name":"Time of Event (Mountain Time)","value":"12:22:14"},{"id":151,"name":"Denver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4031 --day 2017-04-07</v>
      </c>
      <c r="AN70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18:22:14"},{"id":29,"name":"Sharepoint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730</v>
      </c>
      <c r="B71" s="7">
        <v>4014</v>
      </c>
      <c r="C71" s="21" t="s">
        <v>216</v>
      </c>
      <c r="D71" s="21" t="s">
        <v>205</v>
      </c>
      <c r="E71" s="13">
        <v>42832.454062500001</v>
      </c>
      <c r="F71" s="13">
        <v>42832.458668981482</v>
      </c>
      <c r="G71" s="7">
        <v>2</v>
      </c>
      <c r="H71" s="21" t="s">
        <v>536</v>
      </c>
      <c r="I71" s="13">
        <v>42832.483576388891</v>
      </c>
      <c r="J71" s="7">
        <v>0</v>
      </c>
      <c r="K71" s="97" t="str">
        <f t="shared" si="0"/>
        <v>4013/4014</v>
      </c>
      <c r="L71" s="21" t="str">
        <f>VLOOKUP(A71,'Trips&amp;Operators'!$C$1:$G$99999,5,FALSE)</f>
        <v>STEWART MICHAEL</v>
      </c>
      <c r="M71" s="6">
        <f t="shared" si="1"/>
        <v>2.4907407409045845E-2</v>
      </c>
      <c r="N71" s="7">
        <f t="shared" si="25"/>
        <v>35.866666669026017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-04-07T09:53:51-0600',mode:absolute,to:'2017-04-07T12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1" s="183" t="str">
        <f t="shared" si="6"/>
        <v>N</v>
      </c>
      <c r="X71" s="183">
        <f t="shared" si="28"/>
        <v>1</v>
      </c>
      <c r="Y71" s="62">
        <f t="shared" si="26"/>
        <v>4.5100000000000001E-2</v>
      </c>
      <c r="Z71" s="62">
        <f t="shared" si="27"/>
        <v>23.3278</v>
      </c>
      <c r="AA71" s="62">
        <f t="shared" si="10"/>
        <v>23.282699999999998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0159-07</v>
      </c>
      <c r="AE71" s="85" t="str">
        <f t="shared" si="12"/>
        <v>aws s3 cp s3://rtdc.mdm.uploadarchive.raw/RTDC4014/ "%USERPROFILE%\AppData\Local\Temp\OnboardLogs"\RTDC4014\2017-04-07 --exclude "*" --recursive --include "*20170407*" &amp; "%USERPROFILE%\Documents\GitHub\mrs-test-scripts\Headless Mode &amp; Sideloading\WalkAndUnGZ.bat" "%USERPROFILE%\AppData\Local\Temp\OnboardLogs"\RTDC4014\2017-04-07 &amp; 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</v>
      </c>
      <c r="AF71" s="82" t="str">
        <f t="shared" si="13"/>
        <v>"C:\Program Files (x86)\AstroGrep\AstroGrep.exe" /e /r /s /spath="%USERPROFILE%\AppData\Local\Temp\OnboardLogs" /stypes="app*4014*20170407*"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9"/>
        <v>"%USERPROFILE%\Documents\GitHub\eaglep3\Utilities\RefineRTDCRunTimes.py" --tripid 159-07 --locoid 4014 --swversion DE.1.0.9.0 --startMP 204:451 --initTime 2017-04-07T10:53:51 --startdatetime 2017-04-07T11:00:29 --delay 2 --endMP 204:233278 --enddatetime 2017-04-07T11:36:21 --enforcementcount 0 &gt;&gt;C:\Users\stu\Documents\GitHub\eaglep3-reporting\EC\2017-04-07-refined-times.txt</v>
      </c>
      <c r="AI71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{"issue":{"subject":"","project_id":79,"tracker_id":40,"status_id":1,"priority_id":2,"assigned_to_id":23,"start_date":"2017-04-07","description":"","custom_fields":[{"id":1,"name":"Subdivision","value":"EC"},{"id":4,"name":"Milepost","value":"23.3278"},{"id":17,"name":"Train ID","value":"159-07"},{"id":16,"name":"Locomotive ID","value":"4014"},{"id":130,"name":"Impact","value":""},{"id":150,"name":"Time of Event (Mountain Time)","value":"11:36:21"},{"id":151,"name":"Denver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1"/>
        <v>start /low /b %USERPROFILE%\Documents\GitHub\eaglep3\Utilities\DownloadLogsFromS3.py --loco 4014 --day 2017-04-07</v>
      </c>
      <c r="AN71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17:36:21"},{"id":29,"name":"Sharepoint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743</v>
      </c>
      <c r="B72" s="7">
        <v>4013</v>
      </c>
      <c r="C72" s="21" t="s">
        <v>216</v>
      </c>
      <c r="D72" s="21" t="s">
        <v>863</v>
      </c>
      <c r="E72" s="13">
        <v>42832.490844907406</v>
      </c>
      <c r="F72" s="13">
        <v>42832.497442129628</v>
      </c>
      <c r="G72" s="7">
        <v>2</v>
      </c>
      <c r="H72" s="21" t="s">
        <v>860</v>
      </c>
      <c r="I72" s="13">
        <v>42832.525393518517</v>
      </c>
      <c r="J72" s="7">
        <v>0</v>
      </c>
      <c r="K72" s="97" t="str">
        <f t="shared" si="0"/>
        <v>4013/4014</v>
      </c>
      <c r="L72" s="21" t="str">
        <f>VLOOKUP(A72,'Trips&amp;Operators'!$C$1:$G$99999,5,FALSE)</f>
        <v>STEWART MICHAEL</v>
      </c>
      <c r="M72" s="6">
        <f t="shared" si="1"/>
        <v>2.7951388889050577E-2</v>
      </c>
      <c r="N72" s="7">
        <f t="shared" si="25"/>
        <v>40.250000000232831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-04-07T10:46:49-0600',mode:absolute,to:'2017-04-07T13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2" s="183" t="str">
        <f t="shared" si="6"/>
        <v>N</v>
      </c>
      <c r="X72" s="183">
        <f t="shared" si="28"/>
        <v>1</v>
      </c>
      <c r="Y72" s="62">
        <f t="shared" si="26"/>
        <v>23.298200000000001</v>
      </c>
      <c r="Z72" s="62">
        <f t="shared" si="27"/>
        <v>1.4999999999999999E-2</v>
      </c>
      <c r="AA72" s="62">
        <f t="shared" si="10"/>
        <v>23.283200000000001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0160-07</v>
      </c>
      <c r="AE72" s="85" t="str">
        <f t="shared" si="12"/>
        <v>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 &amp; 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</v>
      </c>
      <c r="AF72" s="82" t="str">
        <f t="shared" si="13"/>
        <v>"C:\Program Files (x86)\AstroGrep\AstroGrep.exe" /e /r /s /spath="%USERPROFILE%\AppData\Local\Temp\OnboardLogs" /stypes="app*4013*20170407*"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9"/>
        <v>"%USERPROFILE%\Documents\GitHub\eaglep3\Utilities\RefineRTDCRunTimes.py" --tripid 160-07 --locoid 4013 --swversion DE.1.0.9.0 --startMP 204:232982 --initTime 2017-04-07T11:46:49 --startdatetime 2017-04-07T11:56:19 --delay 2 --endMP 204:150 --enddatetime 2017-04-07T12:36:34 --enforcementcount 0 &gt;&gt;C:\Users\stu\Documents\GitHub\eaglep3-reporting\EC\2017-04-07-refined-times.txt</v>
      </c>
      <c r="AI72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{"issue":{"subject":"","project_id":79,"tracker_id":40,"status_id":1,"priority_id":2,"assigned_to_id":23,"start_date":"2017-04-07","description":"","custom_fields":[{"id":1,"name":"Subdivision","value":"EC"},{"id":4,"name":"Milepost","value":"0.015"},{"id":17,"name":"Train ID","value":"160-07"},{"id":16,"name":"Locomotive ID","value":"4013"},{"id":130,"name":"Impact","value":""},{"id":150,"name":"Time of Event (Mountain Time)","value":"12:36:34"},{"id":151,"name":"Denver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4013 --day 2017-04-07</v>
      </c>
      <c r="AN72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18:36:34"},{"id":29,"name":"Sharepoint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637</v>
      </c>
      <c r="B73" s="7">
        <v>4026</v>
      </c>
      <c r="C73" s="21" t="s">
        <v>216</v>
      </c>
      <c r="D73" s="21" t="s">
        <v>207</v>
      </c>
      <c r="E73" s="13">
        <v>42832.464560185188</v>
      </c>
      <c r="F73" s="13">
        <v>42832.469004629631</v>
      </c>
      <c r="G73" s="7">
        <v>1</v>
      </c>
      <c r="H73" s="21" t="s">
        <v>878</v>
      </c>
      <c r="I73" s="13">
        <v>42832.493472222224</v>
      </c>
      <c r="J73" s="7">
        <v>0</v>
      </c>
      <c r="K73" s="97" t="str">
        <f t="shared" si="0"/>
        <v>4025/4026</v>
      </c>
      <c r="L73" s="21" t="str">
        <f>VLOOKUP(A73,'Trips&amp;Operators'!$C$1:$G$99999,5,FALSE)</f>
        <v>ROMERO CHAD</v>
      </c>
      <c r="M73" s="6">
        <f t="shared" si="1"/>
        <v>2.4467592593282461E-2</v>
      </c>
      <c r="N73" s="7">
        <f t="shared" si="25"/>
        <v>35.233333334326744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-04-07T10:08:58-0600',mode:absolute,to:'2017-04-07T12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3" s="183" t="str">
        <f t="shared" si="6"/>
        <v>N</v>
      </c>
      <c r="X73" s="183">
        <f t="shared" si="28"/>
        <v>1</v>
      </c>
      <c r="Y73" s="62">
        <f t="shared" si="26"/>
        <v>4.5999999999999999E-2</v>
      </c>
      <c r="Z73" s="62">
        <f t="shared" si="27"/>
        <v>23.339099999999998</v>
      </c>
      <c r="AA73" s="62">
        <f t="shared" si="10"/>
        <v>23.293099999999999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0161-07</v>
      </c>
      <c r="AE73" s="85" t="str">
        <f t="shared" si="12"/>
        <v>aws s3 cp s3://rtdc.mdm.uploadarchive.raw/RTDC4026/ "%USERPROFILE%\AppData\Local\Temp\OnboardLogs"\RTDC4026\2017-04-07 --exclude "*" --recursive --include "*20170407*" &amp; "%USERPROFILE%\Documents\GitHub\mrs-test-scripts\Headless Mode &amp; Sideloading\WalkAndUnGZ.bat" "%USERPROFILE%\AppData\Local\Temp\OnboardLogs"\RTDC4026\2017-04-07 &amp; aws s3 cp s3://rtdc.mdm.uploadarchive.raw/RTDC4026/ "%USERPROFILE%\AppData\Local\Temp\OnboardLogs"\RTDC4026\2017-04-08 --exclude "*" --recursive --include "*20170408*" &amp; "%USERPROFILE%\Documents\GitHub\mrs-test-scripts\Headless Mode &amp; Sideloading\WalkAndUnGZ.bat" "%USERPROFILE%\AppData\Local\Temp\OnboardLogs"\RTDC4026\2017-04-08</v>
      </c>
      <c r="AF73" s="82" t="str">
        <f t="shared" si="13"/>
        <v>"C:\Program Files (x86)\AstroGrep\AstroGrep.exe" /e /r /s /spath="%USERPROFILE%\AppData\Local\Temp\OnboardLogs" /stypes="app*4026*20170407*"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9"/>
        <v>"%USERPROFILE%\Documents\GitHub\eaglep3\Utilities\RefineRTDCRunTimes.py" --tripid 161-07 --locoid 4026 --swversion DE.1.0.9.0 --startMP 204:460 --initTime 2017-04-07T11:08:58 --startdatetime 2017-04-07T11:15:22 --delay 1 --endMP 204:233391 --enddatetime 2017-04-07T11:50:36 --enforcementcount 0 &gt;&gt;C:\Users\stu\Documents\GitHub\eaglep3-reporting\EC\2017-04-07-refined-times.txt</v>
      </c>
      <c r="AI73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{"issue":{"subject":"","project_id":79,"tracker_id":40,"status_id":1,"priority_id":2,"assigned_to_id":23,"start_date":"2017-04-07","description":"","custom_fields":[{"id":1,"name":"Subdivision","value":"EC"},{"id":4,"name":"Milepost","value":"23.3391"},{"id":17,"name":"Train ID","value":"161-07"},{"id":16,"name":"Locomotive ID","value":"4026"},{"id":130,"name":"Impact","value":""},{"id":150,"name":"Time of Event (Mountain Time)","value":"11:50:36"},{"id":151,"name":"Denver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4026 --day 2017-04-07</v>
      </c>
      <c r="AN73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17:50:36"},{"id":29,"name":"Sharepoint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744</v>
      </c>
      <c r="B74" s="7">
        <v>4025</v>
      </c>
      <c r="C74" s="21" t="s">
        <v>216</v>
      </c>
      <c r="D74" s="21" t="s">
        <v>879</v>
      </c>
      <c r="E74" s="13">
        <v>42832.49523148148</v>
      </c>
      <c r="F74" s="13">
        <v>42832.507789351854</v>
      </c>
      <c r="G74" s="7">
        <v>2</v>
      </c>
      <c r="H74" s="21" t="s">
        <v>493</v>
      </c>
      <c r="I74" s="13">
        <v>42832.533506944441</v>
      </c>
      <c r="J74" s="7">
        <v>0</v>
      </c>
      <c r="K74" s="97" t="str">
        <f t="shared" si="0"/>
        <v>4025/4026</v>
      </c>
      <c r="L74" s="21" t="str">
        <f>VLOOKUP(A74,'Trips&amp;Operators'!$C$1:$G$99999,5,FALSE)</f>
        <v>ROMERO CHAD</v>
      </c>
      <c r="M74" s="6">
        <f t="shared" si="1"/>
        <v>2.5717592587170657E-2</v>
      </c>
      <c r="N74" s="7">
        <f t="shared" si="25"/>
        <v>37.033333325525746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-04-07T10:53:08-0600',mode:absolute,to:'2017-04-07T13:48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4" s="183" t="str">
        <f t="shared" si="6"/>
        <v>N</v>
      </c>
      <c r="X74" s="183">
        <f t="shared" si="28"/>
        <v>1</v>
      </c>
      <c r="Y74" s="62">
        <f t="shared" si="26"/>
        <v>23.309100000000001</v>
      </c>
      <c r="Z74" s="62">
        <f t="shared" si="27"/>
        <v>1.32E-2</v>
      </c>
      <c r="AA74" s="62">
        <f t="shared" si="10"/>
        <v>23.2959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0162-07</v>
      </c>
      <c r="AE74" s="85" t="str">
        <f t="shared" si="12"/>
        <v>aws s3 cp s3://rtdc.mdm.uploadarchive.raw/RTDC4025/ "%USERPROFILE%\AppData\Local\Temp\OnboardLogs"\RTDC4025\2017-04-07 --exclude "*" --recursive --include "*20170407*" &amp; "%USERPROFILE%\Documents\GitHub\mrs-test-scripts\Headless Mode &amp; Sideloading\WalkAndUnGZ.bat" "%USERPROFILE%\AppData\Local\Temp\OnboardLogs"\RTDC4025\2017-04-07 &amp; aws s3 cp s3://rtdc.mdm.uploadarchive.raw/RTDC4025/ "%USERPROFILE%\AppData\Local\Temp\OnboardLogs"\RTDC4025\2017-04-08 --exclude "*" --recursive --include "*20170408*" &amp; "%USERPROFILE%\Documents\GitHub\mrs-test-scripts\Headless Mode &amp; Sideloading\WalkAndUnGZ.bat" "%USERPROFILE%\AppData\Local\Temp\OnboardLogs"\RTDC4025\2017-04-08</v>
      </c>
      <c r="AF74" s="82" t="str">
        <f t="shared" si="13"/>
        <v>"C:\Program Files (x86)\AstroGrep\AstroGrep.exe" /e /r /s /spath="%USERPROFILE%\AppData\Local\Temp\OnboardLogs" /stypes="app*4025*20170407*"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9"/>
        <v>"%USERPROFILE%\Documents\GitHub\eaglep3\Utilities\RefineRTDCRunTimes.py" --tripid 162-07 --locoid 4025 --swversion DE.1.0.9.0 --startMP 204:233091 --initTime 2017-04-07T11:53:08 --startdatetime 2017-04-07T12:11:13 --delay 2 --endMP 204:132 --enddatetime 2017-04-07T12:48:15 --enforcementcount 0 &gt;&gt;C:\Users\stu\Documents\GitHub\eaglep3-reporting\EC\2017-04-07-refined-times.txt</v>
      </c>
      <c r="AI74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{"issue":{"subject":"","project_id":79,"tracker_id":40,"status_id":1,"priority_id":2,"assigned_to_id":23,"start_date":"2017-04-07","description":"","custom_fields":[{"id":1,"name":"Subdivision","value":"EC"},{"id":4,"name":"Milepost","value":"0.0132"},{"id":17,"name":"Train ID","value":"162-07"},{"id":16,"name":"Locomotive ID","value":"4025"},{"id":130,"name":"Impact","value":""},{"id":150,"name":"Time of Event (Mountain Time)","value":"12:48:15"},{"id":151,"name":"Denver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4025 --day 2017-04-07</v>
      </c>
      <c r="AN74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18:48:15"},{"id":29,"name":"Sharepoint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737</v>
      </c>
      <c r="B75" s="7">
        <v>4010</v>
      </c>
      <c r="C75" s="21" t="s">
        <v>216</v>
      </c>
      <c r="D75" s="21" t="s">
        <v>418</v>
      </c>
      <c r="E75" s="13">
        <v>42832.477303240739</v>
      </c>
      <c r="F75" s="13">
        <v>42832.479351851849</v>
      </c>
      <c r="G75" s="7">
        <v>1</v>
      </c>
      <c r="H75" s="21" t="s">
        <v>590</v>
      </c>
      <c r="I75" s="13">
        <v>42832.505462962959</v>
      </c>
      <c r="J75" s="7">
        <v>0</v>
      </c>
      <c r="K75" s="97" t="str">
        <f t="shared" si="0"/>
        <v>4009/4010</v>
      </c>
      <c r="L75" s="21" t="str">
        <f>VLOOKUP(A75,'Trips&amp;Operators'!$C$1:$G$99999,5,FALSE)</f>
        <v>CLARK KATHLEEN</v>
      </c>
      <c r="M75" s="6">
        <f t="shared" si="1"/>
        <v>2.6111111110367347E-2</v>
      </c>
      <c r="N75" s="7">
        <f t="shared" si="25"/>
        <v>37.599999998928979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-04-07T10:27:19-0600',mode:absolute,to:'2017-04-07T13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5" s="183" t="str">
        <f t="shared" si="6"/>
        <v>N</v>
      </c>
      <c r="X75" s="183">
        <f t="shared" si="28"/>
        <v>1</v>
      </c>
      <c r="Y75" s="62">
        <f t="shared" si="26"/>
        <v>4.6199999999999998E-2</v>
      </c>
      <c r="Z75" s="62">
        <f t="shared" si="27"/>
        <v>23.3276</v>
      </c>
      <c r="AA75" s="62">
        <f t="shared" si="10"/>
        <v>23.281400000000001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0163-07</v>
      </c>
      <c r="AE75" s="85" t="str">
        <f t="shared" si="12"/>
        <v>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 &amp; 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</v>
      </c>
      <c r="AF75" s="82" t="str">
        <f t="shared" si="13"/>
        <v>"C:\Program Files (x86)\AstroGrep\AstroGrep.exe" /e /r /s /spath="%USERPROFILE%\AppData\Local\Temp\OnboardLogs" /stypes="app*4010*20170407*"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9"/>
        <v>"%USERPROFILE%\Documents\GitHub\eaglep3\Utilities\RefineRTDCRunTimes.py" --tripid 163-07 --locoid 4010 --swversion DE.1.0.9.0 --startMP 204:462 --initTime 2017-04-07T11:27:19 --startdatetime 2017-04-07T11:30:16 --delay 1 --endMP 204:233276 --enddatetime 2017-04-07T12:07:52 --enforcementcount 0 &gt;&gt;C:\Users\stu\Documents\GitHub\eaglep3-reporting\EC\2017-04-07-refined-times.txt</v>
      </c>
      <c r="AI75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{"issue":{"subject":"","project_id":79,"tracker_id":40,"status_id":1,"priority_id":2,"assigned_to_id":23,"start_date":"2017-04-07","description":"","custom_fields":[{"id":1,"name":"Subdivision","value":"EC"},{"id":4,"name":"Milepost","value":"23.3276"},{"id":17,"name":"Train ID","value":"163-07"},{"id":16,"name":"Locomotive ID","value":"4010"},{"id":130,"name":"Impact","value":""},{"id":150,"name":"Time of Event (Mountain Time)","value":"12:07:52"},{"id":151,"name":"Denver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1"/>
        <v>start /low /b %USERPROFILE%\Documents\GitHub\eaglep3\Utilities\DownloadLogsFromS3.py --loco 4010 --day 2017-04-07</v>
      </c>
      <c r="AN75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18:07:52"},{"id":29,"name":"Sharepoint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748</v>
      </c>
      <c r="B76" s="7">
        <v>4009</v>
      </c>
      <c r="C76" s="21" t="s">
        <v>216</v>
      </c>
      <c r="D76" s="21" t="s">
        <v>588</v>
      </c>
      <c r="E76" s="13">
        <v>42832.512870370374</v>
      </c>
      <c r="F76" s="13">
        <v>42832.518229166664</v>
      </c>
      <c r="G76" s="7">
        <v>1</v>
      </c>
      <c r="H76" s="21" t="s">
        <v>492</v>
      </c>
      <c r="I76" s="13">
        <v>42832.546134259261</v>
      </c>
      <c r="J76" s="7">
        <v>0</v>
      </c>
      <c r="K76" s="97" t="str">
        <f t="shared" si="0"/>
        <v>4009/4010</v>
      </c>
      <c r="L76" s="21" t="str">
        <f>VLOOKUP(A76,'Trips&amp;Operators'!$C$1:$G$99999,5,FALSE)</f>
        <v>CLARK KATHLEEN</v>
      </c>
      <c r="M76" s="6">
        <f t="shared" si="1"/>
        <v>2.7905092596483883E-2</v>
      </c>
      <c r="N76" s="7">
        <f t="shared" si="25"/>
        <v>40.183333338936791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5"/>
        <v>https://d0f6bd738d7f1b3e5a7ca70fe4ff75f0.us-east-1.aws.found.io/app/kibana#/discover/Steve-Slow-Train-Analysis-(2080s-and-2083s)?_g=(refreshInterval:(display:Off,pause:!f,section:0,value:0),time:(from:'2017-04-07T11:18:32-0600',mode:absolute,to:'2017-04-07T14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6" s="183" t="str">
        <f t="shared" si="6"/>
        <v>N</v>
      </c>
      <c r="X76" s="183">
        <f t="shared" si="28"/>
        <v>1</v>
      </c>
      <c r="Y76" s="62">
        <f t="shared" si="26"/>
        <v>23.296500000000002</v>
      </c>
      <c r="Z76" s="62">
        <f t="shared" si="27"/>
        <v>1.67E-2</v>
      </c>
      <c r="AA76" s="62">
        <f t="shared" si="10"/>
        <v>23.279800000000002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0164-07</v>
      </c>
      <c r="AE76" s="85" t="str">
        <f t="shared" si="12"/>
        <v>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 &amp; aws s3 cp s3://rtdc.mdm.uploadarchive.raw/RTDC4009/ "%USERPROFILE%\AppData\Local\Temp\OnboardLogs"\RTDC4009\2017-04-08 --exclude "*" --recursive --include "*20170408*" &amp; "%USERPROFILE%\Documents\GitHub\mrs-test-scripts\Headless Mode &amp; Sideloading\WalkAndUnGZ.bat" "%USERPROFILE%\AppData\Local\Temp\OnboardLogs"\RTDC4009\2017-04-08</v>
      </c>
      <c r="AF76" s="82" t="str">
        <f t="shared" si="13"/>
        <v>"C:\Program Files (x86)\AstroGrep\AstroGrep.exe" /e /r /s /spath="%USERPROFILE%\AppData\Local\Temp\OnboardLogs" /stypes="app*4009*20170407*" /stext=" 19:.+((SYSTEM_STATE.+slice.+state.+changed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9"/>
        <v>"%USERPROFILE%\Documents\GitHub\eaglep3\Utilities\RefineRTDCRunTimes.py" --tripid 164-07 --locoid 4009 --swversion DE.1.0.9.0 --startMP 204:232965 --initTime 2017-04-07T12:18:32 --startdatetime 2017-04-07T12:26:15 --delay 1 --endMP 204:167 --enddatetime 2017-04-07T13:06:26 --enforcementcount 0 &gt;&gt;C:\Users\stu\Documents\GitHub\eaglep3-reporting\EC\2017-04-07-refined-times.txt</v>
      </c>
      <c r="AI76" s="104" t="str">
        <f t="shared" si="20"/>
        <v>echo {"issue":{"subject":"","project_id":79,"tracker_id":40,"status_id":1,"priority_id":2,"assigned_to_id":23,"start_date":"2017-04-07","description":"","custom_fields":[{"id":1,"name":"Subdivision","value":"EC"},{"id":4,"name":"Milepost","value":"0.0167"},{"id":17,"name":"Train ID","value":"164-07"},{"id":16,"name":"Locomotive ID","value":"4009"},{"id":130,"name":"Impact","value":""},{"id":150,"name":"Time of Event (Mountain Time)","value":"13:06:26"},{"id":151,"name":"Denver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1"/>
        <v>start /low /b %USERPROFILE%\Documents\GitHub\eaglep3\Utilities\DownloadLogsFromS3.py --loco 4009 --day 2017-04-07</v>
      </c>
      <c r="AN76" s="159" t="str">
        <f t="shared" si="22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19:06:26"},{"id":29,"name":"Sharepoint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739</v>
      </c>
      <c r="B77" s="7">
        <v>4016</v>
      </c>
      <c r="C77" s="21" t="s">
        <v>216</v>
      </c>
      <c r="D77" s="21" t="s">
        <v>880</v>
      </c>
      <c r="E77" s="13">
        <v>42832.48636574074</v>
      </c>
      <c r="F77" s="13">
        <v>42832.489745370367</v>
      </c>
      <c r="G77" s="7">
        <v>1</v>
      </c>
      <c r="H77" s="21" t="s">
        <v>406</v>
      </c>
      <c r="I77" s="13">
        <v>42832.514537037037</v>
      </c>
      <c r="J77" s="7">
        <v>0</v>
      </c>
      <c r="K77" s="97" t="str">
        <f t="shared" ref="K77:K140" si="29">IF(ISEVEN(B77),(B77-1)&amp;"/"&amp;B77,B77&amp;"/"&amp;(B77+1))</f>
        <v>4015/4016</v>
      </c>
      <c r="L77" s="21" t="str">
        <f>VLOOKUP(A77,'Trips&amp;Operators'!$C$1:$G$99999,5,FALSE)</f>
        <v>BRUDER RICHARD</v>
      </c>
      <c r="M77" s="6">
        <f t="shared" ref="M77:M140" si="30">I77-F77</f>
        <v>2.4791666670353152E-2</v>
      </c>
      <c r="N77" s="7">
        <f t="shared" ref="N77:N108" si="31">24*60*SUM($M77:$M77)</f>
        <v>35.700000005308539</v>
      </c>
      <c r="O77" s="7"/>
      <c r="P77" s="7"/>
      <c r="Q77" s="22"/>
      <c r="R77" s="22"/>
      <c r="S77" s="31">
        <f t="shared" ref="S77:S140" si="32">SUM(U77:U77)/IF(AG77="EC",12,1)</f>
        <v>1</v>
      </c>
      <c r="T77" s="46" t="str">
        <f t="shared" ref="T77:T140" si="33"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-07T10:40:22-0600',mode:absolute,to:'2017-04-07T13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183" t="str">
        <f t="shared" ref="W77:W140" si="35">IF(AA77&lt;IF(AG77="EC",23,5.65),"Y","N")</f>
        <v>N</v>
      </c>
      <c r="X77" s="183">
        <f t="shared" si="28"/>
        <v>1</v>
      </c>
      <c r="Y77" s="62">
        <f t="shared" ref="Y77:Y93" si="36">RIGHT(D77,LEN(D77)-4)/10000</f>
        <v>4.7699999999999999E-2</v>
      </c>
      <c r="Z77" s="62">
        <f t="shared" si="27"/>
        <v>23.329499999999999</v>
      </c>
      <c r="AA77" s="62">
        <f t="shared" ref="AA77:AA140" si="37">ABS(Z77-Y77)</f>
        <v>23.2818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8">IF(LEN(A77)=6,"0"&amp;A77,A77)</f>
        <v>0165-07</v>
      </c>
      <c r="AE77" s="85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 &amp; aws s3 cp s3://rtdc.mdm.uploadarchive.raw/RTDC4016/ "%USERPROFILE%\AppData\Local\Temp\OnboardLogs"\RTDC4016\2017-04-08 --exclude "*" --recursive --include "*20170408*" &amp; "%USERPROFILE%\Documents\GitHub\mrs-test-scripts\Headless Mode &amp; Sideloading\WalkAndUnGZ.bat" "%USERPROFILE%\AppData\Local\Temp\OnboardLogs"\RTDC4016\2017-04-08</v>
      </c>
      <c r="AF77" s="82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/stypes="app*4016*20170407*" /stext=" 18:.+((SYSTEM_STATE.+slice.+state.+changed )|(ment ac)|(multiple cpu faults)|(system.+state.+changed )|(\[timeout)|(PRM\|1\|D)|(kpr)|(kdp)|(\|lc)|(penalty))"</v>
      </c>
      <c r="AG77" s="1" t="str">
        <f t="shared" ref="AG77:AG140" si="41">IFERROR(IF(VALUE(LEFT(AD77,2))&lt;=2,"EC",IF(OR(VALUE(LEFT(AD77,2))=8,VALUE(LEFT(AD77,2))=18),"NW","Other")),"Other")</f>
        <v>EC</v>
      </c>
      <c r="AH77" s="86" t="str">
        <f t="shared" ref="AH77:AH138" si="42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165-07 --locoid 4016 --swversion DE.1.0.9.0 --startMP 204:477 --initTime 2017-04-07T11:40:22 --startdatetime 2017-04-07T11:45:14 --delay 1 --endMP 204:233295 --enddatetime 2017-04-07T12:20:56 --enforcementcount 0 &gt;&gt;C:\Users\stu\Documents\GitHub\eaglep3-reporting\EC\2017-04-07-refined-times.txt</v>
      </c>
      <c r="AI77" s="104" t="str">
        <f t="shared" ref="AI77:AI138" si="43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{"issue":{"subject":"","project_id":79,"tracker_id":40,"status_id":1,"priority_id":2,"assigned_to_id":23,"start_date":"2017-04-07","description":"","custom_fields":[{"id":1,"name":"Subdivision","value":"EC"},{"id":4,"name":"Milepost","value":"23.3295"},{"id":17,"name":"Train ID","value":"165-07"},{"id":16,"name":"Locomotive ID","value":"4016"},{"id":130,"name":"Impact","value":""},{"id":150,"name":"Time of Event (Mountain Time)","value":"12:20:56"},{"id":151,"name":"Denver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ref="AM77:AM138" si="44">"start /low /b "&amp;dls3logs&amp;" --loco "&amp;B77&amp;" --day "&amp;TEXT(F77,"YYYY-MM-DD")</f>
        <v>start /low /b %USERPROFILE%\Documents\GitHub\eaglep3\Utilities\DownloadLogsFromS3.py --loco 4016 --day 2017-04-07</v>
      </c>
      <c r="AN77" s="159" t="str">
        <f t="shared" ref="AN77:AN138" si="45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18:20:56"},{"id":29,"name":"Sharepoint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749</v>
      </c>
      <c r="B78" s="7">
        <v>4015</v>
      </c>
      <c r="C78" s="21" t="s">
        <v>216</v>
      </c>
      <c r="D78" s="21" t="s">
        <v>595</v>
      </c>
      <c r="E78" s="13">
        <v>42832.523553240739</v>
      </c>
      <c r="F78" s="13">
        <v>42832.528796296298</v>
      </c>
      <c r="G78" s="7">
        <v>2</v>
      </c>
      <c r="H78" s="21" t="s">
        <v>199</v>
      </c>
      <c r="I78" s="13">
        <v>42832.555613425924</v>
      </c>
      <c r="J78" s="7">
        <v>0</v>
      </c>
      <c r="K78" s="97" t="str">
        <f t="shared" si="29"/>
        <v>4015/4016</v>
      </c>
      <c r="L78" s="21" t="str">
        <f>VLOOKUP(A78,'Trips&amp;Operators'!$C$1:$G$99999,5,FALSE)</f>
        <v>BRUDER RICHARD</v>
      </c>
      <c r="M78" s="6">
        <f t="shared" si="30"/>
        <v>2.6817129626579117E-2</v>
      </c>
      <c r="N78" s="7">
        <f t="shared" si="31"/>
        <v>38.616666662273929</v>
      </c>
      <c r="O78" s="7"/>
      <c r="P78" s="7"/>
      <c r="Q78" s="22"/>
      <c r="R78" s="22"/>
      <c r="S78" s="31">
        <f t="shared" si="32"/>
        <v>1</v>
      </c>
      <c r="T78" s="46" t="str">
        <f t="shared" si="33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4"/>
        <v>https://d0f6bd738d7f1b3e5a7ca70fe4ff75f0.us-east-1.aws.found.io/app/kibana#/discover/Steve-Slow-Train-Analysis-(2080s-and-2083s)?_g=(refreshInterval:(display:Off,pause:!f,section:0,value:0),time:(from:'2017-04-07T11:33:55-0600',mode:absolute,to:'2017-04-07T14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183" t="str">
        <f t="shared" si="35"/>
        <v>N</v>
      </c>
      <c r="X78" s="183">
        <f t="shared" si="28"/>
        <v>1</v>
      </c>
      <c r="Y78" s="62">
        <f t="shared" si="36"/>
        <v>23.2987</v>
      </c>
      <c r="Z78" s="62">
        <f t="shared" si="27"/>
        <v>1.5800000000000002E-2</v>
      </c>
      <c r="AA78" s="62">
        <f t="shared" si="37"/>
        <v>23.282900000000001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8"/>
        <v>0166-07</v>
      </c>
      <c r="AE78" s="85" t="str">
        <f t="shared" si="39"/>
        <v>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 &amp; aws s3 cp s3://rtdc.mdm.uploadarchive.raw/RTDC4015/ "%USERPROFILE%\AppData\Local\Temp\OnboardLogs"\RTDC4015\2017-04-08 --exclude "*" --recursive --include "*20170408*" &amp; "%USERPROFILE%\Documents\GitHub\mrs-test-scripts\Headless Mode &amp; Sideloading\WalkAndUnGZ.bat" "%USERPROFILE%\AppData\Local\Temp\OnboardLogs"\RTDC4015\2017-04-08</v>
      </c>
      <c r="AF78" s="82" t="str">
        <f t="shared" si="40"/>
        <v>"C:\Program Files (x86)\AstroGrep\AstroGrep.exe" /e /r /s /spath="%USERPROFILE%\AppData\Local\Temp\OnboardLogs" /stypes="app*4015*20170407*" /stext=" 19:.+((SYSTEM_STATE.+slice.+state.+changed )|(ment ac)|(multiple cpu faults)|(system.+state.+changed )|(\[timeout)|(PRM\|1\|D)|(kpr)|(kdp)|(\|lc)|(penalty))"</v>
      </c>
      <c r="AG78" s="1" t="str">
        <f t="shared" si="41"/>
        <v>EC</v>
      </c>
      <c r="AH78" s="86" t="str">
        <f t="shared" si="42"/>
        <v>"%USERPROFILE%\Documents\GitHub\eaglep3\Utilities\RefineRTDCRunTimes.py" --tripid 166-07 --locoid 4015 --swversion DE.1.0.9.0 --startMP 204:232987 --initTime 2017-04-07T12:33:55 --startdatetime 2017-04-07T12:41:28 --delay 2 --endMP 204:158 --enddatetime 2017-04-07T13:20:05 --enforcementcount 0 &gt;&gt;C:\Users\stu\Documents\GitHub\eaglep3-reporting\EC\2017-04-07-refined-times.txt</v>
      </c>
      <c r="AI78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{"issue":{"subject":"","project_id":79,"tracker_id":40,"status_id":1,"priority_id":2,"assigned_to_id":23,"start_date":"2017-04-07","description":"","custom_fields":[{"id":1,"name":"Subdivision","value":"EC"},{"id":4,"name":"Milepost","value":"0.0158"},{"id":17,"name":"Train ID","value":"166-07"},{"id":16,"name":"Locomotive ID","value":"4015"},{"id":130,"name":"Impact","value":""},{"id":150,"name":"Time of Event (Mountain Time)","value":"13:20:05"},{"id":151,"name":"Denver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8" s="48"/>
      <c r="AL78" s="48"/>
      <c r="AM78" s="150" t="str">
        <f t="shared" si="44"/>
        <v>start /low /b %USERPROFILE%\Documents\GitHub\eaglep3\Utilities\DownloadLogsFromS3.py --loco 4015 --day 2017-04-07</v>
      </c>
      <c r="AN78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19:20:05"},{"id":29,"name":"Sharepoint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745</v>
      </c>
      <c r="B79" s="7">
        <v>4020</v>
      </c>
      <c r="C79" s="21" t="s">
        <v>216</v>
      </c>
      <c r="D79" s="21" t="s">
        <v>205</v>
      </c>
      <c r="E79" s="13">
        <v>42832.49690972222</v>
      </c>
      <c r="F79" s="13">
        <v>42832.500173611108</v>
      </c>
      <c r="G79" s="7">
        <v>3</v>
      </c>
      <c r="H79" s="21" t="s">
        <v>533</v>
      </c>
      <c r="I79" s="13">
        <v>42832.525208333333</v>
      </c>
      <c r="J79" s="7">
        <v>0</v>
      </c>
      <c r="K79" s="97" t="str">
        <f t="shared" si="29"/>
        <v>4019/4020</v>
      </c>
      <c r="L79" s="21" t="str">
        <f>VLOOKUP(A79,'Trips&amp;Operators'!$C$1:$G$99999,5,FALSE)</f>
        <v>WILLIAMS DONTE</v>
      </c>
      <c r="M79" s="6">
        <f t="shared" si="30"/>
        <v>2.5034722224518191E-2</v>
      </c>
      <c r="N79" s="7">
        <f t="shared" si="31"/>
        <v>36.050000003306195</v>
      </c>
      <c r="O79" s="7"/>
      <c r="P79" s="7"/>
      <c r="Q79" s="22"/>
      <c r="R79" s="22"/>
      <c r="S79" s="31">
        <f t="shared" si="32"/>
        <v>1</v>
      </c>
      <c r="T79" s="46" t="str">
        <f t="shared" si="33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4"/>
        <v>https://d0f6bd738d7f1b3e5a7ca70fe4ff75f0.us-east-1.aws.found.io/app/kibana#/discover/Steve-Slow-Train-Analysis-(2080s-and-2083s)?_g=(refreshInterval:(display:Off,pause:!f,section:0,value:0),time:(from:'2017-04-07T10:55:33-0600',mode:absolute,to:'2017-04-07T13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9" s="183" t="str">
        <f t="shared" si="35"/>
        <v>N</v>
      </c>
      <c r="X79" s="183">
        <f t="shared" si="28"/>
        <v>1</v>
      </c>
      <c r="Y79" s="62">
        <f t="shared" si="36"/>
        <v>4.5100000000000001E-2</v>
      </c>
      <c r="Z79" s="62">
        <f t="shared" si="27"/>
        <v>23.3291</v>
      </c>
      <c r="AA79" s="62">
        <f t="shared" si="37"/>
        <v>23.283999999999999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8"/>
        <v>0167-07</v>
      </c>
      <c r="AE79" s="85" t="str">
        <f t="shared" si="39"/>
        <v>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 &amp; 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</v>
      </c>
      <c r="AF79" s="82" t="str">
        <f t="shared" si="40"/>
        <v>"C:\Program Files (x86)\AstroGrep\AstroGrep.exe" /e /r /s /spath="%USERPROFILE%\AppData\Local\Temp\OnboardLogs" /stypes="app*4020*20170407*" /stext=" 18:.+((SYSTEM_STATE.+slice.+state.+changed )|(ment ac)|(multiple cpu faults)|(system.+state.+changed )|(\[timeout)|(PRM\|1\|D)|(kpr)|(kdp)|(\|lc)|(penalty))"</v>
      </c>
      <c r="AG79" s="1" t="str">
        <f t="shared" si="41"/>
        <v>EC</v>
      </c>
      <c r="AH79" s="86" t="str">
        <f t="shared" si="42"/>
        <v>"%USERPROFILE%\Documents\GitHub\eaglep3\Utilities\RefineRTDCRunTimes.py" --tripid 167-07 --locoid 4020 --swversion DE.1.0.9.0 --startMP 204:451 --initTime 2017-04-07T11:55:33 --startdatetime 2017-04-07T12:00:15 --delay 3 --endMP 204:233291 --enddatetime 2017-04-07T12:36:18 --enforcementcount 0 &gt;&gt;C:\Users\stu\Documents\GitHub\eaglep3-reporting\EC\2017-04-07-refined-times.txt</v>
      </c>
      <c r="AI79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{"issue":{"subject":"","project_id":79,"tracker_id":40,"status_id":1,"priority_id":2,"assigned_to_id":23,"start_date":"2017-04-07","description":"","custom_fields":[{"id":1,"name":"Subdivision","value":"EC"},{"id":4,"name":"Milepost","value":"23.3291"},{"id":17,"name":"Train ID","value":"167-07"},{"id":16,"name":"Locomotive ID","value":"4020"},{"id":130,"name":"Impact","value":""},{"id":150,"name":"Time of Event (Mountain Time)","value":"12:36:18"},{"id":151,"name":"Denver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44"/>
        <v>start /low /b %USERPROFILE%\Documents\GitHub\eaglep3\Utilities\DownloadLogsFromS3.py --loco 4020 --day 2017-04-07</v>
      </c>
      <c r="AN79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18:36:18"},{"id":29,"name":"Sharepoint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x14ac:dyDescent="0.25">
      <c r="A80" s="33" t="s">
        <v>752</v>
      </c>
      <c r="B80" s="7">
        <v>4019</v>
      </c>
      <c r="C80" s="21" t="s">
        <v>216</v>
      </c>
      <c r="D80" s="21" t="s">
        <v>527</v>
      </c>
      <c r="E80" s="13">
        <v>42832.533113425925</v>
      </c>
      <c r="F80" s="13">
        <v>42832.539120370369</v>
      </c>
      <c r="G80" s="7">
        <v>3</v>
      </c>
      <c r="H80" s="21" t="s">
        <v>459</v>
      </c>
      <c r="I80" s="13">
        <v>42832.566851851851</v>
      </c>
      <c r="J80" s="7">
        <v>0</v>
      </c>
      <c r="K80" s="97" t="str">
        <f t="shared" si="29"/>
        <v>4019/4020</v>
      </c>
      <c r="L80" s="21" t="str">
        <f>VLOOKUP(A80,'Trips&amp;Operators'!$C$1:$G$99999,5,FALSE)</f>
        <v>WILLIAMS DONTE</v>
      </c>
      <c r="M80" s="6">
        <f t="shared" si="30"/>
        <v>2.7731481481168885E-2</v>
      </c>
      <c r="N80" s="7">
        <f t="shared" si="31"/>
        <v>39.933333332883194</v>
      </c>
      <c r="O80" s="7"/>
      <c r="P80" s="7"/>
      <c r="Q80" s="22"/>
      <c r="R80" s="22"/>
      <c r="S80" s="31">
        <f t="shared" si="32"/>
        <v>1</v>
      </c>
      <c r="T80" s="46" t="str">
        <f t="shared" si="33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4"/>
        <v>https://d0f6bd738d7f1b3e5a7ca70fe4ff75f0.us-east-1.aws.found.io/app/kibana#/discover/Steve-Slow-Train-Analysis-(2080s-and-2083s)?_g=(refreshInterval:(display:Off,pause:!f,section:0,value:0),time:(from:'2017-04-07T11:47:41-0600',mode:absolute,to:'2017-04-07T14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0" s="183" t="str">
        <f t="shared" si="35"/>
        <v>N</v>
      </c>
      <c r="X80" s="183">
        <f t="shared" si="28"/>
        <v>1</v>
      </c>
      <c r="Y80" s="62">
        <f t="shared" si="36"/>
        <v>23.296700000000001</v>
      </c>
      <c r="Z80" s="62">
        <f t="shared" si="27"/>
        <v>1.6500000000000001E-2</v>
      </c>
      <c r="AA80" s="62">
        <f t="shared" si="37"/>
        <v>23.280200000000001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8"/>
        <v>0168-07</v>
      </c>
      <c r="AE80" s="85" t="str">
        <f t="shared" si="39"/>
        <v>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 &amp; aws s3 cp s3://rtdc.mdm.uploadarchive.raw/RTDC4019/ "%USERPROFILE%\AppData\Local\Temp\OnboardLogs"\RTDC4019\2017-04-08 --exclude "*" --recursive --include "*20170408*" &amp; "%USERPROFILE%\Documents\GitHub\mrs-test-scripts\Headless Mode &amp; Sideloading\WalkAndUnGZ.bat" "%USERPROFILE%\AppData\Local\Temp\OnboardLogs"\RTDC4019\2017-04-08</v>
      </c>
      <c r="AF80" s="82" t="str">
        <f t="shared" si="40"/>
        <v>"C:\Program Files (x86)\AstroGrep\AstroGrep.exe" /e /r /s /spath="%USERPROFILE%\AppData\Local\Temp\OnboardLogs" /stypes="app*4019*20170407*" /stext=" 19:.+((SYSTEM_STATE.+slice.+state.+changed )|(ment ac)|(multiple cpu faults)|(system.+state.+changed )|(\[timeout)|(PRM\|1\|D)|(kpr)|(kdp)|(\|lc)|(penalty))"</v>
      </c>
      <c r="AG80" s="1" t="str">
        <f t="shared" si="41"/>
        <v>EC</v>
      </c>
      <c r="AH80" s="86" t="str">
        <f t="shared" si="42"/>
        <v>"%USERPROFILE%\Documents\GitHub\eaglep3\Utilities\RefineRTDCRunTimes.py" --tripid 168-07 --locoid 4019 --swversion DE.1.0.9.0 --startMP 204:232967 --initTime 2017-04-07T12:47:41 --startdatetime 2017-04-07T12:56:20 --delay 3 --endMP 204:165 --enddatetime 2017-04-07T13:36:16 --enforcementcount 0 &gt;&gt;C:\Users\stu\Documents\GitHub\eaglep3-reporting\EC\2017-04-07-refined-times.txt</v>
      </c>
      <c r="AI80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{"issue":{"subject":"","project_id":79,"tracker_id":40,"status_id":1,"priority_id":2,"assigned_to_id":23,"start_date":"2017-04-07","description":"","custom_fields":[{"id":1,"name":"Subdivision","value":"EC"},{"id":4,"name":"Milepost","value":"0.0165"},{"id":17,"name":"Train ID","value":"168-07"},{"id":16,"name":"Locomotive ID","value":"4019"},{"id":130,"name":"Impact","value":""},{"id":150,"name":"Time of Event (Mountain Time)","value":"13:36:16"},{"id":151,"name":"Denver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44"/>
        <v>start /low /b %USERPROFILE%\Documents\GitHub\eaglep3\Utilities\DownloadLogsFromS3.py --loco 4019 --day 2017-04-07</v>
      </c>
      <c r="AN80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19:36:16"},{"id":29,"name":"Sharepoint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1" spans="1:91" s="20" customFormat="1" x14ac:dyDescent="0.25">
      <c r="A81" s="33" t="s">
        <v>747</v>
      </c>
      <c r="B81" s="7">
        <v>4022</v>
      </c>
      <c r="C81" s="21" t="s">
        <v>216</v>
      </c>
      <c r="D81" s="21" t="s">
        <v>396</v>
      </c>
      <c r="E81" s="13">
        <v>42832.505277777775</v>
      </c>
      <c r="F81" s="13">
        <v>42832.510578703703</v>
      </c>
      <c r="G81" s="7">
        <v>2</v>
      </c>
      <c r="H81" s="21" t="s">
        <v>496</v>
      </c>
      <c r="I81" s="13">
        <v>42832.536064814813</v>
      </c>
      <c r="J81" s="7">
        <v>0</v>
      </c>
      <c r="K81" s="97" t="str">
        <f t="shared" si="29"/>
        <v>4021/4022</v>
      </c>
      <c r="L81" s="21" t="str">
        <f>VLOOKUP(A81,'Trips&amp;Operators'!$C$1:$G$99999,5,FALSE)</f>
        <v>BRANDNER MELINDA</v>
      </c>
      <c r="M81" s="6">
        <f t="shared" si="30"/>
        <v>2.548611110978527E-2</v>
      </c>
      <c r="N81" s="7">
        <f t="shared" si="31"/>
        <v>36.699999998090789</v>
      </c>
      <c r="O81" s="7"/>
      <c r="P81" s="7"/>
      <c r="Q81" s="22"/>
      <c r="R81" s="22"/>
      <c r="S81" s="31">
        <f t="shared" si="32"/>
        <v>1</v>
      </c>
      <c r="T81" s="46" t="str">
        <f t="shared" si="33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4"/>
        <v>https://d0f6bd738d7f1b3e5a7ca70fe4ff75f0.us-east-1.aws.found.io/app/kibana#/discover/Steve-Slow-Train-Analysis-(2080s-and-2083s)?_g=(refreshInterval:(display:Off,pause:!f,section:0,value:0),time:(from:'2017-04-07T11:07:36-0600',mode:absolute,to:'2017-04-07T13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1" s="183" t="str">
        <f t="shared" si="35"/>
        <v>N</v>
      </c>
      <c r="X81" s="183">
        <f t="shared" si="28"/>
        <v>1</v>
      </c>
      <c r="Y81" s="62">
        <f t="shared" si="36"/>
        <v>4.4900000000000002E-2</v>
      </c>
      <c r="Z81" s="62">
        <f t="shared" si="27"/>
        <v>23.33</v>
      </c>
      <c r="AA81" s="62">
        <f t="shared" si="37"/>
        <v>23.2851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8"/>
        <v>0169-07</v>
      </c>
      <c r="AE81" s="85" t="str">
        <f t="shared" si="39"/>
        <v>aws s3 cp s3://rtdc.mdm.uploadarchive.raw/RTDC4022/ "%USERPROFILE%\AppData\Local\Temp\OnboardLogs"\RTDC4022\2017-04-07 --exclude "*" --recursive --include "*20170407*" &amp; "%USERPROFILE%\Documents\GitHub\mrs-test-scripts\Headless Mode &amp; Sideloading\WalkAndUnGZ.bat" "%USERPROFILE%\AppData\Local\Temp\OnboardLogs"\RTDC4022\2017-04-07 &amp; 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</v>
      </c>
      <c r="AF81" s="82" t="str">
        <f t="shared" si="40"/>
        <v>"C:\Program Files (x86)\AstroGrep\AstroGrep.exe" /e /r /s /spath="%USERPROFILE%\AppData\Local\Temp\OnboardLogs" /stypes="app*4022*20170407*" /stext=" 18:.+((SYSTEM_STATE.+slice.+state.+changed )|(ment ac)|(multiple cpu faults)|(system.+state.+changed )|(\[timeout)|(PRM\|1\|D)|(kpr)|(kdp)|(\|lc)|(penalty))"</v>
      </c>
      <c r="AG81" s="1" t="str">
        <f t="shared" si="41"/>
        <v>EC</v>
      </c>
      <c r="AH81" s="86" t="str">
        <f t="shared" si="42"/>
        <v>"%USERPROFILE%\Documents\GitHub\eaglep3\Utilities\RefineRTDCRunTimes.py" --tripid 169-07 --locoid 4022 --swversion DE.1.0.9.0 --startMP 204:449 --initTime 2017-04-07T12:07:36 --startdatetime 2017-04-07T12:15:14 --delay 2 --endMP 204:233300 --enddatetime 2017-04-07T12:51:56 --enforcementcount 0 &gt;&gt;C:\Users\stu\Documents\GitHub\eaglep3-reporting\EC\2017-04-07-refined-times.txt</v>
      </c>
      <c r="AI81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{"issue":{"subject":"","project_id":79,"tracker_id":40,"status_id":1,"priority_id":2,"assigned_to_id":23,"start_date":"2017-04-07","description":"","custom_fields":[{"id":1,"name":"Subdivision","value":"EC"},{"id":4,"name":"Milepost","value":"23.33"},{"id":17,"name":"Train ID","value":"169-07"},{"id":16,"name":"Locomotive ID","value":"4022"},{"id":130,"name":"Impact","value":""},{"id":150,"name":"Time of Event (Mountain Time)","value":"12:51:56"},{"id":151,"name":"Denver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44"/>
        <v>start /low /b %USERPROFILE%\Documents\GitHub\eaglep3\Utilities\DownloadLogsFromS3.py --loco 4022 --day 2017-04-07</v>
      </c>
      <c r="AN81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18:51:56"},{"id":29,"name":"Sharepoint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754</v>
      </c>
      <c r="B82" s="7">
        <v>4021</v>
      </c>
      <c r="C82" s="21" t="s">
        <v>216</v>
      </c>
      <c r="D82" s="21" t="s">
        <v>529</v>
      </c>
      <c r="E82" s="13">
        <v>42832.544178240743</v>
      </c>
      <c r="F82" s="13">
        <v>42832.549733796295</v>
      </c>
      <c r="G82" s="7">
        <v>2</v>
      </c>
      <c r="H82" s="21" t="s">
        <v>409</v>
      </c>
      <c r="I82" s="13">
        <v>42832.576782407406</v>
      </c>
      <c r="J82" s="7">
        <v>0</v>
      </c>
      <c r="K82" s="97" t="str">
        <f t="shared" si="29"/>
        <v>4021/4022</v>
      </c>
      <c r="L82" s="21" t="str">
        <f>VLOOKUP(A82,'Trips&amp;Operators'!$C$1:$G$99999,5,FALSE)</f>
        <v>BRANDNER MELINDA</v>
      </c>
      <c r="M82" s="6">
        <f t="shared" si="30"/>
        <v>2.7048611111240461E-2</v>
      </c>
      <c r="N82" s="7">
        <f t="shared" si="31"/>
        <v>38.950000000186265</v>
      </c>
      <c r="O82" s="7"/>
      <c r="P82" s="7"/>
      <c r="Q82" s="22"/>
      <c r="R82" s="22"/>
      <c r="S82" s="31">
        <f t="shared" si="32"/>
        <v>1</v>
      </c>
      <c r="T82" s="46" t="str">
        <f t="shared" si="33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4"/>
        <v>https://d0f6bd738d7f1b3e5a7ca70fe4ff75f0.us-east-1.aws.found.io/app/kibana#/discover/Steve-Slow-Train-Analysis-(2080s-and-2083s)?_g=(refreshInterval:(display:Off,pause:!f,section:0,value:0),time:(from:'2017-04-07T12:03:37-0600',mode:absolute,to:'2017-04-07T14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2" s="183" t="str">
        <f t="shared" si="35"/>
        <v>N</v>
      </c>
      <c r="X82" s="183">
        <f t="shared" si="28"/>
        <v>1</v>
      </c>
      <c r="Y82" s="62">
        <f t="shared" si="36"/>
        <v>23.298300000000001</v>
      </c>
      <c r="Z82" s="62">
        <f t="shared" si="27"/>
        <v>1.41E-2</v>
      </c>
      <c r="AA82" s="62">
        <f t="shared" si="37"/>
        <v>23.284200000000002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8"/>
        <v>0170-07</v>
      </c>
      <c r="AE82" s="85" t="str">
        <f t="shared" si="39"/>
        <v>aws s3 cp s3://rtdc.mdm.uploadarchive.raw/RTDC4021/ "%USERPROFILE%\AppData\Local\Temp\OnboardLogs"\RTDC4021\2017-04-07 --exclude "*" --recursive --include "*20170407*" &amp; "%USERPROFILE%\Documents\GitHub\mrs-test-scripts\Headless Mode &amp; Sideloading\WalkAndUnGZ.bat" "%USERPROFILE%\AppData\Local\Temp\OnboardLogs"\RTDC4021\2017-04-07 &amp; 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</v>
      </c>
      <c r="AF82" s="82" t="str">
        <f t="shared" si="40"/>
        <v>"C:\Program Files (x86)\AstroGrep\AstroGrep.exe" /e /r /s /spath="%USERPROFILE%\AppData\Local\Temp\OnboardLogs" /stypes="app*4021*20170407*" /stext=" 19:.+((SYSTEM_STATE.+slice.+state.+changed )|(ment ac)|(multiple cpu faults)|(system.+state.+changed )|(\[timeout)|(PRM\|1\|D)|(kpr)|(kdp)|(\|lc)|(penalty))"</v>
      </c>
      <c r="AG82" s="1" t="str">
        <f t="shared" si="41"/>
        <v>EC</v>
      </c>
      <c r="AH82" s="86" t="str">
        <f t="shared" si="42"/>
        <v>"%USERPROFILE%\Documents\GitHub\eaglep3\Utilities\RefineRTDCRunTimes.py" --tripid 170-07 --locoid 4021 --swversion DE.1.0.9.0 --startMP 204:232983 --initTime 2017-04-07T13:03:37 --startdatetime 2017-04-07T13:11:37 --delay 2 --endMP 204:141 --enddatetime 2017-04-07T13:50:34 --enforcementcount 0 &gt;&gt;C:\Users\stu\Documents\GitHub\eaglep3-reporting\EC\2017-04-07-refined-times.txt</v>
      </c>
      <c r="AI82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{"issue":{"subject":"","project_id":79,"tracker_id":40,"status_id":1,"priority_id":2,"assigned_to_id":23,"start_date":"2017-04-07","description":"","custom_fields":[{"id":1,"name":"Subdivision","value":"EC"},{"id":4,"name":"Milepost","value":"0.0141"},{"id":17,"name":"Train ID","value":"170-07"},{"id":16,"name":"Locomotive ID","value":"4021"},{"id":130,"name":"Impact","value":""},{"id":150,"name":"Time of Event (Mountain Time)","value":"13:50:34"},{"id":151,"name":"Denver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44"/>
        <v>start /low /b %USERPROFILE%\Documents\GitHub\eaglep3\Utilities\DownloadLogsFromS3.py --loco 4021 --day 2017-04-07</v>
      </c>
      <c r="AN82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19:50:34"},{"id":29,"name":"Sharepoint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638</v>
      </c>
      <c r="B83" s="7">
        <v>4032</v>
      </c>
      <c r="C83" s="21" t="s">
        <v>216</v>
      </c>
      <c r="D83" s="21" t="s">
        <v>418</v>
      </c>
      <c r="E83" s="13">
        <v>42832.518460648149</v>
      </c>
      <c r="F83" s="13">
        <v>42832.521064814813</v>
      </c>
      <c r="G83" s="7">
        <v>1</v>
      </c>
      <c r="H83" s="21" t="s">
        <v>881</v>
      </c>
      <c r="I83" s="13">
        <v>42832.54760416667</v>
      </c>
      <c r="J83" s="7">
        <v>0</v>
      </c>
      <c r="K83" s="97" t="str">
        <f t="shared" si="29"/>
        <v>4031/4032</v>
      </c>
      <c r="L83" s="21" t="str">
        <f>VLOOKUP(A83,'Trips&amp;Operators'!$C$1:$G$99999,5,FALSE)</f>
        <v>STRICKLAND EVAN</v>
      </c>
      <c r="M83" s="6">
        <f t="shared" si="30"/>
        <v>2.6539351856627036E-2</v>
      </c>
      <c r="N83" s="7">
        <f t="shared" si="31"/>
        <v>38.216666673542932</v>
      </c>
      <c r="O83" s="7"/>
      <c r="P83" s="7"/>
      <c r="Q83" s="22"/>
      <c r="R83" s="22"/>
      <c r="S83" s="31">
        <f t="shared" si="32"/>
        <v>1</v>
      </c>
      <c r="T83" s="46" t="str">
        <f t="shared" si="33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4"/>
        <v>https://d0f6bd738d7f1b3e5a7ca70fe4ff75f0.us-east-1.aws.found.io/app/kibana#/discover/Steve-Slow-Train-Analysis-(2080s-and-2083s)?_g=(refreshInterval:(display:Off,pause:!f,section:0,value:0),time:(from:'2017-04-07T11:26:35-0600',mode:absolute,to:'2017-04-07T14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3" s="183" t="str">
        <f t="shared" si="35"/>
        <v>N</v>
      </c>
      <c r="X83" s="183">
        <f t="shared" si="28"/>
        <v>1</v>
      </c>
      <c r="Y83" s="62">
        <f t="shared" si="36"/>
        <v>4.6199999999999998E-2</v>
      </c>
      <c r="Z83" s="62">
        <f t="shared" si="27"/>
        <v>23.338000000000001</v>
      </c>
      <c r="AA83" s="62">
        <f t="shared" si="37"/>
        <v>23.291800000000002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8"/>
        <v>0171-07</v>
      </c>
      <c r="AE83" s="85" t="str">
        <f t="shared" si="39"/>
        <v>aws s3 cp s3://rtdc.mdm.uploadarchive.raw/RTDC4032/ "%USERPROFILE%\AppData\Local\Temp\OnboardLogs"\RTDC4032\2017-04-07 --exclude "*" --recursive --include "*20170407*" &amp; "%USERPROFILE%\Documents\GitHub\mrs-test-scripts\Headless Mode &amp; Sideloading\WalkAndUnGZ.bat" "%USERPROFILE%\AppData\Local\Temp\OnboardLogs"\RTDC4032\2017-04-07 &amp; aws s3 cp s3://rtdc.mdm.uploadarchive.raw/RTDC4032/ "%USERPROFILE%\AppData\Local\Temp\OnboardLogs"\RTDC4032\2017-04-08 --exclude "*" --recursive --include "*20170408*" &amp; "%USERPROFILE%\Documents\GitHub\mrs-test-scripts\Headless Mode &amp; Sideloading\WalkAndUnGZ.bat" "%USERPROFILE%\AppData\Local\Temp\OnboardLogs"\RTDC4032\2017-04-08</v>
      </c>
      <c r="AF83" s="82" t="str">
        <f t="shared" si="40"/>
        <v>"C:\Program Files (x86)\AstroGrep\AstroGrep.exe" /e /r /s /spath="%USERPROFILE%\AppData\Local\Temp\OnboardLogs" /stypes="app*4032*20170407*" /stext=" 19:.+((SYSTEM_STATE.+slice.+state.+changed )|(ment ac)|(multiple cpu faults)|(system.+state.+changed )|(\[timeout)|(PRM\|1\|D)|(kpr)|(kdp)|(\|lc)|(penalty))"</v>
      </c>
      <c r="AG83" s="1" t="str">
        <f t="shared" si="41"/>
        <v>EC</v>
      </c>
      <c r="AH83" s="86" t="str">
        <f t="shared" si="42"/>
        <v>"%USERPROFILE%\Documents\GitHub\eaglep3\Utilities\RefineRTDCRunTimes.py" --tripid 171-07 --locoid 4032 --swversion DE.1.0.9.0 --startMP 204:462 --initTime 2017-04-07T12:26:35 --startdatetime 2017-04-07T12:30:20 --delay 1 --endMP 204:233380 --enddatetime 2017-04-07T13:08:33 --enforcementcount 0 &gt;&gt;C:\Users\stu\Documents\GitHub\eaglep3-reporting\EC\2017-04-07-refined-times.txt</v>
      </c>
      <c r="AI83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{"issue":{"subject":"","project_id":79,"tracker_id":40,"status_id":1,"priority_id":2,"assigned_to_id":23,"start_date":"2017-04-07","description":"","custom_fields":[{"id":1,"name":"Subdivision","value":"EC"},{"id":4,"name":"Milepost","value":"23.338"},{"id":17,"name":"Train ID","value":"171-07"},{"id":16,"name":"Locomotive ID","value":"4032"},{"id":130,"name":"Impact","value":""},{"id":150,"name":"Time of Event (Mountain Time)","value":"13:08:33"},{"id":151,"name":"Denver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44"/>
        <v>start /low /b %USERPROFILE%\Documents\GitHub\eaglep3\Utilities\DownloadLogsFromS3.py --loco 4032 --day 2017-04-07</v>
      </c>
      <c r="AN83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19:08:33"},{"id":29,"name":"Sharepoint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639</v>
      </c>
      <c r="B84" s="7">
        <v>4031</v>
      </c>
      <c r="C84" s="21" t="s">
        <v>216</v>
      </c>
      <c r="D84" s="21" t="s">
        <v>882</v>
      </c>
      <c r="E84" s="13">
        <v>42832.54965277778</v>
      </c>
      <c r="F84" s="13">
        <v>42832.559953703705</v>
      </c>
      <c r="G84" s="7">
        <v>3</v>
      </c>
      <c r="H84" s="21" t="s">
        <v>883</v>
      </c>
      <c r="I84" s="13">
        <v>42832.587905092594</v>
      </c>
      <c r="J84" s="7">
        <v>0</v>
      </c>
      <c r="K84" s="97" t="str">
        <f t="shared" si="29"/>
        <v>4031/4032</v>
      </c>
      <c r="L84" s="21" t="str">
        <f>VLOOKUP(A84,'Trips&amp;Operators'!$C$1:$G$99999,5,FALSE)</f>
        <v>STRICKLAND EVAN</v>
      </c>
      <c r="M84" s="6">
        <f t="shared" si="30"/>
        <v>2.7951388889050577E-2</v>
      </c>
      <c r="N84" s="7">
        <f t="shared" si="31"/>
        <v>40.250000000232831</v>
      </c>
      <c r="O84" s="7"/>
      <c r="P84" s="7"/>
      <c r="Q84" s="22"/>
      <c r="R84" s="22"/>
      <c r="S84" s="31">
        <f t="shared" si="32"/>
        <v>1</v>
      </c>
      <c r="T84" s="46" t="str">
        <f t="shared" si="33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4"/>
        <v>https://d0f6bd738d7f1b3e5a7ca70fe4ff75f0.us-east-1.aws.found.io/app/kibana#/discover/Steve-Slow-Train-Analysis-(2080s-and-2083s)?_g=(refreshInterval:(display:Off,pause:!f,section:0,value:0),time:(from:'2017-04-07T12:11:30-0600',mode:absolute,to:'2017-04-07T15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4" s="183" t="str">
        <f t="shared" si="35"/>
        <v>N</v>
      </c>
      <c r="X84" s="183">
        <f t="shared" si="28"/>
        <v>1</v>
      </c>
      <c r="Y84" s="62">
        <f t="shared" si="36"/>
        <v>23.3032</v>
      </c>
      <c r="Z84" s="62">
        <f t="shared" si="27"/>
        <v>2.0899999999999998E-2</v>
      </c>
      <c r="AA84" s="62">
        <f t="shared" si="37"/>
        <v>23.282299999999999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8"/>
        <v>0172-07</v>
      </c>
      <c r="AE84" s="85" t="str">
        <f t="shared" si="39"/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AF84" s="82" t="str">
        <f t="shared" si="40"/>
        <v>"C:\Program Files (x86)\AstroGrep\AstroGrep.exe" /e /r /s /spath="%USERPROFILE%\AppData\Local\Temp\OnboardLogs" /stypes="app*4031*20170407*" /stext=" 20:.+((SYSTEM_STATE.+slice.+state.+changed )|(ment ac)|(multiple cpu faults)|(system.+state.+changed )|(\[timeout)|(PRM\|1\|D)|(kpr)|(kdp)|(\|lc)|(penalty))"</v>
      </c>
      <c r="AG84" s="1" t="str">
        <f t="shared" si="41"/>
        <v>EC</v>
      </c>
      <c r="AH84" s="86" t="str">
        <f t="shared" si="42"/>
        <v>"%USERPROFILE%\Documents\GitHub\eaglep3\Utilities\RefineRTDCRunTimes.py" --tripid 172-07 --locoid 4031 --swversion DE.1.0.9.0 --startMP 204:233032 --initTime 2017-04-07T13:11:30 --startdatetime 2017-04-07T13:26:20 --delay 3 --endMP 204:209 --enddatetime 2017-04-07T14:06:35 --enforcementcount 0 &gt;&gt;C:\Users\stu\Documents\GitHub\eaglep3-reporting\EC\2017-04-07-refined-times.txt</v>
      </c>
      <c r="AI84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{"issue":{"subject":"","project_id":79,"tracker_id":40,"status_id":1,"priority_id":2,"assigned_to_id":23,"start_date":"2017-04-07","description":"","custom_fields":[{"id":1,"name":"Subdivision","value":"EC"},{"id":4,"name":"Milepost","value":"0.0209"},{"id":17,"name":"Train ID","value":"172-07"},{"id":16,"name":"Locomotive ID","value":"4031"},{"id":130,"name":"Impact","value":""},{"id":150,"name":"Time of Event (Mountain Time)","value":"14:06:35"},{"id":151,"name":"Denver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4"/>
        <v>start /low /b %USERPROFILE%\Documents\GitHub\eaglep3\Utilities\DownloadLogsFromS3.py --loco 4031 --day 2017-04-07</v>
      </c>
      <c r="AN84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20:06:35"},{"id":29,"name":"Sharepoint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751</v>
      </c>
      <c r="B85" s="7">
        <v>4014</v>
      </c>
      <c r="C85" s="21" t="s">
        <v>216</v>
      </c>
      <c r="D85" s="21" t="s">
        <v>877</v>
      </c>
      <c r="E85" s="13">
        <v>42832.527187500003</v>
      </c>
      <c r="F85" s="13">
        <v>42832.531481481485</v>
      </c>
      <c r="G85" s="7">
        <v>1</v>
      </c>
      <c r="H85" s="21" t="s">
        <v>884</v>
      </c>
      <c r="I85" s="13">
        <v>42832.556064814817</v>
      </c>
      <c r="J85" s="7">
        <v>0</v>
      </c>
      <c r="K85" s="97" t="str">
        <f t="shared" si="29"/>
        <v>4013/4014</v>
      </c>
      <c r="L85" s="21" t="str">
        <f>VLOOKUP(A85,'Trips&amp;Operators'!$C$1:$G$99999,5,FALSE)</f>
        <v>STEWART MICHAEL</v>
      </c>
      <c r="M85" s="6">
        <f t="shared" si="30"/>
        <v>2.4583333331975155E-2</v>
      </c>
      <c r="N85" s="7">
        <f t="shared" si="31"/>
        <v>35.399999998044223</v>
      </c>
      <c r="O85" s="7"/>
      <c r="P85" s="7"/>
      <c r="Q85" s="22"/>
      <c r="R85" s="22"/>
      <c r="S85" s="31">
        <f t="shared" si="32"/>
        <v>1</v>
      </c>
      <c r="T85" s="46" t="str">
        <f t="shared" si="33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4"/>
        <v>https://d0f6bd738d7f1b3e5a7ca70fe4ff75f0.us-east-1.aws.found.io/app/kibana#/discover/Steve-Slow-Train-Analysis-(2080s-and-2083s)?_g=(refreshInterval:(display:Off,pause:!f,section:0,value:0),time:(from:'2017-04-07T11:39:09-0600',mode:absolute,to:'2017-04-07T14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5" s="183" t="str">
        <f t="shared" si="35"/>
        <v>N</v>
      </c>
      <c r="X85" s="183">
        <f t="shared" si="28"/>
        <v>1</v>
      </c>
      <c r="Y85" s="62">
        <f t="shared" si="36"/>
        <v>4.7300000000000002E-2</v>
      </c>
      <c r="Z85" s="62">
        <f t="shared" si="27"/>
        <v>23.3325</v>
      </c>
      <c r="AA85" s="62">
        <f t="shared" si="37"/>
        <v>23.2852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8"/>
        <v>0173-07</v>
      </c>
      <c r="AE85" s="85" t="str">
        <f t="shared" si="39"/>
        <v>aws s3 cp s3://rtdc.mdm.uploadarchive.raw/RTDC4014/ "%USERPROFILE%\AppData\Local\Temp\OnboardLogs"\RTDC4014\2017-04-07 --exclude "*" --recursive --include "*20170407*" &amp; "%USERPROFILE%\Documents\GitHub\mrs-test-scripts\Headless Mode &amp; Sideloading\WalkAndUnGZ.bat" "%USERPROFILE%\AppData\Local\Temp\OnboardLogs"\RTDC4014\2017-04-07 &amp; 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</v>
      </c>
      <c r="AF85" s="82" t="str">
        <f t="shared" si="40"/>
        <v>"C:\Program Files (x86)\AstroGrep\AstroGrep.exe" /e /r /s /spath="%USERPROFILE%\AppData\Local\Temp\OnboardLogs" /stypes="app*4014*20170407*" /stext=" 19:.+((SYSTEM_STATE.+slice.+state.+changed )|(ment ac)|(multiple cpu faults)|(system.+state.+changed )|(\[timeout)|(PRM\|1\|D)|(kpr)|(kdp)|(\|lc)|(penalty))"</v>
      </c>
      <c r="AG85" s="1" t="str">
        <f t="shared" si="41"/>
        <v>EC</v>
      </c>
      <c r="AH85" s="86" t="str">
        <f t="shared" si="42"/>
        <v>"%USERPROFILE%\Documents\GitHub\eaglep3\Utilities\RefineRTDCRunTimes.py" --tripid 173-07 --locoid 4014 --swversion DE.1.0.9.0 --startMP 204:473 --initTime 2017-04-07T12:39:09 --startdatetime 2017-04-07T12:45:20 --delay 1 --endMP 204:233325 --enddatetime 2017-04-07T13:20:44 --enforcementcount 0 &gt;&gt;C:\Users\stu\Documents\GitHub\eaglep3-reporting\EC\2017-04-07-refined-times.txt</v>
      </c>
      <c r="AI85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{"issue":{"subject":"","project_id":79,"tracker_id":40,"status_id":1,"priority_id":2,"assigned_to_id":23,"start_date":"2017-04-07","description":"","custom_fields":[{"id":1,"name":"Subdivision","value":"EC"},{"id":4,"name":"Milepost","value":"23.3325"},{"id":17,"name":"Train ID","value":"173-07"},{"id":16,"name":"Locomotive ID","value":"4014"},{"id":130,"name":"Impact","value":""},{"id":150,"name":"Time of Event (Mountain Time)","value":"13:20:44"},{"id":151,"name":"Denver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8"/>
      <c r="AL85" s="48"/>
      <c r="AM85" s="150" t="str">
        <f t="shared" si="44"/>
        <v>start /low /b %USERPROFILE%\Documents\GitHub\eaglep3\Utilities\DownloadLogsFromS3.py --loco 4014 --day 2017-04-07</v>
      </c>
      <c r="AN85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19:20:44"},{"id":29,"name":"Sharepoint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6" spans="1:91" s="1" customFormat="1" x14ac:dyDescent="0.25">
      <c r="A86" s="33" t="s">
        <v>758</v>
      </c>
      <c r="B86" s="7">
        <v>4013</v>
      </c>
      <c r="C86" s="21" t="s">
        <v>216</v>
      </c>
      <c r="D86" s="21" t="s">
        <v>438</v>
      </c>
      <c r="E86" s="13">
        <v>42832.565578703703</v>
      </c>
      <c r="F86" s="13">
        <v>42832.570416666669</v>
      </c>
      <c r="G86" s="7">
        <v>1</v>
      </c>
      <c r="H86" s="21" t="s">
        <v>430</v>
      </c>
      <c r="I86" s="13">
        <v>42832.598437499997</v>
      </c>
      <c r="J86" s="7">
        <v>0</v>
      </c>
      <c r="K86" s="97" t="str">
        <f t="shared" si="29"/>
        <v>4013/4014</v>
      </c>
      <c r="L86" s="21" t="str">
        <f>VLOOKUP(A86,'Trips&amp;Operators'!$C$1:$G$99999,5,FALSE)</f>
        <v>STEWART MICHAEL</v>
      </c>
      <c r="M86" s="6">
        <f t="shared" si="30"/>
        <v>2.8020833327900618E-2</v>
      </c>
      <c r="N86" s="7">
        <f t="shared" si="31"/>
        <v>40.34999999217689</v>
      </c>
      <c r="O86" s="7"/>
      <c r="P86" s="7"/>
      <c r="Q86" s="22"/>
      <c r="R86" s="22"/>
      <c r="S86" s="31">
        <f t="shared" si="32"/>
        <v>1</v>
      </c>
      <c r="T86" s="46" t="str">
        <f t="shared" si="33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4"/>
        <v>https://d0f6bd738d7f1b3e5a7ca70fe4ff75f0.us-east-1.aws.found.io/app/kibana#/discover/Steve-Slow-Train-Analysis-(2080s-and-2083s)?_g=(refreshInterval:(display:Off,pause:!f,section:0,value:0),time:(from:'2017-04-07T12:34:26-0600',mode:absolute,to:'2017-04-07T15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6" s="183" t="str">
        <f t="shared" si="35"/>
        <v>N</v>
      </c>
      <c r="X86" s="183">
        <f t="shared" si="28"/>
        <v>1</v>
      </c>
      <c r="Y86" s="62">
        <f t="shared" si="36"/>
        <v>23.298500000000001</v>
      </c>
      <c r="Z86" s="62">
        <f t="shared" si="27"/>
        <v>1.4500000000000001E-2</v>
      </c>
      <c r="AA86" s="62">
        <f t="shared" si="37"/>
        <v>23.283999999999999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8"/>
        <v>0174-07</v>
      </c>
      <c r="AE86" s="85" t="str">
        <f t="shared" si="39"/>
        <v>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 &amp; 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</v>
      </c>
      <c r="AF86" s="82" t="str">
        <f t="shared" si="40"/>
        <v>"C:\Program Files (x86)\AstroGrep\AstroGrep.exe" /e /r /s /spath="%USERPROFILE%\AppData\Local\Temp\OnboardLogs" /stypes="app*4013*20170407*" /stext=" 20:.+((SYSTEM_STATE.+slice.+state.+changed )|(ment ac)|(multiple cpu faults)|(system.+state.+changed )|(\[timeout)|(PRM\|1\|D)|(kpr)|(kdp)|(\|lc)|(penalty))"</v>
      </c>
      <c r="AG86" s="1" t="str">
        <f t="shared" si="41"/>
        <v>EC</v>
      </c>
      <c r="AH86" s="86" t="str">
        <f t="shared" si="42"/>
        <v>"%USERPROFILE%\Documents\GitHub\eaglep3\Utilities\RefineRTDCRunTimes.py" --tripid 174-07 --locoid 4013 --swversion DE.1.0.9.0 --startMP 204:232985 --initTime 2017-04-07T13:34:26 --startdatetime 2017-04-07T13:41:24 --delay 1 --endMP 204:145 --enddatetime 2017-04-07T14:21:45 --enforcementcount 0 &gt;&gt;C:\Users\stu\Documents\GitHub\eaglep3-reporting\EC\2017-04-07-refined-times.txt</v>
      </c>
      <c r="AI86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{"issue":{"subject":"","project_id":79,"tracker_id":40,"status_id":1,"priority_id":2,"assigned_to_id":23,"start_date":"2017-04-07","description":"","custom_fields":[{"id":1,"name":"Subdivision","value":"EC"},{"id":4,"name":"Milepost","value":"0.0145"},{"id":17,"name":"Train ID","value":"174-07"},{"id":16,"name":"Locomotive ID","value":"4013"},{"id":130,"name":"Impact","value":""},{"id":150,"name":"Time of Event (Mountain Time)","value":"14:21:45"},{"id":151,"name":"Denver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44"/>
        <v>start /low /b %USERPROFILE%\Documents\GitHub\eaglep3\Utilities\DownloadLogsFromS3.py --loco 4013 --day 2017-04-07</v>
      </c>
      <c r="AN86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20:21:45"},{"id":29,"name":"Sharepoint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753</v>
      </c>
      <c r="B87" s="7">
        <v>4026</v>
      </c>
      <c r="C87" s="21" t="s">
        <v>216</v>
      </c>
      <c r="D87" s="21" t="s">
        <v>205</v>
      </c>
      <c r="E87" s="13">
        <v>42832.535370370373</v>
      </c>
      <c r="F87" s="13">
        <v>42832.541828703703</v>
      </c>
      <c r="G87" s="7">
        <v>1</v>
      </c>
      <c r="H87" s="21" t="s">
        <v>878</v>
      </c>
      <c r="I87" s="13">
        <v>42832.566435185188</v>
      </c>
      <c r="J87" s="7">
        <v>0</v>
      </c>
      <c r="K87" s="97" t="str">
        <f t="shared" si="29"/>
        <v>4025/4026</v>
      </c>
      <c r="L87" s="21" t="str">
        <f>VLOOKUP(A87,'Trips&amp;Operators'!$C$1:$G$99999,5,FALSE)</f>
        <v>ROMERO CHAD</v>
      </c>
      <c r="M87" s="6">
        <f t="shared" si="30"/>
        <v>2.4606481485534459E-2</v>
      </c>
      <c r="N87" s="7">
        <f t="shared" si="31"/>
        <v>35.433333339169621</v>
      </c>
      <c r="O87" s="7"/>
      <c r="P87" s="7"/>
      <c r="Q87" s="22"/>
      <c r="R87" s="22"/>
      <c r="S87" s="31">
        <f t="shared" si="32"/>
        <v>1</v>
      </c>
      <c r="T87" s="46" t="str">
        <f t="shared" si="33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4"/>
        <v>https://d0f6bd738d7f1b3e5a7ca70fe4ff75f0.us-east-1.aws.found.io/app/kibana#/discover/Steve-Slow-Train-Analysis-(2080s-and-2083s)?_g=(refreshInterval:(display:Off,pause:!f,section:0,value:0),time:(from:'2017-04-07T11:50:56-0600',mode:absolute,to:'2017-04-07T14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183" t="str">
        <f t="shared" si="35"/>
        <v>N</v>
      </c>
      <c r="X87" s="183">
        <f t="shared" si="28"/>
        <v>1</v>
      </c>
      <c r="Y87" s="62">
        <f t="shared" si="36"/>
        <v>4.5100000000000001E-2</v>
      </c>
      <c r="Z87" s="62">
        <f t="shared" si="27"/>
        <v>23.339099999999998</v>
      </c>
      <c r="AA87" s="62">
        <f t="shared" si="37"/>
        <v>23.293999999999997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8"/>
        <v>0175-07</v>
      </c>
      <c r="AE87" s="85" t="str">
        <f t="shared" si="39"/>
        <v>aws s3 cp s3://rtdc.mdm.uploadarchive.raw/RTDC4026/ "%USERPROFILE%\AppData\Local\Temp\OnboardLogs"\RTDC4026\2017-04-07 --exclude "*" --recursive --include "*20170407*" &amp; "%USERPROFILE%\Documents\GitHub\mrs-test-scripts\Headless Mode &amp; Sideloading\WalkAndUnGZ.bat" "%USERPROFILE%\AppData\Local\Temp\OnboardLogs"\RTDC4026\2017-04-07 &amp; aws s3 cp s3://rtdc.mdm.uploadarchive.raw/RTDC4026/ "%USERPROFILE%\AppData\Local\Temp\OnboardLogs"\RTDC4026\2017-04-08 --exclude "*" --recursive --include "*20170408*" &amp; "%USERPROFILE%\Documents\GitHub\mrs-test-scripts\Headless Mode &amp; Sideloading\WalkAndUnGZ.bat" "%USERPROFILE%\AppData\Local\Temp\OnboardLogs"\RTDC4026\2017-04-08</v>
      </c>
      <c r="AF87" s="82" t="str">
        <f t="shared" si="40"/>
        <v>"C:\Program Files (x86)\AstroGrep\AstroGrep.exe" /e /r /s /spath="%USERPROFILE%\AppData\Local\Temp\OnboardLogs" /stypes="app*4026*20170407*" /stext=" 19:.+((SYSTEM_STATE.+slice.+state.+changed )|(ment ac)|(multiple cpu faults)|(system.+state.+changed )|(\[timeout)|(PRM\|1\|D)|(kpr)|(kdp)|(\|lc)|(penalty))"</v>
      </c>
      <c r="AG87" s="1" t="str">
        <f t="shared" si="41"/>
        <v>EC</v>
      </c>
      <c r="AH87" s="86" t="str">
        <f t="shared" si="42"/>
        <v>"%USERPROFILE%\Documents\GitHub\eaglep3\Utilities\RefineRTDCRunTimes.py" --tripid 175-07 --locoid 4026 --swversion DE.1.0.9.0 --startMP 204:451 --initTime 2017-04-07T12:50:56 --startdatetime 2017-04-07T13:00:14 --delay 1 --endMP 204:233391 --enddatetime 2017-04-07T13:35:40 --enforcementcount 0 &gt;&gt;C:\Users\stu\Documents\GitHub\eaglep3-reporting\EC\2017-04-07-refined-times.txt</v>
      </c>
      <c r="AI87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{"issue":{"subject":"","project_id":79,"tracker_id":40,"status_id":1,"priority_id":2,"assigned_to_id":23,"start_date":"2017-04-07","description":"","custom_fields":[{"id":1,"name":"Subdivision","value":"EC"},{"id":4,"name":"Milepost","value":"23.3391"},{"id":17,"name":"Train ID","value":"175-07"},{"id":16,"name":"Locomotive ID","value":"4026"},{"id":130,"name":"Impact","value":""},{"id":150,"name":"Time of Event (Mountain Time)","value":"13:35:40"},{"id":151,"name":"Denver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44"/>
        <v>start /low /b %USERPROFILE%\Documents\GitHub\eaglep3\Utilities\DownloadLogsFromS3.py --loco 4026 --day 2017-04-07</v>
      </c>
      <c r="AN87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19:35:40"},{"id":29,"name":"Sharepoint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760</v>
      </c>
      <c r="B88" s="7">
        <v>4025</v>
      </c>
      <c r="C88" s="21" t="s">
        <v>216</v>
      </c>
      <c r="D88" s="21" t="s">
        <v>885</v>
      </c>
      <c r="E88" s="13">
        <v>42832.567604166667</v>
      </c>
      <c r="F88" s="13">
        <v>42832.580729166664</v>
      </c>
      <c r="G88" s="7">
        <v>1</v>
      </c>
      <c r="H88" s="21" t="s">
        <v>381</v>
      </c>
      <c r="I88" s="13">
        <v>42832.60733796296</v>
      </c>
      <c r="J88" s="7">
        <v>0</v>
      </c>
      <c r="K88" s="97" t="str">
        <f t="shared" si="29"/>
        <v>4025/4026</v>
      </c>
      <c r="L88" s="21" t="str">
        <f>VLOOKUP(A88,'Trips&amp;Operators'!$C$1:$G$99999,5,FALSE)</f>
        <v>ROMERO CHAD</v>
      </c>
      <c r="M88" s="6">
        <f t="shared" si="30"/>
        <v>2.6608796295477077E-2</v>
      </c>
      <c r="N88" s="7">
        <f t="shared" si="31"/>
        <v>38.316666665486991</v>
      </c>
      <c r="O88" s="7"/>
      <c r="P88" s="7"/>
      <c r="Q88" s="22"/>
      <c r="R88" s="22"/>
      <c r="S88" s="31">
        <f t="shared" si="32"/>
        <v>1</v>
      </c>
      <c r="T88" s="46" t="str">
        <f t="shared" si="33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4"/>
        <v>https://d0f6bd738d7f1b3e5a7ca70fe4ff75f0.us-east-1.aws.found.io/app/kibana#/discover/Steve-Slow-Train-Analysis-(2080s-and-2083s)?_g=(refreshInterval:(display:Off,pause:!f,section:0,value:0),time:(from:'2017-04-07T12:37:21-0600',mode:absolute,to:'2017-04-07T15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8" s="183" t="str">
        <f t="shared" si="35"/>
        <v>N</v>
      </c>
      <c r="X88" s="183">
        <f t="shared" si="28"/>
        <v>1</v>
      </c>
      <c r="Y88" s="62">
        <f t="shared" si="36"/>
        <v>23.3063</v>
      </c>
      <c r="Z88" s="62">
        <f t="shared" si="27"/>
        <v>1.43E-2</v>
      </c>
      <c r="AA88" s="62">
        <f t="shared" si="37"/>
        <v>23.292000000000002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8"/>
        <v>0176-07</v>
      </c>
      <c r="AE88" s="85" t="str">
        <f t="shared" si="39"/>
        <v>aws s3 cp s3://rtdc.mdm.uploadarchive.raw/RTDC4025/ "%USERPROFILE%\AppData\Local\Temp\OnboardLogs"\RTDC4025\2017-04-07 --exclude "*" --recursive --include "*20170407*" &amp; "%USERPROFILE%\Documents\GitHub\mrs-test-scripts\Headless Mode &amp; Sideloading\WalkAndUnGZ.bat" "%USERPROFILE%\AppData\Local\Temp\OnboardLogs"\RTDC4025\2017-04-07 &amp; aws s3 cp s3://rtdc.mdm.uploadarchive.raw/RTDC4025/ "%USERPROFILE%\AppData\Local\Temp\OnboardLogs"\RTDC4025\2017-04-08 --exclude "*" --recursive --include "*20170408*" &amp; "%USERPROFILE%\Documents\GitHub\mrs-test-scripts\Headless Mode &amp; Sideloading\WalkAndUnGZ.bat" "%USERPROFILE%\AppData\Local\Temp\OnboardLogs"\RTDC4025\2017-04-08</v>
      </c>
      <c r="AF88" s="82" t="str">
        <f t="shared" si="40"/>
        <v>"C:\Program Files (x86)\AstroGrep\AstroGrep.exe" /e /r /s /spath="%USERPROFILE%\AppData\Local\Temp\OnboardLogs" /stypes="app*4025*20170407*" /stext=" 20:.+((SYSTEM_STATE.+slice.+state.+changed )|(ment ac)|(multiple cpu faults)|(system.+state.+changed )|(\[timeout)|(PRM\|1\|D)|(kpr)|(kdp)|(\|lc)|(penalty))"</v>
      </c>
      <c r="AG88" s="1" t="str">
        <f t="shared" si="41"/>
        <v>EC</v>
      </c>
      <c r="AH88" s="86" t="str">
        <f t="shared" si="42"/>
        <v>"%USERPROFILE%\Documents\GitHub\eaglep3\Utilities\RefineRTDCRunTimes.py" --tripid 176-07 --locoid 4025 --swversion DE.1.0.9.0 --startMP 204:233063 --initTime 2017-04-07T13:37:21 --startdatetime 2017-04-07T13:56:15 --delay 1 --endMP 204:143 --enddatetime 2017-04-07T14:34:34 --enforcementcount 0 &gt;&gt;C:\Users\stu\Documents\GitHub\eaglep3-reporting\EC\2017-04-07-refined-times.txt</v>
      </c>
      <c r="AI88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{"issue":{"subject":"","project_id":79,"tracker_id":40,"status_id":1,"priority_id":2,"assigned_to_id":23,"start_date":"2017-04-07","description":"","custom_fields":[{"id":1,"name":"Subdivision","value":"EC"},{"id":4,"name":"Milepost","value":"0.0143"},{"id":17,"name":"Train ID","value":"176-07"},{"id":16,"name":"Locomotive ID","value":"4025"},{"id":130,"name":"Impact","value":""},{"id":150,"name":"Time of Event (Mountain Time)","value":"14:34:34"},{"id":151,"name":"Denver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44"/>
        <v>start /low /b %USERPROFILE%\Documents\GitHub\eaglep3\Utilities\DownloadLogsFromS3.py --loco 4025 --day 2017-04-07</v>
      </c>
      <c r="AN88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20:34:34"},{"id":29,"name":"Sharepoint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756</v>
      </c>
      <c r="B89" s="7">
        <v>4010</v>
      </c>
      <c r="C89" s="21" t="s">
        <v>216</v>
      </c>
      <c r="D89" s="21" t="s">
        <v>886</v>
      </c>
      <c r="E89" s="13">
        <v>42832.547812500001</v>
      </c>
      <c r="F89" s="13">
        <v>42832.552395833336</v>
      </c>
      <c r="G89" s="7">
        <v>1</v>
      </c>
      <c r="H89" s="21" t="s">
        <v>417</v>
      </c>
      <c r="I89" s="13">
        <v>42832.578738425924</v>
      </c>
      <c r="J89" s="7">
        <v>0</v>
      </c>
      <c r="K89" s="97" t="str">
        <f t="shared" si="29"/>
        <v>4009/4010</v>
      </c>
      <c r="L89" s="21" t="str">
        <f>VLOOKUP(A89,'Trips&amp;Operators'!$C$1:$G$99999,5,FALSE)</f>
        <v>CLARK KATHLEEN</v>
      </c>
      <c r="M89" s="6">
        <f t="shared" si="30"/>
        <v>2.6342592587752733E-2</v>
      </c>
      <c r="N89" s="7">
        <f t="shared" si="31"/>
        <v>37.933333326363936</v>
      </c>
      <c r="O89" s="7"/>
      <c r="P89" s="7"/>
      <c r="Q89" s="22"/>
      <c r="R89" s="22"/>
      <c r="S89" s="31">
        <f t="shared" si="32"/>
        <v>1</v>
      </c>
      <c r="T89" s="46" t="str">
        <f t="shared" si="33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4"/>
        <v>https://d0f6bd738d7f1b3e5a7ca70fe4ff75f0.us-east-1.aws.found.io/app/kibana#/discover/Steve-Slow-Train-Analysis-(2080s-and-2083s)?_g=(refreshInterval:(display:Off,pause:!f,section:0,value:0),time:(from:'2017-04-07T12:08:51-0600',mode:absolute,to:'2017-04-07T14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9" s="183" t="str">
        <f t="shared" si="35"/>
        <v>N</v>
      </c>
      <c r="X89" s="183">
        <f t="shared" si="28"/>
        <v>1</v>
      </c>
      <c r="Y89" s="62">
        <f t="shared" si="36"/>
        <v>0.05</v>
      </c>
      <c r="Z89" s="62">
        <f t="shared" si="27"/>
        <v>23.330400000000001</v>
      </c>
      <c r="AA89" s="62">
        <f t="shared" si="37"/>
        <v>23.2804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8"/>
        <v>0177-07</v>
      </c>
      <c r="AE89" s="85" t="str">
        <f t="shared" si="39"/>
        <v>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 &amp; 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</v>
      </c>
      <c r="AF89" s="82" t="str">
        <f t="shared" si="40"/>
        <v>"C:\Program Files (x86)\AstroGrep\AstroGrep.exe" /e /r /s /spath="%USERPROFILE%\AppData\Local\Temp\OnboardLogs" /stypes="app*4010*20170407*" /stext=" 19:.+((SYSTEM_STATE.+slice.+state.+changed )|(ment ac)|(multiple cpu faults)|(system.+state.+changed )|(\[timeout)|(PRM\|1\|D)|(kpr)|(kdp)|(\|lc)|(penalty))"</v>
      </c>
      <c r="AG89" s="1" t="str">
        <f t="shared" si="41"/>
        <v>EC</v>
      </c>
      <c r="AH89" s="86" t="str">
        <f t="shared" si="42"/>
        <v>"%USERPROFILE%\Documents\GitHub\eaglep3\Utilities\RefineRTDCRunTimes.py" --tripid 177-07 --locoid 4010 --swversion DE.1.0.9.0 --startMP 204:500 --initTime 2017-04-07T13:08:51 --startdatetime 2017-04-07T13:15:27 --delay 1 --endMP 204:233304 --enddatetime 2017-04-07T13:53:23 --enforcementcount 0 &gt;&gt;C:\Users\stu\Documents\GitHub\eaglep3-reporting\EC\2017-04-07-refined-times.txt</v>
      </c>
      <c r="AI89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{"issue":{"subject":"","project_id":79,"tracker_id":40,"status_id":1,"priority_id":2,"assigned_to_id":23,"start_date":"2017-04-07","description":"","custom_fields":[{"id":1,"name":"Subdivision","value":"EC"},{"id":4,"name":"Milepost","value":"23.3304"},{"id":17,"name":"Train ID","value":"177-07"},{"id":16,"name":"Locomotive ID","value":"4010"},{"id":130,"name":"Impact","value":""},{"id":150,"name":"Time of Event (Mountain Time)","value":"13:53:23"},{"id":151,"name":"Denver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4"/>
        <v>start /low /b %USERPROFILE%\Documents\GitHub\eaglep3\Utilities\DownloadLogsFromS3.py --loco 4010 --day 2017-04-07</v>
      </c>
      <c r="AN89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19:53:23"},{"id":29,"name":"Sharepoint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762</v>
      </c>
      <c r="B90" s="7">
        <v>4009</v>
      </c>
      <c r="C90" s="21" t="s">
        <v>216</v>
      </c>
      <c r="D90" s="21" t="s">
        <v>585</v>
      </c>
      <c r="E90" s="13">
        <v>42832.585300925923</v>
      </c>
      <c r="F90" s="13">
        <v>42832.591134259259</v>
      </c>
      <c r="G90" s="7">
        <v>1</v>
      </c>
      <c r="H90" s="21" t="s">
        <v>887</v>
      </c>
      <c r="I90" s="13">
        <v>42832.619351851848</v>
      </c>
      <c r="J90" s="7">
        <v>0</v>
      </c>
      <c r="K90" s="97" t="str">
        <f t="shared" si="29"/>
        <v>4009/4010</v>
      </c>
      <c r="L90" s="21" t="str">
        <f>VLOOKUP(A90,'Trips&amp;Operators'!$C$1:$G$99999,5,FALSE)</f>
        <v>CLARK KATHLEEN</v>
      </c>
      <c r="M90" s="6">
        <f t="shared" si="30"/>
        <v>2.8217592589498963E-2</v>
      </c>
      <c r="N90" s="7">
        <f t="shared" si="31"/>
        <v>40.633333328878507</v>
      </c>
      <c r="O90" s="7"/>
      <c r="P90" s="7"/>
      <c r="Q90" s="22"/>
      <c r="R90" s="22"/>
      <c r="S90" s="31">
        <f t="shared" si="32"/>
        <v>1</v>
      </c>
      <c r="T90" s="46" t="str">
        <f t="shared" si="33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4"/>
        <v>https://d0f6bd738d7f1b3e5a7ca70fe4ff75f0.us-east-1.aws.found.io/app/kibana#/discover/Steve-Slow-Train-Analysis-(2080s-and-2083s)?_g=(refreshInterval:(display:Off,pause:!f,section:0,value:0),time:(from:'2017-04-07T13:02:50-0600',mode:absolute,to:'2017-04-07T15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0" s="183" t="str">
        <f t="shared" si="35"/>
        <v>N</v>
      </c>
      <c r="X90" s="183">
        <f t="shared" si="28"/>
        <v>1</v>
      </c>
      <c r="Y90" s="62">
        <f t="shared" si="36"/>
        <v>23.298100000000002</v>
      </c>
      <c r="Z90" s="62">
        <f t="shared" si="27"/>
        <v>1.7600000000000001E-2</v>
      </c>
      <c r="AA90" s="62">
        <f t="shared" si="37"/>
        <v>23.2805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8"/>
        <v>0178-07</v>
      </c>
      <c r="AE90" s="85" t="str">
        <f t="shared" si="39"/>
        <v>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 &amp; aws s3 cp s3://rtdc.mdm.uploadarchive.raw/RTDC4009/ "%USERPROFILE%\AppData\Local\Temp\OnboardLogs"\RTDC4009\2017-04-08 --exclude "*" --recursive --include "*20170408*" &amp; "%USERPROFILE%\Documents\GitHub\mrs-test-scripts\Headless Mode &amp; Sideloading\WalkAndUnGZ.bat" "%USERPROFILE%\AppData\Local\Temp\OnboardLogs"\RTDC4009\2017-04-08</v>
      </c>
      <c r="AF90" s="82" t="str">
        <f t="shared" si="40"/>
        <v>"C:\Program Files (x86)\AstroGrep\AstroGrep.exe" /e /r /s /spath="%USERPROFILE%\AppData\Local\Temp\OnboardLogs" /stypes="app*4009*20170407*" /stext=" 20:.+((SYSTEM_STATE.+slice.+state.+changed )|(ment ac)|(multiple cpu faults)|(system.+state.+changed )|(\[timeout)|(PRM\|1\|D)|(kpr)|(kdp)|(\|lc)|(penalty))"</v>
      </c>
      <c r="AG90" s="1" t="str">
        <f t="shared" si="41"/>
        <v>EC</v>
      </c>
      <c r="AH90" s="86" t="str">
        <f t="shared" si="42"/>
        <v>"%USERPROFILE%\Documents\GitHub\eaglep3\Utilities\RefineRTDCRunTimes.py" --tripid 178-07 --locoid 4009 --swversion DE.1.0.9.0 --startMP 204:232981 --initTime 2017-04-07T14:02:50 --startdatetime 2017-04-07T14:11:14 --delay 1 --endMP 204:176 --enddatetime 2017-04-07T14:51:52 --enforcementcount 0 &gt;&gt;C:\Users\stu\Documents\GitHub\eaglep3-reporting\EC\2017-04-07-refined-times.txt</v>
      </c>
      <c r="AI90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{"issue":{"subject":"","project_id":79,"tracker_id":40,"status_id":1,"priority_id":2,"assigned_to_id":23,"start_date":"2017-04-07","description":"","custom_fields":[{"id":1,"name":"Subdivision","value":"EC"},{"id":4,"name":"Milepost","value":"0.0176"},{"id":17,"name":"Train ID","value":"178-07"},{"id":16,"name":"Locomotive ID","value":"4009"},{"id":130,"name":"Impact","value":""},{"id":150,"name":"Time of Event (Mountain Time)","value":"14:51:52"},{"id":151,"name":"Denver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4"/>
        <v>start /low /b %USERPROFILE%\Documents\GitHub\eaglep3\Utilities\DownloadLogsFromS3.py --loco 4009 --day 2017-04-07</v>
      </c>
      <c r="AN90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20:51:52"},{"id":29,"name":"Sharepoint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757</v>
      </c>
      <c r="B91" s="7">
        <v>4016</v>
      </c>
      <c r="C91" s="21" t="s">
        <v>216</v>
      </c>
      <c r="D91" s="21" t="s">
        <v>521</v>
      </c>
      <c r="E91" s="13">
        <v>42832.557430555556</v>
      </c>
      <c r="F91" s="13">
        <v>42832.562662037039</v>
      </c>
      <c r="G91" s="7">
        <v>1</v>
      </c>
      <c r="H91" s="21" t="s">
        <v>583</v>
      </c>
      <c r="I91" s="13">
        <v>42832.587060185186</v>
      </c>
      <c r="J91" s="7">
        <v>0</v>
      </c>
      <c r="K91" s="97" t="str">
        <f t="shared" si="29"/>
        <v>4015/4016</v>
      </c>
      <c r="L91" s="21" t="str">
        <f>VLOOKUP(A91,'Trips&amp;Operators'!$C$1:$G$99999,5,FALSE)</f>
        <v>BRUDER RICHARD</v>
      </c>
      <c r="M91" s="6">
        <f t="shared" si="30"/>
        <v>2.4398148147156462E-2</v>
      </c>
      <c r="N91" s="7">
        <f t="shared" si="31"/>
        <v>35.133333331905305</v>
      </c>
      <c r="O91" s="7"/>
      <c r="P91" s="7"/>
      <c r="Q91" s="22"/>
      <c r="R91" s="22"/>
      <c r="S91" s="31">
        <f t="shared" si="32"/>
        <v>1</v>
      </c>
      <c r="T91" s="46" t="str">
        <f t="shared" si="33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4"/>
        <v>https://d0f6bd738d7f1b3e5a7ca70fe4ff75f0.us-east-1.aws.found.io/app/kibana#/discover/Steve-Slow-Train-Analysis-(2080s-and-2083s)?_g=(refreshInterval:(display:Off,pause:!f,section:0,value:0),time:(from:'2017-04-07T12:22:42-0600',mode:absolute,to:'2017-04-07T15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183" t="str">
        <f t="shared" si="35"/>
        <v>N</v>
      </c>
      <c r="X91" s="183">
        <f t="shared" si="28"/>
        <v>1</v>
      </c>
      <c r="Y91" s="62">
        <f t="shared" si="36"/>
        <v>4.6899999999999997E-2</v>
      </c>
      <c r="Z91" s="62">
        <f t="shared" si="27"/>
        <v>23.3293</v>
      </c>
      <c r="AA91" s="62">
        <f t="shared" si="37"/>
        <v>23.282399999999999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8"/>
        <v>0179-07</v>
      </c>
      <c r="AE91" s="85" t="str">
        <f t="shared" si="39"/>
        <v>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 &amp; aws s3 cp s3://rtdc.mdm.uploadarchive.raw/RTDC4016/ "%USERPROFILE%\AppData\Local\Temp\OnboardLogs"\RTDC4016\2017-04-08 --exclude "*" --recursive --include "*20170408*" &amp; "%USERPROFILE%\Documents\GitHub\mrs-test-scripts\Headless Mode &amp; Sideloading\WalkAndUnGZ.bat" "%USERPROFILE%\AppData\Local\Temp\OnboardLogs"\RTDC4016\2017-04-08</v>
      </c>
      <c r="AF91" s="82" t="str">
        <f t="shared" si="40"/>
        <v>"C:\Program Files (x86)\AstroGrep\AstroGrep.exe" /e /r /s /spath="%USERPROFILE%\AppData\Local\Temp\OnboardLogs" /stypes="app*4016*20170407*" /stext=" 20:.+((SYSTEM_STATE.+slice.+state.+changed )|(ment ac)|(multiple cpu faults)|(system.+state.+changed )|(\[timeout)|(PRM\|1\|D)|(kpr)|(kdp)|(\|lc)|(penalty))"</v>
      </c>
      <c r="AG91" s="1" t="str">
        <f t="shared" si="41"/>
        <v>EC</v>
      </c>
      <c r="AH91" s="86" t="str">
        <f t="shared" si="42"/>
        <v>"%USERPROFILE%\Documents\GitHub\eaglep3\Utilities\RefineRTDCRunTimes.py" --tripid 179-07 --locoid 4016 --swversion DE.1.0.9.0 --startMP 204:469 --initTime 2017-04-07T13:22:42 --startdatetime 2017-04-07T13:30:14 --delay 1 --endMP 204:233293 --enddatetime 2017-04-07T14:05:22 --enforcementcount 0 &gt;&gt;C:\Users\stu\Documents\GitHub\eaglep3-reporting\EC\2017-04-07-refined-times.txt</v>
      </c>
      <c r="AI91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{"issue":{"subject":"","project_id":79,"tracker_id":40,"status_id":1,"priority_id":2,"assigned_to_id":23,"start_date":"2017-04-07","description":"","custom_fields":[{"id":1,"name":"Subdivision","value":"EC"},{"id":4,"name":"Milepost","value":"23.3293"},{"id":17,"name":"Train ID","value":"179-07"},{"id":16,"name":"Locomotive ID","value":"4016"},{"id":130,"name":"Impact","value":""},{"id":150,"name":"Time of Event (Mountain Time)","value":"14:05:22"},{"id":151,"name":"Denver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4"/>
        <v>start /low /b %USERPROFILE%\Documents\GitHub\eaglep3\Utilities\DownloadLogsFromS3.py --loco 4016 --day 2017-04-07</v>
      </c>
      <c r="AN91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20:05:22"},{"id":29,"name":"Sharepoint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3" t="s">
        <v>765</v>
      </c>
      <c r="B92" s="7">
        <v>4015</v>
      </c>
      <c r="C92" s="21" t="s">
        <v>216</v>
      </c>
      <c r="D92" s="21" t="s">
        <v>888</v>
      </c>
      <c r="E92" s="13">
        <v>42832.595879629633</v>
      </c>
      <c r="F92" s="13">
        <v>42832.601550925923</v>
      </c>
      <c r="G92" s="7">
        <v>1</v>
      </c>
      <c r="H92" s="21" t="s">
        <v>204</v>
      </c>
      <c r="I92" s="13">
        <v>42832.628379629627</v>
      </c>
      <c r="J92" s="7">
        <v>0</v>
      </c>
      <c r="K92" s="97" t="str">
        <f t="shared" si="29"/>
        <v>4015/4016</v>
      </c>
      <c r="L92" s="21" t="str">
        <f>VLOOKUP(A92,'Trips&amp;Operators'!$C$1:$G$99999,5,FALSE)</f>
        <v>BRUDER RICHARD</v>
      </c>
      <c r="M92" s="6">
        <f t="shared" si="30"/>
        <v>2.6828703703358769E-2</v>
      </c>
      <c r="N92" s="7">
        <f t="shared" si="31"/>
        <v>38.633333332836628</v>
      </c>
      <c r="O92" s="7"/>
      <c r="P92" s="7"/>
      <c r="Q92" s="22"/>
      <c r="R92" s="22"/>
      <c r="S92" s="31">
        <f t="shared" si="32"/>
        <v>1</v>
      </c>
      <c r="T92" s="46" t="str">
        <f t="shared" si="33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4"/>
        <v>https://d0f6bd738d7f1b3e5a7ca70fe4ff75f0.us-east-1.aws.found.io/app/kibana#/discover/Steve-Slow-Train-Analysis-(2080s-and-2083s)?_g=(refreshInterval:(display:Off,pause:!f,section:0,value:0),time:(from:'2017-04-07T13:18:04-0600',mode:absolute,to:'2017-04-07T16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183" t="str">
        <f t="shared" si="35"/>
        <v>N</v>
      </c>
      <c r="X92" s="183">
        <f t="shared" si="28"/>
        <v>1</v>
      </c>
      <c r="Y92" s="62">
        <f t="shared" si="36"/>
        <v>23.298400000000001</v>
      </c>
      <c r="Z92" s="62">
        <f t="shared" si="27"/>
        <v>1.54E-2</v>
      </c>
      <c r="AA92" s="62">
        <f t="shared" si="37"/>
        <v>23.283000000000001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8"/>
        <v>0180-07</v>
      </c>
      <c r="AE92" s="85" t="str">
        <f t="shared" si="39"/>
        <v>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 &amp; aws s3 cp s3://rtdc.mdm.uploadarchive.raw/RTDC4015/ "%USERPROFILE%\AppData\Local\Temp\OnboardLogs"\RTDC4015\2017-04-08 --exclude "*" --recursive --include "*20170408*" &amp; "%USERPROFILE%\Documents\GitHub\mrs-test-scripts\Headless Mode &amp; Sideloading\WalkAndUnGZ.bat" "%USERPROFILE%\AppData\Local\Temp\OnboardLogs"\RTDC4015\2017-04-08</v>
      </c>
      <c r="AF92" s="82" t="str">
        <f t="shared" si="40"/>
        <v>"C:\Program Files (x86)\AstroGrep\AstroGrep.exe" /e /r /s /spath="%USERPROFILE%\AppData\Local\Temp\OnboardLogs" /stypes="app*4015*20170407*" /stext=" 21:.+((SYSTEM_STATE.+slice.+state.+changed )|(ment ac)|(multiple cpu faults)|(system.+state.+changed )|(\[timeout)|(PRM\|1\|D)|(kpr)|(kdp)|(\|lc)|(penalty))"</v>
      </c>
      <c r="AG92" s="1" t="str">
        <f t="shared" si="41"/>
        <v>EC</v>
      </c>
      <c r="AH92" s="86" t="str">
        <f t="shared" si="42"/>
        <v>"%USERPROFILE%\Documents\GitHub\eaglep3\Utilities\RefineRTDCRunTimes.py" --tripid 180-07 --locoid 4015 --swversion DE.1.0.9.0 --startMP 204:232984 --initTime 2017-04-07T14:18:04 --startdatetime 2017-04-07T14:26:14 --delay 1 --endMP 204:154 --enddatetime 2017-04-07T15:04:52 --enforcementcount 0 &gt;&gt;C:\Users\stu\Documents\GitHub\eaglep3-reporting\EC\2017-04-07-refined-times.txt</v>
      </c>
      <c r="AI92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{"issue":{"subject":"","project_id":79,"tracker_id":40,"status_id":1,"priority_id":2,"assigned_to_id":23,"start_date":"2017-04-07","description":"","custom_fields":[{"id":1,"name":"Subdivision","value":"EC"},{"id":4,"name":"Milepost","value":"0.0154"},{"id":17,"name":"Train ID","value":"180-07"},{"id":16,"name":"Locomotive ID","value":"4015"},{"id":130,"name":"Impact","value":""},{"id":150,"name":"Time of Event (Mountain Time)","value":"15:04:52"},{"id":151,"name":"Denver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8"/>
      <c r="AL92" s="48"/>
      <c r="AM92" s="150" t="str">
        <f t="shared" si="44"/>
        <v>start /low /b %USERPROFILE%\Documents\GitHub\eaglep3\Utilities\DownloadLogsFromS3.py --loco 4015 --day 2017-04-07</v>
      </c>
      <c r="AN92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21:04:52"},{"id":29,"name":"Sharepoint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3" t="s">
        <v>761</v>
      </c>
      <c r="B93" s="7">
        <v>4020</v>
      </c>
      <c r="C93" s="21" t="s">
        <v>216</v>
      </c>
      <c r="D93" s="21" t="s">
        <v>540</v>
      </c>
      <c r="E93" s="13">
        <v>42832.569537037038</v>
      </c>
      <c r="F93" s="13">
        <v>42832.57335648148</v>
      </c>
      <c r="G93" s="7">
        <v>1</v>
      </c>
      <c r="H93" s="21" t="s">
        <v>417</v>
      </c>
      <c r="I93" s="13">
        <v>42832.599224537036</v>
      </c>
      <c r="J93" s="7">
        <v>0</v>
      </c>
      <c r="K93" s="97" t="str">
        <f t="shared" si="29"/>
        <v>4019/4020</v>
      </c>
      <c r="L93" s="21" t="str">
        <f>VLOOKUP(A93,'Trips&amp;Operators'!$C$1:$G$99999,5,FALSE)</f>
        <v>WILLIAMS DONTE</v>
      </c>
      <c r="M93" s="6">
        <f t="shared" si="30"/>
        <v>2.5868055556202307E-2</v>
      </c>
      <c r="N93" s="7">
        <f t="shared" si="31"/>
        <v>37.250000000931323</v>
      </c>
      <c r="O93" s="7"/>
      <c r="P93" s="7"/>
      <c r="Q93" s="22"/>
      <c r="R93" s="22"/>
      <c r="S93" s="31">
        <f t="shared" si="32"/>
        <v>1</v>
      </c>
      <c r="T93" s="46" t="str">
        <f t="shared" si="33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4"/>
        <v>https://d0f6bd738d7f1b3e5a7ca70fe4ff75f0.us-east-1.aws.found.io/app/kibana#/discover/Steve-Slow-Train-Analysis-(2080s-and-2083s)?_g=(refreshInterval:(display:Off,pause:!f,section:0,value:0),time:(from:'2017-04-07T12:40:08-0600',mode:absolute,to:'2017-04-07T15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3" s="183" t="str">
        <f t="shared" si="35"/>
        <v>N</v>
      </c>
      <c r="X93" s="183">
        <f t="shared" si="28"/>
        <v>1</v>
      </c>
      <c r="Y93" s="62">
        <f t="shared" si="36"/>
        <v>4.6399999999999997E-2</v>
      </c>
      <c r="Z93" s="62">
        <f t="shared" si="27"/>
        <v>23.330400000000001</v>
      </c>
      <c r="AA93" s="62">
        <f t="shared" si="37"/>
        <v>23.284000000000002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8"/>
        <v>0181-07</v>
      </c>
      <c r="AE93" s="85" t="str">
        <f t="shared" si="39"/>
        <v>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 &amp; 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</v>
      </c>
      <c r="AF93" s="82" t="str">
        <f t="shared" si="40"/>
        <v>"C:\Program Files (x86)\AstroGrep\AstroGrep.exe" /e /r /s /spath="%USERPROFILE%\AppData\Local\Temp\OnboardLogs" /stypes="app*4020*20170407*" /stext=" 20:.+((SYSTEM_STATE.+slice.+state.+changed )|(ment ac)|(multiple cpu faults)|(system.+state.+changed )|(\[timeout)|(PRM\|1\|D)|(kpr)|(kdp)|(\|lc)|(penalty))"</v>
      </c>
      <c r="AG93" s="1" t="str">
        <f t="shared" si="41"/>
        <v>EC</v>
      </c>
      <c r="AH93" s="86" t="str">
        <f t="shared" si="42"/>
        <v>"%USERPROFILE%\Documents\GitHub\eaglep3\Utilities\RefineRTDCRunTimes.py" --tripid 181-07 --locoid 4020 --swversion DE.1.0.9.0 --startMP 204:464 --initTime 2017-04-07T13:40:08 --startdatetime 2017-04-07T13:45:38 --delay 1 --endMP 204:233304 --enddatetime 2017-04-07T14:22:53 --enforcementcount 0 &gt;&gt;C:\Users\stu\Documents\GitHub\eaglep3-reporting\EC\2017-04-07-refined-times.txt</v>
      </c>
      <c r="AI93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{"issue":{"subject":"","project_id":79,"tracker_id":40,"status_id":1,"priority_id":2,"assigned_to_id":23,"start_date":"2017-04-07","description":"","custom_fields":[{"id":1,"name":"Subdivision","value":"EC"},{"id":4,"name":"Milepost","value":"23.3304"},{"id":17,"name":"Train ID","value":"181-07"},{"id":16,"name":"Locomotive ID","value":"4020"},{"id":130,"name":"Impact","value":""},{"id":150,"name":"Time of Event (Mountain Time)","value":"14:22:53"},{"id":151,"name":"Denver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44"/>
        <v>start /low /b %USERPROFILE%\Documents\GitHub\eaglep3\Utilities\DownloadLogsFromS3.py --loco 4020 --day 2017-04-07</v>
      </c>
      <c r="AN93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20:22:53"},{"id":29,"name":"Sharepoint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767</v>
      </c>
      <c r="B94" s="7">
        <v>4019</v>
      </c>
      <c r="C94" s="21" t="s">
        <v>216</v>
      </c>
      <c r="D94" s="21" t="s">
        <v>889</v>
      </c>
      <c r="E94" s="13">
        <v>42832.606053240743</v>
      </c>
      <c r="F94" s="13">
        <v>42832.608217592591</v>
      </c>
      <c r="G94" s="7">
        <v>1</v>
      </c>
      <c r="H94" s="21" t="s">
        <v>890</v>
      </c>
      <c r="I94" s="13">
        <v>42832.64707175926</v>
      </c>
      <c r="J94" s="7">
        <v>0</v>
      </c>
      <c r="K94" s="97" t="str">
        <f t="shared" si="29"/>
        <v>4019/4020</v>
      </c>
      <c r="L94" s="21" t="str">
        <f>VLOOKUP(A94,'Trips&amp;Operators'!$C$1:$G$99999,5,FALSE)</f>
        <v>WILLIAMS DONTE</v>
      </c>
      <c r="M94" s="6">
        <f t="shared" si="30"/>
        <v>3.885416666889796E-2</v>
      </c>
      <c r="N94" s="7">
        <f t="shared" si="31"/>
        <v>55.950000003213063</v>
      </c>
      <c r="O94" s="7"/>
      <c r="P94" s="7"/>
      <c r="Q94" s="22"/>
      <c r="R94" s="22" t="s">
        <v>1006</v>
      </c>
      <c r="S94" s="31">
        <f t="shared" si="32"/>
        <v>1</v>
      </c>
      <c r="T94" s="46" t="str">
        <f t="shared" si="33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4"/>
        <v>https://d0f6bd738d7f1b3e5a7ca70fe4ff75f0.us-east-1.aws.found.io/app/kibana#/discover/Steve-Slow-Train-Analysis-(2080s-and-2083s)?_g=(refreshInterval:(display:Off,pause:!f,section:0,value:0),time:(from:'2017-04-07T13:32:43-0600',mode:absolute,to:'2017-04-07T16:31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4" s="183" t="str">
        <f t="shared" si="35"/>
        <v>N</v>
      </c>
      <c r="X94" s="183">
        <f t="shared" ref="X94:X100" si="46">VALUE(LEFT(AD94,4))-VALUE(LEFT(AD93,4))</f>
        <v>1</v>
      </c>
      <c r="Y94" s="62">
        <f t="shared" ref="Y94:Y100" si="47">RIGHT(D94,LEN(D94)-4)/10000</f>
        <v>23.2974</v>
      </c>
      <c r="Z94" s="62">
        <f t="shared" ref="Z94:Z125" si="48">RIGHT(H94,LEN(H94)-4)/10000</f>
        <v>0.1181</v>
      </c>
      <c r="AA94" s="62">
        <f t="shared" si="37"/>
        <v>23.179300000000001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8"/>
        <v>0182-07</v>
      </c>
      <c r="AE94" s="85" t="str">
        <f t="shared" si="39"/>
        <v>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 &amp; aws s3 cp s3://rtdc.mdm.uploadarchive.raw/RTDC4019/ "%USERPROFILE%\AppData\Local\Temp\OnboardLogs"\RTDC4019\2017-04-08 --exclude "*" --recursive --include "*20170408*" &amp; "%USERPROFILE%\Documents\GitHub\mrs-test-scripts\Headless Mode &amp; Sideloading\WalkAndUnGZ.bat" "%USERPROFILE%\AppData\Local\Temp\OnboardLogs"\RTDC4019\2017-04-08</v>
      </c>
      <c r="AF94" s="82" t="str">
        <f t="shared" si="40"/>
        <v>"C:\Program Files (x86)\AstroGrep\AstroGrep.exe" /e /r /s /spath="%USERPROFILE%\AppData\Local\Temp\OnboardLogs" /stypes="app*4019*20170407*" /stext=" 21:.+((SYSTEM_STATE.+slice.+state.+changed )|(ment ac)|(multiple cpu faults)|(system.+state.+changed )|(\[timeout)|(PRM\|1\|D)|(kpr)|(kdp)|(\|lc)|(penalty))"</v>
      </c>
      <c r="AG94" s="1" t="str">
        <f t="shared" si="41"/>
        <v>EC</v>
      </c>
      <c r="AH94" s="86" t="str">
        <f t="shared" si="42"/>
        <v>"%USERPROFILE%\Documents\GitHub\eaglep3\Utilities\RefineRTDCRunTimes.py" --tripid 182-07 --locoid 4019 --swversion DE.1.0.9.0 --startMP 204:232974 --initTime 2017-04-07T14:32:43 --startdatetime 2017-04-07T14:35:50 --delay 1 --endMP 204:1181 --enddatetime 2017-04-07T15:31:47 --enforcementcount 0 &gt;&gt;C:\Users\stu\Documents\GitHub\eaglep3-reporting\EC\2017-04-07-refined-times.txt</v>
      </c>
      <c r="AI94" s="104" t="str">
        <f t="shared" si="43"/>
        <v>echo {"issue":{"subject":"Onboard in-route failure delayed departure","project_id":79,"tracker_id":40,"status_id":1,"priority_id":2,"assigned_to_id":23,"start_date":"2017-04-07","description":"","custom_fields":[{"id":1,"name":"Subdivision","value":"EC"},{"id":4,"name":"Milepost","value":"0.1181"},{"id":17,"name":"Train ID","value":"182-07"},{"id":16,"name":"Locomotive ID","value":"4019"},{"id":130,"name":"Impact","value":""},{"id":150,"name":"Time of Event (Mountain Time)","value":"15:31:47"},{"id":151,"name":"Denver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4"/>
        <v>start /low /b %USERPROFILE%\Documents\GitHub\eaglep3\Utilities\DownloadLogsFromS3.py --loco 4019 --day 2017-04-07</v>
      </c>
      <c r="AN94" s="159" t="str">
        <f t="shared" si="45"/>
        <v>echo {"issue":{"subject":"Onboard in-route failure delayed departure","project_id":30,"tracker_id":4,"status_id":1,"priority_id":1,"assigned_to_id":10,"start_date":"2017-04-07","description":"","custom_fields":[{"id":30,"name":"Category","value":"Issue"},{"id":3,"name":"Functional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21:31:47"},{"id":29,"name":"Sharepoint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640</v>
      </c>
      <c r="B95" s="7">
        <v>4022</v>
      </c>
      <c r="C95" s="21" t="s">
        <v>216</v>
      </c>
      <c r="D95" s="21" t="s">
        <v>891</v>
      </c>
      <c r="E95" s="13">
        <v>42832.580555555556</v>
      </c>
      <c r="F95" s="13">
        <v>42832.58353009259</v>
      </c>
      <c r="G95" s="7">
        <v>1</v>
      </c>
      <c r="H95" s="21" t="s">
        <v>583</v>
      </c>
      <c r="I95" s="13">
        <v>42832.6093287037</v>
      </c>
      <c r="J95" s="7">
        <v>0</v>
      </c>
      <c r="K95" s="97" t="str">
        <f t="shared" si="29"/>
        <v>4021/4022</v>
      </c>
      <c r="L95" s="21" t="str">
        <f>VLOOKUP(A95,'Trips&amp;Operators'!$C$1:$G$99999,5,FALSE)</f>
        <v>BRANDNER MELINDA</v>
      </c>
      <c r="M95" s="6">
        <f t="shared" si="30"/>
        <v>2.5798611110076308E-2</v>
      </c>
      <c r="N95" s="7">
        <f t="shared" si="31"/>
        <v>37.149999998509884</v>
      </c>
      <c r="O95" s="7"/>
      <c r="P95" s="7"/>
      <c r="Q95" s="22"/>
      <c r="R95" s="22"/>
      <c r="S95" s="31">
        <f t="shared" si="32"/>
        <v>1</v>
      </c>
      <c r="T95" s="46" t="str">
        <f t="shared" si="33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4"/>
        <v>https://d0f6bd738d7f1b3e5a7ca70fe4ff75f0.us-east-1.aws.found.io/app/kibana#/discover/Steve-Slow-Train-Analysis-(2080s-and-2083s)?_g=(refreshInterval:(display:Off,pause:!f,section:0,value:0),time:(from:'2017-04-07T12:56:00-0600',mode:absolute,to:'2017-04-07T15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5" s="183" t="str">
        <f t="shared" si="35"/>
        <v>N</v>
      </c>
      <c r="X95" s="183">
        <f t="shared" si="46"/>
        <v>1</v>
      </c>
      <c r="Y95" s="62">
        <f t="shared" si="47"/>
        <v>4.3700000000000003E-2</v>
      </c>
      <c r="Z95" s="62">
        <f t="shared" si="48"/>
        <v>23.3293</v>
      </c>
      <c r="AA95" s="62">
        <f t="shared" si="37"/>
        <v>23.285599999999999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8"/>
        <v>0183-07</v>
      </c>
      <c r="AE95" s="85" t="str">
        <f t="shared" si="39"/>
        <v>aws s3 cp s3://rtdc.mdm.uploadarchive.raw/RTDC4022/ "%USERPROFILE%\AppData\Local\Temp\OnboardLogs"\RTDC4022\2017-04-07 --exclude "*" --recursive --include "*20170407*" &amp; "%USERPROFILE%\Documents\GitHub\mrs-test-scripts\Headless Mode &amp; Sideloading\WalkAndUnGZ.bat" "%USERPROFILE%\AppData\Local\Temp\OnboardLogs"\RTDC4022\2017-04-07 &amp; 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</v>
      </c>
      <c r="AF95" s="82" t="str">
        <f t="shared" si="40"/>
        <v>"C:\Program Files (x86)\AstroGrep\AstroGrep.exe" /e /r /s /spath="%USERPROFILE%\AppData\Local\Temp\OnboardLogs" /stypes="app*4022*20170407*" /stext=" 20:.+((SYSTEM_STATE.+slice.+state.+changed )|(ment ac)|(multiple cpu faults)|(system.+state.+changed )|(\[timeout)|(PRM\|1\|D)|(kpr)|(kdp)|(\|lc)|(penalty))"</v>
      </c>
      <c r="AG95" s="1" t="str">
        <f t="shared" si="41"/>
        <v>EC</v>
      </c>
      <c r="AH95" s="86" t="str">
        <f t="shared" si="42"/>
        <v>"%USERPROFILE%\Documents\GitHub\eaglep3\Utilities\RefineRTDCRunTimes.py" --tripid 183-07 --locoid 4022 --swversion DE.1.0.9.0 --startMP 204:437 --initTime 2017-04-07T13:56:00 --startdatetime 2017-04-07T14:00:17 --delay 1 --endMP 204:233293 --enddatetime 2017-04-07T14:37:26 --enforcementcount 0 &gt;&gt;C:\Users\stu\Documents\GitHub\eaglep3-reporting\EC\2017-04-07-refined-times.txt</v>
      </c>
      <c r="AI95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{"issue":{"subject":"","project_id":79,"tracker_id":40,"status_id":1,"priority_id":2,"assigned_to_id":23,"start_date":"2017-04-07","description":"","custom_fields":[{"id":1,"name":"Subdivision","value":"EC"},{"id":4,"name":"Milepost","value":"23.3293"},{"id":17,"name":"Train ID","value":"183-07"},{"id":16,"name":"Locomotive ID","value":"4022"},{"id":130,"name":"Impact","value":""},{"id":150,"name":"Time of Event (Mountain Time)","value":"14:37:26"},{"id":151,"name":"Denver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44"/>
        <v>start /low /b %USERPROFILE%\Documents\GitHub\eaglep3\Utilities\DownloadLogsFromS3.py --loco 4022 --day 2017-04-07</v>
      </c>
      <c r="AN95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20:37:26"},{"id":29,"name":"Sharepoint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771</v>
      </c>
      <c r="B96" s="7">
        <v>4021</v>
      </c>
      <c r="C96" s="21" t="s">
        <v>216</v>
      </c>
      <c r="D96" s="21" t="s">
        <v>576</v>
      </c>
      <c r="E96" s="13">
        <v>42832.620555555557</v>
      </c>
      <c r="F96" s="13">
        <v>42832.622395833336</v>
      </c>
      <c r="G96" s="7">
        <v>1</v>
      </c>
      <c r="H96" s="21" t="s">
        <v>532</v>
      </c>
      <c r="I96" s="13">
        <v>42832.65289351852</v>
      </c>
      <c r="J96" s="7">
        <v>0</v>
      </c>
      <c r="K96" s="97" t="str">
        <f t="shared" si="29"/>
        <v>4021/4022</v>
      </c>
      <c r="L96" s="21" t="str">
        <f>VLOOKUP(A96,'Trips&amp;Operators'!$C$1:$G$99999,5,FALSE)</f>
        <v>BRANDNER MELINDA</v>
      </c>
      <c r="M96" s="6">
        <f t="shared" si="30"/>
        <v>3.0497685183945578E-2</v>
      </c>
      <c r="N96" s="7">
        <f t="shared" si="31"/>
        <v>43.916666664881632</v>
      </c>
      <c r="O96" s="7"/>
      <c r="P96" s="7"/>
      <c r="Q96" s="22"/>
      <c r="R96" s="22"/>
      <c r="S96" s="31">
        <f t="shared" si="32"/>
        <v>1</v>
      </c>
      <c r="T96" s="46" t="str">
        <f t="shared" si="33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4"/>
        <v>https://d0f6bd738d7f1b3e5a7ca70fe4ff75f0.us-east-1.aws.found.io/app/kibana#/discover/Steve-Slow-Train-Analysis-(2080s-and-2083s)?_g=(refreshInterval:(display:Off,pause:!f,section:0,value:0),time:(from:'2017-04-07T13:53:36-0600',mode:absolute,to:'2017-04-07T16:40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6" s="183" t="str">
        <f t="shared" si="35"/>
        <v>N</v>
      </c>
      <c r="X96" s="183">
        <f t="shared" si="46"/>
        <v>1</v>
      </c>
      <c r="Y96" s="62">
        <f t="shared" si="47"/>
        <v>23.298999999999999</v>
      </c>
      <c r="Z96" s="62">
        <f t="shared" si="48"/>
        <v>1.3599999999999999E-2</v>
      </c>
      <c r="AA96" s="62">
        <f t="shared" si="37"/>
        <v>23.285399999999999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8"/>
        <v>0184-07</v>
      </c>
      <c r="AE96" s="85" t="str">
        <f t="shared" si="39"/>
        <v>aws s3 cp s3://rtdc.mdm.uploadarchive.raw/RTDC4021/ "%USERPROFILE%\AppData\Local\Temp\OnboardLogs"\RTDC4021\2017-04-07 --exclude "*" --recursive --include "*20170407*" &amp; "%USERPROFILE%\Documents\GitHub\mrs-test-scripts\Headless Mode &amp; Sideloading\WalkAndUnGZ.bat" "%USERPROFILE%\AppData\Local\Temp\OnboardLogs"\RTDC4021\2017-04-07 &amp; 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</v>
      </c>
      <c r="AF96" s="82" t="str">
        <f t="shared" si="40"/>
        <v>"C:\Program Files (x86)\AstroGrep\AstroGrep.exe" /e /r /s /spath="%USERPROFILE%\AppData\Local\Temp\OnboardLogs" /stypes="app*4021*20170407*" /stext=" 21:.+((SYSTEM_STATE.+slice.+state.+changed )|(ment ac)|(multiple cpu faults)|(system.+state.+changed )|(\[timeout)|(PRM\|1\|D)|(kpr)|(kdp)|(\|lc)|(penalty))"</v>
      </c>
      <c r="AG96" s="1" t="str">
        <f t="shared" si="41"/>
        <v>EC</v>
      </c>
      <c r="AH96" s="86" t="str">
        <f t="shared" si="42"/>
        <v>"%USERPROFILE%\Documents\GitHub\eaglep3\Utilities\RefineRTDCRunTimes.py" --tripid 184-07 --locoid 4021 --swversion DE.1.0.9.0 --startMP 204:232990 --initTime 2017-04-07T14:53:36 --startdatetime 2017-04-07T14:56:15 --delay 1 --endMP 204:136 --enddatetime 2017-04-07T15:40:10 --enforcementcount 0 &gt;&gt;C:\Users\stu\Documents\GitHub\eaglep3-reporting\EC\2017-04-07-refined-times.txt</v>
      </c>
      <c r="AI96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{"issue":{"subject":"","project_id":79,"tracker_id":40,"status_id":1,"priority_id":2,"assigned_to_id":23,"start_date":"2017-04-07","description":"","custom_fields":[{"id":1,"name":"Subdivision","value":"EC"},{"id":4,"name":"Milepost","value":"0.0136"},{"id":17,"name":"Train ID","value":"184-07"},{"id":16,"name":"Locomotive ID","value":"4021"},{"id":130,"name":"Impact","value":""},{"id":150,"name":"Time of Event (Mountain Time)","value":"15:40:10"},{"id":151,"name":"Denver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4"/>
        <v>start /low /b %USERPROFILE%\Documents\GitHub\eaglep3\Utilities\DownloadLogsFromS3.py --loco 4021 --day 2017-04-07</v>
      </c>
      <c r="AN96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21:40:10"},{"id":29,"name":"Sharepoint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763</v>
      </c>
      <c r="B97" s="7">
        <v>4032</v>
      </c>
      <c r="C97" s="21" t="s">
        <v>216</v>
      </c>
      <c r="D97" s="21" t="s">
        <v>892</v>
      </c>
      <c r="E97" s="13">
        <v>42832.589618055557</v>
      </c>
      <c r="F97" s="13">
        <v>42832.593900462962</v>
      </c>
      <c r="G97" s="7">
        <v>1</v>
      </c>
      <c r="H97" s="21" t="s">
        <v>592</v>
      </c>
      <c r="I97" s="13">
        <v>42832.622499999998</v>
      </c>
      <c r="J97" s="7">
        <v>0</v>
      </c>
      <c r="K97" s="97" t="str">
        <f t="shared" si="29"/>
        <v>4031/4032</v>
      </c>
      <c r="L97" s="21" t="str">
        <f>VLOOKUP(A97,'Trips&amp;Operators'!$C$1:$G$99999,5,FALSE)</f>
        <v>STRICKLAND EVAN</v>
      </c>
      <c r="M97" s="6">
        <f t="shared" si="30"/>
        <v>2.8599537035916001E-2</v>
      </c>
      <c r="N97" s="7">
        <f t="shared" si="31"/>
        <v>41.183333331719041</v>
      </c>
      <c r="O97" s="7"/>
      <c r="P97" s="7"/>
      <c r="Q97" s="22"/>
      <c r="R97" s="22"/>
      <c r="S97" s="31">
        <f t="shared" si="32"/>
        <v>1</v>
      </c>
      <c r="T97" s="46" t="str">
        <f t="shared" si="33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4"/>
        <v>https://d0f6bd738d7f1b3e5a7ca70fe4ff75f0.us-east-1.aws.found.io/app/kibana#/discover/Steve-Slow-Train-Analysis-(2080s-and-2083s)?_g=(refreshInterval:(display:Off,pause:!f,section:0,value:0),time:(from:'2017-04-07T13:09:03-0600',mode:absolute,to:'2017-04-07T15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7" s="183" t="str">
        <f t="shared" si="35"/>
        <v>N</v>
      </c>
      <c r="X97" s="183">
        <f t="shared" si="46"/>
        <v>1</v>
      </c>
      <c r="Y97" s="62">
        <f t="shared" si="47"/>
        <v>5.1900000000000002E-2</v>
      </c>
      <c r="Z97" s="62">
        <f t="shared" si="48"/>
        <v>23.3323</v>
      </c>
      <c r="AA97" s="62">
        <f t="shared" si="37"/>
        <v>23.2804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8"/>
        <v>0185-07</v>
      </c>
      <c r="AE97" s="85" t="str">
        <f t="shared" si="39"/>
        <v>aws s3 cp s3://rtdc.mdm.uploadarchive.raw/RTDC4032/ "%USERPROFILE%\AppData\Local\Temp\OnboardLogs"\RTDC4032\2017-04-07 --exclude "*" --recursive --include "*20170407*" &amp; "%USERPROFILE%\Documents\GitHub\mrs-test-scripts\Headless Mode &amp; Sideloading\WalkAndUnGZ.bat" "%USERPROFILE%\AppData\Local\Temp\OnboardLogs"\RTDC4032\2017-04-07 &amp; aws s3 cp s3://rtdc.mdm.uploadarchive.raw/RTDC4032/ "%USERPROFILE%\AppData\Local\Temp\OnboardLogs"\RTDC4032\2017-04-08 --exclude "*" --recursive --include "*20170408*" &amp; "%USERPROFILE%\Documents\GitHub\mrs-test-scripts\Headless Mode &amp; Sideloading\WalkAndUnGZ.bat" "%USERPROFILE%\AppData\Local\Temp\OnboardLogs"\RTDC4032\2017-04-08</v>
      </c>
      <c r="AF97" s="82" t="str">
        <f t="shared" si="40"/>
        <v>"C:\Program Files (x86)\AstroGrep\AstroGrep.exe" /e /r /s /spath="%USERPROFILE%\AppData\Local\Temp\OnboardLogs" /stypes="app*4032*20170407*" /stext=" 20:.+((SYSTEM_STATE.+slice.+state.+changed )|(ment ac)|(multiple cpu faults)|(system.+state.+changed )|(\[timeout)|(PRM\|1\|D)|(kpr)|(kdp)|(\|lc)|(penalty))"</v>
      </c>
      <c r="AG97" s="1" t="str">
        <f t="shared" si="41"/>
        <v>EC</v>
      </c>
      <c r="AH97" s="86" t="str">
        <f t="shared" si="42"/>
        <v>"%USERPROFILE%\Documents\GitHub\eaglep3\Utilities\RefineRTDCRunTimes.py" --tripid 185-07 --locoid 4032 --swversion DE.1.0.9.0 --startMP 204:519 --initTime 2017-04-07T14:09:03 --startdatetime 2017-04-07T14:15:13 --delay 1 --endMP 204:233323 --enddatetime 2017-04-07T14:56:24 --enforcementcount 0 &gt;&gt;C:\Users\stu\Documents\GitHub\eaglep3-reporting\EC\2017-04-07-refined-times.txt</v>
      </c>
      <c r="AI97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{"issue":{"subject":"","project_id":79,"tracker_id":40,"status_id":1,"priority_id":2,"assigned_to_id":23,"start_date":"2017-04-07","description":"","custom_fields":[{"id":1,"name":"Subdivision","value":"EC"},{"id":4,"name":"Milepost","value":"23.3323"},{"id":17,"name":"Train ID","value":"185-07"},{"id":16,"name":"Locomotive ID","value":"4032"},{"id":130,"name":"Impact","value":""},{"id":150,"name":"Time of Event (Mountain Time)","value":"14:56:24"},{"id":151,"name":"Denver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4"/>
        <v>start /low /b %USERPROFILE%\Documents\GitHub\eaglep3\Utilities\DownloadLogsFromS3.py --loco 4032 --day 2017-04-07</v>
      </c>
      <c r="AN97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20:56:24"},{"id":29,"name":"Sharepoint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641</v>
      </c>
      <c r="B98" s="7">
        <v>4031</v>
      </c>
      <c r="C98" s="21" t="s">
        <v>216</v>
      </c>
      <c r="D98" s="21" t="s">
        <v>893</v>
      </c>
      <c r="E98" s="13">
        <v>42832.624212962961</v>
      </c>
      <c r="F98" s="13">
        <v>42832.632881944446</v>
      </c>
      <c r="G98" s="7">
        <v>1</v>
      </c>
      <c r="H98" s="21" t="s">
        <v>204</v>
      </c>
      <c r="I98" s="13">
        <v>42832.660810185182</v>
      </c>
      <c r="J98" s="7">
        <v>0</v>
      </c>
      <c r="K98" s="97" t="str">
        <f t="shared" si="29"/>
        <v>4031/4032</v>
      </c>
      <c r="L98" s="21" t="str">
        <f>VLOOKUP(A98,'Trips&amp;Operators'!$C$1:$G$99999,5,FALSE)</f>
        <v>STRICKLAND EVAN</v>
      </c>
      <c r="M98" s="6">
        <f t="shared" si="30"/>
        <v>2.7928240735491272E-2</v>
      </c>
      <c r="N98" s="7">
        <f t="shared" si="31"/>
        <v>40.216666659107432</v>
      </c>
      <c r="O98" s="7"/>
      <c r="P98" s="7"/>
      <c r="Q98" s="22"/>
      <c r="R98" s="22"/>
      <c r="S98" s="31">
        <f t="shared" si="32"/>
        <v>1</v>
      </c>
      <c r="T98" s="46" t="str">
        <f t="shared" si="33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4"/>
        <v>https://d0f6bd738d7f1b3e5a7ca70fe4ff75f0.us-east-1.aws.found.io/app/kibana#/discover/Steve-Slow-Train-Analysis-(2080s-and-2083s)?_g=(refreshInterval:(display:Off,pause:!f,section:0,value:0),time:(from:'2017-04-07T13:58:52-0600',mode:absolute,to:'2017-04-07T16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8" s="183" t="str">
        <f t="shared" si="35"/>
        <v>N</v>
      </c>
      <c r="X98" s="183">
        <f t="shared" si="46"/>
        <v>1</v>
      </c>
      <c r="Y98" s="62">
        <f t="shared" si="47"/>
        <v>23.303000000000001</v>
      </c>
      <c r="Z98" s="62">
        <f t="shared" si="48"/>
        <v>1.54E-2</v>
      </c>
      <c r="AA98" s="62">
        <f t="shared" si="37"/>
        <v>23.287600000000001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8"/>
        <v>0186-07</v>
      </c>
      <c r="AE98" s="85" t="str">
        <f t="shared" si="39"/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AF98" s="82" t="str">
        <f t="shared" si="40"/>
        <v>"C:\Program Files (x86)\AstroGrep\AstroGrep.exe" /e /r /s /spath="%USERPROFILE%\AppData\Local\Temp\OnboardLogs" /stypes="app*4031*20170407*" /stext=" 21:.+((SYSTEM_STATE.+slice.+state.+changed )|(ment ac)|(multiple cpu faults)|(system.+state.+changed )|(\[timeout)|(PRM\|1\|D)|(kpr)|(kdp)|(\|lc)|(penalty))"</v>
      </c>
      <c r="AG98" s="1" t="str">
        <f t="shared" si="41"/>
        <v>EC</v>
      </c>
      <c r="AH98" s="86" t="str">
        <f t="shared" si="42"/>
        <v>"%USERPROFILE%\Documents\GitHub\eaglep3\Utilities\RefineRTDCRunTimes.py" --tripid 186-07 --locoid 4031 --swversion DE.1.0.9.0 --startMP 204:233030 --initTime 2017-04-07T14:58:52 --startdatetime 2017-04-07T15:11:21 --delay 1 --endMP 204:154 --enddatetime 2017-04-07T15:51:34 --enforcementcount 0 &gt;&gt;C:\Users\stu\Documents\GitHub\eaglep3-reporting\EC\2017-04-07-refined-times.txt</v>
      </c>
      <c r="AI98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{"issue":{"subject":"","project_id":79,"tracker_id":40,"status_id":1,"priority_id":2,"assigned_to_id":23,"start_date":"2017-04-07","description":"","custom_fields":[{"id":1,"name":"Subdivision","value":"EC"},{"id":4,"name":"Milepost","value":"0.0154"},{"id":17,"name":"Train ID","value":"186-07"},{"id":16,"name":"Locomotive ID","value":"4031"},{"id":130,"name":"Impact","value":""},{"id":150,"name":"Time of Event (Mountain Time)","value":"15:51:34"},{"id":151,"name":"Denver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4"/>
        <v>start /low /b %USERPROFILE%\Documents\GitHub\eaglep3\Utilities\DownloadLogsFromS3.py --loco 4031 --day 2017-04-07</v>
      </c>
      <c r="AN98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21:51:34"},{"id":29,"name":"Sharepoint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766</v>
      </c>
      <c r="B99" s="7">
        <v>4014</v>
      </c>
      <c r="C99" s="21" t="s">
        <v>216</v>
      </c>
      <c r="D99" s="21" t="s">
        <v>420</v>
      </c>
      <c r="E99" s="13">
        <v>42832.600370370368</v>
      </c>
      <c r="F99" s="13">
        <v>42832.604375000003</v>
      </c>
      <c r="G99" s="7">
        <v>2</v>
      </c>
      <c r="H99" s="21" t="s">
        <v>861</v>
      </c>
      <c r="I99" s="13">
        <v>42832.632337962961</v>
      </c>
      <c r="J99" s="7">
        <v>0</v>
      </c>
      <c r="K99" s="97" t="str">
        <f t="shared" si="29"/>
        <v>4013/4014</v>
      </c>
      <c r="L99" s="21" t="str">
        <f>VLOOKUP(A99,'Trips&amp;Operators'!$C$1:$G$99999,5,FALSE)</f>
        <v>STEWART MICHAEL</v>
      </c>
      <c r="M99" s="6">
        <f t="shared" si="30"/>
        <v>2.7962962958554272E-2</v>
      </c>
      <c r="N99" s="7">
        <f t="shared" si="31"/>
        <v>40.266666660318151</v>
      </c>
      <c r="O99" s="7"/>
      <c r="P99" s="7"/>
      <c r="Q99" s="22"/>
      <c r="R99" s="22"/>
      <c r="S99" s="31">
        <f t="shared" si="32"/>
        <v>1</v>
      </c>
      <c r="T99" s="46" t="str">
        <f t="shared" si="33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4"/>
        <v>https://d0f6bd738d7f1b3e5a7ca70fe4ff75f0.us-east-1.aws.found.io/app/kibana#/discover/Steve-Slow-Train-Analysis-(2080s-and-2083s)?_g=(refreshInterval:(display:Off,pause:!f,section:0,value:0),time:(from:'2017-04-07T13:24:32-0600',mode:absolute,to:'2017-04-07T16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9" s="183" t="str">
        <f t="shared" si="35"/>
        <v>N</v>
      </c>
      <c r="X99" s="183">
        <f t="shared" si="46"/>
        <v>1</v>
      </c>
      <c r="Y99" s="62">
        <f t="shared" si="47"/>
        <v>4.3999999999999997E-2</v>
      </c>
      <c r="Z99" s="62">
        <f t="shared" si="48"/>
        <v>23.3307</v>
      </c>
      <c r="AA99" s="62">
        <f t="shared" si="37"/>
        <v>23.2867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8"/>
        <v>0187-07</v>
      </c>
      <c r="AE99" s="85" t="str">
        <f t="shared" si="39"/>
        <v>aws s3 cp s3://rtdc.mdm.uploadarchive.raw/RTDC4014/ "%USERPROFILE%\AppData\Local\Temp\OnboardLogs"\RTDC4014\2017-04-07 --exclude "*" --recursive --include "*20170407*" &amp; "%USERPROFILE%\Documents\GitHub\mrs-test-scripts\Headless Mode &amp; Sideloading\WalkAndUnGZ.bat" "%USERPROFILE%\AppData\Local\Temp\OnboardLogs"\RTDC4014\2017-04-07 &amp; 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</v>
      </c>
      <c r="AF99" s="82" t="str">
        <f t="shared" si="40"/>
        <v>"C:\Program Files (x86)\AstroGrep\AstroGrep.exe" /e /r /s /spath="%USERPROFILE%\AppData\Local\Temp\OnboardLogs" /stypes="app*4014*20170407*" /stext=" 21:.+((SYSTEM_STATE.+slice.+state.+changed )|(ment ac)|(multiple cpu faults)|(system.+state.+changed )|(\[timeout)|(PRM\|1\|D)|(kpr)|(kdp)|(\|lc)|(penalty))"</v>
      </c>
      <c r="AG99" s="1" t="str">
        <f t="shared" si="41"/>
        <v>EC</v>
      </c>
      <c r="AH99" s="86" t="str">
        <f t="shared" si="42"/>
        <v>"%USERPROFILE%\Documents\GitHub\eaglep3\Utilities\RefineRTDCRunTimes.py" --tripid 187-07 --locoid 4014 --swversion DE.1.0.9.0 --startMP 204:440 --initTime 2017-04-07T14:24:32 --startdatetime 2017-04-07T14:30:18 --delay 2 --endMP 204:233307 --enddatetime 2017-04-07T15:10:34 --enforcementcount 0 &gt;&gt;C:\Users\stu\Documents\GitHub\eaglep3-reporting\EC\2017-04-07-refined-times.txt</v>
      </c>
      <c r="AI99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{"issue":{"subject":"","project_id":79,"tracker_id":40,"status_id":1,"priority_id":2,"assigned_to_id":23,"start_date":"2017-04-07","description":"","custom_fields":[{"id":1,"name":"Subdivision","value":"EC"},{"id":4,"name":"Milepost","value":"23.3307"},{"id":17,"name":"Train ID","value":"187-07"},{"id":16,"name":"Locomotive ID","value":"4014"},{"id":130,"name":"Impact","value":""},{"id":150,"name":"Time of Event (Mountain Time)","value":"15:10:34"},{"id":151,"name":"Denver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4"/>
        <v>start /low /b %USERPROFILE%\Documents\GitHub\eaglep3\Utilities\DownloadLogsFromS3.py --loco 4014 --day 2017-04-07</v>
      </c>
      <c r="AN99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21:10:34"},{"id":29,"name":"Sharepoint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642</v>
      </c>
      <c r="B100" s="7">
        <v>4013</v>
      </c>
      <c r="C100" s="21" t="s">
        <v>216</v>
      </c>
      <c r="D100" s="21" t="s">
        <v>522</v>
      </c>
      <c r="E100" s="13">
        <v>42832.639444444445</v>
      </c>
      <c r="F100" s="13">
        <v>42832.643333333333</v>
      </c>
      <c r="G100" s="7">
        <v>1</v>
      </c>
      <c r="H100" s="21" t="s">
        <v>894</v>
      </c>
      <c r="I100" s="13">
        <v>42832.672002314815</v>
      </c>
      <c r="J100" s="7">
        <v>0</v>
      </c>
      <c r="K100" s="97" t="str">
        <f t="shared" si="29"/>
        <v>4013/4014</v>
      </c>
      <c r="L100" s="21" t="str">
        <f>VLOOKUP(A100,'Trips&amp;Operators'!$C$1:$G$99999,5,FALSE)</f>
        <v>STEWART MICHAEL</v>
      </c>
      <c r="M100" s="6">
        <f t="shared" si="30"/>
        <v>2.8668981482042E-2</v>
      </c>
      <c r="N100" s="7">
        <f t="shared" si="31"/>
        <v>41.28333333414048</v>
      </c>
      <c r="O100" s="7"/>
      <c r="P100" s="7"/>
      <c r="Q100" s="22"/>
      <c r="R100" s="22" t="s">
        <v>1007</v>
      </c>
      <c r="S100" s="31">
        <f t="shared" si="32"/>
        <v>1</v>
      </c>
      <c r="T100" s="46" t="str">
        <f t="shared" si="33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4"/>
        <v>https://d0f6bd738d7f1b3e5a7ca70fe4ff75f0.us-east-1.aws.found.io/app/kibana#/discover/Steve-Slow-Train-Analysis-(2080s-and-2083s)?_g=(refreshInterval:(display:Off,pause:!f,section:0,value:0),time:(from:'2017-04-07T14:20:48-0600',mode:absolute,to:'2017-04-07T17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0" s="183" t="str">
        <f t="shared" si="35"/>
        <v>N</v>
      </c>
      <c r="X100" s="183">
        <f t="shared" si="46"/>
        <v>1</v>
      </c>
      <c r="Y100" s="62">
        <f t="shared" si="47"/>
        <v>23.297799999999999</v>
      </c>
      <c r="Z100" s="62">
        <f t="shared" si="48"/>
        <v>3.78E-2</v>
      </c>
      <c r="AA100" s="62">
        <f t="shared" si="37"/>
        <v>23.259999999999998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8"/>
        <v>0188-07</v>
      </c>
      <c r="AE100" s="85" t="str">
        <f t="shared" si="39"/>
        <v>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 &amp; 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</v>
      </c>
      <c r="AF100" s="82" t="str">
        <f t="shared" si="40"/>
        <v>"C:\Program Files (x86)\AstroGrep\AstroGrep.exe" /e /r /s /spath="%USERPROFILE%\AppData\Local\Temp\OnboardLogs" /stypes="app*4013*20170407*" /stext=" 22:.+((SYSTEM_STATE.+slice.+state.+changed )|(ment ac)|(multiple cpu faults)|(system.+state.+changed )|(\[timeout)|(PRM\|1\|D)|(kpr)|(kdp)|(\|lc)|(penalty))"</v>
      </c>
      <c r="AG100" s="1" t="str">
        <f t="shared" si="41"/>
        <v>EC</v>
      </c>
      <c r="AH100" s="86" t="str">
        <f t="shared" si="42"/>
        <v>"%USERPROFILE%\Documents\GitHub\eaglep3\Utilities\RefineRTDCRunTimes.py" --tripid 188-07 --locoid 4013 --swversion DE.1.0.9.0 --startMP 204:232978 --initTime 2017-04-07T15:20:48 --startdatetime 2017-04-07T15:26:24 --delay 1 --endMP 204:378 --enddatetime 2017-04-07T16:07:41 --enforcementcount 0 &gt;&gt;C:\Users\stu\Documents\GitHub\eaglep3-reporting\EC\2017-04-07-refined-times.txt</v>
      </c>
      <c r="AI100" s="104" t="str">
        <f t="shared" si="43"/>
        <v>echo {"issue":{"subject":"Enforced for track warrant targets (bumper posts, 15.7 mph and then 7.5 mph)","project_id":79,"tracker_id":40,"status_id":1,"priority_id":2,"assigned_to_id":23,"start_date":"2017-04-07","description":"","custom_fields":[{"id":1,"name":"Subdivision","value":"EC"},{"id":4,"name":"Milepost","value":"0.0378"},{"id":17,"name":"Train ID","value":"188-07"},{"id":16,"name":"Locomotive ID","value":"4013"},{"id":130,"name":"Impact","value":""},{"id":150,"name":"Time of Event (Mountain Time)","value":"16:07:41"},{"id":151,"name":"Denver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4"/>
        <v>start /low /b %USERPROFILE%\Documents\GitHub\eaglep3\Utilities\DownloadLogsFromS3.py --loco 4013 --day 2017-04-07</v>
      </c>
      <c r="AN100" s="159" t="str">
        <f t="shared" si="45"/>
        <v>echo {"issue":{"subject":"Enforced for track warrant targets (bumper posts, 15.7 mph and then 7.5 mph)","project_id":30,"tracker_id":4,"status_id":1,"priority_id":1,"assigned_to_id":10,"start_date":"2017-04-07","description":"","custom_fields":[{"id":30,"name":"Category","value":"Issue"},{"id":3,"name":"Functional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22:07:41"},{"id":29,"name":"Sharepoint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769</v>
      </c>
      <c r="B101" s="7">
        <v>4026</v>
      </c>
      <c r="C101" s="21" t="s">
        <v>216</v>
      </c>
      <c r="D101" s="21" t="s">
        <v>396</v>
      </c>
      <c r="E101" s="13">
        <v>42832.611932870372</v>
      </c>
      <c r="F101" s="13">
        <v>42832.614756944444</v>
      </c>
      <c r="G101" s="7">
        <v>1</v>
      </c>
      <c r="H101" s="21" t="s">
        <v>895</v>
      </c>
      <c r="I101" s="13">
        <v>42832.649178240739</v>
      </c>
      <c r="J101" s="7">
        <v>0</v>
      </c>
      <c r="K101" s="97" t="str">
        <f t="shared" si="29"/>
        <v>4025/4026</v>
      </c>
      <c r="L101" s="21" t="str">
        <f>VLOOKUP(A101,'Trips&amp;Operators'!$C$1:$G$99999,5,FALSE)</f>
        <v>DELGADO DIANAH</v>
      </c>
      <c r="M101" s="6">
        <f t="shared" si="30"/>
        <v>3.4421296295477077E-2</v>
      </c>
      <c r="N101" s="7">
        <f t="shared" si="31"/>
        <v>49.566666665486991</v>
      </c>
      <c r="O101" s="7"/>
      <c r="P101" s="7"/>
      <c r="Q101" s="22"/>
      <c r="R101" s="22"/>
      <c r="S101" s="31">
        <f t="shared" si="32"/>
        <v>1</v>
      </c>
      <c r="T101" s="46" t="str">
        <f t="shared" si="33"/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4"/>
        <v>https://d0f6bd738d7f1b3e5a7ca70fe4ff75f0.us-east-1.aws.found.io/app/kibana#/discover/Steve-Slow-Train-Analysis-(2080s-and-2083s)?_g=(refreshInterval:(display:Off,pause:!f,section:0,value:0),time:(from:'2017-04-07T13:41:11-0600',mode:absolute,to:'2017-04-07T16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183" t="str">
        <f t="shared" si="35"/>
        <v>N</v>
      </c>
      <c r="X101" s="183">
        <f t="shared" ref="X101:X132" si="49">VALUE(LEFT(AD101,4))-VALUE(LEFT(AD100,4))</f>
        <v>1</v>
      </c>
      <c r="Y101" s="62">
        <f t="shared" ref="Y101:Y132" si="50">RIGHT(D101,LEN(D101)-4)/10000</f>
        <v>4.4900000000000002E-2</v>
      </c>
      <c r="Z101" s="62">
        <f t="shared" si="48"/>
        <v>23.338899999999999</v>
      </c>
      <c r="AA101" s="62">
        <f t="shared" si="37"/>
        <v>23.294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8"/>
        <v>0189-07</v>
      </c>
      <c r="AE101" s="85" t="str">
        <f t="shared" si="39"/>
        <v>aws s3 cp s3://rtdc.mdm.uploadarchive.raw/RTDC4026/ "%USERPROFILE%\AppData\Local\Temp\OnboardLogs"\RTDC4026\2017-04-07 --exclude "*" --recursive --include "*20170407*" &amp; "%USERPROFILE%\Documents\GitHub\mrs-test-scripts\Headless Mode &amp; Sideloading\WalkAndUnGZ.bat" "%USERPROFILE%\AppData\Local\Temp\OnboardLogs"\RTDC4026\2017-04-07 &amp; aws s3 cp s3://rtdc.mdm.uploadarchive.raw/RTDC4026/ "%USERPROFILE%\AppData\Local\Temp\OnboardLogs"\RTDC4026\2017-04-08 --exclude "*" --recursive --include "*20170408*" &amp; "%USERPROFILE%\Documents\GitHub\mrs-test-scripts\Headless Mode &amp; Sideloading\WalkAndUnGZ.bat" "%USERPROFILE%\AppData\Local\Temp\OnboardLogs"\RTDC4026\2017-04-08</v>
      </c>
      <c r="AF101" s="82" t="str">
        <f t="shared" si="40"/>
        <v>"C:\Program Files (x86)\AstroGrep\AstroGrep.exe" /e /r /s /spath="%USERPROFILE%\AppData\Local\Temp\OnboardLogs" /stypes="app*4026*20170407*" /stext=" 21:.+((SYSTEM_STATE.+slice.+state.+changed )|(ment ac)|(multiple cpu faults)|(system.+state.+changed )|(\[timeout)|(PRM\|1\|D)|(kpr)|(kdp)|(\|lc)|(penalty))"</v>
      </c>
      <c r="AG101" s="1" t="str">
        <f t="shared" si="41"/>
        <v>EC</v>
      </c>
      <c r="AH101" s="86" t="str">
        <f t="shared" si="42"/>
        <v>"%USERPROFILE%\Documents\GitHub\eaglep3\Utilities\RefineRTDCRunTimes.py" --tripid 189-07 --locoid 4026 --swversion DE.1.0.9.0 --startMP 204:449 --initTime 2017-04-07T14:41:11 --startdatetime 2017-04-07T14:45:15 --delay 1 --endMP 204:233389 --enddatetime 2017-04-07T15:34:49 --enforcementcount 0 &gt;&gt;C:\Users\stu\Documents\GitHub\eaglep3-reporting\EC\2017-04-07-refined-times.txt</v>
      </c>
      <c r="AI101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{"issue":{"subject":"","project_id":79,"tracker_id":40,"status_id":1,"priority_id":2,"assigned_to_id":23,"start_date":"2017-04-07","description":"","custom_fields":[{"id":1,"name":"Subdivision","value":"EC"},{"id":4,"name":"Milepost","value":"23.3389"},{"id":17,"name":"Train ID","value":"189-07"},{"id":16,"name":"Locomotive ID","value":"4026"},{"id":130,"name":"Impact","value":""},{"id":150,"name":"Time of Event (Mountain Time)","value":"15:34:49"},{"id":151,"name":"Denver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4"/>
        <v>start /low /b %USERPROFILE%\Documents\GitHub\eaglep3\Utilities\DownloadLogsFromS3.py --loco 4026 --day 2017-04-07</v>
      </c>
      <c r="AN101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21:34:49"},{"id":29,"name":"Sharepoint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778</v>
      </c>
      <c r="B102" s="7">
        <v>4025</v>
      </c>
      <c r="C102" s="21" t="s">
        <v>216</v>
      </c>
      <c r="D102" s="21" t="s">
        <v>896</v>
      </c>
      <c r="E102" s="13">
        <v>42832.651238425926</v>
      </c>
      <c r="F102" s="13">
        <v>42832.654143518521</v>
      </c>
      <c r="G102" s="7">
        <v>3</v>
      </c>
      <c r="H102" s="21" t="s">
        <v>407</v>
      </c>
      <c r="I102" s="13">
        <v>42832.679976851854</v>
      </c>
      <c r="J102" s="7">
        <v>0</v>
      </c>
      <c r="K102" s="97" t="str">
        <f t="shared" si="29"/>
        <v>4025/4026</v>
      </c>
      <c r="L102" s="21" t="str">
        <f>VLOOKUP(A102,'Trips&amp;Operators'!$C$1:$G$99999,5,FALSE)</f>
        <v>DELGADO DIANAH</v>
      </c>
      <c r="M102" s="6">
        <f t="shared" si="30"/>
        <v>2.5833333333139308E-2</v>
      </c>
      <c r="N102" s="7">
        <f t="shared" si="31"/>
        <v>37.199999999720603</v>
      </c>
      <c r="O102" s="7"/>
      <c r="P102" s="7"/>
      <c r="Q102" s="22"/>
      <c r="R102" s="22"/>
      <c r="S102" s="31">
        <f t="shared" si="32"/>
        <v>1</v>
      </c>
      <c r="T102" s="46" t="str">
        <f t="shared" si="33"/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4"/>
        <v>https://d0f6bd738d7f1b3e5a7ca70fe4ff75f0.us-east-1.aws.found.io/app/kibana#/discover/Steve-Slow-Train-Analysis-(2080s-and-2083s)?_g=(refreshInterval:(display:Off,pause:!f,section:0,value:0),time:(from:'2017-04-07T14:37:47-0600',mode:absolute,to:'2017-04-07T17:19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2" s="183" t="str">
        <f t="shared" si="35"/>
        <v>N</v>
      </c>
      <c r="X102" s="183">
        <f t="shared" si="49"/>
        <v>1</v>
      </c>
      <c r="Y102" s="62">
        <f t="shared" si="50"/>
        <v>23.31</v>
      </c>
      <c r="Z102" s="62">
        <f t="shared" si="48"/>
        <v>1.3899999999999999E-2</v>
      </c>
      <c r="AA102" s="62">
        <f t="shared" si="37"/>
        <v>23.296099999999999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8"/>
        <v>0190-07</v>
      </c>
      <c r="AE102" s="85" t="str">
        <f t="shared" si="39"/>
        <v>aws s3 cp s3://rtdc.mdm.uploadarchive.raw/RTDC4025/ "%USERPROFILE%\AppData\Local\Temp\OnboardLogs"\RTDC4025\2017-04-07 --exclude "*" --recursive --include "*20170407*" &amp; "%USERPROFILE%\Documents\GitHub\mrs-test-scripts\Headless Mode &amp; Sideloading\WalkAndUnGZ.bat" "%USERPROFILE%\AppData\Local\Temp\OnboardLogs"\RTDC4025\2017-04-07 &amp; aws s3 cp s3://rtdc.mdm.uploadarchive.raw/RTDC4025/ "%USERPROFILE%\AppData\Local\Temp\OnboardLogs"\RTDC4025\2017-04-08 --exclude "*" --recursive --include "*20170408*" &amp; "%USERPROFILE%\Documents\GitHub\mrs-test-scripts\Headless Mode &amp; Sideloading\WalkAndUnGZ.bat" "%USERPROFILE%\AppData\Local\Temp\OnboardLogs"\RTDC4025\2017-04-08</v>
      </c>
      <c r="AF102" s="82" t="str">
        <f t="shared" si="40"/>
        <v>"C:\Program Files (x86)\AstroGrep\AstroGrep.exe" /e /r /s /spath="%USERPROFILE%\AppData\Local\Temp\OnboardLogs" /stypes="app*4025*20170407*" /stext=" 22:.+((SYSTEM_STATE.+slice.+state.+changed )|(ment ac)|(multiple cpu faults)|(system.+state.+changed )|(\[timeout)|(PRM\|1\|D)|(kpr)|(kdp)|(\|lc)|(penalty))"</v>
      </c>
      <c r="AG102" s="1" t="str">
        <f t="shared" si="41"/>
        <v>EC</v>
      </c>
      <c r="AH102" s="86" t="str">
        <f t="shared" si="42"/>
        <v>"%USERPROFILE%\Documents\GitHub\eaglep3\Utilities\RefineRTDCRunTimes.py" --tripid 190-07 --locoid 4025 --swversion DE.1.0.9.0 --startMP 204:233100 --initTime 2017-04-07T15:37:47 --startdatetime 2017-04-07T15:41:58 --delay 3 --endMP 204:139 --enddatetime 2017-04-07T16:19:10 --enforcementcount 0 &gt;&gt;C:\Users\stu\Documents\GitHub\eaglep3-reporting\EC\2017-04-07-refined-times.txt</v>
      </c>
      <c r="AI102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{"issue":{"subject":"","project_id":79,"tracker_id":40,"status_id":1,"priority_id":2,"assigned_to_id":23,"start_date":"2017-04-07","description":"","custom_fields":[{"id":1,"name":"Subdivision","value":"EC"},{"id":4,"name":"Milepost","value":"0.0139"},{"id":17,"name":"Train ID","value":"190-07"},{"id":16,"name":"Locomotive ID","value":"4025"},{"id":130,"name":"Impact","value":""},{"id":150,"name":"Time of Event (Mountain Time)","value":"16:19:10"},{"id":151,"name":"Denver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4"/>
        <v>start /low /b %USERPROFILE%\Documents\GitHub\eaglep3\Utilities\DownloadLogsFromS3.py --loco 4025 --day 2017-04-07</v>
      </c>
      <c r="AN102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22:19:10"},{"id":29,"name":"Sharepoint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770</v>
      </c>
      <c r="B103" s="7">
        <v>4010</v>
      </c>
      <c r="C103" s="21" t="s">
        <v>216</v>
      </c>
      <c r="D103" s="21" t="s">
        <v>897</v>
      </c>
      <c r="E103" s="13">
        <v>42832.620763888888</v>
      </c>
      <c r="F103" s="13">
        <v>42832.625173611108</v>
      </c>
      <c r="G103" s="7">
        <v>1</v>
      </c>
      <c r="H103" s="21" t="s">
        <v>533</v>
      </c>
      <c r="I103" s="13">
        <v>42832.653043981481</v>
      </c>
      <c r="J103" s="7">
        <v>0</v>
      </c>
      <c r="K103" s="97" t="str">
        <f t="shared" si="29"/>
        <v>4009/4010</v>
      </c>
      <c r="L103" s="21" t="str">
        <f>VLOOKUP(A103,'Trips&amp;Operators'!$C$1:$G$99999,5,FALSE)</f>
        <v>CLARK KATHLEEN</v>
      </c>
      <c r="M103" s="6">
        <f t="shared" si="30"/>
        <v>2.7870370373420883E-2</v>
      </c>
      <c r="N103" s="7">
        <f t="shared" si="31"/>
        <v>40.133333337726071</v>
      </c>
      <c r="O103" s="7"/>
      <c r="P103" s="7"/>
      <c r="Q103" s="22"/>
      <c r="R103" s="22"/>
      <c r="S103" s="31">
        <f t="shared" si="32"/>
        <v>1</v>
      </c>
      <c r="T103" s="46" t="str">
        <f t="shared" si="33"/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4"/>
        <v>https://d0f6bd738d7f1b3e5a7ca70fe4ff75f0.us-east-1.aws.found.io/app/kibana#/discover/Steve-Slow-Train-Analysis-(2080s-and-2083s)?_g=(refreshInterval:(display:Off,pause:!f,section:0,value:0),time:(from:'2017-04-07T13:53:54-0600',mode:absolute,to:'2017-04-07T16:40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3" s="183" t="str">
        <f t="shared" si="35"/>
        <v>N</v>
      </c>
      <c r="X103" s="183">
        <f t="shared" si="49"/>
        <v>1</v>
      </c>
      <c r="Y103" s="62">
        <f t="shared" si="50"/>
        <v>4.8899999999999999E-2</v>
      </c>
      <c r="Z103" s="62">
        <f t="shared" si="48"/>
        <v>23.3291</v>
      </c>
      <c r="AA103" s="62">
        <f t="shared" si="37"/>
        <v>23.280200000000001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8"/>
        <v>0191-07</v>
      </c>
      <c r="AE103" s="85" t="str">
        <f t="shared" si="39"/>
        <v>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 &amp; 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</v>
      </c>
      <c r="AF103" s="82" t="str">
        <f t="shared" si="40"/>
        <v>"C:\Program Files (x86)\AstroGrep\AstroGrep.exe" /e /r /s /spath="%USERPROFILE%\AppData\Local\Temp\OnboardLogs" /stypes="app*4010*20170407*" /stext=" 21:.+((SYSTEM_STATE.+slice.+state.+changed )|(ment ac)|(multiple cpu faults)|(system.+state.+changed )|(\[timeout)|(PRM\|1\|D)|(kpr)|(kdp)|(\|lc)|(penalty))"</v>
      </c>
      <c r="AG103" s="1" t="str">
        <f t="shared" si="41"/>
        <v>EC</v>
      </c>
      <c r="AH103" s="86" t="str">
        <f t="shared" si="42"/>
        <v>"%USERPROFILE%\Documents\GitHub\eaglep3\Utilities\RefineRTDCRunTimes.py" --tripid 191-07 --locoid 4010 --swversion DE.1.0.9.0 --startMP 204:489 --initTime 2017-04-07T14:53:54 --startdatetime 2017-04-07T15:00:15 --delay 1 --endMP 204:233291 --enddatetime 2017-04-07T15:40:23 --enforcementcount 0 &gt;&gt;C:\Users\stu\Documents\GitHub\eaglep3-reporting\EC\2017-04-07-refined-times.txt</v>
      </c>
      <c r="AI103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{"issue":{"subject":"","project_id":79,"tracker_id":40,"status_id":1,"priority_id":2,"assigned_to_id":23,"start_date":"2017-04-07","description":"","custom_fields":[{"id":1,"name":"Subdivision","value":"EC"},{"id":4,"name":"Milepost","value":"23.3291"},{"id":17,"name":"Train ID","value":"191-07"},{"id":16,"name":"Locomotive ID","value":"4010"},{"id":130,"name":"Impact","value":""},{"id":150,"name":"Time of Event (Mountain Time)","value":"15:40:23"},{"id":151,"name":"Denver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4"/>
        <v>start /low /b %USERPROFILE%\Documents\GitHub\eaglep3\Utilities\DownloadLogsFromS3.py --loco 4010 --day 2017-04-07</v>
      </c>
      <c r="AN103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21:40:23"},{"id":29,"name":"Sharepoint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780</v>
      </c>
      <c r="B104" s="7">
        <v>4009</v>
      </c>
      <c r="C104" s="21" t="s">
        <v>216</v>
      </c>
      <c r="D104" s="21" t="s">
        <v>588</v>
      </c>
      <c r="E104" s="13">
        <v>42832.660590277781</v>
      </c>
      <c r="F104" s="13">
        <v>42832.6640625</v>
      </c>
      <c r="G104" s="7">
        <v>1</v>
      </c>
      <c r="H104" s="21" t="s">
        <v>898</v>
      </c>
      <c r="I104" s="13">
        <v>42832.69190972222</v>
      </c>
      <c r="J104" s="7">
        <v>0</v>
      </c>
      <c r="K104" s="97" t="str">
        <f t="shared" si="29"/>
        <v>4009/4010</v>
      </c>
      <c r="L104" s="21" t="str">
        <f>VLOOKUP(A104,'Trips&amp;Operators'!$C$1:$G$99999,5,FALSE)</f>
        <v>CLARK KATHLEEN</v>
      </c>
      <c r="M104" s="6">
        <f t="shared" si="30"/>
        <v>2.7847222219861578E-2</v>
      </c>
      <c r="N104" s="7">
        <f t="shared" si="31"/>
        <v>40.099999996600673</v>
      </c>
      <c r="O104" s="7"/>
      <c r="P104" s="7"/>
      <c r="Q104" s="22"/>
      <c r="R104" s="22"/>
      <c r="S104" s="31">
        <f t="shared" si="32"/>
        <v>1</v>
      </c>
      <c r="T104" s="46" t="str">
        <f t="shared" si="33"/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4"/>
        <v>https://d0f6bd738d7f1b3e5a7ca70fe4ff75f0.us-east-1.aws.found.io/app/kibana#/discover/Steve-Slow-Train-Analysis-(2080s-and-2083s)?_g=(refreshInterval:(display:Off,pause:!f,section:0,value:0),time:(from:'2017-04-07T14:51:15-0600',mode:absolute,to:'2017-04-07T17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4" s="183" t="str">
        <f t="shared" si="35"/>
        <v>N</v>
      </c>
      <c r="X104" s="183">
        <f t="shared" si="49"/>
        <v>1</v>
      </c>
      <c r="Y104" s="62">
        <f t="shared" si="50"/>
        <v>23.296500000000002</v>
      </c>
      <c r="Z104" s="62">
        <f t="shared" si="48"/>
        <v>1.8499999999999999E-2</v>
      </c>
      <c r="AA104" s="62">
        <f t="shared" si="37"/>
        <v>23.278000000000002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8"/>
        <v>0192-07</v>
      </c>
      <c r="AE104" s="85" t="str">
        <f t="shared" si="39"/>
        <v>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 &amp; aws s3 cp s3://rtdc.mdm.uploadarchive.raw/RTDC4009/ "%USERPROFILE%\AppData\Local\Temp\OnboardLogs"\RTDC4009\2017-04-08 --exclude "*" --recursive --include "*20170408*" &amp; "%USERPROFILE%\Documents\GitHub\mrs-test-scripts\Headless Mode &amp; Sideloading\WalkAndUnGZ.bat" "%USERPROFILE%\AppData\Local\Temp\OnboardLogs"\RTDC4009\2017-04-08</v>
      </c>
      <c r="AF104" s="82" t="str">
        <f t="shared" si="40"/>
        <v>"C:\Program Files (x86)\AstroGrep\AstroGrep.exe" /e /r /s /spath="%USERPROFILE%\AppData\Local\Temp\OnboardLogs" /stypes="app*4009*20170407*" /stext=" 22:.+((SYSTEM_STATE.+slice.+state.+changed )|(ment ac)|(multiple cpu faults)|(system.+state.+changed )|(\[timeout)|(PRM\|1\|D)|(kpr)|(kdp)|(\|lc)|(penalty))"</v>
      </c>
      <c r="AG104" s="1" t="str">
        <f t="shared" si="41"/>
        <v>EC</v>
      </c>
      <c r="AH104" s="86" t="str">
        <f t="shared" si="42"/>
        <v>"%USERPROFILE%\Documents\GitHub\eaglep3\Utilities\RefineRTDCRunTimes.py" --tripid 192-07 --locoid 4009 --swversion DE.1.0.9.0 --startMP 204:232965 --initTime 2017-04-07T15:51:15 --startdatetime 2017-04-07T15:56:15 --delay 1 --endMP 204:185 --enddatetime 2017-04-07T16:36:21 --enforcementcount 0 &gt;&gt;C:\Users\stu\Documents\GitHub\eaglep3-reporting\EC\2017-04-07-refined-times.txt</v>
      </c>
      <c r="AI104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{"issue":{"subject":"","project_id":79,"tracker_id":40,"status_id":1,"priority_id":2,"assigned_to_id":23,"start_date":"2017-04-07","description":"","custom_fields":[{"id":1,"name":"Subdivision","value":"EC"},{"id":4,"name":"Milepost","value":"0.0185"},{"id":17,"name":"Train ID","value":"192-07"},{"id":16,"name":"Locomotive ID","value":"4009"},{"id":130,"name":"Impact","value":""},{"id":150,"name":"Time of Event (Mountain Time)","value":"16:36:21"},{"id":151,"name":"Denver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4"/>
        <v>start /low /b %USERPROFILE%\Documents\GitHub\eaglep3\Utilities\DownloadLogsFromS3.py --loco 4009 --day 2017-04-07</v>
      </c>
      <c r="AN104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22:36:21"},{"id":29,"name":"Sharepoint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773</v>
      </c>
      <c r="B105" s="7">
        <v>4016</v>
      </c>
      <c r="C105" s="21" t="s">
        <v>216</v>
      </c>
      <c r="D105" s="21" t="s">
        <v>521</v>
      </c>
      <c r="E105" s="13">
        <v>42832.630787037036</v>
      </c>
      <c r="F105" s="13">
        <v>42832.635625000003</v>
      </c>
      <c r="G105" s="7">
        <v>1</v>
      </c>
      <c r="H105" s="21" t="s">
        <v>526</v>
      </c>
      <c r="I105" s="13">
        <v>42832.660474537035</v>
      </c>
      <c r="J105" s="7">
        <v>0</v>
      </c>
      <c r="K105" s="97" t="str">
        <f t="shared" si="29"/>
        <v>4015/4016</v>
      </c>
      <c r="L105" s="21" t="str">
        <f>VLOOKUP(A105,'Trips&amp;Operators'!$C$1:$G$99999,5,FALSE)</f>
        <v>BRUDER RICHARD</v>
      </c>
      <c r="M105" s="6">
        <f t="shared" si="30"/>
        <v>2.4849537032423541E-2</v>
      </c>
      <c r="N105" s="7">
        <f t="shared" si="31"/>
        <v>35.783333326689899</v>
      </c>
      <c r="O105" s="7"/>
      <c r="P105" s="7"/>
      <c r="Q105" s="22"/>
      <c r="R105" s="22"/>
      <c r="S105" s="31">
        <f t="shared" si="32"/>
        <v>1</v>
      </c>
      <c r="T105" s="46" t="str">
        <f t="shared" si="33"/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4"/>
        <v>https://d0f6bd738d7f1b3e5a7ca70fe4ff75f0.us-east-1.aws.found.io/app/kibana#/discover/Steve-Slow-Train-Analysis-(2080s-and-2083s)?_g=(refreshInterval:(display:Off,pause:!f,section:0,value:0),time:(from:'2017-04-07T14:08:20-0600',mode:absolute,to:'2017-04-07T16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5" s="183" t="str">
        <f t="shared" si="35"/>
        <v>N</v>
      </c>
      <c r="X105" s="183">
        <f t="shared" si="49"/>
        <v>1</v>
      </c>
      <c r="Y105" s="62">
        <f t="shared" si="50"/>
        <v>4.6899999999999997E-2</v>
      </c>
      <c r="Z105" s="62">
        <f t="shared" si="48"/>
        <v>23.3306</v>
      </c>
      <c r="AA105" s="62">
        <f t="shared" si="37"/>
        <v>23.2837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8"/>
        <v>0193-07</v>
      </c>
      <c r="AE105" s="85" t="str">
        <f t="shared" si="39"/>
        <v>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 &amp; aws s3 cp s3://rtdc.mdm.uploadarchive.raw/RTDC4016/ "%USERPROFILE%\AppData\Local\Temp\OnboardLogs"\RTDC4016\2017-04-08 --exclude "*" --recursive --include "*20170408*" &amp; "%USERPROFILE%\Documents\GitHub\mrs-test-scripts\Headless Mode &amp; Sideloading\WalkAndUnGZ.bat" "%USERPROFILE%\AppData\Local\Temp\OnboardLogs"\RTDC4016\2017-04-08</v>
      </c>
      <c r="AF105" s="82" t="str">
        <f t="shared" si="40"/>
        <v>"C:\Program Files (x86)\AstroGrep\AstroGrep.exe" /e /r /s /spath="%USERPROFILE%\AppData\Local\Temp\OnboardLogs" /stypes="app*4016*20170407*" /stext=" 21:.+((SYSTEM_STATE.+slice.+state.+changed )|(ment ac)|(multiple cpu faults)|(system.+state.+changed )|(\[timeout)|(PRM\|1\|D)|(kpr)|(kdp)|(\|lc)|(penalty))"</v>
      </c>
      <c r="AG105" s="1" t="str">
        <f t="shared" si="41"/>
        <v>EC</v>
      </c>
      <c r="AH105" s="86" t="str">
        <f t="shared" si="42"/>
        <v>"%USERPROFILE%\Documents\GitHub\eaglep3\Utilities\RefineRTDCRunTimes.py" --tripid 193-07 --locoid 4016 --swversion DE.1.0.9.0 --startMP 204:469 --initTime 2017-04-07T15:08:20 --startdatetime 2017-04-07T15:15:18 --delay 1 --endMP 204:233306 --enddatetime 2017-04-07T15:51:05 --enforcementcount 0 &gt;&gt;C:\Users\stu\Documents\GitHub\eaglep3-reporting\EC\2017-04-07-refined-times.txt</v>
      </c>
      <c r="AI105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{"issue":{"subject":"","project_id":79,"tracker_id":40,"status_id":1,"priority_id":2,"assigned_to_id":23,"start_date":"2017-04-07","description":"","custom_fields":[{"id":1,"name":"Subdivision","value":"EC"},{"id":4,"name":"Milepost","value":"23.3306"},{"id":17,"name":"Train ID","value":"193-07"},{"id":16,"name":"Locomotive ID","value":"4016"},{"id":130,"name":"Impact","value":""},{"id":150,"name":"Time of Event (Mountain Time)","value":"15:51:05"},{"id":151,"name":"Denver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4"/>
        <v>start /low /b %USERPROFILE%\Documents\GitHub\eaglep3\Utilities\DownloadLogsFromS3.py --loco 4016 --day 2017-04-07</v>
      </c>
      <c r="AN105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21:51:05"},{"id":29,"name":"Sharepoint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643</v>
      </c>
      <c r="B106" s="7">
        <v>4015</v>
      </c>
      <c r="C106" s="21" t="s">
        <v>216</v>
      </c>
      <c r="D106" s="21" t="s">
        <v>403</v>
      </c>
      <c r="E106" s="13">
        <v>42832.670069444444</v>
      </c>
      <c r="F106" s="13">
        <v>42832.674502314818</v>
      </c>
      <c r="G106" s="7">
        <v>1</v>
      </c>
      <c r="H106" s="21" t="s">
        <v>213</v>
      </c>
      <c r="I106" s="13">
        <v>42832.701921296299</v>
      </c>
      <c r="J106" s="7">
        <v>0</v>
      </c>
      <c r="K106" s="97" t="str">
        <f t="shared" si="29"/>
        <v>4015/4016</v>
      </c>
      <c r="L106" s="21" t="str">
        <f>VLOOKUP(A106,'Trips&amp;Operators'!$C$1:$G$99999,5,FALSE)</f>
        <v>BRUDER RICHARD</v>
      </c>
      <c r="M106" s="6">
        <f t="shared" si="30"/>
        <v>2.7418981480877846E-2</v>
      </c>
      <c r="N106" s="7">
        <f t="shared" si="31"/>
        <v>39.483333332464099</v>
      </c>
      <c r="O106" s="7"/>
      <c r="P106" s="7"/>
      <c r="Q106" s="22"/>
      <c r="R106" s="22"/>
      <c r="S106" s="31">
        <f t="shared" si="32"/>
        <v>1</v>
      </c>
      <c r="T106" s="46" t="str">
        <f t="shared" si="33"/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4"/>
        <v>https://d0f6bd738d7f1b3e5a7ca70fe4ff75f0.us-east-1.aws.found.io/app/kibana#/discover/Steve-Slow-Train-Analysis-(2080s-and-2083s)?_g=(refreshInterval:(display:Off,pause:!f,section:0,value:0),time:(from:'2017-04-07T15:04:54-0600',mode:absolute,to:'2017-04-07T17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6" s="183" t="str">
        <f t="shared" si="35"/>
        <v>N</v>
      </c>
      <c r="X106" s="183">
        <f t="shared" si="49"/>
        <v>1</v>
      </c>
      <c r="Y106" s="62">
        <f t="shared" si="50"/>
        <v>23.299399999999999</v>
      </c>
      <c r="Z106" s="62">
        <f t="shared" si="48"/>
        <v>1.47E-2</v>
      </c>
      <c r="AA106" s="62">
        <f t="shared" si="37"/>
        <v>23.284699999999997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8"/>
        <v>0194-07</v>
      </c>
      <c r="AE106" s="85" t="str">
        <f t="shared" si="39"/>
        <v>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 &amp; aws s3 cp s3://rtdc.mdm.uploadarchive.raw/RTDC4015/ "%USERPROFILE%\AppData\Local\Temp\OnboardLogs"\RTDC4015\2017-04-08 --exclude "*" --recursive --include "*20170408*" &amp; "%USERPROFILE%\Documents\GitHub\mrs-test-scripts\Headless Mode &amp; Sideloading\WalkAndUnGZ.bat" "%USERPROFILE%\AppData\Local\Temp\OnboardLogs"\RTDC4015\2017-04-08</v>
      </c>
      <c r="AF106" s="82" t="str">
        <f t="shared" si="40"/>
        <v>"C:\Program Files (x86)\AstroGrep\AstroGrep.exe" /e /r /s /spath="%USERPROFILE%\AppData\Local\Temp\OnboardLogs" /stypes="app*4015*20170407*" /stext=" 22:.+((SYSTEM_STATE.+slice.+state.+changed )|(ment ac)|(multiple cpu faults)|(system.+state.+changed )|(\[timeout)|(PRM\|1\|D)|(kpr)|(kdp)|(\|lc)|(penalty))"</v>
      </c>
      <c r="AG106" s="1" t="str">
        <f t="shared" si="41"/>
        <v>EC</v>
      </c>
      <c r="AH106" s="86" t="str">
        <f t="shared" si="42"/>
        <v>"%USERPROFILE%\Documents\GitHub\eaglep3\Utilities\RefineRTDCRunTimes.py" --tripid 194-07 --locoid 4015 --swversion DE.1.0.9.0 --startMP 204:232994 --initTime 2017-04-07T16:04:54 --startdatetime 2017-04-07T16:11:17 --delay 1 --endMP 204:147 --enddatetime 2017-04-07T16:50:46 --enforcementcount 0 &gt;&gt;C:\Users\stu\Documents\GitHub\eaglep3-reporting\EC\2017-04-07-refined-times.txt</v>
      </c>
      <c r="AI106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{"issue":{"subject":"","project_id":79,"tracker_id":40,"status_id":1,"priority_id":2,"assigned_to_id":23,"start_date":"2017-04-07","description":"","custom_fields":[{"id":1,"name":"Subdivision","value":"EC"},{"id":4,"name":"Milepost","value":"0.0147"},{"id":17,"name":"Train ID","value":"194-07"},{"id":16,"name":"Locomotive ID","value":"4015"},{"id":130,"name":"Impact","value":""},{"id":150,"name":"Time of Event (Mountain Time)","value":"16:50:46"},{"id":151,"name":"Denver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4"/>
        <v>start /low /b %USERPROFILE%\Documents\GitHub\eaglep3\Utilities\DownloadLogsFromS3.py --loco 4015 --day 2017-04-07</v>
      </c>
      <c r="AN106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22:50:46"},{"id":29,"name":"Sharepoint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775</v>
      </c>
      <c r="B107" s="7">
        <v>4030</v>
      </c>
      <c r="C107" s="21" t="s">
        <v>216</v>
      </c>
      <c r="D107" s="21" t="s">
        <v>899</v>
      </c>
      <c r="E107" s="13">
        <v>42832.64334490741</v>
      </c>
      <c r="F107" s="13">
        <v>42832.646134259259</v>
      </c>
      <c r="G107" s="7">
        <v>1</v>
      </c>
      <c r="H107" s="21" t="s">
        <v>531</v>
      </c>
      <c r="I107" s="13">
        <v>42832.671168981484</v>
      </c>
      <c r="J107" s="7">
        <v>0</v>
      </c>
      <c r="K107" s="97" t="str">
        <f t="shared" si="29"/>
        <v>4029/4030</v>
      </c>
      <c r="L107" s="21" t="str">
        <f>VLOOKUP(A107,'Trips&amp;Operators'!$C$1:$G$99999,5,FALSE)</f>
        <v>WHITED DUSTIN</v>
      </c>
      <c r="M107" s="6">
        <f t="shared" si="30"/>
        <v>2.5034722224518191E-2</v>
      </c>
      <c r="N107" s="7">
        <f t="shared" si="31"/>
        <v>36.050000003306195</v>
      </c>
      <c r="O107" s="7"/>
      <c r="P107" s="7"/>
      <c r="Q107" s="22"/>
      <c r="R107" s="22"/>
      <c r="S107" s="31">
        <f t="shared" si="32"/>
        <v>1</v>
      </c>
      <c r="T107" s="46" t="str">
        <f t="shared" si="33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4"/>
        <v>https://d0f6bd738d7f1b3e5a7ca70fe4ff75f0.us-east-1.aws.found.io/app/kibana#/discover/Steve-Slow-Train-Analysis-(2080s-and-2083s)?_g=(refreshInterval:(display:Off,pause:!f,section:0,value:0),time:(from:'2017-04-07T14:26:25-0600',mode:absolute,to:'2017-04-07T17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7" s="183" t="str">
        <f t="shared" si="35"/>
        <v>N</v>
      </c>
      <c r="X107" s="183">
        <f t="shared" si="49"/>
        <v>1</v>
      </c>
      <c r="Y107" s="62">
        <f t="shared" si="50"/>
        <v>4.1099999999999998E-2</v>
      </c>
      <c r="Z107" s="62">
        <f t="shared" si="48"/>
        <v>23.330500000000001</v>
      </c>
      <c r="AA107" s="62">
        <f t="shared" si="37"/>
        <v>23.289400000000001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8"/>
        <v>0195-07</v>
      </c>
      <c r="AE107" s="85" t="str">
        <f t="shared" si="39"/>
        <v>aws s3 cp s3://rtdc.mdm.uploadarchive.raw/RTDC4030/ "%USERPROFILE%\AppData\Local\Temp\OnboardLogs"\RTDC4030\2017-04-07 --exclude "*" --recursive --include "*20170407*" &amp; "%USERPROFILE%\Documents\GitHub\mrs-test-scripts\Headless Mode &amp; Sideloading\WalkAndUnGZ.bat" "%USERPROFILE%\AppData\Local\Temp\OnboardLogs"\RTDC4030\2017-04-07 &amp; aws s3 cp s3://rtdc.mdm.uploadarchive.raw/RTDC4030/ "%USERPROFILE%\AppData\Local\Temp\OnboardLogs"\RTDC4030\2017-04-08 --exclude "*" --recursive --include "*20170408*" &amp; "%USERPROFILE%\Documents\GitHub\mrs-test-scripts\Headless Mode &amp; Sideloading\WalkAndUnGZ.bat" "%USERPROFILE%\AppData\Local\Temp\OnboardLogs"\RTDC4030\2017-04-08</v>
      </c>
      <c r="AF107" s="82" t="str">
        <f t="shared" si="40"/>
        <v>"C:\Program Files (x86)\AstroGrep\AstroGrep.exe" /e /r /s /spath="%USERPROFILE%\AppData\Local\Temp\OnboardLogs" /stypes="app*4030*20170407*" /stext=" 22:.+((SYSTEM_STATE.+slice.+state.+changed )|(ment ac)|(multiple cpu faults)|(system.+state.+changed )|(\[timeout)|(PRM\|1\|D)|(kpr)|(kdp)|(\|lc)|(penalty))"</v>
      </c>
      <c r="AG107" s="1" t="str">
        <f t="shared" si="41"/>
        <v>EC</v>
      </c>
      <c r="AH107" s="86" t="str">
        <f t="shared" si="42"/>
        <v>"%USERPROFILE%\Documents\GitHub\eaglep3\Utilities\RefineRTDCRunTimes.py" --tripid 195-07 --locoid 4030 --swversion DE.1.0.9.0 --startMP 204:411 --initTime 2017-04-07T15:26:25 --startdatetime 2017-04-07T15:30:26 --delay 1 --endMP 204:233305 --enddatetime 2017-04-07T16:06:29 --enforcementcount 0 &gt;&gt;C:\Users\stu\Documents\GitHub\eaglep3-reporting\EC\2017-04-07-refined-times.txt</v>
      </c>
      <c r="AI107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{"issue":{"subject":"","project_id":79,"tracker_id":40,"status_id":1,"priority_id":2,"assigned_to_id":23,"start_date":"2017-04-07","description":"","custom_fields":[{"id":1,"name":"Subdivision","value":"EC"},{"id":4,"name":"Milepost","value":"23.3305"},{"id":17,"name":"Train ID","value":"195-07"},{"id":16,"name":"Locomotive ID","value":"4030"},{"id":130,"name":"Impact","value":""},{"id":150,"name":"Time of Event (Mountain Time)","value":"16:06:29"},{"id":151,"name":"Denver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4"/>
        <v>start /low /b %USERPROFILE%\Documents\GitHub\eaglep3\Utilities\DownloadLogsFromS3.py --loco 4030 --day 2017-04-07</v>
      </c>
      <c r="AN107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3" t="s">
        <v>783</v>
      </c>
      <c r="B108" s="7">
        <v>4029</v>
      </c>
      <c r="C108" s="21" t="s">
        <v>216</v>
      </c>
      <c r="D108" s="21" t="s">
        <v>576</v>
      </c>
      <c r="E108" s="13">
        <v>42832.673958333333</v>
      </c>
      <c r="F108" s="13">
        <v>42832.684907407405</v>
      </c>
      <c r="G108" s="7">
        <v>1</v>
      </c>
      <c r="H108" s="21" t="s">
        <v>493</v>
      </c>
      <c r="I108" s="13">
        <v>42832.711921296293</v>
      </c>
      <c r="J108" s="7">
        <v>0</v>
      </c>
      <c r="K108" s="97" t="str">
        <f t="shared" si="29"/>
        <v>4029/4030</v>
      </c>
      <c r="L108" s="21" t="str">
        <f>VLOOKUP(A108,'Trips&amp;Operators'!$C$1:$G$99999,5,FALSE)</f>
        <v>WHITED DUSTIN</v>
      </c>
      <c r="M108" s="6">
        <f t="shared" si="30"/>
        <v>2.7013888888177462E-2</v>
      </c>
      <c r="N108" s="7">
        <f t="shared" si="31"/>
        <v>38.899999998975545</v>
      </c>
      <c r="O108" s="7"/>
      <c r="P108" s="7"/>
      <c r="Q108" s="22"/>
      <c r="R108" s="22"/>
      <c r="S108" s="31">
        <f t="shared" si="32"/>
        <v>1</v>
      </c>
      <c r="T108" s="46" t="str">
        <f t="shared" si="33"/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4"/>
        <v>https://d0f6bd738d7f1b3e5a7ca70fe4ff75f0.us-east-1.aws.found.io/app/kibana#/discover/Steve-Slow-Train-Analysis-(2080s-and-2083s)?_g=(refreshInterval:(display:Off,pause:!f,section:0,value:0),time:(from:'2017-04-07T15:10:30-0600',mode:absolute,to:'2017-04-07T18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8" s="183" t="str">
        <f t="shared" si="35"/>
        <v>N</v>
      </c>
      <c r="X108" s="183">
        <f t="shared" si="49"/>
        <v>1</v>
      </c>
      <c r="Y108" s="62">
        <f t="shared" si="50"/>
        <v>23.298999999999999</v>
      </c>
      <c r="Z108" s="62">
        <f t="shared" si="48"/>
        <v>1.32E-2</v>
      </c>
      <c r="AA108" s="62">
        <f t="shared" si="37"/>
        <v>23.285799999999998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8"/>
        <v>0196-07</v>
      </c>
      <c r="AE108" s="85" t="str">
        <f t="shared" si="39"/>
        <v>aws s3 cp s3://rtdc.mdm.uploadarchive.raw/RTDC4029/ "%USERPROFILE%\AppData\Local\Temp\OnboardLogs"\RTDC4029\2017-04-07 --exclude "*" --recursive --include "*20170407*" &amp; "%USERPROFILE%\Documents\GitHub\mrs-test-scripts\Headless Mode &amp; Sideloading\WalkAndUnGZ.bat" "%USERPROFILE%\AppData\Local\Temp\OnboardLogs"\RTDC4029\2017-04-07 &amp; aws s3 cp s3://rtdc.mdm.uploadarchive.raw/RTDC4029/ "%USERPROFILE%\AppData\Local\Temp\OnboardLogs"\RTDC4029\2017-04-08 --exclude "*" --recursive --include "*20170408*" &amp; "%USERPROFILE%\Documents\GitHub\mrs-test-scripts\Headless Mode &amp; Sideloading\WalkAndUnGZ.bat" "%USERPROFILE%\AppData\Local\Temp\OnboardLogs"\RTDC4029\2017-04-08</v>
      </c>
      <c r="AF108" s="82" t="str">
        <f t="shared" si="40"/>
        <v>"C:\Program Files (x86)\AstroGrep\AstroGrep.exe" /e /r /s /spath="%USERPROFILE%\AppData\Local\Temp\OnboardLogs" /stypes="app*4029*20170407*" /stext=" 23:.+((SYSTEM_STATE.+slice.+state.+changed )|(ment ac)|(multiple cpu faults)|(system.+state.+changed )|(\[timeout)|(PRM\|1\|D)|(kpr)|(kdp)|(\|lc)|(penalty))"</v>
      </c>
      <c r="AG108" s="1" t="str">
        <f t="shared" si="41"/>
        <v>EC</v>
      </c>
      <c r="AH108" s="86" t="str">
        <f t="shared" si="42"/>
        <v>"%USERPROFILE%\Documents\GitHub\eaglep3\Utilities\RefineRTDCRunTimes.py" --tripid 196-07 --locoid 4029 --swversion DE.1.0.9.0 --startMP 204:232990 --initTime 2017-04-07T16:10:30 --startdatetime 2017-04-07T16:26:16 --delay 1 --endMP 204:132 --enddatetime 2017-04-07T17:05:10 --enforcementcount 0 &gt;&gt;C:\Users\stu\Documents\GitHub\eaglep3-reporting\EC\2017-04-07-refined-times.txt</v>
      </c>
      <c r="AI108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{"issue":{"subject":"","project_id":79,"tracker_id":40,"status_id":1,"priority_id":2,"assigned_to_id":23,"start_date":"2017-04-07","description":"","custom_fields":[{"id":1,"name":"Subdivision","value":"EC"},{"id":4,"name":"Milepost","value":"0.0132"},{"id":17,"name":"Train ID","value":"196-07"},{"id":16,"name":"Locomotive ID","value":"4029"},{"id":130,"name":"Impact","value":""},{"id":150,"name":"Time of Event (Mountain Time)","value":"17:05:10"},{"id":151,"name":"Denver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20"/>
      <c r="AK108" s="48"/>
      <c r="AL108" s="48"/>
      <c r="AM108" s="150" t="str">
        <f t="shared" si="44"/>
        <v>start /low /b %USERPROFILE%\Documents\GitHub\eaglep3\Utilities\DownloadLogsFromS3.py --loco 4029 --day 2017-04-07</v>
      </c>
      <c r="AN108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23:05:10"},{"id":29,"name":"Sharepoint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9" spans="1:91" s="20" customFormat="1" x14ac:dyDescent="0.25">
      <c r="A109" s="33" t="s">
        <v>779</v>
      </c>
      <c r="B109" s="7">
        <v>4022</v>
      </c>
      <c r="C109" s="21" t="s">
        <v>216</v>
      </c>
      <c r="D109" s="21" t="s">
        <v>891</v>
      </c>
      <c r="E109" s="13">
        <v>42832.655509259261</v>
      </c>
      <c r="F109" s="13">
        <v>42832.657060185185</v>
      </c>
      <c r="G109" s="7">
        <v>1</v>
      </c>
      <c r="H109" s="21" t="s">
        <v>458</v>
      </c>
      <c r="I109" s="13">
        <v>42832.683032407411</v>
      </c>
      <c r="J109" s="7">
        <v>0</v>
      </c>
      <c r="K109" s="97" t="str">
        <f t="shared" si="29"/>
        <v>4021/4022</v>
      </c>
      <c r="L109" s="21" t="str">
        <f>VLOOKUP(A109,'Trips&amp;Operators'!$C$1:$G$99999,5,FALSE)</f>
        <v>BRANDNER MELINDA</v>
      </c>
      <c r="M109" s="6">
        <f t="shared" si="30"/>
        <v>2.5972222225391306E-2</v>
      </c>
      <c r="N109" s="7">
        <f t="shared" ref="N109:N140" si="51">24*60*SUM($M109:$M109)</f>
        <v>37.400000004563481</v>
      </c>
      <c r="O109" s="7"/>
      <c r="P109" s="7"/>
      <c r="Q109" s="22"/>
      <c r="R109" s="22"/>
      <c r="S109" s="31">
        <f t="shared" si="32"/>
        <v>1</v>
      </c>
      <c r="T109" s="46" t="str">
        <f t="shared" si="33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4"/>
        <v>https://d0f6bd738d7f1b3e5a7ca70fe4ff75f0.us-east-1.aws.found.io/app/kibana#/discover/Steve-Slow-Train-Analysis-(2080s-and-2083s)?_g=(refreshInterval:(display:Off,pause:!f,section:0,value:0),time:(from:'2017-04-07T14:43:56-0600',mode:absolute,to:'2017-04-07T17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9" s="183" t="str">
        <f t="shared" si="35"/>
        <v>N</v>
      </c>
      <c r="X109" s="183">
        <f t="shared" si="49"/>
        <v>1</v>
      </c>
      <c r="Y109" s="62">
        <f t="shared" si="50"/>
        <v>4.3700000000000003E-2</v>
      </c>
      <c r="Z109" s="62">
        <f t="shared" si="48"/>
        <v>23.331900000000001</v>
      </c>
      <c r="AA109" s="62">
        <f t="shared" si="37"/>
        <v>23.2882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8"/>
        <v>0197-07</v>
      </c>
      <c r="AE109" s="85" t="str">
        <f t="shared" si="39"/>
        <v>aws s3 cp s3://rtdc.mdm.uploadarchive.raw/RTDC4022/ "%USERPROFILE%\AppData\Local\Temp\OnboardLogs"\RTDC4022\2017-04-07 --exclude "*" --recursive --include "*20170407*" &amp; "%USERPROFILE%\Documents\GitHub\mrs-test-scripts\Headless Mode &amp; Sideloading\WalkAndUnGZ.bat" "%USERPROFILE%\AppData\Local\Temp\OnboardLogs"\RTDC4022\2017-04-07 &amp; 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</v>
      </c>
      <c r="AF109" s="82" t="str">
        <f t="shared" si="40"/>
        <v>"C:\Program Files (x86)\AstroGrep\AstroGrep.exe" /e /r /s /spath="%USERPROFILE%\AppData\Local\Temp\OnboardLogs" /stypes="app*4022*20170407*" /stext=" 22:.+((SYSTEM_STATE.+slice.+state.+changed )|(ment ac)|(multiple cpu faults)|(system.+state.+changed )|(\[timeout)|(PRM\|1\|D)|(kpr)|(kdp)|(\|lc)|(penalty))"</v>
      </c>
      <c r="AG109" s="1" t="str">
        <f t="shared" si="41"/>
        <v>EC</v>
      </c>
      <c r="AH109" s="86" t="str">
        <f t="shared" si="42"/>
        <v>"%USERPROFILE%\Documents\GitHub\eaglep3\Utilities\RefineRTDCRunTimes.py" --tripid 197-07 --locoid 4022 --swversion DE.1.0.9.0 --startMP 204:437 --initTime 2017-04-07T15:43:56 --startdatetime 2017-04-07T15:46:10 --delay 1 --endMP 204:233319 --enddatetime 2017-04-07T16:23:34 --enforcementcount 0 &gt;&gt;C:\Users\stu\Documents\GitHub\eaglep3-reporting\EC\2017-04-07-refined-times.txt</v>
      </c>
      <c r="AI109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{"issue":{"subject":"","project_id":79,"tracker_id":40,"status_id":1,"priority_id":2,"assigned_to_id":23,"start_date":"2017-04-07","description":"","custom_fields":[{"id":1,"name":"Subdivision","value":"EC"},{"id":4,"name":"Milepost","value":"23.3319"},{"id":17,"name":"Train ID","value":"197-07"},{"id":16,"name":"Locomotive ID","value":"4022"},{"id":130,"name":"Impact","value":""},{"id":150,"name":"Time of Event (Mountain Time)","value":"16:23:34"},{"id":151,"name":"Denver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4"/>
        <v>start /low /b %USERPROFILE%\Documents\GitHub\eaglep3\Utilities\DownloadLogsFromS3.py --loco 4022 --day 2017-04-07</v>
      </c>
      <c r="AN109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22:23:34"},{"id":29,"name":"Sharepoint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788</v>
      </c>
      <c r="B110" s="7">
        <v>4021</v>
      </c>
      <c r="C110" s="21" t="s">
        <v>216</v>
      </c>
      <c r="D110" s="21" t="s">
        <v>900</v>
      </c>
      <c r="E110" s="13">
        <v>42832.69021990741</v>
      </c>
      <c r="F110" s="13">
        <v>42832.695474537039</v>
      </c>
      <c r="G110" s="7">
        <v>1</v>
      </c>
      <c r="H110" s="21" t="s">
        <v>532</v>
      </c>
      <c r="I110" s="13">
        <v>42832.723645833335</v>
      </c>
      <c r="J110" s="7">
        <v>0</v>
      </c>
      <c r="K110" s="97" t="str">
        <f t="shared" si="29"/>
        <v>4021/4022</v>
      </c>
      <c r="L110" s="21" t="str">
        <f>VLOOKUP(A110,'Trips&amp;Operators'!$C$1:$G$99999,5,FALSE)</f>
        <v>BRANDNER MELINDA</v>
      </c>
      <c r="M110" s="6">
        <f t="shared" si="30"/>
        <v>2.8171296296932269E-2</v>
      </c>
      <c r="N110" s="7">
        <f t="shared" si="51"/>
        <v>40.566666667582467</v>
      </c>
      <c r="O110" s="7"/>
      <c r="P110" s="7"/>
      <c r="Q110" s="22"/>
      <c r="R110" s="22"/>
      <c r="S110" s="31">
        <f t="shared" si="32"/>
        <v>1</v>
      </c>
      <c r="T110" s="46" t="str">
        <f t="shared" si="33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4"/>
        <v>https://d0f6bd738d7f1b3e5a7ca70fe4ff75f0.us-east-1.aws.found.io/app/kibana#/discover/Steve-Slow-Train-Analysis-(2080s-and-2083s)?_g=(refreshInterval:(display:Off,pause:!f,section:0,value:0),time:(from:'2017-04-07T15:33:55-0600',mode:absolute,to:'2017-04-07T18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0" s="183" t="str">
        <f t="shared" si="35"/>
        <v>N</v>
      </c>
      <c r="X110" s="183">
        <f t="shared" si="49"/>
        <v>1</v>
      </c>
      <c r="Y110" s="62">
        <f t="shared" si="50"/>
        <v>23.3</v>
      </c>
      <c r="Z110" s="62">
        <f t="shared" si="48"/>
        <v>1.3599999999999999E-2</v>
      </c>
      <c r="AA110" s="62">
        <f t="shared" si="37"/>
        <v>23.2864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8"/>
        <v>0198-07</v>
      </c>
      <c r="AE110" s="85" t="str">
        <f t="shared" si="39"/>
        <v>aws s3 cp s3://rtdc.mdm.uploadarchive.raw/RTDC4021/ "%USERPROFILE%\AppData\Local\Temp\OnboardLogs"\RTDC4021\2017-04-07 --exclude "*" --recursive --include "*20170407*" &amp; "%USERPROFILE%\Documents\GitHub\mrs-test-scripts\Headless Mode &amp; Sideloading\WalkAndUnGZ.bat" "%USERPROFILE%\AppData\Local\Temp\OnboardLogs"\RTDC4021\2017-04-07 &amp; 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</v>
      </c>
      <c r="AF110" s="82" t="str">
        <f t="shared" si="40"/>
        <v>"C:\Program Files (x86)\AstroGrep\AstroGrep.exe" /e /r /s /spath="%USERPROFILE%\AppData\Local\Temp\OnboardLogs" /stypes="app*4021*20170407*" /stext=" 23:.+((SYSTEM_STATE.+slice.+state.+changed )|(ment ac)|(multiple cpu faults)|(system.+state.+changed )|(\[timeout)|(PRM\|1\|D)|(kpr)|(kdp)|(\|lc)|(penalty))"</v>
      </c>
      <c r="AG110" s="1" t="str">
        <f t="shared" si="41"/>
        <v>EC</v>
      </c>
      <c r="AH110" s="86" t="str">
        <f t="shared" si="42"/>
        <v>"%USERPROFILE%\Documents\GitHub\eaglep3\Utilities\RefineRTDCRunTimes.py" --tripid 198-07 --locoid 4021 --swversion DE.1.0.9.0 --startMP 204:233000 --initTime 2017-04-07T16:33:55 --startdatetime 2017-04-07T16:41:29 --delay 1 --endMP 204:136 --enddatetime 2017-04-07T17:22:03 --enforcementcount 0 &gt;&gt;C:\Users\stu\Documents\GitHub\eaglep3-reporting\EC\2017-04-07-refined-times.txt</v>
      </c>
      <c r="AI110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{"issue":{"subject":"","project_id":79,"tracker_id":40,"status_id":1,"priority_id":2,"assigned_to_id":23,"start_date":"2017-04-07","description":"","custom_fields":[{"id":1,"name":"Subdivision","value":"EC"},{"id":4,"name":"Milepost","value":"0.0136"},{"id":17,"name":"Train ID","value":"198-07"},{"id":16,"name":"Locomotive ID","value":"4021"},{"id":130,"name":"Impact","value":""},{"id":150,"name":"Time of Event (Mountain Time)","value":"17:22:03"},{"id":151,"name":"Denver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4"/>
        <v>start /low /b %USERPROFILE%\Documents\GitHub\eaglep3\Utilities\DownloadLogsFromS3.py --loco 4021 --day 2017-04-07</v>
      </c>
      <c r="AN110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23:22:03"},{"id":29,"name":"Sharepoint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781</v>
      </c>
      <c r="B111" s="7">
        <v>4032</v>
      </c>
      <c r="C111" s="21" t="s">
        <v>216</v>
      </c>
      <c r="D111" s="21" t="s">
        <v>418</v>
      </c>
      <c r="E111" s="13">
        <v>42832.662222222221</v>
      </c>
      <c r="F111" s="13">
        <v>42832.666979166665</v>
      </c>
      <c r="G111" s="7">
        <v>1</v>
      </c>
      <c r="H111" s="21" t="s">
        <v>901</v>
      </c>
      <c r="I111" s="13">
        <v>42832.693055555559</v>
      </c>
      <c r="J111" s="7">
        <v>0</v>
      </c>
      <c r="K111" s="97" t="str">
        <f t="shared" si="29"/>
        <v>4031/4032</v>
      </c>
      <c r="L111" s="21" t="str">
        <f>VLOOKUP(A111,'Trips&amp;Operators'!$C$1:$G$99999,5,FALSE)</f>
        <v>STRICKLAND EVAN</v>
      </c>
      <c r="M111" s="6">
        <f t="shared" si="30"/>
        <v>2.6076388894580305E-2</v>
      </c>
      <c r="N111" s="7">
        <f t="shared" si="51"/>
        <v>37.550000008195639</v>
      </c>
      <c r="O111" s="7"/>
      <c r="P111" s="7"/>
      <c r="Q111" s="22"/>
      <c r="R111" s="22"/>
      <c r="S111" s="31">
        <f t="shared" si="32"/>
        <v>1</v>
      </c>
      <c r="T111" s="46" t="str">
        <f t="shared" si="33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4"/>
        <v>https://d0f6bd738d7f1b3e5a7ca70fe4ff75f0.us-east-1.aws.found.io/app/kibana#/discover/Steve-Slow-Train-Analysis-(2080s-and-2083s)?_g=(refreshInterval:(display:Off,pause:!f,section:0,value:0),time:(from:'2017-04-07T14:53:36-0600',mode:absolute,to:'2017-04-07T17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1" s="183" t="str">
        <f t="shared" si="35"/>
        <v>N</v>
      </c>
      <c r="X111" s="183">
        <f t="shared" si="49"/>
        <v>1</v>
      </c>
      <c r="Y111" s="62">
        <f t="shared" si="50"/>
        <v>4.6199999999999998E-2</v>
      </c>
      <c r="Z111" s="62">
        <f t="shared" si="48"/>
        <v>23.336400000000001</v>
      </c>
      <c r="AA111" s="62">
        <f t="shared" si="37"/>
        <v>23.290200000000002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8"/>
        <v>0199-07</v>
      </c>
      <c r="AE111" s="85" t="str">
        <f t="shared" si="39"/>
        <v>aws s3 cp s3://rtdc.mdm.uploadarchive.raw/RTDC4032/ "%USERPROFILE%\AppData\Local\Temp\OnboardLogs"\RTDC4032\2017-04-07 --exclude "*" --recursive --include "*20170407*" &amp; "%USERPROFILE%\Documents\GitHub\mrs-test-scripts\Headless Mode &amp; Sideloading\WalkAndUnGZ.bat" "%USERPROFILE%\AppData\Local\Temp\OnboardLogs"\RTDC4032\2017-04-07 &amp; aws s3 cp s3://rtdc.mdm.uploadarchive.raw/RTDC4032/ "%USERPROFILE%\AppData\Local\Temp\OnboardLogs"\RTDC4032\2017-04-08 --exclude "*" --recursive --include "*20170408*" &amp; "%USERPROFILE%\Documents\GitHub\mrs-test-scripts\Headless Mode &amp; Sideloading\WalkAndUnGZ.bat" "%USERPROFILE%\AppData\Local\Temp\OnboardLogs"\RTDC4032\2017-04-08</v>
      </c>
      <c r="AF111" s="82" t="str">
        <f t="shared" si="40"/>
        <v>"C:\Program Files (x86)\AstroGrep\AstroGrep.exe" /e /r /s /spath="%USERPROFILE%\AppData\Local\Temp\OnboardLogs" /stypes="app*4032*20170407*" /stext=" 22:.+((SYSTEM_STATE.+slice.+state.+changed )|(ment ac)|(multiple cpu faults)|(system.+state.+changed )|(\[timeout)|(PRM\|1\|D)|(kpr)|(kdp)|(\|lc)|(penalty))"</v>
      </c>
      <c r="AG111" s="1" t="str">
        <f t="shared" si="41"/>
        <v>EC</v>
      </c>
      <c r="AH111" s="86" t="str">
        <f t="shared" si="42"/>
        <v>"%USERPROFILE%\Documents\GitHub\eaglep3\Utilities\RefineRTDCRunTimes.py" --tripid 199-07 --locoid 4032 --swversion DE.1.0.9.0 --startMP 204:462 --initTime 2017-04-07T15:53:36 --startdatetime 2017-04-07T16:00:27 --delay 1 --endMP 204:233364 --enddatetime 2017-04-07T16:38:00 --enforcementcount 0 &gt;&gt;C:\Users\stu\Documents\GitHub\eaglep3-reporting\EC\2017-04-07-refined-times.txt</v>
      </c>
      <c r="AI111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{"issue":{"subject":"","project_id":79,"tracker_id":40,"status_id":1,"priority_id":2,"assigned_to_id":23,"start_date":"2017-04-07","description":"","custom_fields":[{"id":1,"name":"Subdivision","value":"EC"},{"id":4,"name":"Milepost","value":"23.3364"},{"id":17,"name":"Train ID","value":"199-07"},{"id":16,"name":"Locomotive ID","value":"4032"},{"id":130,"name":"Impact","value":""},{"id":150,"name":"Time of Event (Mountain Time)","value":"16:38:00"},{"id":151,"name":"Denver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44"/>
        <v>start /low /b %USERPROFILE%\Documents\GitHub\eaglep3\Utilities\DownloadLogsFromS3.py --loco 4032 --day 2017-04-07</v>
      </c>
      <c r="AN111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22:38:00"},{"id":29,"name":"Sharepoint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644</v>
      </c>
      <c r="B112" s="7">
        <v>4031</v>
      </c>
      <c r="C112" s="21" t="s">
        <v>216</v>
      </c>
      <c r="D112" s="21" t="s">
        <v>893</v>
      </c>
      <c r="E112" s="13">
        <v>42832.694224537037</v>
      </c>
      <c r="F112" s="13">
        <v>42832.705821759257</v>
      </c>
      <c r="G112" s="7">
        <v>1</v>
      </c>
      <c r="H112" s="21" t="s">
        <v>213</v>
      </c>
      <c r="I112" s="13">
        <v>42832.733715277776</v>
      </c>
      <c r="J112" s="7">
        <v>0</v>
      </c>
      <c r="K112" s="97" t="str">
        <f t="shared" si="29"/>
        <v>4031/4032</v>
      </c>
      <c r="L112" s="21" t="str">
        <f>VLOOKUP(A112,'Trips&amp;Operators'!$C$1:$G$99999,5,FALSE)</f>
        <v>STRICKLAND EVAN</v>
      </c>
      <c r="M112" s="6">
        <f t="shared" si="30"/>
        <v>2.789351851970423E-2</v>
      </c>
      <c r="N112" s="7">
        <f t="shared" si="51"/>
        <v>40.166666668374091</v>
      </c>
      <c r="O112" s="7"/>
      <c r="P112" s="7"/>
      <c r="Q112" s="22"/>
      <c r="R112" s="22"/>
      <c r="S112" s="31">
        <f t="shared" si="32"/>
        <v>1</v>
      </c>
      <c r="T112" s="46" t="str">
        <f t="shared" si="33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4"/>
        <v>https://d0f6bd738d7f1b3e5a7ca70fe4ff75f0.us-east-1.aws.found.io/app/kibana#/discover/Steve-Slow-Train-Analysis-(2080s-and-2083s)?_g=(refreshInterval:(display:Off,pause:!f,section:0,value:0),time:(from:'2017-04-07T15:39:41-0600',mode:absolute,to:'2017-04-07T18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2" s="183" t="str">
        <f t="shared" si="35"/>
        <v>N</v>
      </c>
      <c r="X112" s="183">
        <f t="shared" si="49"/>
        <v>1</v>
      </c>
      <c r="Y112" s="62">
        <f t="shared" si="50"/>
        <v>23.303000000000001</v>
      </c>
      <c r="Z112" s="62">
        <f t="shared" si="48"/>
        <v>1.47E-2</v>
      </c>
      <c r="AA112" s="62">
        <f t="shared" si="37"/>
        <v>23.2883</v>
      </c>
      <c r="AB112" s="59" t="str">
        <f>VLOOKUP(A112,Enforcements!$C$7:$K$13,8,0)</f>
        <v>Bulletin (2)</v>
      </c>
      <c r="AC112" s="55" t="str">
        <f>VLOOKUP(A112,Enforcements!$C$7:$E$13,3,0)</f>
        <v>GRADE CROSSING</v>
      </c>
      <c r="AD112" s="56" t="str">
        <f t="shared" si="38"/>
        <v>0200-07</v>
      </c>
      <c r="AE112" s="85" t="str">
        <f t="shared" si="39"/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AF112" s="82" t="str">
        <f t="shared" si="40"/>
        <v>"C:\Program Files (x86)\AstroGrep\AstroGrep.exe" /e /r /s /spath="%USERPROFILE%\AppData\Local\Temp\OnboardLogs" /stypes="app*4031*20170407*" /stext=" 23:.+((SYSTEM_STATE.+slice.+state.+changed )|(ment ac)|(multiple cpu faults)|(system.+state.+changed )|(\[timeout)|(PRM\|1\|D)|(kpr)|(kdp)|(\|lc)|(penalty))"</v>
      </c>
      <c r="AG112" s="1" t="str">
        <f t="shared" si="41"/>
        <v>EC</v>
      </c>
      <c r="AH112" s="86" t="str">
        <f t="shared" si="42"/>
        <v>"%USERPROFILE%\Documents\GitHub\eaglep3\Utilities\RefineRTDCRunTimes.py" --tripid 200-07 --locoid 4031 --swversion DE.1.0.9.0 --startMP 204:233030 --initTime 2017-04-07T16:39:41 --startdatetime 2017-04-07T16:56:23 --delay 1 --endMP 204:147 --enddatetime 2017-04-07T17:36:33 --enforcementcount 0 &gt;&gt;C:\Users\stu\Documents\GitHub\eaglep3-reporting\EC\2017-04-07-refined-times.txt</v>
      </c>
      <c r="AI112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{"issue":{"subject":"","project_id":79,"tracker_id":40,"status_id":1,"priority_id":2,"assigned_to_id":23,"start_date":"2017-04-07","description":"","custom_fields":[{"id":1,"name":"Subdivision","value":"EC"},{"id":4,"name":"Milepost","value":"0.0147"},{"id":17,"name":"Train ID","value":"200-07"},{"id":16,"name":"Locomotive ID","value":"4031"},{"id":130,"name":"Impact","value":""},{"id":150,"name":"Time of Event (Mountain Time)","value":"17:36:33"},{"id":151,"name":"Denver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4"/>
        <v>start /low /b %USERPROFILE%\Documents\GitHub\eaglep3\Utilities\DownloadLogsFromS3.py --loco 4031 --day 2017-04-07</v>
      </c>
      <c r="AN112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23:36:33"},{"id":29,"name":"Sharepoint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785</v>
      </c>
      <c r="B113" s="7">
        <v>4014</v>
      </c>
      <c r="C113" s="21" t="s">
        <v>216</v>
      </c>
      <c r="D113" s="21" t="s">
        <v>210</v>
      </c>
      <c r="E113" s="13">
        <v>42832.675995370373</v>
      </c>
      <c r="F113" s="13">
        <v>42832.677824074075</v>
      </c>
      <c r="G113" s="7">
        <v>2</v>
      </c>
      <c r="H113" s="21" t="s">
        <v>422</v>
      </c>
      <c r="I113" s="13">
        <v>42832.702824074076</v>
      </c>
      <c r="J113" s="7">
        <v>0</v>
      </c>
      <c r="K113" s="97" t="str">
        <f t="shared" si="29"/>
        <v>4013/4014</v>
      </c>
      <c r="L113" s="21" t="str">
        <f>VLOOKUP(A113,'Trips&amp;Operators'!$C$1:$G$99999,5,FALSE)</f>
        <v>STEWART MICHAEL</v>
      </c>
      <c r="M113" s="6">
        <f t="shared" si="30"/>
        <v>2.5000000001455192E-2</v>
      </c>
      <c r="N113" s="7">
        <f t="shared" si="51"/>
        <v>36.000000002095476</v>
      </c>
      <c r="O113" s="7"/>
      <c r="P113" s="7"/>
      <c r="Q113" s="22"/>
      <c r="R113" s="22"/>
      <c r="S113" s="31">
        <f t="shared" si="32"/>
        <v>1</v>
      </c>
      <c r="T113" s="46" t="str">
        <f t="shared" si="33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4"/>
        <v>https://d0f6bd738d7f1b3e5a7ca70fe4ff75f0.us-east-1.aws.found.io/app/kibana#/discover/Steve-Slow-Train-Analysis-(2080s-and-2083s)?_g=(refreshInterval:(display:Off,pause:!f,section:0,value:0),time:(from:'2017-04-07T15:13:26-0600',mode:absolute,to:'2017-04-07T17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3" s="183" t="str">
        <f t="shared" si="35"/>
        <v>N</v>
      </c>
      <c r="X113" s="183">
        <f t="shared" si="49"/>
        <v>1</v>
      </c>
      <c r="Y113" s="62">
        <f t="shared" si="50"/>
        <v>4.53E-2</v>
      </c>
      <c r="Z113" s="62">
        <f t="shared" si="48"/>
        <v>23.3308</v>
      </c>
      <c r="AA113" s="62">
        <f t="shared" si="37"/>
        <v>23.285499999999999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8"/>
        <v>0201-07</v>
      </c>
      <c r="AE113" s="85" t="str">
        <f t="shared" si="39"/>
        <v>aws s3 cp s3://rtdc.mdm.uploadarchive.raw/RTDC4014/ "%USERPROFILE%\AppData\Local\Temp\OnboardLogs"\RTDC4014\2017-04-07 --exclude "*" --recursive --include "*20170407*" &amp; "%USERPROFILE%\Documents\GitHub\mrs-test-scripts\Headless Mode &amp; Sideloading\WalkAndUnGZ.bat" "%USERPROFILE%\AppData\Local\Temp\OnboardLogs"\RTDC4014\2017-04-07 &amp; 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</v>
      </c>
      <c r="AF113" s="82" t="str">
        <f t="shared" si="40"/>
        <v>"C:\Program Files (x86)\AstroGrep\AstroGrep.exe" /e /r /s /spath="%USERPROFILE%\AppData\Local\Temp\OnboardLogs" /stypes="app*4014*20170407*" /stext=" 22:.+((SYSTEM_STATE.+slice.+state.+changed )|(ment ac)|(multiple cpu faults)|(system.+state.+changed )|(\[timeout)|(PRM\|1\|D)|(kpr)|(kdp)|(\|lc)|(penalty))"</v>
      </c>
      <c r="AG113" s="1" t="str">
        <f t="shared" si="41"/>
        <v>EC</v>
      </c>
      <c r="AH113" s="86" t="str">
        <f t="shared" si="42"/>
        <v>"%USERPROFILE%\Documents\GitHub\eaglep3\Utilities\RefineRTDCRunTimes.py" --tripid 201-07 --locoid 4014 --swversion DE.1.0.9.0 --startMP 204:453 --initTime 2017-04-07T16:13:26 --startdatetime 2017-04-07T16:16:04 --delay 2 --endMP 204:233308 --enddatetime 2017-04-07T16:52:04 --enforcementcount 0 &gt;&gt;C:\Users\stu\Documents\GitHub\eaglep3-reporting\EC\2017-04-07-refined-times.txt</v>
      </c>
      <c r="AI113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{"issue":{"subject":"","project_id":79,"tracker_id":40,"status_id":1,"priority_id":2,"assigned_to_id":23,"start_date":"2017-04-07","description":"","custom_fields":[{"id":1,"name":"Subdivision","value":"EC"},{"id":4,"name":"Milepost","value":"23.3308"},{"id":17,"name":"Train ID","value":"201-07"},{"id":16,"name":"Locomotive ID","value":"4014"},{"id":130,"name":"Impact","value":""},{"id":150,"name":"Time of Event (Mountain Time)","value":"16:52:04"},{"id":151,"name":"Denver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44"/>
        <v>start /low /b %USERPROFILE%\Documents\GitHub\eaglep3\Utilities\DownloadLogsFromS3.py --loco 4014 --day 2017-04-07</v>
      </c>
      <c r="AN113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22:52:04"},{"id":29,"name":"Sharepoint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792</v>
      </c>
      <c r="B114" s="7">
        <v>4013</v>
      </c>
      <c r="C114" s="21" t="s">
        <v>216</v>
      </c>
      <c r="D114" s="21" t="s">
        <v>529</v>
      </c>
      <c r="E114" s="13">
        <v>42832.712488425925</v>
      </c>
      <c r="F114" s="13">
        <v>42832.71634259259</v>
      </c>
      <c r="G114" s="7">
        <v>1</v>
      </c>
      <c r="H114" s="21" t="s">
        <v>184</v>
      </c>
      <c r="I114" s="13">
        <v>42832.743946759256</v>
      </c>
      <c r="J114" s="7">
        <v>0</v>
      </c>
      <c r="K114" s="97" t="str">
        <f t="shared" si="29"/>
        <v>4013/4014</v>
      </c>
      <c r="L114" s="21" t="str">
        <f>VLOOKUP(A114,'Trips&amp;Operators'!$C$1:$G$99999,5,FALSE)</f>
        <v>STEWART MICHAEL</v>
      </c>
      <c r="M114" s="6">
        <f t="shared" si="30"/>
        <v>2.7604166665696539E-2</v>
      </c>
      <c r="N114" s="7">
        <f t="shared" si="51"/>
        <v>39.749999998603016</v>
      </c>
      <c r="O114" s="7"/>
      <c r="P114" s="7"/>
      <c r="Q114" s="22"/>
      <c r="R114" s="22"/>
      <c r="S114" s="31">
        <f t="shared" si="32"/>
        <v>1</v>
      </c>
      <c r="T114" s="46" t="str">
        <f t="shared" si="33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4"/>
        <v>https://d0f6bd738d7f1b3e5a7ca70fe4ff75f0.us-east-1.aws.found.io/app/kibana#/discover/Steve-Slow-Train-Analysis-(2080s-and-2083s)?_g=(refreshInterval:(display:Off,pause:!f,section:0,value:0),time:(from:'2017-04-07T16:05:59-0600',mode:absolute,to:'2017-04-07T18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4" s="183" t="str">
        <f t="shared" si="35"/>
        <v>N</v>
      </c>
      <c r="X114" s="183">
        <f t="shared" si="49"/>
        <v>1</v>
      </c>
      <c r="Y114" s="62">
        <f t="shared" si="50"/>
        <v>23.298300000000001</v>
      </c>
      <c r="Z114" s="62">
        <f t="shared" si="48"/>
        <v>1.49E-2</v>
      </c>
      <c r="AA114" s="62">
        <f t="shared" si="37"/>
        <v>23.2834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8"/>
        <v>0202-07</v>
      </c>
      <c r="AE114" s="85" t="str">
        <f t="shared" si="39"/>
        <v>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 &amp; 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</v>
      </c>
      <c r="AF114" s="82" t="str">
        <f t="shared" si="40"/>
        <v>"C:\Program Files (x86)\AstroGrep\AstroGrep.exe" /e /r /s /spath="%USERPROFILE%\AppData\Local\Temp\OnboardLogs" /stypes="app*4013*20170407*" /stext=" 23:.+((SYSTEM_STATE.+slice.+state.+changed )|(ment ac)|(multiple cpu faults)|(system.+state.+changed )|(\[timeout)|(PRM\|1\|D)|(kpr)|(kdp)|(\|lc)|(penalty))"</v>
      </c>
      <c r="AG114" s="1" t="str">
        <f t="shared" si="41"/>
        <v>EC</v>
      </c>
      <c r="AH114" s="86" t="str">
        <f t="shared" si="42"/>
        <v>"%USERPROFILE%\Documents\GitHub\eaglep3\Utilities\RefineRTDCRunTimes.py" --tripid 202-07 --locoid 4013 --swversion DE.1.0.9.0 --startMP 204:232983 --initTime 2017-04-07T17:05:59 --startdatetime 2017-04-07T17:11:32 --delay 1 --endMP 204:149 --enddatetime 2017-04-07T17:51:17 --enforcementcount 0 &gt;&gt;C:\Users\stu\Documents\GitHub\eaglep3-reporting\EC\2017-04-07-refined-times.txt</v>
      </c>
      <c r="AI114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{"issue":{"subject":"","project_id":79,"tracker_id":40,"status_id":1,"priority_id":2,"assigned_to_id":23,"start_date":"2017-04-07","description":"","custom_fields":[{"id":1,"name":"Subdivision","value":"EC"},{"id":4,"name":"Milepost","value":"0.0149"},{"id":17,"name":"Train ID","value":"202-07"},{"id":16,"name":"Locomotive ID","value":"4013"},{"id":130,"name":"Impact","value":""},{"id":150,"name":"Time of Event (Mountain Time)","value":"17:51:17"},{"id":151,"name":"Denver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4"/>
        <v>start /low /b %USERPROFILE%\Documents\GitHub\eaglep3\Utilities\DownloadLogsFromS3.py --loco 4013 --day 2017-04-07</v>
      </c>
      <c r="AN114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23:51:17"},{"id":29,"name":"Sharepoint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786</v>
      </c>
      <c r="B115" s="7">
        <v>4026</v>
      </c>
      <c r="C115" s="21" t="s">
        <v>216</v>
      </c>
      <c r="D115" s="21" t="s">
        <v>211</v>
      </c>
      <c r="E115" s="13">
        <v>42832.682708333334</v>
      </c>
      <c r="F115" s="13">
        <v>42832.687650462962</v>
      </c>
      <c r="G115" s="7">
        <v>1</v>
      </c>
      <c r="H115" s="21" t="s">
        <v>902</v>
      </c>
      <c r="I115" s="13">
        <v>42832.712488425925</v>
      </c>
      <c r="J115" s="7">
        <v>0</v>
      </c>
      <c r="K115" s="97" t="str">
        <f t="shared" si="29"/>
        <v>4025/4026</v>
      </c>
      <c r="L115" s="21" t="str">
        <f>VLOOKUP(A115,'Trips&amp;Operators'!$C$1:$G$99999,5,FALSE)</f>
        <v>ROMERO CHAD</v>
      </c>
      <c r="M115" s="6">
        <f t="shared" si="30"/>
        <v>2.4837962962919846E-2</v>
      </c>
      <c r="N115" s="7">
        <f t="shared" si="51"/>
        <v>35.766666666604578</v>
      </c>
      <c r="O115" s="7"/>
      <c r="P115" s="7"/>
      <c r="Q115" s="22"/>
      <c r="R115" s="22"/>
      <c r="S115" s="31">
        <f t="shared" si="32"/>
        <v>1</v>
      </c>
      <c r="T115" s="46" t="str">
        <f t="shared" si="33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4"/>
        <v>https://d0f6bd738d7f1b3e5a7ca70fe4ff75f0.us-east-1.aws.found.io/app/kibana#/discover/Steve-Slow-Train-Analysis-(2080s-and-2083s)?_g=(refreshInterval:(display:Off,pause:!f,section:0,value:0),time:(from:'2017-04-07T15:23:06-0600',mode:absolute,to:'2017-04-07T18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5" s="183" t="str">
        <f t="shared" si="35"/>
        <v>N</v>
      </c>
      <c r="X115" s="183">
        <f t="shared" si="49"/>
        <v>1</v>
      </c>
      <c r="Y115" s="62">
        <f t="shared" si="50"/>
        <v>4.5499999999999999E-2</v>
      </c>
      <c r="Z115" s="62">
        <f t="shared" si="48"/>
        <v>23.337800000000001</v>
      </c>
      <c r="AA115" s="62">
        <f t="shared" si="37"/>
        <v>23.292300000000001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8"/>
        <v>0203-07</v>
      </c>
      <c r="AE115" s="85" t="str">
        <f t="shared" si="39"/>
        <v>aws s3 cp s3://rtdc.mdm.uploadarchive.raw/RTDC4026/ "%USERPROFILE%\AppData\Local\Temp\OnboardLogs"\RTDC4026\2017-04-07 --exclude "*" --recursive --include "*20170407*" &amp; "%USERPROFILE%\Documents\GitHub\mrs-test-scripts\Headless Mode &amp; Sideloading\WalkAndUnGZ.bat" "%USERPROFILE%\AppData\Local\Temp\OnboardLogs"\RTDC4026\2017-04-07 &amp; aws s3 cp s3://rtdc.mdm.uploadarchive.raw/RTDC4026/ "%USERPROFILE%\AppData\Local\Temp\OnboardLogs"\RTDC4026\2017-04-08 --exclude "*" --recursive --include "*20170408*" &amp; "%USERPROFILE%\Documents\GitHub\mrs-test-scripts\Headless Mode &amp; Sideloading\WalkAndUnGZ.bat" "%USERPROFILE%\AppData\Local\Temp\OnboardLogs"\RTDC4026\2017-04-08</v>
      </c>
      <c r="AF115" s="82" t="str">
        <f t="shared" si="40"/>
        <v>"C:\Program Files (x86)\AstroGrep\AstroGrep.exe" /e /r /s /spath="%USERPROFILE%\AppData\Local\Temp\OnboardLogs" /stypes="app*4026*20170407*" /stext=" 23:.+((SYSTEM_STATE.+slice.+state.+changed )|(ment ac)|(multiple cpu faults)|(system.+state.+changed )|(\[timeout)|(PRM\|1\|D)|(kpr)|(kdp)|(\|lc)|(penalty))"</v>
      </c>
      <c r="AG115" s="1" t="str">
        <f t="shared" si="41"/>
        <v>EC</v>
      </c>
      <c r="AH115" s="86" t="str">
        <f t="shared" si="42"/>
        <v>"%USERPROFILE%\Documents\GitHub\eaglep3\Utilities\RefineRTDCRunTimes.py" --tripid 203-07 --locoid 4026 --swversion DE.1.0.9.0 --startMP 204:455 --initTime 2017-04-07T16:23:06 --startdatetime 2017-04-07T16:30:13 --delay 1 --endMP 204:233378 --enddatetime 2017-04-07T17:05:59 --enforcementcount 0 &gt;&gt;C:\Users\stu\Documents\GitHub\eaglep3-reporting\EC\2017-04-07-refined-times.txt</v>
      </c>
      <c r="AI115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{"issue":{"subject":"","project_id":79,"tracker_id":40,"status_id":1,"priority_id":2,"assigned_to_id":23,"start_date":"2017-04-07","description":"","custom_fields":[{"id":1,"name":"Subdivision","value":"EC"},{"id":4,"name":"Milepost","value":"23.3378"},{"id":17,"name":"Train ID","value":"203-07"},{"id":16,"name":"Locomotive ID","value":"4026"},{"id":130,"name":"Impact","value":""},{"id":150,"name":"Time of Event (Mountain Time)","value":"17:05:59"},{"id":151,"name":"Denver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4"/>
        <v>start /low /b %USERPROFILE%\Documents\GitHub\eaglep3\Utilities\DownloadLogsFromS3.py --loco 4026 --day 2017-04-07</v>
      </c>
      <c r="AN115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23:05:59"},{"id":29,"name":"Sharepoint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795</v>
      </c>
      <c r="B116" s="7">
        <v>4025</v>
      </c>
      <c r="C116" s="21" t="s">
        <v>216</v>
      </c>
      <c r="D116" s="21" t="s">
        <v>594</v>
      </c>
      <c r="E116" s="13">
        <v>42832.718449074076</v>
      </c>
      <c r="F116" s="13">
        <v>42832.726550925923</v>
      </c>
      <c r="G116" s="7">
        <v>1</v>
      </c>
      <c r="H116" s="21" t="s">
        <v>409</v>
      </c>
      <c r="I116" s="13">
        <v>42832.752210648148</v>
      </c>
      <c r="J116" s="7">
        <v>0</v>
      </c>
      <c r="K116" s="97" t="str">
        <f t="shared" si="29"/>
        <v>4025/4026</v>
      </c>
      <c r="L116" s="21" t="str">
        <f>VLOOKUP(A116,'Trips&amp;Operators'!$C$1:$G$99999,5,FALSE)</f>
        <v>ROMERO CHAD</v>
      </c>
      <c r="M116" s="6">
        <f t="shared" si="30"/>
        <v>2.5659722225100268E-2</v>
      </c>
      <c r="N116" s="7">
        <f t="shared" si="51"/>
        <v>36.950000004144385</v>
      </c>
      <c r="O116" s="7"/>
      <c r="P116" s="7"/>
      <c r="Q116" s="22"/>
      <c r="R116" s="22"/>
      <c r="S116" s="31">
        <f t="shared" si="32"/>
        <v>1</v>
      </c>
      <c r="T116" s="46" t="str">
        <f t="shared" si="33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4"/>
        <v>https://d0f6bd738d7f1b3e5a7ca70fe4ff75f0.us-east-1.aws.found.io/app/kibana#/discover/Steve-Slow-Train-Analysis-(2080s-and-2083s)?_g=(refreshInterval:(display:Off,pause:!f,section:0,value:0),time:(from:'2017-04-07T16:14:34-0600',mode:absolute,to:'2017-04-07T19:03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6" s="183" t="str">
        <f t="shared" si="35"/>
        <v>N</v>
      </c>
      <c r="X116" s="183">
        <f t="shared" si="49"/>
        <v>1</v>
      </c>
      <c r="Y116" s="62">
        <f t="shared" si="50"/>
        <v>23.307099999999998</v>
      </c>
      <c r="Z116" s="62">
        <f t="shared" si="48"/>
        <v>1.41E-2</v>
      </c>
      <c r="AA116" s="62">
        <f t="shared" si="37"/>
        <v>23.292999999999999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8"/>
        <v>0204-07</v>
      </c>
      <c r="AE116" s="85" t="str">
        <f t="shared" si="39"/>
        <v>aws s3 cp s3://rtdc.mdm.uploadarchive.raw/RTDC4025/ "%USERPROFILE%\AppData\Local\Temp\OnboardLogs"\RTDC4025\2017-04-07 --exclude "*" --recursive --include "*20170407*" &amp; "%USERPROFILE%\Documents\GitHub\mrs-test-scripts\Headless Mode &amp; Sideloading\WalkAndUnGZ.bat" "%USERPROFILE%\AppData\Local\Temp\OnboardLogs"\RTDC4025\2017-04-07 &amp; aws s3 cp s3://rtdc.mdm.uploadarchive.raw/RTDC4025/ "%USERPROFILE%\AppData\Local\Temp\OnboardLogs"\RTDC4025\2017-04-08 --exclude "*" --recursive --include "*20170408*" &amp; "%USERPROFILE%\Documents\GitHub\mrs-test-scripts\Headless Mode &amp; Sideloading\WalkAndUnGZ.bat" "%USERPROFILE%\AppData\Local\Temp\OnboardLogs"\RTDC4025\2017-04-08</v>
      </c>
      <c r="AF116" s="82" t="str">
        <f t="shared" si="40"/>
        <v>"C:\Program Files (x86)\AstroGrep\AstroGrep.exe" /e /r /s /spath="%USERPROFILE%\AppData\Local\Temp\OnboardLogs" /stypes="app*4025*20170408*" /stext=" 00:.+((SYSTEM_STATE.+slice.+state.+changed )|(ment ac)|(multiple cpu faults)|(system.+state.+changed )|(\[timeout)|(PRM\|1\|D)|(kpr)|(kdp)|(\|lc)|(penalty))"</v>
      </c>
      <c r="AG116" s="1" t="str">
        <f t="shared" si="41"/>
        <v>EC</v>
      </c>
      <c r="AH116" s="86" t="str">
        <f t="shared" si="42"/>
        <v>"%USERPROFILE%\Documents\GitHub\eaglep3\Utilities\RefineRTDCRunTimes.py" --tripid 204-07 --locoid 4025 --swversion DE.1.0.9.0 --startMP 204:233071 --initTime 2017-04-07T17:14:34 --startdatetime 2017-04-07T17:26:14 --delay 1 --endMP 204:141 --enddatetime 2017-04-07T18:03:11 --enforcementcount 0 &gt;&gt;C:\Users\stu\Documents\GitHub\eaglep3-reporting\EC\2017-04-07-refined-times.txt</v>
      </c>
      <c r="AI116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{"issue":{"subject":"","project_id":79,"tracker_id":40,"status_id":1,"priority_id":2,"assigned_to_id":23,"start_date":"2017-04-07","description":"","custom_fields":[{"id":1,"name":"Subdivision","value":"EC"},{"id":4,"name":"Milepost","value":"0.0141"},{"id":17,"name":"Train ID","value":"204-07"},{"id":16,"name":"Locomotive ID","value":"4025"},{"id":130,"name":"Impact","value":""},{"id":150,"name":"Time of Event (Mountain Time)","value":"18:03:11"},{"id":151,"name":"Denver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4"/>
        <v>start /low /b %USERPROFILE%\Documents\GitHub\eaglep3\Utilities\DownloadLogsFromS3.py --loco 4025 --day 2017-04-07</v>
      </c>
      <c r="AN116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00:03:11"},{"id":29,"name":"Sharepoint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790</v>
      </c>
      <c r="B117" s="7">
        <v>4010</v>
      </c>
      <c r="C117" s="21" t="s">
        <v>216</v>
      </c>
      <c r="D117" s="21" t="s">
        <v>589</v>
      </c>
      <c r="E117" s="13">
        <v>42832.693333333336</v>
      </c>
      <c r="F117" s="13">
        <v>42832.69809027778</v>
      </c>
      <c r="G117" s="7">
        <v>1</v>
      </c>
      <c r="H117" s="21" t="s">
        <v>599</v>
      </c>
      <c r="I117" s="13">
        <v>42832.724444444444</v>
      </c>
      <c r="J117" s="7">
        <v>0</v>
      </c>
      <c r="K117" s="97" t="str">
        <f t="shared" si="29"/>
        <v>4009/4010</v>
      </c>
      <c r="L117" s="21" t="str">
        <f>VLOOKUP(A117,'Trips&amp;Operators'!$C$1:$G$99999,5,FALSE)</f>
        <v>CLARK KATHLEEN</v>
      </c>
      <c r="M117" s="6">
        <f t="shared" si="30"/>
        <v>2.6354166664532386E-2</v>
      </c>
      <c r="N117" s="7">
        <f t="shared" si="51"/>
        <v>37.949999996926636</v>
      </c>
      <c r="O117" s="7"/>
      <c r="P117" s="7"/>
      <c r="Q117" s="22"/>
      <c r="R117" s="22"/>
      <c r="S117" s="31">
        <f t="shared" si="32"/>
        <v>1</v>
      </c>
      <c r="T117" s="46" t="str">
        <f t="shared" si="33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4"/>
        <v>https://d0f6bd738d7f1b3e5a7ca70fe4ff75f0.us-east-1.aws.found.io/app/kibana#/discover/Steve-Slow-Train-Analysis-(2080s-and-2083s)?_g=(refreshInterval:(display:Off,pause:!f,section:0,value:0),time:(from:'2017-04-07T15:38:24-0600',mode:absolute,to:'2017-04-07T18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7" s="183" t="str">
        <f t="shared" si="35"/>
        <v>N</v>
      </c>
      <c r="X117" s="183">
        <f t="shared" si="49"/>
        <v>1</v>
      </c>
      <c r="Y117" s="62">
        <f t="shared" si="50"/>
        <v>4.8599999999999997E-2</v>
      </c>
      <c r="Z117" s="62">
        <f t="shared" si="48"/>
        <v>23.328299999999999</v>
      </c>
      <c r="AA117" s="62">
        <f t="shared" si="37"/>
        <v>23.279699999999998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8"/>
        <v>0205-07</v>
      </c>
      <c r="AE117" s="85" t="str">
        <f t="shared" si="39"/>
        <v>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 &amp; 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</v>
      </c>
      <c r="AF117" s="82" t="str">
        <f t="shared" si="40"/>
        <v>"C:\Program Files (x86)\AstroGrep\AstroGrep.exe" /e /r /s /spath="%USERPROFILE%\AppData\Local\Temp\OnboardLogs" /stypes="app*4010*20170407*" /stext=" 23:.+((SYSTEM_STATE.+slice.+state.+changed )|(ment ac)|(multiple cpu faults)|(system.+state.+changed )|(\[timeout)|(PRM\|1\|D)|(kpr)|(kdp)|(\|lc)|(penalty))"</v>
      </c>
      <c r="AG117" s="1" t="str">
        <f t="shared" si="41"/>
        <v>EC</v>
      </c>
      <c r="AH117" s="86" t="str">
        <f t="shared" si="42"/>
        <v>"%USERPROFILE%\Documents\GitHub\eaglep3\Utilities\RefineRTDCRunTimes.py" --tripid 205-07 --locoid 4010 --swversion DE.1.0.9.0 --startMP 204:486 --initTime 2017-04-07T16:38:24 --startdatetime 2017-04-07T16:45:15 --delay 1 --endMP 204:233283 --enddatetime 2017-04-07T17:23:12 --enforcementcount 0 &gt;&gt;C:\Users\stu\Documents\GitHub\eaglep3-reporting\EC\2017-04-07-refined-times.txt</v>
      </c>
      <c r="AI117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{"issue":{"subject":"","project_id":79,"tracker_id":40,"status_id":1,"priority_id":2,"assigned_to_id":23,"start_date":"2017-04-07","description":"","custom_fields":[{"id":1,"name":"Subdivision","value":"EC"},{"id":4,"name":"Milepost","value":"23.3283"},{"id":17,"name":"Train ID","value":"205-07"},{"id":16,"name":"Locomotive ID","value":"4010"},{"id":130,"name":"Impact","value":""},{"id":150,"name":"Time of Event (Mountain Time)","value":"17:23:12"},{"id":151,"name":"Denver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4"/>
        <v>start /low /b %USERPROFILE%\Documents\GitHub\eaglep3\Utilities\DownloadLogsFromS3.py --loco 4010 --day 2017-04-07</v>
      </c>
      <c r="AN117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23:23:12"},{"id":29,"name":"Sharepoint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797</v>
      </c>
      <c r="B118" s="7">
        <v>4009</v>
      </c>
      <c r="C118" s="21" t="s">
        <v>216</v>
      </c>
      <c r="D118" s="21" t="s">
        <v>591</v>
      </c>
      <c r="E118" s="13">
        <v>42832.731712962966</v>
      </c>
      <c r="F118" s="13">
        <v>42832.736990740741</v>
      </c>
      <c r="G118" s="7">
        <v>1</v>
      </c>
      <c r="H118" s="21" t="s">
        <v>903</v>
      </c>
      <c r="I118" s="13">
        <v>42832.764317129629</v>
      </c>
      <c r="J118" s="7">
        <v>0</v>
      </c>
      <c r="K118" s="97" t="str">
        <f t="shared" si="29"/>
        <v>4009/4010</v>
      </c>
      <c r="L118" s="21" t="str">
        <f>VLOOKUP(A118,'Trips&amp;Operators'!$C$1:$G$99999,5,FALSE)</f>
        <v>CLARK KATHLEEN</v>
      </c>
      <c r="M118" s="6">
        <f t="shared" si="30"/>
        <v>2.73263888884685E-2</v>
      </c>
      <c r="N118" s="7">
        <f t="shared" si="51"/>
        <v>39.34999999939464</v>
      </c>
      <c r="O118" s="7"/>
      <c r="P118" s="7"/>
      <c r="Q118" s="22"/>
      <c r="R118" s="22"/>
      <c r="S118" s="31">
        <f t="shared" si="32"/>
        <v>1</v>
      </c>
      <c r="T118" s="46" t="str">
        <f t="shared" si="33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4"/>
        <v>https://d0f6bd738d7f1b3e5a7ca70fe4ff75f0.us-east-1.aws.found.io/app/kibana#/discover/Steve-Slow-Train-Analysis-(2080s-and-2083s)?_g=(refreshInterval:(display:Off,pause:!f,section:0,value:0),time:(from:'2017-04-07T16:33:40-0600',mode:absolute,to:'2017-04-07T19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8" s="183" t="str">
        <f t="shared" si="35"/>
        <v>N</v>
      </c>
      <c r="X118" s="183">
        <f t="shared" si="49"/>
        <v>1</v>
      </c>
      <c r="Y118" s="62">
        <f t="shared" si="50"/>
        <v>23.297599999999999</v>
      </c>
      <c r="Z118" s="62">
        <f t="shared" si="48"/>
        <v>1.9099999999999999E-2</v>
      </c>
      <c r="AA118" s="62">
        <f t="shared" si="37"/>
        <v>23.278499999999998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8"/>
        <v>0206-07</v>
      </c>
      <c r="AE118" s="85" t="str">
        <f t="shared" si="39"/>
        <v>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 &amp; aws s3 cp s3://rtdc.mdm.uploadarchive.raw/RTDC4009/ "%USERPROFILE%\AppData\Local\Temp\OnboardLogs"\RTDC4009\2017-04-08 --exclude "*" --recursive --include "*20170408*" &amp; "%USERPROFILE%\Documents\GitHub\mrs-test-scripts\Headless Mode &amp; Sideloading\WalkAndUnGZ.bat" "%USERPROFILE%\AppData\Local\Temp\OnboardLogs"\RTDC4009\2017-04-08</v>
      </c>
      <c r="AF118" s="82" t="str">
        <f t="shared" si="40"/>
        <v>"C:\Program Files (x86)\AstroGrep\AstroGrep.exe" /e /r /s /spath="%USERPROFILE%\AppData\Local\Temp\OnboardLogs" /stypes="app*4009*20170408*" /stext=" 00:.+((SYSTEM_STATE.+slice.+state.+changed )|(ment ac)|(multiple cpu faults)|(system.+state.+changed )|(\[timeout)|(PRM\|1\|D)|(kpr)|(kdp)|(\|lc)|(penalty))"</v>
      </c>
      <c r="AG118" s="1" t="str">
        <f t="shared" si="41"/>
        <v>EC</v>
      </c>
      <c r="AH118" s="86" t="str">
        <f t="shared" si="42"/>
        <v>"%USERPROFILE%\Documents\GitHub\eaglep3\Utilities\RefineRTDCRunTimes.py" --tripid 206-07 --locoid 4009 --swversion DE.1.0.9.0 --startMP 204:232976 --initTime 2017-04-07T17:33:40 --startdatetime 2017-04-07T17:41:16 --delay 1 --endMP 204:191 --enddatetime 2017-04-07T18:20:37 --enforcementcount 0 &gt;&gt;C:\Users\stu\Documents\GitHub\eaglep3-reporting\EC\2017-04-07-refined-times.txt</v>
      </c>
      <c r="AI118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{"issue":{"subject":"","project_id":79,"tracker_id":40,"status_id":1,"priority_id":2,"assigned_to_id":23,"start_date":"2017-04-07","description":"","custom_fields":[{"id":1,"name":"Subdivision","value":"EC"},{"id":4,"name":"Milepost","value":"0.0191"},{"id":17,"name":"Train ID","value":"206-07"},{"id":16,"name":"Locomotive ID","value":"4009"},{"id":130,"name":"Impact","value":""},{"id":150,"name":"Time of Event (Mountain Time)","value":"18:20:37"},{"id":151,"name":"Denver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4"/>
        <v>start /low /b %USERPROFILE%\Documents\GitHub\eaglep3\Utilities\DownloadLogsFromS3.py --loco 4009 --day 2017-04-07</v>
      </c>
      <c r="AN118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00:20:37"},{"id":29,"name":"Sharepoint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791</v>
      </c>
      <c r="B119" s="7">
        <v>4016</v>
      </c>
      <c r="C119" s="21" t="s">
        <v>216</v>
      </c>
      <c r="D119" s="21" t="s">
        <v>425</v>
      </c>
      <c r="E119" s="13">
        <v>42832.704016203701</v>
      </c>
      <c r="F119" s="13">
        <v>42832.708495370367</v>
      </c>
      <c r="G119" s="7">
        <v>1</v>
      </c>
      <c r="H119" s="21" t="s">
        <v>412</v>
      </c>
      <c r="I119" s="13">
        <v>42832.733668981484</v>
      </c>
      <c r="J119" s="7">
        <v>0</v>
      </c>
      <c r="K119" s="97" t="str">
        <f t="shared" si="29"/>
        <v>4015/4016</v>
      </c>
      <c r="L119" s="21" t="str">
        <f>VLOOKUP(A119,'Trips&amp;Operators'!$C$1:$G$99999,5,FALSE)</f>
        <v>BRUDER RICHARD</v>
      </c>
      <c r="M119" s="6">
        <f t="shared" si="30"/>
        <v>2.5173611116770189E-2</v>
      </c>
      <c r="N119" s="7">
        <f t="shared" si="51"/>
        <v>36.250000008149073</v>
      </c>
      <c r="O119" s="7"/>
      <c r="P119" s="7"/>
      <c r="Q119" s="22"/>
      <c r="R119" s="22"/>
      <c r="S119" s="31">
        <f t="shared" si="32"/>
        <v>1</v>
      </c>
      <c r="T119" s="46" t="str">
        <f t="shared" si="33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4"/>
        <v>https://d0f6bd738d7f1b3e5a7ca70fe4ff75f0.us-east-1.aws.found.io/app/kibana#/discover/Steve-Slow-Train-Analysis-(2080s-and-2083s)?_g=(refreshInterval:(display:Off,pause:!f,section:0,value:0),time:(from:'2017-04-07T15:53:47-0600',mode:absolute,to:'2017-04-07T18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9" s="183" t="str">
        <f t="shared" si="35"/>
        <v>N</v>
      </c>
      <c r="X119" s="183">
        <f t="shared" si="49"/>
        <v>1</v>
      </c>
      <c r="Y119" s="62">
        <f t="shared" si="50"/>
        <v>4.4600000000000001E-2</v>
      </c>
      <c r="Z119" s="62">
        <f t="shared" si="48"/>
        <v>23.330300000000001</v>
      </c>
      <c r="AA119" s="62">
        <f t="shared" si="37"/>
        <v>23.285700000000002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8"/>
        <v>0207-07</v>
      </c>
      <c r="AE119" s="85" t="str">
        <f t="shared" si="39"/>
        <v>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 &amp; aws s3 cp s3://rtdc.mdm.uploadarchive.raw/RTDC4016/ "%USERPROFILE%\AppData\Local\Temp\OnboardLogs"\RTDC4016\2017-04-08 --exclude "*" --recursive --include "*20170408*" &amp; "%USERPROFILE%\Documents\GitHub\mrs-test-scripts\Headless Mode &amp; Sideloading\WalkAndUnGZ.bat" "%USERPROFILE%\AppData\Local\Temp\OnboardLogs"\RTDC4016\2017-04-08</v>
      </c>
      <c r="AF119" s="82" t="str">
        <f t="shared" si="40"/>
        <v>"C:\Program Files (x86)\AstroGrep\AstroGrep.exe" /e /r /s /spath="%USERPROFILE%\AppData\Local\Temp\OnboardLogs" /stypes="app*4016*20170407*" /stext=" 23:.+((SYSTEM_STATE.+slice.+state.+changed )|(ment ac)|(multiple cpu faults)|(system.+state.+changed )|(\[timeout)|(PRM\|1\|D)|(kpr)|(kdp)|(\|lc)|(penalty))"</v>
      </c>
      <c r="AG119" s="1" t="str">
        <f t="shared" si="41"/>
        <v>EC</v>
      </c>
      <c r="AH119" s="86" t="str">
        <f t="shared" si="42"/>
        <v>"%USERPROFILE%\Documents\GitHub\eaglep3\Utilities\RefineRTDCRunTimes.py" --tripid 207-07 --locoid 4016 --swversion DE.1.0.9.0 --startMP 204:446 --initTime 2017-04-07T16:53:47 --startdatetime 2017-04-07T17:00:14 --delay 1 --endMP 204:233303 --enddatetime 2017-04-07T17:36:29 --enforcementcount 0 &gt;&gt;C:\Users\stu\Documents\GitHub\eaglep3-reporting\EC\2017-04-07-refined-times.txt</v>
      </c>
      <c r="AI119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{"issue":{"subject":"","project_id":79,"tracker_id":40,"status_id":1,"priority_id":2,"assigned_to_id":23,"start_date":"2017-04-07","description":"","custom_fields":[{"id":1,"name":"Subdivision","value":"EC"},{"id":4,"name":"Milepost","value":"23.3303"},{"id":17,"name":"Train ID","value":"207-07"},{"id":16,"name":"Locomotive ID","value":"4016"},{"id":130,"name":"Impact","value":""},{"id":150,"name":"Time of Event (Mountain Time)","value":"17:36:29"},{"id":151,"name":"Denver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4"/>
        <v>start /low /b %USERPROFILE%\Documents\GitHub\eaglep3\Utilities\DownloadLogsFromS3.py --loco 4016 --day 2017-04-07</v>
      </c>
      <c r="AN119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23:36:29"},{"id":29,"name":"Sharepoint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804</v>
      </c>
      <c r="B120" s="7">
        <v>4015</v>
      </c>
      <c r="C120" s="21" t="s">
        <v>216</v>
      </c>
      <c r="D120" s="21" t="s">
        <v>596</v>
      </c>
      <c r="E120" s="13">
        <v>42832.742569444446</v>
      </c>
      <c r="F120" s="13">
        <v>42832.747430555559</v>
      </c>
      <c r="G120" s="7">
        <v>1</v>
      </c>
      <c r="H120" s="21" t="s">
        <v>860</v>
      </c>
      <c r="I120" s="13">
        <v>42832.774525462963</v>
      </c>
      <c r="J120" s="7">
        <v>0</v>
      </c>
      <c r="K120" s="97" t="str">
        <f t="shared" si="29"/>
        <v>4015/4016</v>
      </c>
      <c r="L120" s="21" t="str">
        <f>VLOOKUP(A120,'Trips&amp;Operators'!$C$1:$G$99999,5,FALSE)</f>
        <v>BRUDER RICHARD</v>
      </c>
      <c r="M120" s="6">
        <f t="shared" si="30"/>
        <v>2.7094907403807156E-2</v>
      </c>
      <c r="N120" s="7">
        <f t="shared" si="51"/>
        <v>39.016666661482304</v>
      </c>
      <c r="O120" s="7"/>
      <c r="P120" s="7"/>
      <c r="Q120" s="22"/>
      <c r="R120" s="22"/>
      <c r="S120" s="31">
        <f t="shared" si="32"/>
        <v>1</v>
      </c>
      <c r="T120" s="46" t="str">
        <f t="shared" si="33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4"/>
        <v>https://d0f6bd738d7f1b3e5a7ca70fe4ff75f0.us-east-1.aws.found.io/app/kibana#/discover/Steve-Slow-Train-Analysis-(2080s-and-2083s)?_g=(refreshInterval:(display:Off,pause:!f,section:0,value:0),time:(from:'2017-04-07T16:49:18-0600',mode:absolute,to:'2017-04-07T19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0" s="183" t="str">
        <f t="shared" si="35"/>
        <v>N</v>
      </c>
      <c r="X120" s="183">
        <f t="shared" si="49"/>
        <v>1</v>
      </c>
      <c r="Y120" s="62">
        <f t="shared" si="50"/>
        <v>23.299600000000002</v>
      </c>
      <c r="Z120" s="62">
        <f t="shared" si="48"/>
        <v>1.4999999999999999E-2</v>
      </c>
      <c r="AA120" s="62">
        <f t="shared" si="37"/>
        <v>23.284600000000001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8"/>
        <v>0208-07</v>
      </c>
      <c r="AE120" s="85" t="str">
        <f t="shared" si="39"/>
        <v>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 &amp; aws s3 cp s3://rtdc.mdm.uploadarchive.raw/RTDC4015/ "%USERPROFILE%\AppData\Local\Temp\OnboardLogs"\RTDC4015\2017-04-08 --exclude "*" --recursive --include "*20170408*" &amp; "%USERPROFILE%\Documents\GitHub\mrs-test-scripts\Headless Mode &amp; Sideloading\WalkAndUnGZ.bat" "%USERPROFILE%\AppData\Local\Temp\OnboardLogs"\RTDC4015\2017-04-08</v>
      </c>
      <c r="AF120" s="82" t="str">
        <f t="shared" si="40"/>
        <v>"C:\Program Files (x86)\AstroGrep\AstroGrep.exe" /e /r /s /spath="%USERPROFILE%\AppData\Local\Temp\OnboardLogs" /stypes="app*4015*20170408*" /stext=" 00:.+((SYSTEM_STATE.+slice.+state.+changed )|(ment ac)|(multiple cpu faults)|(system.+state.+changed )|(\[timeout)|(PRM\|1\|D)|(kpr)|(kdp)|(\|lc)|(penalty))"</v>
      </c>
      <c r="AG120" s="1" t="str">
        <f t="shared" si="41"/>
        <v>EC</v>
      </c>
      <c r="AH120" s="86" t="str">
        <f t="shared" si="42"/>
        <v>"%USERPROFILE%\Documents\GitHub\eaglep3\Utilities\RefineRTDCRunTimes.py" --tripid 208-07 --locoid 4015 --swversion DE.1.0.9.0 --startMP 204:232996 --initTime 2017-04-07T17:49:18 --startdatetime 2017-04-07T17:56:18 --delay 1 --endMP 204:150 --enddatetime 2017-04-07T18:35:19 --enforcementcount 0 &gt;&gt;C:\Users\stu\Documents\GitHub\eaglep3-reporting\EC\2017-04-07-refined-times.txt</v>
      </c>
      <c r="AI120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{"issue":{"subject":"","project_id":79,"tracker_id":40,"status_id":1,"priority_id":2,"assigned_to_id":23,"start_date":"2017-04-07","description":"","custom_fields":[{"id":1,"name":"Subdivision","value":"EC"},{"id":4,"name":"Milepost","value":"0.015"},{"id":17,"name":"Train ID","value":"208-07"},{"id":16,"name":"Locomotive ID","value":"4015"},{"id":130,"name":"Impact","value":""},{"id":150,"name":"Time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4"/>
        <v>start /low /b %USERPROFILE%\Documents\GitHub\eaglep3\Utilities\DownloadLogsFromS3.py --loco 4015 --day 2017-04-07</v>
      </c>
      <c r="AN120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00:35:19"},{"id":29,"name":"Sharepoint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794</v>
      </c>
      <c r="B121" s="7">
        <v>4030</v>
      </c>
      <c r="C121" s="21" t="s">
        <v>216</v>
      </c>
      <c r="D121" s="21" t="s">
        <v>864</v>
      </c>
      <c r="E121" s="13">
        <v>42832.713252314818</v>
      </c>
      <c r="F121" s="13">
        <v>42832.718923611108</v>
      </c>
      <c r="G121" s="7">
        <v>2</v>
      </c>
      <c r="H121" s="21" t="s">
        <v>599</v>
      </c>
      <c r="I121" s="13">
        <v>42832.744062500002</v>
      </c>
      <c r="J121" s="7">
        <v>0</v>
      </c>
      <c r="K121" s="97" t="str">
        <f t="shared" si="29"/>
        <v>4029/4030</v>
      </c>
      <c r="L121" s="21" t="str">
        <f>VLOOKUP(A121,'Trips&amp;Operators'!$C$1:$G$99999,5,FALSE)</f>
        <v>WILLIAMS DONTE</v>
      </c>
      <c r="M121" s="6">
        <f t="shared" si="30"/>
        <v>2.513888889370719E-2</v>
      </c>
      <c r="N121" s="7">
        <f t="shared" si="51"/>
        <v>36.200000006938353</v>
      </c>
      <c r="O121" s="7"/>
      <c r="P121" s="7"/>
      <c r="Q121" s="22"/>
      <c r="R121" s="22"/>
      <c r="S121" s="31">
        <f t="shared" si="32"/>
        <v>1</v>
      </c>
      <c r="T121" s="46" t="str">
        <f t="shared" si="33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4"/>
        <v>https://d0f6bd738d7f1b3e5a7ca70fe4ff75f0.us-east-1.aws.found.io/app/kibana#/discover/Steve-Slow-Train-Analysis-(2080s-and-2083s)?_g=(refreshInterval:(display:Off,pause:!f,section:0,value:0),time:(from:'2017-04-07T16:07:05-0600',mode:absolute,to:'2017-04-07T18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1" s="183" t="str">
        <f t="shared" si="35"/>
        <v>N</v>
      </c>
      <c r="X121" s="183">
        <f t="shared" si="49"/>
        <v>1</v>
      </c>
      <c r="Y121" s="62">
        <f t="shared" si="50"/>
        <v>4.2900000000000001E-2</v>
      </c>
      <c r="Z121" s="62">
        <f t="shared" si="48"/>
        <v>23.328299999999999</v>
      </c>
      <c r="AA121" s="62">
        <f t="shared" si="37"/>
        <v>23.285399999999999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8"/>
        <v>0209-07</v>
      </c>
      <c r="AE121" s="85" t="str">
        <f t="shared" si="39"/>
        <v>aws s3 cp s3://rtdc.mdm.uploadarchive.raw/RTDC4030/ "%USERPROFILE%\AppData\Local\Temp\OnboardLogs"\RTDC4030\2017-04-07 --exclude "*" --recursive --include "*20170407*" &amp; "%USERPROFILE%\Documents\GitHub\mrs-test-scripts\Headless Mode &amp; Sideloading\WalkAndUnGZ.bat" "%USERPROFILE%\AppData\Local\Temp\OnboardLogs"\RTDC4030\2017-04-07 &amp; aws s3 cp s3://rtdc.mdm.uploadarchive.raw/RTDC4030/ "%USERPROFILE%\AppData\Local\Temp\OnboardLogs"\RTDC4030\2017-04-08 --exclude "*" --recursive --include "*20170408*" &amp; "%USERPROFILE%\Documents\GitHub\mrs-test-scripts\Headless Mode &amp; Sideloading\WalkAndUnGZ.bat" "%USERPROFILE%\AppData\Local\Temp\OnboardLogs"\RTDC4030\2017-04-08</v>
      </c>
      <c r="AF121" s="82" t="str">
        <f t="shared" si="40"/>
        <v>"C:\Program Files (x86)\AstroGrep\AstroGrep.exe" /e /r /s /spath="%USERPROFILE%\AppData\Local\Temp\OnboardLogs" /stypes="app*4030*20170407*" /stext=" 23:.+((SYSTEM_STATE.+slice.+state.+changed )|(ment ac)|(multiple cpu faults)|(system.+state.+changed )|(\[timeout)|(PRM\|1\|D)|(kpr)|(kdp)|(\|lc)|(penalty))"</v>
      </c>
      <c r="AG121" s="1" t="str">
        <f t="shared" si="41"/>
        <v>EC</v>
      </c>
      <c r="AH121" s="86" t="str">
        <f t="shared" si="42"/>
        <v>"%USERPROFILE%\Documents\GitHub\eaglep3\Utilities\RefineRTDCRunTimes.py" --tripid 209-07 --locoid 4030 --swversion DE.1.0.9.0 --startMP 204:429 --initTime 2017-04-07T17:07:05 --startdatetime 2017-04-07T17:15:15 --delay 2 --endMP 204:233283 --enddatetime 2017-04-07T17:51:27 --enforcementcount 0 &gt;&gt;C:\Users\stu\Documents\GitHub\eaglep3-reporting\EC\2017-04-07-refined-times.txt</v>
      </c>
      <c r="AI121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{"issue":{"subject":"","project_id":79,"tracker_id":40,"status_id":1,"priority_id":2,"assigned_to_id":23,"start_date":"2017-04-07","description":"","custom_fields":[{"id":1,"name":"Subdivision","value":"EC"},{"id":4,"name":"Milepost","value":"23.3283"},{"id":17,"name":"Train ID","value":"209-07"},{"id":16,"name":"Locomotive ID","value":"4030"},{"id":130,"name":"Impact","value":""},{"id":150,"name":"Time of Event (Mountain Time)","value":"17:51:27"},{"id":151,"name":"Denver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4"/>
        <v>start /low /b %USERPROFILE%\Documents\GitHub\eaglep3\Utilities\DownloadLogsFromS3.py --loco 4030 --day 2017-04-07</v>
      </c>
      <c r="AN121" s="159" t="str">
        <f t="shared" si="4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23:51:27"},{"id":29,"name":"Sharepoint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805</v>
      </c>
      <c r="B122" s="7">
        <v>4029</v>
      </c>
      <c r="C122" s="21" t="s">
        <v>216</v>
      </c>
      <c r="D122" s="21" t="s">
        <v>904</v>
      </c>
      <c r="E122" s="13">
        <v>42832.750960648147</v>
      </c>
      <c r="F122" s="13">
        <v>42832.757893518516</v>
      </c>
      <c r="G122" s="7">
        <v>2</v>
      </c>
      <c r="H122" s="21" t="s">
        <v>410</v>
      </c>
      <c r="I122" s="13">
        <v>42832.784513888888</v>
      </c>
      <c r="J122" s="7">
        <v>0</v>
      </c>
      <c r="K122" s="97" t="str">
        <f t="shared" si="29"/>
        <v>4029/4030</v>
      </c>
      <c r="L122" s="21" t="str">
        <f>VLOOKUP(A122,'Trips&amp;Operators'!$C$1:$G$99999,5,FALSE)</f>
        <v>WILLIAMS DONTE</v>
      </c>
      <c r="M122" s="6">
        <f t="shared" si="30"/>
        <v>2.662037037225673E-2</v>
      </c>
      <c r="N122" s="7">
        <f t="shared" si="51"/>
        <v>38.333333336049691</v>
      </c>
      <c r="O122" s="7"/>
      <c r="P122" s="7"/>
      <c r="Q122" s="22"/>
      <c r="R122" s="22"/>
      <c r="S122" s="31">
        <f t="shared" si="32"/>
        <v>1</v>
      </c>
      <c r="T122" s="46" t="str">
        <f t="shared" si="33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4"/>
        <v>https://d0f6bd738d7f1b3e5a7ca70fe4ff75f0.us-east-1.aws.found.io/app/kibana#/discover/Steve-Slow-Train-Analysis-(2080s-and-2083s)?_g=(refreshInterval:(display:Off,pause:!f,section:0,value:0),time:(from:'2017-04-07T17:01:23-0600',mode:absolute,to:'2017-04-07T19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2" s="183" t="str">
        <f t="shared" si="35"/>
        <v>N</v>
      </c>
      <c r="X122" s="183">
        <f t="shared" si="49"/>
        <v>1</v>
      </c>
      <c r="Y122" s="62">
        <f t="shared" si="50"/>
        <v>23.297000000000001</v>
      </c>
      <c r="Z122" s="62">
        <f t="shared" si="48"/>
        <v>1.6299999999999999E-2</v>
      </c>
      <c r="AA122" s="62">
        <f t="shared" si="37"/>
        <v>23.2807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8"/>
        <v>0210-07</v>
      </c>
      <c r="AE122" s="85" t="str">
        <f t="shared" si="39"/>
        <v>aws s3 cp s3://rtdc.mdm.uploadarchive.raw/RTDC4029/ "%USERPROFILE%\AppData\Local\Temp\OnboardLogs"\RTDC4029\2017-04-07 --exclude "*" --recursive --include "*20170407*" &amp; "%USERPROFILE%\Documents\GitHub\mrs-test-scripts\Headless Mode &amp; Sideloading\WalkAndUnGZ.bat" "%USERPROFILE%\AppData\Local\Temp\OnboardLogs"\RTDC4029\2017-04-07 &amp; aws s3 cp s3://rtdc.mdm.uploadarchive.raw/RTDC4029/ "%USERPROFILE%\AppData\Local\Temp\OnboardLogs"\RTDC4029\2017-04-08 --exclude "*" --recursive --include "*20170408*" &amp; "%USERPROFILE%\Documents\GitHub\mrs-test-scripts\Headless Mode &amp; Sideloading\WalkAndUnGZ.bat" "%USERPROFILE%\AppData\Local\Temp\OnboardLogs"\RTDC4029\2017-04-08</v>
      </c>
      <c r="AF122" s="82" t="str">
        <f t="shared" si="40"/>
        <v>"C:\Program Files (x86)\AstroGrep\AstroGrep.exe" /e /r /s /spath="%USERPROFILE%\AppData\Local\Temp\OnboardLogs" /stypes="app*4029*20170408*" /stext=" 00:.+((SYSTEM_STATE.+slice.+state.+changed )|(ment ac)|(multiple cpu faults)|(system.+state.+changed )|(\[timeout)|(PRM\|1\|D)|(kpr)|(kdp)|(\|lc)|(penalty))"</v>
      </c>
      <c r="AG122" s="1" t="str">
        <f t="shared" si="41"/>
        <v>EC</v>
      </c>
      <c r="AH122" s="86" t="str">
        <f t="shared" si="42"/>
        <v>"%USERPROFILE%\Documents\GitHub\eaglep3\Utilities\RefineRTDCRunTimes.py" --tripid 210-07 --locoid 4029 --swversion DE.1.0.9.0 --startMP 204:232970 --initTime 2017-04-07T18:01:23 --startdatetime 2017-04-07T18:11:22 --delay 2 --endMP 204:163 --enddatetime 2017-04-07T18:49:42 --enforcementcount 0 &gt;&gt;C:\Users\stu\Documents\GitHub\eaglep3-reporting\EC\2017-04-07-refined-times.txt</v>
      </c>
      <c r="AI122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{"issue":{"subject":"","project_id":79,"tracker_id":40,"status_id":1,"priority_id":2,"assigned_to_id":23,"start_date":"2017-04-07","description":"","custom_fields":[{"id":1,"name":"Subdivision","value":"EC"},{"id":4,"name":"Milepost","value":"0.0163"},{"id":17,"name":"Train ID","value":"210-07"},{"id":16,"name":"Locomotive ID","value":"4029"},{"id":130,"name":"Impact","value":""},{"id":150,"name":"Time of Event (Mountain Time)","value":"18:49:42"},{"id":151,"name":"Denver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4"/>
        <v>start /low /b %USERPROFILE%\Documents\GitHub\eaglep3\Utilities\DownloadLogsFromS3.py --loco 4029 --day 2017-04-07</v>
      </c>
      <c r="AN122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00:49:42"},{"id":29,"name":"Sharepoint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796</v>
      </c>
      <c r="B123" s="7">
        <v>4022</v>
      </c>
      <c r="C123" s="21" t="s">
        <v>216</v>
      </c>
      <c r="D123" s="21" t="s">
        <v>864</v>
      </c>
      <c r="E123" s="13">
        <v>42832.725949074076</v>
      </c>
      <c r="F123" s="13">
        <v>42832.729513888888</v>
      </c>
      <c r="G123" s="7">
        <v>1</v>
      </c>
      <c r="H123" s="21" t="s">
        <v>531</v>
      </c>
      <c r="I123" s="13">
        <v>42832.756180555552</v>
      </c>
      <c r="J123" s="7">
        <v>0</v>
      </c>
      <c r="K123" s="97" t="str">
        <f t="shared" si="29"/>
        <v>4021/4022</v>
      </c>
      <c r="L123" s="21" t="str">
        <f>VLOOKUP(A123,'Trips&amp;Operators'!$C$1:$G$99999,5,FALSE)</f>
        <v>BRANDNER MELINDA</v>
      </c>
      <c r="M123" s="6">
        <f t="shared" si="30"/>
        <v>2.6666666664823424E-2</v>
      </c>
      <c r="N123" s="7">
        <f t="shared" si="51"/>
        <v>38.399999997345731</v>
      </c>
      <c r="O123" s="7"/>
      <c r="P123" s="7"/>
      <c r="Q123" s="22"/>
      <c r="R123" s="22"/>
      <c r="S123" s="31">
        <f t="shared" si="32"/>
        <v>1</v>
      </c>
      <c r="T123" s="46" t="str">
        <f t="shared" si="33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4"/>
        <v>https://d0f6bd738d7f1b3e5a7ca70fe4ff75f0.us-east-1.aws.found.io/app/kibana#/discover/Steve-Slow-Train-Analysis-(2080s-and-2083s)?_g=(refreshInterval:(display:Off,pause:!f,section:0,value:0),time:(from:'2017-04-07T16:25:22-0600',mode:absolute,to:'2017-04-07T19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3" s="183" t="str">
        <f t="shared" si="35"/>
        <v>N</v>
      </c>
      <c r="X123" s="183">
        <f t="shared" si="49"/>
        <v>1</v>
      </c>
      <c r="Y123" s="62">
        <f t="shared" si="50"/>
        <v>4.2900000000000001E-2</v>
      </c>
      <c r="Z123" s="62">
        <f t="shared" si="48"/>
        <v>23.330500000000001</v>
      </c>
      <c r="AA123" s="62">
        <f t="shared" si="37"/>
        <v>23.287600000000001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8"/>
        <v>0211-07</v>
      </c>
      <c r="AE123" s="85" t="str">
        <f t="shared" si="39"/>
        <v>aws s3 cp s3://rtdc.mdm.uploadarchive.raw/RTDC4022/ "%USERPROFILE%\AppData\Local\Temp\OnboardLogs"\RTDC4022\2017-04-07 --exclude "*" --recursive --include "*20170407*" &amp; "%USERPROFILE%\Documents\GitHub\mrs-test-scripts\Headless Mode &amp; Sideloading\WalkAndUnGZ.bat" "%USERPROFILE%\AppData\Local\Temp\OnboardLogs"\RTDC4022\2017-04-07 &amp; 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</v>
      </c>
      <c r="AF123" s="82" t="str">
        <f t="shared" si="40"/>
        <v>"C:\Program Files (x86)\AstroGrep\AstroGrep.exe" /e /r /s /spath="%USERPROFILE%\AppData\Local\Temp\OnboardLogs" /stypes="app*4022*20170408*" /stext=" 00:.+((SYSTEM_STATE.+slice.+state.+changed )|(ment ac)|(multiple cpu faults)|(system.+state.+changed )|(\[timeout)|(PRM\|1\|D)|(kpr)|(kdp)|(\|lc)|(penalty))"</v>
      </c>
      <c r="AG123" s="1" t="str">
        <f t="shared" si="41"/>
        <v>EC</v>
      </c>
      <c r="AH123" s="86" t="str">
        <f t="shared" si="42"/>
        <v>"%USERPROFILE%\Documents\GitHub\eaglep3\Utilities\RefineRTDCRunTimes.py" --tripid 211-07 --locoid 4022 --swversion DE.1.0.9.0 --startMP 204:429 --initTime 2017-04-07T17:25:22 --startdatetime 2017-04-07T17:30:30 --delay 1 --endMP 204:233305 --enddatetime 2017-04-07T18:08:54 --enforcementcount 0 &gt;&gt;C:\Users\stu\Documents\GitHub\eaglep3-reporting\EC\2017-04-07-refined-times.txt</v>
      </c>
      <c r="AI123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{"issue":{"subject":"","project_id":79,"tracker_id":40,"status_id":1,"priority_id":2,"assigned_to_id":23,"start_date":"2017-04-07","description":"","custom_fields":[{"id":1,"name":"Subdivision","value":"EC"},{"id":4,"name":"Milepost","value":"23.3305"},{"id":17,"name":"Train ID","value":"211-07"},{"id":16,"name":"Locomotive ID","value":"4022"},{"id":130,"name":"Impact","value":""},{"id":150,"name":"Time of Event (Mountain Time)","value":"18:08:54"},{"id":151,"name":"Denver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4"/>
        <v>start /low /b %USERPROFILE%\Documents\GitHub\eaglep3\Utilities\DownloadLogsFromS3.py --loco 4022 --day 2017-04-07</v>
      </c>
      <c r="AN123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00:08:54"},{"id":29,"name":"Sharepoint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648</v>
      </c>
      <c r="B124" s="7">
        <v>4021</v>
      </c>
      <c r="C124" s="21" t="s">
        <v>216</v>
      </c>
      <c r="D124" s="21" t="s">
        <v>586</v>
      </c>
      <c r="E124" s="13">
        <v>42832.76353009259</v>
      </c>
      <c r="F124" s="13">
        <v>42832.768287037034</v>
      </c>
      <c r="G124" s="7">
        <v>1</v>
      </c>
      <c r="H124" s="21" t="s">
        <v>492</v>
      </c>
      <c r="I124" s="13">
        <v>42832.795983796299</v>
      </c>
      <c r="J124" s="7">
        <v>0</v>
      </c>
      <c r="K124" s="97" t="str">
        <f t="shared" si="29"/>
        <v>4021/4022</v>
      </c>
      <c r="L124" s="21" t="str">
        <f>VLOOKUP(A124,'Trips&amp;Operators'!$C$1:$G$99999,5,FALSE)</f>
        <v>BRANDNER MELINDA</v>
      </c>
      <c r="M124" s="6">
        <f t="shared" si="30"/>
        <v>2.7696759265381843E-2</v>
      </c>
      <c r="N124" s="7">
        <f t="shared" si="51"/>
        <v>39.883333342149854</v>
      </c>
      <c r="O124" s="7"/>
      <c r="P124" s="7"/>
      <c r="Q124" s="22"/>
      <c r="R124" s="22"/>
      <c r="S124" s="31">
        <f t="shared" si="32"/>
        <v>1</v>
      </c>
      <c r="T124" s="46" t="str">
        <f t="shared" si="33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4"/>
        <v>https://d0f6bd738d7f1b3e5a7ca70fe4ff75f0.us-east-1.aws.found.io/app/kibana#/discover/Steve-Slow-Train-Analysis-(2080s-and-2083s)?_g=(refreshInterval:(display:Off,pause:!f,section:0,value:0),time:(from:'2017-04-07T17:19:29-0600',mode:absolute,to:'2017-04-07T20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4" s="183" t="str">
        <f t="shared" si="35"/>
        <v>N</v>
      </c>
      <c r="X124" s="183">
        <f t="shared" si="49"/>
        <v>1</v>
      </c>
      <c r="Y124" s="62">
        <f t="shared" si="50"/>
        <v>23.2973</v>
      </c>
      <c r="Z124" s="62">
        <f t="shared" si="48"/>
        <v>1.67E-2</v>
      </c>
      <c r="AA124" s="62">
        <f t="shared" si="37"/>
        <v>23.2806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8"/>
        <v>0212-07</v>
      </c>
      <c r="AE124" s="85" t="str">
        <f t="shared" si="39"/>
        <v>aws s3 cp s3://rtdc.mdm.uploadarchive.raw/RTDC4021/ "%USERPROFILE%\AppData\Local\Temp\OnboardLogs"\RTDC4021\2017-04-07 --exclude "*" --recursive --include "*20170407*" &amp; "%USERPROFILE%\Documents\GitHub\mrs-test-scripts\Headless Mode &amp; Sideloading\WalkAndUnGZ.bat" "%USERPROFILE%\AppData\Local\Temp\OnboardLogs"\RTDC4021\2017-04-07 &amp; 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</v>
      </c>
      <c r="AF124" s="82" t="str">
        <f t="shared" si="40"/>
        <v>"C:\Program Files (x86)\AstroGrep\AstroGrep.exe" /e /r /s /spath="%USERPROFILE%\AppData\Local\Temp\OnboardLogs" /stypes="app*4021*20170408*" /stext=" 01:.+((SYSTEM_STATE.+slice.+state.+changed )|(ment ac)|(multiple cpu faults)|(system.+state.+changed )|(\[timeout)|(PRM\|1\|D)|(kpr)|(kdp)|(\|lc)|(penalty))"</v>
      </c>
      <c r="AG124" s="1" t="str">
        <f t="shared" si="41"/>
        <v>EC</v>
      </c>
      <c r="AH124" s="86" t="str">
        <f t="shared" si="42"/>
        <v>"%USERPROFILE%\Documents\GitHub\eaglep3\Utilities\RefineRTDCRunTimes.py" --tripid 212-07 --locoid 4021 --swversion DE.1.0.9.0 --startMP 204:232973 --initTime 2017-04-07T18:19:29 --startdatetime 2017-04-07T18:26:20 --delay 1 --endMP 204:167 --enddatetime 2017-04-07T19:06:13 --enforcementcount 0 &gt;&gt;C:\Users\stu\Documents\GitHub\eaglep3-reporting\EC\2017-04-07-refined-times.txt</v>
      </c>
      <c r="AI124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{"issue":{"subject":"","project_id":79,"tracker_id":40,"status_id":1,"priority_id":2,"assigned_to_id":23,"start_date":"2017-04-07","description":"","custom_fields":[{"id":1,"name":"Subdivision","value":"EC"},{"id":4,"name":"Milepost","value":"0.0167"},{"id":17,"name":"Train ID","value":"212-07"},{"id":16,"name":"Locomotive ID","value":"4021"},{"id":130,"name":"Impact","value":""},{"id":150,"name":"Time of Event (Mountain Time)","value":"19:06:13"},{"id":151,"name":"Denver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4"/>
        <v>start /low /b %USERPROFILE%\Documents\GitHub\eaglep3\Utilities\DownloadLogsFromS3.py --loco 4021 --day 2017-04-07</v>
      </c>
      <c r="AN124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01:06:13"},{"id":29,"name":"Sharepoint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803</v>
      </c>
      <c r="B125" s="7">
        <v>4032</v>
      </c>
      <c r="C125" s="21" t="s">
        <v>216</v>
      </c>
      <c r="D125" s="21" t="s">
        <v>431</v>
      </c>
      <c r="E125" s="13">
        <v>42832.738136574073</v>
      </c>
      <c r="F125" s="13">
        <v>42832.74019675926</v>
      </c>
      <c r="G125" s="7">
        <v>1</v>
      </c>
      <c r="H125" s="21" t="s">
        <v>905</v>
      </c>
      <c r="I125" s="13">
        <v>42832.765810185185</v>
      </c>
      <c r="J125" s="7">
        <v>0</v>
      </c>
      <c r="K125" s="97" t="str">
        <f t="shared" si="29"/>
        <v>4031/4032</v>
      </c>
      <c r="L125" s="21" t="str">
        <f>VLOOKUP(A125,'Trips&amp;Operators'!$C$1:$G$99999,5,FALSE)</f>
        <v>STORY SAMANTHA</v>
      </c>
      <c r="M125" s="6">
        <f t="shared" si="30"/>
        <v>2.5613425925257616E-2</v>
      </c>
      <c r="N125" s="7">
        <f t="shared" si="51"/>
        <v>36.883333332370967</v>
      </c>
      <c r="O125" s="7"/>
      <c r="P125" s="7"/>
      <c r="Q125" s="22"/>
      <c r="R125" s="22"/>
      <c r="S125" s="31">
        <f t="shared" si="32"/>
        <v>1</v>
      </c>
      <c r="T125" s="46" t="str">
        <f t="shared" si="33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4"/>
        <v>https://d0f6bd738d7f1b3e5a7ca70fe4ff75f0.us-east-1.aws.found.io/app/kibana#/discover/Steve-Slow-Train-Analysis-(2080s-and-2083s)?_g=(refreshInterval:(display:Off,pause:!f,section:0,value:0),time:(from:'2017-04-07T16:42:55-0600',mode:absolute,to:'2017-04-07T19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5" s="183" t="str">
        <f t="shared" si="35"/>
        <v>N</v>
      </c>
      <c r="X125" s="183">
        <f t="shared" si="49"/>
        <v>1</v>
      </c>
      <c r="Y125" s="62">
        <f t="shared" si="50"/>
        <v>4.6600000000000003E-2</v>
      </c>
      <c r="Z125" s="62">
        <f t="shared" si="48"/>
        <v>23.3415</v>
      </c>
      <c r="AA125" s="62">
        <f t="shared" si="37"/>
        <v>23.294899999999998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8"/>
        <v>0213-07</v>
      </c>
      <c r="AE125" s="85" t="str">
        <f t="shared" si="39"/>
        <v>aws s3 cp s3://rtdc.mdm.uploadarchive.raw/RTDC4032/ "%USERPROFILE%\AppData\Local\Temp\OnboardLogs"\RTDC4032\2017-04-07 --exclude "*" --recursive --include "*20170407*" &amp; "%USERPROFILE%\Documents\GitHub\mrs-test-scripts\Headless Mode &amp; Sideloading\WalkAndUnGZ.bat" "%USERPROFILE%\AppData\Local\Temp\OnboardLogs"\RTDC4032\2017-04-07 &amp; aws s3 cp s3://rtdc.mdm.uploadarchive.raw/RTDC4032/ "%USERPROFILE%\AppData\Local\Temp\OnboardLogs"\RTDC4032\2017-04-08 --exclude "*" --recursive --include "*20170408*" &amp; "%USERPROFILE%\Documents\GitHub\mrs-test-scripts\Headless Mode &amp; Sideloading\WalkAndUnGZ.bat" "%USERPROFILE%\AppData\Local\Temp\OnboardLogs"\RTDC4032\2017-04-08</v>
      </c>
      <c r="AF125" s="82" t="str">
        <f t="shared" si="40"/>
        <v>"C:\Program Files (x86)\AstroGrep\AstroGrep.exe" /e /r /s /spath="%USERPROFILE%\AppData\Local\Temp\OnboardLogs" /stypes="app*4032*20170408*" /stext=" 00:.+((SYSTEM_STATE.+slice.+state.+changed )|(ment ac)|(multiple cpu faults)|(system.+state.+changed )|(\[timeout)|(PRM\|1\|D)|(kpr)|(kdp)|(\|lc)|(penalty))"</v>
      </c>
      <c r="AG125" s="1" t="str">
        <f t="shared" si="41"/>
        <v>EC</v>
      </c>
      <c r="AH125" s="86" t="str">
        <f t="shared" si="42"/>
        <v>"%USERPROFILE%\Documents\GitHub\eaglep3\Utilities\RefineRTDCRunTimes.py" --tripid 213-07 --locoid 4032 --swversion DE.1.0.9.0 --startMP 204:466 --initTime 2017-04-07T17:42:55 --startdatetime 2017-04-07T17:45:53 --delay 1 --endMP 204:233415 --enddatetime 2017-04-07T18:22:46 --enforcementcount 0 &gt;&gt;C:\Users\stu\Documents\GitHub\eaglep3-reporting\EC\2017-04-07-refined-times.txt</v>
      </c>
      <c r="AI125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{"issue":{"subject":"","project_id":79,"tracker_id":40,"status_id":1,"priority_id":2,"assigned_to_id":23,"start_date":"2017-04-07","description":"","custom_fields":[{"id":1,"name":"Subdivision","value":"EC"},{"id":4,"name":"Milepost","value":"23.3415"},{"id":17,"name":"Train ID","value":"213-07"},{"id":16,"name":"Locomotive ID","value":"4032"},{"id":130,"name":"Impact","value":""},{"id":150,"name":"Time of Event (Mountain Time)","value":"18:22:46"},{"id":151,"name":"Denver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4"/>
        <v>start /low /b %USERPROFILE%\Documents\GitHub\eaglep3\Utilities\DownloadLogsFromS3.py --loco 4032 --day 2017-04-07</v>
      </c>
      <c r="AN125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00:22:46"},{"id":29,"name":"Sharepoint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811</v>
      </c>
      <c r="B126" s="7">
        <v>4031</v>
      </c>
      <c r="C126" s="21" t="s">
        <v>216</v>
      </c>
      <c r="D126" s="21" t="s">
        <v>906</v>
      </c>
      <c r="E126" s="13">
        <v>42832.773379629631</v>
      </c>
      <c r="F126" s="13">
        <v>42832.778738425928</v>
      </c>
      <c r="G126" s="7">
        <v>1</v>
      </c>
      <c r="H126" s="21" t="s">
        <v>597</v>
      </c>
      <c r="I126" s="13">
        <v>42832.80574074074</v>
      </c>
      <c r="J126" s="7">
        <v>0</v>
      </c>
      <c r="K126" s="97" t="str">
        <f t="shared" si="29"/>
        <v>4031/4032</v>
      </c>
      <c r="L126" s="21" t="str">
        <f>VLOOKUP(A126,'Trips&amp;Operators'!$C$1:$G$99999,5,FALSE)</f>
        <v>STORY SAMANTHA</v>
      </c>
      <c r="M126" s="6">
        <f t="shared" si="30"/>
        <v>2.700231481139781E-2</v>
      </c>
      <c r="N126" s="7">
        <f t="shared" si="51"/>
        <v>38.883333328412846</v>
      </c>
      <c r="O126" s="7"/>
      <c r="P126" s="7"/>
      <c r="Q126" s="22"/>
      <c r="R126" s="22"/>
      <c r="S126" s="31">
        <f t="shared" si="32"/>
        <v>1</v>
      </c>
      <c r="T126" s="46" t="str">
        <f t="shared" si="33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4"/>
        <v>https://d0f6bd738d7f1b3e5a7ca70fe4ff75f0.us-east-1.aws.found.io/app/kibana#/discover/Steve-Slow-Train-Analysis-(2080s-and-2083s)?_g=(refreshInterval:(display:Off,pause:!f,section:0,value:0),time:(from:'2017-04-07T17:33:40-0600',mode:absolute,to:'2017-04-07T20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6" s="183" t="str">
        <f t="shared" si="35"/>
        <v>N</v>
      </c>
      <c r="X126" s="183">
        <f t="shared" si="49"/>
        <v>1</v>
      </c>
      <c r="Y126" s="62">
        <f t="shared" si="50"/>
        <v>23.3093</v>
      </c>
      <c r="Z126" s="62">
        <f t="shared" ref="Z126:Z138" si="52">RIGHT(H126,LEN(H126)-4)/10000</f>
        <v>1.6899999999999998E-2</v>
      </c>
      <c r="AA126" s="62">
        <f t="shared" si="37"/>
        <v>23.292400000000001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8"/>
        <v>0214-07</v>
      </c>
      <c r="AE126" s="85" t="str">
        <f t="shared" si="39"/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AF126" s="82" t="str">
        <f t="shared" si="40"/>
        <v>"C:\Program Files (x86)\AstroGrep\AstroGrep.exe" /e /r /s /spath="%USERPROFILE%\AppData\Local\Temp\OnboardLogs" /stypes="app*4031*20170408*" /stext=" 01:.+((SYSTEM_STATE.+slice.+state.+changed )|(ment ac)|(multiple cpu faults)|(system.+state.+changed )|(\[timeout)|(PRM\|1\|D)|(kpr)|(kdp)|(\|lc)|(penalty))"</v>
      </c>
      <c r="AG126" s="1" t="str">
        <f t="shared" si="41"/>
        <v>EC</v>
      </c>
      <c r="AH126" s="86" t="str">
        <f t="shared" si="42"/>
        <v>"%USERPROFILE%\Documents\GitHub\eaglep3\Utilities\RefineRTDCRunTimes.py" --tripid 214-07 --locoid 4031 --swversion DE.1.0.9.0 --startMP 204:233093 --initTime 2017-04-07T18:33:40 --startdatetime 2017-04-07T18:41:23 --delay 1 --endMP 204:169 --enddatetime 2017-04-07T19:20:16 --enforcementcount 0 &gt;&gt;C:\Users\stu\Documents\GitHub\eaglep3-reporting\EC\2017-04-07-refined-times.txt</v>
      </c>
      <c r="AI126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{"issue":{"subject":"","project_id":79,"tracker_id":40,"status_id":1,"priority_id":2,"assigned_to_id":23,"start_date":"2017-04-07","description":"","custom_fields":[{"id":1,"name":"Subdivision","value":"EC"},{"id":4,"name":"Milepost","value":"0.0169"},{"id":17,"name":"Train ID","value":"214-07"},{"id":16,"name":"Locomotive ID","value":"4031"},{"id":130,"name":"Impact","value":""},{"id":150,"name":"Time of Event (Mountain Time)","value":"19:20:16"},{"id":151,"name":"Denver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4"/>
        <v>start /low /b %USERPROFILE%\Documents\GitHub\eaglep3\Utilities\DownloadLogsFromS3.py --loco 4031 --day 2017-04-07</v>
      </c>
      <c r="AN126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01:20:16"},{"id":29,"name":"Sharepoint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647</v>
      </c>
      <c r="B127" s="7">
        <v>4014</v>
      </c>
      <c r="C127" s="21" t="s">
        <v>216</v>
      </c>
      <c r="D127" s="21" t="s">
        <v>869</v>
      </c>
      <c r="E127" s="13">
        <v>42832.745995370373</v>
      </c>
      <c r="F127" s="13">
        <v>42832.750185185185</v>
      </c>
      <c r="G127" s="7">
        <v>2</v>
      </c>
      <c r="H127" s="21" t="s">
        <v>907</v>
      </c>
      <c r="I127" s="13">
        <v>42832.776909722219</v>
      </c>
      <c r="J127" s="7">
        <v>0</v>
      </c>
      <c r="K127" s="97" t="str">
        <f t="shared" si="29"/>
        <v>4013/4014</v>
      </c>
      <c r="L127" s="21" t="str">
        <f>VLOOKUP(A127,'Trips&amp;Operators'!$C$1:$G$99999,5,FALSE)</f>
        <v>STRICKLAND EVAN</v>
      </c>
      <c r="M127" s="6">
        <f t="shared" si="30"/>
        <v>2.6724537034169771E-2</v>
      </c>
      <c r="N127" s="7">
        <f t="shared" si="51"/>
        <v>38.48333332920447</v>
      </c>
      <c r="O127" s="7"/>
      <c r="P127" s="7"/>
      <c r="Q127" s="22"/>
      <c r="R127" s="22"/>
      <c r="S127" s="31">
        <f t="shared" si="32"/>
        <v>1</v>
      </c>
      <c r="T127" s="46" t="str">
        <f t="shared" si="33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4"/>
        <v>https://d0f6bd738d7f1b3e5a7ca70fe4ff75f0.us-east-1.aws.found.io/app/kibana#/discover/Steve-Slow-Train-Analysis-(2080s-and-2083s)?_g=(refreshInterval:(display:Off,pause:!f,section:0,value:0),time:(from:'2017-04-07T16:54:14-0600',mode:absolute,to:'2017-04-07T19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7" s="183" t="str">
        <f t="shared" si="35"/>
        <v>N</v>
      </c>
      <c r="X127" s="183">
        <f t="shared" si="49"/>
        <v>1</v>
      </c>
      <c r="Y127" s="62">
        <f t="shared" si="50"/>
        <v>4.3799999999999999E-2</v>
      </c>
      <c r="Z127" s="62">
        <f t="shared" si="52"/>
        <v>23.331800000000001</v>
      </c>
      <c r="AA127" s="62">
        <f t="shared" si="37"/>
        <v>23.288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8"/>
        <v>0215-07</v>
      </c>
      <c r="AE127" s="85" t="str">
        <f t="shared" si="39"/>
        <v>aws s3 cp s3://rtdc.mdm.uploadarchive.raw/RTDC4014/ "%USERPROFILE%\AppData\Local\Temp\OnboardLogs"\RTDC4014\2017-04-07 --exclude "*" --recursive --include "*20170407*" &amp; "%USERPROFILE%\Documents\GitHub\mrs-test-scripts\Headless Mode &amp; Sideloading\WalkAndUnGZ.bat" "%USERPROFILE%\AppData\Local\Temp\OnboardLogs"\RTDC4014\2017-04-07 &amp; 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</v>
      </c>
      <c r="AF127" s="82" t="str">
        <f t="shared" si="40"/>
        <v>"C:\Program Files (x86)\AstroGrep\AstroGrep.exe" /e /r /s /spath="%USERPROFILE%\AppData\Local\Temp\OnboardLogs" /stypes="app*4014*20170408*" /stext=" 00:.+((SYSTEM_STATE.+slice.+state.+changed )|(ment ac)|(multiple cpu faults)|(system.+state.+changed )|(\[timeout)|(PRM\|1\|D)|(kpr)|(kdp)|(\|lc)|(penalty))"</v>
      </c>
      <c r="AG127" s="1" t="str">
        <f t="shared" si="41"/>
        <v>EC</v>
      </c>
      <c r="AH127" s="86" t="str">
        <f t="shared" si="42"/>
        <v>"%USERPROFILE%\Documents\GitHub\eaglep3\Utilities\RefineRTDCRunTimes.py" --tripid 215-07 --locoid 4014 --swversion DE.1.0.9.0 --startMP 204:438 --initTime 2017-04-07T17:54:14 --startdatetime 2017-04-07T18:00:16 --delay 2 --endMP 204:233318 --enddatetime 2017-04-07T18:38:45 --enforcementcount 0 &gt;&gt;C:\Users\stu\Documents\GitHub\eaglep3-reporting\EC\2017-04-07-refined-times.txt</v>
      </c>
      <c r="AI127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{"issue":{"subject":"","project_id":79,"tracker_id":40,"status_id":1,"priority_id":2,"assigned_to_id":23,"start_date":"2017-04-07","description":"","custom_fields":[{"id":1,"name":"Subdivision","value":"EC"},{"id":4,"name":"Milepost","value":"23.3318"},{"id":17,"name":"Train ID","value":"215-07"},{"id":16,"name":"Locomotive ID","value":"4014"},{"id":130,"name":"Impact","value":""},{"id":150,"name":"Time of Event (Mountain Time)","value":"18:38:45"},{"id":151,"name":"Denver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4"/>
        <v>start /low /b %USERPROFILE%\Documents\GitHub\eaglep3\Utilities\DownloadLogsFromS3.py --loco 4014 --day 2017-04-07</v>
      </c>
      <c r="AN127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00:38:45"},{"id":29,"name":"Sharepoint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650</v>
      </c>
      <c r="B128" s="7">
        <v>4013</v>
      </c>
      <c r="C128" s="21" t="s">
        <v>216</v>
      </c>
      <c r="D128" s="21" t="s">
        <v>433</v>
      </c>
      <c r="E128" s="13">
        <v>42832.779131944444</v>
      </c>
      <c r="F128" s="13">
        <v>42832.789039351854</v>
      </c>
      <c r="G128" s="7">
        <v>2</v>
      </c>
      <c r="H128" s="21" t="s">
        <v>400</v>
      </c>
      <c r="I128" s="13">
        <v>42832.817395833335</v>
      </c>
      <c r="J128" s="7">
        <v>0</v>
      </c>
      <c r="K128" s="97" t="str">
        <f t="shared" si="29"/>
        <v>4013/4014</v>
      </c>
      <c r="L128" s="21" t="str">
        <f>VLOOKUP(A128,'Trips&amp;Operators'!$C$1:$G$99999,5,FALSE)</f>
        <v>STRICKLAND EVAN</v>
      </c>
      <c r="M128" s="6">
        <f t="shared" si="30"/>
        <v>2.8356481481750961E-2</v>
      </c>
      <c r="N128" s="7">
        <f t="shared" si="51"/>
        <v>40.833333333721384</v>
      </c>
      <c r="O128" s="7"/>
      <c r="P128" s="7"/>
      <c r="Q128" s="22"/>
      <c r="R128" s="22"/>
      <c r="S128" s="31">
        <f t="shared" si="32"/>
        <v>1</v>
      </c>
      <c r="T128" s="46" t="str">
        <f t="shared" si="33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4"/>
        <v>https://d0f6bd738d7f1b3e5a7ca70fe4ff75f0.us-east-1.aws.found.io/app/kibana#/discover/Steve-Slow-Train-Analysis-(2080s-and-2083s)?_g=(refreshInterval:(display:Off,pause:!f,section:0,value:0),time:(from:'2017-04-07T17:41:57-0600',mode:absolute,to:'2017-04-07T20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8" s="183" t="str">
        <f t="shared" si="35"/>
        <v>N</v>
      </c>
      <c r="X128" s="183">
        <f t="shared" si="49"/>
        <v>1</v>
      </c>
      <c r="Y128" s="62">
        <f t="shared" si="50"/>
        <v>23.299800000000001</v>
      </c>
      <c r="Z128" s="62">
        <f t="shared" si="52"/>
        <v>1.61E-2</v>
      </c>
      <c r="AA128" s="62">
        <f t="shared" si="37"/>
        <v>23.2837</v>
      </c>
      <c r="AB128" s="59" t="str">
        <f>VLOOKUP(A128,Enforcements!$C$7:$K$13,8,0)</f>
        <v>Bulletin (2)</v>
      </c>
      <c r="AC128" s="55" t="str">
        <f>VLOOKUP(A128,Enforcements!$C$7:$E$13,3,0)</f>
        <v>GRADE CROSSING</v>
      </c>
      <c r="AD128" s="56" t="str">
        <f t="shared" si="38"/>
        <v>0216-07</v>
      </c>
      <c r="AE128" s="85" t="str">
        <f t="shared" si="39"/>
        <v>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 &amp; 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</v>
      </c>
      <c r="AF128" s="82" t="str">
        <f t="shared" si="40"/>
        <v>"C:\Program Files (x86)\AstroGrep\AstroGrep.exe" /e /r /s /spath="%USERPROFILE%\AppData\Local\Temp\OnboardLogs" /stypes="app*4013*20170408*" /stext=" 01:.+((SYSTEM_STATE.+slice.+state.+changed )|(ment ac)|(multiple cpu faults)|(system.+state.+changed )|(\[timeout)|(PRM\|1\|D)|(kpr)|(kdp)|(\|lc)|(penalty))"</v>
      </c>
      <c r="AG128" s="1" t="str">
        <f t="shared" si="41"/>
        <v>EC</v>
      </c>
      <c r="AH128" s="86" t="str">
        <f t="shared" si="42"/>
        <v>"%USERPROFILE%\Documents\GitHub\eaglep3\Utilities\RefineRTDCRunTimes.py" --tripid 216-07 --locoid 4013 --swversion DE.1.0.9.0 --startMP 204:232998 --initTime 2017-04-07T18:41:57 --startdatetime 2017-04-07T18:56:13 --delay 2 --endMP 204:161 --enddatetime 2017-04-07T19:37:03 --enforcementcount 0 &gt;&gt;C:\Users\stu\Documents\GitHub\eaglep3-reporting\EC\2017-04-07-refined-times.txt</v>
      </c>
      <c r="AI128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{"issue":{"subject":"","project_id":79,"tracker_id":40,"status_id":1,"priority_id":2,"assigned_to_id":23,"start_date":"2017-04-07","description":"","custom_fields":[{"id":1,"name":"Subdivision","value":"EC"},{"id":4,"name":"Milepost","value":"0.0161"},{"id":17,"name":"Train ID","value":"216-07"},{"id":16,"name":"Locomotive ID","value":"4013"},{"id":130,"name":"Impact","value":""},{"id":150,"name":"Time of Event (Mountain Time)","value":"19:37:03"},{"id":151,"name":"Denver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4"/>
        <v>start /low /b %USERPROFILE%\Documents\GitHub\eaglep3\Utilities\DownloadLogsFromS3.py --loco 4013 --day 2017-04-07</v>
      </c>
      <c r="AN128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01:37:03"},{"id":29,"name":"Sharepoint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806</v>
      </c>
      <c r="B129" s="7">
        <v>4026</v>
      </c>
      <c r="C129" s="21" t="s">
        <v>216</v>
      </c>
      <c r="D129" s="21" t="s">
        <v>425</v>
      </c>
      <c r="E129" s="13">
        <v>42832.753460648149</v>
      </c>
      <c r="F129" s="13">
        <v>42832.760833333334</v>
      </c>
      <c r="G129" s="7">
        <v>3</v>
      </c>
      <c r="H129" s="21" t="s">
        <v>417</v>
      </c>
      <c r="I129" s="13">
        <v>42832.786516203705</v>
      </c>
      <c r="J129" s="7">
        <v>0</v>
      </c>
      <c r="K129" s="97" t="str">
        <f t="shared" si="29"/>
        <v>4025/4026</v>
      </c>
      <c r="L129" s="21" t="str">
        <f>VLOOKUP(A129,'Trips&amp;Operators'!$C$1:$G$99999,5,FALSE)</f>
        <v>GUZMAN DANNY</v>
      </c>
      <c r="M129" s="6">
        <f t="shared" si="30"/>
        <v>2.5682870371383615E-2</v>
      </c>
      <c r="N129" s="7">
        <f t="shared" si="51"/>
        <v>36.983333334792405</v>
      </c>
      <c r="O129" s="7"/>
      <c r="P129" s="7"/>
      <c r="Q129" s="22"/>
      <c r="R129" s="22"/>
      <c r="S129" s="31">
        <f t="shared" si="32"/>
        <v>1</v>
      </c>
      <c r="T129" s="46" t="str">
        <f t="shared" si="33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4"/>
        <v>https://d0f6bd738d7f1b3e5a7ca70fe4ff75f0.us-east-1.aws.found.io/app/kibana#/discover/Steve-Slow-Train-Analysis-(2080s-and-2083s)?_g=(refreshInterval:(display:Off,pause:!f,section:0,value:0),time:(from:'2017-04-07T17:04:59-0600',mode:absolute,to:'2017-04-07T19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9" s="183" t="str">
        <f t="shared" si="35"/>
        <v>N</v>
      </c>
      <c r="X129" s="183">
        <f t="shared" si="49"/>
        <v>1</v>
      </c>
      <c r="Y129" s="62">
        <f t="shared" si="50"/>
        <v>4.4600000000000001E-2</v>
      </c>
      <c r="Z129" s="62">
        <f t="shared" si="52"/>
        <v>23.330400000000001</v>
      </c>
      <c r="AA129" s="62">
        <f t="shared" si="37"/>
        <v>23.285800000000002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8"/>
        <v>0217-07</v>
      </c>
      <c r="AE129" s="85" t="str">
        <f t="shared" si="39"/>
        <v>aws s3 cp s3://rtdc.mdm.uploadarchive.raw/RTDC4026/ "%USERPROFILE%\AppData\Local\Temp\OnboardLogs"\RTDC4026\2017-04-07 --exclude "*" --recursive --include "*20170407*" &amp; "%USERPROFILE%\Documents\GitHub\mrs-test-scripts\Headless Mode &amp; Sideloading\WalkAndUnGZ.bat" "%USERPROFILE%\AppData\Local\Temp\OnboardLogs"\RTDC4026\2017-04-07 &amp; aws s3 cp s3://rtdc.mdm.uploadarchive.raw/RTDC4026/ "%USERPROFILE%\AppData\Local\Temp\OnboardLogs"\RTDC4026\2017-04-08 --exclude "*" --recursive --include "*20170408*" &amp; "%USERPROFILE%\Documents\GitHub\mrs-test-scripts\Headless Mode &amp; Sideloading\WalkAndUnGZ.bat" "%USERPROFILE%\AppData\Local\Temp\OnboardLogs"\RTDC4026\2017-04-08</v>
      </c>
      <c r="AF129" s="82" t="str">
        <f t="shared" si="40"/>
        <v>"C:\Program Files (x86)\AstroGrep\AstroGrep.exe" /e /r /s /spath="%USERPROFILE%\AppData\Local\Temp\OnboardLogs" /stypes="app*4026*20170408*" /stext=" 00:.+((SYSTEM_STATE.+slice.+state.+changed )|(ment ac)|(multiple cpu faults)|(system.+state.+changed )|(\[timeout)|(PRM\|1\|D)|(kpr)|(kdp)|(\|lc)|(penalty))"</v>
      </c>
      <c r="AG129" s="1" t="str">
        <f t="shared" si="41"/>
        <v>EC</v>
      </c>
      <c r="AH129" s="86" t="str">
        <f t="shared" si="42"/>
        <v>"%USERPROFILE%\Documents\GitHub\eaglep3\Utilities\RefineRTDCRunTimes.py" --tripid 217-07 --locoid 4026 --swversion DE.1.0.9.0 --startMP 204:446 --initTime 2017-04-07T18:04:59 --startdatetime 2017-04-07T18:15:36 --delay 3 --endMP 204:233304 --enddatetime 2017-04-07T18:52:35 --enforcementcount 0 &gt;&gt;C:\Users\stu\Documents\GitHub\eaglep3-reporting\EC\2017-04-07-refined-times.txt</v>
      </c>
      <c r="AI129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{"issue":{"subject":"","project_id":79,"tracker_id":40,"status_id":1,"priority_id":2,"assigned_to_id":23,"start_date":"2017-04-07","description":"","custom_fields":[{"id":1,"name":"Subdivision","value":"EC"},{"id":4,"name":"Milepost","value":"23.3304"},{"id":17,"name":"Train ID","value":"217-07"},{"id":16,"name":"Locomotive ID","value":"4026"},{"id":130,"name":"Impact","value":""},{"id":150,"name":"Time of Event (Mountain Time)","value":"18:52:35"},{"id":151,"name":"Denver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4"/>
        <v>start /low /b %USERPROFILE%\Documents\GitHub\eaglep3\Utilities\DownloadLogsFromS3.py --loco 4026 --day 2017-04-07</v>
      </c>
      <c r="AN129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00:52:35"},{"id":29,"name":"Sharepoint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814</v>
      </c>
      <c r="B130" s="7">
        <v>4025</v>
      </c>
      <c r="C130" s="21" t="s">
        <v>216</v>
      </c>
      <c r="D130" s="21" t="s">
        <v>867</v>
      </c>
      <c r="E130" s="13">
        <v>42832.787870370368</v>
      </c>
      <c r="F130" s="13">
        <v>42832.799479166664</v>
      </c>
      <c r="G130" s="7">
        <v>1</v>
      </c>
      <c r="H130" s="21" t="s">
        <v>459</v>
      </c>
      <c r="I130" s="13">
        <v>42832.827094907407</v>
      </c>
      <c r="J130" s="7">
        <v>0</v>
      </c>
      <c r="K130" s="97" t="str">
        <f t="shared" si="29"/>
        <v>4025/4026</v>
      </c>
      <c r="L130" s="21" t="str">
        <f>VLOOKUP(A130,'Trips&amp;Operators'!$C$1:$G$99999,5,FALSE)</f>
        <v>GUZMAN DANNY</v>
      </c>
      <c r="M130" s="6">
        <f t="shared" si="30"/>
        <v>2.7615740742476191E-2</v>
      </c>
      <c r="N130" s="7">
        <f t="shared" si="51"/>
        <v>39.766666669165716</v>
      </c>
      <c r="O130" s="7"/>
      <c r="P130" s="7"/>
      <c r="Q130" s="22"/>
      <c r="R130" s="22"/>
      <c r="S130" s="31">
        <f t="shared" si="32"/>
        <v>1</v>
      </c>
      <c r="T130" s="46" t="str">
        <f t="shared" si="33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4"/>
        <v>https://d0f6bd738d7f1b3e5a7ca70fe4ff75f0.us-east-1.aws.found.io/app/kibana#/discover/Steve-Slow-Train-Analysis-(2080s-and-2083s)?_g=(refreshInterval:(display:Off,pause:!f,section:0,value:0),time:(from:'2017-04-07T17:54:32-0600',mode:absolute,to:'2017-04-07T20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0" s="183" t="str">
        <f t="shared" si="35"/>
        <v>N</v>
      </c>
      <c r="X130" s="183">
        <f t="shared" si="49"/>
        <v>1</v>
      </c>
      <c r="Y130" s="62">
        <f t="shared" si="50"/>
        <v>23.297899999999998</v>
      </c>
      <c r="Z130" s="62">
        <f t="shared" si="52"/>
        <v>1.6500000000000001E-2</v>
      </c>
      <c r="AA130" s="62">
        <f t="shared" si="37"/>
        <v>23.281399999999998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8"/>
        <v>0218-07</v>
      </c>
      <c r="AE130" s="85" t="str">
        <f t="shared" si="39"/>
        <v>aws s3 cp s3://rtdc.mdm.uploadarchive.raw/RTDC4025/ "%USERPROFILE%\AppData\Local\Temp\OnboardLogs"\RTDC4025\2017-04-07 --exclude "*" --recursive --include "*20170407*" &amp; "%USERPROFILE%\Documents\GitHub\mrs-test-scripts\Headless Mode &amp; Sideloading\WalkAndUnGZ.bat" "%USERPROFILE%\AppData\Local\Temp\OnboardLogs"\RTDC4025\2017-04-07 &amp; aws s3 cp s3://rtdc.mdm.uploadarchive.raw/RTDC4025/ "%USERPROFILE%\AppData\Local\Temp\OnboardLogs"\RTDC4025\2017-04-08 --exclude "*" --recursive --include "*20170408*" &amp; "%USERPROFILE%\Documents\GitHub\mrs-test-scripts\Headless Mode &amp; Sideloading\WalkAndUnGZ.bat" "%USERPROFILE%\AppData\Local\Temp\OnboardLogs"\RTDC4025\2017-04-08</v>
      </c>
      <c r="AF130" s="82" t="str">
        <f t="shared" si="40"/>
        <v>"C:\Program Files (x86)\AstroGrep\AstroGrep.exe" /e /r /s /spath="%USERPROFILE%\AppData\Local\Temp\OnboardLogs" /stypes="app*4025*20170408*" /stext=" 01:.+((SYSTEM_STATE.+slice.+state.+changed )|(ment ac)|(multiple cpu faults)|(system.+state.+changed )|(\[timeout)|(PRM\|1\|D)|(kpr)|(kdp)|(\|lc)|(penalty))"</v>
      </c>
      <c r="AG130" s="1" t="str">
        <f t="shared" si="41"/>
        <v>EC</v>
      </c>
      <c r="AH130" s="86" t="str">
        <f t="shared" si="42"/>
        <v>"%USERPROFILE%\Documents\GitHub\eaglep3\Utilities\RefineRTDCRunTimes.py" --tripid 218-07 --locoid 4025 --swversion DE.1.0.9.0 --startMP 204:232979 --initTime 2017-04-07T18:54:32 --startdatetime 2017-04-07T19:11:15 --delay 1 --endMP 204:165 --enddatetime 2017-04-07T19:51:01 --enforcementcount 0 &gt;&gt;C:\Users\stu\Documents\GitHub\eaglep3-reporting\EC\2017-04-07-refined-times.txt</v>
      </c>
      <c r="AI130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{"issue":{"subject":"","project_id":79,"tracker_id":40,"status_id":1,"priority_id":2,"assigned_to_id":23,"start_date":"2017-04-07","description":"","custom_fields":[{"id":1,"name":"Subdivision","value":"EC"},{"id":4,"name":"Milepost","value":"0.0165"},{"id":17,"name":"Train ID","value":"218-07"},{"id":16,"name":"Locomotive ID","value":"4025"},{"id":130,"name":"Impact","value":""},{"id":150,"name":"Time of Event (Mountain Time)","value":"19:51:01"},{"id":151,"name":"Denver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4"/>
        <v>start /low /b %USERPROFILE%\Documents\GitHub\eaglep3\Utilities\DownloadLogsFromS3.py --loco 4025 --day 2017-04-07</v>
      </c>
      <c r="AN130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01:51:01"},{"id":29,"name":"Sharepoint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809</v>
      </c>
      <c r="B131" s="7">
        <v>4010</v>
      </c>
      <c r="C131" s="21" t="s">
        <v>216</v>
      </c>
      <c r="D131" s="21" t="s">
        <v>908</v>
      </c>
      <c r="E131" s="13">
        <v>42832.765949074077</v>
      </c>
      <c r="F131" s="13">
        <v>42832.771087962959</v>
      </c>
      <c r="G131" s="7">
        <v>2</v>
      </c>
      <c r="H131" s="21" t="s">
        <v>909</v>
      </c>
      <c r="I131" s="13">
        <v>42832.797152777777</v>
      </c>
      <c r="J131" s="7">
        <v>0</v>
      </c>
      <c r="K131" s="97" t="str">
        <f t="shared" si="29"/>
        <v>4009/4010</v>
      </c>
      <c r="L131" s="21" t="str">
        <f>VLOOKUP(A131,'Trips&amp;Operators'!$C$1:$G$99999,5,FALSE)</f>
        <v>SWANSON BRYCE</v>
      </c>
      <c r="M131" s="6">
        <f t="shared" si="30"/>
        <v>2.6064814817800652E-2</v>
      </c>
      <c r="N131" s="7">
        <f t="shared" si="51"/>
        <v>37.533333337632939</v>
      </c>
      <c r="O131" s="7"/>
      <c r="P131" s="7"/>
      <c r="Q131" s="22"/>
      <c r="R131" s="22"/>
      <c r="S131" s="31">
        <f t="shared" si="32"/>
        <v>1</v>
      </c>
      <c r="T131" s="46" t="str">
        <f t="shared" si="33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4"/>
        <v>https://d0f6bd738d7f1b3e5a7ca70fe4ff75f0.us-east-1.aws.found.io/app/kibana#/discover/Steve-Slow-Train-Analysis-(2080s-and-2083s)?_g=(refreshInterval:(display:Off,pause:!f,section:0,value:0),time:(from:'2017-04-07T17:22:58-0600',mode:absolute,to:'2017-04-07T20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1" s="183" t="str">
        <f t="shared" si="35"/>
        <v>N</v>
      </c>
      <c r="X131" s="183">
        <f t="shared" si="49"/>
        <v>1</v>
      </c>
      <c r="Y131" s="62">
        <f t="shared" si="50"/>
        <v>4.9700000000000001E-2</v>
      </c>
      <c r="Z131" s="62">
        <f t="shared" si="52"/>
        <v>23.3324</v>
      </c>
      <c r="AA131" s="62">
        <f t="shared" si="37"/>
        <v>23.282699999999998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8"/>
        <v>0219-07</v>
      </c>
      <c r="AE131" s="85" t="str">
        <f t="shared" si="39"/>
        <v>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 &amp; 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</v>
      </c>
      <c r="AF131" s="82" t="str">
        <f t="shared" si="40"/>
        <v>"C:\Program Files (x86)\AstroGrep\AstroGrep.exe" /e /r /s /spath="%USERPROFILE%\AppData\Local\Temp\OnboardLogs" /stypes="app*4010*20170408*" /stext=" 01:.+((SYSTEM_STATE.+slice.+state.+changed )|(ment ac)|(multiple cpu faults)|(system.+state.+changed )|(\[timeout)|(PRM\|1\|D)|(kpr)|(kdp)|(\|lc)|(penalty))"</v>
      </c>
      <c r="AG131" s="1" t="str">
        <f t="shared" si="41"/>
        <v>EC</v>
      </c>
      <c r="AH131" s="86" t="str">
        <f t="shared" si="42"/>
        <v>"%USERPROFILE%\Documents\GitHub\eaglep3\Utilities\RefineRTDCRunTimes.py" --tripid 219-07 --locoid 4010 --swversion DE.1.0.9.0 --startMP 204:497 --initTime 2017-04-07T18:22:58 --startdatetime 2017-04-07T18:30:22 --delay 2 --endMP 204:233324 --enddatetime 2017-04-07T19:07:54 --enforcementcount 0 &gt;&gt;C:\Users\stu\Documents\GitHub\eaglep3-reporting\EC\2017-04-07-refined-times.txt</v>
      </c>
      <c r="AI131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{"issue":{"subject":"","project_id":79,"tracker_id":40,"status_id":1,"priority_id":2,"assigned_to_id":23,"start_date":"2017-04-07","description":"","custom_fields":[{"id":1,"name":"Subdivision","value":"EC"},{"id":4,"name":"Milepost","value":"23.3324"},{"id":17,"name":"Train ID","value":"219-07"},{"id":16,"name":"Locomotive ID","value":"4010"},{"id":130,"name":"Impact","value":""},{"id":150,"name":"Time of Event (Mountain Time)","value":"19:07:54"},{"id":151,"name":"Denver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4"/>
        <v>start /low /b %USERPROFILE%\Documents\GitHub\eaglep3\Utilities\DownloadLogsFromS3.py --loco 4010 --day 2017-04-07</v>
      </c>
      <c r="AN131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01:07:54"},{"id":29,"name":"Sharepoint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818</v>
      </c>
      <c r="B132" s="7">
        <v>4009</v>
      </c>
      <c r="C132" s="21" t="s">
        <v>216</v>
      </c>
      <c r="D132" s="21" t="s">
        <v>598</v>
      </c>
      <c r="E132" s="13">
        <v>42832.80201388889</v>
      </c>
      <c r="F132" s="13">
        <v>42832.81</v>
      </c>
      <c r="G132" s="7">
        <v>1</v>
      </c>
      <c r="H132" s="21" t="s">
        <v>199</v>
      </c>
      <c r="I132" s="13">
        <v>42832.839560185188</v>
      </c>
      <c r="J132" s="7">
        <v>0</v>
      </c>
      <c r="K132" s="97" t="str">
        <f t="shared" si="29"/>
        <v>4009/4010</v>
      </c>
      <c r="L132" s="21" t="str">
        <f>VLOOKUP(A132,'Trips&amp;Operators'!$C$1:$G$99999,5,FALSE)</f>
        <v>SWANSON BRYCE</v>
      </c>
      <c r="M132" s="6">
        <f t="shared" si="30"/>
        <v>2.956018519034842E-2</v>
      </c>
      <c r="N132" s="7">
        <f t="shared" si="51"/>
        <v>42.566666674101725</v>
      </c>
      <c r="O132" s="7"/>
      <c r="P132" s="7"/>
      <c r="Q132" s="22"/>
      <c r="R132" s="22"/>
      <c r="S132" s="31">
        <f t="shared" si="32"/>
        <v>1</v>
      </c>
      <c r="T132" s="46" t="str">
        <f t="shared" si="33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4"/>
        <v>https://d0f6bd738d7f1b3e5a7ca70fe4ff75f0.us-east-1.aws.found.io/app/kibana#/discover/Steve-Slow-Train-Analysis-(2080s-and-2083s)?_g=(refreshInterval:(display:Off,pause:!f,section:0,value:0),time:(from:'2017-04-07T18:14:54-0600',mode:absolute,to:'2017-04-07T21:08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2" s="183" t="str">
        <f t="shared" si="35"/>
        <v>N</v>
      </c>
      <c r="X132" s="183">
        <f t="shared" si="49"/>
        <v>1</v>
      </c>
      <c r="Y132" s="62">
        <f t="shared" si="50"/>
        <v>23.3017</v>
      </c>
      <c r="Z132" s="62">
        <f t="shared" si="52"/>
        <v>1.5800000000000002E-2</v>
      </c>
      <c r="AA132" s="62">
        <f t="shared" si="37"/>
        <v>23.285900000000002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8"/>
        <v>0220-07</v>
      </c>
      <c r="AE132" s="85" t="str">
        <f t="shared" si="39"/>
        <v>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 &amp; aws s3 cp s3://rtdc.mdm.uploadarchive.raw/RTDC4009/ "%USERPROFILE%\AppData\Local\Temp\OnboardLogs"\RTDC4009\2017-04-08 --exclude "*" --recursive --include "*20170408*" &amp; "%USERPROFILE%\Documents\GitHub\mrs-test-scripts\Headless Mode &amp; Sideloading\WalkAndUnGZ.bat" "%USERPROFILE%\AppData\Local\Temp\OnboardLogs"\RTDC4009\2017-04-08</v>
      </c>
      <c r="AF132" s="82" t="str">
        <f t="shared" si="40"/>
        <v>"C:\Program Files (x86)\AstroGrep\AstroGrep.exe" /e /r /s /spath="%USERPROFILE%\AppData\Local\Temp\OnboardLogs" /stypes="app*4009*20170408*" /stext=" 02:.+((SYSTEM_STATE.+slice.+state.+changed )|(ment ac)|(multiple cpu faults)|(system.+state.+changed )|(\[timeout)|(PRM\|1\|D)|(kpr)|(kdp)|(\|lc)|(penalty))"</v>
      </c>
      <c r="AG132" s="1" t="str">
        <f t="shared" si="41"/>
        <v>EC</v>
      </c>
      <c r="AH132" s="86" t="str">
        <f t="shared" si="42"/>
        <v>"%USERPROFILE%\Documents\GitHub\eaglep3\Utilities\RefineRTDCRunTimes.py" --tripid 220-07 --locoid 4009 --swversion DE.1.0.9.0 --startMP 204:233017 --initTime 2017-04-07T19:14:54 --startdatetime 2017-04-07T19:26:24 --delay 1 --endMP 204:158 --enddatetime 2017-04-07T20:08:58 --enforcementcount 0 &gt;&gt;C:\Users\stu\Documents\GitHub\eaglep3-reporting\EC\2017-04-07-refined-times.txt</v>
      </c>
      <c r="AI132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{"issue":{"subject":"","project_id":79,"tracker_id":40,"status_id":1,"priority_id":2,"assigned_to_id":23,"start_date":"2017-04-07","description":"","custom_fields":[{"id":1,"name":"Subdivision","value":"EC"},{"id":4,"name":"Milepost","value":"0.0158"},{"id":17,"name":"Train ID","value":"220-07"},{"id":16,"name":"Locomotive ID","value":"4009"},{"id":130,"name":"Impact","value":""},{"id":150,"name":"Time of Event (Mountain Time)","value":"20:08:58"},{"id":151,"name":"Denver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4"/>
        <v>start /low /b %USERPROFILE%\Documents\GitHub\eaglep3\Utilities\DownloadLogsFromS3.py --loco 4009 --day 2017-04-07</v>
      </c>
      <c r="AN132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02:08:58"},{"id":29,"name":"Sharepoint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649</v>
      </c>
      <c r="B133" s="7">
        <v>4030</v>
      </c>
      <c r="C133" s="21" t="s">
        <v>216</v>
      </c>
      <c r="D133" s="21" t="s">
        <v>495</v>
      </c>
      <c r="E133" s="13">
        <v>42832.787048611113</v>
      </c>
      <c r="F133" s="13">
        <v>42832.791898148149</v>
      </c>
      <c r="G133" s="7">
        <v>3</v>
      </c>
      <c r="H133" s="21" t="s">
        <v>417</v>
      </c>
      <c r="I133" s="13">
        <v>42832.818969907406</v>
      </c>
      <c r="J133" s="7">
        <v>0</v>
      </c>
      <c r="K133" s="97" t="str">
        <f t="shared" si="29"/>
        <v>4029/4030</v>
      </c>
      <c r="L133" s="21" t="str">
        <f>VLOOKUP(A133,'Trips&amp;Operators'!$C$1:$G$99999,5,FALSE)</f>
        <v>BROWN JACOB</v>
      </c>
      <c r="M133" s="6">
        <f t="shared" si="30"/>
        <v>2.7071759257523809E-2</v>
      </c>
      <c r="N133" s="7">
        <f t="shared" si="51"/>
        <v>38.983333330834284</v>
      </c>
      <c r="O133" s="7"/>
      <c r="P133" s="7"/>
      <c r="Q133" s="22"/>
      <c r="R133" s="22"/>
      <c r="S133" s="31">
        <f t="shared" si="32"/>
        <v>1</v>
      </c>
      <c r="T133" s="46" t="str">
        <f t="shared" si="33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4"/>
        <v>https://d0f6bd738d7f1b3e5a7ca70fe4ff75f0.us-east-1.aws.found.io/app/kibana#/discover/Steve-Slow-Train-Analysis-(2080s-and-2083s)?_g=(refreshInterval:(display:Off,pause:!f,section:0,value:0),time:(from:'2017-04-07T17:53:21-0600',mode:absolute,to:'2017-04-07T20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3" s="183" t="str">
        <f t="shared" si="35"/>
        <v>N</v>
      </c>
      <c r="X133" s="183">
        <f t="shared" ref="X133:X164" si="53">VALUE(LEFT(AD133,4))-VALUE(LEFT(AD132,4))</f>
        <v>1</v>
      </c>
      <c r="Y133" s="62">
        <f t="shared" ref="Y133:Y164" si="54">RIGHT(D133,LEN(D133)-4)/10000</f>
        <v>4.8399999999999999E-2</v>
      </c>
      <c r="Z133" s="62">
        <f t="shared" si="52"/>
        <v>23.330400000000001</v>
      </c>
      <c r="AA133" s="62">
        <f t="shared" si="37"/>
        <v>23.282</v>
      </c>
      <c r="AB133" s="59" t="str">
        <f>VLOOKUP(A133,Enforcements!$C$7:$K$13,8,0)</f>
        <v>Bulletin (2)</v>
      </c>
      <c r="AC133" s="55" t="str">
        <f>VLOOKUP(A133,Enforcements!$C$7:$E$13,3,0)</f>
        <v>GRADE CROSSING</v>
      </c>
      <c r="AD133" s="56" t="str">
        <f t="shared" si="38"/>
        <v>0221-07</v>
      </c>
      <c r="AE133" s="85" t="str">
        <f t="shared" si="39"/>
        <v>aws s3 cp s3://rtdc.mdm.uploadarchive.raw/RTDC4030/ "%USERPROFILE%\AppData\Local\Temp\OnboardLogs"\RTDC4030\2017-04-07 --exclude "*" --recursive --include "*20170407*" &amp; "%USERPROFILE%\Documents\GitHub\mrs-test-scripts\Headless Mode &amp; Sideloading\WalkAndUnGZ.bat" "%USERPROFILE%\AppData\Local\Temp\OnboardLogs"\RTDC4030\2017-04-07 &amp; aws s3 cp s3://rtdc.mdm.uploadarchive.raw/RTDC4030/ "%USERPROFILE%\AppData\Local\Temp\OnboardLogs"\RTDC4030\2017-04-08 --exclude "*" --recursive --include "*20170408*" &amp; "%USERPROFILE%\Documents\GitHub\mrs-test-scripts\Headless Mode &amp; Sideloading\WalkAndUnGZ.bat" "%USERPROFILE%\AppData\Local\Temp\OnboardLogs"\RTDC4030\2017-04-08</v>
      </c>
      <c r="AF133" s="82" t="str">
        <f t="shared" si="40"/>
        <v>"C:\Program Files (x86)\AstroGrep\AstroGrep.exe" /e /r /s /spath="%USERPROFILE%\AppData\Local\Temp\OnboardLogs" /stypes="app*4030*20170408*" /stext=" 01:.+((SYSTEM_STATE.+slice.+state.+changed )|(ment ac)|(multiple cpu faults)|(system.+state.+changed )|(\[timeout)|(PRM\|1\|D)|(kpr)|(kdp)|(\|lc)|(penalty))"</v>
      </c>
      <c r="AG133" s="1" t="str">
        <f t="shared" si="41"/>
        <v>EC</v>
      </c>
      <c r="AH133" s="86" t="str">
        <f t="shared" si="42"/>
        <v>"%USERPROFILE%\Documents\GitHub\eaglep3\Utilities\RefineRTDCRunTimes.py" --tripid 221-07 --locoid 4030 --swversion DE.1.0.9.0 --startMP 204:484 --initTime 2017-04-07T18:53:21 --startdatetime 2017-04-07T19:00:20 --delay 3 --endMP 204:233304 --enddatetime 2017-04-07T19:39:19 --enforcementcount 0 &gt;&gt;C:\Users\stu\Documents\GitHub\eaglep3-reporting\EC\2017-04-07-refined-times.txt</v>
      </c>
      <c r="AI133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{"issue":{"subject":"","project_id":79,"tracker_id":40,"status_id":1,"priority_id":2,"assigned_to_id":23,"start_date":"2017-04-07","description":"","custom_fields":[{"id":1,"name":"Subdivision","value":"EC"},{"id":4,"name":"Milepost","value":"23.3304"},{"id":17,"name":"Train ID","value":"221-07"},{"id":16,"name":"Locomotive ID","value":"4030"},{"id":130,"name":"Impact","value":""},{"id":150,"name":"Time of Event (Mountain Time)","value":"19:39:19"},{"id":151,"name":"Denver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4"/>
        <v>start /low /b %USERPROFILE%\Documents\GitHub\eaglep3\Utilities\DownloadLogsFromS3.py --loco 4030 --day 2017-04-07</v>
      </c>
      <c r="AN133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01:39:19"},{"id":29,"name":"Sharepoint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824</v>
      </c>
      <c r="B134" s="7">
        <v>4029</v>
      </c>
      <c r="C134" s="21" t="s">
        <v>216</v>
      </c>
      <c r="D134" s="21" t="s">
        <v>534</v>
      </c>
      <c r="E134" s="13">
        <v>42832.825439814813</v>
      </c>
      <c r="F134" s="13">
        <v>42832.830729166664</v>
      </c>
      <c r="G134" s="7">
        <v>2</v>
      </c>
      <c r="H134" s="21" t="s">
        <v>860</v>
      </c>
      <c r="I134" s="13">
        <v>42832.860798611109</v>
      </c>
      <c r="J134" s="7">
        <v>0</v>
      </c>
      <c r="K134" s="97" t="str">
        <f t="shared" si="29"/>
        <v>4029/4030</v>
      </c>
      <c r="L134" s="21" t="str">
        <f>VLOOKUP(A134,'Trips&amp;Operators'!$C$1:$G$99999,5,FALSE)</f>
        <v>BROWN JACOB</v>
      </c>
      <c r="M134" s="6">
        <f t="shared" si="30"/>
        <v>3.0069444444961846E-2</v>
      </c>
      <c r="N134" s="7">
        <f t="shared" si="51"/>
        <v>43.300000000745058</v>
      </c>
      <c r="O134" s="7"/>
      <c r="P134" s="7"/>
      <c r="Q134" s="22"/>
      <c r="R134" s="22"/>
      <c r="S134" s="31">
        <f t="shared" si="32"/>
        <v>1</v>
      </c>
      <c r="T134" s="46" t="str">
        <f t="shared" si="33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4"/>
        <v>https://d0f6bd738d7f1b3e5a7ca70fe4ff75f0.us-east-1.aws.found.io/app/kibana#/discover/Steve-Slow-Train-Analysis-(2080s-and-2083s)?_g=(refreshInterval:(display:Off,pause:!f,section:0,value:0),time:(from:'2017-04-07T18:48:38-0600',mode:absolute,to:'2017-04-07T21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4" s="183" t="str">
        <f t="shared" si="35"/>
        <v>N</v>
      </c>
      <c r="X134" s="183">
        <f t="shared" si="53"/>
        <v>1</v>
      </c>
      <c r="Y134" s="62">
        <f t="shared" si="54"/>
        <v>23.3002</v>
      </c>
      <c r="Z134" s="62">
        <f t="shared" si="52"/>
        <v>1.4999999999999999E-2</v>
      </c>
      <c r="AA134" s="62">
        <f t="shared" si="37"/>
        <v>23.2852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8"/>
        <v>0222-07</v>
      </c>
      <c r="AE134" s="85" t="str">
        <f t="shared" si="39"/>
        <v>aws s3 cp s3://rtdc.mdm.uploadarchive.raw/RTDC4029/ "%USERPROFILE%\AppData\Local\Temp\OnboardLogs"\RTDC4029\2017-04-07 --exclude "*" --recursive --include "*20170407*" &amp; "%USERPROFILE%\Documents\GitHub\mrs-test-scripts\Headless Mode &amp; Sideloading\WalkAndUnGZ.bat" "%USERPROFILE%\AppData\Local\Temp\OnboardLogs"\RTDC4029\2017-04-07 &amp; aws s3 cp s3://rtdc.mdm.uploadarchive.raw/RTDC4029/ "%USERPROFILE%\AppData\Local\Temp\OnboardLogs"\RTDC4029\2017-04-08 --exclude "*" --recursive --include "*20170408*" &amp; "%USERPROFILE%\Documents\GitHub\mrs-test-scripts\Headless Mode &amp; Sideloading\WalkAndUnGZ.bat" "%USERPROFILE%\AppData\Local\Temp\OnboardLogs"\RTDC4029\2017-04-08</v>
      </c>
      <c r="AF134" s="82" t="str">
        <f t="shared" si="40"/>
        <v>"C:\Program Files (x86)\AstroGrep\AstroGrep.exe" /e /r /s /spath="%USERPROFILE%\AppData\Local\Temp\OnboardLogs" /stypes="app*4029*20170408*" /stext=" 02:.+((SYSTEM_STATE.+slice.+state.+changed )|(ment ac)|(multiple cpu faults)|(system.+state.+changed )|(\[timeout)|(PRM\|1\|D)|(kpr)|(kdp)|(\|lc)|(penalty))"</v>
      </c>
      <c r="AG134" s="1" t="str">
        <f t="shared" si="41"/>
        <v>EC</v>
      </c>
      <c r="AH134" s="86" t="str">
        <f t="shared" si="42"/>
        <v>"%USERPROFILE%\Documents\GitHub\eaglep3\Utilities\RefineRTDCRunTimes.py" --tripid 222-07 --locoid 4029 --swversion DE.1.0.9.0 --startMP 204:233002 --initTime 2017-04-07T19:48:38 --startdatetime 2017-04-07T19:56:15 --delay 2 --endMP 204:150 --enddatetime 2017-04-07T20:39:33 --enforcementcount 0 &gt;&gt;C:\Users\stu\Documents\GitHub\eaglep3-reporting\EC\2017-04-07-refined-times.txt</v>
      </c>
      <c r="AI134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{"issue":{"subject":"","project_id":79,"tracker_id":40,"status_id":1,"priority_id":2,"assigned_to_id":23,"start_date":"2017-04-07","description":"","custom_fields":[{"id":1,"name":"Subdivision","value":"EC"},{"id":4,"name":"Milepost","value":"0.015"},{"id":17,"name":"Train ID","value":"222-07"},{"id":16,"name":"Locomotive ID","value":"4029"},{"id":130,"name":"Impact","value":""},{"id":150,"name":"Time of Event (Mountain Time)","value":"20:39:33"},{"id":151,"name":"Denver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4"/>
        <v>start /low /b %USERPROFILE%\Documents\GitHub\eaglep3\Utilities\DownloadLogsFromS3.py --loco 4029 --day 2017-04-07</v>
      </c>
      <c r="AN134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02:39:33"},{"id":29,"name":"Sharepoint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819</v>
      </c>
      <c r="B135" s="7">
        <v>4032</v>
      </c>
      <c r="C135" s="21" t="s">
        <v>216</v>
      </c>
      <c r="D135" s="21" t="s">
        <v>600</v>
      </c>
      <c r="E135" s="13">
        <v>42832.808564814812</v>
      </c>
      <c r="F135" s="13">
        <v>42832.812685185185</v>
      </c>
      <c r="G135" s="7">
        <v>2</v>
      </c>
      <c r="H135" s="21" t="s">
        <v>910</v>
      </c>
      <c r="I135" s="13">
        <v>42832.840694444443</v>
      </c>
      <c r="J135" s="7">
        <v>0</v>
      </c>
      <c r="K135" s="97" t="str">
        <f t="shared" si="29"/>
        <v>4031/4032</v>
      </c>
      <c r="L135" s="21" t="str">
        <f>VLOOKUP(A135,'Trips&amp;Operators'!$C$1:$G$99999,5,FALSE)</f>
        <v>DAVIDSON DAVID</v>
      </c>
      <c r="M135" s="6">
        <f t="shared" si="30"/>
        <v>2.8009259258396924E-2</v>
      </c>
      <c r="N135" s="7">
        <f t="shared" si="51"/>
        <v>40.33333333209157</v>
      </c>
      <c r="O135" s="7"/>
      <c r="P135" s="7"/>
      <c r="Q135" s="22"/>
      <c r="R135" s="22"/>
      <c r="S135" s="31">
        <f t="shared" si="32"/>
        <v>1</v>
      </c>
      <c r="T135" s="46" t="str">
        <f t="shared" si="33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4"/>
        <v>https://d0f6bd738d7f1b3e5a7ca70fe4ff75f0.us-east-1.aws.found.io/app/kibana#/discover/Steve-Slow-Train-Analysis-(2080s-and-2083s)?_g=(refreshInterval:(display:Off,pause:!f,section:0,value:0),time:(from:'2017-04-07T18:24:20-0600',mode:absolute,to:'2017-04-07T21:10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5" s="183" t="str">
        <f t="shared" si="35"/>
        <v>N</v>
      </c>
      <c r="X135" s="183">
        <f t="shared" si="53"/>
        <v>1</v>
      </c>
      <c r="Y135" s="62">
        <f t="shared" si="54"/>
        <v>4.7800000000000002E-2</v>
      </c>
      <c r="Z135" s="62">
        <f t="shared" si="52"/>
        <v>23.328399999999998</v>
      </c>
      <c r="AA135" s="62">
        <f t="shared" si="37"/>
        <v>23.2806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8"/>
        <v>0223-07</v>
      </c>
      <c r="AE135" s="85" t="str">
        <f t="shared" si="39"/>
        <v>aws s3 cp s3://rtdc.mdm.uploadarchive.raw/RTDC4032/ "%USERPROFILE%\AppData\Local\Temp\OnboardLogs"\RTDC4032\2017-04-07 --exclude "*" --recursive --include "*20170407*" &amp; "%USERPROFILE%\Documents\GitHub\mrs-test-scripts\Headless Mode &amp; Sideloading\WalkAndUnGZ.bat" "%USERPROFILE%\AppData\Local\Temp\OnboardLogs"\RTDC4032\2017-04-07 &amp; aws s3 cp s3://rtdc.mdm.uploadarchive.raw/RTDC4032/ "%USERPROFILE%\AppData\Local\Temp\OnboardLogs"\RTDC4032\2017-04-08 --exclude "*" --recursive --include "*20170408*" &amp; "%USERPROFILE%\Documents\GitHub\mrs-test-scripts\Headless Mode &amp; Sideloading\WalkAndUnGZ.bat" "%USERPROFILE%\AppData\Local\Temp\OnboardLogs"\RTDC4032\2017-04-08</v>
      </c>
      <c r="AF135" s="82" t="str">
        <f t="shared" si="40"/>
        <v>"C:\Program Files (x86)\AstroGrep\AstroGrep.exe" /e /r /s /spath="%USERPROFILE%\AppData\Local\Temp\OnboardLogs" /stypes="app*4032*20170408*" /stext=" 02:.+((SYSTEM_STATE.+slice.+state.+changed )|(ment ac)|(multiple cpu faults)|(system.+state.+changed )|(\[timeout)|(PRM\|1\|D)|(kpr)|(kdp)|(\|lc)|(penalty))"</v>
      </c>
      <c r="AG135" s="1" t="str">
        <f t="shared" si="41"/>
        <v>EC</v>
      </c>
      <c r="AH135" s="86" t="str">
        <f t="shared" si="42"/>
        <v>"%USERPROFILE%\Documents\GitHub\eaglep3\Utilities\RefineRTDCRunTimes.py" --tripid 223-07 --locoid 4032 --swversion DE.1.0.9.0 --startMP 204:478 --initTime 2017-04-07T19:24:20 --startdatetime 2017-04-07T19:30:16 --delay 2 --endMP 204:233284 --enddatetime 2017-04-07T20:10:36 --enforcementcount 0 &gt;&gt;C:\Users\stu\Documents\GitHub\eaglep3-reporting\EC\2017-04-07-refined-times.txt</v>
      </c>
      <c r="AI135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{"issue":{"subject":"","project_id":79,"tracker_id":40,"status_id":1,"priority_id":2,"assigned_to_id":23,"start_date":"2017-04-07","description":"","custom_fields":[{"id":1,"name":"Subdivision","value":"EC"},{"id":4,"name":"Milepost","value":"23.3284"},{"id":17,"name":"Train ID","value":"223-07"},{"id":16,"name":"Locomotive ID","value":"4032"},{"id":130,"name":"Impact","value":""},{"id":150,"name":"Time of Event (Mountain Time)","value":"20:10:36"},{"id":151,"name":"Denver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4"/>
        <v>start /low /b %USERPROFILE%\Documents\GitHub\eaglep3\Utilities\DownloadLogsFromS3.py --loco 4032 --day 2017-04-07</v>
      </c>
      <c r="AN135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02:10:36"},{"id":29,"name":"Sharepoint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827</v>
      </c>
      <c r="B136" s="7">
        <v>4031</v>
      </c>
      <c r="C136" s="21" t="s">
        <v>216</v>
      </c>
      <c r="D136" s="21" t="s">
        <v>460</v>
      </c>
      <c r="E136" s="13">
        <v>42832.844942129632</v>
      </c>
      <c r="F136" s="13">
        <v>42832.851597222223</v>
      </c>
      <c r="G136" s="7">
        <v>1</v>
      </c>
      <c r="H136" s="21" t="s">
        <v>184</v>
      </c>
      <c r="I136" s="13">
        <v>42832.880868055552</v>
      </c>
      <c r="J136" s="7">
        <v>0</v>
      </c>
      <c r="K136" s="97" t="str">
        <f t="shared" si="29"/>
        <v>4031/4032</v>
      </c>
      <c r="L136" s="21" t="str">
        <f>VLOOKUP(A136,'Trips&amp;Operators'!$C$1:$G$99999,5,FALSE)</f>
        <v>DAVIDSON DAVID</v>
      </c>
      <c r="M136" s="6">
        <f t="shared" si="30"/>
        <v>2.9270833329064772E-2</v>
      </c>
      <c r="N136" s="7">
        <f t="shared" si="51"/>
        <v>42.149999993853271</v>
      </c>
      <c r="O136" s="7"/>
      <c r="P136" s="7"/>
      <c r="Q136" s="22"/>
      <c r="R136" s="22"/>
      <c r="S136" s="31">
        <f t="shared" si="32"/>
        <v>1</v>
      </c>
      <c r="T136" s="46" t="str">
        <f t="shared" si="33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4"/>
        <v>https://d0f6bd738d7f1b3e5a7ca70fe4ff75f0.us-east-1.aws.found.io/app/kibana#/discover/Steve-Slow-Train-Analysis-(2080s-and-2083s)?_g=(refreshInterval:(display:Off,pause:!f,section:0,value:0),time:(from:'2017-04-07T19:16:43-0600',mode:absolute,to:'2017-04-07T22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6" s="183" t="str">
        <f t="shared" si="35"/>
        <v>N</v>
      </c>
      <c r="X136" s="183">
        <f t="shared" si="53"/>
        <v>1</v>
      </c>
      <c r="Y136" s="62">
        <f t="shared" si="54"/>
        <v>23.297499999999999</v>
      </c>
      <c r="Z136" s="62">
        <f t="shared" si="52"/>
        <v>1.49E-2</v>
      </c>
      <c r="AA136" s="62">
        <f t="shared" si="37"/>
        <v>23.282599999999999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8"/>
        <v>0224-07</v>
      </c>
      <c r="AE136" s="85" t="str">
        <f t="shared" si="39"/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AF136" s="82" t="str">
        <f t="shared" si="40"/>
        <v>"C:\Program Files (x86)\AstroGrep\AstroGrep.exe" /e /r /s /spath="%USERPROFILE%\AppData\Local\Temp\OnboardLogs" /stypes="app*4031*20170408*" /stext=" 03:.+((SYSTEM_STATE.+slice.+state.+changed )|(ment ac)|(multiple cpu faults)|(system.+state.+changed )|(\[timeout)|(PRM\|1\|D)|(kpr)|(kdp)|(\|lc)|(penalty))"</v>
      </c>
      <c r="AG136" s="1" t="str">
        <f t="shared" si="41"/>
        <v>EC</v>
      </c>
      <c r="AH136" s="86" t="str">
        <f t="shared" si="42"/>
        <v>"%USERPROFILE%\Documents\GitHub\eaglep3\Utilities\RefineRTDCRunTimes.py" --tripid 224-07 --locoid 4031 --swversion DE.1.0.9.0 --startMP 204:232975 --initTime 2017-04-07T20:16:43 --startdatetime 2017-04-07T20:26:18 --delay 1 --endMP 204:149 --enddatetime 2017-04-07T21:08:27 --enforcementcount 0 &gt;&gt;C:\Users\stu\Documents\GitHub\eaglep3-reporting\EC\2017-04-07-refined-times.txt</v>
      </c>
      <c r="AI136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{"issue":{"subject":"","project_id":79,"tracker_id":40,"status_id":1,"priority_id":2,"assigned_to_id":23,"start_date":"2017-04-07","description":"","custom_fields":[{"id":1,"name":"Subdivision","value":"EC"},{"id":4,"name":"Milepost","value":"0.0149"},{"id":17,"name":"Train ID","value":"224-07"},{"id":16,"name":"Locomotive ID","value":"4031"},{"id":130,"name":"Impact","value":""},{"id":150,"name":"Time of Event (Mountain Time)","value":"21:08:27"},{"id":151,"name":"Denver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4"/>
        <v>start /low /b %USERPROFILE%\Documents\GitHub\eaglep3\Utilities\DownloadLogsFromS3.py --loco 4031 --day 2017-04-07</v>
      </c>
      <c r="AN136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03:08:27"},{"id":29,"name":"Sharepoint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825</v>
      </c>
      <c r="B137" s="7">
        <v>4026</v>
      </c>
      <c r="C137" s="21" t="s">
        <v>216</v>
      </c>
      <c r="D137" s="21" t="s">
        <v>210</v>
      </c>
      <c r="E137" s="13">
        <v>42832.829224537039</v>
      </c>
      <c r="F137" s="13">
        <v>42832.833715277775</v>
      </c>
      <c r="G137" s="7">
        <v>1</v>
      </c>
      <c r="H137" s="21" t="s">
        <v>911</v>
      </c>
      <c r="I137" s="13">
        <v>42832.858310185184</v>
      </c>
      <c r="J137" s="7">
        <v>0</v>
      </c>
      <c r="K137" s="97" t="str">
        <f t="shared" si="29"/>
        <v>4025/4026</v>
      </c>
      <c r="L137" s="21" t="str">
        <f>VLOOKUP(A137,'Trips&amp;Operators'!$C$1:$G$99999,5,FALSE)</f>
        <v>GUZMAN DANNY</v>
      </c>
      <c r="M137" s="6">
        <f t="shared" si="30"/>
        <v>2.4594907408754807E-2</v>
      </c>
      <c r="N137" s="7">
        <f t="shared" si="51"/>
        <v>35.416666668606922</v>
      </c>
      <c r="O137" s="7"/>
      <c r="P137" s="7"/>
      <c r="Q137" s="22"/>
      <c r="R137" s="22"/>
      <c r="S137" s="31">
        <f t="shared" si="32"/>
        <v>1</v>
      </c>
      <c r="T137" s="46" t="str">
        <f t="shared" si="33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4"/>
        <v>https://d0f6bd738d7f1b3e5a7ca70fe4ff75f0.us-east-1.aws.found.io/app/kibana#/discover/Steve-Slow-Train-Analysis-(2080s-and-2083s)?_g=(refreshInterval:(display:Off,pause:!f,section:0,value:0),time:(from:'2017-04-07T18:54:05-0600',mode:absolute,to:'2017-04-07T21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7" s="183" t="str">
        <f t="shared" si="35"/>
        <v>N</v>
      </c>
      <c r="X137" s="183">
        <f t="shared" si="53"/>
        <v>1</v>
      </c>
      <c r="Y137" s="62">
        <f t="shared" si="54"/>
        <v>4.53E-2</v>
      </c>
      <c r="Z137" s="62">
        <f t="shared" si="52"/>
        <v>23.3398</v>
      </c>
      <c r="AA137" s="62">
        <f t="shared" si="37"/>
        <v>23.294499999999999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8"/>
        <v>0225-07</v>
      </c>
      <c r="AE137" s="85" t="str">
        <f t="shared" si="39"/>
        <v>aws s3 cp s3://rtdc.mdm.uploadarchive.raw/RTDC4026/ "%USERPROFILE%\AppData\Local\Temp\OnboardLogs"\RTDC4026\2017-04-07 --exclude "*" --recursive --include "*20170407*" &amp; "%USERPROFILE%\Documents\GitHub\mrs-test-scripts\Headless Mode &amp; Sideloading\WalkAndUnGZ.bat" "%USERPROFILE%\AppData\Local\Temp\OnboardLogs"\RTDC4026\2017-04-07 &amp; aws s3 cp s3://rtdc.mdm.uploadarchive.raw/RTDC4026/ "%USERPROFILE%\AppData\Local\Temp\OnboardLogs"\RTDC4026\2017-04-08 --exclude "*" --recursive --include "*20170408*" &amp; "%USERPROFILE%\Documents\GitHub\mrs-test-scripts\Headless Mode &amp; Sideloading\WalkAndUnGZ.bat" "%USERPROFILE%\AppData\Local\Temp\OnboardLogs"\RTDC4026\2017-04-08</v>
      </c>
      <c r="AF137" s="82" t="str">
        <f t="shared" si="40"/>
        <v>"C:\Program Files (x86)\AstroGrep\AstroGrep.exe" /e /r /s /spath="%USERPROFILE%\AppData\Local\Temp\OnboardLogs" /stypes="app*4026*20170408*" /stext=" 02:.+((SYSTEM_STATE.+slice.+state.+changed )|(ment ac)|(multiple cpu faults)|(system.+state.+changed )|(\[timeout)|(PRM\|1\|D)|(kpr)|(kdp)|(\|lc)|(penalty))"</v>
      </c>
      <c r="AG137" s="1" t="str">
        <f t="shared" si="41"/>
        <v>EC</v>
      </c>
      <c r="AH137" s="86" t="str">
        <f t="shared" si="42"/>
        <v>"%USERPROFILE%\Documents\GitHub\eaglep3\Utilities\RefineRTDCRunTimes.py" --tripid 225-07 --locoid 4026 --swversion DE.1.0.9.0 --startMP 204:453 --initTime 2017-04-07T19:54:05 --startdatetime 2017-04-07T20:00:33 --delay 1 --endMP 204:233398 --enddatetime 2017-04-07T20:35:58 --enforcementcount 0 &gt;&gt;C:\Users\stu\Documents\GitHub\eaglep3-reporting\EC\2017-04-07-refined-times.txt</v>
      </c>
      <c r="AI137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{"issue":{"subject":"","project_id":79,"tracker_id":40,"status_id":1,"priority_id":2,"assigned_to_id":23,"start_date":"2017-04-07","description":"","custom_fields":[{"id":1,"name":"Subdivision","value":"EC"},{"id":4,"name":"Milepost","value":"23.3398"},{"id":17,"name":"Train ID","value":"225-07"},{"id":16,"name":"Locomotive ID","value":"4026"},{"id":130,"name":"Impact","value":""},{"id":150,"name":"Time of Event (Mountain Time)","value":"20:35:58"},{"id":151,"name":"Denver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4"/>
        <v>start /low /b %USERPROFILE%\Documents\GitHub\eaglep3\Utilities\DownloadLogsFromS3.py --loco 4026 --day 2017-04-07</v>
      </c>
      <c r="AN137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02:35:58"},{"id":29,"name":"Sharepoint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x14ac:dyDescent="0.25">
      <c r="A138" s="33" t="s">
        <v>830</v>
      </c>
      <c r="B138" s="7">
        <v>4025</v>
      </c>
      <c r="C138" s="21" t="s">
        <v>216</v>
      </c>
      <c r="D138" s="21" t="s">
        <v>912</v>
      </c>
      <c r="E138" s="13">
        <v>42832.86041666667</v>
      </c>
      <c r="F138" s="13">
        <v>42832.872476851851</v>
      </c>
      <c r="G138" s="7">
        <v>1</v>
      </c>
      <c r="H138" s="21" t="s">
        <v>213</v>
      </c>
      <c r="I138" s="13">
        <v>42832.900057870371</v>
      </c>
      <c r="J138" s="7">
        <v>0</v>
      </c>
      <c r="K138" s="97" t="str">
        <f t="shared" si="29"/>
        <v>4025/4026</v>
      </c>
      <c r="L138" s="21" t="str">
        <f>VLOOKUP(A138,'Trips&amp;Operators'!$C$1:$G$99999,5,FALSE)</f>
        <v>GUZMAN DANNY</v>
      </c>
      <c r="M138" s="6">
        <f t="shared" si="30"/>
        <v>2.7581018519413192E-2</v>
      </c>
      <c r="N138" s="7">
        <f t="shared" si="51"/>
        <v>39.716666667954996</v>
      </c>
      <c r="O138" s="7"/>
      <c r="P138" s="7"/>
      <c r="Q138" s="22"/>
      <c r="R138" s="22"/>
      <c r="S138" s="31">
        <f t="shared" si="32"/>
        <v>1</v>
      </c>
      <c r="T138" s="46" t="str">
        <f t="shared" si="33"/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4"/>
        <v>https://d0f6bd738d7f1b3e5a7ca70fe4ff75f0.us-east-1.aws.found.io/app/kibana#/discover/Steve-Slow-Train-Analysis-(2080s-and-2083s)?_g=(refreshInterval:(display:Off,pause:!f,section:0,value:0),time:(from:'2017-04-07T19:39:00-0600',mode:absolute,to:'2017-04-07T22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8" s="183" t="str">
        <f t="shared" si="35"/>
        <v>N</v>
      </c>
      <c r="X138" s="183">
        <f t="shared" si="53"/>
        <v>1</v>
      </c>
      <c r="Y138" s="62">
        <f t="shared" si="54"/>
        <v>23.309799999999999</v>
      </c>
      <c r="Z138" s="62">
        <f t="shared" si="52"/>
        <v>1.47E-2</v>
      </c>
      <c r="AA138" s="62">
        <f t="shared" si="37"/>
        <v>23.295099999999998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8"/>
        <v>0226-07</v>
      </c>
      <c r="AE138" s="85" t="str">
        <f t="shared" si="39"/>
        <v>aws s3 cp s3://rtdc.mdm.uploadarchive.raw/RTDC4025/ "%USERPROFILE%\AppData\Local\Temp\OnboardLogs"\RTDC4025\2017-04-07 --exclude "*" --recursive --include "*20170407*" &amp; "%USERPROFILE%\Documents\GitHub\mrs-test-scripts\Headless Mode &amp; Sideloading\WalkAndUnGZ.bat" "%USERPROFILE%\AppData\Local\Temp\OnboardLogs"\RTDC4025\2017-04-07 &amp; aws s3 cp s3://rtdc.mdm.uploadarchive.raw/RTDC4025/ "%USERPROFILE%\AppData\Local\Temp\OnboardLogs"\RTDC4025\2017-04-08 --exclude "*" --recursive --include "*20170408*" &amp; "%USERPROFILE%\Documents\GitHub\mrs-test-scripts\Headless Mode &amp; Sideloading\WalkAndUnGZ.bat" "%USERPROFILE%\AppData\Local\Temp\OnboardLogs"\RTDC4025\2017-04-08</v>
      </c>
      <c r="AF138" s="82" t="str">
        <f t="shared" si="40"/>
        <v>"C:\Program Files (x86)\AstroGrep\AstroGrep.exe" /e /r /s /spath="%USERPROFILE%\AppData\Local\Temp\OnboardLogs" /stypes="app*4025*20170408*" /stext=" 03:.+((SYSTEM_STATE.+slice.+state.+changed )|(ment ac)|(multiple cpu faults)|(system.+state.+changed )|(\[timeout)|(PRM\|1\|D)|(kpr)|(kdp)|(\|lc)|(penalty))"</v>
      </c>
      <c r="AG138" s="1" t="str">
        <f t="shared" si="41"/>
        <v>EC</v>
      </c>
      <c r="AH138" s="86" t="str">
        <f t="shared" si="42"/>
        <v>"%USERPROFILE%\Documents\GitHub\eaglep3\Utilities\RefineRTDCRunTimes.py" --tripid 226-07 --locoid 4025 --swversion DE.1.0.9.0 --startMP 204:233098 --initTime 2017-04-07T20:39:00 --startdatetime 2017-04-07T20:56:22 --delay 1 --endMP 204:147 --enddatetime 2017-04-07T21:36:05 --enforcementcount 0 &gt;&gt;C:\Users\stu\Documents\GitHub\eaglep3-reporting\EC\2017-04-07-refined-times.txt</v>
      </c>
      <c r="AI138" s="104" t="str">
        <f t="shared" si="43"/>
        <v>echo {"issue":{"subject":"","project_id":79,"tracker_id":40,"status_id":1,"priority_id":2,"assigned_to_id":23,"start_date":"2017-04-07","description":"","custom_fields":[{"id":1,"name":"Subdivision","value":"EC"},{"id":4,"name":"Milepost","value":"0.0147"},{"id":17,"name":"Train ID","value":"226-07"},{"id":16,"name":"Locomotive ID","value":"4025"},{"id":130,"name":"Impact","value":""},{"id":150,"name":"Time of Event (Mountain Time)","value":"21:36:05"},{"id":151,"name":"Denver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20"/>
      <c r="AK138" s="48"/>
      <c r="AL138" s="48"/>
      <c r="AM138" s="150" t="str">
        <f t="shared" si="44"/>
        <v>start /low /b %USERPROFILE%\Documents\GitHub\eaglep3\Utilities\DownloadLogsFromS3.py --loco 4025 --day 2017-04-07</v>
      </c>
      <c r="AN138" s="159" t="str">
        <f t="shared" si="45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9" spans="1:91" s="20" customFormat="1" x14ac:dyDescent="0.25">
      <c r="A139" s="33" t="s">
        <v>828</v>
      </c>
      <c r="B139" s="7">
        <v>4010</v>
      </c>
      <c r="C139" s="21" t="s">
        <v>216</v>
      </c>
      <c r="D139" s="21" t="s">
        <v>437</v>
      </c>
      <c r="E139" s="13">
        <v>42832.851666666669</v>
      </c>
      <c r="F139" s="13">
        <v>42832.854456018518</v>
      </c>
      <c r="G139" s="7">
        <v>1</v>
      </c>
      <c r="H139" s="21" t="s">
        <v>913</v>
      </c>
      <c r="I139" s="13">
        <v>42832.880057870374</v>
      </c>
      <c r="J139" s="7">
        <v>0</v>
      </c>
      <c r="K139" s="97" t="str">
        <f t="shared" si="29"/>
        <v>4009/4010</v>
      </c>
      <c r="L139" s="21" t="str">
        <f>VLOOKUP(A139,'Trips&amp;Operators'!$C$1:$G$99999,5,FALSE)</f>
        <v>SWANSON BRYCE</v>
      </c>
      <c r="M139" s="6">
        <f t="shared" si="30"/>
        <v>2.5601851855753921E-2</v>
      </c>
      <c r="N139" s="7">
        <f t="shared" si="51"/>
        <v>36.866666672285646</v>
      </c>
      <c r="O139" s="7"/>
      <c r="P139" s="7"/>
      <c r="Q139" s="22"/>
      <c r="R139" s="22"/>
      <c r="S139" s="31">
        <f t="shared" si="32"/>
        <v>1</v>
      </c>
      <c r="T139" s="46" t="str">
        <f t="shared" si="33"/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4"/>
        <v>https://d0f6bd738d7f1b3e5a7ca70fe4ff75f0.us-east-1.aws.found.io/app/kibana#/discover/Steve-Slow-Train-Analysis-(2080s-and-2083s)?_g=(refreshInterval:(display:Off,pause:!f,section:0,value:0),time:(from:'2017-04-07T19:26:24-0600',mode:absolute,to:'2017-04-07T22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9" s="183" t="str">
        <f t="shared" si="35"/>
        <v>N</v>
      </c>
      <c r="X139" s="183">
        <f t="shared" si="53"/>
        <v>1</v>
      </c>
      <c r="Y139" s="62">
        <f t="shared" si="54"/>
        <v>4.58E-2</v>
      </c>
      <c r="Z139" s="62">
        <v>23.3</v>
      </c>
      <c r="AA139" s="62">
        <f t="shared" si="37"/>
        <v>23.254200000000001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8"/>
        <v>0227-07</v>
      </c>
      <c r="AE139" s="85" t="str">
        <f t="shared" si="39"/>
        <v>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 &amp; 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</v>
      </c>
      <c r="AF139" s="82" t="str">
        <f t="shared" si="40"/>
        <v>"C:\Program Files (x86)\AstroGrep\AstroGrep.exe" /e /r /s /spath="%USERPROFILE%\AppData\Local\Temp\OnboardLogs" /stypes="app*4010*20170408*" /stext=" 03:.+((SYSTEM_STATE.+slice.+state.+changed )|(ment ac)|(multiple cpu faults)|(system.+state.+changed )|(\[timeout)|(PRM\|1\|D)|(kpr)|(kdp)|(\|lc)|(penalty))"</v>
      </c>
      <c r="AG139" s="1" t="str">
        <f t="shared" si="41"/>
        <v>EC</v>
      </c>
      <c r="AH139" s="86" t="str">
        <f t="shared" ref="AH139:AH202" si="55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227-07 --locoid 4010 --swversion DE.1.0.9.0 --startMP 204:458 --initTime 2017-04-07T20:26:24 --startdatetime 2017-04-07T20:30:25 --delay 1 --endMP 204:27062 --enddatetime 2017-04-07T21:07:17 --enforcementcount 0 &gt;&gt;C:\Users\stu\Documents\GitHub\eaglep3-reporting\EC\2017-04-07-refined-times.txt</v>
      </c>
      <c r="AI139" s="104" t="str">
        <f t="shared" ref="AI139:AI202" si="56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{"issue":{"subject":"","project_id":79,"tracker_id":40,"status_id":1,"priority_id":2,"assigned_to_id":23,"start_date":"2017-04-07","description":"","custom_fields":[{"id":1,"name":"Subdivision","value":"EC"},{"id":4,"name":"Milepost","value":"23.3"},{"id":17,"name":"Train ID","value":"227-07"},{"id":16,"name":"Locomotive ID","value":"4010"},{"id":130,"name":"Impact","value":""},{"id":150,"name":"Time of Event (Mountain Time)","value":"21:07:17"},{"id":151,"name":"Denver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ref="AM139:AM202" si="57">"start /low /b "&amp;dls3logs&amp;" --loco "&amp;B139&amp;" --day "&amp;TEXT(F139,"YYYY-MM-DD")</f>
        <v>start /low /b %USERPROFILE%\Documents\GitHub\eaglep3\Utilities\DownloadLogsFromS3.py --loco 4010 --day 2017-04-07</v>
      </c>
      <c r="AN139" s="159" t="str">
        <f t="shared" ref="AN139:AN202" si="58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03:07:17"},{"id":29,"name":"Sharepoint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832</v>
      </c>
      <c r="B140" s="7">
        <v>4009</v>
      </c>
      <c r="C140" s="21" t="s">
        <v>216</v>
      </c>
      <c r="D140" s="21" t="s">
        <v>914</v>
      </c>
      <c r="E140" s="13">
        <v>42832.88208333333</v>
      </c>
      <c r="F140" s="13">
        <v>42832.89329861111</v>
      </c>
      <c r="G140" s="7">
        <v>1</v>
      </c>
      <c r="H140" s="21" t="s">
        <v>410</v>
      </c>
      <c r="I140" s="13">
        <v>42832.922418981485</v>
      </c>
      <c r="J140" s="7">
        <v>0</v>
      </c>
      <c r="K140" s="97" t="str">
        <f t="shared" si="29"/>
        <v>4009/4010</v>
      </c>
      <c r="L140" s="21" t="str">
        <f>VLOOKUP(A140,'Trips&amp;Operators'!$C$1:$G$99999,5,FALSE)</f>
        <v>SWANSON BRYCE</v>
      </c>
      <c r="M140" s="6">
        <f t="shared" si="30"/>
        <v>2.9120370374585036E-2</v>
      </c>
      <c r="N140" s="7">
        <f t="shared" si="51"/>
        <v>41.933333339402452</v>
      </c>
      <c r="O140" s="7"/>
      <c r="P140" s="7"/>
      <c r="Q140" s="22"/>
      <c r="R140" s="22"/>
      <c r="S140" s="31">
        <f t="shared" si="32"/>
        <v>1</v>
      </c>
      <c r="T140" s="46" t="str">
        <f t="shared" si="33"/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4"/>
        <v>https://d0f6bd738d7f1b3e5a7ca70fe4ff75f0.us-east-1.aws.found.io/app/kibana#/discover/Steve-Slow-Train-Analysis-(2080s-and-2083s)?_g=(refreshInterval:(display:Off,pause:!f,section:0,value:0),time:(from:'2017-04-07T20:10:12-0600',mode:absolute,to:'2017-04-07T23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0" s="183" t="str">
        <f t="shared" si="35"/>
        <v>N</v>
      </c>
      <c r="X140" s="183">
        <f t="shared" si="53"/>
        <v>1</v>
      </c>
      <c r="Y140" s="62">
        <f t="shared" si="54"/>
        <v>23.301100000000002</v>
      </c>
      <c r="Z140" s="62">
        <f t="shared" ref="Z140:Z146" si="59">RIGHT(H140,LEN(H140)-4)/10000</f>
        <v>1.6299999999999999E-2</v>
      </c>
      <c r="AA140" s="62">
        <f t="shared" si="37"/>
        <v>23.284800000000001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8"/>
        <v>0228-07</v>
      </c>
      <c r="AE140" s="85" t="str">
        <f t="shared" si="39"/>
        <v>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 &amp; aws s3 cp s3://rtdc.mdm.uploadarchive.raw/RTDC4009/ "%USERPROFILE%\AppData\Local\Temp\OnboardLogs"\RTDC4009\2017-04-08 --exclude "*" --recursive --include "*20170408*" &amp; "%USERPROFILE%\Documents\GitHub\mrs-test-scripts\Headless Mode &amp; Sideloading\WalkAndUnGZ.bat" "%USERPROFILE%\AppData\Local\Temp\OnboardLogs"\RTDC4009\2017-04-08</v>
      </c>
      <c r="AF140" s="82" t="str">
        <f t="shared" si="40"/>
        <v>"C:\Program Files (x86)\AstroGrep\AstroGrep.exe" /e /r /s /spath="%USERPROFILE%\AppData\Local\Temp\OnboardLogs" /stypes="app*4009*20170408*" /stext=" 04:.+((SYSTEM_STATE.+slice.+state.+changed )|(ment ac)|(multiple cpu faults)|(system.+state.+changed )|(\[timeout)|(PRM\|1\|D)|(kpr)|(kdp)|(\|lc)|(penalty))"</v>
      </c>
      <c r="AG140" s="1" t="str">
        <f t="shared" si="41"/>
        <v>EC</v>
      </c>
      <c r="AH140" s="86" t="str">
        <f t="shared" si="55"/>
        <v>"%USERPROFILE%\Documents\GitHub\eaglep3\Utilities\RefineRTDCRunTimes.py" --tripid 228-07 --locoid 4009 --swversion DE.1.0.9.0 --startMP 204:233011 --initTime 2017-04-07T21:10:12 --startdatetime 2017-04-07T21:26:21 --delay 1 --endMP 204:163 --enddatetime 2017-04-07T22:08:17 --enforcementcount 0 &gt;&gt;C:\Users\stu\Documents\GitHub\eaglep3-reporting\EC\2017-04-07-refined-times.txt</v>
      </c>
      <c r="AI140" s="104" t="str">
        <f t="shared" si="56"/>
        <v>echo {"issue":{"subject":"","project_id":79,"tracker_id":40,"status_id":1,"priority_id":2,"assigned_to_id":23,"start_date":"2017-04-07","description":"","custom_fields":[{"id":1,"name":"Subdivision","value":"EC"},{"id":4,"name":"Milepost","value":"0.0163"},{"id":17,"name":"Train ID","value":"228-07"},{"id":16,"name":"Locomotive ID","value":"4009"},{"id":130,"name":"Impact","value":""},{"id":150,"name":"Time of Event (Mountain Time)","value":"22:08:17"},{"id":151,"name":"Denver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57"/>
        <v>start /low /b %USERPROFILE%\Documents\GitHub\eaglep3\Utilities\DownloadLogsFromS3.py --loco 4009 --day 2017-04-07</v>
      </c>
      <c r="AN140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04:08:17"},{"id":29,"name":"Sharepoint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652</v>
      </c>
      <c r="B141" s="7">
        <v>4030</v>
      </c>
      <c r="C141" s="21" t="s">
        <v>216</v>
      </c>
      <c r="D141" s="21" t="s">
        <v>915</v>
      </c>
      <c r="E141" s="13">
        <v>42832.874363425923</v>
      </c>
      <c r="F141" s="13">
        <v>42832.875555555554</v>
      </c>
      <c r="G141" s="7">
        <v>1</v>
      </c>
      <c r="H141" s="21" t="s">
        <v>417</v>
      </c>
      <c r="I141" s="13">
        <v>42832.902569444443</v>
      </c>
      <c r="J141" s="7">
        <v>0</v>
      </c>
      <c r="K141" s="97" t="str">
        <f t="shared" ref="K141:K204" si="60">IF(ISEVEN(B141),(B141-1)&amp;"/"&amp;B141,B141&amp;"/"&amp;(B141+1))</f>
        <v>4029/4030</v>
      </c>
      <c r="L141" s="21" t="str">
        <f>VLOOKUP(A141,'Trips&amp;Operators'!$C$1:$G$99999,5,FALSE)</f>
        <v>BROWN JACOB</v>
      </c>
      <c r="M141" s="6">
        <f t="shared" ref="M141:M204" si="61">I141-F141</f>
        <v>2.7013888888177462E-2</v>
      </c>
      <c r="N141" s="7">
        <f t="shared" ref="N141:N146" si="62">24*60*SUM($M141:$M141)</f>
        <v>38.899999998975545</v>
      </c>
      <c r="O141" s="7"/>
      <c r="P141" s="7"/>
      <c r="Q141" s="22"/>
      <c r="R141" s="22"/>
      <c r="S141" s="31">
        <f t="shared" ref="S141:S204" si="63">SUM(U141:U141)/IF(AG141="EC",12,1)</f>
        <v>1</v>
      </c>
      <c r="T141" s="46" t="str">
        <f t="shared" ref="T141:T204" si="64"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-07T19:59:05-0600',mode:absolute,to:'2017-04-07T22:39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1" s="183" t="str">
        <f t="shared" ref="W141:W204" si="66">IF(AA141&lt;IF(AG141="EC",23,5.65),"Y","N")</f>
        <v>N</v>
      </c>
      <c r="X141" s="183">
        <f t="shared" si="53"/>
        <v>1</v>
      </c>
      <c r="Y141" s="62">
        <f t="shared" si="54"/>
        <v>4.7500000000000001E-2</v>
      </c>
      <c r="Z141" s="62">
        <f t="shared" si="59"/>
        <v>23.330400000000001</v>
      </c>
      <c r="AA141" s="62">
        <f t="shared" ref="AA141:AA204" si="67">ABS(Z141-Y141)</f>
        <v>23.282900000000001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8">IF(LEN(A141)=6,"0"&amp;A141,A141)</f>
        <v>0229-07</v>
      </c>
      <c r="AE141" s="85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s3://rtdc.mdm.uploadarchive.raw/RTDC4030/ "%USERPROFILE%\AppData\Local\Temp\OnboardLogs"\RTDC4030\2017-04-07 --exclude "*" --recursive --include "*20170407*" &amp; "%USERPROFILE%\Documents\GitHub\mrs-test-scripts\Headless Mode &amp; Sideloading\WalkAndUnGZ.bat" "%USERPROFILE%\AppData\Local\Temp\OnboardLogs"\RTDC4030\2017-04-07 &amp; aws s3 cp s3://rtdc.mdm.uploadarchive.raw/RTDC4030/ "%USERPROFILE%\AppData\Local\Temp\OnboardLogs"\RTDC4030\2017-04-08 --exclude "*" --recursive --include "*20170408*" &amp; "%USERPROFILE%\Documents\GitHub\mrs-test-scripts\Headless Mode &amp; Sideloading\WalkAndUnGZ.bat" "%USERPROFILE%\AppData\Local\Temp\OnboardLogs"\RTDC4030\2017-04-08</v>
      </c>
      <c r="AF141" s="82" t="str">
        <f t="shared" ref="AF141:AF204" si="7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/stypes="app*4030*20170408*" /stext=" 03:.+((SYSTEM_STATE.+slice.+state.+changed )|(ment ac)|(multiple cpu faults)|(system.+state.+changed )|(\[timeout)|(PRM\|1\|D)|(kpr)|(kdp)|(\|lc)|(penalty))"</v>
      </c>
      <c r="AG141" s="1" t="str">
        <f t="shared" ref="AG141:AG204" si="71">IFERROR(IF(VALUE(LEFT(AD141,2))&lt;=2,"EC",IF(OR(VALUE(LEFT(AD141,2))=8,VALUE(LEFT(AD141,2))=18),"NW","Other")),"Other")</f>
        <v>EC</v>
      </c>
      <c r="AH141" s="86" t="str">
        <f t="shared" si="55"/>
        <v>"%USERPROFILE%\Documents\GitHub\eaglep3\Utilities\RefineRTDCRunTimes.py" --tripid 229-07 --locoid 4030 --swversion DE.1.0.9.0 --startMP 204:475 --initTime 2017-04-07T20:59:05 --startdatetime 2017-04-07T21:00:48 --delay 1 --endMP 204:233304 --enddatetime 2017-04-07T21:39:42 --enforcementcount 0 &gt;&gt;C:\Users\stu\Documents\GitHub\eaglep3-reporting\EC\2017-04-07-refined-times.txt</v>
      </c>
      <c r="AI141" s="104" t="str">
        <f t="shared" si="56"/>
        <v>echo {"issue":{"subject":"","project_id":79,"tracker_id":40,"status_id":1,"priority_id":2,"assigned_to_id":23,"start_date":"2017-04-07","description":"","custom_fields":[{"id":1,"name":"Subdivision","value":"EC"},{"id":4,"name":"Milepost","value":"23.3304"},{"id":17,"name":"Train ID","value":"229-07"},{"id":16,"name":"Locomotive ID","value":"4030"},{"id":130,"name":"Impact","value":""},{"id":150,"name":"Time of Event (Mountain Time)","value":"21:39:42"},{"id":151,"name":"Denver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57"/>
        <v>start /low /b %USERPROFILE%\Documents\GitHub\eaglep3\Utilities\DownloadLogsFromS3.py --loco 4030 --day 2017-04-07</v>
      </c>
      <c r="AN141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03:39:42"},{"id":29,"name":"Sharepoint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835</v>
      </c>
      <c r="B142" s="7">
        <v>4029</v>
      </c>
      <c r="C142" s="21" t="s">
        <v>216</v>
      </c>
      <c r="D142" s="21" t="s">
        <v>595</v>
      </c>
      <c r="E142" s="13">
        <v>42832.907835648148</v>
      </c>
      <c r="F142" s="13">
        <v>42832.914166666669</v>
      </c>
      <c r="G142" s="7">
        <v>1</v>
      </c>
      <c r="H142" s="21" t="s">
        <v>537</v>
      </c>
      <c r="I142" s="13">
        <v>42832.942025462966</v>
      </c>
      <c r="J142" s="7">
        <v>0</v>
      </c>
      <c r="K142" s="97" t="str">
        <f t="shared" si="60"/>
        <v>4029/4030</v>
      </c>
      <c r="L142" s="21" t="str">
        <f>VLOOKUP(A142,'Trips&amp;Operators'!$C$1:$G$99999,5,FALSE)</f>
        <v>BROWN JACOB</v>
      </c>
      <c r="M142" s="6">
        <f t="shared" si="61"/>
        <v>2.7858796296641231E-2</v>
      </c>
      <c r="N142" s="7">
        <f t="shared" si="62"/>
        <v>40.116666667163372</v>
      </c>
      <c r="O142" s="7"/>
      <c r="P142" s="7"/>
      <c r="Q142" s="22"/>
      <c r="R142" s="22"/>
      <c r="S142" s="31">
        <f t="shared" si="63"/>
        <v>1</v>
      </c>
      <c r="T142" s="46" t="str">
        <f t="shared" si="64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65"/>
        <v>https://d0f6bd738d7f1b3e5a7ca70fe4ff75f0.us-east-1.aws.found.io/app/kibana#/discover/Steve-Slow-Train-Analysis-(2080s-and-2083s)?_g=(refreshInterval:(display:Off,pause:!f,section:0,value:0),time:(from:'2017-04-07T20:47:17-0600',mode:absolute,to:'2017-04-07T23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2" s="183" t="str">
        <f t="shared" si="66"/>
        <v>N</v>
      </c>
      <c r="X142" s="183">
        <f t="shared" si="53"/>
        <v>1</v>
      </c>
      <c r="Y142" s="62">
        <f t="shared" si="54"/>
        <v>23.2987</v>
      </c>
      <c r="Z142" s="62">
        <f t="shared" si="59"/>
        <v>1.2699999999999999E-2</v>
      </c>
      <c r="AA142" s="62">
        <f t="shared" si="67"/>
        <v>23.286000000000001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8"/>
        <v>0230-07</v>
      </c>
      <c r="AE142" s="85" t="str">
        <f t="shared" si="69"/>
        <v>aws s3 cp s3://rtdc.mdm.uploadarchive.raw/RTDC4029/ "%USERPROFILE%\AppData\Local\Temp\OnboardLogs"\RTDC4029\2017-04-07 --exclude "*" --recursive --include "*20170407*" &amp; "%USERPROFILE%\Documents\GitHub\mrs-test-scripts\Headless Mode &amp; Sideloading\WalkAndUnGZ.bat" "%USERPROFILE%\AppData\Local\Temp\OnboardLogs"\RTDC4029\2017-04-07 &amp; aws s3 cp s3://rtdc.mdm.uploadarchive.raw/RTDC4029/ "%USERPROFILE%\AppData\Local\Temp\OnboardLogs"\RTDC4029\2017-04-08 --exclude "*" --recursive --include "*20170408*" &amp; "%USERPROFILE%\Documents\GitHub\mrs-test-scripts\Headless Mode &amp; Sideloading\WalkAndUnGZ.bat" "%USERPROFILE%\AppData\Local\Temp\OnboardLogs"\RTDC4029\2017-04-08</v>
      </c>
      <c r="AF142" s="82" t="str">
        <f t="shared" si="70"/>
        <v>"C:\Program Files (x86)\AstroGrep\AstroGrep.exe" /e /r /s /spath="%USERPROFILE%\AppData\Local\Temp\OnboardLogs" /stypes="app*4029*20170408*" /stext=" 04:.+((SYSTEM_STATE.+slice.+state.+changed )|(ment ac)|(multiple cpu faults)|(system.+state.+changed )|(\[timeout)|(PRM\|1\|D)|(kpr)|(kdp)|(\|lc)|(penalty))"</v>
      </c>
      <c r="AG142" s="1" t="str">
        <f t="shared" si="71"/>
        <v>EC</v>
      </c>
      <c r="AH142" s="86" t="str">
        <f t="shared" si="55"/>
        <v>"%USERPROFILE%\Documents\GitHub\eaglep3\Utilities\RefineRTDCRunTimes.py" --tripid 230-07 --locoid 4029 --swversion DE.1.0.9.0 --startMP 204:232987 --initTime 2017-04-07T21:47:17 --startdatetime 2017-04-07T21:56:24 --delay 1 --endMP 204:127 --enddatetime 2017-04-07T22:36:31 --enforcementcount 0 &gt;&gt;C:\Users\stu\Documents\GitHub\eaglep3-reporting\EC\2017-04-07-refined-times.txt</v>
      </c>
      <c r="AI142" s="104" t="str">
        <f t="shared" si="56"/>
        <v>echo {"issue":{"subject":"","project_id":79,"tracker_id":40,"status_id":1,"priority_id":2,"assigned_to_id":23,"start_date":"2017-04-07","description":"","custom_fields":[{"id":1,"name":"Subdivision","value":"EC"},{"id":4,"name":"Milepost","value":"0.0127"},{"id":17,"name":"Train ID","value":"230-07"},{"id":16,"name":"Locomotive ID","value":"4029"},{"id":130,"name":"Impact","value":""},{"id":150,"name":"Time of Event (Mountain Time)","value":"22:36:31"},{"id":151,"name":"Denver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si="57"/>
        <v>start /low /b %USERPROFILE%\Documents\GitHub\eaglep3\Utilities\DownloadLogsFromS3.py --loco 4029 --day 2017-04-07</v>
      </c>
      <c r="AN142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04:36:31"},{"id":29,"name":"Sharepoint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833</v>
      </c>
      <c r="B143" s="7">
        <v>4032</v>
      </c>
      <c r="C143" s="21" t="s">
        <v>216</v>
      </c>
      <c r="D143" s="21" t="s">
        <v>494</v>
      </c>
      <c r="E143" s="13">
        <v>42832.892152777778</v>
      </c>
      <c r="F143" s="13">
        <v>42832.896099537036</v>
      </c>
      <c r="G143" s="7">
        <v>1</v>
      </c>
      <c r="H143" s="21" t="s">
        <v>412</v>
      </c>
      <c r="I143" s="13">
        <v>42832.921331018515</v>
      </c>
      <c r="J143" s="7">
        <v>0</v>
      </c>
      <c r="K143" s="97" t="str">
        <f t="shared" si="60"/>
        <v>4031/4032</v>
      </c>
      <c r="L143" s="21" t="str">
        <f>VLOOKUP(A143,'Trips&amp;Operators'!$C$1:$G$99999,5,FALSE)</f>
        <v>STORY SAMANTHA</v>
      </c>
      <c r="M143" s="6">
        <f t="shared" si="61"/>
        <v>2.5231481478840578E-2</v>
      </c>
      <c r="N143" s="7">
        <f t="shared" si="62"/>
        <v>36.333333329530433</v>
      </c>
      <c r="O143" s="7"/>
      <c r="P143" s="7"/>
      <c r="Q143" s="22"/>
      <c r="R143" s="22"/>
      <c r="S143" s="31">
        <f t="shared" si="63"/>
        <v>1</v>
      </c>
      <c r="T143" s="46" t="str">
        <f t="shared" si="64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65"/>
        <v>https://d0f6bd738d7f1b3e5a7ca70fe4ff75f0.us-east-1.aws.found.io/app/kibana#/discover/Steve-Slow-Train-Analysis-(2080s-and-2083s)?_g=(refreshInterval:(display:Off,pause:!f,section:0,value:0),time:(from:'2017-04-07T20:24:42-0600',mode:absolute,to:'2017-04-07T23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3" s="183" t="str">
        <f t="shared" si="66"/>
        <v>N</v>
      </c>
      <c r="X143" s="183">
        <f t="shared" si="53"/>
        <v>1</v>
      </c>
      <c r="Y143" s="62">
        <f t="shared" si="54"/>
        <v>4.4400000000000002E-2</v>
      </c>
      <c r="Z143" s="62">
        <f t="shared" si="59"/>
        <v>23.330300000000001</v>
      </c>
      <c r="AA143" s="62">
        <f t="shared" si="67"/>
        <v>23.285900000000002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8"/>
        <v>0231-07</v>
      </c>
      <c r="AE143" s="85" t="str">
        <f t="shared" si="69"/>
        <v>aws s3 cp s3://rtdc.mdm.uploadarchive.raw/RTDC4032/ "%USERPROFILE%\AppData\Local\Temp\OnboardLogs"\RTDC4032\2017-04-07 --exclude "*" --recursive --include "*20170407*" &amp; "%USERPROFILE%\Documents\GitHub\mrs-test-scripts\Headless Mode &amp; Sideloading\WalkAndUnGZ.bat" "%USERPROFILE%\AppData\Local\Temp\OnboardLogs"\RTDC4032\2017-04-07 &amp; aws s3 cp s3://rtdc.mdm.uploadarchive.raw/RTDC4032/ "%USERPROFILE%\AppData\Local\Temp\OnboardLogs"\RTDC4032\2017-04-08 --exclude "*" --recursive --include "*20170408*" &amp; "%USERPROFILE%\Documents\GitHub\mrs-test-scripts\Headless Mode &amp; Sideloading\WalkAndUnGZ.bat" "%USERPROFILE%\AppData\Local\Temp\OnboardLogs"\RTDC4032\2017-04-08</v>
      </c>
      <c r="AF143" s="82" t="str">
        <f t="shared" si="70"/>
        <v>"C:\Program Files (x86)\AstroGrep\AstroGrep.exe" /e /r /s /spath="%USERPROFILE%\AppData\Local\Temp\OnboardLogs" /stypes="app*4032*20170408*" /stext=" 04:.+((SYSTEM_STATE.+slice.+state.+changed )|(ment ac)|(multiple cpu faults)|(system.+state.+changed )|(\[timeout)|(PRM\|1\|D)|(kpr)|(kdp)|(\|lc)|(penalty))"</v>
      </c>
      <c r="AG143" s="1" t="str">
        <f t="shared" si="71"/>
        <v>EC</v>
      </c>
      <c r="AH143" s="86" t="str">
        <f t="shared" si="55"/>
        <v>"%USERPROFILE%\Documents\GitHub\eaglep3\Utilities\RefineRTDCRunTimes.py" --tripid 231-07 --locoid 4032 --swversion DE.1.0.9.0 --startMP 204:444 --initTime 2017-04-07T21:24:42 --startdatetime 2017-04-07T21:30:23 --delay 1 --endMP 204:233303 --enddatetime 2017-04-07T22:06:43 --enforcementcount 0 &gt;&gt;C:\Users\stu\Documents\GitHub\eaglep3-reporting\EC\2017-04-07-refined-times.txt</v>
      </c>
      <c r="AI143" s="104" t="str">
        <f t="shared" si="56"/>
        <v>echo {"issue":{"subject":"","project_id":79,"tracker_id":40,"status_id":1,"priority_id":2,"assigned_to_id":23,"start_date":"2017-04-07","description":"","custom_fields":[{"id":1,"name":"Subdivision","value":"EC"},{"id":4,"name":"Milepost","value":"23.3303"},{"id":17,"name":"Train ID","value":"231-07"},{"id":16,"name":"Locomotive ID","value":"4032"},{"id":130,"name":"Impact","value":""},{"id":150,"name":"Time of Event (Mountain Time)","value":"22:06:43"},{"id":151,"name":"Denver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57"/>
        <v>start /low /b %USERPROFILE%\Documents\GitHub\eaglep3\Utilities\DownloadLogsFromS3.py --loco 4032 --day 2017-04-07</v>
      </c>
      <c r="AN143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04:06:43"},{"id":29,"name":"Sharepoint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3" t="s">
        <v>838</v>
      </c>
      <c r="B144" s="7">
        <v>4031</v>
      </c>
      <c r="C144" s="21" t="s">
        <v>216</v>
      </c>
      <c r="D144" s="21" t="s">
        <v>522</v>
      </c>
      <c r="E144" s="13">
        <v>42832.932893518519</v>
      </c>
      <c r="F144" s="13">
        <v>42832.934953703705</v>
      </c>
      <c r="G144" s="7">
        <v>1</v>
      </c>
      <c r="H144" s="21" t="s">
        <v>432</v>
      </c>
      <c r="I144" s="13">
        <v>42832.964236111111</v>
      </c>
      <c r="J144" s="7">
        <v>0</v>
      </c>
      <c r="K144" s="97" t="str">
        <f t="shared" si="60"/>
        <v>4031/4032</v>
      </c>
      <c r="L144" s="21" t="str">
        <f>VLOOKUP(A144,'Trips&amp;Operators'!$C$1:$G$99999,5,FALSE)</f>
        <v>STORY SAMANTHA</v>
      </c>
      <c r="M144" s="6">
        <f t="shared" si="61"/>
        <v>2.9282407405844424E-2</v>
      </c>
      <c r="N144" s="7">
        <f t="shared" si="62"/>
        <v>42.16666666441597</v>
      </c>
      <c r="O144" s="7"/>
      <c r="P144" s="7"/>
      <c r="Q144" s="22"/>
      <c r="R144" s="22"/>
      <c r="S144" s="31">
        <f t="shared" si="63"/>
        <v>1</v>
      </c>
      <c r="T144" s="46" t="str">
        <f t="shared" si="64"/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65"/>
        <v>https://d0f6bd738d7f1b3e5a7ca70fe4ff75f0.us-east-1.aws.found.io/app/kibana#/discover/Steve-Slow-Train-Analysis-(2080s-and-2083s)?_g=(refreshInterval:(display:Off,pause:!f,section:0,value:0),time:(from:'2017-04-07T21:23:22-0600',mode:absolute,to:'2017-04-08T00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4" s="183" t="str">
        <f t="shared" si="66"/>
        <v>N</v>
      </c>
      <c r="X144" s="183">
        <f t="shared" si="53"/>
        <v>1</v>
      </c>
      <c r="Y144" s="62">
        <f t="shared" si="54"/>
        <v>23.297799999999999</v>
      </c>
      <c r="Z144" s="62">
        <f t="shared" si="59"/>
        <v>1.6E-2</v>
      </c>
      <c r="AA144" s="62">
        <f t="shared" si="67"/>
        <v>23.2818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8"/>
        <v>0232-07</v>
      </c>
      <c r="AE144" s="85" t="str">
        <f t="shared" si="69"/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AF144" s="82" t="str">
        <f t="shared" si="70"/>
        <v>"C:\Program Files (x86)\AstroGrep\AstroGrep.exe" /e /r /s /spath="%USERPROFILE%\AppData\Local\Temp\OnboardLogs" /stypes="app*4031*20170408*" /stext=" 05:.+((SYSTEM_STATE.+slice.+state.+changed )|(ment ac)|(multiple cpu faults)|(system.+state.+changed )|(\[timeout)|(PRM\|1\|D)|(kpr)|(kdp)|(\|lc)|(penalty))"</v>
      </c>
      <c r="AG144" s="1" t="str">
        <f t="shared" si="71"/>
        <v>EC</v>
      </c>
      <c r="AH144" s="86" t="str">
        <f t="shared" si="55"/>
        <v>"%USERPROFILE%\Documents\GitHub\eaglep3\Utilities\RefineRTDCRunTimes.py" --tripid 232-07 --locoid 4031 --swversion DE.1.0.9.0 --startMP 204:232978 --initTime 2017-04-07T22:23:22 --startdatetime 2017-04-07T22:26:20 --delay 1 --endMP 204:160 --enddatetime 2017-04-07T23:08:30 --enforcementcount 0 &gt;&gt;C:\Users\stu\Documents\GitHub\eaglep3-reporting\EC\2017-04-07-refined-times.txt</v>
      </c>
      <c r="AI144" s="104" t="str">
        <f t="shared" si="56"/>
        <v>echo {"issue":{"subject":"","project_id":79,"tracker_id":40,"status_id":1,"priority_id":2,"assigned_to_id":23,"start_date":"2017-04-07","description":"","custom_fields":[{"id":1,"name":"Subdivision","value":"EC"},{"id":4,"name":"Milepost","value":"0.016"},{"id":17,"name":"Train ID","value":"232-07"},{"id":16,"name":"Locomotive ID","value":"4031"},{"id":130,"name":"Impact","value":""},{"id":150,"name":"Time of Event (Mountain Time)","value":"23:08:30"},{"id":151,"name":"Denver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20"/>
      <c r="AK144" s="48"/>
      <c r="AL144" s="48"/>
      <c r="AM144" s="150" t="str">
        <f t="shared" si="57"/>
        <v>start /low /b %USERPROFILE%\Documents\GitHub\eaglep3\Utilities\DownloadLogsFromS3.py --loco 4031 --day 2017-04-07</v>
      </c>
      <c r="AN144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05:08:30"},{"id":29,"name":"Sharepoint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5" spans="1:91" s="20" customFormat="1" x14ac:dyDescent="0.25">
      <c r="A145" s="33" t="s">
        <v>834</v>
      </c>
      <c r="B145" s="7">
        <v>4026</v>
      </c>
      <c r="C145" s="21" t="s">
        <v>216</v>
      </c>
      <c r="D145" s="21" t="s">
        <v>540</v>
      </c>
      <c r="E145" s="13">
        <v>42832.902291666665</v>
      </c>
      <c r="F145" s="13">
        <v>42832.916898148149</v>
      </c>
      <c r="G145" s="7">
        <v>1</v>
      </c>
      <c r="H145" s="21" t="s">
        <v>535</v>
      </c>
      <c r="I145" s="13">
        <v>42832.942546296297</v>
      </c>
      <c r="J145" s="7">
        <v>0</v>
      </c>
      <c r="K145" s="97" t="str">
        <f t="shared" si="60"/>
        <v>4025/4026</v>
      </c>
      <c r="L145" s="21" t="str">
        <f>VLOOKUP(A145,'Trips&amp;Operators'!$C$1:$G$99999,5,FALSE)</f>
        <v>GUZMAN DANNY</v>
      </c>
      <c r="M145" s="6">
        <f t="shared" si="61"/>
        <v>2.5648148148320615E-2</v>
      </c>
      <c r="N145" s="7">
        <f t="shared" si="62"/>
        <v>36.933333333581686</v>
      </c>
      <c r="O145" s="7"/>
      <c r="P145" s="7"/>
      <c r="Q145" s="22"/>
      <c r="R145" s="22"/>
      <c r="S145" s="31">
        <f t="shared" si="63"/>
        <v>1</v>
      </c>
      <c r="T145" s="46" t="str">
        <f t="shared" si="64"/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65"/>
        <v>https://d0f6bd738d7f1b3e5a7ca70fe4ff75f0.us-east-1.aws.found.io/app/kibana#/discover/Steve-Slow-Train-Analysis-(2080s-and-2083s)?_g=(refreshInterval:(display:Off,pause:!f,section:0,value:0),time:(from:'2017-04-07T20:39:18-0600',mode:absolute,to:'2017-04-07T23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5" s="183" t="str">
        <f t="shared" si="66"/>
        <v>N</v>
      </c>
      <c r="X145" s="183">
        <f t="shared" si="53"/>
        <v>1</v>
      </c>
      <c r="Y145" s="62">
        <f t="shared" si="54"/>
        <v>4.6399999999999997E-2</v>
      </c>
      <c r="Z145" s="62">
        <f t="shared" si="59"/>
        <v>23.327000000000002</v>
      </c>
      <c r="AA145" s="62">
        <f t="shared" si="67"/>
        <v>23.280600000000003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8"/>
        <v>0233-07</v>
      </c>
      <c r="AE145" s="85" t="str">
        <f t="shared" si="69"/>
        <v>aws s3 cp s3://rtdc.mdm.uploadarchive.raw/RTDC4026/ "%USERPROFILE%\AppData\Local\Temp\OnboardLogs"\RTDC4026\2017-04-07 --exclude "*" --recursive --include "*20170407*" &amp; "%USERPROFILE%\Documents\GitHub\mrs-test-scripts\Headless Mode &amp; Sideloading\WalkAndUnGZ.bat" "%USERPROFILE%\AppData\Local\Temp\OnboardLogs"\RTDC4026\2017-04-07 &amp; aws s3 cp s3://rtdc.mdm.uploadarchive.raw/RTDC4026/ "%USERPROFILE%\AppData\Local\Temp\OnboardLogs"\RTDC4026\2017-04-08 --exclude "*" --recursive --include "*20170408*" &amp; "%USERPROFILE%\Documents\GitHub\mrs-test-scripts\Headless Mode &amp; Sideloading\WalkAndUnGZ.bat" "%USERPROFILE%\AppData\Local\Temp\OnboardLogs"\RTDC4026\2017-04-08</v>
      </c>
      <c r="AF145" s="82" t="str">
        <f t="shared" si="70"/>
        <v>"C:\Program Files (x86)\AstroGrep\AstroGrep.exe" /e /r /s /spath="%USERPROFILE%\AppData\Local\Temp\OnboardLogs" /stypes="app*4026*20170408*" /stext=" 04:.+((SYSTEM_STATE.+slice.+state.+changed )|(ment ac)|(multiple cpu faults)|(system.+state.+changed )|(\[timeout)|(PRM\|1\|D)|(kpr)|(kdp)|(\|lc)|(penalty))"</v>
      </c>
      <c r="AG145" s="1" t="str">
        <f t="shared" si="71"/>
        <v>EC</v>
      </c>
      <c r="AH145" s="86" t="str">
        <f t="shared" si="55"/>
        <v>"%USERPROFILE%\Documents\GitHub\eaglep3\Utilities\RefineRTDCRunTimes.py" --tripid 233-07 --locoid 4026 --swversion DE.1.0.9.0 --startMP 204:464 --initTime 2017-04-07T21:39:18 --startdatetime 2017-04-07T22:00:20 --delay 1 --endMP 204:233270 --enddatetime 2017-04-07T22:37:16 --enforcementcount 0 &gt;&gt;C:\Users\stu\Documents\GitHub\eaglep3-reporting\EC\2017-04-07-refined-times.txt</v>
      </c>
      <c r="AI145" s="104" t="str">
        <f t="shared" si="56"/>
        <v>echo {"issue":{"subject":"","project_id":79,"tracker_id":40,"status_id":1,"priority_id":2,"assigned_to_id":23,"start_date":"2017-04-07","description":"","custom_fields":[{"id":1,"name":"Subdivision","value":"EC"},{"id":4,"name":"Milepost","value":"23.327"},{"id":17,"name":"Train ID","value":"233-07"},{"id":16,"name":"Locomotive ID","value":"4026"},{"id":130,"name":"Impact","value":""},{"id":150,"name":"Time of Event (Mountain Time)","value":"22:37:16"},{"id":151,"name":"Denver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57"/>
        <v>start /low /b %USERPROFILE%\Documents\GitHub\eaglep3\Utilities\DownloadLogsFromS3.py --loco 4026 --day 2017-04-07</v>
      </c>
      <c r="AN145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04:37:16"},{"id":29,"name":"Sharepoint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840</v>
      </c>
      <c r="B146" s="7">
        <v>4025</v>
      </c>
      <c r="C146" s="21" t="s">
        <v>216</v>
      </c>
      <c r="D146" s="21" t="s">
        <v>534</v>
      </c>
      <c r="E146" s="13">
        <v>42832.946574074071</v>
      </c>
      <c r="F146" s="13">
        <v>42832.955729166664</v>
      </c>
      <c r="G146" s="7">
        <v>0</v>
      </c>
      <c r="H146" s="21" t="s">
        <v>860</v>
      </c>
      <c r="I146" s="13">
        <v>42832.983726851853</v>
      </c>
      <c r="J146" s="7">
        <v>0</v>
      </c>
      <c r="K146" s="97" t="str">
        <f t="shared" si="60"/>
        <v>4025/4026</v>
      </c>
      <c r="L146" s="21" t="str">
        <f>VLOOKUP(A146,'Trips&amp;Operators'!$C$1:$G$99999,5,FALSE)</f>
        <v>GUZMAN DANNY</v>
      </c>
      <c r="M146" s="6">
        <f t="shared" si="61"/>
        <v>2.7997685188893229E-2</v>
      </c>
      <c r="N146" s="7">
        <f t="shared" si="62"/>
        <v>40.316666672006249</v>
      </c>
      <c r="O146" s="7"/>
      <c r="P146" s="7"/>
      <c r="Q146" s="22"/>
      <c r="R146" s="22"/>
      <c r="S146" s="31">
        <f t="shared" si="63"/>
        <v>1</v>
      </c>
      <c r="T146" s="46" t="str">
        <f t="shared" si="64"/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65"/>
        <v>https://d0f6bd738d7f1b3e5a7ca70fe4ff75f0.us-east-1.aws.found.io/app/kibana#/discover/Steve-Slow-Train-Analysis-(2080s-and-2083s)?_g=(refreshInterval:(display:Off,pause:!f,section:0,value:0),time:(from:'2017-04-07T21:43:04-0600',mode:absolute,to:'2017-04-08T00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6" s="183" t="str">
        <f t="shared" si="66"/>
        <v>N</v>
      </c>
      <c r="X146" s="183">
        <f t="shared" si="53"/>
        <v>1</v>
      </c>
      <c r="Y146" s="62">
        <f t="shared" si="54"/>
        <v>23.3002</v>
      </c>
      <c r="Z146" s="62">
        <f t="shared" si="59"/>
        <v>1.4999999999999999E-2</v>
      </c>
      <c r="AA146" s="62">
        <f t="shared" si="67"/>
        <v>23.2852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8"/>
        <v>0234-07</v>
      </c>
      <c r="AE146" s="85" t="str">
        <f t="shared" si="69"/>
        <v>aws s3 cp s3://rtdc.mdm.uploadarchive.raw/RTDC4025/ "%USERPROFILE%\AppData\Local\Temp\OnboardLogs"\RTDC4025\2017-04-07 --exclude "*" --recursive --include "*20170407*" &amp; "%USERPROFILE%\Documents\GitHub\mrs-test-scripts\Headless Mode &amp; Sideloading\WalkAndUnGZ.bat" "%USERPROFILE%\AppData\Local\Temp\OnboardLogs"\RTDC4025\2017-04-07 &amp; aws s3 cp s3://rtdc.mdm.uploadarchive.raw/RTDC4025/ "%USERPROFILE%\AppData\Local\Temp\OnboardLogs"\RTDC4025\2017-04-08 --exclude "*" --recursive --include "*20170408*" &amp; "%USERPROFILE%\Documents\GitHub\mrs-test-scripts\Headless Mode &amp; Sideloading\WalkAndUnGZ.bat" "%USERPROFILE%\AppData\Local\Temp\OnboardLogs"\RTDC4025\2017-04-08</v>
      </c>
      <c r="AF146" s="82" t="str">
        <f t="shared" si="70"/>
        <v>"C:\Program Files (x86)\AstroGrep\AstroGrep.exe" /e /r /s /spath="%USERPROFILE%\AppData\Local\Temp\OnboardLogs" /stypes="app*4025*20170408*" /stext=" 05:.+((SYSTEM_STATE.+slice.+state.+changed )|(ment ac)|(multiple cpu faults)|(system.+state.+changed )|(\[timeout)|(PRM\|1\|D)|(kpr)|(kdp)|(\|lc)|(penalty))"</v>
      </c>
      <c r="AG146" s="1" t="str">
        <f t="shared" si="71"/>
        <v>EC</v>
      </c>
      <c r="AH146" s="86" t="str">
        <f t="shared" si="55"/>
        <v>"%USERPROFILE%\Documents\GitHub\eaglep3\Utilities\RefineRTDCRunTimes.py" --tripid 234-07 --locoid 4025 --swversion DE.1.0.9.0 --startMP 204:233002 --initTime 2017-04-07T22:43:04 --startdatetime 2017-04-07T22:56:15 --delay 0 --endMP 204:150 --enddatetime 2017-04-07T23:36:34 --enforcementcount 0 &gt;&gt;C:\Users\stu\Documents\GitHub\eaglep3-reporting\EC\2017-04-07-refined-times.txt</v>
      </c>
      <c r="AI146" s="104" t="str">
        <f t="shared" si="56"/>
        <v>echo {"issue":{"subject":"","project_id":79,"tracker_id":40,"status_id":1,"priority_id":2,"assigned_to_id":23,"start_date":"2017-04-07","description":"","custom_fields":[{"id":1,"name":"Subdivision","value":"EC"},{"id":4,"name":"Milepost","value":"0.015"},{"id":17,"name":"Train ID","value":"234-07"},{"id":16,"name":"Locomotive ID","value":"4025"},{"id":130,"name":"Impact","value":""},{"id":150,"name":"Time of Event (Mountain Time)","value":"23:36:34"},{"id":151,"name":"Denver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57"/>
        <v>start /low /b %USERPROFILE%\Documents\GitHub\eaglep3\Utilities\DownloadLogsFromS3.py --loco 4025 --day 2017-04-07</v>
      </c>
      <c r="AN146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05:36:34"},{"id":29,"name":"Sharepoint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837</v>
      </c>
      <c r="B147" s="7">
        <v>4010</v>
      </c>
      <c r="C147" s="21" t="s">
        <v>216</v>
      </c>
      <c r="D147" s="21" t="s">
        <v>207</v>
      </c>
      <c r="E147" s="13">
        <v>42832.924317129633</v>
      </c>
      <c r="F147" s="13">
        <v>42832.925219907411</v>
      </c>
      <c r="G147" s="7">
        <v>1</v>
      </c>
      <c r="H147" s="21" t="s">
        <v>521</v>
      </c>
      <c r="I147" s="13">
        <v>42832.933229166665</v>
      </c>
      <c r="J147" s="7">
        <v>0</v>
      </c>
      <c r="K147" s="97" t="str">
        <f t="shared" si="60"/>
        <v>4009/4010</v>
      </c>
      <c r="L147" s="21" t="str">
        <f>VLOOKUP(A147,'Trips&amp;Operators'!$C$1:$G$99999,5,FALSE)</f>
        <v>SWANSON BRYCE</v>
      </c>
      <c r="M147" s="6">
        <f t="shared" si="61"/>
        <v>8.0092592543223873E-3</v>
      </c>
      <c r="N147" s="7"/>
      <c r="O147" s="7"/>
      <c r="P147" s="7">
        <f>24*60*SUM($M147:$M147)</f>
        <v>11.533333326224238</v>
      </c>
      <c r="Q147" s="22"/>
      <c r="R147" s="22" t="s">
        <v>501</v>
      </c>
      <c r="S147" s="31">
        <f t="shared" si="63"/>
        <v>0</v>
      </c>
      <c r="T147" s="46" t="str">
        <f t="shared" si="64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0</v>
      </c>
      <c r="V147" s="182" t="str">
        <f t="shared" si="65"/>
        <v>https://d0f6bd738d7f1b3e5a7ca70fe4ff75f0.us-east-1.aws.found.io/app/kibana#/discover/Steve-Slow-Train-Analysis-(2080s-and-2083s)?_g=(refreshInterval:(display:Off,pause:!f,section:0,value:0),time:(from:'2017-04-07T21:11:01-0600',mode:absolute,to:'2017-04-07T23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7" s="183" t="str">
        <f t="shared" si="66"/>
        <v>Y</v>
      </c>
      <c r="X147" s="183">
        <f t="shared" si="53"/>
        <v>1</v>
      </c>
      <c r="Y147" s="62">
        <f t="shared" si="54"/>
        <v>4.5999999999999999E-2</v>
      </c>
      <c r="Z147" s="62">
        <v>4.5999999999999999E-2</v>
      </c>
      <c r="AA147" s="62">
        <f t="shared" si="67"/>
        <v>0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8"/>
        <v>0235-07</v>
      </c>
      <c r="AE147" s="85" t="str">
        <f t="shared" si="69"/>
        <v>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 &amp; 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</v>
      </c>
      <c r="AF147" s="82" t="str">
        <f t="shared" si="70"/>
        <v>"C:\Program Files (x86)\AstroGrep\AstroGrep.exe" /e /r /s /spath="%USERPROFILE%\AppData\Local\Temp\OnboardLogs" /stypes="app*4010*20170408*" /stext=" 04:.+((SYSTEM_STATE.+slice.+state.+changed )|(ment ac)|(multiple cpu faults)|(system.+state.+changed )|(\[timeout)|(PRM\|1\|D)|(kpr)|(kdp)|(\|lc)|(penalty))"</v>
      </c>
      <c r="AG147" s="1" t="str">
        <f t="shared" si="71"/>
        <v>EC</v>
      </c>
      <c r="AH147" s="86" t="str">
        <f t="shared" si="55"/>
        <v>"%USERPROFILE%\Documents\GitHub\eaglep3\Utilities\RefineRTDCRunTimes.py" --tripid 235-07 --locoid 4010 --swversion DE.1.0.9.0 --startMP 204:460 --initTime 2017-04-07T22:11:01 --startdatetime 2017-04-07T22:12:19 --delay 1 --endMP 204:469 --enddatetime 2017-04-07T22:23:51 --enforcementcount 0 &gt;&gt;C:\Users\stu\Documents\GitHub\eaglep3-reporting\EC\2017-04-07-refined-times.txt</v>
      </c>
      <c r="AI147" s="104" t="str">
        <f t="shared" si="56"/>
        <v>echo {"issue":{"subject":"Onboard in-route failure","project_id":79,"tracker_id":40,"status_id":1,"priority_id":2,"assigned_to_id":23,"start_date":"2017-04-07","description":"","custom_fields":[{"id":1,"name":"Subdivision","value":"EC"},{"id":4,"name":"Milepost","value":"0.046"},{"id":17,"name":"Train ID","value":"235-07"},{"id":16,"name":"Locomotive ID","value":"4010"},{"id":130,"name":"Impact","value":""},{"id":150,"name":"Time of Event (Mountain Time)","value":"22:23:51"},{"id":151,"name":"Denver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57"/>
        <v>start /low /b %USERPROFILE%\Documents\GitHub\eaglep3\Utilities\DownloadLogsFromS3.py --loco 4010 --day 2017-04-07</v>
      </c>
      <c r="AN147" s="159" t="str">
        <f t="shared" si="58"/>
        <v>echo {"issue":{"subject":"Onboard in-route failure","project_id":30,"tracker_id":4,"status_id":1,"priority_id":1,"assigned_to_id":10,"start_date":"2017-04-08","description":"","custom_fields":[{"id":30,"name":"Category","value":"Issue"},{"id":3,"name":"Functional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04:23:51"},{"id":29,"name":"Sharepoint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841</v>
      </c>
      <c r="B148" s="7">
        <v>4009</v>
      </c>
      <c r="C148" s="21" t="s">
        <v>216</v>
      </c>
      <c r="D148" s="21" t="s">
        <v>916</v>
      </c>
      <c r="E148" s="13">
        <v>42832.967743055553</v>
      </c>
      <c r="F148" s="13">
        <v>42832.976747685185</v>
      </c>
      <c r="G148" s="7">
        <v>1</v>
      </c>
      <c r="H148" s="21" t="s">
        <v>430</v>
      </c>
      <c r="I148" s="13">
        <v>42833.00571759259</v>
      </c>
      <c r="J148" s="7">
        <v>0</v>
      </c>
      <c r="K148" s="97" t="str">
        <f t="shared" si="60"/>
        <v>4009/4010</v>
      </c>
      <c r="L148" s="21" t="str">
        <f>VLOOKUP(A148,'Trips&amp;Operators'!$C$1:$G$99999,5,FALSE)</f>
        <v>SWANSON BRYCE</v>
      </c>
      <c r="M148" s="6">
        <f t="shared" si="61"/>
        <v>2.8969907405553386E-2</v>
      </c>
      <c r="N148" s="7">
        <f t="shared" ref="N148:N179" si="72">24*60*SUM($M148:$M148)</f>
        <v>41.716666663996875</v>
      </c>
      <c r="O148" s="7"/>
      <c r="P148" s="7"/>
      <c r="Q148" s="22"/>
      <c r="R148" s="22"/>
      <c r="S148" s="31">
        <f t="shared" si="63"/>
        <v>1</v>
      </c>
      <c r="T148" s="46" t="str">
        <f t="shared" si="64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65"/>
        <v>https://d0f6bd738d7f1b3e5a7ca70fe4ff75f0.us-east-1.aws.found.io/app/kibana#/discover/Steve-Slow-Train-Analysis-(2080s-and-2083s)?_g=(refreshInterval:(display:Off,pause:!f,section:0,value:0),time:(from:'2017-04-07T22:13:33-0600',mode:absolute,to:'2017-04-08T01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8" s="183" t="str">
        <f t="shared" si="66"/>
        <v>N</v>
      </c>
      <c r="X148" s="183">
        <f t="shared" si="53"/>
        <v>1</v>
      </c>
      <c r="Y148" s="62">
        <f t="shared" si="54"/>
        <v>23.3066</v>
      </c>
      <c r="Z148" s="62">
        <f t="shared" ref="Z148:Z179" si="73">RIGHT(H148,LEN(H148)-4)/10000</f>
        <v>1.4500000000000001E-2</v>
      </c>
      <c r="AA148" s="62">
        <f t="shared" si="67"/>
        <v>23.292099999999998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8"/>
        <v>0236-07</v>
      </c>
      <c r="AE148" s="85" t="str">
        <f t="shared" si="69"/>
        <v>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 &amp; aws s3 cp s3://rtdc.mdm.uploadarchive.raw/RTDC4009/ "%USERPROFILE%\AppData\Local\Temp\OnboardLogs"\RTDC4009\2017-04-08 --exclude "*" --recursive --include "*20170408*" &amp; "%USERPROFILE%\Documents\GitHub\mrs-test-scripts\Headless Mode &amp; Sideloading\WalkAndUnGZ.bat" "%USERPROFILE%\AppData\Local\Temp\OnboardLogs"\RTDC4009\2017-04-08</v>
      </c>
      <c r="AF148" s="82" t="str">
        <f t="shared" si="70"/>
        <v>"C:\Program Files (x86)\AstroGrep\AstroGrep.exe" /e /r /s /spath="%USERPROFILE%\AppData\Local\Temp\OnboardLogs" /stypes="app*4009*20170408*" /stext=" 06:.+((SYSTEM_STATE.+slice.+state.+changed )|(ment ac)|(multiple cpu faults)|(system.+state.+changed )|(\[timeout)|(PRM\|1\|D)|(kpr)|(kdp)|(\|lc)|(penalty))"</v>
      </c>
      <c r="AG148" s="1" t="str">
        <f t="shared" si="71"/>
        <v>EC</v>
      </c>
      <c r="AH148" s="86" t="str">
        <f t="shared" si="55"/>
        <v>"%USERPROFILE%\Documents\GitHub\eaglep3\Utilities\RefineRTDCRunTimes.py" --tripid 236-07 --locoid 4009 --swversion DE.1.0.9.0 --startMP 204:233066 --initTime 2017-04-07T23:13:33 --startdatetime 2017-04-07T23:26:31 --delay 1 --endMP 204:145 --enddatetime 2017-04-08T00:08:14 --enforcementcount 0 &gt;&gt;C:\Users\stu\Documents\GitHub\eaglep3-reporting\EC\2017-04-07-refined-times.txt</v>
      </c>
      <c r="AI148" s="104" t="str">
        <f t="shared" si="56"/>
        <v>echo {"issue":{"subject":"","project_id":79,"tracker_id":40,"status_id":1,"priority_id":2,"assigned_to_id":23,"start_date":"2017-04-08","description":"","custom_fields":[{"id":1,"name":"Subdivision","value":"EC"},{"id":4,"name":"Milepost","value":"0.0145"},{"id":17,"name":"Train ID","value":"236-07"},{"id":16,"name":"Locomotive ID","value":"4009"},{"id":130,"name":"Impact","value":""},{"id":150,"name":"Time of Event (Mountain Time)","value":"00:08:14"},{"id":151,"name":"Denver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57"/>
        <v>start /low /b %USERPROFILE%\Documents\GitHub\eaglep3\Utilities\DownloadLogsFromS3.py --loco 4009 --day 2017-04-07</v>
      </c>
      <c r="AN148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06:08:14"},{"id":29,"name":"Sharepoint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653</v>
      </c>
      <c r="B149" s="7">
        <v>4030</v>
      </c>
      <c r="C149" s="21" t="s">
        <v>216</v>
      </c>
      <c r="D149" s="21" t="s">
        <v>494</v>
      </c>
      <c r="E149" s="13">
        <v>42832.9533912037</v>
      </c>
      <c r="F149" s="13">
        <v>42832.958495370367</v>
      </c>
      <c r="G149" s="7">
        <v>1</v>
      </c>
      <c r="H149" s="21" t="s">
        <v>917</v>
      </c>
      <c r="I149" s="13">
        <v>42832.9844212963</v>
      </c>
      <c r="J149" s="7">
        <v>0</v>
      </c>
      <c r="K149" s="97" t="str">
        <f t="shared" si="60"/>
        <v>4029/4030</v>
      </c>
      <c r="L149" s="21" t="str">
        <f>VLOOKUP(A149,'Trips&amp;Operators'!$C$1:$G$99999,5,FALSE)</f>
        <v>BROWN JACOB</v>
      </c>
      <c r="M149" s="6">
        <f t="shared" si="61"/>
        <v>2.5925925932824612E-2</v>
      </c>
      <c r="N149" s="7">
        <f t="shared" si="72"/>
        <v>37.333333343267441</v>
      </c>
      <c r="O149" s="7"/>
      <c r="P149" s="7"/>
      <c r="Q149" s="22"/>
      <c r="R149" s="22"/>
      <c r="S149" s="31">
        <f t="shared" si="63"/>
        <v>1</v>
      </c>
      <c r="T149" s="46" t="str">
        <f t="shared" si="64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65"/>
        <v>https://d0f6bd738d7f1b3e5a7ca70fe4ff75f0.us-east-1.aws.found.io/app/kibana#/discover/Steve-Slow-Train-Analysis-(2080s-and-2083s)?_g=(refreshInterval:(display:Off,pause:!f,section:0,value:0),time:(from:'2017-04-07T21:52:53-0600',mode:absolute,to:'2017-04-08T00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9" s="183" t="str">
        <f t="shared" si="66"/>
        <v>N</v>
      </c>
      <c r="X149" s="183">
        <f t="shared" si="53"/>
        <v>1</v>
      </c>
      <c r="Y149" s="62">
        <f t="shared" si="54"/>
        <v>4.4400000000000002E-2</v>
      </c>
      <c r="Z149" s="62">
        <f t="shared" si="73"/>
        <v>23.334</v>
      </c>
      <c r="AA149" s="62">
        <f t="shared" si="67"/>
        <v>23.2896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8"/>
        <v>0237-07</v>
      </c>
      <c r="AE149" s="85" t="str">
        <f t="shared" si="69"/>
        <v>aws s3 cp s3://rtdc.mdm.uploadarchive.raw/RTDC4030/ "%USERPROFILE%\AppData\Local\Temp\OnboardLogs"\RTDC4030\2017-04-07 --exclude "*" --recursive --include "*20170407*" &amp; "%USERPROFILE%\Documents\GitHub\mrs-test-scripts\Headless Mode &amp; Sideloading\WalkAndUnGZ.bat" "%USERPROFILE%\AppData\Local\Temp\OnboardLogs"\RTDC4030\2017-04-07 &amp; aws s3 cp s3://rtdc.mdm.uploadarchive.raw/RTDC4030/ "%USERPROFILE%\AppData\Local\Temp\OnboardLogs"\RTDC4030\2017-04-08 --exclude "*" --recursive --include "*20170408*" &amp; "%USERPROFILE%\Documents\GitHub\mrs-test-scripts\Headless Mode &amp; Sideloading\WalkAndUnGZ.bat" "%USERPROFILE%\AppData\Local\Temp\OnboardLogs"\RTDC4030\2017-04-08</v>
      </c>
      <c r="AF149" s="82" t="str">
        <f t="shared" si="70"/>
        <v>"C:\Program Files (x86)\AstroGrep\AstroGrep.exe" /e /r /s /spath="%USERPROFILE%\AppData\Local\Temp\OnboardLogs" /stypes="app*4030*20170408*" /stext=" 05:.+((SYSTEM_STATE.+slice.+state.+changed )|(ment ac)|(multiple cpu faults)|(system.+state.+changed )|(\[timeout)|(PRM\|1\|D)|(kpr)|(kdp)|(\|lc)|(penalty))"</v>
      </c>
      <c r="AG149" s="1" t="str">
        <f t="shared" si="71"/>
        <v>EC</v>
      </c>
      <c r="AH149" s="86" t="str">
        <f t="shared" si="55"/>
        <v>"%USERPROFILE%\Documents\GitHub\eaglep3\Utilities\RefineRTDCRunTimes.py" --tripid 237-07 --locoid 4030 --swversion DE.1.0.9.0 --startMP 204:444 --initTime 2017-04-07T22:52:53 --startdatetime 2017-04-07T23:00:14 --delay 1 --endMP 204:233340 --enddatetime 2017-04-07T23:37:34 --enforcementcount 0 &gt;&gt;C:\Users\stu\Documents\GitHub\eaglep3-reporting\EC\2017-04-07-refined-times.txt</v>
      </c>
      <c r="AI149" s="104" t="str">
        <f t="shared" si="56"/>
        <v>echo {"issue":{"subject":"","project_id":79,"tracker_id":40,"status_id":1,"priority_id":2,"assigned_to_id":23,"start_date":"2017-04-07","description":"","custom_fields":[{"id":1,"name":"Subdivision","value":"EC"},{"id":4,"name":"Milepost","value":"23.334"},{"id":17,"name":"Train ID","value":"237-07"},{"id":16,"name":"Locomotive ID","value":"4030"},{"id":130,"name":"Impact","value":""},{"id":150,"name":"Time of Event (Mountain Time)","value":"23:37:34"},{"id":151,"name":"Denver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57"/>
        <v>start /low /b %USERPROFILE%\Documents\GitHub\eaglep3\Utilities\DownloadLogsFromS3.py --loco 4030 --day 2017-04-07</v>
      </c>
      <c r="AN149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05:37:34"},{"id":29,"name":"Sharepoint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x14ac:dyDescent="0.25">
      <c r="A150" s="33" t="s">
        <v>844</v>
      </c>
      <c r="B150" s="7">
        <v>4029</v>
      </c>
      <c r="C150" s="21" t="s">
        <v>216</v>
      </c>
      <c r="D150" s="21" t="s">
        <v>534</v>
      </c>
      <c r="E150" s="13">
        <v>42832.990729166668</v>
      </c>
      <c r="F150" s="13">
        <v>42832.997418981482</v>
      </c>
      <c r="G150" s="7">
        <v>1</v>
      </c>
      <c r="H150" s="21" t="s">
        <v>860</v>
      </c>
      <c r="I150" s="13">
        <v>42833.025833333333</v>
      </c>
      <c r="J150" s="7">
        <v>0</v>
      </c>
      <c r="K150" s="97" t="str">
        <f t="shared" si="60"/>
        <v>4029/4030</v>
      </c>
      <c r="L150" s="21" t="str">
        <f>VLOOKUP(A150,'Trips&amp;Operators'!$C$1:$G$99999,5,FALSE)</f>
        <v>BROWN JACOB</v>
      </c>
      <c r="M150" s="6">
        <f t="shared" si="61"/>
        <v>2.8414351851097308E-2</v>
      </c>
      <c r="N150" s="7">
        <f t="shared" si="72"/>
        <v>40.916666665580124</v>
      </c>
      <c r="O150" s="7"/>
      <c r="P150" s="7"/>
      <c r="Q150" s="22"/>
      <c r="R150" s="22"/>
      <c r="S150" s="31">
        <f t="shared" si="63"/>
        <v>1</v>
      </c>
      <c r="T150" s="46" t="str">
        <f t="shared" si="64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65"/>
        <v>https://d0f6bd738d7f1b3e5a7ca70fe4ff75f0.us-east-1.aws.found.io/app/kibana#/discover/Steve-Slow-Train-Analysis-(2080s-and-2083s)?_g=(refreshInterval:(display:Off,pause:!f,section:0,value:0),time:(from:'2017-04-07T22:46:39-0600',mode:absolute,to:'2017-04-08T01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0" s="183" t="str">
        <f t="shared" si="66"/>
        <v>N</v>
      </c>
      <c r="X150" s="183">
        <f t="shared" si="53"/>
        <v>1</v>
      </c>
      <c r="Y150" s="62">
        <f t="shared" si="54"/>
        <v>23.3002</v>
      </c>
      <c r="Z150" s="62">
        <f t="shared" si="73"/>
        <v>1.4999999999999999E-2</v>
      </c>
      <c r="AA150" s="62">
        <f t="shared" si="67"/>
        <v>23.2852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8"/>
        <v>0238-07</v>
      </c>
      <c r="AE150" s="85" t="str">
        <f t="shared" si="69"/>
        <v>aws s3 cp s3://rtdc.mdm.uploadarchive.raw/RTDC4029/ "%USERPROFILE%\AppData\Local\Temp\OnboardLogs"\RTDC4029\2017-04-07 --exclude "*" --recursive --include "*20170407*" &amp; "%USERPROFILE%\Documents\GitHub\mrs-test-scripts\Headless Mode &amp; Sideloading\WalkAndUnGZ.bat" "%USERPROFILE%\AppData\Local\Temp\OnboardLogs"\RTDC4029\2017-04-07 &amp; aws s3 cp s3://rtdc.mdm.uploadarchive.raw/RTDC4029/ "%USERPROFILE%\AppData\Local\Temp\OnboardLogs"\RTDC4029\2017-04-08 --exclude "*" --recursive --include "*20170408*" &amp; "%USERPROFILE%\Documents\GitHub\mrs-test-scripts\Headless Mode &amp; Sideloading\WalkAndUnGZ.bat" "%USERPROFILE%\AppData\Local\Temp\OnboardLogs"\RTDC4029\2017-04-08</v>
      </c>
      <c r="AF150" s="82" t="str">
        <f t="shared" si="70"/>
        <v>"C:\Program Files (x86)\AstroGrep\AstroGrep.exe" /e /r /s /spath="%USERPROFILE%\AppData\Local\Temp\OnboardLogs" /stypes="app*4029*20170408*" /stext=" 06:.+((SYSTEM_STATE.+slice.+state.+changed )|(ment ac)|(multiple cpu faults)|(system.+state.+changed )|(\[timeout)|(PRM\|1\|D)|(kpr)|(kdp)|(\|lc)|(penalty))"</v>
      </c>
      <c r="AG150" s="1" t="str">
        <f t="shared" si="71"/>
        <v>EC</v>
      </c>
      <c r="AH150" s="86" t="str">
        <f t="shared" si="55"/>
        <v>"%USERPROFILE%\Documents\GitHub\eaglep3\Utilities\RefineRTDCRunTimes.py" --tripid 238-07 --locoid 4029 --swversion DE.1.0.9.0 --startMP 204:233002 --initTime 2017-04-07T23:46:39 --startdatetime 2017-04-07T23:56:17 --delay 1 --endMP 204:150 --enddatetime 2017-04-08T00:37:12 --enforcementcount 0 &gt;&gt;C:\Users\stu\Documents\GitHub\eaglep3-reporting\EC\2017-04-07-refined-times.txt</v>
      </c>
      <c r="AI150" s="104" t="str">
        <f t="shared" si="56"/>
        <v>echo {"issue":{"subject":"","project_id":79,"tracker_id":40,"status_id":1,"priority_id":2,"assigned_to_id":23,"start_date":"2017-04-08","description":"","custom_fields":[{"id":1,"name":"Subdivision","value":"EC"},{"id":4,"name":"Milepost","value":"0.015"},{"id":17,"name":"Train ID","value":"238-07"},{"id":16,"name":"Locomotive ID","value":"4029"},{"id":130,"name":"Impact","value":""},{"id":150,"name":"Time of Event (Mountain Time)","value":"00:37:12"},{"id":151,"name":"Denver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8"/>
      <c r="AL150" s="48"/>
      <c r="AM150" s="150" t="str">
        <f t="shared" si="57"/>
        <v>start /low /b %USERPROFILE%\Documents\GitHub\eaglep3\Utilities\DownloadLogsFromS3.py --loco 4029 --day 2017-04-07</v>
      </c>
      <c r="AN150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06:37:12"},{"id":29,"name":"Sharepoint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x14ac:dyDescent="0.25">
      <c r="A151" s="33" t="s">
        <v>842</v>
      </c>
      <c r="B151" s="7">
        <v>4032</v>
      </c>
      <c r="C151" s="21" t="s">
        <v>216</v>
      </c>
      <c r="D151" s="21" t="s">
        <v>530</v>
      </c>
      <c r="E151" s="13">
        <v>42832.976597222223</v>
      </c>
      <c r="F151" s="13">
        <v>42832.979432870372</v>
      </c>
      <c r="G151" s="7">
        <v>1</v>
      </c>
      <c r="H151" s="21" t="s">
        <v>587</v>
      </c>
      <c r="I151" s="13">
        <v>42833.005555555559</v>
      </c>
      <c r="J151" s="7">
        <v>0</v>
      </c>
      <c r="K151" s="97" t="str">
        <f t="shared" si="60"/>
        <v>4031/4032</v>
      </c>
      <c r="L151" s="21" t="str">
        <f>VLOOKUP(A151,'Trips&amp;Operators'!$C$1:$G$99999,5,FALSE)</f>
        <v>STORY SAMANTHA</v>
      </c>
      <c r="M151" s="6">
        <f t="shared" si="61"/>
        <v>2.6122685187146999E-2</v>
      </c>
      <c r="N151" s="7">
        <f t="shared" si="72"/>
        <v>37.616666669491678</v>
      </c>
      <c r="O151" s="7"/>
      <c r="P151" s="7"/>
      <c r="Q151" s="22"/>
      <c r="R151" s="22"/>
      <c r="S151" s="31">
        <f t="shared" si="63"/>
        <v>1</v>
      </c>
      <c r="T151" s="46" t="str">
        <f t="shared" si="64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65"/>
        <v>https://d0f6bd738d7f1b3e5a7ca70fe4ff75f0.us-east-1.aws.found.io/app/kibana#/discover/Steve-Slow-Train-Analysis-(2080s-and-2083s)?_g=(refreshInterval:(display:Off,pause:!f,section:0,value:0),time:(from:'2017-04-07T22:26:18-0600',mode:absolute,to:'2017-04-08T01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1" s="183" t="str">
        <f t="shared" si="66"/>
        <v>N</v>
      </c>
      <c r="X151" s="183">
        <f t="shared" si="53"/>
        <v>1</v>
      </c>
      <c r="Y151" s="62">
        <f t="shared" si="54"/>
        <v>4.6699999999999998E-2</v>
      </c>
      <c r="Z151" s="62">
        <f t="shared" si="73"/>
        <v>23.333200000000001</v>
      </c>
      <c r="AA151" s="62">
        <f t="shared" si="67"/>
        <v>23.2865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8"/>
        <v>0239-07</v>
      </c>
      <c r="AE151" s="85" t="str">
        <f t="shared" si="69"/>
        <v>aws s3 cp s3://rtdc.mdm.uploadarchive.raw/RTDC4032/ "%USERPROFILE%\AppData\Local\Temp\OnboardLogs"\RTDC4032\2017-04-07 --exclude "*" --recursive --include "*20170407*" &amp; "%USERPROFILE%\Documents\GitHub\mrs-test-scripts\Headless Mode &amp; Sideloading\WalkAndUnGZ.bat" "%USERPROFILE%\AppData\Local\Temp\OnboardLogs"\RTDC4032\2017-04-07 &amp; aws s3 cp s3://rtdc.mdm.uploadarchive.raw/RTDC4032/ "%USERPROFILE%\AppData\Local\Temp\OnboardLogs"\RTDC4032\2017-04-08 --exclude "*" --recursive --include "*20170408*" &amp; "%USERPROFILE%\Documents\GitHub\mrs-test-scripts\Headless Mode &amp; Sideloading\WalkAndUnGZ.bat" "%USERPROFILE%\AppData\Local\Temp\OnboardLogs"\RTDC4032\2017-04-08</v>
      </c>
      <c r="AF151" s="82" t="str">
        <f t="shared" si="70"/>
        <v>"C:\Program Files (x86)\AstroGrep\AstroGrep.exe" /e /r /s /spath="%USERPROFILE%\AppData\Local\Temp\OnboardLogs" /stypes="app*4032*20170408*" /stext=" 06:.+((SYSTEM_STATE.+slice.+state.+changed )|(ment ac)|(multiple cpu faults)|(system.+state.+changed )|(\[timeout)|(PRM\|1\|D)|(kpr)|(kdp)|(\|lc)|(penalty))"</v>
      </c>
      <c r="AG151" s="1" t="str">
        <f t="shared" si="71"/>
        <v>EC</v>
      </c>
      <c r="AH151" s="86" t="str">
        <f t="shared" si="55"/>
        <v>"%USERPROFILE%\Documents\GitHub\eaglep3\Utilities\RefineRTDCRunTimes.py" --tripid 239-07 --locoid 4032 --swversion DE.1.0.9.0 --startMP 204:467 --initTime 2017-04-07T23:26:18 --startdatetime 2017-04-07T23:30:23 --delay 1 --endMP 204:233332 --enddatetime 2017-04-08T00:08:00 --enforcementcount 0 &gt;&gt;C:\Users\stu\Documents\GitHub\eaglep3-reporting\EC\2017-04-07-refined-times.txt</v>
      </c>
      <c r="AI151" s="104" t="str">
        <f t="shared" si="56"/>
        <v>echo {"issue":{"subject":"","project_id":79,"tracker_id":40,"status_id":1,"priority_id":2,"assigned_to_id":23,"start_date":"2017-04-08","description":"","custom_fields":[{"id":1,"name":"Subdivision","value":"EC"},{"id":4,"name":"Milepost","value":"23.3332"},{"id":17,"name":"Train ID","value":"239-07"},{"id":16,"name":"Locomotive ID","value":"4032"},{"id":130,"name":"Impact","value":""},{"id":150,"name":"Time of Event (Mountain Time)","value":"00:08:00"},{"id":151,"name":"Denver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8"/>
      <c r="AL151" s="48"/>
      <c r="AM151" s="150" t="str">
        <f t="shared" si="57"/>
        <v>start /low /b %USERPROFILE%\Documents\GitHub\eaglep3\Utilities\DownloadLogsFromS3.py --loco 4032 --day 2017-04-07</v>
      </c>
      <c r="AN151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06:08:00"},{"id":29,"name":"Sharepoint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x14ac:dyDescent="0.25">
      <c r="A152" s="33" t="s">
        <v>845</v>
      </c>
      <c r="B152" s="7">
        <v>4031</v>
      </c>
      <c r="C152" s="21" t="s">
        <v>216</v>
      </c>
      <c r="D152" s="21" t="s">
        <v>433</v>
      </c>
      <c r="E152" s="13">
        <v>42833.012071759258</v>
      </c>
      <c r="F152" s="13">
        <v>42833.018622685187</v>
      </c>
      <c r="G152" s="7">
        <v>2</v>
      </c>
      <c r="H152" s="21" t="s">
        <v>459</v>
      </c>
      <c r="I152" s="13">
        <v>42833.046273148146</v>
      </c>
      <c r="J152" s="7">
        <v>0</v>
      </c>
      <c r="K152" s="97" t="str">
        <f t="shared" si="60"/>
        <v>4031/4032</v>
      </c>
      <c r="L152" s="21" t="str">
        <f>VLOOKUP(A152,'Trips&amp;Operators'!$C$1:$G$99999,5,FALSE)</f>
        <v>STORY SAMANTHA</v>
      </c>
      <c r="M152" s="6">
        <f t="shared" si="61"/>
        <v>2.7650462958263233E-2</v>
      </c>
      <c r="N152" s="7">
        <f t="shared" si="72"/>
        <v>39.816666659899056</v>
      </c>
      <c r="O152" s="7"/>
      <c r="P152" s="7"/>
      <c r="Q152" s="22"/>
      <c r="R152" s="22"/>
      <c r="S152" s="31">
        <f t="shared" si="63"/>
        <v>1</v>
      </c>
      <c r="T152" s="46" t="str">
        <f t="shared" si="64"/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65"/>
        <v>https://d0f6bd738d7f1b3e5a7ca70fe4ff75f0.us-east-1.aws.found.io/app/kibana#/discover/Steve-Slow-Train-Analysis-(2080s-and-2083s)?_g=(refreshInterval:(display:Off,pause:!f,section:0,value:0),time:(from:'2017-04-07T23:17:23-0600',mode:absolute,to:'2017-04-08T02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2" s="183" t="str">
        <f t="shared" si="66"/>
        <v>N</v>
      </c>
      <c r="X152" s="183">
        <f t="shared" si="53"/>
        <v>1</v>
      </c>
      <c r="Y152" s="62">
        <f t="shared" si="54"/>
        <v>23.299800000000001</v>
      </c>
      <c r="Z152" s="62">
        <f t="shared" si="73"/>
        <v>1.6500000000000001E-2</v>
      </c>
      <c r="AA152" s="62">
        <f t="shared" si="67"/>
        <v>23.283300000000001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8"/>
        <v>0240-07</v>
      </c>
      <c r="AE152" s="85" t="str">
        <f t="shared" si="69"/>
        <v>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 &amp; aws s3 cp s3://rtdc.mdm.uploadarchive.raw/RTDC4031/ "%USERPROFILE%\AppData\Local\Temp\OnboardLogs"\RTDC4031\2017-04-09 --exclude "*" --recursive --include "*20170409*" &amp; "%USERPROFILE%\Documents\GitHub\mrs-test-scripts\Headless Mode &amp; Sideloading\WalkAndUnGZ.bat" "%USERPROFILE%\AppData\Local\Temp\OnboardLogs"\RTDC4031\2017-04-09</v>
      </c>
      <c r="AF152" s="82" t="str">
        <f t="shared" si="70"/>
        <v>"C:\Program Files (x86)\AstroGrep\AstroGrep.exe" /e /r /s /spath="%USERPROFILE%\AppData\Local\Temp\OnboardLogs" /stypes="app*4031*20170408*" /stext=" 07:.+((SYSTEM_STATE.+slice.+state.+changed )|(ment ac)|(multiple cpu faults)|(system.+state.+changed )|(\[timeout)|(PRM\|1\|D)|(kpr)|(kdp)|(\|lc)|(penalty))"</v>
      </c>
      <c r="AG152" s="1" t="str">
        <f t="shared" si="71"/>
        <v>EC</v>
      </c>
      <c r="AH152" s="86" t="str">
        <f t="shared" si="55"/>
        <v>"%USERPROFILE%\Documents\GitHub\eaglep3\Utilities\RefineRTDCRunTimes.py" --tripid 240-07 --locoid 4031 --swversion DE.1.0.9.0 --startMP 204:232998 --initTime 2017-04-08T00:17:23 --startdatetime 2017-04-08T00:26:49 --delay 2 --endMP 204:165 --enddatetime 2017-04-08T01:06:38 --enforcementcount 0 &gt;&gt;C:\Users\stu\Documents\GitHub\eaglep3-reporting\EC\2017-04-07-refined-times.txt</v>
      </c>
      <c r="AI152" s="104" t="str">
        <f t="shared" si="56"/>
        <v>echo {"issue":{"subject":"","project_id":79,"tracker_id":40,"status_id":1,"priority_id":2,"assigned_to_id":23,"start_date":"2017-04-08","description":"","custom_fields":[{"id":1,"name":"Subdivision","value":"EC"},{"id":4,"name":"Milepost","value":"0.0165"},{"id":17,"name":"Train ID","value":"240-07"},{"id":16,"name":"Locomotive ID","value":"4031"},{"id":130,"name":"Impact","value":""},{"id":150,"name":"Time of Event (Mountain Time)","value":"01:06:38"},{"id":151,"name":"Denver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57"/>
        <v>start /low /b %USERPROFILE%\Documents\GitHub\eaglep3\Utilities\DownloadLogsFromS3.py --loco 4031 --day 2017-04-08</v>
      </c>
      <c r="AN152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07:06:38"},{"id":29,"name":"Sharepoint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3" t="s">
        <v>843</v>
      </c>
      <c r="B153" s="7">
        <v>4026</v>
      </c>
      <c r="C153" s="21" t="s">
        <v>216</v>
      </c>
      <c r="D153" s="21" t="s">
        <v>877</v>
      </c>
      <c r="E153" s="13">
        <v>42832.985011574077</v>
      </c>
      <c r="F153" s="13">
        <v>42833.000324074077</v>
      </c>
      <c r="G153" s="7">
        <v>1</v>
      </c>
      <c r="H153" s="21" t="s">
        <v>918</v>
      </c>
      <c r="I153" s="13">
        <v>42833.024861111109</v>
      </c>
      <c r="J153" s="7">
        <v>0</v>
      </c>
      <c r="K153" s="97" t="str">
        <f t="shared" si="60"/>
        <v>4025/4026</v>
      </c>
      <c r="L153" s="21" t="str">
        <f>VLOOKUP(A153,'Trips&amp;Operators'!$C$1:$G$99999,5,FALSE)</f>
        <v>GUZMAN DANNY</v>
      </c>
      <c r="M153" s="6">
        <f t="shared" si="61"/>
        <v>2.4537037032132503E-2</v>
      </c>
      <c r="N153" s="7">
        <f t="shared" si="72"/>
        <v>35.333333326270804</v>
      </c>
      <c r="O153" s="7"/>
      <c r="P153" s="7"/>
      <c r="Q153" s="22"/>
      <c r="R153" s="22"/>
      <c r="S153" s="31">
        <f t="shared" si="63"/>
        <v>1</v>
      </c>
      <c r="T153" s="46" t="str">
        <f t="shared" si="64"/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65"/>
        <v>https://d0f6bd738d7f1b3e5a7ca70fe4ff75f0.us-east-1.aws.found.io/app/kibana#/discover/Steve-Slow-Train-Analysis-(2080s-and-2083s)?_g=(refreshInterval:(display:Off,pause:!f,section:0,value:0),time:(from:'2017-04-07T22:38:25-0600',mode:absolute,to:'2017-04-08T01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3" s="183" t="str">
        <f t="shared" si="66"/>
        <v>N</v>
      </c>
      <c r="X153" s="183">
        <f t="shared" si="53"/>
        <v>1</v>
      </c>
      <c r="Y153" s="62">
        <f t="shared" si="54"/>
        <v>4.7300000000000002E-2</v>
      </c>
      <c r="Z153" s="62">
        <f t="shared" si="73"/>
        <v>23.3368</v>
      </c>
      <c r="AA153" s="62">
        <f t="shared" si="67"/>
        <v>23.2895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8"/>
        <v>0241-07</v>
      </c>
      <c r="AE153" s="85" t="str">
        <f t="shared" si="69"/>
        <v>aws s3 cp s3://rtdc.mdm.uploadarchive.raw/RTDC4026/ "%USERPROFILE%\AppData\Local\Temp\OnboardLogs"\RTDC4026\2017-04-08 --exclude "*" --recursive --include "*20170408*" &amp; "%USERPROFILE%\Documents\GitHub\mrs-test-scripts\Headless Mode &amp; Sideloading\WalkAndUnGZ.bat" "%USERPROFILE%\AppData\Local\Temp\OnboardLogs"\RTDC4026\2017-04-08 &amp; aws s3 cp s3://rtdc.mdm.uploadarchive.raw/RTDC4026/ "%USERPROFILE%\AppData\Local\Temp\OnboardLogs"\RTDC4026\2017-04-09 --exclude "*" --recursive --include "*20170409*" &amp; "%USERPROFILE%\Documents\GitHub\mrs-test-scripts\Headless Mode &amp; Sideloading\WalkAndUnGZ.bat" "%USERPROFILE%\AppData\Local\Temp\OnboardLogs"\RTDC4026\2017-04-09</v>
      </c>
      <c r="AF153" s="82" t="str">
        <f t="shared" si="70"/>
        <v>"C:\Program Files (x86)\AstroGrep\AstroGrep.exe" /e /r /s /spath="%USERPROFILE%\AppData\Local\Temp\OnboardLogs" /stypes="app*4026*20170408*" /stext=" 06:.+((SYSTEM_STATE.+slice.+state.+changed )|(ment ac)|(multiple cpu faults)|(system.+state.+changed )|(\[timeout)|(PRM\|1\|D)|(kpr)|(kdp)|(\|lc)|(penalty))"</v>
      </c>
      <c r="AG153" s="1" t="str">
        <f t="shared" si="71"/>
        <v>EC</v>
      </c>
      <c r="AH153" s="86" t="str">
        <f t="shared" si="55"/>
        <v>"%USERPROFILE%\Documents\GitHub\eaglep3\Utilities\RefineRTDCRunTimes.py" --tripid 241-07 --locoid 4026 --swversion DE.1.0.9.0 --startMP 204:473 --initTime 2017-04-07T23:38:25 --startdatetime 2017-04-08T00:00:28 --delay 1 --endMP 204:233368 --enddatetime 2017-04-08T00:35:48 --enforcementcount 0 &gt;&gt;C:\Users\stu\Documents\GitHub\eaglep3-reporting\EC\2017-04-07-refined-times.txt</v>
      </c>
      <c r="AI153" s="104" t="str">
        <f t="shared" si="56"/>
        <v>echo {"issue":{"subject":"","project_id":79,"tracker_id":40,"status_id":1,"priority_id":2,"assigned_to_id":23,"start_date":"2017-04-08","description":"","custom_fields":[{"id":1,"name":"Subdivision","value":"EC"},{"id":4,"name":"Milepost","value":"23.3368"},{"id":17,"name":"Train ID","value":"241-07"},{"id":16,"name":"Locomotive ID","value":"4026"},{"id":130,"name":"Impact","value":""},{"id":150,"name":"Time of Event (Mountain Time)","value":"00:35:48"},{"id":151,"name":"Denver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57"/>
        <v>start /low /b %USERPROFILE%\Documents\GitHub\eaglep3\Utilities\DownloadLogsFromS3.py --loco 4026 --day 2017-04-08</v>
      </c>
      <c r="AN153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06:35:48"},{"id":29,"name":"Sharepoint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847</v>
      </c>
      <c r="B154" s="7">
        <v>4025</v>
      </c>
      <c r="C154" s="21" t="s">
        <v>216</v>
      </c>
      <c r="D154" s="21" t="s">
        <v>919</v>
      </c>
      <c r="E154" s="13">
        <v>42833.026574074072</v>
      </c>
      <c r="F154" s="13">
        <v>42833.039131944446</v>
      </c>
      <c r="G154" s="7">
        <v>1</v>
      </c>
      <c r="H154" s="21" t="s">
        <v>213</v>
      </c>
      <c r="I154" s="13">
        <v>42833.065949074073</v>
      </c>
      <c r="J154" s="7">
        <v>0</v>
      </c>
      <c r="K154" s="97" t="str">
        <f t="shared" si="60"/>
        <v>4025/4026</v>
      </c>
      <c r="L154" s="21" t="str">
        <f>VLOOKUP(A154,'Trips&amp;Operators'!$C$1:$G$99999,5,FALSE)</f>
        <v>GUZMAN DANNY</v>
      </c>
      <c r="M154" s="6">
        <f t="shared" si="61"/>
        <v>2.6817129626579117E-2</v>
      </c>
      <c r="N154" s="7">
        <f t="shared" si="72"/>
        <v>38.616666662273929</v>
      </c>
      <c r="O154" s="7"/>
      <c r="P154" s="7"/>
      <c r="Q154" s="22"/>
      <c r="R154" s="22"/>
      <c r="S154" s="31">
        <f t="shared" si="63"/>
        <v>1</v>
      </c>
      <c r="T154" s="46" t="str">
        <f t="shared" si="64"/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65"/>
        <v>https://d0f6bd738d7f1b3e5a7ca70fe4ff75f0.us-east-1.aws.found.io/app/kibana#/discover/Steve-Slow-Train-Analysis-(2080s-and-2083s)?_g=(refreshInterval:(display:Off,pause:!f,section:0,value:0),time:(from:'2017-04-07T23:38:16-0600',mode:absolute,to:'2017-04-08T02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4" s="183" t="str">
        <f t="shared" si="66"/>
        <v>N</v>
      </c>
      <c r="X154" s="183">
        <f t="shared" si="53"/>
        <v>1</v>
      </c>
      <c r="Y154" s="62">
        <f t="shared" si="54"/>
        <v>23.3064</v>
      </c>
      <c r="Z154" s="62">
        <f t="shared" si="73"/>
        <v>1.47E-2</v>
      </c>
      <c r="AA154" s="62">
        <f t="shared" si="67"/>
        <v>23.291699999999999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8"/>
        <v>0242-07</v>
      </c>
      <c r="AE154" s="85" t="str">
        <f t="shared" si="69"/>
        <v>aws s3 cp s3://rtdc.mdm.uploadarchive.raw/RTDC4025/ "%USERPROFILE%\AppData\Local\Temp\OnboardLogs"\RTDC4025\2017-04-08 --exclude "*" --recursive --include "*20170408*" &amp; "%USERPROFILE%\Documents\GitHub\mrs-test-scripts\Headless Mode &amp; Sideloading\WalkAndUnGZ.bat" "%USERPROFILE%\AppData\Local\Temp\OnboardLogs"\RTDC4025\2017-04-08 &amp; aws s3 cp s3://rtdc.mdm.uploadarchive.raw/RTDC4025/ "%USERPROFILE%\AppData\Local\Temp\OnboardLogs"\RTDC4025\2017-04-09 --exclude "*" --recursive --include "*20170409*" &amp; "%USERPROFILE%\Documents\GitHub\mrs-test-scripts\Headless Mode &amp; Sideloading\WalkAndUnGZ.bat" "%USERPROFILE%\AppData\Local\Temp\OnboardLogs"\RTDC4025\2017-04-09</v>
      </c>
      <c r="AF154" s="82" t="str">
        <f t="shared" si="70"/>
        <v>"C:\Program Files (x86)\AstroGrep\AstroGrep.exe" /e /r /s /spath="%USERPROFILE%\AppData\Local\Temp\OnboardLogs" /stypes="app*4025*20170408*" /stext=" 07:.+((SYSTEM_STATE.+slice.+state.+changed )|(ment ac)|(multiple cpu faults)|(system.+state.+changed )|(\[timeout)|(PRM\|1\|D)|(kpr)|(kdp)|(\|lc)|(penalty))"</v>
      </c>
      <c r="AG154" s="1" t="str">
        <f t="shared" si="71"/>
        <v>EC</v>
      </c>
      <c r="AH154" s="86" t="str">
        <f t="shared" si="55"/>
        <v>"%USERPROFILE%\Documents\GitHub\eaglep3\Utilities\RefineRTDCRunTimes.py" --tripid 242-07 --locoid 4025 --swversion DE.1.0.9.0 --startMP 204:233064 --initTime 2017-04-08T00:38:16 --startdatetime 2017-04-08T00:56:21 --delay 1 --endMP 204:147 --enddatetime 2017-04-08T01:34:58 --enforcementcount 0 &gt;&gt;C:\Users\stu\Documents\GitHub\eaglep3-reporting\EC\2017-04-07-refined-times.txt</v>
      </c>
      <c r="AI154" s="104" t="str">
        <f t="shared" si="56"/>
        <v>echo {"issue":{"subject":"","project_id":79,"tracker_id":40,"status_id":1,"priority_id":2,"assigned_to_id":23,"start_date":"2017-04-08","description":"","custom_fields":[{"id":1,"name":"Subdivision","value":"EC"},{"id":4,"name":"Milepost","value":"0.0147"},{"id":17,"name":"Train ID","value":"242-07"},{"id":16,"name":"Locomotive ID","value":"4025"},{"id":130,"name":"Impact","value":""},{"id":150,"name":"Time of Event (Mountain Time)","value":"01:34:58"},{"id":151,"name":"Denver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57"/>
        <v>start /low /b %USERPROFILE%\Documents\GitHub\eaglep3\Utilities\DownloadLogsFromS3.py --loco 4025 --day 2017-04-08</v>
      </c>
      <c r="AN154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07:34:58"},{"id":29,"name":"Sharepoint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846</v>
      </c>
      <c r="B155" s="7">
        <v>4010</v>
      </c>
      <c r="C155" s="21" t="s">
        <v>216</v>
      </c>
      <c r="D155" s="21" t="s">
        <v>418</v>
      </c>
      <c r="E155" s="13">
        <v>42833.018460648149</v>
      </c>
      <c r="F155" s="13">
        <v>42833.021423611113</v>
      </c>
      <c r="G155" s="7">
        <v>2</v>
      </c>
      <c r="H155" s="21" t="s">
        <v>578</v>
      </c>
      <c r="I155" s="13">
        <v>42833.047615740739</v>
      </c>
      <c r="J155" s="7">
        <v>0</v>
      </c>
      <c r="K155" s="97" t="str">
        <f t="shared" si="60"/>
        <v>4009/4010</v>
      </c>
      <c r="L155" s="21" t="str">
        <f>VLOOKUP(A155,'Trips&amp;Operators'!$C$1:$G$99999,5,FALSE)</f>
        <v>SWANSON BRYCE</v>
      </c>
      <c r="M155" s="6">
        <f t="shared" si="61"/>
        <v>2.619212962599704E-2</v>
      </c>
      <c r="N155" s="7">
        <f t="shared" si="72"/>
        <v>37.716666661435738</v>
      </c>
      <c r="O155" s="7"/>
      <c r="P155" s="7"/>
      <c r="Q155" s="22"/>
      <c r="R155" s="22"/>
      <c r="S155" s="31">
        <f t="shared" si="63"/>
        <v>1</v>
      </c>
      <c r="T155" s="46" t="str">
        <f t="shared" si="64"/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65"/>
        <v>https://d0f6bd738d7f1b3e5a7ca70fe4ff75f0.us-east-1.aws.found.io/app/kibana#/discover/Steve-Slow-Train-Analysis-(2080s-and-2083s)?_g=(refreshInterval:(display:Off,pause:!f,section:0,value:0),time:(from:'2017-04-07T23:26:35-0600',mode:absolute,to:'2017-04-08T02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5" s="183" t="str">
        <f t="shared" si="66"/>
        <v>N</v>
      </c>
      <c r="X155" s="183">
        <f t="shared" si="53"/>
        <v>1</v>
      </c>
      <c r="Y155" s="62">
        <f t="shared" si="54"/>
        <v>4.6199999999999998E-2</v>
      </c>
      <c r="Z155" s="62">
        <f t="shared" si="73"/>
        <v>23.335899999999999</v>
      </c>
      <c r="AA155" s="62">
        <f t="shared" si="67"/>
        <v>23.2897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8"/>
        <v>0243-07</v>
      </c>
      <c r="AE155" s="85" t="str">
        <f t="shared" si="69"/>
        <v>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 &amp; aws s3 cp s3://rtdc.mdm.uploadarchive.raw/RTDC4010/ "%USERPROFILE%\AppData\Local\Temp\OnboardLogs"\RTDC4010\2017-04-09 --exclude "*" --recursive --include "*20170409*" &amp; "%USERPROFILE%\Documents\GitHub\mrs-test-scripts\Headless Mode &amp; Sideloading\WalkAndUnGZ.bat" "%USERPROFILE%\AppData\Local\Temp\OnboardLogs"\RTDC4010\2017-04-09</v>
      </c>
      <c r="AF155" s="82" t="str">
        <f t="shared" si="70"/>
        <v>"C:\Program Files (x86)\AstroGrep\AstroGrep.exe" /e /r /s /spath="%USERPROFILE%\AppData\Local\Temp\OnboardLogs" /stypes="app*4010*20170408*" /stext=" 07:.+((SYSTEM_STATE.+slice.+state.+changed )|(ment ac)|(multiple cpu faults)|(system.+state.+changed )|(\[timeout)|(PRM\|1\|D)|(kpr)|(kdp)|(\|lc)|(penalty))"</v>
      </c>
      <c r="AG155" s="1" t="str">
        <f t="shared" si="71"/>
        <v>EC</v>
      </c>
      <c r="AH155" s="86" t="str">
        <f t="shared" si="55"/>
        <v>"%USERPROFILE%\Documents\GitHub\eaglep3\Utilities\RefineRTDCRunTimes.py" --tripid 243-07 --locoid 4010 --swversion DE.1.0.9.0 --startMP 204:462 --initTime 2017-04-08T00:26:35 --startdatetime 2017-04-08T00:30:51 --delay 2 --endMP 204:233359 --enddatetime 2017-04-08T01:08:34 --enforcementcount 0 &gt;&gt;C:\Users\stu\Documents\GitHub\eaglep3-reporting\EC\2017-04-07-refined-times.txt</v>
      </c>
      <c r="AI155" s="104" t="str">
        <f t="shared" si="56"/>
        <v>echo {"issue":{"subject":"","project_id":79,"tracker_id":40,"status_id":1,"priority_id":2,"assigned_to_id":23,"start_date":"2017-04-08","description":"","custom_fields":[{"id":1,"name":"Subdivision","value":"EC"},{"id":4,"name":"Milepost","value":"23.3359"},{"id":17,"name":"Train ID","value":"243-07"},{"id":16,"name":"Locomotive ID","value":"4010"},{"id":130,"name":"Impact","value":""},{"id":150,"name":"Time of Event (Mountain Time)","value":"01:08:34"},{"id":151,"name":"Denver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57"/>
        <v>start /low /b %USERPROFILE%\Documents\GitHub\eaglep3\Utilities\DownloadLogsFromS3.py --loco 4010 --day 2017-04-08</v>
      </c>
      <c r="AN155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07:08:34"},{"id":29,"name":"Sharepoint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3" t="s">
        <v>850</v>
      </c>
      <c r="B156" s="7">
        <v>4009</v>
      </c>
      <c r="C156" s="21" t="s">
        <v>216</v>
      </c>
      <c r="D156" s="21" t="s">
        <v>920</v>
      </c>
      <c r="E156" s="13">
        <v>42833.057083333333</v>
      </c>
      <c r="F156" s="13">
        <v>42833.059965277775</v>
      </c>
      <c r="G156" s="7">
        <v>1</v>
      </c>
      <c r="H156" s="21" t="s">
        <v>459</v>
      </c>
      <c r="I156" s="13">
        <v>42833.088495370372</v>
      </c>
      <c r="J156" s="7">
        <v>0</v>
      </c>
      <c r="K156" s="97" t="str">
        <f t="shared" si="60"/>
        <v>4009/4010</v>
      </c>
      <c r="L156" s="21" t="str">
        <f>VLOOKUP(A156,'Trips&amp;Operators'!$C$1:$G$99999,5,FALSE)</f>
        <v>SWANSON BRYCE</v>
      </c>
      <c r="M156" s="6">
        <f t="shared" si="61"/>
        <v>2.8530092597065959E-2</v>
      </c>
      <c r="N156" s="7">
        <f t="shared" si="72"/>
        <v>41.083333339774981</v>
      </c>
      <c r="O156" s="7"/>
      <c r="P156" s="7"/>
      <c r="Q156" s="22"/>
      <c r="R156" s="22"/>
      <c r="S156" s="31">
        <f t="shared" si="63"/>
        <v>1</v>
      </c>
      <c r="T156" s="46" t="str">
        <f t="shared" si="64"/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65"/>
        <v>https://d0f6bd738d7f1b3e5a7ca70fe4ff75f0.us-east-1.aws.found.io/app/kibana#/discover/Steve-Slow-Train-Analysis-(2080s-and-2083s)?_g=(refreshInterval:(display:Off,pause:!f,section:0,value:0),time:(from:'2017-04-08T00:22:12-0600',mode:absolute,to:'2017-04-08T03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6" s="183" t="str">
        <f t="shared" si="66"/>
        <v>N</v>
      </c>
      <c r="X156" s="183">
        <f t="shared" si="53"/>
        <v>1</v>
      </c>
      <c r="Y156" s="62">
        <f t="shared" si="54"/>
        <v>23.303999999999998</v>
      </c>
      <c r="Z156" s="62">
        <f t="shared" si="73"/>
        <v>1.6500000000000001E-2</v>
      </c>
      <c r="AA156" s="62">
        <f t="shared" si="67"/>
        <v>23.287499999999998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8"/>
        <v>0244-07</v>
      </c>
      <c r="AE156" s="85" t="str">
        <f t="shared" si="69"/>
        <v>aws s3 cp s3://rtdc.mdm.uploadarchive.raw/RTDC4009/ "%USERPROFILE%\AppData\Local\Temp\OnboardLogs"\RTDC4009\2017-04-08 --exclude "*" --recursive --include "*20170408*" &amp; "%USERPROFILE%\Documents\GitHub\mrs-test-scripts\Headless Mode &amp; Sideloading\WalkAndUnGZ.bat" "%USERPROFILE%\AppData\Local\Temp\OnboardLogs"\RTDC4009\2017-04-08 &amp; aws s3 cp s3://rtdc.mdm.uploadarchive.raw/RTDC4009/ "%USERPROFILE%\AppData\Local\Temp\OnboardLogs"\RTDC4009\2017-04-09 --exclude "*" --recursive --include "*20170409*" &amp; "%USERPROFILE%\Documents\GitHub\mrs-test-scripts\Headless Mode &amp; Sideloading\WalkAndUnGZ.bat" "%USERPROFILE%\AppData\Local\Temp\OnboardLogs"\RTDC4009\2017-04-09</v>
      </c>
      <c r="AF156" s="82" t="str">
        <f t="shared" si="70"/>
        <v>"C:\Program Files (x86)\AstroGrep\AstroGrep.exe" /e /r /s /spath="%USERPROFILE%\AppData\Local\Temp\OnboardLogs" /stypes="app*4009*20170408*" /stext=" 08:.+((SYSTEM_STATE.+slice.+state.+changed )|(ment ac)|(multiple cpu faults)|(system.+state.+changed )|(\[timeout)|(PRM\|1\|D)|(kpr)|(kdp)|(\|lc)|(penalty))"</v>
      </c>
      <c r="AG156" s="1" t="str">
        <f t="shared" si="71"/>
        <v>EC</v>
      </c>
      <c r="AH156" s="86" t="str">
        <f t="shared" si="55"/>
        <v>"%USERPROFILE%\Documents\GitHub\eaglep3\Utilities\RefineRTDCRunTimes.py" --tripid 244-07 --locoid 4009 --swversion DE.1.0.9.0 --startMP 204:233040 --initTime 2017-04-08T01:22:12 --startdatetime 2017-04-08T01:26:21 --delay 1 --endMP 204:165 --enddatetime 2017-04-08T02:07:26 --enforcementcount 0 &gt;&gt;C:\Users\stu\Documents\GitHub\eaglep3-reporting\EC\2017-04-07-refined-times.txt</v>
      </c>
      <c r="AI156" s="104" t="str">
        <f t="shared" si="56"/>
        <v>echo {"issue":{"subject":"","project_id":79,"tracker_id":40,"status_id":1,"priority_id":2,"assigned_to_id":23,"start_date":"2017-04-08","description":"","custom_fields":[{"id":1,"name":"Subdivision","value":"EC"},{"id":4,"name":"Milepost","value":"0.0165"},{"id":17,"name":"Train ID","value":"244-07"},{"id":16,"name":"Locomotive ID","value":"4009"},{"id":130,"name":"Impact","value":""},{"id":150,"name":"Time of Event (Mountain Time)","value":"02:07:26"},{"id":151,"name":"Denver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8"/>
      <c r="AL156" s="48"/>
      <c r="AM156" s="150" t="str">
        <f t="shared" si="57"/>
        <v>start /low /b %USERPROFILE%\Documents\GitHub\eaglep3\Utilities\DownloadLogsFromS3.py --loco 4009 --day 2017-04-08</v>
      </c>
      <c r="AN156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08:07:26"},{"id":29,"name":"Sharepoint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848</v>
      </c>
      <c r="B157" s="7">
        <v>4030</v>
      </c>
      <c r="C157" s="21" t="s">
        <v>216</v>
      </c>
      <c r="D157" s="21" t="s">
        <v>207</v>
      </c>
      <c r="E157" s="13">
        <v>42833.040648148148</v>
      </c>
      <c r="F157" s="13">
        <v>42833.041863425926</v>
      </c>
      <c r="G157" s="7">
        <v>1</v>
      </c>
      <c r="H157" s="21" t="s">
        <v>921</v>
      </c>
      <c r="I157" s="13">
        <v>42833.067060185182</v>
      </c>
      <c r="J157" s="7">
        <v>0</v>
      </c>
      <c r="K157" s="97" t="str">
        <f t="shared" si="60"/>
        <v>4029/4030</v>
      </c>
      <c r="L157" s="21" t="str">
        <f>VLOOKUP(A157,'Trips&amp;Operators'!$C$1:$G$99999,5,FALSE)</f>
        <v>BROWN JACOB</v>
      </c>
      <c r="M157" s="6">
        <f t="shared" si="61"/>
        <v>2.5196759255777579E-2</v>
      </c>
      <c r="N157" s="7">
        <f t="shared" si="72"/>
        <v>36.283333328319713</v>
      </c>
      <c r="O157" s="7"/>
      <c r="P157" s="7"/>
      <c r="Q157" s="22"/>
      <c r="R157" s="22"/>
      <c r="S157" s="31">
        <f t="shared" si="63"/>
        <v>1</v>
      </c>
      <c r="T157" s="46" t="str">
        <f t="shared" si="64"/>
        <v>NorthBound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65"/>
        <v>https://d0f6bd738d7f1b3e5a7ca70fe4ff75f0.us-east-1.aws.found.io/app/kibana#/discover/Steve-Slow-Train-Analysis-(2080s-and-2083s)?_g=(refreshInterval:(display:Off,pause:!f,section:0,value:0),time:(from:'2017-04-07T23:58:32-0600',mode:absolute,to:'2017-04-08T02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7" s="183" t="str">
        <f t="shared" si="66"/>
        <v>N</v>
      </c>
      <c r="X157" s="183">
        <f t="shared" si="53"/>
        <v>1</v>
      </c>
      <c r="Y157" s="62">
        <f t="shared" si="54"/>
        <v>4.5999999999999999E-2</v>
      </c>
      <c r="Z157" s="62">
        <f t="shared" si="73"/>
        <v>23.331399999999999</v>
      </c>
      <c r="AA157" s="62">
        <f t="shared" si="67"/>
        <v>23.285399999999999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8"/>
        <v>0245-07</v>
      </c>
      <c r="AE157" s="85" t="str">
        <f t="shared" si="69"/>
        <v>aws s3 cp s3://rtdc.mdm.uploadarchive.raw/RTDC4030/ "%USERPROFILE%\AppData\Local\Temp\OnboardLogs"\RTDC4030\2017-04-08 --exclude "*" --recursive --include "*20170408*" &amp; "%USERPROFILE%\Documents\GitHub\mrs-test-scripts\Headless Mode &amp; Sideloading\WalkAndUnGZ.bat" "%USERPROFILE%\AppData\Local\Temp\OnboardLogs"\RTDC4030\2017-04-08 &amp; aws s3 cp s3://rtdc.mdm.uploadarchive.raw/RTDC4030/ "%USERPROFILE%\AppData\Local\Temp\OnboardLogs"\RTDC4030\2017-04-09 --exclude "*" --recursive --include "*20170409*" &amp; "%USERPROFILE%\Documents\GitHub\mrs-test-scripts\Headless Mode &amp; Sideloading\WalkAndUnGZ.bat" "%USERPROFILE%\AppData\Local\Temp\OnboardLogs"\RTDC4030\2017-04-09</v>
      </c>
      <c r="AF157" s="82" t="str">
        <f t="shared" si="70"/>
        <v>"C:\Program Files (x86)\AstroGrep\AstroGrep.exe" /e /r /s /spath="%USERPROFILE%\AppData\Local\Temp\OnboardLogs" /stypes="app*4030*20170408*" /stext=" 07:.+((SYSTEM_STATE.+slice.+state.+changed )|(ment ac)|(multiple cpu faults)|(system.+state.+changed )|(\[timeout)|(PRM\|1\|D)|(kpr)|(kdp)|(\|lc)|(penalty))"</v>
      </c>
      <c r="AG157" s="1" t="str">
        <f t="shared" si="71"/>
        <v>EC</v>
      </c>
      <c r="AH157" s="86" t="str">
        <f t="shared" si="55"/>
        <v>"%USERPROFILE%\Documents\GitHub\eaglep3\Utilities\RefineRTDCRunTimes.py" --tripid 245-07 --locoid 4030 --swversion DE.1.0.9.0 --startMP 204:460 --initTime 2017-04-08T00:58:32 --startdatetime 2017-04-08T01:00:17 --delay 1 --endMP 204:233314 --enddatetime 2017-04-08T01:36:34 --enforcementcount 0 &gt;&gt;C:\Users\stu\Documents\GitHub\eaglep3-reporting\EC\2017-04-07-refined-times.txt</v>
      </c>
      <c r="AI157" s="104" t="str">
        <f t="shared" si="56"/>
        <v>echo {"issue":{"subject":"","project_id":79,"tracker_id":40,"status_id":1,"priority_id":2,"assigned_to_id":23,"start_date":"2017-04-08","description":"","custom_fields":[{"id":1,"name":"Subdivision","value":"EC"},{"id":4,"name":"Milepost","value":"23.3314"},{"id":17,"name":"Train ID","value":"245-07"},{"id":16,"name":"Locomotive ID","value":"4030"},{"id":130,"name":"Impact","value":""},{"id":150,"name":"Time of Event (Mountain Time)","value":"01:36:34"},{"id":151,"name":"Denver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57"/>
        <v>start /low /b %USERPROFILE%\Documents\GitHub\eaglep3\Utilities\DownloadLogsFromS3.py --loco 4030 --day 2017-04-08</v>
      </c>
      <c r="AN157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07:36:34"},{"id":29,"name":"Sharepoint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3" t="s">
        <v>852</v>
      </c>
      <c r="B158" s="7">
        <v>4029</v>
      </c>
      <c r="C158" s="21" t="s">
        <v>216</v>
      </c>
      <c r="D158" s="21" t="s">
        <v>922</v>
      </c>
      <c r="E158" s="13">
        <v>42833.075740740744</v>
      </c>
      <c r="F158" s="13">
        <v>42833.080694444441</v>
      </c>
      <c r="G158" s="7">
        <v>1</v>
      </c>
      <c r="H158" s="21" t="s">
        <v>407</v>
      </c>
      <c r="I158" s="13">
        <v>42833.107511574075</v>
      </c>
      <c r="J158" s="7">
        <v>0</v>
      </c>
      <c r="K158" s="97" t="str">
        <f t="shared" si="60"/>
        <v>4029/4030</v>
      </c>
      <c r="L158" s="21" t="str">
        <f>VLOOKUP(A158,'Trips&amp;Operators'!$C$1:$G$99999,5,FALSE)</f>
        <v>BROWN JACOB</v>
      </c>
      <c r="M158" s="6">
        <f t="shared" si="61"/>
        <v>2.6817129633855075E-2</v>
      </c>
      <c r="N158" s="7">
        <f t="shared" si="72"/>
        <v>38.616666672751307</v>
      </c>
      <c r="O158" s="7"/>
      <c r="P158" s="7"/>
      <c r="Q158" s="22"/>
      <c r="R158" s="22"/>
      <c r="S158" s="31">
        <f t="shared" si="63"/>
        <v>1</v>
      </c>
      <c r="T158" s="46" t="str">
        <f t="shared" si="64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 t="shared" si="65"/>
        <v>https://d0f6bd738d7f1b3e5a7ca70fe4ff75f0.us-east-1.aws.found.io/app/kibana#/discover/Steve-Slow-Train-Analysis-(2080s-and-2083s)?_g=(refreshInterval:(display:Off,pause:!f,section:0,value:0),time:(from:'2017-04-08T00:49:04-0600',mode:absolute,to:'2017-04-08T03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8" s="183" t="str">
        <f t="shared" si="66"/>
        <v>N</v>
      </c>
      <c r="X158" s="183">
        <f t="shared" si="53"/>
        <v>1</v>
      </c>
      <c r="Y158" s="62">
        <f t="shared" si="54"/>
        <v>23.300999999999998</v>
      </c>
      <c r="Z158" s="62">
        <f t="shared" si="73"/>
        <v>1.3899999999999999E-2</v>
      </c>
      <c r="AA158" s="62">
        <f t="shared" si="67"/>
        <v>23.287099999999999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8"/>
        <v>0246-07</v>
      </c>
      <c r="AE158" s="85" t="str">
        <f t="shared" si="69"/>
        <v>aws s3 cp s3://rtdc.mdm.uploadarchive.raw/RTDC4029/ "%USERPROFILE%\AppData\Local\Temp\OnboardLogs"\RTDC4029\2017-04-08 --exclude "*" --recursive --include "*20170408*" &amp; "%USERPROFILE%\Documents\GitHub\mrs-test-scripts\Headless Mode &amp; Sideloading\WalkAndUnGZ.bat" "%USERPROFILE%\AppData\Local\Temp\OnboardLogs"\RTDC4029\2017-04-08 &amp; aws s3 cp s3://rtdc.mdm.uploadarchive.raw/RTDC4029/ "%USERPROFILE%\AppData\Local\Temp\OnboardLogs"\RTDC4029\2017-04-09 --exclude "*" --recursive --include "*20170409*" &amp; "%USERPROFILE%\Documents\GitHub\mrs-test-scripts\Headless Mode &amp; Sideloading\WalkAndUnGZ.bat" "%USERPROFILE%\AppData\Local\Temp\OnboardLogs"\RTDC4029\2017-04-09</v>
      </c>
      <c r="AF158" s="82" t="str">
        <f t="shared" si="70"/>
        <v>"C:\Program Files (x86)\AstroGrep\AstroGrep.exe" /e /r /s /spath="%USERPROFILE%\AppData\Local\Temp\OnboardLogs" /stypes="app*4029*20170408*" /stext=" 08:.+((SYSTEM_STATE.+slice.+state.+changed )|(ment ac)|(multiple cpu faults)|(system.+state.+changed )|(\[timeout)|(PRM\|1\|D)|(kpr)|(kdp)|(\|lc)|(penalty))"</v>
      </c>
      <c r="AG158" s="1" t="str">
        <f t="shared" si="71"/>
        <v>EC</v>
      </c>
      <c r="AH158" s="86" t="str">
        <f t="shared" si="55"/>
        <v>"%USERPROFILE%\Documents\GitHub\eaglep3\Utilities\RefineRTDCRunTimes.py" --tripid 246-07 --locoid 4029 --swversion DE.1.0.9.0 --startMP 204:233010 --initTime 2017-04-08T01:49:04 --startdatetime 2017-04-08T01:56:12 --delay 1 --endMP 204:139 --enddatetime 2017-04-08T02:34:49 --enforcementcount 0 &gt;&gt;C:\Users\stu\Documents\GitHub\eaglep3-reporting\EC\2017-04-07-refined-times.txt</v>
      </c>
      <c r="AI158" s="104" t="str">
        <f t="shared" si="56"/>
        <v>echo {"issue":{"subject":"","project_id":79,"tracker_id":40,"status_id":1,"priority_id":2,"assigned_to_id":23,"start_date":"2017-04-08","description":"","custom_fields":[{"id":1,"name":"Subdivision","value":"EC"},{"id":4,"name":"Milepost","value":"0.0139"},{"id":17,"name":"Train ID","value":"246-07"},{"id":16,"name":"Locomotive ID","value":"4029"},{"id":130,"name":"Impact","value":""},{"id":150,"name":"Time of Event (Mountain Time)","value":"02:34:49"},{"id":151,"name":"Denver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8"/>
      <c r="AL158" s="48"/>
      <c r="AM158" s="150" t="str">
        <f t="shared" si="57"/>
        <v>start /low /b %USERPROFILE%\Documents\GitHub\eaglep3\Utilities\DownloadLogsFromS3.py --loco 4029 --day 2017-04-08</v>
      </c>
      <c r="AN158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08:34:49"},{"id":29,"name":"Sharepoint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670</v>
      </c>
      <c r="B159" s="7">
        <v>4011</v>
      </c>
      <c r="C159" s="21" t="s">
        <v>216</v>
      </c>
      <c r="D159" s="21" t="s">
        <v>607</v>
      </c>
      <c r="E159" s="13">
        <v>42832.21197916667</v>
      </c>
      <c r="F159" s="13">
        <v>42832.214085648149</v>
      </c>
      <c r="G159" s="7">
        <v>1</v>
      </c>
      <c r="H159" s="21" t="s">
        <v>619</v>
      </c>
      <c r="I159" s="13">
        <v>42832.225381944445</v>
      </c>
      <c r="J159" s="7">
        <v>0</v>
      </c>
      <c r="K159" s="97" t="str">
        <f t="shared" si="60"/>
        <v>4011/4012</v>
      </c>
      <c r="L159" s="21" t="str">
        <f>VLOOKUP(A159,'Trips&amp;Operators'!$C$1:$G$99999,5,FALSE)</f>
        <v>GEBRETEKLE DAGNEW</v>
      </c>
      <c r="M159" s="6">
        <f t="shared" si="61"/>
        <v>1.1296296295768116E-2</v>
      </c>
      <c r="N159" s="7">
        <f t="shared" si="72"/>
        <v>16.266666665906087</v>
      </c>
      <c r="O159" s="7"/>
      <c r="P159" s="7"/>
      <c r="Q159" s="22"/>
      <c r="R159" s="22"/>
      <c r="S159" s="31">
        <f t="shared" si="63"/>
        <v>1</v>
      </c>
      <c r="T159" s="46" t="str">
        <f t="shared" si="64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65"/>
        <v>https://d0f6bd738d7f1b3e5a7ca70fe4ff75f0.us-east-1.aws.found.io/app/kibana#/discover/Steve-Slow-Train-Analysis-(2080s-and-2083s)?_g=(refreshInterval:(display:Off,pause:!f,section:0,value:0),time:(from:'2017-04-07T04:05:15-0600',mode:absolute,to:'2017-04-07T06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9" s="183" t="str">
        <f t="shared" si="66"/>
        <v>N</v>
      </c>
      <c r="X159" s="183">
        <f t="shared" si="53"/>
        <v>554</v>
      </c>
      <c r="Y159" s="62">
        <f t="shared" si="54"/>
        <v>5.8674999999999997</v>
      </c>
      <c r="Z159" s="62">
        <f t="shared" si="73"/>
        <v>7.0599999999999996E-2</v>
      </c>
      <c r="AA159" s="62">
        <f t="shared" si="67"/>
        <v>5.7968999999999999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8"/>
        <v>0800-07</v>
      </c>
      <c r="AE159" s="85" t="str">
        <f t="shared" si="69"/>
        <v>aws s3 cp s3://rtdc.mdm.uploadarchive.raw/RTDC4011/ "%USERPROFILE%\AppData\Local\Temp\OnboardLogs"\RTDC4011\2017-04-07 --exclude "*" --recursive --include "*20170407*" &amp; "%USERPROFILE%\Documents\GitHub\mrs-test-scripts\Headless Mode &amp; Sideloading\WalkAndUnGZ.bat" "%USERPROFILE%\AppData\Local\Temp\OnboardLogs"\RTDC4011\2017-04-07 &amp; aws s3 cp s3://rtdc.mdm.uploadarchive.raw/RTDC4011/ "%USERPROFILE%\AppData\Local\Temp\OnboardLogs"\RTDC4011\2017-04-08 --exclude "*" --recursive --include "*20170408*" &amp; "%USERPROFILE%\Documents\GitHub\mrs-test-scripts\Headless Mode &amp; Sideloading\WalkAndUnGZ.bat" "%USERPROFILE%\AppData\Local\Temp\OnboardLogs"\RTDC4011\2017-04-08</v>
      </c>
      <c r="AF159" s="82" t="str">
        <f t="shared" si="70"/>
        <v>"C:\Program Files (x86)\AstroGrep\AstroGrep.exe" /e /r /s /spath="%USERPROFILE%\AppData\Local\Temp\OnboardLogs" /stypes="app*4011*20170407*" /stext=" 11:.+((SYSTEM_STATE.+slice.+state.+changed )|(ment ac)|(multiple cpu faults)|(system.+state.+changed )|(\[timeout)|(PRM\|1\|D)|(kpr)|(kdp)|(\|lc)|(penalty))"</v>
      </c>
      <c r="AG159" s="1" t="str">
        <f t="shared" si="71"/>
        <v>NW</v>
      </c>
      <c r="AH159" s="86" t="str">
        <f t="shared" si="55"/>
        <v>"%USERPROFILE%\Documents\GitHub\eaglep3\Utilities\RefineRTDCRunTimes.py" --tripid 800-07 --locoid 4011 --swversion DE.1.0.9.0 --startMP 300:58675 --initTime 2017-04-07T05:05:15 --startdatetime 2017-04-07T05:08:17 --delay 1 --endMP 204:706 --enddatetime 2017-04-07T05:24:33 --enforcementcount 0 &gt;&gt;C:\Users\stu\Documents\GitHub\eaglep3-reporting\EC\2017-04-07-refined-times.txt</v>
      </c>
      <c r="AI159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{"issue":{"subject":"","project_id":79,"tracker_id":40,"status_id":1,"priority_id":2,"assigned_to_id":23,"start_date":"2017-04-07","description":"","custom_fields":[{"id":1,"name":"Subdivision","value":"NW"},{"id":4,"name":"Milepost","value":"0.0706"},{"id":17,"name":"Train ID","value":"800-07"},{"id":16,"name":"Locomotive ID","value":"4011"},{"id":130,"name":"Impact","value":""},{"id":150,"name":"Time of Event (Mountain Time)","value":"05:24:33"},{"id":151,"name":"Denver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8"/>
      <c r="AL159" s="48"/>
      <c r="AM159" s="150" t="str">
        <f t="shared" si="57"/>
        <v>start /low /b %USERPROFILE%\Documents\GitHub\eaglep3\Utilities\DownloadLogsFromS3.py --loco 4011 --day 2017-04-07</v>
      </c>
      <c r="AN159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11:24:33"},{"id":29,"name":"Sharepoint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673</v>
      </c>
      <c r="B160" s="7">
        <v>4012</v>
      </c>
      <c r="C160" s="21" t="s">
        <v>216</v>
      </c>
      <c r="D160" s="21" t="s">
        <v>941</v>
      </c>
      <c r="E160" s="13">
        <v>42832.227048611108</v>
      </c>
      <c r="F160" s="13">
        <v>42832.243923611109</v>
      </c>
      <c r="G160" s="7">
        <v>1</v>
      </c>
      <c r="H160" s="21" t="s">
        <v>942</v>
      </c>
      <c r="I160" s="13">
        <v>42832.252766203703</v>
      </c>
      <c r="J160" s="7">
        <v>0</v>
      </c>
      <c r="K160" s="97" t="str">
        <f t="shared" si="60"/>
        <v>4011/4012</v>
      </c>
      <c r="L160" s="21" t="str">
        <f>VLOOKUP(A160,'Trips&amp;Operators'!$C$1:$G$99999,5,FALSE)</f>
        <v>GEBRETEKLE DAGNEW</v>
      </c>
      <c r="M160" s="6">
        <f t="shared" si="61"/>
        <v>8.8425925932824612E-3</v>
      </c>
      <c r="N160" s="7">
        <f t="shared" si="72"/>
        <v>12.733333334326744</v>
      </c>
      <c r="O160" s="7"/>
      <c r="P160" s="7"/>
      <c r="Q160" s="22"/>
      <c r="R160" s="22"/>
      <c r="S160" s="31">
        <f t="shared" si="63"/>
        <v>1</v>
      </c>
      <c r="T160" s="46" t="str">
        <f t="shared" si="64"/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65"/>
        <v>https://d0f6bd738d7f1b3e5a7ca70fe4ff75f0.us-east-1.aws.found.io/app/kibana#/discover/Steve-Slow-Train-Analysis-(2080s-and-2083s)?_g=(refreshInterval:(display:Off,pause:!f,section:0,value:0),time:(from:'2017-04-07T04:26:57-0600',mode:absolute,to:'2017-04-07T07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0" s="183" t="str">
        <f t="shared" si="66"/>
        <v>N</v>
      </c>
      <c r="X160" s="183">
        <f t="shared" si="53"/>
        <v>1</v>
      </c>
      <c r="Y160" s="62">
        <f t="shared" si="54"/>
        <v>9.9500000000000005E-2</v>
      </c>
      <c r="Z160" s="62">
        <f t="shared" si="73"/>
        <v>5.8983999999999996</v>
      </c>
      <c r="AA160" s="62">
        <f t="shared" si="67"/>
        <v>5.7988999999999997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8"/>
        <v>0801-07</v>
      </c>
      <c r="AE160" s="85" t="str">
        <f t="shared" si="69"/>
        <v>aws s3 cp s3://rtdc.mdm.uploadarchive.raw/RTDC4012/ "%USERPROFILE%\AppData\Local\Temp\OnboardLogs"\RTDC4012\2017-04-07 --exclude "*" --recursive --include "*20170407*" &amp; "%USERPROFILE%\Documents\GitHub\mrs-test-scripts\Headless Mode &amp; Sideloading\WalkAndUnGZ.bat" "%USERPROFILE%\AppData\Local\Temp\OnboardLogs"\RTDC4012\2017-04-07 &amp; aws s3 cp s3://rtdc.mdm.uploadarchive.raw/RTDC4012/ "%USERPROFILE%\AppData\Local\Temp\OnboardLogs"\RTDC4012\2017-04-08 --exclude "*" --recursive --include "*20170408*" &amp; "%USERPROFILE%\Documents\GitHub\mrs-test-scripts\Headless Mode &amp; Sideloading\WalkAndUnGZ.bat" "%USERPROFILE%\AppData\Local\Temp\OnboardLogs"\RTDC4012\2017-04-08</v>
      </c>
      <c r="AF160" s="82" t="str">
        <f t="shared" si="70"/>
        <v>"C:\Program Files (x86)\AstroGrep\AstroGrep.exe" /e /r /s /spath="%USERPROFILE%\AppData\Local\Temp\OnboardLogs" /stypes="app*4012*20170407*" /stext=" 12:.+((SYSTEM_STATE.+slice.+state.+changed )|(ment ac)|(multiple cpu faults)|(system.+state.+changed )|(\[timeout)|(PRM\|1\|D)|(kpr)|(kdp)|(\|lc)|(penalty))"</v>
      </c>
      <c r="AG160" s="1" t="str">
        <f t="shared" si="71"/>
        <v>NW</v>
      </c>
      <c r="AH160" s="86" t="str">
        <f t="shared" si="55"/>
        <v>"%USERPROFILE%\Documents\GitHub\eaglep3\Utilities\RefineRTDCRunTimes.py" --tripid 801-07 --locoid 4012 --swversion DE.1.0.9.0 --startMP 204:995 --initTime 2017-04-07T05:26:57 --startdatetime 2017-04-07T05:51:15 --delay 1 --endMP 300:58984 --enddatetime 2017-04-07T06:03:59 --enforcementcount 0 &gt;&gt;C:\Users\stu\Documents\GitHub\eaglep3-reporting\EC\2017-04-07-refined-times.txt</v>
      </c>
      <c r="AI160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{"issue":{"subject":"","project_id":79,"tracker_id":40,"status_id":1,"priority_id":2,"assigned_to_id":23,"start_date":"2017-04-07","description":"","custom_fields":[{"id":1,"name":"Subdivision","value":"NW"},{"id":4,"name":"Milepost","value":"5.8984"},{"id":17,"name":"Train ID","value":"801-07"},{"id":16,"name":"Locomotive ID","value":"4012"},{"id":130,"name":"Impact","value":""},{"id":150,"name":"Time of Event (Mountain Time)","value":"06:03:59"},{"id":151,"name":"Denver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8"/>
      <c r="AL160" s="48"/>
      <c r="AM160" s="150" t="str">
        <f t="shared" si="57"/>
        <v>start /low /b %USERPROFILE%\Documents\GitHub\eaglep3\Utilities\DownloadLogsFromS3.py --loco 4012 --day 2017-04-07</v>
      </c>
      <c r="AN160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12:03:59"},{"id":29,"name":"Sharepoint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631</v>
      </c>
      <c r="B161" s="7">
        <v>4011</v>
      </c>
      <c r="C161" s="21" t="s">
        <v>216</v>
      </c>
      <c r="D161" s="21" t="s">
        <v>607</v>
      </c>
      <c r="E161" s="13">
        <v>42832.254340277781</v>
      </c>
      <c r="F161" s="13">
        <v>42832.255636574075</v>
      </c>
      <c r="G161" s="7">
        <v>1</v>
      </c>
      <c r="H161" s="21" t="s">
        <v>943</v>
      </c>
      <c r="I161" s="13">
        <v>42832.267222222225</v>
      </c>
      <c r="J161" s="7">
        <v>0</v>
      </c>
      <c r="K161" s="97" t="str">
        <f t="shared" si="60"/>
        <v>4011/4012</v>
      </c>
      <c r="L161" s="21" t="str">
        <f>VLOOKUP(A161,'Trips&amp;Operators'!$C$1:$G$99999,5,FALSE)</f>
        <v>GEBRETEKLE DAGNEW</v>
      </c>
      <c r="M161" s="6">
        <f t="shared" si="61"/>
        <v>1.1585648149775807E-2</v>
      </c>
      <c r="N161" s="7">
        <f t="shared" si="72"/>
        <v>16.683333335677162</v>
      </c>
      <c r="O161" s="7"/>
      <c r="P161" s="7"/>
      <c r="Q161" s="22"/>
      <c r="R161" s="22"/>
      <c r="S161" s="31">
        <f t="shared" si="63"/>
        <v>1</v>
      </c>
      <c r="T161" s="46" t="str">
        <f t="shared" si="64"/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65"/>
        <v>https://d0f6bd738d7f1b3e5a7ca70fe4ff75f0.us-east-1.aws.found.io/app/kibana#/discover/Steve-Slow-Train-Analysis-(2080s-and-2083s)?_g=(refreshInterval:(display:Off,pause:!f,section:0,value:0),time:(from:'2017-04-07T05:06:15-0600',mode:absolute,to:'2017-04-07T07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1" s="183" t="str">
        <f t="shared" si="66"/>
        <v>N</v>
      </c>
      <c r="X161" s="183">
        <f t="shared" si="53"/>
        <v>1</v>
      </c>
      <c r="Y161" s="62">
        <f t="shared" si="54"/>
        <v>5.8674999999999997</v>
      </c>
      <c r="Z161" s="62">
        <f t="shared" si="73"/>
        <v>7.4300000000000005E-2</v>
      </c>
      <c r="AA161" s="62">
        <f t="shared" si="67"/>
        <v>5.7931999999999997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8"/>
        <v>0802-07</v>
      </c>
      <c r="AE161" s="85" t="str">
        <f t="shared" si="69"/>
        <v>aws s3 cp s3://rtdc.mdm.uploadarchive.raw/RTDC4011/ "%USERPROFILE%\AppData\Local\Temp\OnboardLogs"\RTDC4011\2017-04-07 --exclude "*" --recursive --include "*20170407*" &amp; "%USERPROFILE%\Documents\GitHub\mrs-test-scripts\Headless Mode &amp; Sideloading\WalkAndUnGZ.bat" "%USERPROFILE%\AppData\Local\Temp\OnboardLogs"\RTDC4011\2017-04-07 &amp; aws s3 cp s3://rtdc.mdm.uploadarchive.raw/RTDC4011/ "%USERPROFILE%\AppData\Local\Temp\OnboardLogs"\RTDC4011\2017-04-08 --exclude "*" --recursive --include "*20170408*" &amp; "%USERPROFILE%\Documents\GitHub\mrs-test-scripts\Headless Mode &amp; Sideloading\WalkAndUnGZ.bat" "%USERPROFILE%\AppData\Local\Temp\OnboardLogs"\RTDC4011\2017-04-08</v>
      </c>
      <c r="AF161" s="82" t="str">
        <f t="shared" si="70"/>
        <v>"C:\Program Files (x86)\AstroGrep\AstroGrep.exe" /e /r /s /spath="%USERPROFILE%\AppData\Local\Temp\OnboardLogs" /stypes="app*4011*20170407*" /stext=" 12:.+((SYSTEM_STATE.+slice.+state.+changed )|(ment ac)|(multiple cpu faults)|(system.+state.+changed )|(\[timeout)|(PRM\|1\|D)|(kpr)|(kdp)|(\|lc)|(penalty))"</v>
      </c>
      <c r="AG161" s="1" t="str">
        <f t="shared" si="71"/>
        <v>NW</v>
      </c>
      <c r="AH161" s="86" t="str">
        <f t="shared" si="55"/>
        <v>"%USERPROFILE%\Documents\GitHub\eaglep3\Utilities\RefineRTDCRunTimes.py" --tripid 802-07 --locoid 4011 --swversion DE.1.0.9.0 --startMP 300:58675 --initTime 2017-04-07T06:06:15 --startdatetime 2017-04-07T06:08:07 --delay 1 --endMP 204:743 --enddatetime 2017-04-07T06:24:48 --enforcementcount 0 &gt;&gt;C:\Users\stu\Documents\GitHub\eaglep3-reporting\EC\2017-04-07-refined-times.txt</v>
      </c>
      <c r="AI161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{"issue":{"subject":"","project_id":79,"tracker_id":40,"status_id":1,"priority_id":2,"assigned_to_id":23,"start_date":"2017-04-07","description":"","custom_fields":[{"id":1,"name":"Subdivision","value":"NW"},{"id":4,"name":"Milepost","value":"0.0743"},{"id":17,"name":"Train ID","value":"802-07"},{"id":16,"name":"Locomotive ID","value":"4011"},{"id":130,"name":"Impact","value":""},{"id":150,"name":"Time of Event (Mountain Time)","value":"06:24:48"},{"id":151,"name":"Denver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8"/>
      <c r="AL161" s="48"/>
      <c r="AM161" s="150" t="str">
        <f t="shared" si="57"/>
        <v>start /low /b %USERPROFILE%\Documents\GitHub\eaglep3\Utilities\DownloadLogsFromS3.py --loco 4011 --day 2017-04-07</v>
      </c>
      <c r="AN161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12:24:48"},{"id":29,"name":"Sharepoint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3" t="s">
        <v>680</v>
      </c>
      <c r="B162" s="7">
        <v>4008</v>
      </c>
      <c r="C162" s="21" t="s">
        <v>216</v>
      </c>
      <c r="D162" s="21" t="s">
        <v>610</v>
      </c>
      <c r="E162" s="13">
        <v>42832.254756944443</v>
      </c>
      <c r="F162" s="13">
        <v>42832.264768518522</v>
      </c>
      <c r="G162" s="7">
        <v>1</v>
      </c>
      <c r="H162" s="21" t="s">
        <v>944</v>
      </c>
      <c r="I162" s="13">
        <v>42832.274131944447</v>
      </c>
      <c r="J162" s="7">
        <v>0</v>
      </c>
      <c r="K162" s="97" t="str">
        <f t="shared" si="60"/>
        <v>4007/4008</v>
      </c>
      <c r="L162" s="21" t="str">
        <f>VLOOKUP(A162,'Trips&amp;Operators'!$C$1:$G$99999,5,FALSE)</f>
        <v>SHOOK JOHN</v>
      </c>
      <c r="M162" s="6">
        <f t="shared" si="61"/>
        <v>9.3634259246755391E-3</v>
      </c>
      <c r="N162" s="7">
        <f t="shared" si="72"/>
        <v>13.483333331532776</v>
      </c>
      <c r="O162" s="7"/>
      <c r="P162" s="7"/>
      <c r="Q162" s="22"/>
      <c r="R162" s="22"/>
      <c r="S162" s="31">
        <f t="shared" si="63"/>
        <v>1</v>
      </c>
      <c r="T162" s="46" t="str">
        <f t="shared" si="64"/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65"/>
        <v>https://d0f6bd738d7f1b3e5a7ca70fe4ff75f0.us-east-1.aws.found.io/app/kibana#/discover/Steve-Slow-Train-Analysis-(2080s-and-2083s)?_g=(refreshInterval:(display:Off,pause:!f,section:0,value:0),time:(from:'2017-04-07T05:06:51-0600',mode:absolute,to:'2017-04-07T07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2" s="183" t="str">
        <f t="shared" si="66"/>
        <v>N</v>
      </c>
      <c r="X162" s="183">
        <f t="shared" si="53"/>
        <v>1</v>
      </c>
      <c r="Y162" s="62">
        <f t="shared" si="54"/>
        <v>0.1011</v>
      </c>
      <c r="Z162" s="62">
        <f t="shared" si="73"/>
        <v>5.8993000000000002</v>
      </c>
      <c r="AA162" s="62">
        <f t="shared" si="67"/>
        <v>5.7982000000000005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8"/>
        <v>0803-07</v>
      </c>
      <c r="AE162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162" s="82" t="str">
        <f t="shared" si="70"/>
        <v>"C:\Program Files (x86)\AstroGrep\AstroGrep.exe" /e /r /s /spath="%USERPROFILE%\AppData\Local\Temp\OnboardLogs" /stypes="app*4008*20170407*" /stext=" 12:.+((SYSTEM_STATE.+slice.+state.+changed )|(ment ac)|(multiple cpu faults)|(system.+state.+changed )|(\[timeout)|(PRM\|1\|D)|(kpr)|(kdp)|(\|lc)|(penalty))"</v>
      </c>
      <c r="AG162" s="1" t="str">
        <f t="shared" si="71"/>
        <v>NW</v>
      </c>
      <c r="AH162" s="86" t="str">
        <f t="shared" si="55"/>
        <v>"%USERPROFILE%\Documents\GitHub\eaglep3\Utilities\RefineRTDCRunTimes.py" --tripid 803-07 --locoid 4008 --swversion DE.1.0.9.0 --startMP 204:1011 --initTime 2017-04-07T06:06:51 --startdatetime 2017-04-07T06:21:16 --delay 1 --endMP 300:58993 --enddatetime 2017-04-07T06:34:45 --enforcementcount 0 &gt;&gt;C:\Users\stu\Documents\GitHub\eaglep3-reporting\EC\2017-04-07-refined-times.txt</v>
      </c>
      <c r="AI162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{"issue":{"subject":"","project_id":79,"tracker_id":40,"status_id":1,"priority_id":2,"assigned_to_id":23,"start_date":"2017-04-07","description":"","custom_fields":[{"id":1,"name":"Subdivision","value":"NW"},{"id":4,"name":"Milepost","value":"5.8993"},{"id":17,"name":"Train ID","value":"803-07"},{"id":16,"name":"Locomotive ID","value":"4008"},{"id":130,"name":"Impact","value":""},{"id":150,"name":"Time of Event (Mountain Time)","value":"06:34:45"},{"id":151,"name":"Denver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8"/>
      <c r="AL162" s="48"/>
      <c r="AM162" s="150" t="str">
        <f t="shared" si="57"/>
        <v>start /low /b %USERPROFILE%\Documents\GitHub\eaglep3\Utilities\DownloadLogsFromS3.py --loco 4008 --day 2017-04-07</v>
      </c>
      <c r="AN162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12:34:45"},{"id":29,"name":"Sharepoint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3" t="s">
        <v>684</v>
      </c>
      <c r="B163" s="7">
        <v>4007</v>
      </c>
      <c r="C163" s="21" t="s">
        <v>216</v>
      </c>
      <c r="D163" s="21" t="s">
        <v>945</v>
      </c>
      <c r="E163" s="13">
        <v>42832.27584490741</v>
      </c>
      <c r="F163" s="13">
        <v>42832.278287037036</v>
      </c>
      <c r="G163" s="7">
        <v>1</v>
      </c>
      <c r="H163" s="21" t="s">
        <v>946</v>
      </c>
      <c r="I163" s="13">
        <v>42832.288414351853</v>
      </c>
      <c r="J163" s="7">
        <v>0</v>
      </c>
      <c r="K163" s="97" t="str">
        <f t="shared" si="60"/>
        <v>4007/4008</v>
      </c>
      <c r="L163" s="21" t="str">
        <f>VLOOKUP(A163,'Trips&amp;Operators'!$C$1:$G$99999,5,FALSE)</f>
        <v>SHOOK JOHN</v>
      </c>
      <c r="M163" s="6">
        <f t="shared" si="61"/>
        <v>1.0127314817509614E-2</v>
      </c>
      <c r="N163" s="7">
        <f t="shared" si="72"/>
        <v>14.583333337213844</v>
      </c>
      <c r="O163" s="7"/>
      <c r="P163" s="7"/>
      <c r="Q163" s="22"/>
      <c r="R163" s="22"/>
      <c r="S163" s="31">
        <f t="shared" si="63"/>
        <v>1</v>
      </c>
      <c r="T163" s="46" t="str">
        <f t="shared" si="64"/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65"/>
        <v>https://d0f6bd738d7f1b3e5a7ca70fe4ff75f0.us-east-1.aws.found.io/app/kibana#/discover/Steve-Slow-Train-Analysis-(2080s-and-2083s)?_g=(refreshInterval:(display:Off,pause:!f,section:0,value:0),time:(from:'2017-04-07T05:37:13-0600',mode:absolute,to:'2017-04-07T07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3" s="183" t="str">
        <f t="shared" si="66"/>
        <v>N</v>
      </c>
      <c r="X163" s="183">
        <f t="shared" si="53"/>
        <v>1</v>
      </c>
      <c r="Y163" s="62">
        <f t="shared" si="54"/>
        <v>5.8678999999999997</v>
      </c>
      <c r="Z163" s="62">
        <f t="shared" si="73"/>
        <v>7.7499999999999999E-2</v>
      </c>
      <c r="AA163" s="62">
        <f t="shared" si="67"/>
        <v>5.7904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8"/>
        <v>0804-07</v>
      </c>
      <c r="AE163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163" s="82" t="str">
        <f t="shared" si="70"/>
        <v>"C:\Program Files (x86)\AstroGrep\AstroGrep.exe" /e /r /s /spath="%USERPROFILE%\AppData\Local\Temp\OnboardLogs" /stypes="app*4007*20170407*" /stext=" 12:.+((SYSTEM_STATE.+slice.+state.+changed )|(ment ac)|(multiple cpu faults)|(system.+state.+changed )|(\[timeout)|(PRM\|1\|D)|(kpr)|(kdp)|(\|lc)|(penalty))"</v>
      </c>
      <c r="AG163" s="1" t="str">
        <f t="shared" si="71"/>
        <v>NW</v>
      </c>
      <c r="AH163" s="86" t="str">
        <f t="shared" si="55"/>
        <v>"%USERPROFILE%\Documents\GitHub\eaglep3\Utilities\RefineRTDCRunTimes.py" --tripid 804-07 --locoid 4007 --swversion DE.1.0.9.0 --startMP 300:58679 --initTime 2017-04-07T06:37:13 --startdatetime 2017-04-07T06:40:44 --delay 1 --endMP 204:775 --enddatetime 2017-04-07T06:55:19 --enforcementcount 0 &gt;&gt;C:\Users\stu\Documents\GitHub\eaglep3-reporting\EC\2017-04-07-refined-times.txt</v>
      </c>
      <c r="AI163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{"issue":{"subject":"","project_id":79,"tracker_id":40,"status_id":1,"priority_id":2,"assigned_to_id":23,"start_date":"2017-04-07","description":"","custom_fields":[{"id":1,"name":"Subdivision","value":"NW"},{"id":4,"name":"Milepost","value":"0.0775"},{"id":17,"name":"Train ID","value":"804-07"},{"id":16,"name":"Locomotive ID","value":"4007"},{"id":130,"name":"Impact","value":""},{"id":150,"name":"Time of Event (Mountain Time)","value":"06:55:19"},{"id":151,"name":"Denver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 t="shared" si="57"/>
        <v>start /low /b %USERPROFILE%\Documents\GitHub\eaglep3\Utilities\DownloadLogsFromS3.py --loco 4007 --day 2017-04-07</v>
      </c>
      <c r="AN163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x14ac:dyDescent="0.25">
      <c r="A164" s="33" t="s">
        <v>683</v>
      </c>
      <c r="B164" s="7">
        <v>4012</v>
      </c>
      <c r="C164" s="21" t="s">
        <v>216</v>
      </c>
      <c r="D164" s="21" t="s">
        <v>947</v>
      </c>
      <c r="E164" s="13">
        <v>42832.269444444442</v>
      </c>
      <c r="F164" s="13">
        <v>42832.285624999997</v>
      </c>
      <c r="G164" s="7">
        <v>1</v>
      </c>
      <c r="H164" s="21" t="s">
        <v>948</v>
      </c>
      <c r="I164" s="13">
        <v>42832.294374999998</v>
      </c>
      <c r="J164" s="7">
        <v>0</v>
      </c>
      <c r="K164" s="97" t="str">
        <f t="shared" si="60"/>
        <v>4011/4012</v>
      </c>
      <c r="L164" s="21" t="str">
        <f>VLOOKUP(A164,'Trips&amp;Operators'!$C$1:$G$99999,5,FALSE)</f>
        <v>GEBRETEKLE DAGNEW</v>
      </c>
      <c r="M164" s="6">
        <f t="shared" si="61"/>
        <v>8.7500000008731149E-3</v>
      </c>
      <c r="N164" s="7">
        <f t="shared" si="72"/>
        <v>12.600000001257285</v>
      </c>
      <c r="O164" s="7"/>
      <c r="P164" s="7"/>
      <c r="Q164" s="22"/>
      <c r="R164" s="22"/>
      <c r="S164" s="31">
        <f t="shared" si="63"/>
        <v>1</v>
      </c>
      <c r="T164" s="46" t="str">
        <f t="shared" si="64"/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65"/>
        <v>https://d0f6bd738d7f1b3e5a7ca70fe4ff75f0.us-east-1.aws.found.io/app/kibana#/discover/Steve-Slow-Train-Analysis-(2080s-and-2083s)?_g=(refreshInterval:(display:Off,pause:!f,section:0,value:0),time:(from:'2017-04-07T05:28:00-0600',mode:absolute,to:'2017-04-07T08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4" s="183" t="str">
        <f t="shared" si="66"/>
        <v>N</v>
      </c>
      <c r="X164" s="183">
        <f t="shared" si="53"/>
        <v>1</v>
      </c>
      <c r="Y164" s="62">
        <f t="shared" si="54"/>
        <v>0.1016</v>
      </c>
      <c r="Z164" s="62">
        <f t="shared" si="73"/>
        <v>5.8998999999999997</v>
      </c>
      <c r="AA164" s="62">
        <f t="shared" si="67"/>
        <v>5.7982999999999993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8"/>
        <v>0805-07</v>
      </c>
      <c r="AE164" s="85" t="str">
        <f t="shared" si="69"/>
        <v>aws s3 cp s3://rtdc.mdm.uploadarchive.raw/RTDC4012/ "%USERPROFILE%\AppData\Local\Temp\OnboardLogs"\RTDC4012\2017-04-07 --exclude "*" --recursive --include "*20170407*" &amp; "%USERPROFILE%\Documents\GitHub\mrs-test-scripts\Headless Mode &amp; Sideloading\WalkAndUnGZ.bat" "%USERPROFILE%\AppData\Local\Temp\OnboardLogs"\RTDC4012\2017-04-07 &amp; aws s3 cp s3://rtdc.mdm.uploadarchive.raw/RTDC4012/ "%USERPROFILE%\AppData\Local\Temp\OnboardLogs"\RTDC4012\2017-04-08 --exclude "*" --recursive --include "*20170408*" &amp; "%USERPROFILE%\Documents\GitHub\mrs-test-scripts\Headless Mode &amp; Sideloading\WalkAndUnGZ.bat" "%USERPROFILE%\AppData\Local\Temp\OnboardLogs"\RTDC4012\2017-04-08</v>
      </c>
      <c r="AF164" s="82" t="str">
        <f t="shared" si="70"/>
        <v>"C:\Program Files (x86)\AstroGrep\AstroGrep.exe" /e /r /s /spath="%USERPROFILE%\AppData\Local\Temp\OnboardLogs" /stypes="app*4012*20170407*" /stext=" 13:.+((SYSTEM_STATE.+slice.+state.+changed )|(ment ac)|(multiple cpu faults)|(system.+state.+changed )|(\[timeout)|(PRM\|1\|D)|(kpr)|(kdp)|(\|lc)|(penalty))"</v>
      </c>
      <c r="AG164" s="1" t="str">
        <f t="shared" si="71"/>
        <v>NW</v>
      </c>
      <c r="AH164" s="86" t="str">
        <f t="shared" si="55"/>
        <v>"%USERPROFILE%\Documents\GitHub\eaglep3\Utilities\RefineRTDCRunTimes.py" --tripid 805-07 --locoid 4012 --swversion DE.1.0.9.0 --startMP 204:1016 --initTime 2017-04-07T06:28:00 --startdatetime 2017-04-07T06:51:18 --delay 1 --endMP 300:58999 --enddatetime 2017-04-07T07:03:54 --enforcementcount 0 &gt;&gt;C:\Users\stu\Documents\GitHub\eaglep3-reporting\EC\2017-04-07-refined-times.txt</v>
      </c>
      <c r="AI164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{"issue":{"subject":"","project_id":79,"tracker_id":40,"status_id":1,"priority_id":2,"assigned_to_id":23,"start_date":"2017-04-07","description":"","custom_fields":[{"id":1,"name":"Subdivision","value":"NW"},{"id":4,"name":"Milepost","value":"5.8999"},{"id":17,"name":"Train ID","value":"805-07"},{"id":16,"name":"Locomotive ID","value":"4012"},{"id":130,"name":"Impact","value":""},{"id":150,"name":"Time of Event (Mountain Time)","value":"07:03:54"},{"id":151,"name":"Denver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57"/>
        <v>start /low /b %USERPROFILE%\Documents\GitHub\eaglep3\Utilities\DownloadLogsFromS3.py --loco 4012 --day 2017-04-07</v>
      </c>
      <c r="AN164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13:03:54"},{"id":29,"name":"Sharepoint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3" t="s">
        <v>691</v>
      </c>
      <c r="B165" s="7">
        <v>4011</v>
      </c>
      <c r="C165" s="21" t="s">
        <v>216</v>
      </c>
      <c r="D165" s="21" t="s">
        <v>949</v>
      </c>
      <c r="E165" s="13">
        <v>42832.295601851853</v>
      </c>
      <c r="F165" s="13">
        <v>42832.297129629631</v>
      </c>
      <c r="G165" s="7">
        <v>1</v>
      </c>
      <c r="H165" s="21" t="s">
        <v>950</v>
      </c>
      <c r="I165" s="13">
        <v>42832.308969907404</v>
      </c>
      <c r="J165" s="7">
        <v>0</v>
      </c>
      <c r="K165" s="97" t="str">
        <f t="shared" si="60"/>
        <v>4011/4012</v>
      </c>
      <c r="L165" s="21" t="str">
        <f>VLOOKUP(A165,'Trips&amp;Operators'!$C$1:$G$99999,5,FALSE)</f>
        <v>GEBRETEKLE DAGNEW</v>
      </c>
      <c r="M165" s="6">
        <f t="shared" si="61"/>
        <v>1.1840277773444541E-2</v>
      </c>
      <c r="N165" s="7">
        <f t="shared" si="72"/>
        <v>17.049999993760139</v>
      </c>
      <c r="O165" s="7"/>
      <c r="P165" s="7"/>
      <c r="Q165" s="22"/>
      <c r="R165" s="22"/>
      <c r="S165" s="31">
        <f t="shared" si="63"/>
        <v>1</v>
      </c>
      <c r="T165" s="46" t="str">
        <f t="shared" si="64"/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65"/>
        <v>https://d0f6bd738d7f1b3e5a7ca70fe4ff75f0.us-east-1.aws.found.io/app/kibana#/discover/Steve-Slow-Train-Analysis-(2080s-and-2083s)?_g=(refreshInterval:(display:Off,pause:!f,section:0,value:0),time:(from:'2017-04-07T06:05:40-0600',mode:absolute,to:'2017-04-07T08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5" s="183" t="str">
        <f t="shared" si="66"/>
        <v>N</v>
      </c>
      <c r="X165" s="183">
        <f t="shared" ref="X165:X196" si="74">VALUE(LEFT(AD165,4))-VALUE(LEFT(AD164,4))</f>
        <v>1</v>
      </c>
      <c r="Y165" s="62">
        <f t="shared" ref="Y165:Y196" si="75">RIGHT(D165,LEN(D165)-4)/10000</f>
        <v>5.8673000000000002</v>
      </c>
      <c r="Z165" s="62">
        <f t="shared" si="73"/>
        <v>7.17E-2</v>
      </c>
      <c r="AA165" s="62">
        <f t="shared" si="67"/>
        <v>5.7956000000000003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8"/>
        <v>0806-07</v>
      </c>
      <c r="AE165" s="85" t="str">
        <f t="shared" si="69"/>
        <v>aws s3 cp s3://rtdc.mdm.uploadarchive.raw/RTDC4011/ "%USERPROFILE%\AppData\Local\Temp\OnboardLogs"\RTDC4011\2017-04-07 --exclude "*" --recursive --include "*20170407*" &amp; "%USERPROFILE%\Documents\GitHub\mrs-test-scripts\Headless Mode &amp; Sideloading\WalkAndUnGZ.bat" "%USERPROFILE%\AppData\Local\Temp\OnboardLogs"\RTDC4011\2017-04-07 &amp; aws s3 cp s3://rtdc.mdm.uploadarchive.raw/RTDC4011/ "%USERPROFILE%\AppData\Local\Temp\OnboardLogs"\RTDC4011\2017-04-08 --exclude "*" --recursive --include "*20170408*" &amp; "%USERPROFILE%\Documents\GitHub\mrs-test-scripts\Headless Mode &amp; Sideloading\WalkAndUnGZ.bat" "%USERPROFILE%\AppData\Local\Temp\OnboardLogs"\RTDC4011\2017-04-08</v>
      </c>
      <c r="AF165" s="82" t="str">
        <f t="shared" si="70"/>
        <v>"C:\Program Files (x86)\AstroGrep\AstroGrep.exe" /e /r /s /spath="%USERPROFILE%\AppData\Local\Temp\OnboardLogs" /stypes="app*4011*20170407*" /stext=" 13:.+((SYSTEM_STATE.+slice.+state.+changed )|(ment ac)|(multiple cpu faults)|(system.+state.+changed )|(\[timeout)|(PRM\|1\|D)|(kpr)|(kdp)|(\|lc)|(penalty))"</v>
      </c>
      <c r="AG165" s="1" t="str">
        <f t="shared" si="71"/>
        <v>NW</v>
      </c>
      <c r="AH165" s="86" t="str">
        <f t="shared" si="55"/>
        <v>"%USERPROFILE%\Documents\GitHub\eaglep3\Utilities\RefineRTDCRunTimes.py" --tripid 806-07 --locoid 4011 --swversion DE.1.0.9.0 --startMP 300:58673 --initTime 2017-04-07T07:05:40 --startdatetime 2017-04-07T07:07:52 --delay 1 --endMP 204:717 --enddatetime 2017-04-07T07:24:55 --enforcementcount 0 &gt;&gt;C:\Users\stu\Documents\GitHub\eaglep3-reporting\EC\2017-04-07-refined-times.txt</v>
      </c>
      <c r="AI165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{"issue":{"subject":"","project_id":79,"tracker_id":40,"status_id":1,"priority_id":2,"assigned_to_id":23,"start_date":"2017-04-07","description":"","custom_fields":[{"id":1,"name":"Subdivision","value":"NW"},{"id":4,"name":"Milepost","value":"0.0717"},{"id":17,"name":"Train ID","value":"806-07"},{"id":16,"name":"Locomotive ID","value":"4011"},{"id":130,"name":"Impact","value":""},{"id":150,"name":"Time of Event (Mountain Time)","value":"07:24:55"},{"id":151,"name":"Denver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57"/>
        <v>start /low /b %USERPROFILE%\Documents\GitHub\eaglep3\Utilities\DownloadLogsFromS3.py --loco 4011 --day 2017-04-07</v>
      </c>
      <c r="AN165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13:24:55"},{"id":29,"name":"Sharepoint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690</v>
      </c>
      <c r="B166" s="7">
        <v>4008</v>
      </c>
      <c r="C166" s="21" t="s">
        <v>216</v>
      </c>
      <c r="D166" s="21" t="s">
        <v>951</v>
      </c>
      <c r="E166" s="13">
        <v>42832.290046296293</v>
      </c>
      <c r="F166" s="13">
        <v>42832.30641203704</v>
      </c>
      <c r="G166" s="7">
        <v>1</v>
      </c>
      <c r="H166" s="21" t="s">
        <v>621</v>
      </c>
      <c r="I166" s="13">
        <v>42832.315717592595</v>
      </c>
      <c r="J166" s="7">
        <v>0</v>
      </c>
      <c r="K166" s="97" t="str">
        <f t="shared" si="60"/>
        <v>4007/4008</v>
      </c>
      <c r="L166" s="21" t="str">
        <f>VLOOKUP(A166,'Trips&amp;Operators'!$C$1:$G$99999,5,FALSE)</f>
        <v>SHOOK JOHN</v>
      </c>
      <c r="M166" s="6">
        <f t="shared" si="61"/>
        <v>9.3055555553291924E-3</v>
      </c>
      <c r="N166" s="7">
        <f t="shared" si="72"/>
        <v>13.399999999674037</v>
      </c>
      <c r="O166" s="7"/>
      <c r="P166" s="7"/>
      <c r="Q166" s="22"/>
      <c r="R166" s="22"/>
      <c r="S166" s="31">
        <f t="shared" si="63"/>
        <v>1</v>
      </c>
      <c r="T166" s="46" t="str">
        <f t="shared" si="64"/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65"/>
        <v>https://d0f6bd738d7f1b3e5a7ca70fe4ff75f0.us-east-1.aws.found.io/app/kibana#/discover/Steve-Slow-Train-Analysis-(2080s-and-2083s)?_g=(refreshInterval:(display:Off,pause:!f,section:0,value:0),time:(from:'2017-04-07T05:57:40-0600',mode:absolute,to:'2017-04-07T08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6" s="183" t="str">
        <f t="shared" si="66"/>
        <v>N</v>
      </c>
      <c r="X166" s="183">
        <f t="shared" si="74"/>
        <v>1</v>
      </c>
      <c r="Y166" s="62">
        <f t="shared" si="75"/>
        <v>0.1021</v>
      </c>
      <c r="Z166" s="62">
        <f t="shared" si="73"/>
        <v>5.8992000000000004</v>
      </c>
      <c r="AA166" s="62">
        <f t="shared" si="67"/>
        <v>5.7971000000000004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8"/>
        <v>0807-07</v>
      </c>
      <c r="AE166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166" s="82" t="str">
        <f t="shared" si="70"/>
        <v>"C:\Program Files (x86)\AstroGrep\AstroGrep.exe" /e /r /s /spath="%USERPROFILE%\AppData\Local\Temp\OnboardLogs" /stypes="app*4008*20170407*" /stext=" 13:.+((SYSTEM_STATE.+slice.+state.+changed )|(ment ac)|(multiple cpu faults)|(system.+state.+changed )|(\[timeout)|(PRM\|1\|D)|(kpr)|(kdp)|(\|lc)|(penalty))"</v>
      </c>
      <c r="AG166" s="1" t="str">
        <f t="shared" si="71"/>
        <v>NW</v>
      </c>
      <c r="AH166" s="86" t="str">
        <f t="shared" si="55"/>
        <v>"%USERPROFILE%\Documents\GitHub\eaglep3\Utilities\RefineRTDCRunTimes.py" --tripid 807-07 --locoid 4008 --swversion DE.1.0.9.0 --startMP 204:1021 --initTime 2017-04-07T06:57:40 --startdatetime 2017-04-07T07:21:14 --delay 1 --endMP 300:58992 --enddatetime 2017-04-07T07:34:38 --enforcementcount 0 &gt;&gt;C:\Users\stu\Documents\GitHub\eaglep3-reporting\EC\2017-04-07-refined-times.txt</v>
      </c>
      <c r="AI166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{"issue":{"subject":"","project_id":79,"tracker_id":40,"status_id":1,"priority_id":2,"assigned_to_id":23,"start_date":"2017-04-07","description":"","custom_fields":[{"id":1,"name":"Subdivision","value":"NW"},{"id":4,"name":"Milepost","value":"5.8992"},{"id":17,"name":"Train ID","value":"807-07"},{"id":16,"name":"Locomotive ID","value":"4008"},{"id":130,"name":"Impact","value":""},{"id":150,"name":"Time of Event (Mountain Time)","value":"07:34:38"},{"id":151,"name":"Denver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57"/>
        <v>start /low /b %USERPROFILE%\Documents\GitHub\eaglep3\Utilities\DownloadLogsFromS3.py --loco 4008 --day 2017-04-07</v>
      </c>
      <c r="AN166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13:34:38"},{"id":29,"name":"Sharepoint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698</v>
      </c>
      <c r="B167" s="7">
        <v>4007</v>
      </c>
      <c r="C167" s="21" t="s">
        <v>216</v>
      </c>
      <c r="D167" s="21" t="s">
        <v>949</v>
      </c>
      <c r="E167" s="13">
        <v>42832.317314814813</v>
      </c>
      <c r="F167" s="13">
        <v>42832.319895833331</v>
      </c>
      <c r="G167" s="7">
        <v>1</v>
      </c>
      <c r="H167" s="21" t="s">
        <v>952</v>
      </c>
      <c r="I167" s="13">
        <v>42832.329918981479</v>
      </c>
      <c r="J167" s="7">
        <v>0</v>
      </c>
      <c r="K167" s="97" t="str">
        <f t="shared" si="60"/>
        <v>4007/4008</v>
      </c>
      <c r="L167" s="21" t="str">
        <f>VLOOKUP(A167,'Trips&amp;Operators'!$C$1:$G$99999,5,FALSE)</f>
        <v>SHOOK JOHN</v>
      </c>
      <c r="M167" s="6">
        <f t="shared" si="61"/>
        <v>1.0023148148320615E-2</v>
      </c>
      <c r="N167" s="7">
        <f t="shared" si="72"/>
        <v>14.433333333581686</v>
      </c>
      <c r="O167" s="7"/>
      <c r="P167" s="7"/>
      <c r="Q167" s="22"/>
      <c r="R167" s="22"/>
      <c r="S167" s="31">
        <f t="shared" si="63"/>
        <v>1</v>
      </c>
      <c r="T167" s="46" t="str">
        <f t="shared" si="64"/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65"/>
        <v>https://d0f6bd738d7f1b3e5a7ca70fe4ff75f0.us-east-1.aws.found.io/app/kibana#/discover/Steve-Slow-Train-Analysis-(2080s-and-2083s)?_g=(refreshInterval:(display:Off,pause:!f,section:0,value:0),time:(from:'2017-04-07T06:36:56-0600',mode:absolute,to:'2017-04-07T08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7" s="183" t="str">
        <f t="shared" si="66"/>
        <v>N</v>
      </c>
      <c r="X167" s="183">
        <f t="shared" si="74"/>
        <v>1</v>
      </c>
      <c r="Y167" s="62">
        <f t="shared" si="75"/>
        <v>5.8673000000000002</v>
      </c>
      <c r="Z167" s="62">
        <f t="shared" si="73"/>
        <v>7.4499999999999997E-2</v>
      </c>
      <c r="AA167" s="62">
        <f t="shared" si="67"/>
        <v>5.7928000000000006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8"/>
        <v>0808-07</v>
      </c>
      <c r="AE167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167" s="82" t="str">
        <f t="shared" si="70"/>
        <v>"C:\Program Files (x86)\AstroGrep\AstroGrep.exe" /e /r /s /spath="%USERPROFILE%\AppData\Local\Temp\OnboardLogs" /stypes="app*4007*20170407*" /stext=" 13:.+((SYSTEM_STATE.+slice.+state.+changed )|(ment ac)|(multiple cpu faults)|(system.+state.+changed )|(\[timeout)|(PRM\|1\|D)|(kpr)|(kdp)|(\|lc)|(penalty))"</v>
      </c>
      <c r="AG167" s="1" t="str">
        <f t="shared" si="71"/>
        <v>NW</v>
      </c>
      <c r="AH167" s="86" t="str">
        <f t="shared" si="55"/>
        <v>"%USERPROFILE%\Documents\GitHub\eaglep3\Utilities\RefineRTDCRunTimes.py" --tripid 808-07 --locoid 4007 --swversion DE.1.0.9.0 --startMP 300:58673 --initTime 2017-04-07T07:36:56 --startdatetime 2017-04-07T07:40:39 --delay 1 --endMP 204:745 --enddatetime 2017-04-07T07:55:05 --enforcementcount 0 &gt;&gt;C:\Users\stu\Documents\GitHub\eaglep3-reporting\EC\2017-04-07-refined-times.txt</v>
      </c>
      <c r="AI167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{"issue":{"subject":"","project_id":79,"tracker_id":40,"status_id":1,"priority_id":2,"assigned_to_id":23,"start_date":"2017-04-07","description":"","custom_fields":[{"id":1,"name":"Subdivision","value":"NW"},{"id":4,"name":"Milepost","value":"0.0745"},{"id":17,"name":"Train ID","value":"808-07"},{"id":16,"name":"Locomotive ID","value":"4007"},{"id":130,"name":"Impact","value":""},{"id":150,"name":"Time of Event (Mountain Time)","value":"07:55:05"},{"id":151,"name":"Denver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57"/>
        <v>start /low /b %USERPROFILE%\Documents\GitHub\eaglep3\Utilities\DownloadLogsFromS3.py --loco 4007 --day 2017-04-07</v>
      </c>
      <c r="AN167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696</v>
      </c>
      <c r="B168" s="7">
        <v>4012</v>
      </c>
      <c r="C168" s="21" t="s">
        <v>216</v>
      </c>
      <c r="D168" s="21" t="s">
        <v>953</v>
      </c>
      <c r="E168" s="13">
        <v>42832.310370370367</v>
      </c>
      <c r="F168" s="13">
        <v>42832.327233796299</v>
      </c>
      <c r="G168" s="7">
        <v>0</v>
      </c>
      <c r="H168" s="21" t="s">
        <v>954</v>
      </c>
      <c r="I168" s="13">
        <v>42832.336192129631</v>
      </c>
      <c r="J168" s="7">
        <v>0</v>
      </c>
      <c r="K168" s="97" t="str">
        <f t="shared" si="60"/>
        <v>4011/4012</v>
      </c>
      <c r="L168" s="21" t="str">
        <f>VLOOKUP(A168,'Trips&amp;Operators'!$C$1:$G$99999,5,FALSE)</f>
        <v>GEBRETEKLE DAGNEW</v>
      </c>
      <c r="M168" s="6">
        <f t="shared" si="61"/>
        <v>8.9583333319751546E-3</v>
      </c>
      <c r="N168" s="7">
        <f t="shared" si="72"/>
        <v>12.899999998044223</v>
      </c>
      <c r="O168" s="7"/>
      <c r="P168" s="7"/>
      <c r="Q168" s="22"/>
      <c r="R168" s="22"/>
      <c r="S168" s="31">
        <f t="shared" si="63"/>
        <v>1</v>
      </c>
      <c r="T168" s="46" t="str">
        <f t="shared" si="64"/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65"/>
        <v>https://d0f6bd738d7f1b3e5a7ca70fe4ff75f0.us-east-1.aws.found.io/app/kibana#/discover/Steve-Slow-Train-Analysis-(2080s-and-2083s)?_g=(refreshInterval:(display:Off,pause:!f,section:0,value:0),time:(from:'2017-04-07T06:26:56-0600',mode:absolute,to:'2017-04-07T09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8" s="183" t="str">
        <f t="shared" si="66"/>
        <v>N</v>
      </c>
      <c r="X168" s="183">
        <f t="shared" si="74"/>
        <v>1</v>
      </c>
      <c r="Y168" s="62">
        <f t="shared" si="75"/>
        <v>9.8100000000000007E-2</v>
      </c>
      <c r="Z168" s="62">
        <f t="shared" si="73"/>
        <v>5.8982000000000001</v>
      </c>
      <c r="AA168" s="62">
        <f t="shared" si="67"/>
        <v>5.8001000000000005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8"/>
        <v>0809-07</v>
      </c>
      <c r="AE168" s="85" t="str">
        <f t="shared" si="69"/>
        <v>aws s3 cp s3://rtdc.mdm.uploadarchive.raw/RTDC4012/ "%USERPROFILE%\AppData\Local\Temp\OnboardLogs"\RTDC4012\2017-04-07 --exclude "*" --recursive --include "*20170407*" &amp; "%USERPROFILE%\Documents\GitHub\mrs-test-scripts\Headless Mode &amp; Sideloading\WalkAndUnGZ.bat" "%USERPROFILE%\AppData\Local\Temp\OnboardLogs"\RTDC4012\2017-04-07 &amp; aws s3 cp s3://rtdc.mdm.uploadarchive.raw/RTDC4012/ "%USERPROFILE%\AppData\Local\Temp\OnboardLogs"\RTDC4012\2017-04-08 --exclude "*" --recursive --include "*20170408*" &amp; "%USERPROFILE%\Documents\GitHub\mrs-test-scripts\Headless Mode &amp; Sideloading\WalkAndUnGZ.bat" "%USERPROFILE%\AppData\Local\Temp\OnboardLogs"\RTDC4012\2017-04-08</v>
      </c>
      <c r="AF168" s="82" t="str">
        <f t="shared" si="70"/>
        <v>"C:\Program Files (x86)\AstroGrep\AstroGrep.exe" /e /r /s /spath="%USERPROFILE%\AppData\Local\Temp\OnboardLogs" /stypes="app*4012*20170407*" /stext=" 14:.+((SYSTEM_STATE.+slice.+state.+changed )|(ment ac)|(multiple cpu faults)|(system.+state.+changed )|(\[timeout)|(PRM\|1\|D)|(kpr)|(kdp)|(\|lc)|(penalty))"</v>
      </c>
      <c r="AG168" s="1" t="str">
        <f t="shared" si="71"/>
        <v>NW</v>
      </c>
      <c r="AH168" s="86" t="str">
        <f t="shared" si="55"/>
        <v>"%USERPROFILE%\Documents\GitHub\eaglep3\Utilities\RefineRTDCRunTimes.py" --tripid 809-07 --locoid 4012 --swversion DE.1.0.9.0 --startMP 204:981 --initTime 2017-04-07T07:26:56 --startdatetime 2017-04-07T07:51:13 --delay 0 --endMP 300:58982 --enddatetime 2017-04-07T08:04:07 --enforcementcount 0 &gt;&gt;C:\Users\stu\Documents\GitHub\eaglep3-reporting\EC\2017-04-07-refined-times.txt</v>
      </c>
      <c r="AI168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{"issue":{"subject":"","project_id":79,"tracker_id":40,"status_id":1,"priority_id":2,"assigned_to_id":23,"start_date":"2017-04-07","description":"","custom_fields":[{"id":1,"name":"Subdivision","value":"NW"},{"id":4,"name":"Milepost","value":"5.8982"},{"id":17,"name":"Train ID","value":"809-07"},{"id":16,"name":"Locomotive ID","value":"4012"},{"id":130,"name":"Impact","value":""},{"id":150,"name":"Time of Event (Mountain Time)","value":"08:04:07"},{"id":151,"name":"Denver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 t="shared" si="57"/>
        <v>start /low /b %USERPROFILE%\Documents\GitHub\eaglep3\Utilities\DownloadLogsFromS3.py --loco 4012 --day 2017-04-07</v>
      </c>
      <c r="AN168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14:04:07"},{"id":29,"name":"Sharepoint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704</v>
      </c>
      <c r="B169" s="7">
        <v>4011</v>
      </c>
      <c r="C169" s="21" t="s">
        <v>216</v>
      </c>
      <c r="D169" s="21" t="s">
        <v>955</v>
      </c>
      <c r="E169" s="13">
        <v>42832.337453703702</v>
      </c>
      <c r="F169" s="13">
        <v>42832.338784722226</v>
      </c>
      <c r="G169" s="7">
        <v>0</v>
      </c>
      <c r="H169" s="21" t="s">
        <v>956</v>
      </c>
      <c r="I169" s="13">
        <v>42832.350393518522</v>
      </c>
      <c r="J169" s="7">
        <v>0</v>
      </c>
      <c r="K169" s="97" t="str">
        <f t="shared" si="60"/>
        <v>4011/4012</v>
      </c>
      <c r="L169" s="21" t="str">
        <f>VLOOKUP(A169,'Trips&amp;Operators'!$C$1:$G$99999,5,FALSE)</f>
        <v>GEBRETEKLE DAGNEW</v>
      </c>
      <c r="M169" s="6">
        <f t="shared" si="61"/>
        <v>1.1608796296059154E-2</v>
      </c>
      <c r="N169" s="7">
        <f t="shared" si="72"/>
        <v>16.716666666325182</v>
      </c>
      <c r="O169" s="7"/>
      <c r="P169" s="7"/>
      <c r="Q169" s="22"/>
      <c r="R169" s="22"/>
      <c r="S169" s="31">
        <f t="shared" si="63"/>
        <v>1</v>
      </c>
      <c r="T169" s="46" t="str">
        <f t="shared" si="64"/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65"/>
        <v>https://d0f6bd738d7f1b3e5a7ca70fe4ff75f0.us-east-1.aws.found.io/app/kibana#/discover/Steve-Slow-Train-Analysis-(2080s-and-2083s)?_g=(refreshInterval:(display:Off,pause:!f,section:0,value:0),time:(from:'2017-04-07T07:05:56-0600',mode:absolute,to:'2017-04-07T09:24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9" s="183" t="str">
        <f t="shared" si="66"/>
        <v>N</v>
      </c>
      <c r="X169" s="183">
        <f t="shared" si="74"/>
        <v>1</v>
      </c>
      <c r="Y169" s="62">
        <f t="shared" si="75"/>
        <v>5.8667999999999996</v>
      </c>
      <c r="Z169" s="62">
        <f t="shared" si="73"/>
        <v>1.7500000000000002E-2</v>
      </c>
      <c r="AA169" s="62">
        <f t="shared" si="67"/>
        <v>5.8492999999999995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8"/>
        <v>0810-07</v>
      </c>
      <c r="AE169" s="85" t="str">
        <f t="shared" si="69"/>
        <v>aws s3 cp s3://rtdc.mdm.uploadarchive.raw/RTDC4011/ "%USERPROFILE%\AppData\Local\Temp\OnboardLogs"\RTDC4011\2017-04-07 --exclude "*" --recursive --include "*20170407*" &amp; "%USERPROFILE%\Documents\GitHub\mrs-test-scripts\Headless Mode &amp; Sideloading\WalkAndUnGZ.bat" "%USERPROFILE%\AppData\Local\Temp\OnboardLogs"\RTDC4011\2017-04-07 &amp; aws s3 cp s3://rtdc.mdm.uploadarchive.raw/RTDC4011/ "%USERPROFILE%\AppData\Local\Temp\OnboardLogs"\RTDC4011\2017-04-08 --exclude "*" --recursive --include "*20170408*" &amp; "%USERPROFILE%\Documents\GitHub\mrs-test-scripts\Headless Mode &amp; Sideloading\WalkAndUnGZ.bat" "%USERPROFILE%\AppData\Local\Temp\OnboardLogs"\RTDC4011\2017-04-08</v>
      </c>
      <c r="AF169" s="82" t="str">
        <f t="shared" si="70"/>
        <v>"C:\Program Files (x86)\AstroGrep\AstroGrep.exe" /e /r /s /spath="%USERPROFILE%\AppData\Local\Temp\OnboardLogs" /stypes="app*4011*20170407*" /stext=" 14:.+((SYSTEM_STATE.+slice.+state.+changed )|(ment ac)|(multiple cpu faults)|(system.+state.+changed )|(\[timeout)|(PRM\|1\|D)|(kpr)|(kdp)|(\|lc)|(penalty))"</v>
      </c>
      <c r="AG169" s="1" t="str">
        <f t="shared" si="71"/>
        <v>NW</v>
      </c>
      <c r="AH169" s="86" t="str">
        <f t="shared" si="55"/>
        <v>"%USERPROFILE%\Documents\GitHub\eaglep3\Utilities\RefineRTDCRunTimes.py" --tripid 810-07 --locoid 4011 --swversion DE.1.0.9.0 --startMP 300:58668 --initTime 2017-04-07T08:05:56 --startdatetime 2017-04-07T08:07:51 --delay 0 --endMP 204:175 --enddatetime 2017-04-07T08:24:34 --enforcementcount 0 &gt;&gt;C:\Users\stu\Documents\GitHub\eaglep3-reporting\EC\2017-04-07-refined-times.txt</v>
      </c>
      <c r="AI169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{"issue":{"subject":"","project_id":79,"tracker_id":40,"status_id":1,"priority_id":2,"assigned_to_id":23,"start_date":"2017-04-07","description":"","custom_fields":[{"id":1,"name":"Subdivision","value":"NW"},{"id":4,"name":"Milepost","value":"0.0175"},{"id":17,"name":"Train ID","value":"810-07"},{"id":16,"name":"Locomotive ID","value":"4011"},{"id":130,"name":"Impact","value":""},{"id":150,"name":"Time of Event (Mountain Time)","value":"08:24:34"},{"id":151,"name":"Denver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57"/>
        <v>start /low /b %USERPROFILE%\Documents\GitHub\eaglep3\Utilities\DownloadLogsFromS3.py --loco 4011 --day 2017-04-07</v>
      </c>
      <c r="AN169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14:24:34"},{"id":29,"name":"Sharepoint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701</v>
      </c>
      <c r="B170" s="7">
        <v>4008</v>
      </c>
      <c r="C170" s="21" t="s">
        <v>216</v>
      </c>
      <c r="D170" s="21" t="s">
        <v>947</v>
      </c>
      <c r="E170" s="13">
        <v>42832.331608796296</v>
      </c>
      <c r="F170" s="13">
        <v>42832.348090277781</v>
      </c>
      <c r="G170" s="7">
        <v>1</v>
      </c>
      <c r="H170" s="21" t="s">
        <v>548</v>
      </c>
      <c r="I170" s="13">
        <v>42832.357430555552</v>
      </c>
      <c r="J170" s="7">
        <v>0</v>
      </c>
      <c r="K170" s="97" t="str">
        <f t="shared" si="60"/>
        <v>4007/4008</v>
      </c>
      <c r="L170" s="21" t="str">
        <f>VLOOKUP(A170,'Trips&amp;Operators'!$C$1:$G$99999,5,FALSE)</f>
        <v>SHOOK JOHN</v>
      </c>
      <c r="M170" s="6">
        <f t="shared" si="61"/>
        <v>9.3402777711162344E-3</v>
      </c>
      <c r="N170" s="7">
        <f t="shared" si="72"/>
        <v>13.449999990407377</v>
      </c>
      <c r="O170" s="7"/>
      <c r="P170" s="7"/>
      <c r="Q170" s="22"/>
      <c r="R170" s="22"/>
      <c r="S170" s="31">
        <f t="shared" si="63"/>
        <v>1</v>
      </c>
      <c r="T170" s="46" t="str">
        <f t="shared" si="64"/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65"/>
        <v>https://d0f6bd738d7f1b3e5a7ca70fe4ff75f0.us-east-1.aws.found.io/app/kibana#/discover/Steve-Slow-Train-Analysis-(2080s-and-2083s)?_g=(refreshInterval:(display:Off,pause:!f,section:0,value:0),time:(from:'2017-04-07T06:57:31-0600',mode:absolute,to:'2017-04-07T09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0" s="183" t="str">
        <f t="shared" si="66"/>
        <v>N</v>
      </c>
      <c r="X170" s="183">
        <f t="shared" si="74"/>
        <v>1</v>
      </c>
      <c r="Y170" s="62">
        <f t="shared" si="75"/>
        <v>0.1016</v>
      </c>
      <c r="Z170" s="62">
        <f t="shared" si="73"/>
        <v>5.8994999999999997</v>
      </c>
      <c r="AA170" s="62">
        <f t="shared" si="67"/>
        <v>5.7978999999999994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8"/>
        <v>0811-07</v>
      </c>
      <c r="AE170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170" s="82" t="str">
        <f t="shared" si="70"/>
        <v>"C:\Program Files (x86)\AstroGrep\AstroGrep.exe" /e /r /s /spath="%USERPROFILE%\AppData\Local\Temp\OnboardLogs" /stypes="app*4008*20170407*" /stext=" 14:.+((SYSTEM_STATE.+slice.+state.+changed )|(ment ac)|(multiple cpu faults)|(system.+state.+changed )|(\[timeout)|(PRM\|1\|D)|(kpr)|(kdp)|(\|lc)|(penalty))"</v>
      </c>
      <c r="AG170" s="1" t="str">
        <f t="shared" si="71"/>
        <v>NW</v>
      </c>
      <c r="AH170" s="86" t="str">
        <f t="shared" si="55"/>
        <v>"%USERPROFILE%\Documents\GitHub\eaglep3\Utilities\RefineRTDCRunTimes.py" --tripid 811-07 --locoid 4008 --swversion DE.1.0.9.0 --startMP 204:1016 --initTime 2017-04-07T07:57:31 --startdatetime 2017-04-07T08:21:15 --delay 1 --endMP 300:58995 --enddatetime 2017-04-07T08:34:42 --enforcementcount 0 &gt;&gt;C:\Users\stu\Documents\GitHub\eaglep3-reporting\EC\2017-04-07-refined-times.txt</v>
      </c>
      <c r="AI170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{"issue":{"subject":"","project_id":79,"tracker_id":40,"status_id":1,"priority_id":2,"assigned_to_id":23,"start_date":"2017-04-07","description":"","custom_fields":[{"id":1,"name":"Subdivision","value":"NW"},{"id":4,"name":"Milepost","value":"5.8995"},{"id":17,"name":"Train ID","value":"811-07"},{"id":16,"name":"Locomotive ID","value":"4008"},{"id":130,"name":"Impact","value":""},{"id":150,"name":"Time of Event (Mountain Time)","value":"08:34:42"},{"id":151,"name":"Denver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57"/>
        <v>start /low /b %USERPROFILE%\Documents\GitHub\eaglep3\Utilities\DownloadLogsFromS3.py --loco 4008 --day 2017-04-07</v>
      </c>
      <c r="AN170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14:34:42"},{"id":29,"name":"Sharepoint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709</v>
      </c>
      <c r="B171" s="7">
        <v>4007</v>
      </c>
      <c r="C171" s="21" t="s">
        <v>216</v>
      </c>
      <c r="D171" s="21" t="s">
        <v>612</v>
      </c>
      <c r="E171" s="13">
        <v>42832.359155092592</v>
      </c>
      <c r="F171" s="13">
        <v>42832.361527777779</v>
      </c>
      <c r="G171" s="7">
        <v>1</v>
      </c>
      <c r="H171" s="21" t="s">
        <v>608</v>
      </c>
      <c r="I171" s="13">
        <v>42832.371516203704</v>
      </c>
      <c r="J171" s="7">
        <v>0</v>
      </c>
      <c r="K171" s="97" t="str">
        <f t="shared" si="60"/>
        <v>4007/4008</v>
      </c>
      <c r="L171" s="21" t="str">
        <f>VLOOKUP(A171,'Trips&amp;Operators'!$C$1:$G$99999,5,FALSE)</f>
        <v>SHOOK JOHN</v>
      </c>
      <c r="M171" s="6">
        <f t="shared" si="61"/>
        <v>9.9884259252576157E-3</v>
      </c>
      <c r="N171" s="7">
        <f t="shared" si="72"/>
        <v>14.383333332370967</v>
      </c>
      <c r="O171" s="7"/>
      <c r="P171" s="7"/>
      <c r="Q171" s="22"/>
      <c r="R171" s="22"/>
      <c r="S171" s="31">
        <f t="shared" si="63"/>
        <v>1</v>
      </c>
      <c r="T171" s="46" t="str">
        <f t="shared" si="64"/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65"/>
        <v>https://d0f6bd738d7f1b3e5a7ca70fe4ff75f0.us-east-1.aws.found.io/app/kibana#/discover/Steve-Slow-Train-Analysis-(2080s-and-2083s)?_g=(refreshInterval:(display:Off,pause:!f,section:0,value:0),time:(from:'2017-04-07T07:37:11-0600',mode:absolute,to:'2017-04-07T09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1" s="183" t="str">
        <f t="shared" si="66"/>
        <v>N</v>
      </c>
      <c r="X171" s="183">
        <f t="shared" si="74"/>
        <v>1</v>
      </c>
      <c r="Y171" s="62">
        <f t="shared" si="75"/>
        <v>5.8677000000000001</v>
      </c>
      <c r="Z171" s="62">
        <f t="shared" si="73"/>
        <v>7.2400000000000006E-2</v>
      </c>
      <c r="AA171" s="62">
        <f t="shared" si="67"/>
        <v>5.7953000000000001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8"/>
        <v>0812-07</v>
      </c>
      <c r="AE171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171" s="82" t="str">
        <f t="shared" si="70"/>
        <v>"C:\Program Files (x86)\AstroGrep\AstroGrep.exe" /e /r /s /spath="%USERPROFILE%\AppData\Local\Temp\OnboardLogs" /stypes="app*4007*20170407*" /stext=" 14:.+((SYSTEM_STATE.+slice.+state.+changed )|(ment ac)|(multiple cpu faults)|(system.+state.+changed )|(\[timeout)|(PRM\|1\|D)|(kpr)|(kdp)|(\|lc)|(penalty))"</v>
      </c>
      <c r="AG171" s="1" t="str">
        <f t="shared" si="71"/>
        <v>NW</v>
      </c>
      <c r="AH171" s="86" t="str">
        <f t="shared" si="55"/>
        <v>"%USERPROFILE%\Documents\GitHub\eaglep3\Utilities\RefineRTDCRunTimes.py" --tripid 812-07 --locoid 4007 --swversion DE.1.0.9.0 --startMP 300:58677 --initTime 2017-04-07T08:37:11 --startdatetime 2017-04-07T08:40:36 --delay 1 --endMP 204:724 --enddatetime 2017-04-07T08:54:59 --enforcementcount 0 &gt;&gt;C:\Users\stu\Documents\GitHub\eaglep3-reporting\EC\2017-04-07-refined-times.txt</v>
      </c>
      <c r="AI171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{"issue":{"subject":"","project_id":79,"tracker_id":40,"status_id":1,"priority_id":2,"assigned_to_id":23,"start_date":"2017-04-07","description":"","custom_fields":[{"id":1,"name":"Subdivision","value":"NW"},{"id":4,"name":"Milepost","value":"0.0724"},{"id":17,"name":"Train ID","value":"812-07"},{"id":16,"name":"Locomotive ID","value":"4007"},{"id":130,"name":"Impact","value":""},{"id":150,"name":"Time of Event (Mountain Time)","value":"08:54:59"},{"id":151,"name":"Denver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57"/>
        <v>start /low /b %USERPROFILE%\Documents\GitHub\eaglep3\Utilities\DownloadLogsFromS3.py --loco 4007 --day 2017-04-07</v>
      </c>
      <c r="AN171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14:54:59"},{"id":29,"name":"Sharepoint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3" t="s">
        <v>715</v>
      </c>
      <c r="B172" s="7">
        <v>4008</v>
      </c>
      <c r="C172" s="21" t="s">
        <v>216</v>
      </c>
      <c r="D172" s="21" t="s">
        <v>957</v>
      </c>
      <c r="E172" s="13">
        <v>42832.373402777775</v>
      </c>
      <c r="F172" s="13">
        <v>42832.389756944445</v>
      </c>
      <c r="G172" s="7">
        <v>1</v>
      </c>
      <c r="H172" s="21" t="s">
        <v>548</v>
      </c>
      <c r="I172" s="13">
        <v>42832.399710648147</v>
      </c>
      <c r="J172" s="7">
        <v>0</v>
      </c>
      <c r="K172" s="97" t="str">
        <f t="shared" si="60"/>
        <v>4007/4008</v>
      </c>
      <c r="L172" s="21" t="str">
        <f>VLOOKUP(A172,'Trips&amp;Operators'!$C$1:$G$99999,5,FALSE)</f>
        <v>SHOOK JOHN</v>
      </c>
      <c r="M172" s="6">
        <f t="shared" si="61"/>
        <v>9.9537037021946162E-3</v>
      </c>
      <c r="N172" s="7">
        <f t="shared" si="72"/>
        <v>14.333333331160247</v>
      </c>
      <c r="O172" s="7"/>
      <c r="P172" s="7"/>
      <c r="Q172" s="22"/>
      <c r="R172" s="22"/>
      <c r="S172" s="31">
        <f t="shared" si="63"/>
        <v>1</v>
      </c>
      <c r="T172" s="46" t="str">
        <f t="shared" si="64"/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65"/>
        <v>https://d0f6bd738d7f1b3e5a7ca70fe4ff75f0.us-east-1.aws.found.io/app/kibana#/discover/Steve-Slow-Train-Analysis-(2080s-and-2083s)?_g=(refreshInterval:(display:Off,pause:!f,section:0,value:0),time:(from:'2017-04-07T07:57:42-0600',mode:absolute,to:'2017-04-07T10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2" s="183" t="str">
        <f t="shared" si="66"/>
        <v>N</v>
      </c>
      <c r="X172" s="183">
        <f t="shared" si="74"/>
        <v>1</v>
      </c>
      <c r="Y172" s="62">
        <f t="shared" si="75"/>
        <v>0.1023</v>
      </c>
      <c r="Z172" s="62">
        <f t="shared" si="73"/>
        <v>5.8994999999999997</v>
      </c>
      <c r="AA172" s="62">
        <f t="shared" si="67"/>
        <v>5.7972000000000001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8"/>
        <v>0813-07</v>
      </c>
      <c r="AE172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172" s="82" t="str">
        <f t="shared" si="70"/>
        <v>"C:\Program Files (x86)\AstroGrep\AstroGrep.exe" /e /r /s /spath="%USERPROFILE%\AppData\Local\Temp\OnboardLogs" /stypes="app*4008*20170407*" /stext=" 15:.+((SYSTEM_STATE.+slice.+state.+changed )|(ment ac)|(multiple cpu faults)|(system.+state.+changed )|(\[timeout)|(PRM\|1\|D)|(kpr)|(kdp)|(\|lc)|(penalty))"</v>
      </c>
      <c r="AG172" s="1" t="str">
        <f t="shared" si="71"/>
        <v>NW</v>
      </c>
      <c r="AH172" s="86" t="str">
        <f t="shared" si="55"/>
        <v>"%USERPROFILE%\Documents\GitHub\eaglep3\Utilities\RefineRTDCRunTimes.py" --tripid 813-07 --locoid 4008 --swversion DE.1.0.9.0 --startMP 204:1023 --initTime 2017-04-07T08:57:42 --startdatetime 2017-04-07T09:21:15 --delay 1 --endMP 300:58995 --enddatetime 2017-04-07T09:35:35 --enforcementcount 0 &gt;&gt;C:\Users\stu\Documents\GitHub\eaglep3-reporting\EC\2017-04-07-refined-times.txt</v>
      </c>
      <c r="AI172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{"issue":{"subject":"","project_id":79,"tracker_id":40,"status_id":1,"priority_id":2,"assigned_to_id":23,"start_date":"2017-04-07","description":"","custom_fields":[{"id":1,"name":"Subdivision","value":"NW"},{"id":4,"name":"Milepost","value":"5.8995"},{"id":17,"name":"Train ID","value":"813-07"},{"id":16,"name":"Locomotive ID","value":"4008"},{"id":130,"name":"Impact","value":""},{"id":150,"name":"Time of Event (Mountain Time)","value":"09:35:35"},{"id":151,"name":"Denver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57"/>
        <v>start /low /b %USERPROFILE%\Documents\GitHub\eaglep3\Utilities\DownloadLogsFromS3.py --loco 4008 --day 2017-04-07</v>
      </c>
      <c r="AN172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15:35:35"},{"id":29,"name":"Sharepoint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720</v>
      </c>
      <c r="B173" s="7">
        <v>4007</v>
      </c>
      <c r="C173" s="21" t="s">
        <v>216</v>
      </c>
      <c r="D173" s="21" t="s">
        <v>607</v>
      </c>
      <c r="E173" s="13">
        <v>42832.40116898148</v>
      </c>
      <c r="F173" s="13">
        <v>42832.403067129628</v>
      </c>
      <c r="G173" s="7">
        <v>1</v>
      </c>
      <c r="H173" s="21" t="s">
        <v>952</v>
      </c>
      <c r="I173" s="13">
        <v>42832.413356481484</v>
      </c>
      <c r="J173" s="7">
        <v>0</v>
      </c>
      <c r="K173" s="97" t="str">
        <f t="shared" si="60"/>
        <v>4007/4008</v>
      </c>
      <c r="L173" s="21" t="str">
        <f>VLOOKUP(A173,'Trips&amp;Operators'!$C$1:$G$99999,5,FALSE)</f>
        <v>SHOOK JOHN</v>
      </c>
      <c r="M173" s="6">
        <f t="shared" si="61"/>
        <v>1.0289351856044959E-2</v>
      </c>
      <c r="N173" s="7">
        <f t="shared" si="72"/>
        <v>14.816666672704741</v>
      </c>
      <c r="O173" s="7"/>
      <c r="P173" s="7"/>
      <c r="Q173" s="22"/>
      <c r="R173" s="22"/>
      <c r="S173" s="31">
        <f t="shared" si="63"/>
        <v>1</v>
      </c>
      <c r="T173" s="46" t="str">
        <f t="shared" si="64"/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65"/>
        <v>https://d0f6bd738d7f1b3e5a7ca70fe4ff75f0.us-east-1.aws.found.io/app/kibana#/discover/Steve-Slow-Train-Analysis-(2080s-and-2083s)?_g=(refreshInterval:(display:Off,pause:!f,section:0,value:0),time:(from:'2017-04-07T08:37:41-0600',mode:absolute,to:'2017-04-07T10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3" s="183" t="str">
        <f t="shared" si="66"/>
        <v>N</v>
      </c>
      <c r="X173" s="183">
        <f t="shared" si="74"/>
        <v>1</v>
      </c>
      <c r="Y173" s="62">
        <f t="shared" si="75"/>
        <v>5.8674999999999997</v>
      </c>
      <c r="Z173" s="62">
        <f t="shared" si="73"/>
        <v>7.4499999999999997E-2</v>
      </c>
      <c r="AA173" s="62">
        <f t="shared" si="67"/>
        <v>5.7930000000000001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8"/>
        <v>0814-07</v>
      </c>
      <c r="AE173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173" s="82" t="str">
        <f t="shared" si="70"/>
        <v>"C:\Program Files (x86)\AstroGrep\AstroGrep.exe" /e /r /s /spath="%USERPROFILE%\AppData\Local\Temp\OnboardLogs" /stypes="app*4007*20170407*" /stext=" 15:.+((SYSTEM_STATE.+slice.+state.+changed )|(ment ac)|(multiple cpu faults)|(system.+state.+changed )|(\[timeout)|(PRM\|1\|D)|(kpr)|(kdp)|(\|lc)|(penalty))"</v>
      </c>
      <c r="AG173" s="1" t="str">
        <f t="shared" si="71"/>
        <v>NW</v>
      </c>
      <c r="AH173" s="86" t="str">
        <f t="shared" si="55"/>
        <v>"%USERPROFILE%\Documents\GitHub\eaglep3\Utilities\RefineRTDCRunTimes.py" --tripid 814-07 --locoid 4007 --swversion DE.1.0.9.0 --startMP 300:58675 --initTime 2017-04-07T09:37:41 --startdatetime 2017-04-07T09:40:25 --delay 1 --endMP 204:745 --enddatetime 2017-04-07T09:55:14 --enforcementcount 0 &gt;&gt;C:\Users\stu\Documents\GitHub\eaglep3-reporting\EC\2017-04-07-refined-times.txt</v>
      </c>
      <c r="AI173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{"issue":{"subject":"","project_id":79,"tracker_id":40,"status_id":1,"priority_id":2,"assigned_to_id":23,"start_date":"2017-04-07","description":"","custom_fields":[{"id":1,"name":"Subdivision","value":"NW"},{"id":4,"name":"Milepost","value":"0.0745"},{"id":17,"name":"Train ID","value":"814-07"},{"id":16,"name":"Locomotive ID","value":"4007"},{"id":130,"name":"Impact","value":""},{"id":150,"name":"Time of Event (Mountain Time)","value":"09:55:14"},{"id":151,"name":"Denver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57"/>
        <v>start /low /b %USERPROFILE%\Documents\GitHub\eaglep3\Utilities\DownloadLogsFromS3.py --loco 4007 --day 2017-04-07</v>
      </c>
      <c r="AN173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15:55:14"},{"id":29,"name":"Sharepoint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721</v>
      </c>
      <c r="B174" s="7">
        <v>4008</v>
      </c>
      <c r="C174" s="21" t="s">
        <v>216</v>
      </c>
      <c r="D174" s="21" t="s">
        <v>940</v>
      </c>
      <c r="E174" s="13">
        <v>42832.415173611109</v>
      </c>
      <c r="F174" s="13">
        <v>42832.431423611109</v>
      </c>
      <c r="G174" s="7">
        <v>0</v>
      </c>
      <c r="H174" s="21" t="s">
        <v>958</v>
      </c>
      <c r="I174" s="13">
        <v>42832.441261574073</v>
      </c>
      <c r="J174" s="7">
        <v>0</v>
      </c>
      <c r="K174" s="97" t="str">
        <f t="shared" si="60"/>
        <v>4007/4008</v>
      </c>
      <c r="L174" s="21" t="str">
        <f>VLOOKUP(A174,'Trips&amp;Operators'!$C$1:$G$99999,5,FALSE)</f>
        <v>SHOOK JOHN</v>
      </c>
      <c r="M174" s="6">
        <f t="shared" si="61"/>
        <v>9.8379629635019228E-3</v>
      </c>
      <c r="N174" s="7">
        <f t="shared" si="72"/>
        <v>14.166666667442769</v>
      </c>
      <c r="O174" s="7"/>
      <c r="P174" s="7"/>
      <c r="Q174" s="22"/>
      <c r="R174" s="22"/>
      <c r="S174" s="31">
        <f t="shared" si="63"/>
        <v>1</v>
      </c>
      <c r="T174" s="46" t="str">
        <f t="shared" si="64"/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65"/>
        <v>https://d0f6bd738d7f1b3e5a7ca70fe4ff75f0.us-east-1.aws.found.io/app/kibana#/discover/Steve-Slow-Train-Analysis-(2080s-and-2083s)?_g=(refreshInterval:(display:Off,pause:!f,section:0,value:0),time:(from:'2017-04-07T08:57:51-0600',mode:absolute,to:'2017-04-07T11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4" s="183" t="str">
        <f t="shared" si="66"/>
        <v>N</v>
      </c>
      <c r="X174" s="183">
        <f t="shared" si="74"/>
        <v>1</v>
      </c>
      <c r="Y174" s="62">
        <f t="shared" si="75"/>
        <v>0.1028</v>
      </c>
      <c r="Z174" s="62">
        <f t="shared" si="73"/>
        <v>5.8986000000000001</v>
      </c>
      <c r="AA174" s="62">
        <f t="shared" si="67"/>
        <v>5.7957999999999998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8"/>
        <v>0815-07</v>
      </c>
      <c r="AE174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174" s="82" t="str">
        <f t="shared" si="70"/>
        <v>"C:\Program Files (x86)\AstroGrep\AstroGrep.exe" /e /r /s /spath="%USERPROFILE%\AppData\Local\Temp\OnboardLogs" /stypes="app*4008*20170407*" /stext=" 16:.+((SYSTEM_STATE.+slice.+state.+changed )|(ment ac)|(multiple cpu faults)|(system.+state.+changed )|(\[timeout)|(PRM\|1\|D)|(kpr)|(kdp)|(\|lc)|(penalty))"</v>
      </c>
      <c r="AG174" s="1" t="str">
        <f t="shared" si="71"/>
        <v>NW</v>
      </c>
      <c r="AH174" s="86" t="str">
        <f t="shared" si="55"/>
        <v>"%USERPROFILE%\Documents\GitHub\eaglep3\Utilities\RefineRTDCRunTimes.py" --tripid 815-07 --locoid 4008 --swversion DE.1.0.9.0 --startMP 204:1028 --initTime 2017-04-07T09:57:51 --startdatetime 2017-04-07T10:21:15 --delay 0 --endMP 300:58986 --enddatetime 2017-04-07T10:35:25 --enforcementcount 0 &gt;&gt;C:\Users\stu\Documents\GitHub\eaglep3-reporting\EC\2017-04-07-refined-times.txt</v>
      </c>
      <c r="AI174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{"issue":{"subject":"","project_id":79,"tracker_id":40,"status_id":1,"priority_id":2,"assigned_to_id":23,"start_date":"2017-04-07","description":"","custom_fields":[{"id":1,"name":"Subdivision","value":"NW"},{"id":4,"name":"Milepost","value":"5.8986"},{"id":17,"name":"Train ID","value":"815-07"},{"id":16,"name":"Locomotive ID","value":"4008"},{"id":130,"name":"Impact","value":""},{"id":150,"name":"Time of Event (Mountain Time)","value":"10:35:25"},{"id":151,"name":"Denver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57"/>
        <v>start /low /b %USERPROFILE%\Documents\GitHub\eaglep3\Utilities\DownloadLogsFromS3.py --loco 4008 --day 2017-04-07</v>
      </c>
      <c r="AN174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16:35:25"},{"id":29,"name":"Sharepoint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3" t="s">
        <v>727</v>
      </c>
      <c r="B175" s="7">
        <v>4007</v>
      </c>
      <c r="C175" s="21" t="s">
        <v>216</v>
      </c>
      <c r="D175" s="21" t="s">
        <v>949</v>
      </c>
      <c r="E175" s="13">
        <v>42832.442997685182</v>
      </c>
      <c r="F175" s="13">
        <v>42832.444803240738</v>
      </c>
      <c r="G175" s="7">
        <v>1</v>
      </c>
      <c r="H175" s="21" t="s">
        <v>603</v>
      </c>
      <c r="I175" s="13">
        <v>42832.454826388886</v>
      </c>
      <c r="J175" s="7">
        <v>0</v>
      </c>
      <c r="K175" s="97" t="str">
        <f t="shared" si="60"/>
        <v>4007/4008</v>
      </c>
      <c r="L175" s="21" t="str">
        <f>VLOOKUP(A175,'Trips&amp;Operators'!$C$1:$G$99999,5,FALSE)</f>
        <v>SHOOK JOHN</v>
      </c>
      <c r="M175" s="6">
        <f t="shared" si="61"/>
        <v>1.0023148148320615E-2</v>
      </c>
      <c r="N175" s="7">
        <f t="shared" si="72"/>
        <v>14.433333333581686</v>
      </c>
      <c r="O175" s="7"/>
      <c r="P175" s="7"/>
      <c r="Q175" s="22"/>
      <c r="R175" s="22"/>
      <c r="S175" s="31">
        <f t="shared" si="63"/>
        <v>1</v>
      </c>
      <c r="T175" s="46" t="str">
        <f t="shared" si="64"/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65"/>
        <v>https://d0f6bd738d7f1b3e5a7ca70fe4ff75f0.us-east-1.aws.found.io/app/kibana#/discover/Steve-Slow-Train-Analysis-(2080s-and-2083s)?_g=(refreshInterval:(display:Off,pause:!f,section:0,value:0),time:(from:'2017-04-07T09:37:55-0600',mode:absolute,to:'2017-04-07T11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5" s="183" t="str">
        <f t="shared" si="66"/>
        <v>N</v>
      </c>
      <c r="X175" s="183">
        <f t="shared" si="74"/>
        <v>1</v>
      </c>
      <c r="Y175" s="62">
        <f t="shared" si="75"/>
        <v>5.8673000000000002</v>
      </c>
      <c r="Z175" s="62">
        <f t="shared" si="73"/>
        <v>7.3099999999999998E-2</v>
      </c>
      <c r="AA175" s="62">
        <f t="shared" si="67"/>
        <v>5.7942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8"/>
        <v>0816-07</v>
      </c>
      <c r="AE175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175" s="82" t="str">
        <f t="shared" si="70"/>
        <v>"C:\Program Files (x86)\AstroGrep\AstroGrep.exe" /e /r /s /spath="%USERPROFILE%\AppData\Local\Temp\OnboardLogs" /stypes="app*4007*20170407*" /stext=" 16:.+((SYSTEM_STATE.+slice.+state.+changed )|(ment ac)|(multiple cpu faults)|(system.+state.+changed )|(\[timeout)|(PRM\|1\|D)|(kpr)|(kdp)|(\|lc)|(penalty))"</v>
      </c>
      <c r="AG175" s="1" t="str">
        <f t="shared" si="71"/>
        <v>NW</v>
      </c>
      <c r="AH175" s="86" t="str">
        <f t="shared" si="55"/>
        <v>"%USERPROFILE%\Documents\GitHub\eaglep3\Utilities\RefineRTDCRunTimes.py" --tripid 816-07 --locoid 4007 --swversion DE.1.0.9.0 --startMP 300:58673 --initTime 2017-04-07T10:37:55 --startdatetime 2017-04-07T10:40:31 --delay 1 --endMP 204:731 --enddatetime 2017-04-07T10:54:57 --enforcementcount 0 &gt;&gt;C:\Users\stu\Documents\GitHub\eaglep3-reporting\EC\2017-04-07-refined-times.txt</v>
      </c>
      <c r="AI175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{"issue":{"subject":"","project_id":79,"tracker_id":40,"status_id":1,"priority_id":2,"assigned_to_id":23,"start_date":"2017-04-07","description":"","custom_fields":[{"id":1,"name":"Subdivision","value":"NW"},{"id":4,"name":"Milepost","value":"0.0731"},{"id":17,"name":"Train ID","value":"816-07"},{"id":16,"name":"Locomotive ID","value":"4007"},{"id":130,"name":"Impact","value":""},{"id":150,"name":"Time of Event (Mountain Time)","value":"10:54:57"},{"id":151,"name":"Denver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57"/>
        <v>start /low /b %USERPROFILE%\Documents\GitHub\eaglep3\Utilities\DownloadLogsFromS3.py --loco 4007 --day 2017-04-07</v>
      </c>
      <c r="AN175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16:54:57"},{"id":29,"name":"Sharepoint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733</v>
      </c>
      <c r="B176" s="7">
        <v>4008</v>
      </c>
      <c r="C176" s="21" t="s">
        <v>216</v>
      </c>
      <c r="D176" s="21" t="s">
        <v>959</v>
      </c>
      <c r="E176" s="13">
        <v>42832.457083333335</v>
      </c>
      <c r="F176" s="13">
        <v>42832.473437499997</v>
      </c>
      <c r="G176" s="7">
        <v>1</v>
      </c>
      <c r="H176" s="21" t="s">
        <v>605</v>
      </c>
      <c r="I176" s="13">
        <v>42832.484884259262</v>
      </c>
      <c r="J176" s="7">
        <v>0</v>
      </c>
      <c r="K176" s="97" t="str">
        <f t="shared" si="60"/>
        <v>4007/4008</v>
      </c>
      <c r="L176" s="21" t="str">
        <f>VLOOKUP(A176,'Trips&amp;Operators'!$C$1:$G$99999,5,FALSE)</f>
        <v>SHOOK JOHN</v>
      </c>
      <c r="M176" s="6">
        <f t="shared" si="61"/>
        <v>1.1446759264799766E-2</v>
      </c>
      <c r="N176" s="7">
        <f t="shared" si="72"/>
        <v>16.483333341311663</v>
      </c>
      <c r="O176" s="7"/>
      <c r="P176" s="7"/>
      <c r="Q176" s="22"/>
      <c r="R176" s="22"/>
      <c r="S176" s="31">
        <f t="shared" si="63"/>
        <v>1</v>
      </c>
      <c r="T176" s="46" t="str">
        <f t="shared" si="64"/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65"/>
        <v>https://d0f6bd738d7f1b3e5a7ca70fe4ff75f0.us-east-1.aws.found.io/app/kibana#/discover/Steve-Slow-Train-Analysis-(2080s-and-2083s)?_g=(refreshInterval:(display:Off,pause:!f,section:0,value:0),time:(from:'2017-04-07T09:58:12-0600',mode:absolute,to:'2017-04-07T12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6" s="183" t="str">
        <f t="shared" si="66"/>
        <v>N</v>
      </c>
      <c r="X176" s="183">
        <f t="shared" si="74"/>
        <v>1</v>
      </c>
      <c r="Y176" s="62">
        <f t="shared" si="75"/>
        <v>0.1013</v>
      </c>
      <c r="Z176" s="62">
        <f t="shared" si="73"/>
        <v>5.899</v>
      </c>
      <c r="AA176" s="62">
        <f t="shared" si="67"/>
        <v>5.7976999999999999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8"/>
        <v>0817-07</v>
      </c>
      <c r="AE176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176" s="82" t="str">
        <f t="shared" si="70"/>
        <v>"C:\Program Files (x86)\AstroGrep\AstroGrep.exe" /e /r /s /spath="%USERPROFILE%\AppData\Local\Temp\OnboardLogs" /stypes="app*4008*20170407*" /stext=" 17:.+((SYSTEM_STATE.+slice.+state.+changed )|(ment ac)|(multiple cpu faults)|(system.+state.+changed )|(\[timeout)|(PRM\|1\|D)|(kpr)|(kdp)|(\|lc)|(penalty))"</v>
      </c>
      <c r="AG176" s="1" t="str">
        <f t="shared" si="71"/>
        <v>NW</v>
      </c>
      <c r="AH176" s="86" t="str">
        <f t="shared" si="55"/>
        <v>"%USERPROFILE%\Documents\GitHub\eaglep3\Utilities\RefineRTDCRunTimes.py" --tripid 817-07 --locoid 4008 --swversion DE.1.0.9.0 --startMP 204:1013 --initTime 2017-04-07T10:58:12 --startdatetime 2017-04-07T11:21:45 --delay 1 --endMP 300:58990 --enddatetime 2017-04-07T11:38:14 --enforcementcount 0 &gt;&gt;C:\Users\stu\Documents\GitHub\eaglep3-reporting\EC\2017-04-07-refined-times.txt</v>
      </c>
      <c r="AI176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{"issue":{"subject":"","project_id":79,"tracker_id":40,"status_id":1,"priority_id":2,"assigned_to_id":23,"start_date":"2017-04-07","description":"","custom_fields":[{"id":1,"name":"Subdivision","value":"NW"},{"id":4,"name":"Milepost","value":"5.899"},{"id":17,"name":"Train ID","value":"817-07"},{"id":16,"name":"Locomotive ID","value":"4008"},{"id":130,"name":"Impact","value":""},{"id":150,"name":"Time of Event (Mountain Time)","value":"11:38:14"},{"id":151,"name":"Denver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57"/>
        <v>start /low /b %USERPROFILE%\Documents\GitHub\eaglep3\Utilities\DownloadLogsFromS3.py --loco 4008 --day 2017-04-07</v>
      </c>
      <c r="AN176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17:38:14"},{"id":29,"name":"Sharepoint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742</v>
      </c>
      <c r="B177" s="7">
        <v>4007</v>
      </c>
      <c r="C177" s="21" t="s">
        <v>216</v>
      </c>
      <c r="D177" s="21" t="s">
        <v>949</v>
      </c>
      <c r="E177" s="13">
        <v>42832.486331018517</v>
      </c>
      <c r="F177" s="13">
        <v>42832.488125000003</v>
      </c>
      <c r="G177" s="7">
        <v>1</v>
      </c>
      <c r="H177" s="21" t="s">
        <v>960</v>
      </c>
      <c r="I177" s="13">
        <v>42832.498391203706</v>
      </c>
      <c r="J177" s="7">
        <v>0</v>
      </c>
      <c r="K177" s="97" t="str">
        <f t="shared" si="60"/>
        <v>4007/4008</v>
      </c>
      <c r="L177" s="21" t="str">
        <f>VLOOKUP(A177,'Trips&amp;Operators'!$C$1:$G$99999,5,FALSE)</f>
        <v>SHOOK JOHN</v>
      </c>
      <c r="M177" s="6">
        <f t="shared" si="61"/>
        <v>1.0266203702485655E-2</v>
      </c>
      <c r="N177" s="7">
        <f t="shared" si="72"/>
        <v>14.783333331579342</v>
      </c>
      <c r="O177" s="7"/>
      <c r="P177" s="7"/>
      <c r="Q177" s="22"/>
      <c r="R177" s="22"/>
      <c r="S177" s="31">
        <f t="shared" si="63"/>
        <v>1</v>
      </c>
      <c r="T177" s="46" t="str">
        <f t="shared" si="64"/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65"/>
        <v>https://d0f6bd738d7f1b3e5a7ca70fe4ff75f0.us-east-1.aws.found.io/app/kibana#/discover/Steve-Slow-Train-Analysis-(2080s-and-2083s)?_g=(refreshInterval:(display:Off,pause:!f,section:0,value:0),time:(from:'2017-04-07T10:40:19-0600',mode:absolute,to:'2017-04-07T12:57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7" s="183" t="str">
        <f t="shared" si="66"/>
        <v>N</v>
      </c>
      <c r="X177" s="183">
        <f t="shared" si="74"/>
        <v>1</v>
      </c>
      <c r="Y177" s="62">
        <f t="shared" si="75"/>
        <v>5.8673000000000002</v>
      </c>
      <c r="Z177" s="62">
        <f t="shared" si="73"/>
        <v>7.2900000000000006E-2</v>
      </c>
      <c r="AA177" s="62">
        <f t="shared" si="67"/>
        <v>5.7944000000000004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8"/>
        <v>0818-07</v>
      </c>
      <c r="AE177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177" s="82" t="str">
        <f t="shared" si="70"/>
        <v>"C:\Program Files (x86)\AstroGrep\AstroGrep.exe" /e /r /s /spath="%USERPROFILE%\AppData\Local\Temp\OnboardLogs" /stypes="app*4007*20170407*" /stext=" 17:.+((SYSTEM_STATE.+slice.+state.+changed )|(ment ac)|(multiple cpu faults)|(system.+state.+changed )|(\[timeout)|(PRM\|1\|D)|(kpr)|(kdp)|(\|lc)|(penalty))"</v>
      </c>
      <c r="AG177" s="1" t="str">
        <f t="shared" si="71"/>
        <v>NW</v>
      </c>
      <c r="AH177" s="86" t="str">
        <f t="shared" si="55"/>
        <v>"%USERPROFILE%\Documents\GitHub\eaglep3\Utilities\RefineRTDCRunTimes.py" --tripid 818-07 --locoid 4007 --swversion DE.1.0.9.0 --startMP 300:58673 --initTime 2017-04-07T11:40:19 --startdatetime 2017-04-07T11:42:54 --delay 1 --endMP 204:729 --enddatetime 2017-04-07T11:57:41 --enforcementcount 0 &gt;&gt;C:\Users\stu\Documents\GitHub\eaglep3-reporting\EC\2017-04-07-refined-times.txt</v>
      </c>
      <c r="AI177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{"issue":{"subject":"","project_id":79,"tracker_id":40,"status_id":1,"priority_id":2,"assigned_to_id":23,"start_date":"2017-04-07","description":"","custom_fields":[{"id":1,"name":"Subdivision","value":"NW"},{"id":4,"name":"Milepost","value":"0.0729"},{"id":17,"name":"Train ID","value":"818-07"},{"id":16,"name":"Locomotive ID","value":"4007"},{"id":130,"name":"Impact","value":""},{"id":150,"name":"Time of Event (Mountain Time)","value":"11:57:41"},{"id":151,"name":"Denver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57"/>
        <v>start /low /b %USERPROFILE%\Documents\GitHub\eaglep3\Utilities\DownloadLogsFromS3.py --loco 4007 --day 2017-04-07</v>
      </c>
      <c r="AN177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17:57:41"},{"id":29,"name":"Sharepoint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746</v>
      </c>
      <c r="B178" s="7">
        <v>4008</v>
      </c>
      <c r="C178" s="21" t="s">
        <v>216</v>
      </c>
      <c r="D178" s="21" t="s">
        <v>604</v>
      </c>
      <c r="E178" s="13">
        <v>42832.500601851854</v>
      </c>
      <c r="F178" s="13">
        <v>42832.514756944445</v>
      </c>
      <c r="G178" s="7">
        <v>1</v>
      </c>
      <c r="H178" s="21" t="s">
        <v>548</v>
      </c>
      <c r="I178" s="13">
        <v>42832.524780092594</v>
      </c>
      <c r="J178" s="7">
        <v>0</v>
      </c>
      <c r="K178" s="97" t="str">
        <f t="shared" si="60"/>
        <v>4007/4008</v>
      </c>
      <c r="L178" s="21" t="str">
        <f>VLOOKUP(A178,'Trips&amp;Operators'!$C$1:$G$99999,5,FALSE)</f>
        <v>SHOOK JOHN</v>
      </c>
      <c r="M178" s="6">
        <f t="shared" si="61"/>
        <v>1.0023148148320615E-2</v>
      </c>
      <c r="N178" s="7">
        <f t="shared" si="72"/>
        <v>14.433333333581686</v>
      </c>
      <c r="O178" s="7"/>
      <c r="P178" s="7"/>
      <c r="Q178" s="22"/>
      <c r="R178" s="22"/>
      <c r="S178" s="31">
        <f t="shared" si="63"/>
        <v>1</v>
      </c>
      <c r="T178" s="46" t="str">
        <f t="shared" si="64"/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65"/>
        <v>https://d0f6bd738d7f1b3e5a7ca70fe4ff75f0.us-east-1.aws.found.io/app/kibana#/discover/Steve-Slow-Train-Analysis-(2080s-and-2083s)?_g=(refreshInterval:(display:Off,pause:!f,section:0,value:0),time:(from:'2017-04-07T11:00:52-0600',mode:absolute,to:'2017-04-07T13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8" s="183" t="str">
        <f t="shared" si="66"/>
        <v>N</v>
      </c>
      <c r="X178" s="183">
        <f t="shared" si="74"/>
        <v>1</v>
      </c>
      <c r="Y178" s="62">
        <f t="shared" si="75"/>
        <v>0.1018</v>
      </c>
      <c r="Z178" s="62">
        <f t="shared" si="73"/>
        <v>5.8994999999999997</v>
      </c>
      <c r="AA178" s="62">
        <f t="shared" si="67"/>
        <v>5.7976999999999999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8"/>
        <v>0819-07</v>
      </c>
      <c r="AE178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178" s="82" t="str">
        <f t="shared" si="70"/>
        <v>"C:\Program Files (x86)\AstroGrep\AstroGrep.exe" /e /r /s /spath="%USERPROFILE%\AppData\Local\Temp\OnboardLogs" /stypes="app*4008*20170407*" /stext=" 18:.+((SYSTEM_STATE.+slice.+state.+changed )|(ment ac)|(multiple cpu faults)|(system.+state.+changed )|(\[timeout)|(PRM\|1\|D)|(kpr)|(kdp)|(\|lc)|(penalty))"</v>
      </c>
      <c r="AG178" s="1" t="str">
        <f t="shared" si="71"/>
        <v>NW</v>
      </c>
      <c r="AH178" s="86" t="str">
        <f t="shared" si="55"/>
        <v>"%USERPROFILE%\Documents\GitHub\eaglep3\Utilities\RefineRTDCRunTimes.py" --tripid 819-07 --locoid 4008 --swversion DE.1.0.9.0 --startMP 204:1018 --initTime 2017-04-07T12:00:52 --startdatetime 2017-04-07T12:21:15 --delay 1 --endMP 300:58995 --enddatetime 2017-04-07T12:35:41 --enforcementcount 0 &gt;&gt;C:\Users\stu\Documents\GitHub\eaglep3-reporting\EC\2017-04-07-refined-times.txt</v>
      </c>
      <c r="AI178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{"issue":{"subject":"","project_id":79,"tracker_id":40,"status_id":1,"priority_id":2,"assigned_to_id":23,"start_date":"2017-04-07","description":"","custom_fields":[{"id":1,"name":"Subdivision","value":"NW"},{"id":4,"name":"Milepost","value":"5.8995"},{"id":17,"name":"Train ID","value":"819-07"},{"id":16,"name":"Locomotive ID","value":"4008"},{"id":130,"name":"Impact","value":""},{"id":150,"name":"Time of Event (Mountain Time)","value":"12:35:41"},{"id":151,"name":"Denver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57"/>
        <v>start /low /b %USERPROFILE%\Documents\GitHub\eaglep3\Utilities\DownloadLogsFromS3.py --loco 4008 --day 2017-04-07</v>
      </c>
      <c r="AN178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18:35:41"},{"id":29,"name":"Sharepoint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750</v>
      </c>
      <c r="B179" s="7">
        <v>4007</v>
      </c>
      <c r="C179" s="21" t="s">
        <v>216</v>
      </c>
      <c r="D179" s="21" t="s">
        <v>949</v>
      </c>
      <c r="E179" s="13">
        <v>42832.526504629626</v>
      </c>
      <c r="F179" s="13">
        <v>42832.528148148151</v>
      </c>
      <c r="G179" s="7">
        <v>1</v>
      </c>
      <c r="H179" s="21" t="s">
        <v>952</v>
      </c>
      <c r="I179" s="13">
        <v>42832.538217592592</v>
      </c>
      <c r="J179" s="7">
        <v>0</v>
      </c>
      <c r="K179" s="97" t="str">
        <f t="shared" si="60"/>
        <v>4007/4008</v>
      </c>
      <c r="L179" s="21" t="str">
        <f>VLOOKUP(A179,'Trips&amp;Operators'!$C$1:$G$99999,5,FALSE)</f>
        <v>SHOOK JOHN</v>
      </c>
      <c r="M179" s="6">
        <f t="shared" si="61"/>
        <v>1.006944444088731E-2</v>
      </c>
      <c r="N179" s="7">
        <f t="shared" si="72"/>
        <v>14.499999994877726</v>
      </c>
      <c r="O179" s="7"/>
      <c r="P179" s="7"/>
      <c r="Q179" s="22"/>
      <c r="R179" s="22"/>
      <c r="S179" s="31">
        <f t="shared" si="63"/>
        <v>1</v>
      </c>
      <c r="T179" s="46" t="str">
        <f t="shared" si="64"/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65"/>
        <v>https://d0f6bd738d7f1b3e5a7ca70fe4ff75f0.us-east-1.aws.found.io/app/kibana#/discover/Steve-Slow-Train-Analysis-(2080s-and-2083s)?_g=(refreshInterval:(display:Off,pause:!f,section:0,value:0),time:(from:'2017-04-07T11:38:10-0600',mode:absolute,to:'2017-04-07T13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9" s="183" t="str">
        <f t="shared" si="66"/>
        <v>N</v>
      </c>
      <c r="X179" s="183">
        <f t="shared" si="74"/>
        <v>1</v>
      </c>
      <c r="Y179" s="62">
        <f t="shared" si="75"/>
        <v>5.8673000000000002</v>
      </c>
      <c r="Z179" s="62">
        <f t="shared" si="73"/>
        <v>7.4499999999999997E-2</v>
      </c>
      <c r="AA179" s="62">
        <f t="shared" si="67"/>
        <v>5.7928000000000006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8"/>
        <v>0820-07</v>
      </c>
      <c r="AE179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179" s="82" t="str">
        <f t="shared" si="70"/>
        <v>"C:\Program Files (x86)\AstroGrep\AstroGrep.exe" /e /r /s /spath="%USERPROFILE%\AppData\Local\Temp\OnboardLogs" /stypes="app*4007*20170407*" /stext=" 18:.+((SYSTEM_STATE.+slice.+state.+changed )|(ment ac)|(multiple cpu faults)|(system.+state.+changed )|(\[timeout)|(PRM\|1\|D)|(kpr)|(kdp)|(\|lc)|(penalty))"</v>
      </c>
      <c r="AG179" s="1" t="str">
        <f t="shared" si="71"/>
        <v>NW</v>
      </c>
      <c r="AH179" s="86" t="str">
        <f t="shared" si="55"/>
        <v>"%USERPROFILE%\Documents\GitHub\eaglep3\Utilities\RefineRTDCRunTimes.py" --tripid 820-07 --locoid 4007 --swversion DE.1.0.9.0 --startMP 300:58673 --initTime 2017-04-07T12:38:10 --startdatetime 2017-04-07T12:40:32 --delay 1 --endMP 204:745 --enddatetime 2017-04-07T12:55:02 --enforcementcount 0 &gt;&gt;C:\Users\stu\Documents\GitHub\eaglep3-reporting\EC\2017-04-07-refined-times.txt</v>
      </c>
      <c r="AI179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{"issue":{"subject":"","project_id":79,"tracker_id":40,"status_id":1,"priority_id":2,"assigned_to_id":23,"start_date":"2017-04-07","description":"","custom_fields":[{"id":1,"name":"Subdivision","value":"NW"},{"id":4,"name":"Milepost","value":"0.0745"},{"id":17,"name":"Train ID","value":"820-07"},{"id":16,"name":"Locomotive ID","value":"4007"},{"id":130,"name":"Impact","value":""},{"id":150,"name":"Time of Event (Mountain Time)","value":"12:55:02"},{"id":151,"name":"Denver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57"/>
        <v>start /low /b %USERPROFILE%\Documents\GitHub\eaglep3\Utilities\DownloadLogsFromS3.py --loco 4007 --day 2017-04-07</v>
      </c>
      <c r="AN179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18:55:02"},{"id":29,"name":"Sharepoint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755</v>
      </c>
      <c r="B180" s="7">
        <v>4008</v>
      </c>
      <c r="C180" s="21" t="s">
        <v>216</v>
      </c>
      <c r="D180" s="21" t="s">
        <v>951</v>
      </c>
      <c r="E180" s="13">
        <v>42832.545740740738</v>
      </c>
      <c r="F180" s="13">
        <v>42832.556539351855</v>
      </c>
      <c r="G180" s="7">
        <v>2</v>
      </c>
      <c r="H180" s="21" t="s">
        <v>545</v>
      </c>
      <c r="I180" s="13">
        <v>42832.56653935185</v>
      </c>
      <c r="J180" s="7">
        <v>0</v>
      </c>
      <c r="K180" s="97" t="str">
        <f t="shared" si="60"/>
        <v>4007/4008</v>
      </c>
      <c r="L180" s="21" t="str">
        <f>VLOOKUP(A180,'Trips&amp;Operators'!$C$1:$G$99999,5,FALSE)</f>
        <v>SULLIVAN BRANDON</v>
      </c>
      <c r="M180" s="6">
        <f t="shared" si="61"/>
        <v>9.9999999947613105E-3</v>
      </c>
      <c r="N180" s="7">
        <f t="shared" ref="N180:N211" si="76">24*60*SUM($M180:$M180)</f>
        <v>14.399999992456287</v>
      </c>
      <c r="O180" s="7"/>
      <c r="P180" s="7"/>
      <c r="Q180" s="22"/>
      <c r="R180" s="22"/>
      <c r="S180" s="31">
        <f t="shared" si="63"/>
        <v>1</v>
      </c>
      <c r="T180" s="46" t="str">
        <f t="shared" si="64"/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65"/>
        <v>https://d0f6bd738d7f1b3e5a7ca70fe4ff75f0.us-east-1.aws.found.io/app/kibana#/discover/Steve-Slow-Train-Analysis-(2080s-and-2083s)?_g=(refreshInterval:(display:Off,pause:!f,section:0,value:0),time:(from:'2017-04-07T12:05:52-0600',mode:absolute,to:'2017-04-07T14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0" s="183" t="str">
        <f t="shared" si="66"/>
        <v>N</v>
      </c>
      <c r="X180" s="183">
        <f t="shared" si="74"/>
        <v>1</v>
      </c>
      <c r="Y180" s="62">
        <f t="shared" si="75"/>
        <v>0.1021</v>
      </c>
      <c r="Z180" s="62">
        <f t="shared" ref="Z180:Z211" si="77">RIGHT(H180,LEN(H180)-4)/10000</f>
        <v>5.8948</v>
      </c>
      <c r="AA180" s="62">
        <f t="shared" si="67"/>
        <v>5.7927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8"/>
        <v>0821-07</v>
      </c>
      <c r="AE180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180" s="82" t="str">
        <f t="shared" si="70"/>
        <v>"C:\Program Files (x86)\AstroGrep\AstroGrep.exe" /e /r /s /spath="%USERPROFILE%\AppData\Local\Temp\OnboardLogs" /stypes="app*4008*20170407*" /stext=" 19:.+((SYSTEM_STATE.+slice.+state.+changed )|(ment ac)|(multiple cpu faults)|(system.+state.+changed )|(\[timeout)|(PRM\|1\|D)|(kpr)|(kdp)|(\|lc)|(penalty))"</v>
      </c>
      <c r="AG180" s="1" t="str">
        <f t="shared" si="71"/>
        <v>NW</v>
      </c>
      <c r="AH180" s="86" t="str">
        <f t="shared" si="55"/>
        <v>"%USERPROFILE%\Documents\GitHub\eaglep3\Utilities\RefineRTDCRunTimes.py" --tripid 821-07 --locoid 4008 --swversion DE.1.0.9.0 --startMP 204:1021 --initTime 2017-04-07T13:05:52 --startdatetime 2017-04-07T13:21:25 --delay 2 --endMP 300:58948 --enddatetime 2017-04-07T13:35:49 --enforcementcount 0 &gt;&gt;C:\Users\stu\Documents\GitHub\eaglep3-reporting\EC\2017-04-07-refined-times.txt</v>
      </c>
      <c r="AI180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{"issue":{"subject":"","project_id":79,"tracker_id":40,"status_id":1,"priority_id":2,"assigned_to_id":23,"start_date":"2017-04-07","description":"","custom_fields":[{"id":1,"name":"Subdivision","value":"NW"},{"id":4,"name":"Milepost","value":"5.8948"},{"id":17,"name":"Train ID","value":"821-07"},{"id":16,"name":"Locomotive ID","value":"4008"},{"id":130,"name":"Impact","value":""},{"id":150,"name":"Time of Event (Mountain Time)","value":"13:35:49"},{"id":151,"name":"Denver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57"/>
        <v>start /low /b %USERPROFILE%\Documents\GitHub\eaglep3\Utilities\DownloadLogsFromS3.py --loco 4008 --day 2017-04-07</v>
      </c>
      <c r="AN180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19:35:49"},{"id":29,"name":"Sharepoint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759</v>
      </c>
      <c r="B181" s="7">
        <v>4007</v>
      </c>
      <c r="C181" s="21" t="s">
        <v>216</v>
      </c>
      <c r="D181" s="21" t="s">
        <v>961</v>
      </c>
      <c r="E181" s="13">
        <v>42832.567199074074</v>
      </c>
      <c r="F181" s="13">
        <v>42832.56858796296</v>
      </c>
      <c r="G181" s="7">
        <v>1</v>
      </c>
      <c r="H181" s="21" t="s">
        <v>962</v>
      </c>
      <c r="I181" s="13">
        <v>42832.579861111109</v>
      </c>
      <c r="J181" s="7">
        <v>0</v>
      </c>
      <c r="K181" s="97" t="str">
        <f t="shared" si="60"/>
        <v>4007/4008</v>
      </c>
      <c r="L181" s="21" t="str">
        <f>VLOOKUP(A181,'Trips&amp;Operators'!$C$1:$G$99999,5,FALSE)</f>
        <v>SULLIVAN BRANDON</v>
      </c>
      <c r="M181" s="6">
        <f t="shared" si="61"/>
        <v>1.1273148149484769E-2</v>
      </c>
      <c r="N181" s="7">
        <f t="shared" si="76"/>
        <v>16.233333335258067</v>
      </c>
      <c r="O181" s="7"/>
      <c r="P181" s="7"/>
      <c r="Q181" s="22"/>
      <c r="R181" s="22"/>
      <c r="S181" s="31">
        <f t="shared" si="63"/>
        <v>1</v>
      </c>
      <c r="T181" s="46" t="str">
        <f t="shared" si="64"/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65"/>
        <v>https://d0f6bd738d7f1b3e5a7ca70fe4ff75f0.us-east-1.aws.found.io/app/kibana#/discover/Steve-Slow-Train-Analysis-(2080s-and-2083s)?_g=(refreshInterval:(display:Off,pause:!f,section:0,value:0),time:(from:'2017-04-07T12:36:46-0600',mode:absolute,to:'2017-04-07T14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1" s="183" t="str">
        <f t="shared" si="66"/>
        <v>N</v>
      </c>
      <c r="X181" s="183">
        <f t="shared" si="74"/>
        <v>1</v>
      </c>
      <c r="Y181" s="62">
        <f t="shared" si="75"/>
        <v>5.8624000000000001</v>
      </c>
      <c r="Z181" s="62">
        <f t="shared" si="77"/>
        <v>6.9800000000000001E-2</v>
      </c>
      <c r="AA181" s="62">
        <f t="shared" si="67"/>
        <v>5.7926000000000002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8"/>
        <v>0822-07</v>
      </c>
      <c r="AE181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181" s="82" t="str">
        <f t="shared" si="70"/>
        <v>"C:\Program Files (x86)\AstroGrep\AstroGrep.exe" /e /r /s /spath="%USERPROFILE%\AppData\Local\Temp\OnboardLogs" /stypes="app*4007*20170407*" /stext=" 19:.+((SYSTEM_STATE.+slice.+state.+changed )|(ment ac)|(multiple cpu faults)|(system.+state.+changed )|(\[timeout)|(PRM\|1\|D)|(kpr)|(kdp)|(\|lc)|(penalty))"</v>
      </c>
      <c r="AG181" s="1" t="str">
        <f t="shared" si="71"/>
        <v>NW</v>
      </c>
      <c r="AH181" s="86" t="str">
        <f t="shared" si="55"/>
        <v>"%USERPROFILE%\Documents\GitHub\eaglep3\Utilities\RefineRTDCRunTimes.py" --tripid 822-07 --locoid 4007 --swversion DE.1.0.9.0 --startMP 300:58624 --initTime 2017-04-07T13:36:46 --startdatetime 2017-04-07T13:38:46 --delay 1 --endMP 204:698 --enddatetime 2017-04-07T13:55:00 --enforcementcount 0 &gt;&gt;C:\Users\stu\Documents\GitHub\eaglep3-reporting\EC\2017-04-07-refined-times.txt</v>
      </c>
      <c r="AI181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{"issue":{"subject":"","project_id":79,"tracker_id":40,"status_id":1,"priority_id":2,"assigned_to_id":23,"start_date":"2017-04-07","description":"","custom_fields":[{"id":1,"name":"Subdivision","value":"NW"},{"id":4,"name":"Milepost","value":"0.0698"},{"id":17,"name":"Train ID","value":"822-07"},{"id":16,"name":"Locomotive ID","value":"4007"},{"id":130,"name":"Impact","value":""},{"id":150,"name":"Time of Event (Mountain Time)","value":"13:55:00"},{"id":151,"name":"Denver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57"/>
        <v>start /low /b %USERPROFILE%\Documents\GitHub\eaglep3\Utilities\DownloadLogsFromS3.py --loco 4007 --day 2017-04-07</v>
      </c>
      <c r="AN181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19:55:00"},{"id":29,"name":"Sharepoint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764</v>
      </c>
      <c r="B182" s="7">
        <v>4008</v>
      </c>
      <c r="C182" s="21" t="s">
        <v>216</v>
      </c>
      <c r="D182" s="21" t="s">
        <v>546</v>
      </c>
      <c r="E182" s="13">
        <v>42832.590763888889</v>
      </c>
      <c r="F182" s="13">
        <v>42832.59814814815</v>
      </c>
      <c r="G182" s="7">
        <v>1</v>
      </c>
      <c r="H182" s="21" t="s">
        <v>541</v>
      </c>
      <c r="I182" s="13">
        <v>42832.607986111114</v>
      </c>
      <c r="J182" s="7">
        <v>0</v>
      </c>
      <c r="K182" s="97" t="str">
        <f t="shared" si="60"/>
        <v>4007/4008</v>
      </c>
      <c r="L182" s="21" t="str">
        <f>VLOOKUP(A182,'Trips&amp;Operators'!$C$1:$G$99999,5,FALSE)</f>
        <v>SULLIVAN BRANDON</v>
      </c>
      <c r="M182" s="6">
        <f t="shared" si="61"/>
        <v>9.8379629635019228E-3</v>
      </c>
      <c r="N182" s="7">
        <f t="shared" si="76"/>
        <v>14.166666667442769</v>
      </c>
      <c r="O182" s="7"/>
      <c r="P182" s="7"/>
      <c r="Q182" s="22"/>
      <c r="R182" s="22"/>
      <c r="S182" s="31">
        <f t="shared" si="63"/>
        <v>1</v>
      </c>
      <c r="T182" s="46" t="str">
        <f t="shared" si="64"/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65"/>
        <v>https://d0f6bd738d7f1b3e5a7ca70fe4ff75f0.us-east-1.aws.found.io/app/kibana#/discover/Steve-Slow-Train-Analysis-(2080s-and-2083s)?_g=(refreshInterval:(display:Off,pause:!f,section:0,value:0),time:(from:'2017-04-07T13:10:42-0600',mode:absolute,to:'2017-04-07T15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2" s="183" t="str">
        <f t="shared" si="66"/>
        <v>N</v>
      </c>
      <c r="X182" s="183">
        <f t="shared" si="74"/>
        <v>1</v>
      </c>
      <c r="Y182" s="62">
        <f t="shared" si="75"/>
        <v>9.7799999999999998E-2</v>
      </c>
      <c r="Z182" s="62">
        <f t="shared" si="77"/>
        <v>5.8940999999999999</v>
      </c>
      <c r="AA182" s="62">
        <f t="shared" si="67"/>
        <v>5.7962999999999996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8"/>
        <v>0823-07</v>
      </c>
      <c r="AE182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182" s="82" t="str">
        <f t="shared" si="70"/>
        <v>"C:\Program Files (x86)\AstroGrep\AstroGrep.exe" /e /r /s /spath="%USERPROFILE%\AppData\Local\Temp\OnboardLogs" /stypes="app*4008*20170407*" /stext=" 20:.+((SYSTEM_STATE.+slice.+state.+changed )|(ment ac)|(multiple cpu faults)|(system.+state.+changed )|(\[timeout)|(PRM\|1\|D)|(kpr)|(kdp)|(\|lc)|(penalty))"</v>
      </c>
      <c r="AG182" s="1" t="str">
        <f t="shared" si="71"/>
        <v>NW</v>
      </c>
      <c r="AH182" s="86" t="str">
        <f t="shared" si="55"/>
        <v>"%USERPROFILE%\Documents\GitHub\eaglep3\Utilities\RefineRTDCRunTimes.py" --tripid 823-07 --locoid 4008 --swversion DE.1.0.9.0 --startMP 204:978 --initTime 2017-04-07T14:10:42 --startdatetime 2017-04-07T14:21:20 --delay 1 --endMP 300:58941 --enddatetime 2017-04-07T14:35:30 --enforcementcount 0 &gt;&gt;C:\Users\stu\Documents\GitHub\eaglep3-reporting\EC\2017-04-07-refined-times.txt</v>
      </c>
      <c r="AI182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{"issue":{"subject":"","project_id":79,"tracker_id":40,"status_id":1,"priority_id":2,"assigned_to_id":23,"start_date":"2017-04-07","description":"","custom_fields":[{"id":1,"name":"Subdivision","value":"NW"},{"id":4,"name":"Milepost","value":"5.8941"},{"id":17,"name":"Train ID","value":"823-07"},{"id":16,"name":"Locomotive ID","value":"4008"},{"id":130,"name":"Impact","value":""},{"id":150,"name":"Time of Event (Mountain Time)","value":"14:35:30"},{"id":151,"name":"Denver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57"/>
        <v>start /low /b %USERPROFILE%\Documents\GitHub\eaglep3\Utilities\DownloadLogsFromS3.py --loco 4008 --day 2017-04-07</v>
      </c>
      <c r="AN182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20:35:30"},{"id":29,"name":"Sharepoint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3" t="s">
        <v>768</v>
      </c>
      <c r="B183" s="7">
        <v>4007</v>
      </c>
      <c r="C183" s="21" t="s">
        <v>216</v>
      </c>
      <c r="D183" s="21" t="s">
        <v>963</v>
      </c>
      <c r="E183" s="13">
        <v>42832.608668981484</v>
      </c>
      <c r="F183" s="13">
        <v>42832.609837962962</v>
      </c>
      <c r="G183" s="7">
        <v>1</v>
      </c>
      <c r="H183" s="21" t="s">
        <v>622</v>
      </c>
      <c r="I183" s="13">
        <v>42832.621817129628</v>
      </c>
      <c r="J183" s="7">
        <v>0</v>
      </c>
      <c r="K183" s="97" t="str">
        <f t="shared" si="60"/>
        <v>4007/4008</v>
      </c>
      <c r="L183" s="21" t="str">
        <f>VLOOKUP(A183,'Trips&amp;Operators'!$C$1:$G$99999,5,FALSE)</f>
        <v>SULLIVAN BRANDON</v>
      </c>
      <c r="M183" s="6">
        <f t="shared" si="61"/>
        <v>1.1979166665696539E-2</v>
      </c>
      <c r="N183" s="7">
        <f t="shared" si="76"/>
        <v>17.249999998603016</v>
      </c>
      <c r="O183" s="7"/>
      <c r="P183" s="7"/>
      <c r="Q183" s="22"/>
      <c r="R183" s="22"/>
      <c r="S183" s="31">
        <f t="shared" si="63"/>
        <v>1</v>
      </c>
      <c r="T183" s="46" t="str">
        <f t="shared" si="64"/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65"/>
        <v>https://d0f6bd738d7f1b3e5a7ca70fe4ff75f0.us-east-1.aws.found.io/app/kibana#/discover/Steve-Slow-Train-Analysis-(2080s-and-2083s)?_g=(refreshInterval:(display:Off,pause:!f,section:0,value:0),time:(from:'2017-04-07T13:36:29-0600',mode:absolute,to:'2017-04-07T15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3" s="183" t="str">
        <f t="shared" si="66"/>
        <v>N</v>
      </c>
      <c r="X183" s="183">
        <f t="shared" si="74"/>
        <v>1</v>
      </c>
      <c r="Y183" s="62">
        <f t="shared" si="75"/>
        <v>5.8647</v>
      </c>
      <c r="Z183" s="62">
        <f t="shared" si="77"/>
        <v>6.8400000000000002E-2</v>
      </c>
      <c r="AA183" s="62">
        <f t="shared" si="67"/>
        <v>5.7963000000000005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8"/>
        <v>0824-07</v>
      </c>
      <c r="AE183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183" s="82" t="str">
        <f t="shared" si="70"/>
        <v>"C:\Program Files (x86)\AstroGrep\AstroGrep.exe" /e /r /s /spath="%USERPROFILE%\AppData\Local\Temp\OnboardLogs" /stypes="app*4007*20170407*" /stext=" 20:.+((SYSTEM_STATE.+slice.+state.+changed )|(ment ac)|(multiple cpu faults)|(system.+state.+changed )|(\[timeout)|(PRM\|1\|D)|(kpr)|(kdp)|(\|lc)|(penalty))"</v>
      </c>
      <c r="AG183" s="1" t="str">
        <f t="shared" si="71"/>
        <v>NW</v>
      </c>
      <c r="AH183" s="86" t="str">
        <f t="shared" si="55"/>
        <v>"%USERPROFILE%\Documents\GitHub\eaglep3\Utilities\RefineRTDCRunTimes.py" --tripid 824-07 --locoid 4007 --swversion DE.1.0.9.0 --startMP 300:58647 --initTime 2017-04-07T14:36:29 --startdatetime 2017-04-07T14:38:10 --delay 1 --endMP 204:684 --enddatetime 2017-04-07T14:55:25 --enforcementcount 0 &gt;&gt;C:\Users\stu\Documents\GitHub\eaglep3-reporting\EC\2017-04-07-refined-times.txt</v>
      </c>
      <c r="AI183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{"issue":{"subject":"","project_id":79,"tracker_id":40,"status_id":1,"priority_id":2,"assigned_to_id":23,"start_date":"2017-04-07","description":"","custom_fields":[{"id":1,"name":"Subdivision","value":"NW"},{"id":4,"name":"Milepost","value":"0.0684"},{"id":17,"name":"Train ID","value":"824-07"},{"id":16,"name":"Locomotive ID","value":"4007"},{"id":130,"name":"Impact","value":""},{"id":150,"name":"Time of Event (Mountain Time)","value":"14:55:25"},{"id":151,"name":"Denver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8"/>
      <c r="AL183" s="48"/>
      <c r="AM183" s="150" t="str">
        <f t="shared" si="57"/>
        <v>start /low /b %USERPROFILE%\Documents\GitHub\eaglep3\Utilities\DownloadLogsFromS3.py --loco 4007 --day 2017-04-07</v>
      </c>
      <c r="AN183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20:55:25"},{"id":29,"name":"Sharepoint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3" t="s">
        <v>772</v>
      </c>
      <c r="B184" s="7">
        <v>4008</v>
      </c>
      <c r="C184" s="21" t="s">
        <v>216</v>
      </c>
      <c r="D184" s="21" t="s">
        <v>620</v>
      </c>
      <c r="E184" s="13">
        <v>42832.630520833336</v>
      </c>
      <c r="F184" s="13">
        <v>42832.639791666668</v>
      </c>
      <c r="G184" s="7">
        <v>1</v>
      </c>
      <c r="H184" s="21" t="s">
        <v>498</v>
      </c>
      <c r="I184" s="13">
        <v>42832.649502314816</v>
      </c>
      <c r="J184" s="7">
        <v>0</v>
      </c>
      <c r="K184" s="97" t="str">
        <f t="shared" si="60"/>
        <v>4007/4008</v>
      </c>
      <c r="L184" s="21" t="str">
        <f>VLOOKUP(A184,'Trips&amp;Operators'!$C$1:$G$99999,5,FALSE)</f>
        <v>SULLIVAN BRANDON</v>
      </c>
      <c r="M184" s="6">
        <f t="shared" si="61"/>
        <v>9.710648148029577E-3</v>
      </c>
      <c r="N184" s="7">
        <f t="shared" si="76"/>
        <v>13.983333333162591</v>
      </c>
      <c r="O184" s="7"/>
      <c r="P184" s="7"/>
      <c r="Q184" s="22"/>
      <c r="R184" s="22"/>
      <c r="S184" s="31">
        <f t="shared" si="63"/>
        <v>1</v>
      </c>
      <c r="T184" s="46" t="str">
        <f t="shared" si="64"/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65"/>
        <v>https://d0f6bd738d7f1b3e5a7ca70fe4ff75f0.us-east-1.aws.found.io/app/kibana#/discover/Steve-Slow-Train-Analysis-(2080s-and-2083s)?_g=(refreshInterval:(display:Off,pause:!f,section:0,value:0),time:(from:'2017-04-07T14:07:57-0600',mode:absolute,to:'2017-04-07T16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4" s="183" t="str">
        <f t="shared" si="66"/>
        <v>N</v>
      </c>
      <c r="X184" s="183">
        <f t="shared" si="74"/>
        <v>1</v>
      </c>
      <c r="Y184" s="62">
        <f t="shared" si="75"/>
        <v>9.6500000000000002E-2</v>
      </c>
      <c r="Z184" s="62">
        <f t="shared" si="77"/>
        <v>5.8944000000000001</v>
      </c>
      <c r="AA184" s="62">
        <f t="shared" si="67"/>
        <v>5.7979000000000003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8"/>
        <v>0825-07</v>
      </c>
      <c r="AE184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184" s="82" t="str">
        <f t="shared" si="70"/>
        <v>"C:\Program Files (x86)\AstroGrep\AstroGrep.exe" /e /r /s /spath="%USERPROFILE%\AppData\Local\Temp\OnboardLogs" /stypes="app*4008*20170407*" /stext=" 21:.+((SYSTEM_STATE.+slice.+state.+changed )|(ment ac)|(multiple cpu faults)|(system.+state.+changed )|(\[timeout)|(PRM\|1\|D)|(kpr)|(kdp)|(\|lc)|(penalty))"</v>
      </c>
      <c r="AG184" s="1" t="str">
        <f t="shared" si="71"/>
        <v>NW</v>
      </c>
      <c r="AH184" s="86" t="str">
        <f t="shared" si="55"/>
        <v>"%USERPROFILE%\Documents\GitHub\eaglep3\Utilities\RefineRTDCRunTimes.py" --tripid 825-07 --locoid 4008 --swversion DE.1.0.9.0 --startMP 204:965 --initTime 2017-04-07T15:07:57 --startdatetime 2017-04-07T15:21:18 --delay 1 --endMP 300:58944 --enddatetime 2017-04-07T15:35:17 --enforcementcount 0 &gt;&gt;C:\Users\stu\Documents\GitHub\eaglep3-reporting\EC\2017-04-07-refined-times.txt</v>
      </c>
      <c r="AI184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{"issue":{"subject":"","project_id":79,"tracker_id":40,"status_id":1,"priority_id":2,"assigned_to_id":23,"start_date":"2017-04-07","description":"","custom_fields":[{"id":1,"name":"Subdivision","value":"NW"},{"id":4,"name":"Milepost","value":"5.8944"},{"id":17,"name":"Train ID","value":"825-07"},{"id":16,"name":"Locomotive ID","value":"4008"},{"id":130,"name":"Impact","value":""},{"id":150,"name":"Time of Event (Mountain Time)","value":"15:35:17"},{"id":151,"name":"Denver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8"/>
      <c r="AL184" s="48"/>
      <c r="AM184" s="150" t="str">
        <f t="shared" si="57"/>
        <v>start /low /b %USERPROFILE%\Documents\GitHub\eaglep3\Utilities\DownloadLogsFromS3.py --loco 4008 --day 2017-04-07</v>
      </c>
      <c r="AN184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21:35:17"},{"id":29,"name":"Sharepoint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3" t="s">
        <v>776</v>
      </c>
      <c r="B185" s="7">
        <v>4007</v>
      </c>
      <c r="C185" s="21" t="s">
        <v>216</v>
      </c>
      <c r="D185" s="21" t="s">
        <v>617</v>
      </c>
      <c r="E185" s="13">
        <v>42832.650150462963</v>
      </c>
      <c r="F185" s="13">
        <v>42832.651354166665</v>
      </c>
      <c r="G185" s="7">
        <v>0</v>
      </c>
      <c r="H185" s="21" t="s">
        <v>964</v>
      </c>
      <c r="I185" s="13">
        <v>42832.664317129631</v>
      </c>
      <c r="J185" s="7">
        <v>0</v>
      </c>
      <c r="K185" s="97" t="str">
        <f t="shared" si="60"/>
        <v>4007/4008</v>
      </c>
      <c r="L185" s="21" t="str">
        <f>VLOOKUP(A185,'Trips&amp;Operators'!$C$1:$G$99999,5,FALSE)</f>
        <v>SULLIVAN BRANDON</v>
      </c>
      <c r="M185" s="6">
        <f t="shared" si="61"/>
        <v>1.2962962966412306E-2</v>
      </c>
      <c r="N185" s="7">
        <f t="shared" si="76"/>
        <v>18.66666667163372</v>
      </c>
      <c r="O185" s="7"/>
      <c r="P185" s="7"/>
      <c r="Q185" s="22"/>
      <c r="R185" s="22"/>
      <c r="S185" s="31">
        <f t="shared" si="63"/>
        <v>1</v>
      </c>
      <c r="T185" s="46" t="str">
        <f t="shared" si="64"/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65"/>
        <v>https://d0f6bd738d7f1b3e5a7ca70fe4ff75f0.us-east-1.aws.found.io/app/kibana#/discover/Steve-Slow-Train-Analysis-(2080s-and-2083s)?_g=(refreshInterval:(display:Off,pause:!f,section:0,value:0),time:(from:'2017-04-07T14:36:13-0600',mode:absolute,to:'2017-04-07T16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5" s="183" t="str">
        <f t="shared" si="66"/>
        <v>N</v>
      </c>
      <c r="X185" s="183">
        <f t="shared" si="74"/>
        <v>1</v>
      </c>
      <c r="Y185" s="62">
        <f t="shared" si="75"/>
        <v>5.8632</v>
      </c>
      <c r="Z185" s="62">
        <f t="shared" si="77"/>
        <v>6.7799999999999999E-2</v>
      </c>
      <c r="AA185" s="62">
        <f t="shared" si="67"/>
        <v>5.7953999999999999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8"/>
        <v>0826-07</v>
      </c>
      <c r="AE185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185" s="82" t="str">
        <f t="shared" si="70"/>
        <v>"C:\Program Files (x86)\AstroGrep\AstroGrep.exe" /e /r /s /spath="%USERPROFILE%\AppData\Local\Temp\OnboardLogs" /stypes="app*4007*20170407*" /stext=" 21:.+((SYSTEM_STATE.+slice.+state.+changed )|(ment ac)|(multiple cpu faults)|(system.+state.+changed )|(\[timeout)|(PRM\|1\|D)|(kpr)|(kdp)|(\|lc)|(penalty))"</v>
      </c>
      <c r="AG185" s="1" t="str">
        <f t="shared" si="71"/>
        <v>NW</v>
      </c>
      <c r="AH185" s="86" t="str">
        <f t="shared" si="55"/>
        <v>"%USERPROFILE%\Documents\GitHub\eaglep3\Utilities\RefineRTDCRunTimes.py" --tripid 826-07 --locoid 4007 --swversion DE.1.0.9.0 --startMP 300:58632 --initTime 2017-04-07T15:36:13 --startdatetime 2017-04-07T15:37:57 --delay 0 --endMP 204:678 --enddatetime 2017-04-07T15:56:37 --enforcementcount 0 &gt;&gt;C:\Users\stu\Documents\GitHub\eaglep3-reporting\EC\2017-04-07-refined-times.txt</v>
      </c>
      <c r="AI185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{"issue":{"subject":"","project_id":79,"tracker_id":40,"status_id":1,"priority_id":2,"assigned_to_id":23,"start_date":"2017-04-07","description":"","custom_fields":[{"id":1,"name":"Subdivision","value":"NW"},{"id":4,"name":"Milepost","value":"0.0678"},{"id":17,"name":"Train ID","value":"826-07"},{"id":16,"name":"Locomotive ID","value":"4007"},{"id":130,"name":"Impact","value":""},{"id":150,"name":"Time of Event (Mountain Time)","value":"15:56:37"},{"id":151,"name":"Denver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8"/>
      <c r="AL185" s="48"/>
      <c r="AM185" s="150" t="str">
        <f t="shared" si="57"/>
        <v>start /low /b %USERPROFILE%\Documents\GitHub\eaglep3\Utilities\DownloadLogsFromS3.py --loco 4007 --day 2017-04-07</v>
      </c>
      <c r="AN185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21:56:37"},{"id":29,"name":"Sharepoint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777</v>
      </c>
      <c r="B186" s="7">
        <v>4012</v>
      </c>
      <c r="C186" s="21" t="s">
        <v>216</v>
      </c>
      <c r="D186" s="21" t="s">
        <v>606</v>
      </c>
      <c r="E186" s="13">
        <v>42832.650127314817</v>
      </c>
      <c r="F186" s="13">
        <v>42832.66064814815</v>
      </c>
      <c r="G186" s="7">
        <v>1</v>
      </c>
      <c r="H186" s="21" t="s">
        <v>965</v>
      </c>
      <c r="I186" s="13">
        <v>42832.670034722221</v>
      </c>
      <c r="J186" s="7">
        <v>0</v>
      </c>
      <c r="K186" s="97" t="str">
        <f t="shared" si="60"/>
        <v>4011/4012</v>
      </c>
      <c r="L186" s="21" t="str">
        <f>VLOOKUP(A186,'Trips&amp;Operators'!$C$1:$G$99999,5,FALSE)</f>
        <v>SMITH MICHAEL</v>
      </c>
      <c r="M186" s="6">
        <f t="shared" si="61"/>
        <v>9.3865740709588863E-3</v>
      </c>
      <c r="N186" s="7">
        <f t="shared" si="76"/>
        <v>13.516666662180796</v>
      </c>
      <c r="O186" s="7"/>
      <c r="P186" s="7"/>
      <c r="Q186" s="22"/>
      <c r="R186" s="22"/>
      <c r="S186" s="31">
        <f t="shared" si="63"/>
        <v>1</v>
      </c>
      <c r="T186" s="46" t="str">
        <f t="shared" si="64"/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65"/>
        <v>https://d0f6bd738d7f1b3e5a7ca70fe4ff75f0.us-east-1.aws.found.io/app/kibana#/discover/Steve-Slow-Train-Analysis-(2080s-and-2083s)?_g=(refreshInterval:(display:Off,pause:!f,section:0,value:0),time:(from:'2017-04-07T14:36:11-0600',mode:absolute,to:'2017-04-07T17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6" s="183" t="str">
        <f t="shared" si="66"/>
        <v>N</v>
      </c>
      <c r="X186" s="183">
        <f t="shared" si="74"/>
        <v>1</v>
      </c>
      <c r="Y186" s="62">
        <f t="shared" si="75"/>
        <v>9.64E-2</v>
      </c>
      <c r="Z186" s="62">
        <f t="shared" si="77"/>
        <v>5.8920000000000003</v>
      </c>
      <c r="AA186" s="62">
        <f t="shared" si="67"/>
        <v>5.7956000000000003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8"/>
        <v>0827-07</v>
      </c>
      <c r="AE186" s="85" t="str">
        <f t="shared" si="69"/>
        <v>aws s3 cp s3://rtdc.mdm.uploadarchive.raw/RTDC4012/ "%USERPROFILE%\AppData\Local\Temp\OnboardLogs"\RTDC4012\2017-04-07 --exclude "*" --recursive --include "*20170407*" &amp; "%USERPROFILE%\Documents\GitHub\mrs-test-scripts\Headless Mode &amp; Sideloading\WalkAndUnGZ.bat" "%USERPROFILE%\AppData\Local\Temp\OnboardLogs"\RTDC4012\2017-04-07 &amp; aws s3 cp s3://rtdc.mdm.uploadarchive.raw/RTDC4012/ "%USERPROFILE%\AppData\Local\Temp\OnboardLogs"\RTDC4012\2017-04-08 --exclude "*" --recursive --include "*20170408*" &amp; "%USERPROFILE%\Documents\GitHub\mrs-test-scripts\Headless Mode &amp; Sideloading\WalkAndUnGZ.bat" "%USERPROFILE%\AppData\Local\Temp\OnboardLogs"\RTDC4012\2017-04-08</v>
      </c>
      <c r="AF186" s="82" t="str">
        <f t="shared" si="70"/>
        <v>"C:\Program Files (x86)\AstroGrep\AstroGrep.exe" /e /r /s /spath="%USERPROFILE%\AppData\Local\Temp\OnboardLogs" /stypes="app*4012*20170407*" /stext=" 22:.+((SYSTEM_STATE.+slice.+state.+changed )|(ment ac)|(multiple cpu faults)|(system.+state.+changed )|(\[timeout)|(PRM\|1\|D)|(kpr)|(kdp)|(\|lc)|(penalty))"</v>
      </c>
      <c r="AG186" s="1" t="str">
        <f t="shared" si="71"/>
        <v>NW</v>
      </c>
      <c r="AH186" s="86" t="str">
        <f t="shared" si="55"/>
        <v>"%USERPROFILE%\Documents\GitHub\eaglep3\Utilities\RefineRTDCRunTimes.py" --tripid 827-07 --locoid 4012 --swversion DE.1.0.9.0 --startMP 204:964 --initTime 2017-04-07T15:36:11 --startdatetime 2017-04-07T15:51:20 --delay 1 --endMP 300:58920 --enddatetime 2017-04-07T16:04:51 --enforcementcount 0 &gt;&gt;C:\Users\stu\Documents\GitHub\eaglep3-reporting\EC\2017-04-07-refined-times.txt</v>
      </c>
      <c r="AI186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{"issue":{"subject":"","project_id":79,"tracker_id":40,"status_id":1,"priority_id":2,"assigned_to_id":23,"start_date":"2017-04-07","description":"","custom_fields":[{"id":1,"name":"Subdivision","value":"NW"},{"id":4,"name":"Milepost","value":"5.892"},{"id":17,"name":"Train ID","value":"827-07"},{"id":16,"name":"Locomotive ID","value":"4012"},{"id":130,"name":"Impact","value":""},{"id":150,"name":"Time of Event (Mountain Time)","value":"16:04:51"},{"id":151,"name":"Denver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57"/>
        <v>start /low /b %USERPROFILE%\Documents\GitHub\eaglep3\Utilities\DownloadLogsFromS3.py --loco 4012 --day 2017-04-07</v>
      </c>
      <c r="AN186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22:04:51"},{"id":29,"name":"Sharepoint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782</v>
      </c>
      <c r="B187" s="7">
        <v>4011</v>
      </c>
      <c r="C187" s="21" t="s">
        <v>216</v>
      </c>
      <c r="D187" s="21" t="s">
        <v>966</v>
      </c>
      <c r="E187" s="13">
        <v>42832.670949074076</v>
      </c>
      <c r="F187" s="13">
        <v>42832.672453703701</v>
      </c>
      <c r="G187" s="7">
        <v>1</v>
      </c>
      <c r="H187" s="21" t="s">
        <v>967</v>
      </c>
      <c r="I187" s="13">
        <v>42832.684305555558</v>
      </c>
      <c r="J187" s="7">
        <v>0</v>
      </c>
      <c r="K187" s="97" t="str">
        <f t="shared" si="60"/>
        <v>4011/4012</v>
      </c>
      <c r="L187" s="21" t="str">
        <f>VLOOKUP(A187,'Trips&amp;Operators'!$C$1:$G$99999,5,FALSE)</f>
        <v>SMITH MICHAEL</v>
      </c>
      <c r="M187" s="6">
        <f t="shared" si="61"/>
        <v>1.1851851857500151E-2</v>
      </c>
      <c r="N187" s="7">
        <f t="shared" si="76"/>
        <v>17.066666674800217</v>
      </c>
      <c r="O187" s="7"/>
      <c r="P187" s="7"/>
      <c r="Q187" s="22"/>
      <c r="R187" s="22"/>
      <c r="S187" s="31">
        <f t="shared" si="63"/>
        <v>1</v>
      </c>
      <c r="T187" s="46" t="str">
        <f t="shared" si="64"/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65"/>
        <v>https://d0f6bd738d7f1b3e5a7ca70fe4ff75f0.us-east-1.aws.found.io/app/kibana#/discover/Steve-Slow-Train-Analysis-(2080s-and-2083s)?_g=(refreshInterval:(display:Off,pause:!f,section:0,value:0),time:(from:'2017-04-07T15:06:10-0600',mode:absolute,to:'2017-04-07T17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7" s="183" t="str">
        <f t="shared" si="66"/>
        <v>N</v>
      </c>
      <c r="X187" s="183">
        <f t="shared" si="74"/>
        <v>1</v>
      </c>
      <c r="Y187" s="62">
        <f t="shared" si="75"/>
        <v>5.8601999999999999</v>
      </c>
      <c r="Z187" s="62">
        <f t="shared" si="77"/>
        <v>7.1199999999999999E-2</v>
      </c>
      <c r="AA187" s="62">
        <f t="shared" si="67"/>
        <v>5.7889999999999997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8"/>
        <v>0828-07</v>
      </c>
      <c r="AE187" s="85" t="str">
        <f t="shared" si="69"/>
        <v>aws s3 cp s3://rtdc.mdm.uploadarchive.raw/RTDC4011/ "%USERPROFILE%\AppData\Local\Temp\OnboardLogs"\RTDC4011\2017-04-07 --exclude "*" --recursive --include "*20170407*" &amp; "%USERPROFILE%\Documents\GitHub\mrs-test-scripts\Headless Mode &amp; Sideloading\WalkAndUnGZ.bat" "%USERPROFILE%\AppData\Local\Temp\OnboardLogs"\RTDC4011\2017-04-07 &amp; aws s3 cp s3://rtdc.mdm.uploadarchive.raw/RTDC4011/ "%USERPROFILE%\AppData\Local\Temp\OnboardLogs"\RTDC4011\2017-04-08 --exclude "*" --recursive --include "*20170408*" &amp; "%USERPROFILE%\Documents\GitHub\mrs-test-scripts\Headless Mode &amp; Sideloading\WalkAndUnGZ.bat" "%USERPROFILE%\AppData\Local\Temp\OnboardLogs"\RTDC4011\2017-04-08</v>
      </c>
      <c r="AF187" s="82" t="str">
        <f t="shared" si="70"/>
        <v>"C:\Program Files (x86)\AstroGrep\AstroGrep.exe" /e /r /s /spath="%USERPROFILE%\AppData\Local\Temp\OnboardLogs" /stypes="app*4011*20170407*" /stext=" 22:.+((SYSTEM_STATE.+slice.+state.+changed )|(ment ac)|(multiple cpu faults)|(system.+state.+changed )|(\[timeout)|(PRM\|1\|D)|(kpr)|(kdp)|(\|lc)|(penalty))"</v>
      </c>
      <c r="AG187" s="1" t="str">
        <f t="shared" si="71"/>
        <v>NW</v>
      </c>
      <c r="AH187" s="86" t="str">
        <f t="shared" si="55"/>
        <v>"%USERPROFILE%\Documents\GitHub\eaglep3\Utilities\RefineRTDCRunTimes.py" --tripid 828-07 --locoid 4011 --swversion DE.1.0.9.0 --startMP 300:58602 --initTime 2017-04-07T16:06:10 --startdatetime 2017-04-07T16:08:20 --delay 1 --endMP 204:712 --enddatetime 2017-04-07T16:25:24 --enforcementcount 0 &gt;&gt;C:\Users\stu\Documents\GitHub\eaglep3-reporting\EC\2017-04-07-refined-times.txt</v>
      </c>
      <c r="AI187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{"issue":{"subject":"","project_id":79,"tracker_id":40,"status_id":1,"priority_id":2,"assigned_to_id":23,"start_date":"2017-04-07","description":"","custom_fields":[{"id":1,"name":"Subdivision","value":"NW"},{"id":4,"name":"Milepost","value":"0.0712"},{"id":17,"name":"Train ID","value":"828-07"},{"id":16,"name":"Locomotive ID","value":"4011"},{"id":130,"name":"Impact","value":""},{"id":150,"name":"Time of Event (Mountain Time)","value":"16:25:24"},{"id":151,"name":"Denver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57"/>
        <v>start /low /b %USERPROFILE%\Documents\GitHub\eaglep3\Utilities\DownloadLogsFromS3.py --loco 4011 --day 2017-04-07</v>
      </c>
      <c r="AN187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22:25:24"},{"id":29,"name":"Sharepoint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784</v>
      </c>
      <c r="B188" s="7">
        <v>4008</v>
      </c>
      <c r="C188" s="21" t="s">
        <v>216</v>
      </c>
      <c r="D188" s="21" t="s">
        <v>613</v>
      </c>
      <c r="E188" s="13">
        <v>42832.675138888888</v>
      </c>
      <c r="F188" s="13">
        <v>42832.681504629632</v>
      </c>
      <c r="G188" s="7">
        <v>1</v>
      </c>
      <c r="H188" s="21" t="s">
        <v>545</v>
      </c>
      <c r="I188" s="13">
        <v>42832.691516203704</v>
      </c>
      <c r="J188" s="7">
        <v>0</v>
      </c>
      <c r="K188" s="97" t="str">
        <f t="shared" si="60"/>
        <v>4007/4008</v>
      </c>
      <c r="L188" s="21" t="str">
        <f>VLOOKUP(A188,'Trips&amp;Operators'!$C$1:$G$99999,5,FALSE)</f>
        <v>SULLIVAN BRANDON</v>
      </c>
      <c r="M188" s="6">
        <f t="shared" si="61"/>
        <v>1.0011574071540963E-2</v>
      </c>
      <c r="N188" s="7">
        <f t="shared" si="76"/>
        <v>14.416666663018987</v>
      </c>
      <c r="O188" s="7"/>
      <c r="P188" s="7"/>
      <c r="Q188" s="22"/>
      <c r="R188" s="22"/>
      <c r="S188" s="31">
        <f t="shared" si="63"/>
        <v>1</v>
      </c>
      <c r="T188" s="46" t="str">
        <f t="shared" si="64"/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65"/>
        <v>https://d0f6bd738d7f1b3e5a7ca70fe4ff75f0.us-east-1.aws.found.io/app/kibana#/discover/Steve-Slow-Train-Analysis-(2080s-and-2083s)?_g=(refreshInterval:(display:Off,pause:!f,section:0,value:0),time:(from:'2017-04-07T15:12:12-0600',mode:absolute,to:'2017-04-07T17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8" s="183" t="str">
        <f t="shared" si="66"/>
        <v>N</v>
      </c>
      <c r="X188" s="183">
        <f t="shared" si="74"/>
        <v>1</v>
      </c>
      <c r="Y188" s="62">
        <f t="shared" si="75"/>
        <v>9.7199999999999995E-2</v>
      </c>
      <c r="Z188" s="62">
        <f t="shared" si="77"/>
        <v>5.8948</v>
      </c>
      <c r="AA188" s="62">
        <f t="shared" si="67"/>
        <v>5.7976000000000001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8"/>
        <v>0829-07</v>
      </c>
      <c r="AE188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188" s="82" t="str">
        <f t="shared" si="70"/>
        <v>"C:\Program Files (x86)\AstroGrep\AstroGrep.exe" /e /r /s /spath="%USERPROFILE%\AppData\Local\Temp\OnboardLogs" /stypes="app*4008*20170407*" /stext=" 22:.+((SYSTEM_STATE.+slice.+state.+changed )|(ment ac)|(multiple cpu faults)|(system.+state.+changed )|(\[timeout)|(PRM\|1\|D)|(kpr)|(kdp)|(\|lc)|(penalty))"</v>
      </c>
      <c r="AG188" s="1" t="str">
        <f t="shared" si="71"/>
        <v>NW</v>
      </c>
      <c r="AH188" s="86" t="str">
        <f t="shared" si="55"/>
        <v>"%USERPROFILE%\Documents\GitHub\eaglep3\Utilities\RefineRTDCRunTimes.py" --tripid 829-07 --locoid 4008 --swversion DE.1.0.9.0 --startMP 204:972 --initTime 2017-04-07T16:12:12 --startdatetime 2017-04-07T16:21:22 --delay 1 --endMP 300:58948 --enddatetime 2017-04-07T16:35:47 --enforcementcount 0 &gt;&gt;C:\Users\stu\Documents\GitHub\eaglep3-reporting\EC\2017-04-07-refined-times.txt</v>
      </c>
      <c r="AI188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{"issue":{"subject":"","project_id":79,"tracker_id":40,"status_id":1,"priority_id":2,"assigned_to_id":23,"start_date":"2017-04-07","description":"","custom_fields":[{"id":1,"name":"Subdivision","value":"NW"},{"id":4,"name":"Milepost","value":"5.8948"},{"id":17,"name":"Train ID","value":"829-07"},{"id":16,"name":"Locomotive ID","value":"4008"},{"id":130,"name":"Impact","value":""},{"id":150,"name":"Time of Event (Mountain Time)","value":"16:35:47"},{"id":151,"name":"Denver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57"/>
        <v>start /low /b %USERPROFILE%\Documents\GitHub\eaglep3\Utilities\DownloadLogsFromS3.py --loco 4008 --day 2017-04-07</v>
      </c>
      <c r="AN188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22:35:47"},{"id":29,"name":"Sharepoint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789</v>
      </c>
      <c r="B189" s="7">
        <v>4007</v>
      </c>
      <c r="C189" s="21" t="s">
        <v>216</v>
      </c>
      <c r="D189" s="21" t="s">
        <v>618</v>
      </c>
      <c r="E189" s="13">
        <v>42832.69222222222</v>
      </c>
      <c r="F189" s="13">
        <v>42832.693414351852</v>
      </c>
      <c r="G189" s="7">
        <v>1</v>
      </c>
      <c r="H189" s="21" t="s">
        <v>962</v>
      </c>
      <c r="I189" s="13">
        <v>42832.705752314818</v>
      </c>
      <c r="J189" s="7">
        <v>0</v>
      </c>
      <c r="K189" s="97" t="str">
        <f t="shared" si="60"/>
        <v>4007/4008</v>
      </c>
      <c r="L189" s="21" t="str">
        <f>VLOOKUP(A189,'Trips&amp;Operators'!$C$1:$G$99999,5,FALSE)</f>
        <v>SULLIVAN BRANDON</v>
      </c>
      <c r="M189" s="6">
        <f t="shared" si="61"/>
        <v>1.2337962965830229E-2</v>
      </c>
      <c r="N189" s="7">
        <f t="shared" si="76"/>
        <v>17.76666667079553</v>
      </c>
      <c r="O189" s="7"/>
      <c r="P189" s="7"/>
      <c r="Q189" s="22"/>
      <c r="R189" s="22"/>
      <c r="S189" s="31">
        <f t="shared" si="63"/>
        <v>1</v>
      </c>
      <c r="T189" s="46" t="str">
        <f t="shared" si="64"/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65"/>
        <v>https://d0f6bd738d7f1b3e5a7ca70fe4ff75f0.us-east-1.aws.found.io/app/kibana#/discover/Steve-Slow-Train-Analysis-(2080s-and-2083s)?_g=(refreshInterval:(display:Off,pause:!f,section:0,value:0),time:(from:'2017-04-07T15:36:48-0600',mode:absolute,to:'2017-04-07T17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9" s="183" t="str">
        <f t="shared" si="66"/>
        <v>N</v>
      </c>
      <c r="X189" s="183">
        <f t="shared" si="74"/>
        <v>1</v>
      </c>
      <c r="Y189" s="62">
        <f t="shared" si="75"/>
        <v>5.8630000000000004</v>
      </c>
      <c r="Z189" s="62">
        <f t="shared" si="77"/>
        <v>6.9800000000000001E-2</v>
      </c>
      <c r="AA189" s="62">
        <f t="shared" si="67"/>
        <v>5.7932000000000006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8"/>
        <v>0830-07</v>
      </c>
      <c r="AE189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189" s="82" t="str">
        <f t="shared" si="70"/>
        <v>"C:\Program Files (x86)\AstroGrep\AstroGrep.exe" /e /r /s /spath="%USERPROFILE%\AppData\Local\Temp\OnboardLogs" /stypes="app*4007*20170407*" /stext=" 22:.+((SYSTEM_STATE.+slice.+state.+changed )|(ment ac)|(multiple cpu faults)|(system.+state.+changed )|(\[timeout)|(PRM\|1\|D)|(kpr)|(kdp)|(\|lc)|(penalty))"</v>
      </c>
      <c r="AG189" s="1" t="str">
        <f t="shared" si="71"/>
        <v>NW</v>
      </c>
      <c r="AH189" s="86" t="str">
        <f t="shared" si="55"/>
        <v>"%USERPROFILE%\Documents\GitHub\eaglep3\Utilities\RefineRTDCRunTimes.py" --tripid 830-07 --locoid 4007 --swversion DE.1.0.9.0 --startMP 300:58630 --initTime 2017-04-07T16:36:48 --startdatetime 2017-04-07T16:38:31 --delay 1 --endMP 204:698 --enddatetime 2017-04-07T16:56:17 --enforcementcount 0 &gt;&gt;C:\Users\stu\Documents\GitHub\eaglep3-reporting\EC\2017-04-07-refined-times.txt</v>
      </c>
      <c r="AI189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{"issue":{"subject":"","project_id":79,"tracker_id":40,"status_id":1,"priority_id":2,"assigned_to_id":23,"start_date":"2017-04-07","description":"","custom_fields":[{"id":1,"name":"Subdivision","value":"NW"},{"id":4,"name":"Milepost","value":"0.0698"},{"id":17,"name":"Train ID","value":"830-07"},{"id":16,"name":"Locomotive ID","value":"4007"},{"id":130,"name":"Impact","value":""},{"id":150,"name":"Time of Event (Mountain Time)","value":"16:56:17"},{"id":151,"name":"Denver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57"/>
        <v>start /low /b %USERPROFILE%\Documents\GitHub\eaglep3\Utilities\DownloadLogsFromS3.py --loco 4007 --day 2017-04-07</v>
      </c>
      <c r="AN189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22:56:17"},{"id":29,"name":"Sharepoint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787</v>
      </c>
      <c r="B190" s="7">
        <v>4012</v>
      </c>
      <c r="C190" s="21" t="s">
        <v>216</v>
      </c>
      <c r="D190" s="21" t="s">
        <v>544</v>
      </c>
      <c r="E190" s="13">
        <v>42832.687847222223</v>
      </c>
      <c r="F190" s="13">
        <v>42832.702256944445</v>
      </c>
      <c r="G190" s="7">
        <v>1</v>
      </c>
      <c r="H190" s="21" t="s">
        <v>968</v>
      </c>
      <c r="I190" s="13">
        <v>42832.712037037039</v>
      </c>
      <c r="J190" s="7">
        <v>0</v>
      </c>
      <c r="K190" s="97" t="str">
        <f t="shared" si="60"/>
        <v>4011/4012</v>
      </c>
      <c r="L190" s="21" t="str">
        <f>VLOOKUP(A190,'Trips&amp;Operators'!$C$1:$G$99999,5,FALSE)</f>
        <v>SMITH MICHAEL</v>
      </c>
      <c r="M190" s="6">
        <f t="shared" si="61"/>
        <v>9.7800925941555761E-3</v>
      </c>
      <c r="N190" s="7">
        <f t="shared" si="76"/>
        <v>14.08333333558403</v>
      </c>
      <c r="O190" s="7"/>
      <c r="P190" s="7"/>
      <c r="Q190" s="22"/>
      <c r="R190" s="22"/>
      <c r="S190" s="31">
        <f t="shared" si="63"/>
        <v>1</v>
      </c>
      <c r="T190" s="46" t="str">
        <f t="shared" si="64"/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65"/>
        <v>https://d0f6bd738d7f1b3e5a7ca70fe4ff75f0.us-east-1.aws.found.io/app/kibana#/discover/Steve-Slow-Train-Analysis-(2080s-and-2083s)?_g=(refreshInterval:(display:Off,pause:!f,section:0,value:0),time:(from:'2017-04-07T15:30:30-0600',mode:absolute,to:'2017-04-07T18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0" s="183" t="str">
        <f t="shared" si="66"/>
        <v>N</v>
      </c>
      <c r="X190" s="183">
        <f t="shared" si="74"/>
        <v>1</v>
      </c>
      <c r="Y190" s="62">
        <f t="shared" si="75"/>
        <v>9.69E-2</v>
      </c>
      <c r="Z190" s="62">
        <f t="shared" si="77"/>
        <v>5.8925999999999998</v>
      </c>
      <c r="AA190" s="62">
        <f t="shared" si="67"/>
        <v>5.7957000000000001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8"/>
        <v>0831-07</v>
      </c>
      <c r="AE190" s="85" t="str">
        <f t="shared" si="69"/>
        <v>aws s3 cp s3://rtdc.mdm.uploadarchive.raw/RTDC4012/ "%USERPROFILE%\AppData\Local\Temp\OnboardLogs"\RTDC4012\2017-04-07 --exclude "*" --recursive --include "*20170407*" &amp; "%USERPROFILE%\Documents\GitHub\mrs-test-scripts\Headless Mode &amp; Sideloading\WalkAndUnGZ.bat" "%USERPROFILE%\AppData\Local\Temp\OnboardLogs"\RTDC4012\2017-04-07 &amp; aws s3 cp s3://rtdc.mdm.uploadarchive.raw/RTDC4012/ "%USERPROFILE%\AppData\Local\Temp\OnboardLogs"\RTDC4012\2017-04-08 --exclude "*" --recursive --include "*20170408*" &amp; "%USERPROFILE%\Documents\GitHub\mrs-test-scripts\Headless Mode &amp; Sideloading\WalkAndUnGZ.bat" "%USERPROFILE%\AppData\Local\Temp\OnboardLogs"\RTDC4012\2017-04-08</v>
      </c>
      <c r="AF190" s="82" t="str">
        <f t="shared" si="70"/>
        <v>"C:\Program Files (x86)\AstroGrep\AstroGrep.exe" /e /r /s /spath="%USERPROFILE%\AppData\Local\Temp\OnboardLogs" /stypes="app*4012*20170407*" /stext=" 23:.+((SYSTEM_STATE.+slice.+state.+changed )|(ment ac)|(multiple cpu faults)|(system.+state.+changed )|(\[timeout)|(PRM\|1\|D)|(kpr)|(kdp)|(\|lc)|(penalty))"</v>
      </c>
      <c r="AG190" s="1" t="str">
        <f t="shared" si="71"/>
        <v>NW</v>
      </c>
      <c r="AH190" s="86" t="str">
        <f t="shared" si="55"/>
        <v>"%USERPROFILE%\Documents\GitHub\eaglep3\Utilities\RefineRTDCRunTimes.py" --tripid 831-07 --locoid 4012 --swversion DE.1.0.9.0 --startMP 204:969 --initTime 2017-04-07T16:30:30 --startdatetime 2017-04-07T16:51:15 --delay 1 --endMP 300:58926 --enddatetime 2017-04-07T17:05:20 --enforcementcount 0 &gt;&gt;C:\Users\stu\Documents\GitHub\eaglep3-reporting\EC\2017-04-07-refined-times.txt</v>
      </c>
      <c r="AI190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{"issue":{"subject":"","project_id":79,"tracker_id":40,"status_id":1,"priority_id":2,"assigned_to_id":23,"start_date":"2017-04-07","description":"","custom_fields":[{"id":1,"name":"Subdivision","value":"NW"},{"id":4,"name":"Milepost","value":"5.8926"},{"id":17,"name":"Train ID","value":"831-07"},{"id":16,"name":"Locomotive ID","value":"4012"},{"id":130,"name":"Impact","value":""},{"id":150,"name":"Time of Event (Mountain Time)","value":"17:05:20"},{"id":151,"name":"Denver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57"/>
        <v>start /low /b %USERPROFILE%\Documents\GitHub\eaglep3\Utilities\DownloadLogsFromS3.py --loco 4012 --day 2017-04-07</v>
      </c>
      <c r="AN190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23:05:20"},{"id":29,"name":"Sharepoint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793</v>
      </c>
      <c r="B191" s="7">
        <v>4011</v>
      </c>
      <c r="C191" s="21" t="s">
        <v>216</v>
      </c>
      <c r="D191" s="21" t="s">
        <v>961</v>
      </c>
      <c r="E191" s="13">
        <v>42832.713078703702</v>
      </c>
      <c r="F191" s="13">
        <v>42832.714525462965</v>
      </c>
      <c r="G191" s="7">
        <v>1</v>
      </c>
      <c r="H191" s="21" t="s">
        <v>969</v>
      </c>
      <c r="I191" s="13">
        <v>42832.726377314815</v>
      </c>
      <c r="J191" s="7">
        <v>0</v>
      </c>
      <c r="K191" s="97" t="str">
        <f t="shared" si="60"/>
        <v>4011/4012</v>
      </c>
      <c r="L191" s="21" t="str">
        <f>VLOOKUP(A191,'Trips&amp;Operators'!$C$1:$G$99999,5,FALSE)</f>
        <v>SMITH MICHAEL</v>
      </c>
      <c r="M191" s="6">
        <f t="shared" si="61"/>
        <v>1.1851851850224193E-2</v>
      </c>
      <c r="N191" s="7">
        <f t="shared" si="76"/>
        <v>17.066666664322838</v>
      </c>
      <c r="O191" s="7"/>
      <c r="P191" s="7"/>
      <c r="Q191" s="22"/>
      <c r="R191" s="22"/>
      <c r="S191" s="31">
        <f t="shared" si="63"/>
        <v>1</v>
      </c>
      <c r="T191" s="46" t="str">
        <f t="shared" si="64"/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65"/>
        <v>https://d0f6bd738d7f1b3e5a7ca70fe4ff75f0.us-east-1.aws.found.io/app/kibana#/discover/Steve-Slow-Train-Analysis-(2080s-and-2083s)?_g=(refreshInterval:(display:Off,pause:!f,section:0,value:0),time:(from:'2017-04-07T16:06:50-0600',mode:absolute,to:'2017-04-07T18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1" s="183" t="str">
        <f t="shared" si="66"/>
        <v>N</v>
      </c>
      <c r="X191" s="183">
        <f t="shared" si="74"/>
        <v>1</v>
      </c>
      <c r="Y191" s="62">
        <f t="shared" si="75"/>
        <v>5.8624000000000001</v>
      </c>
      <c r="Z191" s="62">
        <f t="shared" si="77"/>
        <v>6.8000000000000005E-2</v>
      </c>
      <c r="AA191" s="62">
        <f t="shared" si="67"/>
        <v>5.7944000000000004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8"/>
        <v>0832-07</v>
      </c>
      <c r="AE191" s="85" t="str">
        <f t="shared" si="69"/>
        <v>aws s3 cp s3://rtdc.mdm.uploadarchive.raw/RTDC4011/ "%USERPROFILE%\AppData\Local\Temp\OnboardLogs"\RTDC4011\2017-04-07 --exclude "*" --recursive --include "*20170407*" &amp; "%USERPROFILE%\Documents\GitHub\mrs-test-scripts\Headless Mode &amp; Sideloading\WalkAndUnGZ.bat" "%USERPROFILE%\AppData\Local\Temp\OnboardLogs"\RTDC4011\2017-04-07 &amp; aws s3 cp s3://rtdc.mdm.uploadarchive.raw/RTDC4011/ "%USERPROFILE%\AppData\Local\Temp\OnboardLogs"\RTDC4011\2017-04-08 --exclude "*" --recursive --include "*20170408*" &amp; "%USERPROFILE%\Documents\GitHub\mrs-test-scripts\Headless Mode &amp; Sideloading\WalkAndUnGZ.bat" "%USERPROFILE%\AppData\Local\Temp\OnboardLogs"\RTDC4011\2017-04-08</v>
      </c>
      <c r="AF191" s="82" t="str">
        <f t="shared" si="70"/>
        <v>"C:\Program Files (x86)\AstroGrep\AstroGrep.exe" /e /r /s /spath="%USERPROFILE%\AppData\Local\Temp\OnboardLogs" /stypes="app*4011*20170407*" /stext=" 23:.+((SYSTEM_STATE.+slice.+state.+changed )|(ment ac)|(multiple cpu faults)|(system.+state.+changed )|(\[timeout)|(PRM\|1\|D)|(kpr)|(kdp)|(\|lc)|(penalty))"</v>
      </c>
      <c r="AG191" s="1" t="str">
        <f t="shared" si="71"/>
        <v>NW</v>
      </c>
      <c r="AH191" s="86" t="str">
        <f t="shared" si="55"/>
        <v>"%USERPROFILE%\Documents\GitHub\eaglep3\Utilities\RefineRTDCRunTimes.py" --tripid 832-07 --locoid 4011 --swversion DE.1.0.9.0 --startMP 300:58624 --initTime 2017-04-07T17:06:50 --startdatetime 2017-04-07T17:08:55 --delay 1 --endMP 204:680 --enddatetime 2017-04-07T17:25:59 --enforcementcount 0 &gt;&gt;C:\Users\stu\Documents\GitHub\eaglep3-reporting\EC\2017-04-07-refined-times.txt</v>
      </c>
      <c r="AI191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{"issue":{"subject":"","project_id":79,"tracker_id":40,"status_id":1,"priority_id":2,"assigned_to_id":23,"start_date":"2017-04-07","description":"","custom_fields":[{"id":1,"name":"Subdivision","value":"NW"},{"id":4,"name":"Milepost","value":"0.068"},{"id":17,"name":"Train ID","value":"832-07"},{"id":16,"name":"Locomotive ID","value":"4011"},{"id":130,"name":"Impact","value":""},{"id":150,"name":"Time of Event (Mountain Time)","value":"17:25:59"},{"id":151,"name":"Denver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57"/>
        <v>start /low /b %USERPROFILE%\Documents\GitHub\eaglep3\Utilities\DownloadLogsFromS3.py --loco 4011 --day 2017-04-07</v>
      </c>
      <c r="AN191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23:25:59"},{"id":29,"name":"Sharepoint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646</v>
      </c>
      <c r="B192" s="7">
        <v>4008</v>
      </c>
      <c r="C192" s="21" t="s">
        <v>216</v>
      </c>
      <c r="D192" s="21" t="s">
        <v>970</v>
      </c>
      <c r="E192" s="13">
        <v>42832.713483796295</v>
      </c>
      <c r="F192" s="13">
        <v>42832.723252314812</v>
      </c>
      <c r="G192" s="7">
        <v>1</v>
      </c>
      <c r="H192" s="21" t="s">
        <v>499</v>
      </c>
      <c r="I192" s="13">
        <v>42832.733668981484</v>
      </c>
      <c r="J192" s="7">
        <v>0</v>
      </c>
      <c r="K192" s="97" t="str">
        <f t="shared" si="60"/>
        <v>4007/4008</v>
      </c>
      <c r="L192" s="21" t="str">
        <f>VLOOKUP(A192,'Trips&amp;Operators'!$C$1:$G$99999,5,FALSE)</f>
        <v>SULLIVAN BRANDON</v>
      </c>
      <c r="M192" s="6">
        <f t="shared" si="61"/>
        <v>1.0416666671517305E-2</v>
      </c>
      <c r="N192" s="7">
        <f t="shared" si="76"/>
        <v>15.000000006984919</v>
      </c>
      <c r="O192" s="7"/>
      <c r="P192" s="7"/>
      <c r="Q192" s="22"/>
      <c r="R192" s="22"/>
      <c r="S192" s="31">
        <f t="shared" si="63"/>
        <v>1</v>
      </c>
      <c r="T192" s="46" t="str">
        <f t="shared" si="64"/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65"/>
        <v>https://d0f6bd738d7f1b3e5a7ca70fe4ff75f0.us-east-1.aws.found.io/app/kibana#/discover/Steve-Slow-Train-Analysis-(2080s-and-2083s)?_g=(refreshInterval:(display:Off,pause:!f,section:0,value:0),time:(from:'2017-04-07T16:07:25-0600',mode:absolute,to:'2017-04-07T18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2" s="183" t="str">
        <f t="shared" si="66"/>
        <v>N</v>
      </c>
      <c r="X192" s="183">
        <f t="shared" si="74"/>
        <v>1</v>
      </c>
      <c r="Y192" s="62">
        <f t="shared" si="75"/>
        <v>9.8299999999999998E-2</v>
      </c>
      <c r="Z192" s="62">
        <f t="shared" si="77"/>
        <v>5.8956</v>
      </c>
      <c r="AA192" s="62">
        <f t="shared" si="67"/>
        <v>5.7972999999999999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8"/>
        <v>0833-07</v>
      </c>
      <c r="AE192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192" s="82" t="str">
        <f t="shared" si="70"/>
        <v>"C:\Program Files (x86)\AstroGrep\AstroGrep.exe" /e /r /s /spath="%USERPROFILE%\AppData\Local\Temp\OnboardLogs" /stypes="app*4008*20170407*" /stext=" 23:.+((SYSTEM_STATE.+slice.+state.+changed )|(ment ac)|(multiple cpu faults)|(system.+state.+changed )|(\[timeout)|(PRM\|1\|D)|(kpr)|(kdp)|(\|lc)|(penalty))"</v>
      </c>
      <c r="AG192" s="1" t="str">
        <f t="shared" si="71"/>
        <v>NW</v>
      </c>
      <c r="AH192" s="86" t="str">
        <f t="shared" si="55"/>
        <v>"%USERPROFILE%\Documents\GitHub\eaglep3\Utilities\RefineRTDCRunTimes.py" --tripid 833-07 --locoid 4008 --swversion DE.1.0.9.0 --startMP 204:983 --initTime 2017-04-07T17:07:25 --startdatetime 2017-04-07T17:21:29 --delay 1 --endMP 300:58956 --enddatetime 2017-04-07T17:36:29 --enforcementcount 0 &gt;&gt;C:\Users\stu\Documents\GitHub\eaglep3-reporting\EC\2017-04-07-refined-times.txt</v>
      </c>
      <c r="AI192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{"issue":{"subject":"","project_id":79,"tracker_id":40,"status_id":1,"priority_id":2,"assigned_to_id":23,"start_date":"2017-04-07","description":"","custom_fields":[{"id":1,"name":"Subdivision","value":"NW"},{"id":4,"name":"Milepost","value":"5.8956"},{"id":17,"name":"Train ID","value":"833-07"},{"id":16,"name":"Locomotive ID","value":"4008"},{"id":130,"name":"Impact","value":""},{"id":150,"name":"Time of Event (Mountain Time)","value":"17:36:29"},{"id":151,"name":"Denver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57"/>
        <v>start /low /b %USERPROFILE%\Documents\GitHub\eaglep3\Utilities\DownloadLogsFromS3.py --loco 4008 --day 2017-04-07</v>
      </c>
      <c r="AN192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23:36:29"},{"id":29,"name":"Sharepoint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798</v>
      </c>
      <c r="B193" s="7">
        <v>4007</v>
      </c>
      <c r="C193" s="21" t="s">
        <v>216</v>
      </c>
      <c r="D193" s="21" t="s">
        <v>971</v>
      </c>
      <c r="E193" s="13">
        <v>42832.734594907408</v>
      </c>
      <c r="F193" s="13">
        <v>42832.735752314817</v>
      </c>
      <c r="G193" s="7">
        <v>1</v>
      </c>
      <c r="H193" s="21" t="s">
        <v>616</v>
      </c>
      <c r="I193" s="13">
        <v>42832.748460648145</v>
      </c>
      <c r="J193" s="7">
        <v>0</v>
      </c>
      <c r="K193" s="97" t="str">
        <f t="shared" si="60"/>
        <v>4007/4008</v>
      </c>
      <c r="L193" s="21" t="str">
        <f>VLOOKUP(A193,'Trips&amp;Operators'!$C$1:$G$99999,5,FALSE)</f>
        <v>SULLIVAN BRANDON</v>
      </c>
      <c r="M193" s="6">
        <f t="shared" si="61"/>
        <v>1.2708333328191657E-2</v>
      </c>
      <c r="N193" s="7">
        <f t="shared" si="76"/>
        <v>18.299999992595986</v>
      </c>
      <c r="O193" s="7"/>
      <c r="P193" s="7"/>
      <c r="Q193" s="22"/>
      <c r="R193" s="22"/>
      <c r="S193" s="31">
        <f t="shared" si="63"/>
        <v>1</v>
      </c>
      <c r="T193" s="46" t="str">
        <f t="shared" si="64"/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65"/>
        <v>https://d0f6bd738d7f1b3e5a7ca70fe4ff75f0.us-east-1.aws.found.io/app/kibana#/discover/Steve-Slow-Train-Analysis-(2080s-and-2083s)?_g=(refreshInterval:(display:Off,pause:!f,section:0,value:0),time:(from:'2017-04-07T16:37:49-0600',mode:absolute,to:'2017-04-07T18:57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3" s="183" t="str">
        <f t="shared" si="66"/>
        <v>N</v>
      </c>
      <c r="X193" s="183">
        <f t="shared" si="74"/>
        <v>1</v>
      </c>
      <c r="Y193" s="62">
        <f t="shared" si="75"/>
        <v>5.8640999999999996</v>
      </c>
      <c r="Z193" s="62">
        <f t="shared" si="77"/>
        <v>6.8500000000000005E-2</v>
      </c>
      <c r="AA193" s="62">
        <f t="shared" si="67"/>
        <v>5.7955999999999994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8"/>
        <v>0834-07</v>
      </c>
      <c r="AE193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193" s="82" t="str">
        <f t="shared" si="70"/>
        <v>"C:\Program Files (x86)\AstroGrep\AstroGrep.exe" /e /r /s /spath="%USERPROFILE%\AppData\Local\Temp\OnboardLogs" /stypes="app*4007*20170407*" /stext=" 23:.+((SYSTEM_STATE.+slice.+state.+changed )|(ment ac)|(multiple cpu faults)|(system.+state.+changed )|(\[timeout)|(PRM\|1\|D)|(kpr)|(kdp)|(\|lc)|(penalty))"</v>
      </c>
      <c r="AG193" s="1" t="str">
        <f t="shared" si="71"/>
        <v>NW</v>
      </c>
      <c r="AH193" s="86" t="str">
        <f t="shared" si="55"/>
        <v>"%USERPROFILE%\Documents\GitHub\eaglep3\Utilities\RefineRTDCRunTimes.py" --tripid 834-07 --locoid 4007 --swversion DE.1.0.9.0 --startMP 300:58641 --initTime 2017-04-07T17:37:49 --startdatetime 2017-04-07T17:39:29 --delay 1 --endMP 204:685 --enddatetime 2017-04-07T17:57:47 --enforcementcount 0 &gt;&gt;C:\Users\stu\Documents\GitHub\eaglep3-reporting\EC\2017-04-07-refined-times.txt</v>
      </c>
      <c r="AI193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{"issue":{"subject":"","project_id":79,"tracker_id":40,"status_id":1,"priority_id":2,"assigned_to_id":23,"start_date":"2017-04-07","description":"","custom_fields":[{"id":1,"name":"Subdivision","value":"NW"},{"id":4,"name":"Milepost","value":"0.0685"},{"id":17,"name":"Train ID","value":"834-07"},{"id":16,"name":"Locomotive ID","value":"4007"},{"id":130,"name":"Impact","value":""},{"id":150,"name":"Time of Event (Mountain Time)","value":"17:57:47"},{"id":151,"name":"Denver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57"/>
        <v>start /low /b %USERPROFILE%\Documents\GitHub\eaglep3\Utilities\DownloadLogsFromS3.py --loco 4007 --day 2017-04-07</v>
      </c>
      <c r="AN193" s="159" t="str">
        <f t="shared" si="58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23:57:47"},{"id":29,"name":"Sharepoint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799</v>
      </c>
      <c r="B194" s="7">
        <v>4012</v>
      </c>
      <c r="C194" s="21" t="s">
        <v>216</v>
      </c>
      <c r="D194" s="21" t="s">
        <v>547</v>
      </c>
      <c r="E194" s="13">
        <v>42832.735879629632</v>
      </c>
      <c r="F194" s="13">
        <v>42832.744062500002</v>
      </c>
      <c r="G194" s="7">
        <v>1</v>
      </c>
      <c r="H194" s="21" t="s">
        <v>972</v>
      </c>
      <c r="I194" s="13">
        <v>42832.754942129628</v>
      </c>
      <c r="J194" s="7">
        <v>0</v>
      </c>
      <c r="K194" s="97" t="str">
        <f t="shared" si="60"/>
        <v>4011/4012</v>
      </c>
      <c r="L194" s="21" t="str">
        <f>VLOOKUP(A194,'Trips&amp;Operators'!$C$1:$G$99999,5,FALSE)</f>
        <v>SMITH MICHAEL</v>
      </c>
      <c r="M194" s="6">
        <f t="shared" si="61"/>
        <v>1.0879629626288079E-2</v>
      </c>
      <c r="N194" s="7">
        <f t="shared" si="76"/>
        <v>15.666666661854833</v>
      </c>
      <c r="O194" s="7"/>
      <c r="P194" s="7"/>
      <c r="Q194" s="22"/>
      <c r="R194" s="22"/>
      <c r="S194" s="31">
        <f t="shared" si="63"/>
        <v>1</v>
      </c>
      <c r="T194" s="46" t="str">
        <f t="shared" si="64"/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65"/>
        <v>https://d0f6bd738d7f1b3e5a7ca70fe4ff75f0.us-east-1.aws.found.io/app/kibana#/discover/Steve-Slow-Train-Analysis-(2080s-and-2083s)?_g=(refreshInterval:(display:Off,pause:!f,section:0,value:0),time:(from:'2017-04-07T16:39:40-0600',mode:absolute,to:'2017-04-07T19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4" s="183" t="str">
        <f t="shared" si="66"/>
        <v>N</v>
      </c>
      <c r="X194" s="183">
        <f t="shared" si="74"/>
        <v>1</v>
      </c>
      <c r="Y194" s="62">
        <f t="shared" si="75"/>
        <v>9.6699999999999994E-2</v>
      </c>
      <c r="Z194" s="62">
        <f t="shared" si="77"/>
        <v>5.8929</v>
      </c>
      <c r="AA194" s="62">
        <f t="shared" si="67"/>
        <v>5.7961999999999998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8"/>
        <v>0835-07</v>
      </c>
      <c r="AE194" s="85" t="str">
        <f t="shared" si="69"/>
        <v>aws s3 cp s3://rtdc.mdm.uploadarchive.raw/RTDC4012/ "%USERPROFILE%\AppData\Local\Temp\OnboardLogs"\RTDC4012\2017-04-07 --exclude "*" --recursive --include "*20170407*" &amp; "%USERPROFILE%\Documents\GitHub\mrs-test-scripts\Headless Mode &amp; Sideloading\WalkAndUnGZ.bat" "%USERPROFILE%\AppData\Local\Temp\OnboardLogs"\RTDC4012\2017-04-07 &amp; aws s3 cp s3://rtdc.mdm.uploadarchive.raw/RTDC4012/ "%USERPROFILE%\AppData\Local\Temp\OnboardLogs"\RTDC4012\2017-04-08 --exclude "*" --recursive --include "*20170408*" &amp; "%USERPROFILE%\Documents\GitHub\mrs-test-scripts\Headless Mode &amp; Sideloading\WalkAndUnGZ.bat" "%USERPROFILE%\AppData\Local\Temp\OnboardLogs"\RTDC4012\2017-04-08</v>
      </c>
      <c r="AF194" s="82" t="str">
        <f t="shared" si="70"/>
        <v>"C:\Program Files (x86)\AstroGrep\AstroGrep.exe" /e /r /s /spath="%USERPROFILE%\AppData\Local\Temp\OnboardLogs" /stypes="app*4012*20170408*" /stext=" 00:.+((SYSTEM_STATE.+slice.+state.+changed )|(ment ac)|(multiple cpu faults)|(system.+state.+changed )|(\[timeout)|(PRM\|1\|D)|(kpr)|(kdp)|(\|lc)|(penalty))"</v>
      </c>
      <c r="AG194" s="1" t="str">
        <f t="shared" si="71"/>
        <v>NW</v>
      </c>
      <c r="AH194" s="86" t="str">
        <f t="shared" si="55"/>
        <v>"%USERPROFILE%\Documents\GitHub\eaglep3\Utilities\RefineRTDCRunTimes.py" --tripid 835-07 --locoid 4012 --swversion DE.1.0.9.0 --startMP 204:967 --initTime 2017-04-07T17:39:40 --startdatetime 2017-04-07T17:51:27 --delay 1 --endMP 300:58929 --enddatetime 2017-04-07T18:07:07 --enforcementcount 0 &gt;&gt;C:\Users\stu\Documents\GitHub\eaglep3-reporting\EC\2017-04-07-refined-times.txt</v>
      </c>
      <c r="AI194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{"issue":{"subject":"","project_id":79,"tracker_id":40,"status_id":1,"priority_id":2,"assigned_to_id":23,"start_date":"2017-04-07","description":"","custom_fields":[{"id":1,"name":"Subdivision","value":"NW"},{"id":4,"name":"Milepost","value":"5.8929"},{"id":17,"name":"Train ID","value":"835-07"},{"id":16,"name":"Locomotive ID","value":"4012"},{"id":130,"name":"Impact","value":""},{"id":150,"name":"Time of Event (Mountain Time)","value":"18:07:07"},{"id":151,"name":"Denver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57"/>
        <v>start /low /b %USERPROFILE%\Documents\GitHub\eaglep3\Utilities\DownloadLogsFromS3.py --loco 4012 --day 2017-04-07</v>
      </c>
      <c r="AN194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00:07:07"},{"id":29,"name":"Sharepoint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807</v>
      </c>
      <c r="B195" s="7">
        <v>4011</v>
      </c>
      <c r="C195" s="21" t="s">
        <v>216</v>
      </c>
      <c r="D195" s="21" t="s">
        <v>973</v>
      </c>
      <c r="E195" s="13">
        <v>42832.756018518521</v>
      </c>
      <c r="F195" s="13">
        <v>42832.757523148146</v>
      </c>
      <c r="G195" s="7">
        <v>1</v>
      </c>
      <c r="H195" s="21" t="s">
        <v>542</v>
      </c>
      <c r="I195" s="13">
        <v>42832.76767361111</v>
      </c>
      <c r="J195" s="7">
        <v>0</v>
      </c>
      <c r="K195" s="97" t="str">
        <f t="shared" si="60"/>
        <v>4011/4012</v>
      </c>
      <c r="L195" s="21" t="str">
        <f>VLOOKUP(A195,'Trips&amp;Operators'!$C$1:$G$99999,5,FALSE)</f>
        <v>SMITH MICHAEL</v>
      </c>
      <c r="M195" s="6">
        <f t="shared" si="61"/>
        <v>1.0150462963792961E-2</v>
      </c>
      <c r="N195" s="7">
        <f t="shared" si="76"/>
        <v>14.616666667861864</v>
      </c>
      <c r="O195" s="7"/>
      <c r="P195" s="7"/>
      <c r="Q195" s="22"/>
      <c r="R195" s="22"/>
      <c r="S195" s="31">
        <f t="shared" si="63"/>
        <v>1</v>
      </c>
      <c r="T195" s="46" t="str">
        <f t="shared" si="64"/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65"/>
        <v>https://d0f6bd738d7f1b3e5a7ca70fe4ff75f0.us-east-1.aws.found.io/app/kibana#/discover/Steve-Slow-Train-Analysis-(2080s-and-2083s)?_g=(refreshInterval:(display:Off,pause:!f,section:0,value:0),time:(from:'2017-04-07T17:08:40-0600',mode:absolute,to:'2017-04-07T19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5" s="183" t="str">
        <f t="shared" si="66"/>
        <v>N</v>
      </c>
      <c r="X195" s="183">
        <f t="shared" si="74"/>
        <v>1</v>
      </c>
      <c r="Y195" s="62">
        <f t="shared" si="75"/>
        <v>5.8613</v>
      </c>
      <c r="Z195" s="62">
        <f t="shared" si="77"/>
        <v>6.7299999999999999E-2</v>
      </c>
      <c r="AA195" s="62">
        <f t="shared" si="67"/>
        <v>5.7939999999999996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8"/>
        <v>0836-07</v>
      </c>
      <c r="AE195" s="85" t="str">
        <f t="shared" si="69"/>
        <v>aws s3 cp s3://rtdc.mdm.uploadarchive.raw/RTDC4011/ "%USERPROFILE%\AppData\Local\Temp\OnboardLogs"\RTDC4011\2017-04-07 --exclude "*" --recursive --include "*20170407*" &amp; "%USERPROFILE%\Documents\GitHub\mrs-test-scripts\Headless Mode &amp; Sideloading\WalkAndUnGZ.bat" "%USERPROFILE%\AppData\Local\Temp\OnboardLogs"\RTDC4011\2017-04-07 &amp; aws s3 cp s3://rtdc.mdm.uploadarchive.raw/RTDC4011/ "%USERPROFILE%\AppData\Local\Temp\OnboardLogs"\RTDC4011\2017-04-08 --exclude "*" --recursive --include "*20170408*" &amp; "%USERPROFILE%\Documents\GitHub\mrs-test-scripts\Headless Mode &amp; Sideloading\WalkAndUnGZ.bat" "%USERPROFILE%\AppData\Local\Temp\OnboardLogs"\RTDC4011\2017-04-08</v>
      </c>
      <c r="AF195" s="82" t="str">
        <f t="shared" si="70"/>
        <v>"C:\Program Files (x86)\AstroGrep\AstroGrep.exe" /e /r /s /spath="%USERPROFILE%\AppData\Local\Temp\OnboardLogs" /stypes="app*4011*20170408*" /stext=" 00:.+((SYSTEM_STATE.+slice.+state.+changed )|(ment ac)|(multiple cpu faults)|(system.+state.+changed )|(\[timeout)|(PRM\|1\|D)|(kpr)|(kdp)|(\|lc)|(penalty))"</v>
      </c>
      <c r="AG195" s="1" t="str">
        <f t="shared" si="71"/>
        <v>NW</v>
      </c>
      <c r="AH195" s="86" t="str">
        <f t="shared" si="55"/>
        <v>"%USERPROFILE%\Documents\GitHub\eaglep3\Utilities\RefineRTDCRunTimes.py" --tripid 836-07 --locoid 4011 --swversion DE.1.0.9.0 --startMP 300:58613 --initTime 2017-04-07T18:08:40 --startdatetime 2017-04-07T18:10:50 --delay 1 --endMP 204:673 --enddatetime 2017-04-07T18:25:27 --enforcementcount 0 &gt;&gt;C:\Users\stu\Documents\GitHub\eaglep3-reporting\EC\2017-04-07-refined-times.txt</v>
      </c>
      <c r="AI195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{"issue":{"subject":"","project_id":79,"tracker_id":40,"status_id":1,"priority_id":2,"assigned_to_id":23,"start_date":"2017-04-07","description":"","custom_fields":[{"id":1,"name":"Subdivision","value":"NW"},{"id":4,"name":"Milepost","value":"0.0673"},{"id":17,"name":"Train ID","value":"836-07"},{"id":16,"name":"Locomotive ID","value":"4011"},{"id":130,"name":"Impact","value":""},{"id":150,"name":"Time of Event (Mountain Time)","value":"18:25:27"},{"id":151,"name":"Denver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57"/>
        <v>start /low /b %USERPROFILE%\Documents\GitHub\eaglep3\Utilities\DownloadLogsFromS3.py --loco 4011 --day 2017-04-07</v>
      </c>
      <c r="AN195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00:25:27"},{"id":29,"name":"Sharepoint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s="20" customFormat="1" x14ac:dyDescent="0.25">
      <c r="A196" s="33" t="s">
        <v>808</v>
      </c>
      <c r="B196" s="7">
        <v>4008</v>
      </c>
      <c r="C196" s="21" t="s">
        <v>216</v>
      </c>
      <c r="D196" s="21" t="s">
        <v>544</v>
      </c>
      <c r="E196" s="13">
        <v>42832.758125</v>
      </c>
      <c r="F196" s="13">
        <v>42832.764791666668</v>
      </c>
      <c r="G196" s="7">
        <v>1</v>
      </c>
      <c r="H196" s="21" t="s">
        <v>614</v>
      </c>
      <c r="I196" s="13">
        <v>42832.774317129632</v>
      </c>
      <c r="J196" s="7">
        <v>0</v>
      </c>
      <c r="K196" s="97" t="str">
        <f t="shared" si="60"/>
        <v>4007/4008</v>
      </c>
      <c r="L196" s="21" t="str">
        <f>VLOOKUP(A196,'Trips&amp;Operators'!$C$1:$G$99999,5,FALSE)</f>
        <v>SULLIVAN BRANDON</v>
      </c>
      <c r="M196" s="6">
        <f t="shared" si="61"/>
        <v>9.5254629632108845E-3</v>
      </c>
      <c r="N196" s="7">
        <f t="shared" si="76"/>
        <v>13.716666667023674</v>
      </c>
      <c r="O196" s="7"/>
      <c r="P196" s="7"/>
      <c r="Q196" s="22"/>
      <c r="R196" s="22"/>
      <c r="S196" s="31">
        <f t="shared" si="63"/>
        <v>1</v>
      </c>
      <c r="T196" s="46" t="str">
        <f t="shared" si="64"/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65"/>
        <v>https://d0f6bd738d7f1b3e5a7ca70fe4ff75f0.us-east-1.aws.found.io/app/kibana#/discover/Steve-Slow-Train-Analysis-(2080s-and-2083s)?_g=(refreshInterval:(display:Off,pause:!f,section:0,value:0),time:(from:'2017-04-07T17:11:42-0600',mode:absolute,to:'2017-04-07T19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6" s="183" t="str">
        <f t="shared" si="66"/>
        <v>N</v>
      </c>
      <c r="X196" s="183">
        <f t="shared" si="74"/>
        <v>1</v>
      </c>
      <c r="Y196" s="62">
        <f t="shared" si="75"/>
        <v>9.69E-2</v>
      </c>
      <c r="Z196" s="62">
        <f t="shared" si="77"/>
        <v>5.8968999999999996</v>
      </c>
      <c r="AA196" s="62">
        <f t="shared" si="67"/>
        <v>5.8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8"/>
        <v>0837-07</v>
      </c>
      <c r="AE196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196" s="82" t="str">
        <f t="shared" si="70"/>
        <v>"C:\Program Files (x86)\AstroGrep\AstroGrep.exe" /e /r /s /spath="%USERPROFILE%\AppData\Local\Temp\OnboardLogs" /stypes="app*4008*20170408*" /stext=" 00:.+((SYSTEM_STATE.+slice.+state.+changed )|(ment ac)|(multiple cpu faults)|(system.+state.+changed )|(\[timeout)|(PRM\|1\|D)|(kpr)|(kdp)|(\|lc)|(penalty))"</v>
      </c>
      <c r="AG196" s="1" t="str">
        <f t="shared" si="71"/>
        <v>NW</v>
      </c>
      <c r="AH196" s="86" t="str">
        <f t="shared" si="55"/>
        <v>"%USERPROFILE%\Documents\GitHub\eaglep3\Utilities\RefineRTDCRunTimes.py" --tripid 837-07 --locoid 4008 --swversion DE.1.0.9.0 --startMP 204:969 --initTime 2017-04-07T18:11:42 --startdatetime 2017-04-07T18:21:18 --delay 1 --endMP 300:58969 --enddatetime 2017-04-07T18:35:01 --enforcementcount 0 &gt;&gt;C:\Users\stu\Documents\GitHub\eaglep3-reporting\EC\2017-04-07-refined-times.txt</v>
      </c>
      <c r="AI196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{"issue":{"subject":"","project_id":79,"tracker_id":40,"status_id":1,"priority_id":2,"assigned_to_id":23,"start_date":"2017-04-07","description":"","custom_fields":[{"id":1,"name":"Subdivision","value":"NW"},{"id":4,"name":"Milepost","value":"5.8969"},{"id":17,"name":"Train ID","value":"837-07"},{"id":16,"name":"Locomotive ID","value":"4008"},{"id":130,"name":"Impact","value":""},{"id":150,"name":"Time of Event (Mountain Time)","value":"18:35:01"},{"id":151,"name":"Denver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8"/>
      <c r="AL196" s="48"/>
      <c r="AM196" s="150" t="str">
        <f t="shared" si="57"/>
        <v>start /low /b %USERPROFILE%\Documents\GitHub\eaglep3\Utilities\DownloadLogsFromS3.py --loco 4008 --day 2017-04-07</v>
      </c>
      <c r="AN196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00:35:01"},{"id":29,"name":"Sharepoint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812</v>
      </c>
      <c r="B197" s="7">
        <v>4007</v>
      </c>
      <c r="C197" s="21" t="s">
        <v>216</v>
      </c>
      <c r="D197" s="21" t="s">
        <v>615</v>
      </c>
      <c r="E197" s="13">
        <v>42832.775034722225</v>
      </c>
      <c r="F197" s="13">
        <v>42832.776261574072</v>
      </c>
      <c r="G197" s="7">
        <v>1</v>
      </c>
      <c r="H197" s="21" t="s">
        <v>974</v>
      </c>
      <c r="I197" s="13">
        <v>42832.789247685185</v>
      </c>
      <c r="J197" s="7">
        <v>0</v>
      </c>
      <c r="K197" s="97" t="str">
        <f t="shared" si="60"/>
        <v>4007/4008</v>
      </c>
      <c r="L197" s="21" t="str">
        <f>VLOOKUP(A197,'Trips&amp;Operators'!$C$1:$G$99999,5,FALSE)</f>
        <v>SULLIVAN BRANDON</v>
      </c>
      <c r="M197" s="6">
        <f t="shared" si="61"/>
        <v>1.2986111112695653E-2</v>
      </c>
      <c r="N197" s="7">
        <f t="shared" si="76"/>
        <v>18.70000000228174</v>
      </c>
      <c r="O197" s="7"/>
      <c r="P197" s="7"/>
      <c r="Q197" s="22"/>
      <c r="R197" s="22"/>
      <c r="S197" s="31">
        <f t="shared" si="63"/>
        <v>1</v>
      </c>
      <c r="T197" s="46" t="str">
        <f t="shared" si="64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65"/>
        <v>https://d0f6bd738d7f1b3e5a7ca70fe4ff75f0.us-east-1.aws.found.io/app/kibana#/discover/Steve-Slow-Train-Analysis-(2080s-and-2083s)?_g=(refreshInterval:(display:Off,pause:!f,section:0,value:0),time:(from:'2017-04-07T17:36:03-0600',mode:absolute,to:'2017-04-07T19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7" s="183" t="str">
        <f t="shared" si="66"/>
        <v>N</v>
      </c>
      <c r="X197" s="183">
        <f t="shared" ref="X197:X203" si="78">VALUE(LEFT(AD197,4))-VALUE(LEFT(AD196,4))</f>
        <v>1</v>
      </c>
      <c r="Y197" s="62">
        <f t="shared" ref="Y197:Y229" si="79">RIGHT(D197,LEN(D197)-4)/10000</f>
        <v>5.8651</v>
      </c>
      <c r="Z197" s="62">
        <f t="shared" si="77"/>
        <v>6.9900000000000004E-2</v>
      </c>
      <c r="AA197" s="62">
        <f t="shared" si="67"/>
        <v>5.7952000000000004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8"/>
        <v>0838-07</v>
      </c>
      <c r="AE197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197" s="82" t="str">
        <f t="shared" si="70"/>
        <v>"C:\Program Files (x86)\AstroGrep\AstroGrep.exe" /e /r /s /spath="%USERPROFILE%\AppData\Local\Temp\OnboardLogs" /stypes="app*4007*20170408*" /stext=" 00:.+((SYSTEM_STATE.+slice.+state.+changed )|(ment ac)|(multiple cpu faults)|(system.+state.+changed )|(\[timeout)|(PRM\|1\|D)|(kpr)|(kdp)|(\|lc)|(penalty))"</v>
      </c>
      <c r="AG197" s="1" t="str">
        <f t="shared" si="71"/>
        <v>NW</v>
      </c>
      <c r="AH197" s="86" t="str">
        <f t="shared" si="55"/>
        <v>"%USERPROFILE%\Documents\GitHub\eaglep3\Utilities\RefineRTDCRunTimes.py" --tripid 838-07 --locoid 4007 --swversion DE.1.0.9.0 --startMP 300:58651 --initTime 2017-04-07T18:36:03 --startdatetime 2017-04-07T18:37:49 --delay 1 --endMP 204:699 --enddatetime 2017-04-07T18:56:31 --enforcementcount 0 &gt;&gt;C:\Users\stu\Documents\GitHub\eaglep3-reporting\EC\2017-04-07-refined-times.txt</v>
      </c>
      <c r="AI197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{"issue":{"subject":"","project_id":79,"tracker_id":40,"status_id":1,"priority_id":2,"assigned_to_id":23,"start_date":"2017-04-07","description":"","custom_fields":[{"id":1,"name":"Subdivision","value":"NW"},{"id":4,"name":"Milepost","value":"0.0699"},{"id":17,"name":"Train ID","value":"838-07"},{"id":16,"name":"Locomotive ID","value":"4007"},{"id":130,"name":"Impact","value":""},{"id":150,"name":"Time of Event (Mountain Time)","value":"18:56:31"},{"id":151,"name":"Denver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57"/>
        <v>start /low /b %USERPROFILE%\Documents\GitHub\eaglep3\Utilities\DownloadLogsFromS3.py --loco 4007 --day 2017-04-07</v>
      </c>
      <c r="AN197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00:56:31"},{"id":29,"name":"Sharepoint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810</v>
      </c>
      <c r="B198" s="7">
        <v>4012</v>
      </c>
      <c r="C198" s="21" t="s">
        <v>216</v>
      </c>
      <c r="D198" s="21" t="s">
        <v>975</v>
      </c>
      <c r="E198" s="13">
        <v>42832.771168981482</v>
      </c>
      <c r="F198" s="13">
        <v>42832.785775462966</v>
      </c>
      <c r="G198" s="7">
        <v>1</v>
      </c>
      <c r="H198" s="21" t="s">
        <v>976</v>
      </c>
      <c r="I198" s="13">
        <v>42832.795393518521</v>
      </c>
      <c r="J198" s="7">
        <v>0</v>
      </c>
      <c r="K198" s="97" t="str">
        <f t="shared" si="60"/>
        <v>4011/4012</v>
      </c>
      <c r="L198" s="21" t="str">
        <f>VLOOKUP(A198,'Trips&amp;Operators'!$C$1:$G$99999,5,FALSE)</f>
        <v>SMITH MICHAEL</v>
      </c>
      <c r="M198" s="6">
        <f t="shared" si="61"/>
        <v>9.6180555556202307E-3</v>
      </c>
      <c r="N198" s="7">
        <f t="shared" si="76"/>
        <v>13.850000000093132</v>
      </c>
      <c r="O198" s="7"/>
      <c r="P198" s="7"/>
      <c r="Q198" s="22"/>
      <c r="R198" s="22"/>
      <c r="S198" s="31">
        <f t="shared" si="63"/>
        <v>1</v>
      </c>
      <c r="T198" s="46" t="str">
        <f t="shared" si="64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65"/>
        <v>https://d0f6bd738d7f1b3e5a7ca70fe4ff75f0.us-east-1.aws.found.io/app/kibana#/discover/Steve-Slow-Train-Analysis-(2080s-and-2083s)?_g=(refreshInterval:(display:Off,pause:!f,section:0,value:0),time:(from:'2017-04-07T17:30:29-0600',mode:absolute,to:'2017-04-07T20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8" s="183" t="str">
        <f t="shared" si="66"/>
        <v>N</v>
      </c>
      <c r="X198" s="183">
        <f t="shared" si="78"/>
        <v>1</v>
      </c>
      <c r="Y198" s="62">
        <f t="shared" si="79"/>
        <v>9.5799999999999996E-2</v>
      </c>
      <c r="Z198" s="62">
        <f t="shared" si="77"/>
        <v>5.9001000000000001</v>
      </c>
      <c r="AA198" s="62">
        <f t="shared" si="67"/>
        <v>5.8043000000000005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8"/>
        <v>0839-07</v>
      </c>
      <c r="AE198" s="85" t="str">
        <f t="shared" si="69"/>
        <v>aws s3 cp s3://rtdc.mdm.uploadarchive.raw/RTDC4012/ "%USERPROFILE%\AppData\Local\Temp\OnboardLogs"\RTDC4012\2017-04-07 --exclude "*" --recursive --include "*20170407*" &amp; "%USERPROFILE%\Documents\GitHub\mrs-test-scripts\Headless Mode &amp; Sideloading\WalkAndUnGZ.bat" "%USERPROFILE%\AppData\Local\Temp\OnboardLogs"\RTDC4012\2017-04-07 &amp; aws s3 cp s3://rtdc.mdm.uploadarchive.raw/RTDC4012/ "%USERPROFILE%\AppData\Local\Temp\OnboardLogs"\RTDC4012\2017-04-08 --exclude "*" --recursive --include "*20170408*" &amp; "%USERPROFILE%\Documents\GitHub\mrs-test-scripts\Headless Mode &amp; Sideloading\WalkAndUnGZ.bat" "%USERPROFILE%\AppData\Local\Temp\OnboardLogs"\RTDC4012\2017-04-08</v>
      </c>
      <c r="AF198" s="82" t="str">
        <f t="shared" si="70"/>
        <v>"C:\Program Files (x86)\AstroGrep\AstroGrep.exe" /e /r /s /spath="%USERPROFILE%\AppData\Local\Temp\OnboardLogs" /stypes="app*4012*20170408*" /stext=" 01:.+((SYSTEM_STATE.+slice.+state.+changed )|(ment ac)|(multiple cpu faults)|(system.+state.+changed )|(\[timeout)|(PRM\|1\|D)|(kpr)|(kdp)|(\|lc)|(penalty))"</v>
      </c>
      <c r="AG198" s="1" t="str">
        <f t="shared" si="71"/>
        <v>NW</v>
      </c>
      <c r="AH198" s="86" t="str">
        <f t="shared" si="55"/>
        <v>"%USERPROFILE%\Documents\GitHub\eaglep3\Utilities\RefineRTDCRunTimes.py" --tripid 839-07 --locoid 4012 --swversion DE.1.0.9.0 --startMP 204:958 --initTime 2017-04-07T18:30:29 --startdatetime 2017-04-07T18:51:31 --delay 1 --endMP 300:59001 --enddatetime 2017-04-07T19:05:22 --enforcementcount 0 &gt;&gt;C:\Users\stu\Documents\GitHub\eaglep3-reporting\EC\2017-04-07-refined-times.txt</v>
      </c>
      <c r="AI198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{"issue":{"subject":"","project_id":79,"tracker_id":40,"status_id":1,"priority_id":2,"assigned_to_id":23,"start_date":"2017-04-07","description":"","custom_fields":[{"id":1,"name":"Subdivision","value":"NW"},{"id":4,"name":"Milepost","value":"5.9001"},{"id":17,"name":"Train ID","value":"839-07"},{"id":16,"name":"Locomotive ID","value":"4012"},{"id":130,"name":"Impact","value":""},{"id":150,"name":"Time of Event (Mountain Time)","value":"19:05:22"},{"id":151,"name":"Denver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57"/>
        <v>start /low /b %USERPROFILE%\Documents\GitHub\eaglep3\Utilities\DownloadLogsFromS3.py --loco 4012 --day 2017-04-07</v>
      </c>
      <c r="AN198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01:05:22"},{"id":29,"name":"Sharepoint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822</v>
      </c>
      <c r="B199" s="7">
        <v>4007</v>
      </c>
      <c r="C199" s="21" t="s">
        <v>216</v>
      </c>
      <c r="D199" s="21" t="s">
        <v>497</v>
      </c>
      <c r="E199" s="13">
        <v>42832.817002314812</v>
      </c>
      <c r="F199" s="13">
        <v>42832.818240740744</v>
      </c>
      <c r="G199" s="7">
        <v>1</v>
      </c>
      <c r="H199" s="21" t="s">
        <v>974</v>
      </c>
      <c r="I199" s="13">
        <v>42832.831979166665</v>
      </c>
      <c r="J199" s="7">
        <v>0</v>
      </c>
      <c r="K199" s="97" t="str">
        <f t="shared" si="60"/>
        <v>4007/4008</v>
      </c>
      <c r="L199" s="21" t="str">
        <f>VLOOKUP(A199,'Trips&amp;Operators'!$C$1:$G$99999,5,FALSE)</f>
        <v>SULLIVAN BRANDON</v>
      </c>
      <c r="M199" s="6">
        <f t="shared" si="61"/>
        <v>1.3738425921474118E-2</v>
      </c>
      <c r="N199" s="7">
        <f t="shared" si="76"/>
        <v>19.78333332692273</v>
      </c>
      <c r="O199" s="7"/>
      <c r="P199" s="7"/>
      <c r="Q199" s="22"/>
      <c r="R199" s="22"/>
      <c r="S199" s="31">
        <f t="shared" si="63"/>
        <v>1</v>
      </c>
      <c r="T199" s="46" t="str">
        <f t="shared" si="64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65"/>
        <v>https://d0f6bd738d7f1b3e5a7ca70fe4ff75f0.us-east-1.aws.found.io/app/kibana#/discover/Steve-Slow-Train-Analysis-(2080s-and-2083s)?_g=(refreshInterval:(display:Off,pause:!f,section:0,value:0),time:(from:'2017-04-07T18:36:29-0600',mode:absolute,to:'2017-04-07T20:58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9" s="183" t="str">
        <f t="shared" si="66"/>
        <v>N</v>
      </c>
      <c r="X199" s="183">
        <f t="shared" si="78"/>
        <v>1</v>
      </c>
      <c r="Y199" s="62">
        <f t="shared" si="79"/>
        <v>5.8638000000000003</v>
      </c>
      <c r="Z199" s="62">
        <f t="shared" si="77"/>
        <v>6.9900000000000004E-2</v>
      </c>
      <c r="AA199" s="62">
        <f t="shared" si="67"/>
        <v>5.7939000000000007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8"/>
        <v>0840-07</v>
      </c>
      <c r="AE199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199" s="82" t="str">
        <f t="shared" si="70"/>
        <v>"C:\Program Files (x86)\AstroGrep\AstroGrep.exe" /e /r /s /spath="%USERPROFILE%\AppData\Local\Temp\OnboardLogs" /stypes="app*4007*20170408*" /stext=" 01:.+((SYSTEM_STATE.+slice.+state.+changed )|(ment ac)|(multiple cpu faults)|(system.+state.+changed )|(\[timeout)|(PRM\|1\|D)|(kpr)|(kdp)|(\|lc)|(penalty))"</v>
      </c>
      <c r="AG199" s="1" t="str">
        <f t="shared" si="71"/>
        <v>NW</v>
      </c>
      <c r="AH199" s="86" t="str">
        <f t="shared" si="55"/>
        <v>"%USERPROFILE%\Documents\GitHub\eaglep3\Utilities\RefineRTDCRunTimes.py" --tripid 840-07 --locoid 4007 --swversion DE.1.0.9.0 --startMP 300:58638 --initTime 2017-04-07T19:36:29 --startdatetime 2017-04-07T19:38:16 --delay 1 --endMP 204:699 --enddatetime 2017-04-07T19:58:03 --enforcementcount 0 &gt;&gt;C:\Users\stu\Documents\GitHub\eaglep3-reporting\EC\2017-04-07-refined-times.txt</v>
      </c>
      <c r="AI199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{"issue":{"subject":"","project_id":79,"tracker_id":40,"status_id":1,"priority_id":2,"assigned_to_id":23,"start_date":"2017-04-07","description":"","custom_fields":[{"id":1,"name":"Subdivision","value":"NW"},{"id":4,"name":"Milepost","value":"0.0699"},{"id":17,"name":"Train ID","value":"840-07"},{"id":16,"name":"Locomotive ID","value":"4007"},{"id":130,"name":"Impact","value":""},{"id":150,"name":"Time of Event (Mountain Time)","value":"19:58:03"},{"id":151,"name":"Denver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57"/>
        <v>start /low /b %USERPROFILE%\Documents\GitHub\eaglep3\Utilities\DownloadLogsFromS3.py --loco 4007 --day 2017-04-07</v>
      </c>
      <c r="AN199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01:58:03"},{"id":29,"name":"Sharepoint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815</v>
      </c>
      <c r="B200" s="7">
        <v>4008</v>
      </c>
      <c r="C200" s="21" t="s">
        <v>216</v>
      </c>
      <c r="D200" s="21" t="s">
        <v>543</v>
      </c>
      <c r="E200" s="13">
        <v>42832.796643518515</v>
      </c>
      <c r="F200" s="13">
        <v>42832.806504629632</v>
      </c>
      <c r="G200" s="7">
        <v>1</v>
      </c>
      <c r="H200" s="21" t="s">
        <v>977</v>
      </c>
      <c r="I200" s="13">
        <v>42832.816319444442</v>
      </c>
      <c r="J200" s="7">
        <v>0</v>
      </c>
      <c r="K200" s="97" t="str">
        <f t="shared" si="60"/>
        <v>4007/4008</v>
      </c>
      <c r="L200" s="21" t="str">
        <f>VLOOKUP(A200,'Trips&amp;Operators'!$C$1:$G$99999,5,FALSE)</f>
        <v>SULLIVAN BRANDON</v>
      </c>
      <c r="M200" s="6">
        <f t="shared" si="61"/>
        <v>9.814814809942618E-3</v>
      </c>
      <c r="N200" s="7">
        <f t="shared" si="76"/>
        <v>14.13333332631737</v>
      </c>
      <c r="O200" s="7"/>
      <c r="P200" s="7"/>
      <c r="Q200" s="22"/>
      <c r="R200" s="22"/>
      <c r="S200" s="31">
        <f t="shared" si="63"/>
        <v>1</v>
      </c>
      <c r="T200" s="46" t="str">
        <f t="shared" si="64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65"/>
        <v>https://d0f6bd738d7f1b3e5a7ca70fe4ff75f0.us-east-1.aws.found.io/app/kibana#/discover/Steve-Slow-Train-Analysis-(2080s-and-2083s)?_g=(refreshInterval:(display:Off,pause:!f,section:0,value:0),time:(from:'2017-04-07T18:07:10-0600',mode:absolute,to:'2017-04-07T20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0" s="183" t="str">
        <f t="shared" si="66"/>
        <v>N</v>
      </c>
      <c r="X200" s="183">
        <f t="shared" si="78"/>
        <v>1</v>
      </c>
      <c r="Y200" s="62">
        <f t="shared" si="79"/>
        <v>9.7600000000000006E-2</v>
      </c>
      <c r="Z200" s="62">
        <f t="shared" si="77"/>
        <v>5.8949999999999996</v>
      </c>
      <c r="AA200" s="62">
        <f t="shared" si="67"/>
        <v>5.7973999999999997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8"/>
        <v>0841-07</v>
      </c>
      <c r="AE200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200" s="82" t="str">
        <f t="shared" si="70"/>
        <v>"C:\Program Files (x86)\AstroGrep\AstroGrep.exe" /e /r /s /spath="%USERPROFILE%\AppData\Local\Temp\OnboardLogs" /stypes="app*4008*20170408*" /stext=" 01:.+((SYSTEM_STATE.+slice.+state.+changed )|(ment ac)|(multiple cpu faults)|(system.+state.+changed )|(\[timeout)|(PRM\|1\|D)|(kpr)|(kdp)|(\|lc)|(penalty))"</v>
      </c>
      <c r="AG200" s="1" t="str">
        <f t="shared" si="71"/>
        <v>NW</v>
      </c>
      <c r="AH200" s="86" t="str">
        <f t="shared" si="55"/>
        <v>"%USERPROFILE%\Documents\GitHub\eaglep3\Utilities\RefineRTDCRunTimes.py" --tripid 841-07 --locoid 4008 --swversion DE.1.0.9.0 --startMP 204:976 --initTime 2017-04-07T19:07:10 --startdatetime 2017-04-07T19:21:22 --delay 1 --endMP 300:58950 --enddatetime 2017-04-07T19:35:30 --enforcementcount 0 &gt;&gt;C:\Users\stu\Documents\GitHub\eaglep3-reporting\EC\2017-04-07-refined-times.txt</v>
      </c>
      <c r="AI200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{"issue":{"subject":"","project_id":79,"tracker_id":40,"status_id":1,"priority_id":2,"assigned_to_id":23,"start_date":"2017-04-07","description":"","custom_fields":[{"id":1,"name":"Subdivision","value":"NW"},{"id":4,"name":"Milepost","value":"5.895"},{"id":17,"name":"Train ID","value":"841-07"},{"id":16,"name":"Locomotive ID","value":"4008"},{"id":130,"name":"Impact","value":""},{"id":150,"name":"Time of Event (Mountain Time)","value":"19:35:30"},{"id":151,"name":"Denver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57"/>
        <v>start /low /b %USERPROFILE%\Documents\GitHub\eaglep3\Utilities\DownloadLogsFromS3.py --loco 4008 --day 2017-04-07</v>
      </c>
      <c r="AN200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01:35:30"},{"id":29,"name":"Sharepoint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829</v>
      </c>
      <c r="B201" s="7">
        <v>4007</v>
      </c>
      <c r="C201" s="21" t="s">
        <v>216</v>
      </c>
      <c r="D201" s="21" t="s">
        <v>500</v>
      </c>
      <c r="E201" s="13">
        <v>42832.858969907407</v>
      </c>
      <c r="F201" s="13">
        <v>42832.860208333332</v>
      </c>
      <c r="G201" s="7">
        <v>1</v>
      </c>
      <c r="H201" s="21" t="s">
        <v>978</v>
      </c>
      <c r="I201" s="13">
        <v>42832.87195601852</v>
      </c>
      <c r="J201" s="7">
        <v>0</v>
      </c>
      <c r="K201" s="97" t="str">
        <f t="shared" si="60"/>
        <v>4007/4008</v>
      </c>
      <c r="L201" s="21" t="str">
        <f>VLOOKUP(A201,'Trips&amp;Operators'!$C$1:$G$99999,5,FALSE)</f>
        <v>SULLIVAN BRANDON</v>
      </c>
      <c r="M201" s="6">
        <f t="shared" si="61"/>
        <v>1.1747685188311152E-2</v>
      </c>
      <c r="N201" s="7">
        <f t="shared" si="76"/>
        <v>16.916666671168059</v>
      </c>
      <c r="O201" s="7"/>
      <c r="P201" s="7"/>
      <c r="Q201" s="22"/>
      <c r="R201" s="22"/>
      <c r="S201" s="31">
        <f t="shared" si="63"/>
        <v>1</v>
      </c>
      <c r="T201" s="46" t="str">
        <f t="shared" si="64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65"/>
        <v>https://d0f6bd738d7f1b3e5a7ca70fe4ff75f0.us-east-1.aws.found.io/app/kibana#/discover/Steve-Slow-Train-Analysis-(2080s-and-2083s)?_g=(refreshInterval:(display:Off,pause:!f,section:0,value:0),time:(from:'2017-04-07T19:36:55-0600',mode:absolute,to:'2017-04-07T21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1" s="183" t="str">
        <f t="shared" si="66"/>
        <v>N</v>
      </c>
      <c r="X201" s="183">
        <f t="shared" si="78"/>
        <v>1</v>
      </c>
      <c r="Y201" s="62">
        <f t="shared" si="79"/>
        <v>5.8620999999999999</v>
      </c>
      <c r="Z201" s="62">
        <f t="shared" si="77"/>
        <v>7.1499999999999994E-2</v>
      </c>
      <c r="AA201" s="62">
        <f t="shared" si="67"/>
        <v>5.7905999999999995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8"/>
        <v>0842-07</v>
      </c>
      <c r="AE201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201" s="82" t="str">
        <f t="shared" si="70"/>
        <v>"C:\Program Files (x86)\AstroGrep\AstroGrep.exe" /e /r /s /spath="%USERPROFILE%\AppData\Local\Temp\OnboardLogs" /stypes="app*4007*20170408*" /stext=" 02:.+((SYSTEM_STATE.+slice.+state.+changed )|(ment ac)|(multiple cpu faults)|(system.+state.+changed )|(\[timeout)|(PRM\|1\|D)|(kpr)|(kdp)|(\|lc)|(penalty))"</v>
      </c>
      <c r="AG201" s="1" t="str">
        <f t="shared" si="71"/>
        <v>NW</v>
      </c>
      <c r="AH201" s="86" t="str">
        <f t="shared" si="55"/>
        <v>"%USERPROFILE%\Documents\GitHub\eaglep3\Utilities\RefineRTDCRunTimes.py" --tripid 842-07 --locoid 4007 --swversion DE.1.0.9.0 --startMP 300:58621 --initTime 2017-04-07T20:36:55 --startdatetime 2017-04-07T20:38:42 --delay 1 --endMP 204:715 --enddatetime 2017-04-07T20:55:37 --enforcementcount 0 &gt;&gt;C:\Users\stu\Documents\GitHub\eaglep3-reporting\EC\2017-04-07-refined-times.txt</v>
      </c>
      <c r="AI201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{"issue":{"subject":"","project_id":79,"tracker_id":40,"status_id":1,"priority_id":2,"assigned_to_id":23,"start_date":"2017-04-07","description":"","custom_fields":[{"id":1,"name":"Subdivision","value":"NW"},{"id":4,"name":"Milepost","value":"0.0715"},{"id":17,"name":"Train ID","value":"842-07"},{"id":16,"name":"Locomotive ID","value":"4007"},{"id":130,"name":"Impact","value":""},{"id":150,"name":"Time of Event (Mountain Time)","value":"20:55:37"},{"id":151,"name":"Denver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57"/>
        <v>start /low /b %USERPROFILE%\Documents\GitHub\eaglep3\Utilities\DownloadLogsFromS3.py --loco 4007 --day 2017-04-07</v>
      </c>
      <c r="AN201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02:55:37"},{"id":29,"name":"Sharepoint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826</v>
      </c>
      <c r="B202" s="7">
        <v>4008</v>
      </c>
      <c r="C202" s="21" t="s">
        <v>216</v>
      </c>
      <c r="D202" s="21" t="s">
        <v>546</v>
      </c>
      <c r="E202" s="13">
        <v>42832.842650462961</v>
      </c>
      <c r="F202" s="13">
        <v>42832.84820601852</v>
      </c>
      <c r="G202" s="7">
        <v>1</v>
      </c>
      <c r="H202" s="21" t="s">
        <v>979</v>
      </c>
      <c r="I202" s="13">
        <v>42832.858240740738</v>
      </c>
      <c r="J202" s="7">
        <v>0</v>
      </c>
      <c r="K202" s="97" t="str">
        <f t="shared" si="60"/>
        <v>4007/4008</v>
      </c>
      <c r="L202" s="21" t="str">
        <f>VLOOKUP(A202,'Trips&amp;Operators'!$C$1:$G$99999,5,FALSE)</f>
        <v>SULLIVAN BRANDON</v>
      </c>
      <c r="M202" s="6">
        <f t="shared" si="61"/>
        <v>1.003472221782431E-2</v>
      </c>
      <c r="N202" s="7">
        <f t="shared" si="76"/>
        <v>14.449999993667006</v>
      </c>
      <c r="O202" s="7"/>
      <c r="P202" s="7"/>
      <c r="Q202" s="22"/>
      <c r="R202" s="22"/>
      <c r="S202" s="31">
        <f t="shared" si="63"/>
        <v>1</v>
      </c>
      <c r="T202" s="46" t="str">
        <f t="shared" si="64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65"/>
        <v>https://d0f6bd738d7f1b3e5a7ca70fe4ff75f0.us-east-1.aws.found.io/app/kibana#/discover/Steve-Slow-Train-Analysis-(2080s-and-2083s)?_g=(refreshInterval:(display:Off,pause:!f,section:0,value:0),time:(from:'2017-04-07T19:13:25-0600',mode:absolute,to:'2017-04-07T21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2" s="183" t="str">
        <f t="shared" si="66"/>
        <v>N</v>
      </c>
      <c r="X202" s="183">
        <f t="shared" si="78"/>
        <v>1</v>
      </c>
      <c r="Y202" s="62">
        <f t="shared" si="79"/>
        <v>9.7799999999999998E-2</v>
      </c>
      <c r="Z202" s="62">
        <f t="shared" si="77"/>
        <v>5.8939000000000004</v>
      </c>
      <c r="AA202" s="62">
        <f t="shared" si="67"/>
        <v>5.7961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8"/>
        <v>0843-07</v>
      </c>
      <c r="AE202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202" s="82" t="str">
        <f t="shared" si="70"/>
        <v>"C:\Program Files (x86)\AstroGrep\AstroGrep.exe" /e /r /s /spath="%USERPROFILE%\AppData\Local\Temp\OnboardLogs" /stypes="app*4008*20170408*" /stext=" 02:.+((SYSTEM_STATE.+slice.+state.+changed )|(ment ac)|(multiple cpu faults)|(system.+state.+changed )|(\[timeout)|(PRM\|1\|D)|(kpr)|(kdp)|(\|lc)|(penalty))"</v>
      </c>
      <c r="AG202" s="1" t="str">
        <f t="shared" si="71"/>
        <v>NW</v>
      </c>
      <c r="AH202" s="86" t="str">
        <f t="shared" si="55"/>
        <v>"%USERPROFILE%\Documents\GitHub\eaglep3\Utilities\RefineRTDCRunTimes.py" --tripid 843-07 --locoid 4008 --swversion DE.1.0.9.0 --startMP 204:978 --initTime 2017-04-07T20:13:25 --startdatetime 2017-04-07T20:21:25 --delay 1 --endMP 300:58939 --enddatetime 2017-04-07T20:35:52 --enforcementcount 0 &gt;&gt;C:\Users\stu\Documents\GitHub\eaglep3-reporting\EC\2017-04-07-refined-times.txt</v>
      </c>
      <c r="AI202" s="104" t="str">
        <f t="shared" si="56"/>
        <v>echo {"issue":{"subject":"","project_id":79,"tracker_id":40,"status_id":1,"priority_id":2,"assigned_to_id":23,"start_date":"2017-04-07","description":"","custom_fields":[{"id":1,"name":"Subdivision","value":"NW"},{"id":4,"name":"Milepost","value":"5.8939"},{"id":17,"name":"Train ID","value":"843-07"},{"id":16,"name":"Locomotive ID","value":"4008"},{"id":130,"name":"Impact","value":""},{"id":150,"name":"Time of Event (Mountain Time)","value":"20:35:52"},{"id":151,"name":"Denver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57"/>
        <v>start /low /b %USERPROFILE%\Documents\GitHub\eaglep3\Utilities\DownloadLogsFromS3.py --loco 4008 --day 2017-04-07</v>
      </c>
      <c r="AN202" s="159" t="str">
        <f t="shared" si="58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02:35:52"},{"id":29,"name":"Sharepoint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s="20" customFormat="1" x14ac:dyDescent="0.25">
      <c r="A203" s="33" t="s">
        <v>831</v>
      </c>
      <c r="B203" s="7">
        <v>4007</v>
      </c>
      <c r="C203" s="21" t="s">
        <v>216</v>
      </c>
      <c r="D203" s="21" t="s">
        <v>980</v>
      </c>
      <c r="E203" s="13">
        <v>42832.900277777779</v>
      </c>
      <c r="F203" s="13">
        <v>42832.901736111111</v>
      </c>
      <c r="G203" s="7">
        <v>1</v>
      </c>
      <c r="H203" s="21" t="s">
        <v>981</v>
      </c>
      <c r="I203" s="13">
        <v>42832.913113425922</v>
      </c>
      <c r="J203" s="7">
        <v>0</v>
      </c>
      <c r="K203" s="97" t="str">
        <f t="shared" si="60"/>
        <v>4007/4008</v>
      </c>
      <c r="L203" s="21" t="str">
        <f>VLOOKUP(A203,'Trips&amp;Operators'!$C$1:$G$99999,5,FALSE)</f>
        <v>MACDONALD THOMAS</v>
      </c>
      <c r="M203" s="6">
        <f t="shared" si="61"/>
        <v>1.137731481139781E-2</v>
      </c>
      <c r="N203" s="7">
        <f t="shared" si="76"/>
        <v>16.383333328412846</v>
      </c>
      <c r="O203" s="7"/>
      <c r="P203" s="7"/>
      <c r="Q203" s="22"/>
      <c r="R203" s="22"/>
      <c r="S203" s="31">
        <f t="shared" si="63"/>
        <v>1</v>
      </c>
      <c r="T203" s="46" t="str">
        <f t="shared" si="64"/>
        <v>Southbound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65"/>
        <v>https://d0f6bd738d7f1b3e5a7ca70fe4ff75f0.us-east-1.aws.found.io/app/kibana#/discover/Steve-Slow-Train-Analysis-(2080s-and-2083s)?_g=(refreshInterval:(display:Off,pause:!f,section:0,value:0),time:(from:'2017-04-07T20:36:24-0600',mode:absolute,to:'2017-04-07T22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3" s="183" t="str">
        <f t="shared" si="66"/>
        <v>N</v>
      </c>
      <c r="X203" s="183">
        <f t="shared" si="78"/>
        <v>1</v>
      </c>
      <c r="Y203" s="62">
        <f t="shared" si="79"/>
        <v>5.8707000000000003</v>
      </c>
      <c r="Z203" s="62">
        <f t="shared" si="77"/>
        <v>6.7000000000000004E-2</v>
      </c>
      <c r="AA203" s="62">
        <f t="shared" si="67"/>
        <v>5.8037000000000001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8"/>
        <v>0844-07</v>
      </c>
      <c r="AE203" s="85" t="str">
        <f t="shared" si="69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203" s="82" t="str">
        <f t="shared" si="70"/>
        <v>"C:\Program Files (x86)\AstroGrep\AstroGrep.exe" /e /r /s /spath="%USERPROFILE%\AppData\Local\Temp\OnboardLogs" /stypes="app*4007*20170408*" /stext=" 03:.+((SYSTEM_STATE.+slice.+state.+changed )|(ment ac)|(multiple cpu faults)|(system.+state.+changed )|(\[timeout)|(PRM\|1\|D)|(kpr)|(kdp)|(\|lc)|(penalty))"</v>
      </c>
      <c r="AG203" s="1" t="str">
        <f t="shared" si="71"/>
        <v>NW</v>
      </c>
      <c r="AH203" s="86" t="str">
        <f t="shared" ref="AH203:AH229" si="80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844-07 --locoid 4007 --swversion DE.1.0.9.0 --startMP 300:58707 --initTime 2017-04-07T21:36:24 --startdatetime 2017-04-07T21:38:30 --delay 1 --endMP 204:670 --enddatetime 2017-04-07T21:54:53 --enforcementcount 0 &gt;&gt;C:\Users\stu\Documents\GitHub\eaglep3-reporting\EC\2017-04-07-refined-times.txt</v>
      </c>
      <c r="AI203" s="104" t="str">
        <f t="shared" ref="AI203:AI229" si="81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{"issue":{"subject":"","project_id":79,"tracker_id":40,"status_id":1,"priority_id":2,"assigned_to_id":23,"start_date":"2017-04-07","description":"","custom_fields":[{"id":1,"name":"Subdivision","value":"NW"},{"id":4,"name":"Milepost","value":"0.067"},{"id":17,"name":"Train ID","value":"844-07"},{"id":16,"name":"Locomotive ID","value":"4007"},{"id":130,"name":"Impact","value":""},{"id":150,"name":"Time of Event (Mountain Time)","value":"21:54:53"},{"id":151,"name":"Denver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8"/>
      <c r="AL203" s="48"/>
      <c r="AM203" s="150" t="str">
        <f t="shared" ref="AM203:AM229" si="82">"start /low /b "&amp;dls3logs&amp;" --loco "&amp;B203&amp;" --day "&amp;TEXT(F203,"YYYY-MM-DD")</f>
        <v>start /low /b %USERPROFILE%\Documents\GitHub\eaglep3\Utilities\DownloadLogsFromS3.py --loco 4007 --day 2017-04-07</v>
      </c>
      <c r="AN203" s="159" t="str">
        <f t="shared" ref="AN203:AN229" si="83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651</v>
      </c>
      <c r="B204" s="7">
        <v>4008</v>
      </c>
      <c r="C204" s="21" t="s">
        <v>216</v>
      </c>
      <c r="D204" s="21" t="s">
        <v>982</v>
      </c>
      <c r="E204" s="13">
        <v>42832.882349537038</v>
      </c>
      <c r="F204" s="13">
        <v>42832.889837962961</v>
      </c>
      <c r="G204" s="7">
        <v>1</v>
      </c>
      <c r="H204" s="21" t="s">
        <v>983</v>
      </c>
      <c r="I204" s="13">
        <v>42832.89947916667</v>
      </c>
      <c r="J204" s="7">
        <v>0</v>
      </c>
      <c r="K204" s="97" t="str">
        <f t="shared" si="60"/>
        <v>4007/4008</v>
      </c>
      <c r="L204" s="21" t="str">
        <f>VLOOKUP(A204,'Trips&amp;Operators'!$C$1:$G$99999,5,FALSE)</f>
        <v>SMITH MICHAEL</v>
      </c>
      <c r="M204" s="6">
        <f t="shared" si="61"/>
        <v>9.6412037091795355E-3</v>
      </c>
      <c r="N204" s="7">
        <f t="shared" si="76"/>
        <v>13.883333341218531</v>
      </c>
      <c r="O204" s="7"/>
      <c r="P204" s="7"/>
      <c r="Q204" s="22"/>
      <c r="R204" s="22"/>
      <c r="S204" s="31">
        <f t="shared" si="63"/>
        <v>1</v>
      </c>
      <c r="T204" s="46" t="str">
        <f t="shared" si="64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65"/>
        <v>https://d0f6bd738d7f1b3e5a7ca70fe4ff75f0.us-east-1.aws.found.io/app/kibana#/discover/Steve-Slow-Train-Analysis-(2080s-and-2083s)?_g=(refreshInterval:(display:Off,pause:!f,section:0,value:0),time:(from:'2017-04-07T20:10:35-0600',mode:absolute,to:'2017-04-07T22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4" s="183" t="str">
        <f t="shared" si="66"/>
        <v>N</v>
      </c>
      <c r="X204" s="183">
        <f t="shared" ref="X204:X207" si="84">VALUE(LEFT(AD204,4))-VALUE(LEFT(AD203,4))</f>
        <v>1</v>
      </c>
      <c r="Y204" s="62">
        <f t="shared" si="79"/>
        <v>9.9199999999999997E-2</v>
      </c>
      <c r="Z204" s="62">
        <f t="shared" si="77"/>
        <v>5.8070000000000004</v>
      </c>
      <c r="AA204" s="62">
        <f t="shared" si="67"/>
        <v>5.7078000000000007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8"/>
        <v>0845-07</v>
      </c>
      <c r="AE204" s="85" t="str">
        <f t="shared" si="69"/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204" s="82" t="str">
        <f t="shared" si="70"/>
        <v>"C:\Program Files (x86)\AstroGrep\AstroGrep.exe" /e /r /s /spath="%USERPROFILE%\AppData\Local\Temp\OnboardLogs" /stypes="app*4008*20170408*" /stext=" 03:.+((SYSTEM_STATE.+slice.+state.+changed )|(ment ac)|(multiple cpu faults)|(system.+state.+changed )|(\[timeout)|(PRM\|1\|D)|(kpr)|(kdp)|(\|lc)|(penalty))"</v>
      </c>
      <c r="AG204" s="1" t="str">
        <f t="shared" si="71"/>
        <v>NW</v>
      </c>
      <c r="AH204" s="86" t="str">
        <f t="shared" si="80"/>
        <v>"%USERPROFILE%\Documents\GitHub\eaglep3\Utilities\RefineRTDCRunTimes.py" --tripid 845-07 --locoid 4008 --swversion DE.1.0.9.0 --startMP 204:992 --initTime 2017-04-07T21:10:35 --startdatetime 2017-04-07T21:21:22 --delay 1 --endMP 300:58070 --enddatetime 2017-04-07T21:35:15 --enforcementcount 0 &gt;&gt;C:\Users\stu\Documents\GitHub\eaglep3-reporting\EC\2017-04-07-refined-times.txt</v>
      </c>
      <c r="AI204" s="104" t="str">
        <f t="shared" si="81"/>
        <v>echo {"issue":{"subject":"","project_id":79,"tracker_id":40,"status_id":1,"priority_id":2,"assigned_to_id":23,"start_date":"2017-04-07","description":"","custom_fields":[{"id":1,"name":"Subdivision","value":"NW"},{"id":4,"name":"Milepost","value":"5.807"},{"id":17,"name":"Train ID","value":"845-07"},{"id":16,"name":"Locomotive ID","value":"4008"},{"id":130,"name":"Impact","value":""},{"id":150,"name":"Time of Event (Mountain Time)","value":"21:35:15"},{"id":151,"name":"Denver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82"/>
        <v>start /low /b %USERPROFILE%\Documents\GitHub\eaglep3\Utilities\DownloadLogsFromS3.py --loco 4008 --day 2017-04-07</v>
      </c>
      <c r="AN204" s="159" t="str">
        <f t="shared" si="83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03:35:15"},{"id":29,"name":"Sharepoint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836</v>
      </c>
      <c r="B205" s="7">
        <v>4008</v>
      </c>
      <c r="C205" s="21" t="s">
        <v>216</v>
      </c>
      <c r="D205" s="21" t="s">
        <v>609</v>
      </c>
      <c r="E205" s="13">
        <v>42832.914930555555</v>
      </c>
      <c r="F205" s="13">
        <v>42832.931435185186</v>
      </c>
      <c r="G205" s="7">
        <v>1</v>
      </c>
      <c r="H205" s="21" t="s">
        <v>958</v>
      </c>
      <c r="I205" s="13">
        <v>42832.943090277775</v>
      </c>
      <c r="J205" s="7">
        <v>0</v>
      </c>
      <c r="K205" s="97" t="str">
        <f t="shared" ref="K205:K229" si="85">IF(ISEVEN(B205),(B205-1)&amp;"/"&amp;B205,B205&amp;"/"&amp;(B205+1))</f>
        <v>4007/4008</v>
      </c>
      <c r="L205" s="21" t="str">
        <f>VLOOKUP(A205,'Trips&amp;Operators'!$C$1:$G$99999,5,FALSE)</f>
        <v>SMITH MICHAEL</v>
      </c>
      <c r="M205" s="6">
        <f t="shared" ref="M205:M229" si="86">I205-F205</f>
        <v>1.1655092588625848E-2</v>
      </c>
      <c r="N205" s="7">
        <f t="shared" si="76"/>
        <v>16.783333327621222</v>
      </c>
      <c r="O205" s="7"/>
      <c r="P205" s="7"/>
      <c r="Q205" s="22"/>
      <c r="R205" s="22"/>
      <c r="S205" s="31">
        <f t="shared" ref="S205:S229" si="87">SUM(U205:U205)/IF(AG205="EC",12,1)</f>
        <v>1</v>
      </c>
      <c r="T205" s="46" t="str">
        <f t="shared" ref="T205:T229" si="88"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29" si="8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-07T20:57:30-0600',mode:absolute,to:'2017-04-07T23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5" s="183" t="str">
        <f t="shared" ref="W205:W229" si="90">IF(AA205&lt;IF(AG205="EC",23,5.65),"Y","N")</f>
        <v>N</v>
      </c>
      <c r="X205" s="183">
        <f t="shared" si="84"/>
        <v>2</v>
      </c>
      <c r="Y205" s="62">
        <f t="shared" si="79"/>
        <v>9.7100000000000006E-2</v>
      </c>
      <c r="Z205" s="62">
        <f t="shared" si="77"/>
        <v>5.8986000000000001</v>
      </c>
      <c r="AA205" s="62">
        <f t="shared" ref="AA205:AA229" si="91">ABS(Z205-Y205)</f>
        <v>5.8014999999999999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29" si="92">IF(LEN(A205)=6,"0"&amp;A205,A205)</f>
        <v>0847-07</v>
      </c>
      <c r="AE205" s="85" t="str">
        <f t="shared" ref="AE205:AE229" si="9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AF205" s="82" t="str">
        <f t="shared" ref="AF205:AF229" si="9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/stypes="app*4008*20170408*" /stext=" 04:.+((SYSTEM_STATE.+slice.+state.+changed )|(ment ac)|(multiple cpu faults)|(system.+state.+changed )|(\[timeout)|(PRM\|1\|D)|(kpr)|(kdp)|(\|lc)|(penalty))"</v>
      </c>
      <c r="AG205" s="1" t="str">
        <f t="shared" ref="AG205:AG229" si="95">IFERROR(IF(VALUE(LEFT(AD205,2))&lt;=2,"EC",IF(OR(VALUE(LEFT(AD205,2))=8,VALUE(LEFT(AD205,2))=18),"NW","Other")),"Other")</f>
        <v>NW</v>
      </c>
      <c r="AH205" s="86" t="str">
        <f t="shared" si="80"/>
        <v>"%USERPROFILE%\Documents\GitHub\eaglep3\Utilities\RefineRTDCRunTimes.py" --tripid 847-07 --locoid 4008 --swversion DE.1.0.9.0 --startMP 204:971 --initTime 2017-04-07T21:57:30 --startdatetime 2017-04-07T22:21:16 --delay 1 --endMP 300:58986 --enddatetime 2017-04-07T22:38:03 --enforcementcount 0 &gt;&gt;C:\Users\stu\Documents\GitHub\eaglep3-reporting\EC\2017-04-07-refined-times.txt</v>
      </c>
      <c r="AI205" s="104" t="str">
        <f t="shared" si="81"/>
        <v>echo {"issue":{"subject":"","project_id":79,"tracker_id":40,"status_id":1,"priority_id":2,"assigned_to_id":23,"start_date":"2017-04-07","description":"","custom_fields":[{"id":1,"name":"Subdivision","value":"NW"},{"id":4,"name":"Milepost","value":"5.8986"},{"id":17,"name":"Train ID","value":"847-07"},{"id":16,"name":"Locomotive ID","value":"4008"},{"id":130,"name":"Impact","value":""},{"id":150,"name":"Time of Event (Mountain Time)","value":"22:38:03"},{"id":151,"name":"Denver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82"/>
        <v>start /low /b %USERPROFILE%\Documents\GitHub\eaglep3\Utilities\DownloadLogsFromS3.py --loco 4008 --day 2017-04-07</v>
      </c>
      <c r="AN205" s="159" t="str">
        <f t="shared" si="83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04:38:03"},{"id":29,"name":"Sharepoint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654</v>
      </c>
      <c r="B206" s="7">
        <v>4021</v>
      </c>
      <c r="C206" s="21" t="s">
        <v>216</v>
      </c>
      <c r="D206" s="21" t="s">
        <v>923</v>
      </c>
      <c r="E206" s="13">
        <v>42832.115358796298</v>
      </c>
      <c r="F206" s="13">
        <v>42832.119502314818</v>
      </c>
      <c r="G206" s="7">
        <v>5</v>
      </c>
      <c r="H206" s="21" t="s">
        <v>409</v>
      </c>
      <c r="I206" s="13">
        <v>42832.126967592594</v>
      </c>
      <c r="J206" s="7">
        <v>0</v>
      </c>
      <c r="K206" s="97" t="str">
        <f t="shared" si="85"/>
        <v>4021/4022</v>
      </c>
      <c r="L206" s="21" t="str">
        <f>VLOOKUP(A206,'Trips&amp;Operators'!$C$1:$G$99999,5,FALSE)</f>
        <v>BADERTSCHER DIANE</v>
      </c>
      <c r="M206" s="6">
        <f t="shared" si="86"/>
        <v>7.4652777766459621E-3</v>
      </c>
      <c r="N206" s="7">
        <f t="shared" si="76"/>
        <v>10.749999998370185</v>
      </c>
      <c r="O206" s="7"/>
      <c r="P206" s="7"/>
      <c r="Q206" s="22"/>
      <c r="R206" s="22"/>
      <c r="S206" s="31">
        <f t="shared" si="87"/>
        <v>1</v>
      </c>
      <c r="T206" s="46" t="str">
        <f t="shared" si="88"/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89"/>
        <v>https://d0f6bd738d7f1b3e5a7ca70fe4ff75f0.us-east-1.aws.found.io/app/kibana#/discover/Steve-Slow-Train-Analysis-(2080s-and-2083s)?_g=(refreshInterval:(display:Off,pause:!f,section:0,value:0),time:(from:'2017-04-07T01:46:07-0600',mode:absolute,to:'2017-04-07T04:02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6" s="183" t="str">
        <f t="shared" si="90"/>
        <v>Y</v>
      </c>
      <c r="X206" s="183">
        <f t="shared" si="84"/>
        <v>-545</v>
      </c>
      <c r="Y206" s="62">
        <f t="shared" si="79"/>
        <v>2.2887</v>
      </c>
      <c r="Z206" s="62">
        <f t="shared" si="77"/>
        <v>1.41E-2</v>
      </c>
      <c r="AA206" s="62">
        <f t="shared" si="91"/>
        <v>2.2746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2"/>
        <v>0302-07</v>
      </c>
      <c r="AE206" s="85" t="str">
        <f t="shared" si="93"/>
        <v>aws s3 cp s3://rtdc.mdm.uploadarchive.raw/RTDC4021/ "%USERPROFILE%\AppData\Local\Temp\OnboardLogs"\RTDC4021\2017-04-07 --exclude "*" --recursive --include "*20170407*" &amp; "%USERPROFILE%\Documents\GitHub\mrs-test-scripts\Headless Mode &amp; Sideloading\WalkAndUnGZ.bat" "%USERPROFILE%\AppData\Local\Temp\OnboardLogs"\RTDC4021\2017-04-07 &amp; 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</v>
      </c>
      <c r="AF206" s="82" t="str">
        <f t="shared" si="94"/>
        <v>"C:\Program Files (x86)\AstroGrep\AstroGrep.exe" /e /r /s /spath="%USERPROFILE%\AppData\Local\Temp\OnboardLogs" /stypes="app*4021*20170407*" /stext=" 09:.+((SYSTEM_STATE.+slice.+state.+changed )|(ment ac)|(multiple cpu faults)|(system.+state.+changed )|(\[timeout)|(PRM\|1\|D)|(kpr)|(kdp)|(\|lc)|(penalty))"</v>
      </c>
      <c r="AG206" s="1" t="str">
        <f t="shared" si="95"/>
        <v>Other</v>
      </c>
      <c r="AH206" s="86" t="str">
        <f t="shared" si="80"/>
        <v>"%USERPROFILE%\Documents\GitHub\eaglep3\Utilities\RefineRTDCRunTimes.py" --tripid 302-07 --locoid 4021 --swversion DE.1.0.9.0 --startMP 300:22887 --initTime 2017-04-07T02:46:07 --startdatetime 2017-04-07T02:52:05 --delay 5 --endMP 204:141 --enddatetime 2017-04-07T03:02:50 --enforcementcount 0 &gt;&gt;C:\Users\stu\Documents\GitHub\eaglep3-reporting\EC\2017-04-07-refined-times.txt</v>
      </c>
      <c r="AI206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{"issue":{"subject":"","project_id":79,"tracker_id":40,"status_id":1,"priority_id":2,"assigned_to_id":23,"start_date":"2017-04-07","description":"","custom_fields":[{"id":1,"name":"Subdivision","value":"Other"},{"id":4,"name":"Milepost","value":"0.0141"},{"id":17,"name":"Train ID","value":"302-07"},{"id":16,"name":"Locomotive ID","value":"4021"},{"id":130,"name":"Impact","value":""},{"id":150,"name":"Time of Event (Mountain Time)","value":"03:02:50"},{"id":151,"name":"Denver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82"/>
        <v>start /low /b %USERPROFILE%\Documents\GitHub\eaglep3\Utilities\DownloadLogsFromS3.py --loco 4021 --day 2017-04-07</v>
      </c>
      <c r="AN206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09:02:50"},{"id":29,"name":"Sharepoint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657</v>
      </c>
      <c r="B207" s="7">
        <v>4013</v>
      </c>
      <c r="C207" s="21" t="s">
        <v>216</v>
      </c>
      <c r="D207" s="21" t="s">
        <v>924</v>
      </c>
      <c r="E207" s="13">
        <v>42832.138738425929</v>
      </c>
      <c r="F207" s="13">
        <v>42832.141377314816</v>
      </c>
      <c r="G207" s="7">
        <v>3</v>
      </c>
      <c r="H207" s="21" t="s">
        <v>411</v>
      </c>
      <c r="I207" s="13">
        <v>42832.147048611114</v>
      </c>
      <c r="J207" s="7">
        <v>0</v>
      </c>
      <c r="K207" s="97" t="str">
        <f t="shared" si="85"/>
        <v>4013/4014</v>
      </c>
      <c r="L207" s="21" t="str">
        <f>VLOOKUP(A207,'Trips&amp;Operators'!$C$1:$G$99999,5,FALSE)</f>
        <v>DAVIS WENDY</v>
      </c>
      <c r="M207" s="6">
        <f t="shared" si="86"/>
        <v>5.6712962978053838E-3</v>
      </c>
      <c r="N207" s="7">
        <f t="shared" si="76"/>
        <v>8.1666666688397527</v>
      </c>
      <c r="O207" s="7"/>
      <c r="P207" s="7"/>
      <c r="Q207" s="22"/>
      <c r="R207" s="22"/>
      <c r="S207" s="31">
        <f t="shared" si="87"/>
        <v>1</v>
      </c>
      <c r="T207" s="46" t="str">
        <f t="shared" si="88"/>
        <v>Southbound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89"/>
        <v>https://d0f6bd738d7f1b3e5a7ca70fe4ff75f0.us-east-1.aws.found.io/app/kibana#/discover/Steve-Slow-Train-Analysis-(2080s-and-2083s)?_g=(refreshInterval:(display:Off,pause:!f,section:0,value:0),time:(from:'2017-04-07T02:19:47-0600',mode:absolute,to:'2017-04-07T04:31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7" s="183" t="str">
        <f t="shared" si="90"/>
        <v>Y</v>
      </c>
      <c r="X207" s="183">
        <f t="shared" si="84"/>
        <v>2</v>
      </c>
      <c r="Y207" s="62">
        <f t="shared" si="79"/>
        <v>2.3489</v>
      </c>
      <c r="Z207" s="62">
        <f t="shared" si="77"/>
        <v>1.34E-2</v>
      </c>
      <c r="AA207" s="62">
        <f t="shared" si="91"/>
        <v>2.3355000000000001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2"/>
        <v>0304-07</v>
      </c>
      <c r="AE207" s="85" t="str">
        <f t="shared" si="93"/>
        <v>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 &amp; 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</v>
      </c>
      <c r="AF207" s="82" t="str">
        <f t="shared" si="94"/>
        <v>"C:\Program Files (x86)\AstroGrep\AstroGrep.exe" /e /r /s /spath="%USERPROFILE%\AppData\Local\Temp\OnboardLogs" /stypes="app*4013*20170407*" /stext=" 09:.+((SYSTEM_STATE.+slice.+state.+changed )|(ment ac)|(multiple cpu faults)|(system.+state.+changed )|(\[timeout)|(PRM\|1\|D)|(kpr)|(kdp)|(\|lc)|(penalty))"</v>
      </c>
      <c r="AG207" s="1" t="str">
        <f t="shared" si="95"/>
        <v>Other</v>
      </c>
      <c r="AH207" s="86" t="str">
        <f t="shared" si="80"/>
        <v>"%USERPROFILE%\Documents\GitHub\eaglep3\Utilities\RefineRTDCRunTimes.py" --tripid 304-07 --locoid 4013 --swversion DE.1.0.9.0 --startMP 300:23489 --initTime 2017-04-07T03:19:47 --startdatetime 2017-04-07T03:23:35 --delay 3 --endMP 204:134 --enddatetime 2017-04-07T03:31:45 --enforcementcount 0 &gt;&gt;C:\Users\stu\Documents\GitHub\eaglep3-reporting\EC\2017-04-07-refined-times.txt</v>
      </c>
      <c r="AI207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{"issue":{"subject":"","project_id":79,"tracker_id":40,"status_id":1,"priority_id":2,"assigned_to_id":23,"start_date":"2017-04-07","description":"","custom_fields":[{"id":1,"name":"Subdivision","value":"Other"},{"id":4,"name":"Milepost","value":"0.0134"},{"id":17,"name":"Train ID","value":"304-07"},{"id":16,"name":"Locomotive ID","value":"4013"},{"id":130,"name":"Impact","value":""},{"id":150,"name":"Time of Event (Mountain Time)","value":"03:31:45"},{"id":151,"name":"Denver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82"/>
        <v>start /low /b %USERPROFILE%\Documents\GitHub\eaglep3\Utilities\DownloadLogsFromS3.py --loco 4013 --day 2017-04-07</v>
      </c>
      <c r="AN207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09:31:45"},{"id":29,"name":"Sharepoint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817</v>
      </c>
      <c r="B208" s="7">
        <v>4022</v>
      </c>
      <c r="C208" s="21" t="s">
        <v>216</v>
      </c>
      <c r="D208" s="21" t="s">
        <v>925</v>
      </c>
      <c r="E208" s="13">
        <v>42832.799699074072</v>
      </c>
      <c r="F208" s="13">
        <v>42832.801342592589</v>
      </c>
      <c r="G208" s="7">
        <v>1</v>
      </c>
      <c r="H208" s="21" t="s">
        <v>926</v>
      </c>
      <c r="I208" s="13">
        <v>42832.80672453704</v>
      </c>
      <c r="J208" s="7">
        <v>0</v>
      </c>
      <c r="K208" s="97" t="str">
        <f t="shared" si="85"/>
        <v>4021/4022</v>
      </c>
      <c r="L208" s="21" t="str">
        <f>VLOOKUP(A208,'Trips&amp;Operators'!$C$1:$G$99999,5,FALSE)</f>
        <v>BRANDNER MELINDA</v>
      </c>
      <c r="M208" s="6">
        <f t="shared" si="86"/>
        <v>5.3819444510736503E-3</v>
      </c>
      <c r="N208" s="7">
        <f t="shared" si="76"/>
        <v>7.7500000095460564</v>
      </c>
      <c r="O208" s="7"/>
      <c r="P208" s="7"/>
      <c r="Q208" s="22"/>
      <c r="R208" s="22"/>
      <c r="S208" s="31">
        <f t="shared" si="87"/>
        <v>1</v>
      </c>
      <c r="T208" s="46" t="str">
        <f t="shared" si="88"/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89"/>
        <v>https://d0f6bd738d7f1b3e5a7ca70fe4ff75f0.us-east-1.aws.found.io/app/kibana#/discover/Steve-Slow-Train-Analysis-(2080s-and-2083s)?_g=(refreshInterval:(display:Off,pause:!f,section:0,value:0),time:(from:'2017-04-07T18:11:34-0600',mode:absolute,to:'2017-04-07T20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8" s="183" t="str">
        <f t="shared" si="90"/>
        <v>Y</v>
      </c>
      <c r="X208" s="183">
        <f t="shared" ref="X208:X229" si="96">VALUE(LEFT(AD208,4))-VALUE(LEFT(AD207,4))</f>
        <v>1</v>
      </c>
      <c r="Y208" s="62">
        <f t="shared" si="79"/>
        <v>4.82E-2</v>
      </c>
      <c r="Z208" s="62">
        <f t="shared" si="77"/>
        <v>2.3007</v>
      </c>
      <c r="AA208" s="62">
        <f t="shared" si="91"/>
        <v>2.2524999999999999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2"/>
        <v>0305-07</v>
      </c>
      <c r="AE208" s="85" t="str">
        <f t="shared" si="93"/>
        <v>aws s3 cp s3://rtdc.mdm.uploadarchive.raw/RTDC4022/ "%USERPROFILE%\AppData\Local\Temp\OnboardLogs"\RTDC4022\2017-04-07 --exclude "*" --recursive --include "*20170407*" &amp; "%USERPROFILE%\Documents\GitHub\mrs-test-scripts\Headless Mode &amp; Sideloading\WalkAndUnGZ.bat" "%USERPROFILE%\AppData\Local\Temp\OnboardLogs"\RTDC4022\2017-04-07 &amp; 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</v>
      </c>
      <c r="AF208" s="82" t="str">
        <f t="shared" si="94"/>
        <v>"C:\Program Files (x86)\AstroGrep\AstroGrep.exe" /e /r /s /spath="%USERPROFILE%\AppData\Local\Temp\OnboardLogs" /stypes="app*4022*20170408*" /stext=" 01:.+((SYSTEM_STATE.+slice.+state.+changed )|(ment ac)|(multiple cpu faults)|(system.+state.+changed )|(\[timeout)|(PRM\|1\|D)|(kpr)|(kdp)|(\|lc)|(penalty))"</v>
      </c>
      <c r="AG208" s="1" t="str">
        <f t="shared" si="95"/>
        <v>Other</v>
      </c>
      <c r="AH208" s="86" t="str">
        <f t="shared" si="80"/>
        <v>"%USERPROFILE%\Documents\GitHub\eaglep3\Utilities\RefineRTDCRunTimes.py" --tripid 305-07 --locoid 4022 --swversion DE.1.0.9.0 --startMP 204:482 --initTime 2017-04-07T19:11:34 --startdatetime 2017-04-07T19:13:56 --delay 1 --endMP 300:23007 --enddatetime 2017-04-07T19:21:41 --enforcementcount 0 &gt;&gt;C:\Users\stu\Documents\GitHub\eaglep3-reporting\EC\2017-04-07-refined-times.txt</v>
      </c>
      <c r="AI208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{"issue":{"subject":"","project_id":79,"tracker_id":40,"status_id":1,"priority_id":2,"assigned_to_id":23,"start_date":"2017-04-07","description":"","custom_fields":[{"id":1,"name":"Subdivision","value":"Other"},{"id":4,"name":"Milepost","value":"2.3007"},{"id":17,"name":"Train ID","value":"305-07"},{"id":16,"name":"Locomotive ID","value":"4022"},{"id":130,"name":"Impact","value":""},{"id":150,"name":"Time of Event (Mountain Time)","value":"19:21:41"},{"id":151,"name":"Denver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82"/>
        <v>start /low /b %USERPROFILE%\Documents\GitHub\eaglep3\Utilities\DownloadLogsFromS3.py --loco 4022 --day 2017-04-07</v>
      </c>
      <c r="AN208" s="159" t="str">
        <f t="shared" si="83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01:21:41"},{"id":29,"name":"Sharepoint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626</v>
      </c>
      <c r="B209" s="7">
        <v>4029</v>
      </c>
      <c r="C209" s="21" t="s">
        <v>216</v>
      </c>
      <c r="D209" s="21" t="s">
        <v>927</v>
      </c>
      <c r="E209" s="13">
        <v>42832.157083333332</v>
      </c>
      <c r="F209" s="13">
        <v>42832.15997685185</v>
      </c>
      <c r="G209" s="7">
        <v>4</v>
      </c>
      <c r="H209" s="21" t="s">
        <v>213</v>
      </c>
      <c r="I209" s="13">
        <v>42832.166435185187</v>
      </c>
      <c r="J209" s="7">
        <v>0</v>
      </c>
      <c r="K209" s="97" t="str">
        <f t="shared" si="85"/>
        <v>4029/4030</v>
      </c>
      <c r="L209" s="21" t="str">
        <f>VLOOKUP(A209,'Trips&amp;Operators'!$C$1:$G$99999,5,FALSE)</f>
        <v>ROBINSON KADDIBA</v>
      </c>
      <c r="M209" s="6">
        <f t="shared" si="86"/>
        <v>6.4583333369228058E-3</v>
      </c>
      <c r="N209" s="7">
        <f t="shared" si="76"/>
        <v>9.3000000051688403</v>
      </c>
      <c r="O209" s="7"/>
      <c r="P209" s="7"/>
      <c r="Q209" s="22"/>
      <c r="R209" s="22"/>
      <c r="S209" s="31">
        <f t="shared" si="87"/>
        <v>1</v>
      </c>
      <c r="T209" s="46" t="str">
        <f t="shared" si="88"/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89"/>
        <v>https://d0f6bd738d7f1b3e5a7ca70fe4ff75f0.us-east-1.aws.found.io/app/kibana#/discover/Steve-Slow-Train-Analysis-(2080s-and-2083s)?_g=(refreshInterval:(display:Off,pause:!f,section:0,value:0),time:(from:'2017-04-07T02:46:12-0600',mode:absolute,to:'2017-04-07T04:59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9" s="183" t="str">
        <f t="shared" si="90"/>
        <v>Y</v>
      </c>
      <c r="X209" s="183">
        <f t="shared" si="96"/>
        <v>1</v>
      </c>
      <c r="Y209" s="62">
        <f t="shared" si="79"/>
        <v>2.3650000000000002</v>
      </c>
      <c r="Z209" s="62">
        <f t="shared" si="77"/>
        <v>1.47E-2</v>
      </c>
      <c r="AA209" s="62">
        <f t="shared" si="91"/>
        <v>2.3503000000000003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2"/>
        <v>0306-07</v>
      </c>
      <c r="AE209" s="85" t="str">
        <f t="shared" si="93"/>
        <v>aws s3 cp s3://rtdc.mdm.uploadarchive.raw/RTDC4029/ "%USERPROFILE%\AppData\Local\Temp\OnboardLogs"\RTDC4029\2017-04-07 --exclude "*" --recursive --include "*20170407*" &amp; "%USERPROFILE%\Documents\GitHub\mrs-test-scripts\Headless Mode &amp; Sideloading\WalkAndUnGZ.bat" "%USERPROFILE%\AppData\Local\Temp\OnboardLogs"\RTDC4029\2017-04-07 &amp; aws s3 cp s3://rtdc.mdm.uploadarchive.raw/RTDC4029/ "%USERPROFILE%\AppData\Local\Temp\OnboardLogs"\RTDC4029\2017-04-08 --exclude "*" --recursive --include "*20170408*" &amp; "%USERPROFILE%\Documents\GitHub\mrs-test-scripts\Headless Mode &amp; Sideloading\WalkAndUnGZ.bat" "%USERPROFILE%\AppData\Local\Temp\OnboardLogs"\RTDC4029\2017-04-08</v>
      </c>
      <c r="AF209" s="82" t="str">
        <f t="shared" si="94"/>
        <v>"C:\Program Files (x86)\AstroGrep\AstroGrep.exe" /e /r /s /spath="%USERPROFILE%\AppData\Local\Temp\OnboardLogs" /stypes="app*4029*20170407*" /stext=" 09:.+((SYSTEM_STATE.+slice.+state.+changed )|(ment ac)|(multiple cpu faults)|(system.+state.+changed )|(\[timeout)|(PRM\|1\|D)|(kpr)|(kdp)|(\|lc)|(penalty))"</v>
      </c>
      <c r="AG209" s="1" t="str">
        <f t="shared" si="95"/>
        <v>Other</v>
      </c>
      <c r="AH209" s="86" t="str">
        <f t="shared" si="80"/>
        <v>"%USERPROFILE%\Documents\GitHub\eaglep3\Utilities\RefineRTDCRunTimes.py" --tripid 306-07 --locoid 4029 --swversion DE.1.0.9.0 --startMP 300:23650 --initTime 2017-04-07T03:46:12 --startdatetime 2017-04-07T03:50:22 --delay 4 --endMP 204:147 --enddatetime 2017-04-07T03:59:40 --enforcementcount 0 &gt;&gt;C:\Users\stu\Documents\GitHub\eaglep3-reporting\EC\2017-04-07-refined-times.txt</v>
      </c>
      <c r="AI209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{"issue":{"subject":"","project_id":79,"tracker_id":40,"status_id":1,"priority_id":2,"assigned_to_id":23,"start_date":"2017-04-07","description":"","custom_fields":[{"id":1,"name":"Subdivision","value":"Other"},{"id":4,"name":"Milepost","value":"0.0147"},{"id":17,"name":"Train ID","value":"306-07"},{"id":16,"name":"Locomotive ID","value":"4029"},{"id":130,"name":"Impact","value":""},{"id":150,"name":"Time of Event (Mountain Time)","value":"03:59:40"},{"id":151,"name":"Denver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82"/>
        <v>start /low /b %USERPROFILE%\Documents\GitHub\eaglep3\Utilities\DownloadLogsFromS3.py --loco 4029 --day 2017-04-07</v>
      </c>
      <c r="AN209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09:59:40"},{"id":29,"name":"Sharepoint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823</v>
      </c>
      <c r="B210" s="7">
        <v>4014</v>
      </c>
      <c r="C210" s="21" t="s">
        <v>216</v>
      </c>
      <c r="D210" s="21" t="s">
        <v>207</v>
      </c>
      <c r="E210" s="13">
        <v>42832.819826388892</v>
      </c>
      <c r="F210" s="13">
        <v>42832.821875000001</v>
      </c>
      <c r="G210" s="7">
        <v>1</v>
      </c>
      <c r="H210" s="21" t="s">
        <v>423</v>
      </c>
      <c r="I210" s="13">
        <v>42832.829513888886</v>
      </c>
      <c r="J210" s="7">
        <v>0</v>
      </c>
      <c r="K210" s="97" t="str">
        <f t="shared" si="85"/>
        <v>4013/4014</v>
      </c>
      <c r="L210" s="21" t="str">
        <f>VLOOKUP(A210,'Trips&amp;Operators'!$C$1:$G$99999,5,FALSE)</f>
        <v>STRICKLAND EVAN</v>
      </c>
      <c r="M210" s="6">
        <f t="shared" si="86"/>
        <v>7.6388888846850023E-3</v>
      </c>
      <c r="N210" s="7">
        <f t="shared" si="76"/>
        <v>10.999999993946403</v>
      </c>
      <c r="O210" s="7"/>
      <c r="P210" s="7"/>
      <c r="Q210" s="22"/>
      <c r="R210" s="22"/>
      <c r="S210" s="31">
        <f t="shared" si="87"/>
        <v>1</v>
      </c>
      <c r="T210" s="46" t="str">
        <f t="shared" si="88"/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89"/>
        <v>https://d0f6bd738d7f1b3e5a7ca70fe4ff75f0.us-east-1.aws.found.io/app/kibana#/discover/Steve-Slow-Train-Analysis-(2080s-and-2083s)?_g=(refreshInterval:(display:Off,pause:!f,section:0,value:0),time:(from:'2017-04-07T18:40:33-0600',mode:absolute,to:'2017-04-07T20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0" s="183" t="str">
        <f t="shared" si="90"/>
        <v>Y</v>
      </c>
      <c r="X210" s="183">
        <f t="shared" si="96"/>
        <v>1</v>
      </c>
      <c r="Y210" s="62">
        <f t="shared" si="79"/>
        <v>4.5999999999999999E-2</v>
      </c>
      <c r="Z210" s="62">
        <f t="shared" si="77"/>
        <v>2.3346</v>
      </c>
      <c r="AA210" s="62">
        <f t="shared" si="91"/>
        <v>2.2886000000000002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2"/>
        <v>0307-07</v>
      </c>
      <c r="AE210" s="85" t="str">
        <f t="shared" si="93"/>
        <v>aws s3 cp s3://rtdc.mdm.uploadarchive.raw/RTDC4014/ "%USERPROFILE%\AppData\Local\Temp\OnboardLogs"\RTDC4014\2017-04-07 --exclude "*" --recursive --include "*20170407*" &amp; "%USERPROFILE%\Documents\GitHub\mrs-test-scripts\Headless Mode &amp; Sideloading\WalkAndUnGZ.bat" "%USERPROFILE%\AppData\Local\Temp\OnboardLogs"\RTDC4014\2017-04-07 &amp; 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</v>
      </c>
      <c r="AF210" s="82" t="str">
        <f t="shared" si="94"/>
        <v>"C:\Program Files (x86)\AstroGrep\AstroGrep.exe" /e /r /s /spath="%USERPROFILE%\AppData\Local\Temp\OnboardLogs" /stypes="app*4014*20170408*" /stext=" 01:.+((SYSTEM_STATE.+slice.+state.+changed )|(ment ac)|(multiple cpu faults)|(system.+state.+changed )|(\[timeout)|(PRM\|1\|D)|(kpr)|(kdp)|(\|lc)|(penalty))"</v>
      </c>
      <c r="AG210" s="1" t="str">
        <f t="shared" si="95"/>
        <v>Other</v>
      </c>
      <c r="AH210" s="86" t="str">
        <f t="shared" si="80"/>
        <v>"%USERPROFILE%\Documents\GitHub\eaglep3\Utilities\RefineRTDCRunTimes.py" --tripid 307-07 --locoid 4014 --swversion DE.1.0.9.0 --startMP 204:460 --initTime 2017-04-07T19:40:33 --startdatetime 2017-04-07T19:43:30 --delay 1 --endMP 300:23346 --enddatetime 2017-04-07T19:54:30 --enforcementcount 0 &gt;&gt;C:\Users\stu\Documents\GitHub\eaglep3-reporting\EC\2017-04-07-refined-times.txt</v>
      </c>
      <c r="AI210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{"issue":{"subject":"","project_id":79,"tracker_id":40,"status_id":1,"priority_id":2,"assigned_to_id":23,"start_date":"2017-04-07","description":"","custom_fields":[{"id":1,"name":"Subdivision","value":"Other"},{"id":4,"name":"Milepost","value":"2.3346"},{"id":17,"name":"Train ID","value":"307-07"},{"id":16,"name":"Locomotive ID","value":"4014"},{"id":130,"name":"Impact","value":""},{"id":150,"name":"Time of Event (Mountain Time)","value":"19:54:30"},{"id":151,"name":"Denver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82"/>
        <v>start /low /b %USERPROFILE%\Documents\GitHub\eaglep3\Utilities\DownloadLogsFromS3.py --loco 4014 --day 2017-04-07</v>
      </c>
      <c r="AN210" s="159" t="str">
        <f t="shared" si="83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01:54:30"},{"id":29,"name":"Sharepoint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661</v>
      </c>
      <c r="B211" s="7">
        <v>4009</v>
      </c>
      <c r="C211" s="21" t="s">
        <v>216</v>
      </c>
      <c r="D211" s="21" t="s">
        <v>928</v>
      </c>
      <c r="E211" s="13">
        <v>42832.170219907406</v>
      </c>
      <c r="F211" s="13">
        <v>42832.174247685187</v>
      </c>
      <c r="G211" s="7">
        <v>5</v>
      </c>
      <c r="H211" s="21" t="s">
        <v>381</v>
      </c>
      <c r="I211" s="13">
        <v>42832.180208333331</v>
      </c>
      <c r="J211" s="7">
        <v>0</v>
      </c>
      <c r="K211" s="97" t="str">
        <f t="shared" si="85"/>
        <v>4009/4010</v>
      </c>
      <c r="L211" s="21" t="str">
        <f>VLOOKUP(A211,'Trips&amp;Operators'!$C$1:$G$99999,5,FALSE)</f>
        <v>STARKS ANGELINA</v>
      </c>
      <c r="M211" s="6">
        <f t="shared" si="86"/>
        <v>5.9606481445371173E-3</v>
      </c>
      <c r="N211" s="7">
        <f t="shared" si="76"/>
        <v>8.583333328133449</v>
      </c>
      <c r="O211" s="7"/>
      <c r="P211" s="7"/>
      <c r="Q211" s="22"/>
      <c r="R211" s="22"/>
      <c r="S211" s="31">
        <f t="shared" si="87"/>
        <v>1</v>
      </c>
      <c r="T211" s="46" t="str">
        <f t="shared" si="88"/>
        <v>Southbound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89"/>
        <v>https://d0f6bd738d7f1b3e5a7ca70fe4ff75f0.us-east-1.aws.found.io/app/kibana#/discover/Steve-Slow-Train-Analysis-(2080s-and-2083s)?_g=(refreshInterval:(display:Off,pause:!f,section:0,value:0),time:(from:'2017-04-07T03:05:07-0600',mode:absolute,to:'2017-04-07T05:19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1" s="183" t="str">
        <f t="shared" si="90"/>
        <v>Y</v>
      </c>
      <c r="X211" s="183">
        <f t="shared" si="96"/>
        <v>1</v>
      </c>
      <c r="Y211" s="62">
        <f t="shared" si="79"/>
        <v>2.2944</v>
      </c>
      <c r="Z211" s="62">
        <f t="shared" si="77"/>
        <v>1.43E-2</v>
      </c>
      <c r="AA211" s="62">
        <f t="shared" si="91"/>
        <v>2.2801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2"/>
        <v>0308-07</v>
      </c>
      <c r="AE211" s="85" t="str">
        <f t="shared" si="93"/>
        <v>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 &amp; aws s3 cp s3://rtdc.mdm.uploadarchive.raw/RTDC4009/ "%USERPROFILE%\AppData\Local\Temp\OnboardLogs"\RTDC4009\2017-04-08 --exclude "*" --recursive --include "*20170408*" &amp; "%USERPROFILE%\Documents\GitHub\mrs-test-scripts\Headless Mode &amp; Sideloading\WalkAndUnGZ.bat" "%USERPROFILE%\AppData\Local\Temp\OnboardLogs"\RTDC4009\2017-04-08</v>
      </c>
      <c r="AF211" s="82" t="str">
        <f t="shared" si="94"/>
        <v>"C:\Program Files (x86)\AstroGrep\AstroGrep.exe" /e /r /s /spath="%USERPROFILE%\AppData\Local\Temp\OnboardLogs" /stypes="app*4009*20170407*" /stext=" 10:.+((SYSTEM_STATE.+slice.+state.+changed )|(ment ac)|(multiple cpu faults)|(system.+state.+changed )|(\[timeout)|(PRM\|1\|D)|(kpr)|(kdp)|(\|lc)|(penalty))"</v>
      </c>
      <c r="AG211" s="1" t="str">
        <f t="shared" si="95"/>
        <v>Other</v>
      </c>
      <c r="AH211" s="86" t="str">
        <f t="shared" si="80"/>
        <v>"%USERPROFILE%\Documents\GitHub\eaglep3\Utilities\RefineRTDCRunTimes.py" --tripid 308-07 --locoid 4009 --swversion DE.1.0.9.0 --startMP 300:22944 --initTime 2017-04-07T04:05:07 --startdatetime 2017-04-07T04:10:55 --delay 5 --endMP 204:143 --enddatetime 2017-04-07T04:19:30 --enforcementcount 0 &gt;&gt;C:\Users\stu\Documents\GitHub\eaglep3-reporting\EC\2017-04-07-refined-times.txt</v>
      </c>
      <c r="AI211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{"issue":{"subject":"","project_id":79,"tracker_id":40,"status_id":1,"priority_id":2,"assigned_to_id":23,"start_date":"2017-04-07","description":"","custom_fields":[{"id":1,"name":"Subdivision","value":"Other"},{"id":4,"name":"Milepost","value":"0.0143"},{"id":17,"name":"Train ID","value":"308-07"},{"id":16,"name":"Locomotive ID","value":"4009"},{"id":130,"name":"Impact","value":""},{"id":150,"name":"Time of Event (Mountain Time)","value":"04:19:30"},{"id":151,"name":"Denver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82"/>
        <v>start /low /b %USERPROFILE%\Documents\GitHub\eaglep3\Utilities\DownloadLogsFromS3.py --loco 4009 --day 2017-04-07</v>
      </c>
      <c r="AN211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10:19:30"},{"id":29,"name":"Sharepoint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849</v>
      </c>
      <c r="B212" s="7">
        <v>4032</v>
      </c>
      <c r="C212" s="21" t="s">
        <v>216</v>
      </c>
      <c r="D212" s="21" t="s">
        <v>431</v>
      </c>
      <c r="E212" s="13">
        <v>42833.048530092594</v>
      </c>
      <c r="F212" s="13">
        <v>42833.050682870373</v>
      </c>
      <c r="G212" s="7">
        <v>2</v>
      </c>
      <c r="H212" s="21" t="s">
        <v>602</v>
      </c>
      <c r="I212" s="13">
        <v>42833.060590277775</v>
      </c>
      <c r="J212" s="7">
        <v>0</v>
      </c>
      <c r="K212" s="97" t="str">
        <f t="shared" si="85"/>
        <v>4031/4032</v>
      </c>
      <c r="L212" s="21" t="str">
        <f>VLOOKUP(A212,'Trips&amp;Operators'!$C$1:$G$99999,5,FALSE)</f>
        <v>STORY SAMANTHA</v>
      </c>
      <c r="M212" s="6">
        <f t="shared" si="86"/>
        <v>9.9074074023519643E-3</v>
      </c>
      <c r="N212" s="7">
        <f t="shared" ref="N212:N229" si="97">24*60*SUM($M212:$M212)</f>
        <v>14.266666659386829</v>
      </c>
      <c r="O212" s="7"/>
      <c r="P212" s="7"/>
      <c r="Q212" s="22"/>
      <c r="R212" s="22"/>
      <c r="S212" s="31">
        <f t="shared" si="87"/>
        <v>1</v>
      </c>
      <c r="T212" s="46" t="str">
        <f t="shared" si="88"/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89"/>
        <v>https://d0f6bd738d7f1b3e5a7ca70fe4ff75f0.us-east-1.aws.found.io/app/kibana#/discover/Steve-Slow-Train-Analysis-(2080s-and-2083s)?_g=(refreshInterval:(display:Off,pause:!f,section:0,value:0),time:(from:'2017-04-08T00:09:53-0600',mode:absolute,to:'2017-04-08T02:27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2" s="183" t="str">
        <f t="shared" si="90"/>
        <v>Y</v>
      </c>
      <c r="X212" s="183">
        <f t="shared" si="96"/>
        <v>1</v>
      </c>
      <c r="Y212" s="62">
        <f t="shared" si="79"/>
        <v>4.6600000000000003E-2</v>
      </c>
      <c r="Z212" s="62">
        <f t="shared" ref="Z212:Z229" si="98">RIGHT(H212,LEN(H212)-4)/10000</f>
        <v>2.3308</v>
      </c>
      <c r="AA212" s="62">
        <f t="shared" si="91"/>
        <v>2.2841999999999998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2"/>
        <v>0309-07</v>
      </c>
      <c r="AE212" s="85" t="str">
        <f t="shared" si="93"/>
        <v>aws s3 cp s3://rtdc.mdm.uploadarchive.raw/RTDC4032/ "%USERPROFILE%\AppData\Local\Temp\OnboardLogs"\RTDC4032\2017-04-08 --exclude "*" --recursive --include "*20170408*" &amp; "%USERPROFILE%\Documents\GitHub\mrs-test-scripts\Headless Mode &amp; Sideloading\WalkAndUnGZ.bat" "%USERPROFILE%\AppData\Local\Temp\OnboardLogs"\RTDC4032\2017-04-08 &amp; aws s3 cp s3://rtdc.mdm.uploadarchive.raw/RTDC4032/ "%USERPROFILE%\AppData\Local\Temp\OnboardLogs"\RTDC4032\2017-04-09 --exclude "*" --recursive --include "*20170409*" &amp; "%USERPROFILE%\Documents\GitHub\mrs-test-scripts\Headless Mode &amp; Sideloading\WalkAndUnGZ.bat" "%USERPROFILE%\AppData\Local\Temp\OnboardLogs"\RTDC4032\2017-04-09</v>
      </c>
      <c r="AF212" s="82" t="str">
        <f t="shared" si="94"/>
        <v>"C:\Program Files (x86)\AstroGrep\AstroGrep.exe" /e /r /s /spath="%USERPROFILE%\AppData\Local\Temp\OnboardLogs" /stypes="app*4032*20170408*" /stext=" 07:.+((SYSTEM_STATE.+slice.+state.+changed )|(ment ac)|(multiple cpu faults)|(system.+state.+changed )|(\[timeout)|(PRM\|1\|D)|(kpr)|(kdp)|(\|lc)|(penalty))"</v>
      </c>
      <c r="AG212" s="1" t="str">
        <f t="shared" si="95"/>
        <v>Other</v>
      </c>
      <c r="AH212" s="86" t="str">
        <f t="shared" si="80"/>
        <v>"%USERPROFILE%\Documents\GitHub\eaglep3\Utilities\RefineRTDCRunTimes.py" --tripid 309-07 --locoid 4032 --swversion DE.1.0.9.0 --startMP 204:466 --initTime 2017-04-08T01:09:53 --startdatetime 2017-04-08T01:12:59 --delay 2 --endMP 300:23308 --enddatetime 2017-04-08T01:27:15 --enforcementcount 0 &gt;&gt;C:\Users\stu\Documents\GitHub\eaglep3-reporting\EC\2017-04-07-refined-times.txt</v>
      </c>
      <c r="AI212" s="104" t="str">
        <f t="shared" si="81"/>
        <v>echo {"issue":{"subject":"","project_id":79,"tracker_id":40,"status_id":1,"priority_id":2,"assigned_to_id":23,"start_date":"2017-04-08","description":"","custom_fields":[{"id":1,"name":"Subdivision","value":"Other"},{"id":4,"name":"Milepost","value":"2.3308"},{"id":17,"name":"Train ID","value":"309-07"},{"id":16,"name":"Locomotive ID","value":"4032"},{"id":130,"name":"Impact","value":""},{"id":150,"name":"Time of Event (Mountain Time)","value":"01:27:15"},{"id":151,"name":"Denver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82"/>
        <v>start /low /b %USERPROFILE%\Documents\GitHub\eaglep3\Utilities\DownloadLogsFromS3.py --loco 4032 --day 2017-04-08</v>
      </c>
      <c r="AN212" s="159" t="str">
        <f t="shared" si="83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07:27:15"},{"id":29,"name":"Sharepoint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664</v>
      </c>
      <c r="B213" s="7">
        <v>4015</v>
      </c>
      <c r="C213" s="21" t="s">
        <v>216</v>
      </c>
      <c r="D213" s="21" t="s">
        <v>929</v>
      </c>
      <c r="E213" s="13">
        <v>42832.182141203702</v>
      </c>
      <c r="F213" s="13">
        <v>42832.185543981483</v>
      </c>
      <c r="G213" s="7">
        <v>4</v>
      </c>
      <c r="H213" s="21" t="s">
        <v>213</v>
      </c>
      <c r="I213" s="13">
        <v>42832.191238425927</v>
      </c>
      <c r="J213" s="7">
        <v>0</v>
      </c>
      <c r="K213" s="97" t="str">
        <f t="shared" si="85"/>
        <v>4015/4016</v>
      </c>
      <c r="L213" s="21" t="str">
        <f>VLOOKUP(A213,'Trips&amp;Operators'!$C$1:$G$99999,5,FALSE)</f>
        <v>LOZA FIDEL</v>
      </c>
      <c r="M213" s="6">
        <f t="shared" si="86"/>
        <v>5.694444444088731E-3</v>
      </c>
      <c r="N213" s="7">
        <f t="shared" si="97"/>
        <v>8.1999999994877726</v>
      </c>
      <c r="O213" s="7"/>
      <c r="P213" s="7"/>
      <c r="Q213" s="22"/>
      <c r="R213" s="22"/>
      <c r="S213" s="31">
        <f t="shared" si="87"/>
        <v>1</v>
      </c>
      <c r="T213" s="46" t="str">
        <f t="shared" si="88"/>
        <v>Southbound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89"/>
        <v>https://d0f6bd738d7f1b3e5a7ca70fe4ff75f0.us-east-1.aws.found.io/app/kibana#/discover/Steve-Slow-Train-Analysis-(2080s-and-2083s)?_g=(refreshInterval:(display:Off,pause:!f,section:0,value:0),time:(from:'2017-04-07T03:22:17-0600',mode:absolute,to:'2017-04-07T05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3" s="183" t="str">
        <f t="shared" si="90"/>
        <v>Y</v>
      </c>
      <c r="X213" s="183">
        <f t="shared" si="96"/>
        <v>1</v>
      </c>
      <c r="Y213" s="62">
        <f t="shared" si="79"/>
        <v>2.3451</v>
      </c>
      <c r="Z213" s="62">
        <f t="shared" si="98"/>
        <v>1.47E-2</v>
      </c>
      <c r="AA213" s="62">
        <f t="shared" si="91"/>
        <v>2.3304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2"/>
        <v>0310-07</v>
      </c>
      <c r="AE213" s="85" t="str">
        <f t="shared" si="93"/>
        <v>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 &amp; aws s3 cp s3://rtdc.mdm.uploadarchive.raw/RTDC4015/ "%USERPROFILE%\AppData\Local\Temp\OnboardLogs"\RTDC4015\2017-04-08 --exclude "*" --recursive --include "*20170408*" &amp; "%USERPROFILE%\Documents\GitHub\mrs-test-scripts\Headless Mode &amp; Sideloading\WalkAndUnGZ.bat" "%USERPROFILE%\AppData\Local\Temp\OnboardLogs"\RTDC4015\2017-04-08</v>
      </c>
      <c r="AF213" s="82" t="str">
        <f t="shared" si="94"/>
        <v>"C:\Program Files (x86)\AstroGrep\AstroGrep.exe" /e /r /s /spath="%USERPROFILE%\AppData\Local\Temp\OnboardLogs" /stypes="app*4015*20170407*" /stext=" 10:.+((SYSTEM_STATE.+slice.+state.+changed )|(ment ac)|(multiple cpu faults)|(system.+state.+changed )|(\[timeout)|(PRM\|1\|D)|(kpr)|(kdp)|(\|lc)|(penalty))"</v>
      </c>
      <c r="AG213" s="1" t="str">
        <f t="shared" si="95"/>
        <v>Other</v>
      </c>
      <c r="AH213" s="86" t="str">
        <f t="shared" si="80"/>
        <v>"%USERPROFILE%\Documents\GitHub\eaglep3\Utilities\RefineRTDCRunTimes.py" --tripid 310-07 --locoid 4015 --swversion DE.1.0.9.0 --startMP 300:23451 --initTime 2017-04-07T04:22:17 --startdatetime 2017-04-07T04:27:11 --delay 4 --endMP 204:147 --enddatetime 2017-04-07T04:35:23 --enforcementcount 0 &gt;&gt;C:\Users\stu\Documents\GitHub\eaglep3-reporting\EC\2017-04-07-refined-times.txt</v>
      </c>
      <c r="AI213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{"issue":{"subject":"","project_id":79,"tracker_id":40,"status_id":1,"priority_id":2,"assigned_to_id":23,"start_date":"2017-04-07","description":"","custom_fields":[{"id":1,"name":"Subdivision","value":"Other"},{"id":4,"name":"Milepost","value":"0.0147"},{"id":17,"name":"Train ID","value":"310-07"},{"id":16,"name":"Locomotive ID","value":"4015"},{"id":130,"name":"Impact","value":""},{"id":150,"name":"Time of Event (Mountain Time)","value":"04:35:23"},{"id":151,"name":"Denver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82"/>
        <v>start /low /b %USERPROFILE%\Documents\GitHub\eaglep3\Utilities\DownloadLogsFromS3.py --loco 4015 --day 2017-04-07</v>
      </c>
      <c r="AN213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10:35:23"},{"id":29,"name":"Sharepoint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851</v>
      </c>
      <c r="B214" s="7">
        <v>4026</v>
      </c>
      <c r="C214" s="21" t="s">
        <v>216</v>
      </c>
      <c r="D214" s="21" t="s">
        <v>418</v>
      </c>
      <c r="E214" s="13">
        <v>42833.067349537036</v>
      </c>
      <c r="F214" s="13">
        <v>42833.069363425922</v>
      </c>
      <c r="G214" s="7">
        <v>1</v>
      </c>
      <c r="H214" s="21" t="s">
        <v>930</v>
      </c>
      <c r="I214" s="13">
        <v>42833.079710648148</v>
      </c>
      <c r="J214" s="7">
        <v>0</v>
      </c>
      <c r="K214" s="97" t="str">
        <f t="shared" si="85"/>
        <v>4025/4026</v>
      </c>
      <c r="L214" s="21" t="str">
        <f>VLOOKUP(A214,'Trips&amp;Operators'!$C$1:$G$99999,5,FALSE)</f>
        <v>GUZMAN DANNY</v>
      </c>
      <c r="M214" s="6">
        <f t="shared" si="86"/>
        <v>1.0347222225391306E-2</v>
      </c>
      <c r="N214" s="7">
        <f t="shared" si="97"/>
        <v>14.900000004563481</v>
      </c>
      <c r="O214" s="7"/>
      <c r="P214" s="7"/>
      <c r="Q214" s="22"/>
      <c r="R214" s="22"/>
      <c r="S214" s="31">
        <f t="shared" si="87"/>
        <v>1</v>
      </c>
      <c r="T214" s="46" t="str">
        <f t="shared" si="88"/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89"/>
        <v>https://d0f6bd738d7f1b3e5a7ca70fe4ff75f0.us-east-1.aws.found.io/app/kibana#/discover/Steve-Slow-Train-Analysis-(2080s-and-2083s)?_g=(refreshInterval:(display:Off,pause:!f,section:0,value:0),time:(from:'2017-04-08T00:36:59-0600',mode:absolute,to:'2017-04-08T02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4" s="183" t="str">
        <f t="shared" si="90"/>
        <v>Y</v>
      </c>
      <c r="X214" s="183">
        <f t="shared" si="96"/>
        <v>1</v>
      </c>
      <c r="Y214" s="62">
        <f t="shared" si="79"/>
        <v>4.6199999999999998E-2</v>
      </c>
      <c r="Z214" s="62">
        <f t="shared" si="98"/>
        <v>2.3045</v>
      </c>
      <c r="AA214" s="62">
        <f t="shared" si="91"/>
        <v>2.2583000000000002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2"/>
        <v>0311-07</v>
      </c>
      <c r="AE214" s="85" t="str">
        <f t="shared" si="93"/>
        <v>aws s3 cp s3://rtdc.mdm.uploadarchive.raw/RTDC4026/ "%USERPROFILE%\AppData\Local\Temp\OnboardLogs"\RTDC4026\2017-04-08 --exclude "*" --recursive --include "*20170408*" &amp; "%USERPROFILE%\Documents\GitHub\mrs-test-scripts\Headless Mode &amp; Sideloading\WalkAndUnGZ.bat" "%USERPROFILE%\AppData\Local\Temp\OnboardLogs"\RTDC4026\2017-04-08 &amp; aws s3 cp s3://rtdc.mdm.uploadarchive.raw/RTDC4026/ "%USERPROFILE%\AppData\Local\Temp\OnboardLogs"\RTDC4026\2017-04-09 --exclude "*" --recursive --include "*20170409*" &amp; "%USERPROFILE%\Documents\GitHub\mrs-test-scripts\Headless Mode &amp; Sideloading\WalkAndUnGZ.bat" "%USERPROFILE%\AppData\Local\Temp\OnboardLogs"\RTDC4026\2017-04-09</v>
      </c>
      <c r="AF214" s="82" t="str">
        <f t="shared" si="94"/>
        <v>"C:\Program Files (x86)\AstroGrep\AstroGrep.exe" /e /r /s /spath="%USERPROFILE%\AppData\Local\Temp\OnboardLogs" /stypes="app*4026*20170408*" /stext=" 07:.+((SYSTEM_STATE.+slice.+state.+changed )|(ment ac)|(multiple cpu faults)|(system.+state.+changed )|(\[timeout)|(PRM\|1\|D)|(kpr)|(kdp)|(\|lc)|(penalty))"</v>
      </c>
      <c r="AG214" s="1" t="str">
        <f t="shared" si="95"/>
        <v>Other</v>
      </c>
      <c r="AH214" s="86" t="str">
        <f t="shared" si="80"/>
        <v>"%USERPROFILE%\Documents\GitHub\eaglep3\Utilities\RefineRTDCRunTimes.py" --tripid 311-07 --locoid 4026 --swversion DE.1.0.9.0 --startMP 204:462 --initTime 2017-04-08T01:36:59 --startdatetime 2017-04-08T01:39:53 --delay 1 --endMP 300:23045 --enddatetime 2017-04-08T01:54:47 --enforcementcount 0 &gt;&gt;C:\Users\stu\Documents\GitHub\eaglep3-reporting\EC\2017-04-07-refined-times.txt</v>
      </c>
      <c r="AI214" s="104" t="str">
        <f t="shared" si="81"/>
        <v>echo {"issue":{"subject":"","project_id":79,"tracker_id":40,"status_id":1,"priority_id":2,"assigned_to_id":23,"start_date":"2017-04-08","description":"","custom_fields":[{"id":1,"name":"Subdivision","value":"Other"},{"id":4,"name":"Milepost","value":"2.3045"},{"id":17,"name":"Train ID","value":"311-07"},{"id":16,"name":"Locomotive ID","value":"4026"},{"id":130,"name":"Impact","value":""},{"id":150,"name":"Time of Event (Mountain Time)","value":"01:54:47"},{"id":151,"name":"Denver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82"/>
        <v>start /low /b %USERPROFILE%\Documents\GitHub\eaglep3\Utilities\DownloadLogsFromS3.py --loco 4026 --day 2017-04-08</v>
      </c>
      <c r="AN214" s="159" t="str">
        <f t="shared" si="83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07:54:47"},{"id":29,"name":"Sharepoint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574</v>
      </c>
      <c r="B215" s="7">
        <v>4042</v>
      </c>
      <c r="C215" s="21" t="s">
        <v>216</v>
      </c>
      <c r="D215" s="21" t="s">
        <v>540</v>
      </c>
      <c r="E215" s="13">
        <v>42832.090046296296</v>
      </c>
      <c r="F215" s="13">
        <v>42832.092361111114</v>
      </c>
      <c r="G215" s="7">
        <v>1</v>
      </c>
      <c r="H215" s="21" t="s">
        <v>423</v>
      </c>
      <c r="I215" s="13">
        <v>42832.09988425926</v>
      </c>
      <c r="J215" s="7">
        <v>0</v>
      </c>
      <c r="K215" s="97" t="str">
        <f t="shared" si="85"/>
        <v>4041/4042</v>
      </c>
      <c r="L215" s="21" t="str">
        <f>VLOOKUP(A215,'Trips&amp;Operators'!$C$1:$G$99999,5,FALSE)</f>
        <v>SWANSON BRYCE</v>
      </c>
      <c r="M215" s="6">
        <f t="shared" si="86"/>
        <v>7.5231481459923089E-3</v>
      </c>
      <c r="N215" s="7">
        <f t="shared" si="97"/>
        <v>10.833333330228925</v>
      </c>
      <c r="O215" s="7"/>
      <c r="P215" s="7"/>
      <c r="Q215" s="22"/>
      <c r="R215" s="22"/>
      <c r="S215" s="31">
        <f t="shared" si="87"/>
        <v>1</v>
      </c>
      <c r="T215" s="46" t="str">
        <f t="shared" si="88"/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89"/>
        <v>https://d0f6bd738d7f1b3e5a7ca70fe4ff75f0.us-east-1.aws.found.io/app/kibana#/discover/Steve-Slow-Train-Analysis-(2080s-and-2083s)?_g=(refreshInterval:(display:Off,pause:!f,section:0,value:0),time:(from:'2017-04-07T01:09:40-0600',mode:absolute,to:'2017-04-07T03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5" s="183" t="str">
        <f t="shared" si="90"/>
        <v>Y</v>
      </c>
      <c r="X215" s="183">
        <f t="shared" si="96"/>
        <v>2</v>
      </c>
      <c r="Y215" s="62">
        <f t="shared" si="79"/>
        <v>4.6399999999999997E-2</v>
      </c>
      <c r="Z215" s="62">
        <f t="shared" si="98"/>
        <v>2.3346</v>
      </c>
      <c r="AA215" s="62">
        <f t="shared" si="91"/>
        <v>2.2881999999999998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2"/>
        <v>0313-06</v>
      </c>
      <c r="AE215" s="85" t="str">
        <f t="shared" si="93"/>
        <v>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 &amp; aws s3 cp s3://rtdc.mdm.uploadarchive.raw/RTDC4042/ "%USERPROFILE%\AppData\Local\Temp\OnboardLogs"\RTDC4042\2017-04-08 --exclude "*" --recursive --include "*20170408*" &amp; "%USERPROFILE%\Documents\GitHub\mrs-test-scripts\Headless Mode &amp; Sideloading\WalkAndUnGZ.bat" "%USERPROFILE%\AppData\Local\Temp\OnboardLogs"\RTDC4042\2017-04-08</v>
      </c>
      <c r="AF215" s="82" t="str">
        <f t="shared" si="94"/>
        <v>"C:\Program Files (x86)\AstroGrep\AstroGrep.exe" /e /r /s /spath="%USERPROFILE%\AppData\Local\Temp\OnboardLogs" /stypes="app*4042*20170407*" /stext=" 08:.+((SYSTEM_STATE.+slice.+state.+changed )|(ment ac)|(multiple cpu faults)|(system.+state.+changed )|(\[timeout)|(PRM\|1\|D)|(kpr)|(kdp)|(\|lc)|(penalty))"</v>
      </c>
      <c r="AG215" s="1" t="str">
        <f t="shared" si="95"/>
        <v>Other</v>
      </c>
      <c r="AH215" s="86" t="str">
        <f t="shared" si="80"/>
        <v>"%USERPROFILE%\Documents\GitHub\eaglep3\Utilities\RefineRTDCRunTimes.py" --tripid 313-06 --locoid 4042 --swversion DE.1.0.9.0 --startMP 204:464 --initTime 2017-04-07T02:09:40 --startdatetime 2017-04-07T02:13:00 --delay 1 --endMP 300:23346 --enddatetime 2017-04-07T02:23:50 --enforcementcount 0 &gt;&gt;C:\Users\stu\Documents\GitHub\eaglep3-reporting\EC\2017-04-07-refined-times.txt</v>
      </c>
      <c r="AI215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{"issue":{"subject":"","project_id":79,"tracker_id":40,"status_id":1,"priority_id":2,"assigned_to_id":23,"start_date":"2017-04-07","description":"","custom_fields":[{"id":1,"name":"Subdivision","value":"Other"},{"id":4,"name":"Milepost","value":"2.3346"},{"id":17,"name":"Train ID","value":"313-06"},{"id":16,"name":"Locomotive ID","value":"4042"},{"id":130,"name":"Impact","value":""},{"id":150,"name":"Time of Event (Mountain Time)","value":"02:23:50"},{"id":151,"name":"Denver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82"/>
        <v>start /low /b %USERPROFILE%\Documents\GitHub\eaglep3\Utilities\DownloadLogsFromS3.py --loco 4042 --day 2017-04-07</v>
      </c>
      <c r="AN215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08:23:50"},{"id":29,"name":"Sharepoint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853</v>
      </c>
      <c r="B216" s="7">
        <v>4010</v>
      </c>
      <c r="C216" s="21" t="s">
        <v>216</v>
      </c>
      <c r="D216" s="21" t="s">
        <v>211</v>
      </c>
      <c r="E216" s="13">
        <v>42833.092604166668</v>
      </c>
      <c r="F216" s="13">
        <v>42833.094456018516</v>
      </c>
      <c r="G216" s="7">
        <v>1</v>
      </c>
      <c r="H216" s="21" t="s">
        <v>423</v>
      </c>
      <c r="I216" s="13">
        <v>25568.708333333332</v>
      </c>
      <c r="J216" s="7">
        <v>0</v>
      </c>
      <c r="K216" s="97" t="str">
        <f t="shared" si="85"/>
        <v>4009/4010</v>
      </c>
      <c r="L216" s="21" t="str">
        <f>VLOOKUP(A216,'Trips&amp;Operators'!$C$1:$G$99999,5,FALSE)</f>
        <v>SWANSON BRYCE</v>
      </c>
      <c r="M216" s="6">
        <f t="shared" si="86"/>
        <v>-17264.386122685184</v>
      </c>
      <c r="N216" s="7">
        <f t="shared" si="97"/>
        <v>-24860716.016666666</v>
      </c>
      <c r="O216" s="7"/>
      <c r="P216" s="7"/>
      <c r="Q216" s="22"/>
      <c r="R216" s="22"/>
      <c r="S216" s="31">
        <f t="shared" si="87"/>
        <v>1</v>
      </c>
      <c r="T216" s="46" t="str">
        <f t="shared" si="88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89"/>
        <v>https://d0f6bd738d7f1b3e5a7ca70fe4ff75f0.us-east-1.aws.found.io/app/kibana#/discover/Steve-Slow-Train-Analysis-(2080s-and-2083s)?_g=(refreshInterval:(display:Off,pause:!f,section:0,value:0),time:(from:'2017-04-08T01:13:21-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6" s="183" t="str">
        <f t="shared" si="90"/>
        <v>Y</v>
      </c>
      <c r="X216" s="183">
        <f t="shared" si="96"/>
        <v>0</v>
      </c>
      <c r="Y216" s="62">
        <f t="shared" si="79"/>
        <v>4.5499999999999999E-2</v>
      </c>
      <c r="Z216" s="62">
        <f t="shared" si="98"/>
        <v>2.3346</v>
      </c>
      <c r="AA216" s="62">
        <f t="shared" si="91"/>
        <v>2.2890999999999999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2"/>
        <v>0313-07</v>
      </c>
      <c r="AE216" s="85" t="str">
        <f t="shared" si="93"/>
        <v>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 &amp; aws s3 cp s3://rtdc.mdm.uploadarchive.raw/RTDC4010/ "%USERPROFILE%\AppData\Local\Temp\OnboardLogs"\RTDC4010\2017-04-09 --exclude "*" --recursive --include "*20170409*" &amp; "%USERPROFILE%\Documents\GitHub\mrs-test-scripts\Headless Mode &amp; Sideloading\WalkAndUnGZ.bat" "%USERPROFILE%\AppData\Local\Temp\OnboardLogs"\RTDC4010\2017-04-09</v>
      </c>
      <c r="AF216" s="82" t="str">
        <f t="shared" si="94"/>
        <v>"C:\Program Files (x86)\AstroGrep\AstroGrep.exe" /e /r /s /spath="%USERPROFILE%\AppData\Local\Temp\OnboardLogs" /stypes="app*4010*19691231*" /stext=" 23:.+((SYSTEM_STATE.+slice.+state.+changed )|(ment ac)|(multiple cpu faults)|(system.+state.+changed )|(\[timeout)|(PRM\|1\|D)|(kpr)|(kdp)|(\|lc)|(penalty))"</v>
      </c>
      <c r="AG216" s="1" t="str">
        <f t="shared" si="95"/>
        <v>Other</v>
      </c>
      <c r="AH216" s="86" t="str">
        <f t="shared" si="80"/>
        <v>"%USERPROFILE%\Documents\GitHub\eaglep3\Utilities\RefineRTDCRunTimes.py" --tripid 313-07 --locoid 4010 --swversion DE.1.0.9.0 --startMP 204:455 --initTime 2017-04-08T02:13:21 --startdatetime 2017-04-08T02:16:01 --delay 1 --endMP 300:23346 --enddatetime 1969-12-31T17:00:00 --enforcementcount 0 &gt;&gt;C:\Users\stu\Documents\GitHub\eaglep3-reporting\EC\2017-04-07-refined-times.txt</v>
      </c>
      <c r="AI216" s="104" t="str">
        <f t="shared" si="81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ID","value":"313-07"},{"id":16,"name":"Locomotive ID","value":"4010"},{"id":130,"name":"Impact","value":""},{"id":150,"name":"Time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82"/>
        <v>start /low /b %USERPROFILE%\Documents\GitHub\eaglep3\Utilities\DownloadLogsFromS3.py --loco 4010 --day 2017-04-08</v>
      </c>
      <c r="AN216" s="159" t="str">
        <f t="shared" si="8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854</v>
      </c>
      <c r="B217" s="7">
        <v>4030</v>
      </c>
      <c r="C217" s="21" t="s">
        <v>216</v>
      </c>
      <c r="D217" s="21" t="s">
        <v>437</v>
      </c>
      <c r="E217" s="13">
        <v>42833.109432870369</v>
      </c>
      <c r="F217" s="13">
        <v>42833.110590277778</v>
      </c>
      <c r="G217" s="7">
        <v>1</v>
      </c>
      <c r="H217" s="21" t="s">
        <v>423</v>
      </c>
      <c r="I217" s="13">
        <v>42833.119537037041</v>
      </c>
      <c r="J217" s="7">
        <v>0</v>
      </c>
      <c r="K217" s="97" t="str">
        <f t="shared" si="85"/>
        <v>4029/4030</v>
      </c>
      <c r="L217" s="21" t="str">
        <f>VLOOKUP(A217,'Trips&amp;Operators'!$C$1:$G$99999,5,FALSE)</f>
        <v>BROWN JACOB</v>
      </c>
      <c r="M217" s="6">
        <f t="shared" si="86"/>
        <v>8.9467592624714598E-3</v>
      </c>
      <c r="N217" s="7">
        <f t="shared" si="97"/>
        <v>12.883333337958902</v>
      </c>
      <c r="O217" s="7"/>
      <c r="P217" s="7"/>
      <c r="Q217" s="22"/>
      <c r="R217" s="22"/>
      <c r="S217" s="31">
        <f t="shared" si="87"/>
        <v>1</v>
      </c>
      <c r="T217" s="46" t="str">
        <f t="shared" si="88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 t="shared" si="89"/>
        <v>https://d0f6bd738d7f1b3e5a7ca70fe4ff75f0.us-east-1.aws.found.io/app/kibana#/discover/Steve-Slow-Train-Analysis-(2080s-and-2083s)?_g=(refreshInterval:(display:Off,pause:!f,section:0,value:0),time:(from:'2017-04-08T01:37:35-0600',mode:absolute,to:'2017-04-08T03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7" s="183" t="str">
        <f t="shared" si="90"/>
        <v>Y</v>
      </c>
      <c r="X217" s="183">
        <f t="shared" si="96"/>
        <v>2</v>
      </c>
      <c r="Y217" s="62">
        <f t="shared" si="79"/>
        <v>4.58E-2</v>
      </c>
      <c r="Z217" s="62">
        <f t="shared" si="98"/>
        <v>2.3346</v>
      </c>
      <c r="AA217" s="62">
        <f t="shared" si="91"/>
        <v>2.2888000000000002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2"/>
        <v>0315-07</v>
      </c>
      <c r="AE217" s="85" t="str">
        <f t="shared" si="93"/>
        <v>aws s3 cp s3://rtdc.mdm.uploadarchive.raw/RTDC4030/ "%USERPROFILE%\AppData\Local\Temp\OnboardLogs"\RTDC4030\2017-04-08 --exclude "*" --recursive --include "*20170408*" &amp; "%USERPROFILE%\Documents\GitHub\mrs-test-scripts\Headless Mode &amp; Sideloading\WalkAndUnGZ.bat" "%USERPROFILE%\AppData\Local\Temp\OnboardLogs"\RTDC4030\2017-04-08 &amp; aws s3 cp s3://rtdc.mdm.uploadarchive.raw/RTDC4030/ "%USERPROFILE%\AppData\Local\Temp\OnboardLogs"\RTDC4030\2017-04-09 --exclude "*" --recursive --include "*20170409*" &amp; "%USERPROFILE%\Documents\GitHub\mrs-test-scripts\Headless Mode &amp; Sideloading\WalkAndUnGZ.bat" "%USERPROFILE%\AppData\Local\Temp\OnboardLogs"\RTDC4030\2017-04-09</v>
      </c>
      <c r="AF217" s="82" t="str">
        <f t="shared" si="94"/>
        <v>"C:\Program Files (x86)\AstroGrep\AstroGrep.exe" /e /r /s /spath="%USERPROFILE%\AppData\Local\Temp\OnboardLogs" /stypes="app*4030*20170408*" /stext=" 08:.+((SYSTEM_STATE.+slice.+state.+changed )|(ment ac)|(multiple cpu faults)|(system.+state.+changed )|(\[timeout)|(PRM\|1\|D)|(kpr)|(kdp)|(\|lc)|(penalty))"</v>
      </c>
      <c r="AG217" s="1" t="str">
        <f t="shared" si="95"/>
        <v>Other</v>
      </c>
      <c r="AH217" s="86" t="str">
        <f t="shared" si="80"/>
        <v>"%USERPROFILE%\Documents\GitHub\eaglep3\Utilities\RefineRTDCRunTimes.py" --tripid 315-07 --locoid 4030 --swversion DE.1.0.9.0 --startMP 204:458 --initTime 2017-04-08T02:37:35 --startdatetime 2017-04-08T02:39:15 --delay 1 --endMP 300:23346 --enddatetime 2017-04-08T02:52:08 --enforcementcount 0 &gt;&gt;C:\Users\stu\Documents\GitHub\eaglep3-reporting\EC\2017-04-07-refined-times.txt</v>
      </c>
      <c r="AI217" s="104" t="str">
        <f t="shared" si="81"/>
        <v>echo {"issue":{"subject":"","project_id":79,"tracker_id":40,"status_id":1,"priority_id":2,"assigned_to_id":23,"start_date":"2017-04-08","description":"","custom_fields":[{"id":1,"name":"Subdivision","value":"Other"},{"id":4,"name":"Milepost","value":"2.3346"},{"id":17,"name":"Train ID","value":"315-07"},{"id":16,"name":"Locomotive ID","value":"4030"},{"id":130,"name":"Impact","value":""},{"id":150,"name":"Time of Event (Mountain Time)","value":"02:52:08"},{"id":151,"name":"Denver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82"/>
        <v>start /low /b %USERPROFILE%\Documents\GitHub\eaglep3\Utilities\DownloadLogsFromS3.py --loco 4030 --day 2017-04-08</v>
      </c>
      <c r="AN217" s="159" t="str">
        <f t="shared" si="83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08:52:08"},{"id":29,"name":"Sharepoint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666</v>
      </c>
      <c r="B218" s="7">
        <v>4012</v>
      </c>
      <c r="C218" s="21" t="s">
        <v>216</v>
      </c>
      <c r="D218" s="21" t="s">
        <v>984</v>
      </c>
      <c r="E218" s="13">
        <v>42832.199432870373</v>
      </c>
      <c r="F218" s="13">
        <v>42832.204618055555</v>
      </c>
      <c r="G218" s="7">
        <v>7</v>
      </c>
      <c r="H218" s="21" t="s">
        <v>944</v>
      </c>
      <c r="I218" s="13">
        <v>42832.209930555553</v>
      </c>
      <c r="J218" s="7">
        <v>0</v>
      </c>
      <c r="K218" s="97" t="str">
        <f t="shared" si="85"/>
        <v>4011/4012</v>
      </c>
      <c r="L218" s="21" t="str">
        <f>VLOOKUP(A218,'Trips&amp;Operators'!$C$1:$G$99999,5,FALSE)</f>
        <v>GEBRETEKLE DAGNEW</v>
      </c>
      <c r="M218" s="6">
        <f t="shared" si="86"/>
        <v>5.3124999976716936E-3</v>
      </c>
      <c r="N218" s="7">
        <f t="shared" si="97"/>
        <v>7.6499999966472387</v>
      </c>
      <c r="O218" s="7"/>
      <c r="P218" s="7"/>
      <c r="Q218" s="22"/>
      <c r="R218" s="22"/>
      <c r="S218" s="31">
        <f t="shared" si="87"/>
        <v>0</v>
      </c>
      <c r="T218" s="46" t="str">
        <f t="shared" si="88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2" t="str">
        <f t="shared" si="89"/>
        <v>https://d0f6bd738d7f1b3e5a7ca70fe4ff75f0.us-east-1.aws.found.io/app/kibana#/discover/Steve-Slow-Train-Analysis-(2080s-and-2083s)?_g=(refreshInterval:(display:Off,pause:!f,section:0,value:0),time:(from:'2017-04-07T03:47:11-0600',mode:absolute,to:'2017-04-07T06:02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8" s="183" t="str">
        <f t="shared" si="90"/>
        <v>Y</v>
      </c>
      <c r="X218" s="183">
        <f t="shared" si="96"/>
        <v>586</v>
      </c>
      <c r="Y218" s="62">
        <f t="shared" si="79"/>
        <v>2.9693000000000001</v>
      </c>
      <c r="Z218" s="62">
        <f t="shared" si="98"/>
        <v>5.8993000000000002</v>
      </c>
      <c r="AA218" s="62">
        <f t="shared" si="91"/>
        <v>2.93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2"/>
        <v>0901-07</v>
      </c>
      <c r="AE218" s="85" t="str">
        <f t="shared" si="93"/>
        <v>aws s3 cp s3://rtdc.mdm.uploadarchive.raw/RTDC4012/ "%USERPROFILE%\AppData\Local\Temp\OnboardLogs"\RTDC4012\2017-04-07 --exclude "*" --recursive --include "*20170407*" &amp; "%USERPROFILE%\Documents\GitHub\mrs-test-scripts\Headless Mode &amp; Sideloading\WalkAndUnGZ.bat" "%USERPROFILE%\AppData\Local\Temp\OnboardLogs"\RTDC4012\2017-04-07 &amp; aws s3 cp s3://rtdc.mdm.uploadarchive.raw/RTDC4012/ "%USERPROFILE%\AppData\Local\Temp\OnboardLogs"\RTDC4012\2017-04-08 --exclude "*" --recursive --include "*20170408*" &amp; "%USERPROFILE%\Documents\GitHub\mrs-test-scripts\Headless Mode &amp; Sideloading\WalkAndUnGZ.bat" "%USERPROFILE%\AppData\Local\Temp\OnboardLogs"\RTDC4012\2017-04-08</v>
      </c>
      <c r="AF218" s="82" t="str">
        <f t="shared" si="94"/>
        <v>"C:\Program Files (x86)\AstroGrep\AstroGrep.exe" /e /r /s /spath="%USERPROFILE%\AppData\Local\Temp\OnboardLogs" /stypes="app*4012*20170407*" /stext=" 11:.+((SYSTEM_STATE.+slice.+state.+changed )|(ment ac)|(multiple cpu faults)|(system.+state.+changed )|(\[timeout)|(PRM\|1\|D)|(kpr)|(kdp)|(\|lc)|(penalty))"</v>
      </c>
      <c r="AG218" s="1" t="str">
        <f t="shared" si="95"/>
        <v>Other</v>
      </c>
      <c r="AH218" s="86" t="str">
        <f t="shared" si="80"/>
        <v>"%USERPROFILE%\Documents\GitHub\eaglep3\Utilities\RefineRTDCRunTimes.py" --tripid 901-07 --locoid 4012 --swversion DE.1.0.9.0 --startMP 300:29693 --initTime 2017-04-07T04:47:11 --startdatetime 2017-04-07T04:54:39 --delay 7 --endMP 300:58993 --enddatetime 2017-04-07T05:02:18 --enforcementcount 0 &gt;&gt;C:\Users\stu\Documents\GitHub\eaglep3-reporting\EC\2017-04-07-refined-times.txt</v>
      </c>
      <c r="AI218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{"issue":{"subject":"","project_id":79,"tracker_id":40,"status_id":1,"priority_id":2,"assigned_to_id":23,"start_date":"2017-04-07","description":"","custom_fields":[{"id":1,"name":"Subdivision","value":"Other"},{"id":4,"name":"Milepost","value":"5.8993"},{"id":17,"name":"Train ID","value":"901-07"},{"id":16,"name":"Locomotive ID","value":"4012"},{"id":130,"name":"Impact","value":""},{"id":150,"name":"Time of Event (Mountain Time)","value":"05:02:18"},{"id":151,"name":"Denver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82"/>
        <v>start /low /b %USERPROFILE%\Documents\GitHub\eaglep3\Utilities\DownloadLogsFromS3.py --loco 4012 --day 2017-04-07</v>
      </c>
      <c r="AN218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11:02:18"},{"id":29,"name":"Sharepoint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677</v>
      </c>
      <c r="B219" s="7">
        <v>4007</v>
      </c>
      <c r="C219" s="21" t="s">
        <v>216</v>
      </c>
      <c r="D219" s="21" t="s">
        <v>985</v>
      </c>
      <c r="E219" s="13">
        <v>42832.244201388887</v>
      </c>
      <c r="F219" s="13">
        <v>42832.247743055559</v>
      </c>
      <c r="G219" s="7">
        <v>4</v>
      </c>
      <c r="H219" s="21" t="s">
        <v>986</v>
      </c>
      <c r="I219" s="13">
        <v>42832.252870370372</v>
      </c>
      <c r="J219" s="7">
        <v>0</v>
      </c>
      <c r="K219" s="97" t="str">
        <f t="shared" si="85"/>
        <v>4007/4008</v>
      </c>
      <c r="L219" s="21" t="str">
        <f>VLOOKUP(A219,'Trips&amp;Operators'!$C$1:$G$99999,5,FALSE)</f>
        <v>SHOOK JOHN</v>
      </c>
      <c r="M219" s="6">
        <f t="shared" si="86"/>
        <v>5.1273148128530011E-3</v>
      </c>
      <c r="N219" s="7">
        <f t="shared" si="97"/>
        <v>7.3833333305083215</v>
      </c>
      <c r="O219" s="7"/>
      <c r="P219" s="7"/>
      <c r="Q219" s="22"/>
      <c r="R219" s="22"/>
      <c r="S219" s="31">
        <f t="shared" si="87"/>
        <v>1</v>
      </c>
      <c r="T219" s="46" t="str">
        <f t="shared" si="88"/>
        <v>Southbound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2" t="str">
        <f t="shared" si="89"/>
        <v>https://d0f6bd738d7f1b3e5a7ca70fe4ff75f0.us-east-1.aws.found.io/app/kibana#/discover/Steve-Slow-Train-Analysis-(2080s-and-2083s)?_g=(refreshInterval:(display:Off,pause:!f,section:0,value:0),time:(from:'2017-04-07T04:51:39-0600',mode:absolute,to:'2017-04-07T07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9" s="183" t="str">
        <f t="shared" si="90"/>
        <v>Y</v>
      </c>
      <c r="X219" s="183">
        <f t="shared" si="96"/>
        <v>1</v>
      </c>
      <c r="Y219" s="62">
        <f t="shared" si="79"/>
        <v>2.2963</v>
      </c>
      <c r="Z219" s="62">
        <f t="shared" si="98"/>
        <v>7.22E-2</v>
      </c>
      <c r="AA219" s="62">
        <f t="shared" si="91"/>
        <v>2.2241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92"/>
        <v>0902-07</v>
      </c>
      <c r="AE219" s="85" t="str">
        <f t="shared" si="93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219" s="82" t="str">
        <f t="shared" si="94"/>
        <v>"C:\Program Files (x86)\AstroGrep\AstroGrep.exe" /e /r /s /spath="%USERPROFILE%\AppData\Local\Temp\OnboardLogs" /stypes="app*4007*20170407*" /stext=" 12:.+((SYSTEM_STATE.+slice.+state.+changed )|(ment ac)|(multiple cpu faults)|(system.+state.+changed )|(\[timeout)|(PRM\|1\|D)|(kpr)|(kdp)|(\|lc)|(penalty))"</v>
      </c>
      <c r="AG219" s="1" t="str">
        <f t="shared" si="95"/>
        <v>Other</v>
      </c>
      <c r="AH219" s="86" t="str">
        <f t="shared" si="80"/>
        <v>"%USERPROFILE%\Documents\GitHub\eaglep3\Utilities\RefineRTDCRunTimes.py" --tripid 902-07 --locoid 4007 --swversion DE.1.0.9.0 --startMP 300:22963 --initTime 2017-04-07T05:51:39 --startdatetime 2017-04-07T05:56:45 --delay 4 --endMP 204:722 --enddatetime 2017-04-07T06:04:08 --enforcementcount 0 &gt;&gt;C:\Users\stu\Documents\GitHub\eaglep3-reporting\EC\2017-04-07-refined-times.txt</v>
      </c>
      <c r="AI219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{"issue":{"subject":"","project_id":79,"tracker_id":40,"status_id":1,"priority_id":2,"assigned_to_id":23,"start_date":"2017-04-07","description":"","custom_fields":[{"id":1,"name":"Subdivision","value":"Other"},{"id":4,"name":"Milepost","value":"0.0722"},{"id":17,"name":"Train ID","value":"902-07"},{"id":16,"name":"Locomotive ID","value":"4007"},{"id":130,"name":"Impact","value":""},{"id":150,"name":"Time of Event (Mountain Time)","value":"06:04:08"},{"id":151,"name":"Denver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82"/>
        <v>start /low /b %USERPROFILE%\Documents\GitHub\eaglep3\Utilities\DownloadLogsFromS3.py --loco 4007 --day 2017-04-07</v>
      </c>
      <c r="AN219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12:04:08"},{"id":29,"name":"Sharepoint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708</v>
      </c>
      <c r="B220" s="7">
        <v>4012</v>
      </c>
      <c r="C220" s="21" t="s">
        <v>216</v>
      </c>
      <c r="D220" s="21" t="s">
        <v>494</v>
      </c>
      <c r="E220" s="13">
        <v>42832.352349537039</v>
      </c>
      <c r="F220" s="13">
        <v>42832.35423611111</v>
      </c>
      <c r="G220" s="7">
        <v>1</v>
      </c>
      <c r="H220" s="21" t="s">
        <v>623</v>
      </c>
      <c r="I220" s="13">
        <v>42832.359699074077</v>
      </c>
      <c r="J220" s="7">
        <v>0</v>
      </c>
      <c r="K220" s="97" t="str">
        <f t="shared" si="85"/>
        <v>4011/4012</v>
      </c>
      <c r="L220" s="21" t="str">
        <f>VLOOKUP(A220,'Trips&amp;Operators'!$C$1:$G$99999,5,FALSE)</f>
        <v>GEBRETEKLE DAGNEW</v>
      </c>
      <c r="M220" s="6">
        <f t="shared" si="86"/>
        <v>5.4629629667033441E-3</v>
      </c>
      <c r="N220" s="7">
        <f t="shared" si="97"/>
        <v>7.8666666720528156</v>
      </c>
      <c r="O220" s="7"/>
      <c r="P220" s="7"/>
      <c r="Q220" s="22"/>
      <c r="R220" s="22"/>
      <c r="S220" s="31">
        <f t="shared" si="87"/>
        <v>1</v>
      </c>
      <c r="T220" s="46" t="str">
        <f t="shared" si="88"/>
        <v>NorthBound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2" t="str">
        <f t="shared" si="89"/>
        <v>https://d0f6bd738d7f1b3e5a7ca70fe4ff75f0.us-east-1.aws.found.io/app/kibana#/discover/Steve-Slow-Train-Analysis-(2080s-and-2083s)?_g=(refreshInterval:(display:Off,pause:!f,section:0,value:0),time:(from:'2017-04-07T07:27:23-0600',mode:absolute,to:'2017-04-07T09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0" s="183" t="str">
        <f t="shared" si="90"/>
        <v>Y</v>
      </c>
      <c r="X220" s="183">
        <f t="shared" si="96"/>
        <v>1</v>
      </c>
      <c r="Y220" s="62">
        <f t="shared" si="79"/>
        <v>4.4400000000000002E-2</v>
      </c>
      <c r="Z220" s="62">
        <f t="shared" si="98"/>
        <v>2.4253999999999998</v>
      </c>
      <c r="AA220" s="62">
        <f t="shared" si="91"/>
        <v>2.3809999999999998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92"/>
        <v>0903-07</v>
      </c>
      <c r="AE220" s="85" t="str">
        <f t="shared" si="93"/>
        <v>aws s3 cp s3://rtdc.mdm.uploadarchive.raw/RTDC4012/ "%USERPROFILE%\AppData\Local\Temp\OnboardLogs"\RTDC4012\2017-04-07 --exclude "*" --recursive --include "*20170407*" &amp; "%USERPROFILE%\Documents\GitHub\mrs-test-scripts\Headless Mode &amp; Sideloading\WalkAndUnGZ.bat" "%USERPROFILE%\AppData\Local\Temp\OnboardLogs"\RTDC4012\2017-04-07 &amp; aws s3 cp s3://rtdc.mdm.uploadarchive.raw/RTDC4012/ "%USERPROFILE%\AppData\Local\Temp\OnboardLogs"\RTDC4012\2017-04-08 --exclude "*" --recursive --include "*20170408*" &amp; "%USERPROFILE%\Documents\GitHub\mrs-test-scripts\Headless Mode &amp; Sideloading\WalkAndUnGZ.bat" "%USERPROFILE%\AppData\Local\Temp\OnboardLogs"\RTDC4012\2017-04-08</v>
      </c>
      <c r="AF220" s="82" t="str">
        <f t="shared" si="94"/>
        <v>"C:\Program Files (x86)\AstroGrep\AstroGrep.exe" /e /r /s /spath="%USERPROFILE%\AppData\Local\Temp\OnboardLogs" /stypes="app*4012*20170407*" /stext=" 14:.+((SYSTEM_STATE.+slice.+state.+changed )|(ment ac)|(multiple cpu faults)|(system.+state.+changed )|(\[timeout)|(PRM\|1\|D)|(kpr)|(kdp)|(\|lc)|(penalty))"</v>
      </c>
      <c r="AG220" s="1" t="str">
        <f t="shared" si="95"/>
        <v>Other</v>
      </c>
      <c r="AH220" s="86" t="str">
        <f t="shared" si="80"/>
        <v>"%USERPROFILE%\Documents\GitHub\eaglep3\Utilities\RefineRTDCRunTimes.py" --tripid 903-07 --locoid 4012 --swversion DE.1.0.9.0 --startMP 204:444 --initTime 2017-04-07T08:27:23 --startdatetime 2017-04-07T08:30:06 --delay 1 --endMP 300:24254 --enddatetime 2017-04-07T08:37:58 --enforcementcount 0 &gt;&gt;C:\Users\stu\Documents\GitHub\eaglep3-reporting\EC\2017-04-07-refined-times.txt</v>
      </c>
      <c r="AI220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{"issue":{"subject":"","project_id":79,"tracker_id":40,"status_id":1,"priority_id":2,"assigned_to_id":23,"start_date":"2017-04-07","description":"","custom_fields":[{"id":1,"name":"Subdivision","value":"Other"},{"id":4,"name":"Milepost","value":"2.4254"},{"id":17,"name":"Train ID","value":"903-07"},{"id":16,"name":"Locomotive ID","value":"4012"},{"id":130,"name":"Impact","value":""},{"id":150,"name":"Time of Event (Mountain Time)","value":"08:37:58"},{"id":151,"name":"Denver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82"/>
        <v>start /low /b %USERPROFILE%\Documents\GitHub\eaglep3\Utilities\DownloadLogsFromS3.py --loco 4012 --day 2017-04-07</v>
      </c>
      <c r="AN220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14:37:58"},{"id":29,"name":"Sharepoint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774</v>
      </c>
      <c r="B221" s="7">
        <v>4011</v>
      </c>
      <c r="C221" s="21" t="s">
        <v>216</v>
      </c>
      <c r="D221" s="21" t="s">
        <v>987</v>
      </c>
      <c r="E221" s="13">
        <v>42832.640289351853</v>
      </c>
      <c r="F221" s="13">
        <v>42832.642766203702</v>
      </c>
      <c r="G221" s="7">
        <v>3</v>
      </c>
      <c r="H221" s="21" t="s">
        <v>616</v>
      </c>
      <c r="I221" s="13">
        <v>42832.648402777777</v>
      </c>
      <c r="J221" s="7">
        <v>0</v>
      </c>
      <c r="K221" s="97" t="str">
        <f t="shared" si="85"/>
        <v>4011/4012</v>
      </c>
      <c r="L221" s="21" t="str">
        <f>VLOOKUP(A221,'Trips&amp;Operators'!$C$1:$G$99999,5,FALSE)</f>
        <v>SMITH MICHAEL</v>
      </c>
      <c r="M221" s="6">
        <f t="shared" si="86"/>
        <v>5.6365740747423843E-3</v>
      </c>
      <c r="N221" s="7">
        <f t="shared" si="97"/>
        <v>8.1166666676290333</v>
      </c>
      <c r="O221" s="7"/>
      <c r="P221" s="7"/>
      <c r="Q221" s="22"/>
      <c r="R221" s="22"/>
      <c r="S221" s="31">
        <f t="shared" si="87"/>
        <v>1</v>
      </c>
      <c r="T221" s="46" t="str">
        <f t="shared" si="88"/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 t="shared" si="89"/>
        <v>https://d0f6bd738d7f1b3e5a7ca70fe4ff75f0.us-east-1.aws.found.io/app/kibana#/discover/Steve-Slow-Train-Analysis-(2080s-and-2083s)?_g=(refreshInterval:(display:Off,pause:!f,section:0,value:0),time:(from:'2017-04-07T14:22:01-0600',mode:absolute,to:'2017-04-07T16:33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1" s="183" t="str">
        <f t="shared" si="90"/>
        <v>Y</v>
      </c>
      <c r="X221" s="183">
        <f t="shared" si="96"/>
        <v>1</v>
      </c>
      <c r="Y221" s="62">
        <f t="shared" si="79"/>
        <v>2.3351000000000002</v>
      </c>
      <c r="Z221" s="62">
        <f t="shared" si="98"/>
        <v>6.8500000000000005E-2</v>
      </c>
      <c r="AA221" s="62">
        <f t="shared" si="91"/>
        <v>2.2666000000000004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92"/>
        <v>0904-07</v>
      </c>
      <c r="AE221" s="85" t="str">
        <f t="shared" si="93"/>
        <v>aws s3 cp s3://rtdc.mdm.uploadarchive.raw/RTDC4011/ "%USERPROFILE%\AppData\Local\Temp\OnboardLogs"\RTDC4011\2017-04-07 --exclude "*" --recursive --include "*20170407*" &amp; "%USERPROFILE%\Documents\GitHub\mrs-test-scripts\Headless Mode &amp; Sideloading\WalkAndUnGZ.bat" "%USERPROFILE%\AppData\Local\Temp\OnboardLogs"\RTDC4011\2017-04-07 &amp; aws s3 cp s3://rtdc.mdm.uploadarchive.raw/RTDC4011/ "%USERPROFILE%\AppData\Local\Temp\OnboardLogs"\RTDC4011\2017-04-08 --exclude "*" --recursive --include "*20170408*" &amp; "%USERPROFILE%\Documents\GitHub\mrs-test-scripts\Headless Mode &amp; Sideloading\WalkAndUnGZ.bat" "%USERPROFILE%\AppData\Local\Temp\OnboardLogs"\RTDC4011\2017-04-08</v>
      </c>
      <c r="AF221" s="82" t="str">
        <f t="shared" si="94"/>
        <v>"C:\Program Files (x86)\AstroGrep\AstroGrep.exe" /e /r /s /spath="%USERPROFILE%\AppData\Local\Temp\OnboardLogs" /stypes="app*4011*20170407*" /stext=" 21:.+((SYSTEM_STATE.+slice.+state.+changed )|(ment ac)|(multiple cpu faults)|(system.+state.+changed )|(\[timeout)|(PRM\|1\|D)|(kpr)|(kdp)|(\|lc)|(penalty))"</v>
      </c>
      <c r="AG221" s="1" t="str">
        <f t="shared" si="95"/>
        <v>Other</v>
      </c>
      <c r="AH221" s="86" t="str">
        <f t="shared" si="80"/>
        <v>"%USERPROFILE%\Documents\GitHub\eaglep3\Utilities\RefineRTDCRunTimes.py" --tripid 904-07 --locoid 4011 --swversion DE.1.0.9.0 --startMP 300:23351 --initTime 2017-04-07T15:22:01 --startdatetime 2017-04-07T15:25:35 --delay 3 --endMP 204:685 --enddatetime 2017-04-07T15:33:42 --enforcementcount 0 &gt;&gt;C:\Users\stu\Documents\GitHub\eaglep3-reporting\EC\2017-04-07-refined-times.txt</v>
      </c>
      <c r="AI221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{"issue":{"subject":"","project_id":79,"tracker_id":40,"status_id":1,"priority_id":2,"assigned_to_id":23,"start_date":"2017-04-07","description":"","custom_fields":[{"id":1,"name":"Subdivision","value":"Other"},{"id":4,"name":"Milepost","value":"0.0685"},{"id":17,"name":"Train ID","value":"904-07"},{"id":16,"name":"Locomotive ID","value":"4011"},{"id":130,"name":"Impact","value":""},{"id":150,"name":"Time of Event (Mountain Time)","value":"15:33:42"},{"id":151,"name":"Denver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82"/>
        <v>start /low /b %USERPROFILE%\Documents\GitHub\eaglep3\Utilities\DownloadLogsFromS3.py --loco 4011 --day 2017-04-07</v>
      </c>
      <c r="AN221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21:33:42"},{"id":29,"name":"Sharepoint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816</v>
      </c>
      <c r="B222" s="7">
        <v>4011</v>
      </c>
      <c r="C222" s="21" t="s">
        <v>216</v>
      </c>
      <c r="D222" s="21" t="s">
        <v>988</v>
      </c>
      <c r="E222" s="13">
        <v>42832.7966087963</v>
      </c>
      <c r="F222" s="13">
        <v>42832.798252314817</v>
      </c>
      <c r="G222" s="7">
        <v>1</v>
      </c>
      <c r="H222" s="21" t="s">
        <v>989</v>
      </c>
      <c r="I222" s="13">
        <v>42832.80541666667</v>
      </c>
      <c r="J222" s="7">
        <v>0</v>
      </c>
      <c r="K222" s="97" t="str">
        <f t="shared" si="85"/>
        <v>4011/4012</v>
      </c>
      <c r="L222" s="21" t="str">
        <f>VLOOKUP(A222,'Trips&amp;Operators'!$C$1:$G$99999,5,FALSE)</f>
        <v>SMITH MICHAEL</v>
      </c>
      <c r="M222" s="6">
        <f t="shared" si="86"/>
        <v>7.1643518531345762E-3</v>
      </c>
      <c r="N222" s="7">
        <f t="shared" si="97"/>
        <v>10.31666666851379</v>
      </c>
      <c r="O222" s="7"/>
      <c r="P222" s="7"/>
      <c r="Q222" s="22"/>
      <c r="R222" s="22"/>
      <c r="S222" s="31">
        <f t="shared" si="87"/>
        <v>0</v>
      </c>
      <c r="T222" s="46" t="str">
        <f t="shared" si="88"/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2" t="str">
        <f t="shared" si="89"/>
        <v>https://d0f6bd738d7f1b3e5a7ca70fe4ff75f0.us-east-1.aws.found.io/app/kibana#/discover/Steve-Slow-Train-Analysis-(2080s-and-2083s)?_g=(refreshInterval:(display:Off,pause:!f,section:0,value:0),time:(from:'2017-04-07T18:07:07-0600',mode:absolute,to:'2017-04-07T20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2" s="183" t="str">
        <f t="shared" si="90"/>
        <v>Y</v>
      </c>
      <c r="X222" s="183">
        <f t="shared" si="96"/>
        <v>2</v>
      </c>
      <c r="Y222" s="62">
        <f t="shared" si="79"/>
        <v>5.8689999999999998</v>
      </c>
      <c r="Z222" s="62">
        <f t="shared" si="98"/>
        <v>2.8784000000000001</v>
      </c>
      <c r="AA222" s="62">
        <f t="shared" si="91"/>
        <v>2.9905999999999997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92"/>
        <v>0906-07</v>
      </c>
      <c r="AE222" s="85" t="str">
        <f t="shared" si="93"/>
        <v>aws s3 cp s3://rtdc.mdm.uploadarchive.raw/RTDC4011/ "%USERPROFILE%\AppData\Local\Temp\OnboardLogs"\RTDC4011\2017-04-07 --exclude "*" --recursive --include "*20170407*" &amp; "%USERPROFILE%\Documents\GitHub\mrs-test-scripts\Headless Mode &amp; Sideloading\WalkAndUnGZ.bat" "%USERPROFILE%\AppData\Local\Temp\OnboardLogs"\RTDC4011\2017-04-07 &amp; aws s3 cp s3://rtdc.mdm.uploadarchive.raw/RTDC4011/ "%USERPROFILE%\AppData\Local\Temp\OnboardLogs"\RTDC4011\2017-04-08 --exclude "*" --recursive --include "*20170408*" &amp; "%USERPROFILE%\Documents\GitHub\mrs-test-scripts\Headless Mode &amp; Sideloading\WalkAndUnGZ.bat" "%USERPROFILE%\AppData\Local\Temp\OnboardLogs"\RTDC4011\2017-04-08</v>
      </c>
      <c r="AF222" s="82" t="str">
        <f t="shared" si="94"/>
        <v>"C:\Program Files (x86)\AstroGrep\AstroGrep.exe" /e /r /s /spath="%USERPROFILE%\AppData\Local\Temp\OnboardLogs" /stypes="app*4011*20170408*" /stext=" 01:.+((SYSTEM_STATE.+slice.+state.+changed )|(ment ac)|(multiple cpu faults)|(system.+state.+changed )|(\[timeout)|(PRM\|1\|D)|(kpr)|(kdp)|(\|lc)|(penalty))"</v>
      </c>
      <c r="AG222" s="1" t="str">
        <f t="shared" si="95"/>
        <v>Other</v>
      </c>
      <c r="AH222" s="86" t="str">
        <f t="shared" si="80"/>
        <v>"%USERPROFILE%\Documents\GitHub\eaglep3\Utilities\RefineRTDCRunTimes.py" --tripid 906-07 --locoid 4011 --swversion DE.1.0.9.0 --startMP 300:58690 --initTime 2017-04-07T19:07:07 --startdatetime 2017-04-07T19:09:29 --delay 1 --endMP 300:28784 --enddatetime 2017-04-07T19:19:48 --enforcementcount 0 &gt;&gt;C:\Users\stu\Documents\GitHub\eaglep3-reporting\EC\2017-04-07-refined-times.txt</v>
      </c>
      <c r="AI222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{"issue":{"subject":"","project_id":79,"tracker_id":40,"status_id":1,"priority_id":2,"assigned_to_id":23,"start_date":"2017-04-07","description":"","custom_fields":[{"id":1,"name":"Subdivision","value":"Other"},{"id":4,"name":"Milepost","value":"2.8784"},{"id":17,"name":"Train ID","value":"906-07"},{"id":16,"name":"Locomotive ID","value":"4011"},{"id":130,"name":"Impact","value":""},{"id":150,"name":"Time of Event (Mountain Time)","value":"19:19:48"},{"id":151,"name":"Denver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82"/>
        <v>start /low /b %USERPROFILE%\Documents\GitHub\eaglep3\Utilities\DownloadLogsFromS3.py --loco 4011 --day 2017-04-07</v>
      </c>
      <c r="AN222" s="159" t="str">
        <f t="shared" si="83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01:19:48"},{"id":29,"name":"Sharepoint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s="20" customFormat="1" x14ac:dyDescent="0.25">
      <c r="A223" s="33" t="s">
        <v>839</v>
      </c>
      <c r="B223" s="7">
        <v>4007</v>
      </c>
      <c r="C223" s="21" t="s">
        <v>216</v>
      </c>
      <c r="D223" s="21" t="s">
        <v>549</v>
      </c>
      <c r="E223" s="13">
        <v>42832.944201388891</v>
      </c>
      <c r="F223" s="13">
        <v>42832.945937500001</v>
      </c>
      <c r="G223" s="7">
        <v>1</v>
      </c>
      <c r="H223" s="21" t="s">
        <v>990</v>
      </c>
      <c r="I223" s="13">
        <v>42832.950995370367</v>
      </c>
      <c r="J223" s="7">
        <v>0</v>
      </c>
      <c r="K223" s="97" t="str">
        <f t="shared" si="85"/>
        <v>4007/4008</v>
      </c>
      <c r="L223" s="21" t="str">
        <f>VLOOKUP(A223,'Trips&amp;Operators'!$C$1:$G$99999,5,FALSE)</f>
        <v>SMITH MICHAEL</v>
      </c>
      <c r="M223" s="6">
        <f t="shared" si="86"/>
        <v>5.057870366727002E-3</v>
      </c>
      <c r="N223" s="7">
        <f t="shared" si="97"/>
        <v>7.2833333280868828</v>
      </c>
      <c r="O223" s="7"/>
      <c r="P223" s="7"/>
      <c r="Q223" s="22"/>
      <c r="R223" s="22"/>
      <c r="S223" s="31">
        <f t="shared" si="87"/>
        <v>0</v>
      </c>
      <c r="T223" s="46" t="str">
        <f t="shared" si="88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89"/>
        <v>https://d0f6bd738d7f1b3e5a7ca70fe4ff75f0.us-east-1.aws.found.io/app/kibana#/discover/Steve-Slow-Train-Analysis-(2080s-and-2083s)?_g=(refreshInterval:(display:Off,pause:!f,section:0,value:0),time:(from:'2017-04-07T21:39:39-0600',mode:absolute,to:'2017-04-07T23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3" s="183" t="str">
        <f t="shared" si="90"/>
        <v>Y</v>
      </c>
      <c r="X223" s="183">
        <f t="shared" si="96"/>
        <v>2</v>
      </c>
      <c r="Y223" s="62">
        <f t="shared" si="79"/>
        <v>5.867</v>
      </c>
      <c r="Z223" s="62">
        <f t="shared" si="98"/>
        <v>2.1555</v>
      </c>
      <c r="AA223" s="62">
        <f t="shared" si="91"/>
        <v>3.7115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92"/>
        <v>0908-07</v>
      </c>
      <c r="AE223" s="85" t="str">
        <f t="shared" si="93"/>
        <v>aws s3 cp s3://rtdc.mdm.uploadarchive.raw/RTDC4007/ "%USERPROFILE%\AppData\Local\Temp\OnboardLogs"\RTDC4007\2017-04-07 --exclude "*" --recursive --include "*20170407*" &amp; "%USERPROFILE%\Documents\GitHub\mrs-test-scripts\Headless Mode &amp; Sideloading\WalkAndUnGZ.bat" "%USERPROFILE%\AppData\Local\Temp\OnboardLogs"\RTDC4007\2017-04-07 &amp; aws s3 cp s3://rtdc.mdm.uploadarchive.raw/RTDC4007/ "%USERPROFILE%\AppData\Local\Temp\OnboardLogs"\RTDC4007\2017-04-08 --exclude "*" --recursive --include "*20170408*" &amp; "%USERPROFILE%\Documents\GitHub\mrs-test-scripts\Headless Mode &amp; Sideloading\WalkAndUnGZ.bat" "%USERPROFILE%\AppData\Local\Temp\OnboardLogs"\RTDC4007\2017-04-08</v>
      </c>
      <c r="AF223" s="82" t="str">
        <f t="shared" si="94"/>
        <v>"C:\Program Files (x86)\AstroGrep\AstroGrep.exe" /e /r /s /spath="%USERPROFILE%\AppData\Local\Temp\OnboardLogs" /stypes="app*4007*20170408*" /stext=" 04:.+((SYSTEM_STATE.+slice.+state.+changed )|(ment ac)|(multiple cpu faults)|(system.+state.+changed )|(\[timeout)|(PRM\|1\|D)|(kpr)|(kdp)|(\|lc)|(penalty))"</v>
      </c>
      <c r="AG223" s="1" t="str">
        <f t="shared" si="95"/>
        <v>Other</v>
      </c>
      <c r="AH223" s="86" t="str">
        <f t="shared" si="80"/>
        <v>"%USERPROFILE%\Documents\GitHub\eaglep3\Utilities\RefineRTDCRunTimes.py" --tripid 908-07 --locoid 4007 --swversion DE.1.0.9.0 --startMP 300:58670 --initTime 2017-04-07T22:39:39 --startdatetime 2017-04-07T22:42:09 --delay 1 --endMP 300:21555 --enddatetime 2017-04-07T22:49:26 --enforcementcount 0 &gt;&gt;C:\Users\stu\Documents\GitHub\eaglep3-reporting\EC\2017-04-07-refined-times.txt</v>
      </c>
      <c r="AI223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{"issue":{"subject":"","project_id":79,"tracker_id":40,"status_id":1,"priority_id":2,"assigned_to_id":23,"start_date":"2017-04-07","description":"","custom_fields":[{"id":1,"name":"Subdivision","value":"Other"},{"id":4,"name":"Milepost","value":"2.1555"},{"id":17,"name":"Train ID","value":"908-07"},{"id":16,"name":"Locomotive ID","value":"4007"},{"id":130,"name":"Impact","value":""},{"id":150,"name":"Time of Event (Mountain Time)","value":"22:49:26"},{"id":151,"name":"Denver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3" s="48"/>
      <c r="AL223" s="48"/>
      <c r="AM223" s="150" t="str">
        <f t="shared" si="82"/>
        <v>start /low /b %USERPROFILE%\Documents\GitHub\eaglep3\Utilities\DownloadLogsFromS3.py --loco 4007 --day 2017-04-07</v>
      </c>
      <c r="AN223" s="159" t="str">
        <f t="shared" si="83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04:49:26"},{"id":29,"name":"Sharepoint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655</v>
      </c>
      <c r="B224" s="7">
        <v>4052</v>
      </c>
      <c r="C224" s="21" t="s">
        <v>216</v>
      </c>
      <c r="D224" s="21" t="s">
        <v>931</v>
      </c>
      <c r="E224" s="13">
        <v>42832.119027777779</v>
      </c>
      <c r="F224" s="13">
        <v>42832.121122685188</v>
      </c>
      <c r="G224" s="7">
        <v>1</v>
      </c>
      <c r="H224" s="21" t="s">
        <v>932</v>
      </c>
      <c r="I224" s="13">
        <v>42832.136111111111</v>
      </c>
      <c r="J224" s="7">
        <v>0</v>
      </c>
      <c r="K224" s="97" t="str">
        <f t="shared" si="85"/>
        <v>4051/4052</v>
      </c>
      <c r="L224" s="21" t="str">
        <f>VLOOKUP(A224,'Trips&amp;Operators'!$C$1:$G$99999,5,FALSE)</f>
        <v>SPECTOR MICHAEL</v>
      </c>
      <c r="M224" s="6">
        <f t="shared" si="86"/>
        <v>1.4988425922638271E-2</v>
      </c>
      <c r="N224" s="7">
        <f t="shared" si="97"/>
        <v>21.58333332859911</v>
      </c>
      <c r="O224" s="7"/>
      <c r="P224" s="7"/>
      <c r="Q224" s="22"/>
      <c r="R224" s="22"/>
      <c r="S224" s="31">
        <f t="shared" si="87"/>
        <v>0</v>
      </c>
      <c r="T224" s="46" t="e">
        <f t="shared" si="88"/>
        <v>#VALUE!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89"/>
        <v>https://d0f6bd738d7f1b3e5a7ca70fe4ff75f0.us-east-1.aws.found.io/app/kibana#/discover/Steve-Slow-Train-Analysis-(2080s-and-2083s)?_g=(refreshInterval:(display:Off,pause:!f,section:0,value:0),time:(from:'2017-04-07T01:51:24-0600',mode:absolute,to:'2017-04-07T04:16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4" s="183" t="str">
        <f t="shared" si="90"/>
        <v>N</v>
      </c>
      <c r="X224" s="183" t="e">
        <f t="shared" si="96"/>
        <v>#VALUE!</v>
      </c>
      <c r="Y224" s="62">
        <f t="shared" si="79"/>
        <v>0.1152</v>
      </c>
      <c r="Z224" s="62">
        <f t="shared" si="98"/>
        <v>12.8278</v>
      </c>
      <c r="AA224" s="62">
        <f t="shared" si="91"/>
        <v>12.7126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92"/>
        <v>50-07</v>
      </c>
      <c r="AE224" s="85" t="str">
        <f t="shared" si="93"/>
        <v>aws s3 cp s3://rtdc.mdm.uploadarchive.raw/RTDC4052/ "%USERPROFILE%\AppData\Local\Temp\OnboardLogs"\RTDC4052\2017-04-07 --exclude "*" --recursive --include "*20170407*" &amp; "%USERPROFILE%\Documents\GitHub\mrs-test-scripts\Headless Mode &amp; Sideloading\WalkAndUnGZ.bat" "%USERPROFILE%\AppData\Local\Temp\OnboardLogs"\RTDC4052\2017-04-07 &amp; aws s3 cp s3://rtdc.mdm.uploadarchive.raw/RTDC4052/ "%USERPROFILE%\AppData\Local\Temp\OnboardLogs"\RTDC4052\2017-04-08 --exclude "*" --recursive --include "*20170408*" &amp; "%USERPROFILE%\Documents\GitHub\mrs-test-scripts\Headless Mode &amp; Sideloading\WalkAndUnGZ.bat" "%USERPROFILE%\AppData\Local\Temp\OnboardLogs"\RTDC4052\2017-04-08</v>
      </c>
      <c r="AF224" s="82" t="str">
        <f t="shared" si="94"/>
        <v>"C:\Program Files (x86)\AstroGrep\AstroGrep.exe" /e /r /s /spath="%USERPROFILE%\AppData\Local\Temp\OnboardLogs" /stypes="app*4052*20170407*" /stext=" 09:.+((SYSTEM_STATE.+slice.+state.+changed )|(ment ac)|(multiple cpu faults)|(system.+state.+changed )|(\[timeout)|(PRM\|1\|D)|(kpr)|(kdp)|(\|lc)|(penalty))"</v>
      </c>
      <c r="AG224" s="1" t="str">
        <f t="shared" si="95"/>
        <v>Other</v>
      </c>
      <c r="AH224" s="86" t="str">
        <f t="shared" si="80"/>
        <v>"%USERPROFILE%\Documents\GitHub\eaglep3\Utilities\RefineRTDCRunTimes.py" --tripid 50-07 --locoid 4052 --swversion DE.1.0.9.0 --startMP 204:1152 --initTime 2017-04-07T02:51:24 --startdatetime 2017-04-07T02:54:25 --delay 1 --endMP 204:128278 --enddatetime 2017-04-07T03:16:00 --enforcementcount 0 &gt;&gt;C:\Users\stu\Documents\GitHub\eaglep3-reporting\EC\2017-04-07-refined-times.txt</v>
      </c>
      <c r="AI224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{"issue":{"subject":"","project_id":79,"tracker_id":40,"status_id":1,"priority_id":2,"assigned_to_id":23,"start_date":"2017-04-07","description":"","custom_fields":[{"id":1,"name":"Subdivision","value":"Other"},{"id":4,"name":"Milepost","value":"12.8278"},{"id":17,"name":"Train ID","value":"50-07"},{"id":16,"name":"Locomotive ID","value":"4052"},{"id":130,"name":"Impact","value":""},{"id":150,"name":"Time of Event (Mountain Time)","value":"03:16:00"},{"id":151,"name":"Denver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82"/>
        <v>start /low /b %USERPROFILE%\Documents\GitHub\eaglep3\Utilities\DownloadLogsFromS3.py --loco 4052 --day 2017-04-07</v>
      </c>
      <c r="AN224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09:16:00"},{"id":29,"name":"Sharepoint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625</v>
      </c>
      <c r="B225" s="7">
        <v>4005</v>
      </c>
      <c r="C225" s="21" t="s">
        <v>216</v>
      </c>
      <c r="D225" s="21" t="s">
        <v>933</v>
      </c>
      <c r="E225" s="13">
        <v>42832.436053240737</v>
      </c>
      <c r="F225" s="13">
        <v>42832.439016203702</v>
      </c>
      <c r="G225" s="7">
        <v>4</v>
      </c>
      <c r="H225" s="21" t="s">
        <v>934</v>
      </c>
      <c r="I225" s="13">
        <v>42832.443391203706</v>
      </c>
      <c r="J225" s="7">
        <v>0</v>
      </c>
      <c r="K225" s="97" t="str">
        <f t="shared" si="85"/>
        <v>4005/4006</v>
      </c>
      <c r="L225" s="21" t="str">
        <f>VLOOKUP(A225,'Trips&amp;Operators'!$C$1:$G$99999,5,FALSE)</f>
        <v>SPECTOR MICHAEL</v>
      </c>
      <c r="M225" s="6">
        <f t="shared" si="86"/>
        <v>4.3750000040745363E-3</v>
      </c>
      <c r="N225" s="7">
        <f t="shared" si="97"/>
        <v>6.3000000058673322</v>
      </c>
      <c r="O225" s="7"/>
      <c r="P225" s="7"/>
      <c r="Q225" s="22"/>
      <c r="R225" s="22"/>
      <c r="S225" s="31">
        <f t="shared" si="87"/>
        <v>0</v>
      </c>
      <c r="T225" s="46" t="e">
        <f t="shared" si="88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89"/>
        <v>https://d0f6bd738d7f1b3e5a7ca70fe4ff75f0.us-east-1.aws.found.io/app/kibana#/discover/Steve-Slow-Train-Analysis-(2080s-and-2083s)?_g=(refreshInterval:(display:Off,pause:!f,section:0,value:0),time:(from:'2017-04-07T09:27:55-0600',mode:absolute,to:'2017-04-07T11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5" s="183" t="str">
        <f t="shared" si="90"/>
        <v>Y</v>
      </c>
      <c r="X225" s="183" t="e">
        <f t="shared" si="96"/>
        <v>#VALUE!</v>
      </c>
      <c r="Y225" s="62">
        <f t="shared" si="79"/>
        <v>1.9171</v>
      </c>
      <c r="Z225" s="62">
        <f t="shared" si="98"/>
        <v>8.2000000000000007E-3</v>
      </c>
      <c r="AA225" s="62">
        <f t="shared" si="91"/>
        <v>1.9089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92"/>
        <v>51-07</v>
      </c>
      <c r="AE225" s="85" t="str">
        <f t="shared" si="93"/>
        <v>aws s3 cp s3://rtdc.mdm.uploadarchive.raw/RTDC4005/ "%USERPROFILE%\AppData\Local\Temp\OnboardLogs"\RTDC4005\2017-04-07 --exclude "*" --recursive --include "*20170407*" &amp; "%USERPROFILE%\Documents\GitHub\mrs-test-scripts\Headless Mode &amp; Sideloading\WalkAndUnGZ.bat" "%USERPROFILE%\AppData\Local\Temp\OnboardLogs"\RTDC4005\2017-04-07 &amp; aws s3 cp s3://rtdc.mdm.uploadarchive.raw/RTDC4005/ "%USERPROFILE%\AppData\Local\Temp\OnboardLogs"\RTDC4005\2017-04-08 --exclude "*" --recursive --include "*20170408*" &amp; "%USERPROFILE%\Documents\GitHub\mrs-test-scripts\Headless Mode &amp; Sideloading\WalkAndUnGZ.bat" "%USERPROFILE%\AppData\Local\Temp\OnboardLogs"\RTDC4005\2017-04-08</v>
      </c>
      <c r="AF225" s="82" t="str">
        <f t="shared" si="94"/>
        <v>"C:\Program Files (x86)\AstroGrep\AstroGrep.exe" /e /r /s /spath="%USERPROFILE%\AppData\Local\Temp\OnboardLogs" /stypes="app*4005*20170407*" /stext=" 16:.+((SYSTEM_STATE.+slice.+state.+changed )|(ment ac)|(multiple cpu faults)|(system.+state.+changed )|(\[timeout)|(PRM\|1\|D)|(kpr)|(kdp)|(\|lc)|(penalty))"</v>
      </c>
      <c r="AG225" s="1" t="str">
        <f t="shared" si="95"/>
        <v>Other</v>
      </c>
      <c r="AH225" s="86" t="str">
        <f t="shared" si="80"/>
        <v>"%USERPROFILE%\Documents\GitHub\eaglep3\Utilities\RefineRTDCRunTimes.py" --tripid 51-07 --locoid 4005 --swversion DE.1.0.9.0 --startMP 300:19171 --initTime 2017-04-07T10:27:55 --startdatetime 2017-04-07T10:32:11 --delay 4 --endMP 204:82 --enddatetime 2017-04-07T10:38:29 --enforcementcount 0 &gt;&gt;C:\Users\stu\Documents\GitHub\eaglep3-reporting\EC\2017-04-07-refined-times.txt</v>
      </c>
      <c r="AI225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{"issue":{"subject":"","project_id":79,"tracker_id":40,"status_id":1,"priority_id":2,"assigned_to_id":23,"start_date":"2017-04-07","description":"","custom_fields":[{"id":1,"name":"Subdivision","value":"Other"},{"id":4,"name":"Milepost","value":"0.0082"},{"id":17,"name":"Train ID","value":"51-07"},{"id":16,"name":"Locomotive ID","value":"4005"},{"id":130,"name":"Impact","value":""},{"id":150,"name":"Time of Event (Mountain Time)","value":"10:38:29"},{"id":151,"name":"Denver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82"/>
        <v>start /low /b %USERPROFILE%\Documents\GitHub\eaglep3\Utilities\DownloadLogsFromS3.py --loco 4005 --day 2017-04-07</v>
      </c>
      <c r="AN225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16:38:29"},{"id":29,"name":"Sharepoint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625</v>
      </c>
      <c r="B226" s="7">
        <v>4020</v>
      </c>
      <c r="C226" s="21" t="s">
        <v>216</v>
      </c>
      <c r="D226" s="21" t="s">
        <v>935</v>
      </c>
      <c r="E226" s="13">
        <v>42832.715694444443</v>
      </c>
      <c r="F226" s="13">
        <v>42832.737025462964</v>
      </c>
      <c r="G226" s="7">
        <v>1</v>
      </c>
      <c r="H226" s="21" t="s">
        <v>611</v>
      </c>
      <c r="I226" s="13">
        <v>42832.74622685185</v>
      </c>
      <c r="J226" s="7">
        <v>0</v>
      </c>
      <c r="K226" s="97" t="str">
        <f t="shared" si="85"/>
        <v>4019/4020</v>
      </c>
      <c r="L226" s="21" t="str">
        <f>VLOOKUP(A226,'Trips&amp;Operators'!$C$1:$G$99999,5,FALSE)</f>
        <v>SPECTOR MICHAEL</v>
      </c>
      <c r="M226" s="6">
        <f t="shared" si="86"/>
        <v>9.2013888861401938E-3</v>
      </c>
      <c r="N226" s="7">
        <f t="shared" si="97"/>
        <v>13.249999996041879</v>
      </c>
      <c r="O226" s="7"/>
      <c r="P226" s="7"/>
      <c r="Q226" s="22"/>
      <c r="R226" s="22"/>
      <c r="S226" s="31">
        <f t="shared" si="87"/>
        <v>0</v>
      </c>
      <c r="T226" s="46" t="e">
        <f t="shared" si="88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89"/>
        <v>https://d0f6bd738d7f1b3e5a7ca70fe4ff75f0.us-east-1.aws.found.io/app/kibana#/discover/Steve-Slow-Train-Analysis-(2080s-and-2083s)?_g=(refreshInterval:(display:Off,pause:!f,section:0,value:0),time:(from:'2017-04-07T16:10:36-0600',mode:absolute,to:'2017-04-07T18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6" s="183" t="str">
        <f t="shared" si="90"/>
        <v>Y</v>
      </c>
      <c r="X226" s="183" t="e">
        <f t="shared" si="96"/>
        <v>#VALUE!</v>
      </c>
      <c r="Y226" s="62">
        <f t="shared" si="79"/>
        <v>0.1477</v>
      </c>
      <c r="Z226" s="62">
        <f t="shared" si="98"/>
        <v>2.3306</v>
      </c>
      <c r="AA226" s="62">
        <f t="shared" si="91"/>
        <v>2.1829000000000001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92"/>
        <v>51-07</v>
      </c>
      <c r="AE226" s="85" t="str">
        <f t="shared" si="93"/>
        <v>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 &amp; 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</v>
      </c>
      <c r="AF226" s="82" t="str">
        <f t="shared" si="94"/>
        <v>"C:\Program Files (x86)\AstroGrep\AstroGrep.exe" /e /r /s /spath="%USERPROFILE%\AppData\Local\Temp\OnboardLogs" /stypes="app*4020*20170407*" /stext=" 23:.+((SYSTEM_STATE.+slice.+state.+changed )|(ment ac)|(multiple cpu faults)|(system.+state.+changed )|(\[timeout)|(PRM\|1\|D)|(kpr)|(kdp)|(\|lc)|(penalty))"</v>
      </c>
      <c r="AG226" s="1" t="str">
        <f t="shared" si="95"/>
        <v>Other</v>
      </c>
      <c r="AH226" s="86" t="str">
        <f t="shared" si="80"/>
        <v>"%USERPROFILE%\Documents\GitHub\eaglep3\Utilities\RefineRTDCRunTimes.py" --tripid 51-07 --locoid 4020 --swversion DE.1.0.9.0 --startMP 204:1477 --initTime 2017-04-07T17:10:36 --startdatetime 2017-04-07T17:41:19 --delay 1 --endMP 300:23306 --enddatetime 2017-04-07T17:54:34 --enforcementcount 0 &gt;&gt;C:\Users\stu\Documents\GitHub\eaglep3-reporting\EC\2017-04-07-refined-times.txt</v>
      </c>
      <c r="AI226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{"issue":{"subject":"","project_id":79,"tracker_id":40,"status_id":1,"priority_id":2,"assigned_to_id":23,"start_date":"2017-04-07","description":"","custom_fields":[{"id":1,"name":"Subdivision","value":"Other"},{"id":4,"name":"Milepost","value":"2.3306"},{"id":17,"name":"Train ID","value":"51-07"},{"id":16,"name":"Locomotive ID","value":"4020"},{"id":130,"name":"Impact","value":""},{"id":150,"name":"Time of Event (Mountain Time)","value":"17:54:34"},{"id":151,"name":"Denver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82"/>
        <v>start /low /b %USERPROFILE%\Documents\GitHub\eaglep3\Utilities\DownloadLogsFromS3.py --loco 4020 --day 2017-04-07</v>
      </c>
      <c r="AN226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23:54:34"},{"id":29,"name":"Sharepoint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625</v>
      </c>
      <c r="B227" s="7">
        <v>4051</v>
      </c>
      <c r="C227" s="21" t="s">
        <v>216</v>
      </c>
      <c r="D227" s="21" t="s">
        <v>936</v>
      </c>
      <c r="E227" s="13">
        <v>42832.137118055558</v>
      </c>
      <c r="F227" s="13">
        <v>42832.138842592591</v>
      </c>
      <c r="G227" s="7">
        <v>1</v>
      </c>
      <c r="H227" s="21" t="s">
        <v>937</v>
      </c>
      <c r="I227" s="13">
        <v>42832.157835648148</v>
      </c>
      <c r="J227" s="7">
        <v>0</v>
      </c>
      <c r="K227" s="97" t="str">
        <f t="shared" si="85"/>
        <v>4051/4052</v>
      </c>
      <c r="L227" s="21" t="str">
        <f>VLOOKUP(A227,'Trips&amp;Operators'!$C$1:$G$99999,5,FALSE)</f>
        <v>SPECTOR MICHAEL</v>
      </c>
      <c r="M227" s="6">
        <f t="shared" si="86"/>
        <v>1.8993055557075422E-2</v>
      </c>
      <c r="N227" s="7">
        <f t="shared" si="97"/>
        <v>27.350000002188608</v>
      </c>
      <c r="O227" s="7"/>
      <c r="P227" s="7"/>
      <c r="Q227" s="22"/>
      <c r="R227" s="22"/>
      <c r="S227" s="31">
        <f t="shared" si="87"/>
        <v>0</v>
      </c>
      <c r="T227" s="46" t="e">
        <f t="shared" si="88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89"/>
        <v>https://d0f6bd738d7f1b3e5a7ca70fe4ff75f0.us-east-1.aws.found.io/app/kibana#/discover/Steve-Slow-Train-Analysis-(2080s-and-2083s)?_g=(refreshInterval:(display:Off,pause:!f,section:0,value:0),time:(from:'2017-04-07T02:17:27-0600',mode:absolute,to:'2017-04-07T04:47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7" s="183" t="str">
        <f t="shared" si="90"/>
        <v>N</v>
      </c>
      <c r="X227" s="183" t="e">
        <f t="shared" si="96"/>
        <v>#VALUE!</v>
      </c>
      <c r="Y227" s="62">
        <f t="shared" si="79"/>
        <v>12.802</v>
      </c>
      <c r="Z227" s="62">
        <f t="shared" si="98"/>
        <v>0.18340000000000001</v>
      </c>
      <c r="AA227" s="62">
        <f t="shared" si="91"/>
        <v>12.618599999999999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92"/>
        <v>51-07</v>
      </c>
      <c r="AE227" s="85" t="str">
        <f t="shared" si="93"/>
        <v>aws s3 cp s3://rtdc.mdm.uploadarchive.raw/RTDC4051/ "%USERPROFILE%\AppData\Local\Temp\OnboardLogs"\RTDC4051\2017-04-07 --exclude "*" --recursive --include "*20170407*" &amp; "%USERPROFILE%\Documents\GitHub\mrs-test-scripts\Headless Mode &amp; Sideloading\WalkAndUnGZ.bat" "%USERPROFILE%\AppData\Local\Temp\OnboardLogs"\RTDC4051\2017-04-07 &amp; aws s3 cp s3://rtdc.mdm.uploadarchive.raw/RTDC4051/ "%USERPROFILE%\AppData\Local\Temp\OnboardLogs"\RTDC4051\2017-04-08 --exclude "*" --recursive --include "*20170408*" &amp; "%USERPROFILE%\Documents\GitHub\mrs-test-scripts\Headless Mode &amp; Sideloading\WalkAndUnGZ.bat" "%USERPROFILE%\AppData\Local\Temp\OnboardLogs"\RTDC4051\2017-04-08</v>
      </c>
      <c r="AF227" s="82" t="str">
        <f t="shared" si="94"/>
        <v>"C:\Program Files (x86)\AstroGrep\AstroGrep.exe" /e /r /s /spath="%USERPROFILE%\AppData\Local\Temp\OnboardLogs" /stypes="app*4051*20170407*" /stext=" 09:.+((SYSTEM_STATE.+slice.+state.+changed )|(ment ac)|(multiple cpu faults)|(system.+state.+changed )|(\[timeout)|(PRM\|1\|D)|(kpr)|(kdp)|(\|lc)|(penalty))"</v>
      </c>
      <c r="AG227" s="1" t="str">
        <f t="shared" si="95"/>
        <v>Other</v>
      </c>
      <c r="AH227" s="86" t="str">
        <f t="shared" si="80"/>
        <v>"%USERPROFILE%\Documents\GitHub\eaglep3\Utilities\RefineRTDCRunTimes.py" --tripid 51-07 --locoid 4051 --swversion DE.1.0.9.0 --startMP 204:128020 --initTime 2017-04-07T03:17:27 --startdatetime 2017-04-07T03:19:56 --delay 1 --endMP 204:1834 --enddatetime 2017-04-07T03:47:17 --enforcementcount 0 &gt;&gt;C:\Users\stu\Documents\GitHub\eaglep3-reporting\EC\2017-04-07-refined-times.txt</v>
      </c>
      <c r="AI227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{"issue":{"subject":"","project_id":79,"tracker_id":40,"status_id":1,"priority_id":2,"assigned_to_id":23,"start_date":"2017-04-07","description":"","custom_fields":[{"id":1,"name":"Subdivision","value":"Other"},{"id":4,"name":"Milepost","value":"0.1834"},{"id":17,"name":"Train ID","value":"51-07"},{"id":16,"name":"Locomotive ID","value":"4051"},{"id":130,"name":"Impact","value":""},{"id":150,"name":"Time of Event (Mountain Time)","value":"03:47:17"},{"id":151,"name":"Denver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82"/>
        <v>start /low /b %USERPROFILE%\Documents\GitHub\eaglep3\Utilities\DownloadLogsFromS3.py --loco 4051 --day 2017-04-07</v>
      </c>
      <c r="AN227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09:47:17"},{"id":29,"name":"Sharepoint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636</v>
      </c>
      <c r="B228" s="7">
        <v>4006</v>
      </c>
      <c r="C228" s="21" t="s">
        <v>216</v>
      </c>
      <c r="D228" s="21" t="s">
        <v>601</v>
      </c>
      <c r="E228" s="13">
        <v>42832.4684375</v>
      </c>
      <c r="F228" s="13">
        <v>42832.469652777778</v>
      </c>
      <c r="G228" s="7">
        <v>1</v>
      </c>
      <c r="H228" s="21" t="s">
        <v>938</v>
      </c>
      <c r="I228" s="13">
        <v>42832.477314814816</v>
      </c>
      <c r="J228" s="7">
        <v>0</v>
      </c>
      <c r="K228" s="97" t="str">
        <f t="shared" si="85"/>
        <v>4005/4006</v>
      </c>
      <c r="L228" s="21" t="str">
        <f>VLOOKUP(A228,'Trips&amp;Operators'!$C$1:$G$99999,5,FALSE)</f>
        <v>ROBINSON KADDIBA</v>
      </c>
      <c r="M228" s="6">
        <f t="shared" si="86"/>
        <v>7.662037038244307E-3</v>
      </c>
      <c r="N228" s="7">
        <f t="shared" si="97"/>
        <v>11.033333335071802</v>
      </c>
      <c r="O228" s="7"/>
      <c r="P228" s="7"/>
      <c r="Q228" s="22"/>
      <c r="R228" s="22"/>
      <c r="S228" s="31">
        <f t="shared" si="87"/>
        <v>0</v>
      </c>
      <c r="T228" s="46" t="e">
        <f t="shared" si="88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89"/>
        <v>https://d0f6bd738d7f1b3e5a7ca70fe4ff75f0.us-east-1.aws.found.io/app/kibana#/discover/Steve-Slow-Train-Analysis-(2080s-and-2083s)?_g=(refreshInterval:(display:Off,pause:!f,section:0,value:0),time:(from:'2017-04-07T10:14:33-0600',mode:absolute,to:'2017-04-07T12:27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8" s="183" t="str">
        <f t="shared" si="90"/>
        <v>Y</v>
      </c>
      <c r="X228" s="183" t="e">
        <f t="shared" si="96"/>
        <v>#VALUE!</v>
      </c>
      <c r="Y228" s="62">
        <f t="shared" si="79"/>
        <v>3.7900000000000003E-2</v>
      </c>
      <c r="Z228" s="62">
        <f t="shared" si="98"/>
        <v>2.2717999999999998</v>
      </c>
      <c r="AA228" s="62">
        <f t="shared" si="91"/>
        <v>2.2338999999999998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92"/>
        <v>52-07</v>
      </c>
      <c r="AE228" s="85" t="str">
        <f t="shared" si="93"/>
        <v>aws s3 cp s3://rtdc.mdm.uploadarchive.raw/RTDC4006/ "%USERPROFILE%\AppData\Local\Temp\OnboardLogs"\RTDC4006\2017-04-07 --exclude "*" --recursive --include "*20170407*" &amp; "%USERPROFILE%\Documents\GitHub\mrs-test-scripts\Headless Mode &amp; Sideloading\WalkAndUnGZ.bat" "%USERPROFILE%\AppData\Local\Temp\OnboardLogs"\RTDC4006\2017-04-07 &amp; aws s3 cp s3://rtdc.mdm.uploadarchive.raw/RTDC4006/ "%USERPROFILE%\AppData\Local\Temp\OnboardLogs"\RTDC4006\2017-04-08 --exclude "*" --recursive --include "*20170408*" &amp; "%USERPROFILE%\Documents\GitHub\mrs-test-scripts\Headless Mode &amp; Sideloading\WalkAndUnGZ.bat" "%USERPROFILE%\AppData\Local\Temp\OnboardLogs"\RTDC4006\2017-04-08</v>
      </c>
      <c r="AF228" s="82" t="str">
        <f t="shared" si="94"/>
        <v>"C:\Program Files (x86)\AstroGrep\AstroGrep.exe" /e /r /s /spath="%USERPROFILE%\AppData\Local\Temp\OnboardLogs" /stypes="app*4006*20170407*" /stext=" 17:.+((SYSTEM_STATE.+slice.+state.+changed )|(ment ac)|(multiple cpu faults)|(system.+state.+changed )|(\[timeout)|(PRM\|1\|D)|(kpr)|(kdp)|(\|lc)|(penalty))"</v>
      </c>
      <c r="AG228" s="1" t="str">
        <f t="shared" si="95"/>
        <v>Other</v>
      </c>
      <c r="AH228" s="86" t="str">
        <f t="shared" si="80"/>
        <v>"%USERPROFILE%\Documents\GitHub\eaglep3\Utilities\RefineRTDCRunTimes.py" --tripid 52-07 --locoid 4006 --swversion DE.1.0.9.0 --startMP 204:379 --initTime 2017-04-07T11:14:33 --startdatetime 2017-04-07T11:16:18 --delay 1 --endMP 300:22718 --enddatetime 2017-04-07T11:27:20 --enforcementcount 0 &gt;&gt;C:\Users\stu\Documents\GitHub\eaglep3-reporting\EC\2017-04-07-refined-times.txt</v>
      </c>
      <c r="AI228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{"issue":{"subject":"","project_id":79,"tracker_id":40,"status_id":1,"priority_id":2,"assigned_to_id":23,"start_date":"2017-04-07","description":"","custom_fields":[{"id":1,"name":"Subdivision","value":"Other"},{"id":4,"name":"Milepost","value":"2.2718"},{"id":17,"name":"Train ID","value":"52-07"},{"id":16,"name":"Locomotive ID","value":"4006"},{"id":130,"name":"Impact","value":""},{"id":150,"name":"Time of Event (Mountain Time)","value":"11:27:20"},{"id":151,"name":"Denver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82"/>
        <v>start /low /b %USERPROFILE%\Documents\GitHub\eaglep3\Utilities\DownloadLogsFromS3.py --loco 4006 --day 2017-04-07</v>
      </c>
      <c r="AN228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17:27:20"},{"id":29,"name":"Sharepoint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800</v>
      </c>
      <c r="B229" s="7">
        <v>4017</v>
      </c>
      <c r="C229" s="21" t="s">
        <v>216</v>
      </c>
      <c r="D229" s="21" t="s">
        <v>939</v>
      </c>
      <c r="E229" s="13">
        <v>42832.737233796295</v>
      </c>
      <c r="F229" s="13">
        <v>42832.739340277774</v>
      </c>
      <c r="G229" s="7">
        <v>2</v>
      </c>
      <c r="H229" s="21" t="s">
        <v>940</v>
      </c>
      <c r="I229" s="13">
        <v>42832.746481481481</v>
      </c>
      <c r="J229" s="7">
        <v>0</v>
      </c>
      <c r="K229" s="97" t="str">
        <f t="shared" si="85"/>
        <v>4017/4018</v>
      </c>
      <c r="L229" s="21" t="str">
        <f>VLOOKUP(A229,'Trips&amp;Operators'!$C$1:$G$99999,5,FALSE)</f>
        <v>SAFIEF AEIMEN</v>
      </c>
      <c r="M229" s="6">
        <f t="shared" si="86"/>
        <v>7.1412037068512291E-3</v>
      </c>
      <c r="N229" s="7">
        <f t="shared" si="97"/>
        <v>10.28333333786577</v>
      </c>
      <c r="O229" s="7"/>
      <c r="P229" s="7"/>
      <c r="Q229" s="22"/>
      <c r="R229" s="22"/>
      <c r="S229" s="31">
        <f t="shared" si="87"/>
        <v>0</v>
      </c>
      <c r="T229" s="46" t="e">
        <f t="shared" si="88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89"/>
        <v>https://d0f6bd738d7f1b3e5a7ca70fe4ff75f0.us-east-1.aws.found.io/app/kibana#/discover/Steve-Slow-Train-Analysis-(2080s-and-2083s)?_g=(refreshInterval:(display:Off,pause:!f,section:0,value:0),time:(from:'2017-04-07T16:41:37-0600',mode:absolute,to:'2017-04-07T18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9" s="183" t="str">
        <f t="shared" si="90"/>
        <v>Y</v>
      </c>
      <c r="X229" s="183" t="e">
        <f t="shared" si="96"/>
        <v>#VALUE!</v>
      </c>
      <c r="Y229" s="62">
        <f t="shared" si="79"/>
        <v>2.3473999999999999</v>
      </c>
      <c r="Z229" s="62">
        <f t="shared" si="98"/>
        <v>0.1028</v>
      </c>
      <c r="AA229" s="62">
        <f t="shared" si="91"/>
        <v>2.2446000000000002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92"/>
        <v>54-07</v>
      </c>
      <c r="AE229" s="85" t="str">
        <f t="shared" si="93"/>
        <v>aws s3 cp s3://rtdc.mdm.uploadarchive.raw/RTDC4017/ "%USERPROFILE%\AppData\Local\Temp\OnboardLogs"\RTDC4017\2017-04-07 --exclude "*" --recursive --include "*20170407*" &amp; "%USERPROFILE%\Documents\GitHub\mrs-test-scripts\Headless Mode &amp; Sideloading\WalkAndUnGZ.bat" "%USERPROFILE%\AppData\Local\Temp\OnboardLogs"\RTDC4017\2017-04-07 &amp; aws s3 cp s3://rtdc.mdm.uploadarchive.raw/RTDC4017/ "%USERPROFILE%\AppData\Local\Temp\OnboardLogs"\RTDC4017\2017-04-08 --exclude "*" --recursive --include "*20170408*" &amp; "%USERPROFILE%\Documents\GitHub\mrs-test-scripts\Headless Mode &amp; Sideloading\WalkAndUnGZ.bat" "%USERPROFILE%\AppData\Local\Temp\OnboardLogs"\RTDC4017\2017-04-08</v>
      </c>
      <c r="AF229" s="82" t="str">
        <f t="shared" si="94"/>
        <v>"C:\Program Files (x86)\AstroGrep\AstroGrep.exe" /e /r /s /spath="%USERPROFILE%\AppData\Local\Temp\OnboardLogs" /stypes="app*4017*20170407*" /stext=" 23:.+((SYSTEM_STATE.+slice.+state.+changed )|(ment ac)|(multiple cpu faults)|(system.+state.+changed )|(\[timeout)|(PRM\|1\|D)|(kpr)|(kdp)|(\|lc)|(penalty))"</v>
      </c>
      <c r="AG229" s="1" t="str">
        <f t="shared" si="95"/>
        <v>Other</v>
      </c>
      <c r="AH229" s="86" t="str">
        <f t="shared" si="80"/>
        <v>"%USERPROFILE%\Documents\GitHub\eaglep3\Utilities\RefineRTDCRunTimes.py" --tripid 54-07 --locoid 4017 --swversion DE.1.0.9.0 --startMP 300:23474 --initTime 2017-04-07T17:41:37 --startdatetime 2017-04-07T17:44:39 --delay 2 --endMP 204:1028 --enddatetime 2017-04-07T17:54:56 --enforcementcount 0 &gt;&gt;C:\Users\stu\Documents\GitHub\eaglep3-reporting\EC\2017-04-07-refined-times.txt</v>
      </c>
      <c r="AI229" s="104" t="str">
        <f t="shared" si="81"/>
        <v>echo {"issue":{"subject":"","project_id":79,"tracker_id":40,"status_id":1,"priority_id":2,"assigned_to_id":23,"start_date":"2017-04-07","description":"","custom_fields":[{"id":1,"name":"Subdivision","value":"Other"},{"id":4,"name":"Milepost","value":"0.1028"},{"id":17,"name":"Train ID","value":"54-07"},{"id":16,"name":"Locomotive ID","value":"4017"},{"id":130,"name":"Impact","value":""},{"id":150,"name":"Time of Event (Mountain Time)","value":"17:54:56"},{"id":151,"name":"Denver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82"/>
        <v>start /low /b %USERPROFILE%\Documents\GitHub\eaglep3\Utilities\DownloadLogsFromS3.py --loco 4017 --day 2017-04-07</v>
      </c>
      <c r="AN229" s="159" t="str">
        <f t="shared" si="83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23:54:56"},{"id":29,"name":"Sharepoint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</sheetData>
  <autoFilter ref="A12:AG258">
    <sortState ref="A13:AG262">
      <sortCondition ref="AG13:AG233"/>
      <sortCondition ref="AD13:AD233"/>
    </sortState>
  </autoFilter>
  <sortState ref="A13:AH200">
    <sortCondition ref="AG13:AG200"/>
    <sortCondition ref="AD13:AD200"/>
  </sortState>
  <mergeCells count="1">
    <mergeCell ref="A11:P11"/>
  </mergeCells>
  <conditionalFormatting sqref="W11:W12 W265:X1048576 W13:X229">
    <cfRule type="cellIs" dxfId="10" priority="370" operator="equal">
      <formula>"Y"</formula>
    </cfRule>
  </conditionalFormatting>
  <conditionalFormatting sqref="X265:X1048576 X13:X229">
    <cfRule type="cellIs" dxfId="9" priority="353" operator="greaterThan">
      <formula>1</formula>
    </cfRule>
  </conditionalFormatting>
  <conditionalFormatting sqref="X265:X1048576 X12:X229">
    <cfRule type="cellIs" dxfId="8" priority="350" operator="equal">
      <formula>0</formula>
    </cfRule>
  </conditionalFormatting>
  <conditionalFormatting sqref="A13:S229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AK13:AK229</xm:sqref>
        </x14:dataValidation>
        <x14:dataValidation type="list" allowBlank="1" showInputMessage="1" showErrorMessage="1">
          <x14:formula1>
            <xm:f>'Redmine List Values'!$C$2:$C$15</xm:f>
          </x14:formula1>
          <xm:sqref>AL13:AL229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abSelected="1" topLeftCell="A5" zoomScaleNormal="100" workbookViewId="0">
      <selection activeCell="P18" sqref="P18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COUNTIF($O$7:$O$302,"=Y")</f>
        <v>0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COUNTA($O$7:$O$302)-O2</f>
        <v>32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- 2017-04-07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191</v>
      </c>
      <c r="AE6" s="151" t="s">
        <v>201</v>
      </c>
    </row>
    <row r="7" spans="1:32" s="1" customFormat="1" x14ac:dyDescent="0.25">
      <c r="A7" s="32">
        <v>42832.291342592594</v>
      </c>
      <c r="B7" s="30" t="s">
        <v>379</v>
      </c>
      <c r="C7" s="30" t="s">
        <v>632</v>
      </c>
      <c r="D7" s="30" t="s">
        <v>49</v>
      </c>
      <c r="E7" s="30" t="s">
        <v>192</v>
      </c>
      <c r="F7" s="43">
        <v>0</v>
      </c>
      <c r="G7" s="43">
        <v>151</v>
      </c>
      <c r="H7" s="43">
        <v>27391</v>
      </c>
      <c r="I7" s="43">
        <v>27209</v>
      </c>
      <c r="J7" s="30" t="s">
        <v>193</v>
      </c>
      <c r="K7" s="43">
        <v>27350</v>
      </c>
      <c r="L7" s="139" t="s">
        <v>51</v>
      </c>
      <c r="M7" s="140">
        <f t="shared" ref="M7:M38" si="0">CONVERT((I7-K7)/10000,"mi","ft")*IF(L7="Increasing Mileposts (1)",-1,1)</f>
        <v>-74.447999999999993</v>
      </c>
      <c r="N7" s="141" t="str">
        <f>VLOOKUP(C7,'Trips&amp;Operators'!$C$1:$G$99999,5,FALSE)</f>
        <v>MENGES BRAD</v>
      </c>
      <c r="O7" s="190" t="s">
        <v>185</v>
      </c>
      <c r="P7" s="142" t="s">
        <v>461</v>
      </c>
      <c r="Q7" s="30"/>
      <c r="R7" s="89" t="str">
        <f>IF(VLOOKUP(C7,'Train Runs'!$A$13:$AE$9934,1,1)=C7,VLOOKUP(C7,'Train Runs'!$A$13:$AE$9934,31,1),NA())</f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S7" s="92" t="str">
        <f>VLOOKUP(C7,'Train Runs'!$A$13:$AE$9934,22,0)</f>
        <v>https://d0f6bd738d7f1b3e5a7ca70fe4ff75f0.us-east-1.aws.found.io/app/kibana#/discover/Steve-Slow-Train-Analysis-(2080s-and-2083s)?_g=(refreshInterval:(display:Off,pause:!f,section:0,value:0),time:(from:'2017-04-07T05:08:43-0600',mode:absolute,to:'2017-04-07T08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/stypes="*4031*201704071*" /stext=" 12:.+((SYSTEM_STATE.+slice.+state.+changed )|(ment ac)|(multiple cpu faults)|(system.+state.+changed )|(\[timeout)|(PRM\|1\|D)|(kpr)|(kdp)|(\|lc)|(penalty))"</v>
      </c>
      <c r="U7" s="9" t="str">
        <f t="shared" ref="U7:U38" si="2">MID(B7,13,4)</f>
        <v>4031</v>
      </c>
      <c r="V7" s="32">
        <f t="shared" ref="V7:V38" si="3">A7-utc_offset/24</f>
        <v>42832.541342592594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arrival","project_id":79,"tracker_id":40,"status_id":1,"priority_id":2,"assigned_to_id":23,"start_date":"2017-04-07","description":"","custom_fields":[{"id":1,"name":"Subdivision","value":"EC"},{"id":4,"name":"Milepost","value":"2.735"},{"id":17,"name":"Train ID","value":"116-07"},{"id":16,"name":"Locomotive ID","value":"4031"},{"id":130,"name":"Impact","value":""},{"id":150,"name":"Time of Event (Mountain Time)","value":"06:59:32"},{"id":151,"name":"Denver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38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"%USERPROFILE%\AppData\Local\Temp\OnboardLogs"\RTDC4031\*4031*201704071*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"%USERPROFILE%\AppData\Local\Temp\OnboardLogs"\RTDC4031\*4031*201704071* &gt;&gt; 2017-04-07-SliceDisagreementCheck.txt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4031 --day 2017-04-07</v>
      </c>
    </row>
    <row r="8" spans="1:32" s="1" customFormat="1" x14ac:dyDescent="0.25">
      <c r="A8" s="32">
        <v>42832.801527777781</v>
      </c>
      <c r="B8" s="30" t="s">
        <v>200</v>
      </c>
      <c r="C8" s="30" t="s">
        <v>649</v>
      </c>
      <c r="D8" s="30" t="s">
        <v>49</v>
      </c>
      <c r="E8" s="30" t="s">
        <v>192</v>
      </c>
      <c r="F8" s="43">
        <v>0</v>
      </c>
      <c r="G8" s="43">
        <v>475</v>
      </c>
      <c r="H8" s="43">
        <v>62489</v>
      </c>
      <c r="I8" s="43">
        <v>63680</v>
      </c>
      <c r="J8" s="30" t="s">
        <v>193</v>
      </c>
      <c r="K8" s="43">
        <v>63069</v>
      </c>
      <c r="L8" s="139" t="s">
        <v>50</v>
      </c>
      <c r="M8" s="140">
        <f t="shared" si="0"/>
        <v>-322.608</v>
      </c>
      <c r="N8" s="141" t="str">
        <f>VLOOKUP(C8,'Trips&amp;Operators'!$C$1:$G$99999,5,FALSE)</f>
        <v>BROWN JACOB</v>
      </c>
      <c r="O8" s="190" t="s">
        <v>185</v>
      </c>
      <c r="P8" s="142" t="s">
        <v>461</v>
      </c>
      <c r="Q8" s="30"/>
      <c r="R8" s="89" t="str">
        <f>IF(VLOOKUP(C8,'Train Runs'!$A$13:$AE$9934,1,1)=C8,VLOOKUP(C8,'Train Runs'!$A$13:$AE$9934,31,1),NA())</f>
        <v>aws s3 cp s3://rtdc.mdm.uploadarchive.raw/RTDC4030/ "%USERPROFILE%\AppData\Local\Temp\OnboardLogs"\RTDC4030\2017-04-07 --exclude "*" --recursive --include "*20170407*" &amp; "%USERPROFILE%\Documents\GitHub\mrs-test-scripts\Headless Mode &amp; Sideloading\WalkAndUnGZ.bat" "%USERPROFILE%\AppData\Local\Temp\OnboardLogs"\RTDC4030\2017-04-07 &amp; aws s3 cp s3://rtdc.mdm.uploadarchive.raw/RTDC4030/ "%USERPROFILE%\AppData\Local\Temp\OnboardLogs"\RTDC4030\2017-04-08 --exclude "*" --recursive --include "*20170408*" &amp; "%USERPROFILE%\Documents\GitHub\mrs-test-scripts\Headless Mode &amp; Sideloading\WalkAndUnGZ.bat" "%USERPROFILE%\AppData\Local\Temp\OnboardLogs"\RTDC4030\2017-04-08</v>
      </c>
      <c r="S8" s="92" t="str">
        <f>VLOOKUP(C8,'Train Runs'!$A$13:$AE$9934,22,0)</f>
        <v>https://d0f6bd738d7f1b3e5a7ca70fe4ff75f0.us-east-1.aws.found.io/app/kibana#/discover/Steve-Slow-Train-Analysis-(2080s-and-2083s)?_g=(refreshInterval:(display:Off,pause:!f,section:0,value:0),time:(from:'2017-04-07T17:53:21-0600',mode:absolute,to:'2017-04-07T20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8" s="94" t="str">
        <f t="shared" si="1"/>
        <v>"C:\Program Files (x86)\AstroGrep\AstroGrep.exe" /e /r /s /spath="%USERPROFILE%\AppData\Local\Temp\OnboardLogs" /stypes="*4030*201704080*" /stext=" 01:.+((SYSTEM_STATE.+slice.+state.+changed )|(ment ac)|(multiple cpu faults)|(system.+state.+changed )|(\[timeout)|(PRM\|1\|D)|(kpr)|(kdp)|(\|lc)|(penalty))"</v>
      </c>
      <c r="U8" s="9" t="str">
        <f t="shared" si="2"/>
        <v>4030</v>
      </c>
      <c r="V8" s="32">
        <f t="shared" si="3"/>
        <v>42833.051527777781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arrival","project_id":79,"tracker_id":40,"status_id":1,"priority_id":2,"assigned_to_id":23,"start_date":"2017-04-07","description":"","custom_fields":[{"id":1,"name":"Subdivision","value":"EC"},{"id":4,"name":"Milepost","value":"6.3069"},{"id":17,"name":"Train ID","value":"221-07"},{"id":16,"name":"Locomotive ID","value":"4030"},{"id":130,"name":"Impact","value":""},{"id":150,"name":"Time of Event (Mountain Time)","value":"19:14:12"},{"id":151,"name":"Denver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"%USERPROFILE%\AppData\Local\Temp\OnboardLogs"\RTDC4030\*4030*201704080*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"%USERPROFILE%\AppData\Local\Temp\OnboardLogs"\RTDC4030\*4030*201704080* &gt;&gt; 2017-04-07-SliceDisagreementCheck.txt</v>
      </c>
      <c r="AE8" s="153" t="str">
        <f t="shared" ref="AE8:AE38" si="9">"start /low /b "&amp;dls3logs&amp;" --loco "&amp;U8&amp;" --day "&amp;TEXT(V8,"YYYY-MM-DD")</f>
        <v>start /low /b %USERPROFILE%\Documents\GitHub\eaglep3\Utilities\DownloadLogsFromS3.py --loco 4030 --day 2017-04-08</v>
      </c>
    </row>
    <row r="9" spans="1:32" s="1" customFormat="1" x14ac:dyDescent="0.25">
      <c r="A9" s="32">
        <v>42832.415555555555</v>
      </c>
      <c r="B9" s="30" t="s">
        <v>416</v>
      </c>
      <c r="C9" s="30" t="s">
        <v>633</v>
      </c>
      <c r="D9" s="30" t="s">
        <v>49</v>
      </c>
      <c r="E9" s="30" t="s">
        <v>192</v>
      </c>
      <c r="F9" s="43">
        <v>380</v>
      </c>
      <c r="G9" s="43">
        <v>465</v>
      </c>
      <c r="H9" s="43">
        <v>62025</v>
      </c>
      <c r="I9" s="43">
        <v>63273</v>
      </c>
      <c r="J9" s="30" t="s">
        <v>193</v>
      </c>
      <c r="K9" s="43">
        <v>63069</v>
      </c>
      <c r="L9" s="139" t="s">
        <v>50</v>
      </c>
      <c r="M9" s="140">
        <f t="shared" si="0"/>
        <v>-107.712</v>
      </c>
      <c r="N9" s="141" t="str">
        <f>VLOOKUP(C9,'Trips&amp;Operators'!$C$1:$G$99999,5,FALSE)</f>
        <v>STARKS ANGELINA</v>
      </c>
      <c r="O9" s="190" t="s">
        <v>185</v>
      </c>
      <c r="P9" s="142" t="s">
        <v>461</v>
      </c>
      <c r="Q9" s="30"/>
      <c r="R9" s="89" t="str">
        <f>IF(VLOOKUP(C9,'Train Runs'!$A$13:$AE$9934,1,1)=C9,VLOOKUP(C9,'Train Runs'!$A$13:$AE$9934,31,1),NA())</f>
        <v>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 &amp; 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</v>
      </c>
      <c r="S9" s="92" t="str">
        <f>VLOOKUP(C9,'Train Runs'!$A$13:$AE$9934,22,0)</f>
        <v>https://d0f6bd738d7f1b3e5a7ca70fe4ff75f0.us-east-1.aws.found.io/app/kibana#/discover/Steve-Slow-Train-Analysis-(2080s-and-2083s)?_g=(refreshInterval:(display:Off,pause:!f,section:0,value:0),time:(from:'2017-04-07T08:42:30-0600',mode:absolute,to:'2017-04-07T11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9" s="94" t="str">
        <f t="shared" si="1"/>
        <v>"C:\Program Files (x86)\AstroGrep\AstroGrep.exe" /e /r /s /spath="%USERPROFILE%\AppData\Local\Temp\OnboardLogs" /stypes="*4010*201704071*" /stext=" 15:.+((SYSTEM_STATE.+slice.+state.+changed )|(ment ac)|(multiple cpu faults)|(system.+state.+changed )|(\[timeout)|(PRM\|1\|D)|(kpr)|(kdp)|(\|lc)|(penalty))"</v>
      </c>
      <c r="U9" s="9" t="str">
        <f t="shared" si="2"/>
        <v>4010</v>
      </c>
      <c r="V9" s="32">
        <f t="shared" si="3"/>
        <v>42832.665555555555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arrival","project_id":79,"tracker_id":40,"status_id":1,"priority_id":2,"assigned_to_id":23,"start_date":"2017-04-07","description":"","custom_fields":[{"id":1,"name":"Subdivision","value":"EC"},{"id":4,"name":"Milepost","value":"6.3069"},{"id":17,"name":"Train ID","value":"149-07"},{"id":16,"name":"Locomotive ID","value":"4010"},{"id":130,"name":"Impact","value":""},{"id":150,"name":"Time of Event (Mountain Time)","value":"09:58:24"},{"id":151,"name":"Denver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"%USERPROFILE%\AppData\Local\Temp\OnboardLogs"\RTDC4010\*4010*201704071*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"%USERPROFILE%\AppData\Local\Temp\OnboardLogs"\RTDC4010\*4010*201704071* &gt;&gt; 2017-04-07-SliceDisagreementCheck.txt</v>
      </c>
      <c r="AE9" s="153" t="str">
        <f t="shared" si="9"/>
        <v>start /low /b %USERPROFILE%\Documents\GitHub\eaglep3\Utilities\DownloadLogsFromS3.py --loco 4010 --day 2017-04-07</v>
      </c>
    </row>
    <row r="10" spans="1:32" s="1" customFormat="1" x14ac:dyDescent="0.25">
      <c r="A10" s="32">
        <v>42832.42560185185</v>
      </c>
      <c r="B10" s="30" t="s">
        <v>466</v>
      </c>
      <c r="C10" s="30" t="s">
        <v>634</v>
      </c>
      <c r="D10" s="30" t="s">
        <v>49</v>
      </c>
      <c r="E10" s="30" t="s">
        <v>192</v>
      </c>
      <c r="F10" s="43">
        <v>440</v>
      </c>
      <c r="G10" s="43">
        <v>519</v>
      </c>
      <c r="H10" s="43">
        <v>62326</v>
      </c>
      <c r="I10" s="43">
        <v>63718</v>
      </c>
      <c r="J10" s="30" t="s">
        <v>193</v>
      </c>
      <c r="K10" s="43">
        <v>63069</v>
      </c>
      <c r="L10" s="139" t="s">
        <v>50</v>
      </c>
      <c r="M10" s="140">
        <f t="shared" si="0"/>
        <v>-342.67200000000003</v>
      </c>
      <c r="N10" s="141" t="str">
        <f>VLOOKUP(C10,'Trips&amp;Operators'!$C$1:$G$99999,5,FALSE)</f>
        <v>LOZA FIDEL</v>
      </c>
      <c r="O10" s="190" t="s">
        <v>185</v>
      </c>
      <c r="P10" s="142" t="s">
        <v>461</v>
      </c>
      <c r="Q10" s="30"/>
      <c r="R10" s="89" t="str">
        <f>IF(VLOOKUP(C10,'Train Runs'!$A$13:$AE$9934,1,1)=C10,VLOOKUP(C10,'Train Runs'!$A$13:$AE$9934,31,1),NA())</f>
        <v>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 &amp; aws s3 cp s3://rtdc.mdm.uploadarchive.raw/RTDC4016/ "%USERPROFILE%\AppData\Local\Temp\OnboardLogs"\RTDC4016\2017-04-08 --exclude "*" --recursive --include "*20170408*" &amp; "%USERPROFILE%\Documents\GitHub\mrs-test-scripts\Headless Mode &amp; Sideloading\WalkAndUnGZ.bat" "%USERPROFILE%\AppData\Local\Temp\OnboardLogs"\RTDC4016\2017-04-08</v>
      </c>
      <c r="S10" s="92" t="str">
        <f>VLOOKUP(C10,'Train Runs'!$A$13:$AE$9934,22,0)</f>
        <v>https://d0f6bd738d7f1b3e5a7ca70fe4ff75f0.us-east-1.aws.found.io/app/kibana#/discover/Steve-Slow-Train-Analysis-(2080s-and-2083s)?_g=(refreshInterval:(display:Off,pause:!f,section:0,value:0),time:(from:'2017-04-07T08:53:11-0600',mode:absolute,to:'2017-04-07T11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0" s="94" t="str">
        <f t="shared" si="1"/>
        <v>"C:\Program Files (x86)\AstroGrep\AstroGrep.exe" /e /r /s /spath="%USERPROFILE%\AppData\Local\Temp\OnboardLogs" /stypes="*4016*201704071*" /stext=" 16:.+((SYSTEM_STATE.+slice.+state.+changed )|(ment ac)|(multiple cpu faults)|(system.+state.+changed )|(\[timeout)|(PRM\|1\|D)|(kpr)|(kdp)|(\|lc)|(penalty))"</v>
      </c>
      <c r="U10" s="9" t="str">
        <f t="shared" si="2"/>
        <v>4016</v>
      </c>
      <c r="V10" s="32">
        <f t="shared" si="3"/>
        <v>42832.67560185185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arrival","project_id":79,"tracker_id":40,"status_id":1,"priority_id":2,"assigned_to_id":23,"start_date":"2017-04-07","description":"","custom_fields":[{"id":1,"name":"Subdivision","value":"EC"},{"id":4,"name":"Milepost","value":"6.3069"},{"id":17,"name":"Train ID","value":"151-07"},{"id":16,"name":"Locomotive ID","value":"4016"},{"id":130,"name":"Impact","value":""},{"id":150,"name":"Time of Event (Mountain Time)","value":"10:12:52"},{"id":151,"name":"Denver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"%USERPROFILE%\AppData\Local\Temp\OnboardLogs"\RTDC4016\*4016*201704071*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"%USERPROFILE%\AppData\Local\Temp\OnboardLogs"\RTDC4016\*4016*201704071* &gt;&gt; 2017-04-07-SliceDisagreementCheck.txt</v>
      </c>
      <c r="AE10" s="153" t="str">
        <f t="shared" si="9"/>
        <v>start /low /b %USERPROFILE%\Documents\GitHub\eaglep3\Utilities\DownloadLogsFromS3.py --loco 4016 --day 2017-04-07</v>
      </c>
    </row>
    <row r="11" spans="1:32" s="1" customFormat="1" x14ac:dyDescent="0.25">
      <c r="A11" s="32">
        <v>42832.72283564815</v>
      </c>
      <c r="B11" s="30" t="s">
        <v>379</v>
      </c>
      <c r="C11" s="30" t="s">
        <v>644</v>
      </c>
      <c r="D11" s="30" t="s">
        <v>49</v>
      </c>
      <c r="E11" s="30" t="s">
        <v>192</v>
      </c>
      <c r="F11" s="43">
        <v>190</v>
      </c>
      <c r="G11" s="43">
        <v>242</v>
      </c>
      <c r="H11" s="43">
        <v>63448</v>
      </c>
      <c r="I11" s="43">
        <v>63122</v>
      </c>
      <c r="J11" s="30" t="s">
        <v>193</v>
      </c>
      <c r="K11" s="43">
        <v>63309</v>
      </c>
      <c r="L11" s="139" t="s">
        <v>51</v>
      </c>
      <c r="M11" s="140">
        <f t="shared" si="0"/>
        <v>-98.736000000000004</v>
      </c>
      <c r="N11" s="141" t="str">
        <f>VLOOKUP(C11,'Trips&amp;Operators'!$C$1:$G$99999,5,FALSE)</f>
        <v>STRICKLAND EVAN</v>
      </c>
      <c r="O11" s="190" t="s">
        <v>185</v>
      </c>
      <c r="P11" s="142" t="s">
        <v>461</v>
      </c>
      <c r="Q11" s="30"/>
      <c r="R11" s="89" t="str">
        <f>IF(VLOOKUP(C11,'Train Runs'!$A$13:$AE$9934,1,1)=C11,VLOOKUP(C11,'Train Runs'!$A$13:$AE$9934,31,1),NA())</f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S11" s="92" t="str">
        <f>VLOOKUP(C11,'Train Runs'!$A$13:$AE$9934,22,0)</f>
        <v>https://d0f6bd738d7f1b3e5a7ca70fe4ff75f0.us-east-1.aws.found.io/app/kibana#/discover/Steve-Slow-Train-Analysis-(2080s-and-2083s)?_g=(refreshInterval:(display:Off,pause:!f,section:0,value:0),time:(from:'2017-04-07T15:39:41-0600',mode:absolute,to:'2017-04-07T18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1" s="94" t="str">
        <f t="shared" si="1"/>
        <v>"C:\Program Files (x86)\AstroGrep\AstroGrep.exe" /e /r /s /spath="%USERPROFILE%\AppData\Local\Temp\OnboardLogs" /stypes="*4031*201704072*" /stext=" 23:.+((SYSTEM_STATE.+slice.+state.+changed )|(ment ac)|(multiple cpu faults)|(system.+state.+changed )|(\[timeout)|(PRM\|1\|D)|(kpr)|(kdp)|(\|lc)|(penalty))"</v>
      </c>
      <c r="U11" s="9" t="str">
        <f t="shared" si="2"/>
        <v>4031</v>
      </c>
      <c r="V11" s="32">
        <f t="shared" si="3"/>
        <v>42832.97283564815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arrival","project_id":79,"tracker_id":40,"status_id":1,"priority_id":2,"assigned_to_id":23,"start_date":"2017-04-07","description":"","custom_fields":[{"id":1,"name":"Subdivision","value":"EC"},{"id":4,"name":"Milepost","value":"6.3309"},{"id":17,"name":"Train ID","value":"200-07"},{"id":16,"name":"Locomotive ID","value":"4031"},{"id":130,"name":"Impact","value":""},{"id":150,"name":"Time of Event (Mountain Time)","value":"17:20:53"},{"id":151,"name":"Denver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"%USERPROFILE%\AppData\Local\Temp\OnboardLogs"\RTDC4031\*4031*201704072*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"%USERPROFILE%\AppData\Local\Temp\OnboardLogs"\RTDC4031\*4031*201704072* &gt;&gt; 2017-04-07-SliceDisagreementCheck.txt</v>
      </c>
      <c r="AE11" s="153" t="str">
        <f t="shared" si="9"/>
        <v>start /low /b %USERPROFILE%\Documents\GitHub\eaglep3\Utilities\DownloadLogsFromS3.py --loco 4031 --day 2017-04-07</v>
      </c>
    </row>
    <row r="12" spans="1:32" s="1" customFormat="1" x14ac:dyDescent="0.25">
      <c r="A12" s="32">
        <v>42832.804652777777</v>
      </c>
      <c r="B12" s="30" t="s">
        <v>405</v>
      </c>
      <c r="C12" s="30" t="s">
        <v>650</v>
      </c>
      <c r="D12" s="30" t="s">
        <v>49</v>
      </c>
      <c r="E12" s="30" t="s">
        <v>192</v>
      </c>
      <c r="F12" s="43">
        <v>650</v>
      </c>
      <c r="G12" s="43">
        <v>700</v>
      </c>
      <c r="H12" s="43">
        <v>79865</v>
      </c>
      <c r="I12" s="43">
        <v>77157</v>
      </c>
      <c r="J12" s="30" t="s">
        <v>193</v>
      </c>
      <c r="K12" s="43">
        <v>78469</v>
      </c>
      <c r="L12" s="139" t="s">
        <v>51</v>
      </c>
      <c r="M12" s="140">
        <f t="shared" si="0"/>
        <v>-692.7360000000001</v>
      </c>
      <c r="N12" s="141" t="str">
        <f>VLOOKUP(C12,'Trips&amp;Operators'!$C$1:$G$99999,5,FALSE)</f>
        <v>STRICKLAND EVAN</v>
      </c>
      <c r="O12" s="190" t="s">
        <v>185</v>
      </c>
      <c r="P12" s="142" t="s">
        <v>461</v>
      </c>
      <c r="Q12" s="30"/>
      <c r="R12" s="89" t="str">
        <f>IF(VLOOKUP(C12,'Train Runs'!$A$13:$AE$9934,1,1)=C12,VLOOKUP(C12,'Train Runs'!$A$13:$AE$9934,31,1),NA())</f>
        <v>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 &amp; 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</v>
      </c>
      <c r="S12" s="92" t="str">
        <f>VLOOKUP(C12,'Train Runs'!$A$13:$AE$9934,22,0)</f>
        <v>https://d0f6bd738d7f1b3e5a7ca70fe4ff75f0.us-east-1.aws.found.io/app/kibana#/discover/Steve-Slow-Train-Analysis-(2080s-and-2083s)?_g=(refreshInterval:(display:Off,pause:!f,section:0,value:0),time:(from:'2017-04-07T17:41:57-0600',mode:absolute,to:'2017-04-07T20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2" s="94" t="str">
        <f t="shared" si="1"/>
        <v>"C:\Program Files (x86)\AstroGrep\AstroGrep.exe" /e /r /s /spath="%USERPROFILE%\AppData\Local\Temp\OnboardLogs" /stypes="*4013*201704080*" /stext=" 01:.+((SYSTEM_STATE.+slice.+state.+changed )|(ment ac)|(multiple cpu faults)|(system.+state.+changed )|(\[timeout)|(PRM\|1\|D)|(kpr)|(kdp)|(\|lc)|(penalty))"</v>
      </c>
      <c r="U12" s="9" t="str">
        <f t="shared" si="2"/>
        <v>4013</v>
      </c>
      <c r="V12" s="32">
        <f t="shared" si="3"/>
        <v>42833.054652777777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arrival","project_id":79,"tracker_id":40,"status_id":1,"priority_id":2,"assigned_to_id":23,"start_date":"2017-04-07","description":"","custom_fields":[{"id":1,"name":"Subdivision","value":"EC"},{"id":4,"name":"Milepost","value":"7.8469"},{"id":17,"name":"Train ID","value":"216-07"},{"id":16,"name":"Locomotive ID","value":"4013"},{"id":130,"name":"Impact","value":""},{"id":150,"name":"Time of Event (Mountain Time)","value":"19:18:42"},{"id":151,"name":"Denver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"%USERPROFILE%\AppData\Local\Temp\OnboardLogs"\RTDC4013\*4013*201704080*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"%USERPROFILE%\AppData\Local\Temp\OnboardLogs"\RTDC4013\*4013*201704080* &gt;&gt; 2017-04-07-SliceDisagreementCheck.txt</v>
      </c>
      <c r="AE12" s="153" t="str">
        <f t="shared" si="9"/>
        <v>start /low /b %USERPROFILE%\Documents\GitHub\eaglep3\Utilities\DownloadLogsFromS3.py --loco 4013 --day 2017-04-08</v>
      </c>
    </row>
    <row r="13" spans="1:32" s="1" customFormat="1" x14ac:dyDescent="0.25">
      <c r="A13" s="32">
        <v>42832.426400462966</v>
      </c>
      <c r="B13" s="30" t="s">
        <v>379</v>
      </c>
      <c r="C13" s="30" t="s">
        <v>635</v>
      </c>
      <c r="D13" s="30" t="s">
        <v>98</v>
      </c>
      <c r="E13" s="30" t="s">
        <v>192</v>
      </c>
      <c r="F13" s="43">
        <v>570</v>
      </c>
      <c r="G13" s="43">
        <v>620</v>
      </c>
      <c r="H13" s="43">
        <v>103677</v>
      </c>
      <c r="I13" s="43">
        <v>100491</v>
      </c>
      <c r="J13" s="30" t="s">
        <v>193</v>
      </c>
      <c r="K13" s="43">
        <v>103800</v>
      </c>
      <c r="L13" s="139" t="s">
        <v>51</v>
      </c>
      <c r="M13" s="140">
        <f t="shared" si="0"/>
        <v>-1747.152</v>
      </c>
      <c r="N13" s="141" t="str">
        <f>VLOOKUP(C13,'Trips&amp;Operators'!$C$1:$G$99999,5,FALSE)</f>
        <v>MENGES BRAD</v>
      </c>
      <c r="O13" s="190" t="s">
        <v>185</v>
      </c>
      <c r="P13" s="142" t="s">
        <v>461</v>
      </c>
      <c r="Q13" s="30"/>
      <c r="R13" s="89" t="str">
        <f>IF(VLOOKUP(C13,'Train Runs'!$A$13:$AE$9934,1,1)=C13,VLOOKUP(C13,'Train Runs'!$A$13:$AE$9934,31,1),NA())</f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S13" s="92" t="str">
        <f>VLOOKUP(C13,'Train Runs'!$A$13:$AE$9934,22,0)</f>
        <v>https://d0f6bd738d7f1b3e5a7ca70fe4ff75f0.us-east-1.aws.found.io/app/kibana#/discover/Steve-Slow-Train-Analysis-(2080s-and-2083s)?_g=(refreshInterval:(display:Off,pause:!f,section:0,value:0),time:(from:'2017-04-07T08:54:06-0600',mode:absolute,to:'2017-04-07T11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3" s="94" t="str">
        <f t="shared" si="1"/>
        <v>"C:\Program Files (x86)\AstroGrep\AstroGrep.exe" /e /r /s /spath="%USERPROFILE%\AppData\Local\Temp\OnboardLogs" /stypes="*4031*201704071*" /stext=" 16:.+((SYSTEM_STATE.+slice.+state.+changed )|(ment ac)|(multiple cpu faults)|(system.+state.+changed )|(\[timeout)|(PRM\|1\|D)|(kpr)|(kdp)|(\|lc)|(penalty))"</v>
      </c>
      <c r="U13" s="9" t="str">
        <f t="shared" si="2"/>
        <v>4031</v>
      </c>
      <c r="V13" s="32">
        <f t="shared" si="3"/>
        <v>42832.676400462966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arrival","project_id":79,"tracker_id":40,"status_id":1,"priority_id":2,"assigned_to_id":23,"start_date":"2017-04-07","description":"","custom_fields":[{"id":1,"name":"Subdivision","value":"EC"},{"id":4,"name":"Milepost","value":"10.38"},{"id":17,"name":"Train ID","value":"144-07"},{"id":16,"name":"Locomotive ID","value":"4031"},{"id":130,"name":"Impact","value":""},{"id":150,"name":"Time of Event (Mountain Time)","value":"10:14:01"},{"id":151,"name":"Denver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"%USERPROFILE%\AppData\Local\Temp\OnboardLogs"\RTDC4031\*4031*201704071*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"%USERPROFILE%\AppData\Local\Temp\OnboardLogs"\RTDC4031\*4031*201704071* &gt;&gt; 2017-04-07-SliceDisagreementCheck.txt</v>
      </c>
      <c r="AE13" s="153" t="str">
        <f t="shared" si="9"/>
        <v>start /low /b %USERPROFILE%\Documents\GitHub\eaglep3\Utilities\DownloadLogsFromS3.py --loco 4031 --day 2017-04-07</v>
      </c>
    </row>
    <row r="14" spans="1:32" x14ac:dyDescent="0.25">
      <c r="A14" s="32">
        <v>42832.2496875</v>
      </c>
      <c r="B14" s="30" t="s">
        <v>469</v>
      </c>
      <c r="C14" s="30" t="s">
        <v>629</v>
      </c>
      <c r="D14" s="30" t="s">
        <v>49</v>
      </c>
      <c r="E14" s="30" t="s">
        <v>192</v>
      </c>
      <c r="F14" s="43">
        <v>0</v>
      </c>
      <c r="G14" s="43">
        <v>355</v>
      </c>
      <c r="H14" s="43">
        <v>109422</v>
      </c>
      <c r="I14" s="43">
        <v>108825</v>
      </c>
      <c r="J14" s="30" t="s">
        <v>193</v>
      </c>
      <c r="K14" s="43">
        <v>109135</v>
      </c>
      <c r="L14" s="139" t="s">
        <v>51</v>
      </c>
      <c r="M14" s="140">
        <f t="shared" si="0"/>
        <v>-163.68</v>
      </c>
      <c r="N14" s="141" t="str">
        <f>VLOOKUP(C14,'Trips&amp;Operators'!$C$1:$G$99999,5,FALSE)</f>
        <v>LOZA FIDEL</v>
      </c>
      <c r="O14" s="190" t="s">
        <v>185</v>
      </c>
      <c r="P14" s="142" t="s">
        <v>461</v>
      </c>
      <c r="Q14" s="30"/>
      <c r="R14" s="89" t="str">
        <f>IF(VLOOKUP(C14,'Train Runs'!$A$13:$AE$9934,1,1)=C14,VLOOKUP(C14,'Train Runs'!$A$13:$AE$9934,31,1),NA())</f>
        <v>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 &amp; aws s3 cp s3://rtdc.mdm.uploadarchive.raw/RTDC4015/ "%USERPROFILE%\AppData\Local\Temp\OnboardLogs"\RTDC4015\2017-04-08 --exclude "*" --recursive --include "*20170408*" &amp; "%USERPROFILE%\Documents\GitHub\mrs-test-scripts\Headless Mode &amp; Sideloading\WalkAndUnGZ.bat" "%USERPROFILE%\AppData\Local\Temp\OnboardLogs"\RTDC4015\2017-04-08</v>
      </c>
      <c r="S14" s="92" t="str">
        <f>VLOOKUP(C14,'Train Runs'!$A$13:$AE$9934,22,0)</f>
        <v>https://d0f6bd738d7f1b3e5a7ca70fe4ff75f0.us-east-1.aws.found.io/app/kibana#/discover/Steve-Slow-Train-Analysis-(2080s-and-2083s)?_g=(refreshInterval:(display:Off,pause:!f,section:0,value:0),time:(from:'2017-04-07T04:28:01-0600',mode:absolute,to:'2017-04-07T07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94" t="str">
        <f t="shared" si="1"/>
        <v>"C:\Program Files (x86)\AstroGrep\AstroGrep.exe" /e /r /s /spath="%USERPROFILE%\AppData\Local\Temp\OnboardLogs" /stypes="*4015*201704071*" /stext=" 11:.+((SYSTEM_STATE.+slice.+state.+changed )|(ment ac)|(multiple cpu faults)|(system.+state.+changed )|(\[timeout)|(PRM\|1\|D)|(kpr)|(kdp)|(\|lc)|(penalty))"</v>
      </c>
      <c r="U14" s="9" t="str">
        <f t="shared" si="2"/>
        <v>4015</v>
      </c>
      <c r="V14" s="32">
        <f t="shared" si="3"/>
        <v>42832.4996875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arrival","project_id":79,"tracker_id":40,"status_id":1,"priority_id":2,"assigned_to_id":23,"start_date":"2017-04-07","description":"","custom_fields":[{"id":1,"name":"Subdivision","value":"EC"},{"id":4,"name":"Milepost","value":"10.9135"},{"id":17,"name":"Train ID","value":"110-07"},{"id":16,"name":"Locomotive ID","value":"4015"},{"id":130,"name":"Impact","value":""},{"id":150,"name":"Time of Event (Mountain Time)","value":"05:59:33"},{"id":151,"name":"Denver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"%USERPROFILE%\AppData\Local\Temp\OnboardLogs"\RTDC4015\*4015*201704071*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"%USERPROFILE%\AppData\Local\Temp\OnboardLogs"\RTDC4015\*4015*201704071* &gt;&gt; 2017-04-07-SliceDisagreementCheck.txt</v>
      </c>
      <c r="AE14" s="153" t="str">
        <f t="shared" si="9"/>
        <v>start /low /b %USERPROFILE%\Documents\GitHub\eaglep3\Utilities\DownloadLogsFromS3.py --loco 4015 --day 2017-04-07</v>
      </c>
      <c r="AF14" s="1"/>
    </row>
    <row r="15" spans="1:32" x14ac:dyDescent="0.25">
      <c r="A15" s="32">
        <v>42832.188807870371</v>
      </c>
      <c r="B15" s="30" t="s">
        <v>416</v>
      </c>
      <c r="C15" s="30" t="s">
        <v>627</v>
      </c>
      <c r="D15" s="30" t="s">
        <v>98</v>
      </c>
      <c r="E15" s="30" t="s">
        <v>214</v>
      </c>
      <c r="F15" s="43">
        <v>150</v>
      </c>
      <c r="G15" s="43">
        <v>202</v>
      </c>
      <c r="H15" s="43">
        <v>3257</v>
      </c>
      <c r="I15" s="43">
        <v>3574</v>
      </c>
      <c r="J15" s="30" t="s">
        <v>215</v>
      </c>
      <c r="K15" s="43">
        <v>0</v>
      </c>
      <c r="L15" s="139" t="s">
        <v>50</v>
      </c>
      <c r="M15" s="140">
        <f t="shared" si="0"/>
        <v>-1887.0719999999999</v>
      </c>
      <c r="N15" s="141" t="str">
        <f>VLOOKUP(C15,'Trips&amp;Operators'!$C$1:$G$99999,5,FALSE)</f>
        <v>STARKS ANGELINA</v>
      </c>
      <c r="O15" s="190" t="s">
        <v>185</v>
      </c>
      <c r="P15" s="142"/>
      <c r="Q15" s="30"/>
      <c r="R15" s="89" t="str">
        <f>IF(VLOOKUP(C15,'Train Runs'!$A$13:$AE$9934,1,1)=C15,VLOOKUP(C15,'Train Runs'!$A$13:$AE$9934,31,1),NA())</f>
        <v>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 &amp; 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</v>
      </c>
      <c r="S15" s="92" t="str">
        <f>VLOOKUP(C15,'Train Runs'!$A$13:$AE$9934,22,0)</f>
        <v>https://d0f6bd738d7f1b3e5a7ca70fe4ff75f0.us-east-1.aws.found.io/app/kibana#/discover/Steve-Slow-Train-Analysis-(2080s-and-2083s)?_g=(refreshInterval:(display:Off,pause:!f,section:0,value:0),time:(from:'2017-04-07T03:23:41-0600',mode:absolute,to:'2017-04-07T06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5" s="94" t="str">
        <f t="shared" si="1"/>
        <v>"C:\Program Files (x86)\AstroGrep\AstroGrep.exe" /e /r /s /spath="%USERPROFILE%\AppData\Local\Temp\OnboardLogs" /stypes="*4010*201704071*" /stext=" 10:.+((SYSTEM_STATE.+slice.+state.+changed )|(ment ac)|(multiple cpu faults)|(system.+state.+changed )|(\[timeout)|(PRM\|1\|D)|(kpr)|(kdp)|(\|lc)|(penalty))"</v>
      </c>
      <c r="U15" s="9" t="str">
        <f t="shared" si="2"/>
        <v>4010</v>
      </c>
      <c r="V15" s="32">
        <f t="shared" si="3"/>
        <v>42832.438807870371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{"issue":{"subject":"","project_id":79,"tracker_id":40,"status_id":1,"priority_id":2,"assigned_to_id":23,"start_date":"2017-04-07","description":"","custom_fields":[{"id":1,"name":"Subdivision","value":"EC"},{"id":4,"name":"Milepost","value":"0"},{"id":17,"name":"Train ID","value":"107-07"},{"id":16,"name":"Locomotive ID","value":"4010"},{"id":130,"name":"Impact","value":""},{"id":150,"name":"Time of Event (Mountain Time)","value":"04:31:53"},{"id":151,"name":"Denver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"%USERPROFILE%\AppData\Local\Temp\OnboardLogs"\RTDC4010\*4010*201704071*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"%USERPROFILE%\AppData\Local\Temp\OnboardLogs"\RTDC4010\*4010*201704071* &gt;&gt; 2017-04-07-SliceDisagreementCheck.txt</v>
      </c>
      <c r="AE15" s="153" t="str">
        <f t="shared" si="9"/>
        <v>start /low /b %USERPROFILE%\Documents\GitHub\eaglep3\Utilities\DownloadLogsFromS3.py --loco 4010 --day 2017-04-07</v>
      </c>
      <c r="AF15" s="1"/>
    </row>
    <row r="16" spans="1:32" x14ac:dyDescent="0.25">
      <c r="A16" s="32">
        <v>42832.961030092592</v>
      </c>
      <c r="B16" s="30" t="s">
        <v>200</v>
      </c>
      <c r="C16" s="30" t="s">
        <v>653</v>
      </c>
      <c r="D16" s="30" t="s">
        <v>49</v>
      </c>
      <c r="E16" s="30" t="s">
        <v>214</v>
      </c>
      <c r="F16" s="43">
        <v>400</v>
      </c>
      <c r="G16" s="43">
        <v>558</v>
      </c>
      <c r="H16" s="43">
        <v>15484</v>
      </c>
      <c r="I16" s="43">
        <v>17889</v>
      </c>
      <c r="J16" s="30" t="s">
        <v>215</v>
      </c>
      <c r="K16" s="43">
        <v>17867</v>
      </c>
      <c r="L16" s="139" t="s">
        <v>50</v>
      </c>
      <c r="M16" s="140">
        <f t="shared" si="0"/>
        <v>-11.616</v>
      </c>
      <c r="N16" s="141" t="str">
        <f>VLOOKUP(C16,'Trips&amp;Operators'!$C$1:$G$99999,5,FALSE)</f>
        <v>BROWN JACOB</v>
      </c>
      <c r="O16" s="190" t="s">
        <v>185</v>
      </c>
      <c r="P16" s="142"/>
      <c r="Q16" s="30"/>
      <c r="R16" s="89" t="str">
        <f>IF(VLOOKUP(C16,'Train Runs'!$A$13:$AE$9934,1,1)=C16,VLOOKUP(C16,'Train Runs'!$A$13:$AE$9934,31,1),NA())</f>
        <v>aws s3 cp s3://rtdc.mdm.uploadarchive.raw/RTDC4030/ "%USERPROFILE%\AppData\Local\Temp\OnboardLogs"\RTDC4030\2017-04-07 --exclude "*" --recursive --include "*20170407*" &amp; "%USERPROFILE%\Documents\GitHub\mrs-test-scripts\Headless Mode &amp; Sideloading\WalkAndUnGZ.bat" "%USERPROFILE%\AppData\Local\Temp\OnboardLogs"\RTDC4030\2017-04-07 &amp; aws s3 cp s3://rtdc.mdm.uploadarchive.raw/RTDC4030/ "%USERPROFILE%\AppData\Local\Temp\OnboardLogs"\RTDC4030\2017-04-08 --exclude "*" --recursive --include "*20170408*" &amp; "%USERPROFILE%\Documents\GitHub\mrs-test-scripts\Headless Mode &amp; Sideloading\WalkAndUnGZ.bat" "%USERPROFILE%\AppData\Local\Temp\OnboardLogs"\RTDC4030\2017-04-08</v>
      </c>
      <c r="S16" s="92" t="str">
        <f>VLOOKUP(C16,'Train Runs'!$A$13:$AE$9934,22,0)</f>
        <v>https://d0f6bd738d7f1b3e5a7ca70fe4ff75f0.us-east-1.aws.found.io/app/kibana#/discover/Steve-Slow-Train-Analysis-(2080s-and-2083s)?_g=(refreshInterval:(display:Off,pause:!f,section:0,value:0),time:(from:'2017-04-07T21:52:53-0600',mode:absolute,to:'2017-04-08T00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6" s="94" t="str">
        <f t="shared" si="1"/>
        <v>"C:\Program Files (x86)\AstroGrep\AstroGrep.exe" /e /r /s /spath="%USERPROFILE%\AppData\Local\Temp\OnboardLogs" /stypes="*4030*201704080*" /stext=" 05:.+((SYSTEM_STATE.+slice.+state.+changed )|(ment ac)|(multiple cpu faults)|(system.+state.+changed )|(\[timeout)|(PRM\|1\|D)|(kpr)|(kdp)|(\|lc)|(penalty))"</v>
      </c>
      <c r="U16" s="9" t="str">
        <f t="shared" si="2"/>
        <v>4030</v>
      </c>
      <c r="V16" s="32">
        <f t="shared" si="3"/>
        <v>42833.211030092592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{"issue":{"subject":"","project_id":79,"tracker_id":40,"status_id":1,"priority_id":2,"assigned_to_id":23,"start_date":"2017-04-07","description":"","custom_fields":[{"id":1,"name":"Subdivision","value":"EC"},{"id":4,"name":"Milepost","value":"1.7867"},{"id":17,"name":"Train ID","value":"237-07"},{"id":16,"name":"Locomotive ID","value":"4030"},{"id":130,"name":"Impact","value":""},{"id":150,"name":"Time of Event (Mountain Time)","value":"23:03:53"},{"id":151,"name":"Denver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"%USERPROFILE%\AppData\Local\Temp\OnboardLogs"\RTDC4030\*4030*201704080*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"%USERPROFILE%\AppData\Local\Temp\OnboardLogs"\RTDC4030\*4030*201704080* &gt;&gt; 2017-04-07-SliceDisagreementCheck.txt</v>
      </c>
      <c r="AE16" s="153" t="str">
        <f t="shared" si="9"/>
        <v>start /low /b %USERPROFILE%\Documents\GitHub\eaglep3\Utilities\DownloadLogsFromS3.py --loco 4030 --day 2017-04-08</v>
      </c>
      <c r="AF16" s="1"/>
    </row>
    <row r="17" spans="1:32" x14ac:dyDescent="0.25">
      <c r="A17" s="32">
        <v>42832.536481481482</v>
      </c>
      <c r="B17" s="30" t="s">
        <v>378</v>
      </c>
      <c r="C17" s="30" t="s">
        <v>638</v>
      </c>
      <c r="D17" s="30" t="s">
        <v>49</v>
      </c>
      <c r="E17" s="30" t="s">
        <v>214</v>
      </c>
      <c r="F17" s="43">
        <v>400</v>
      </c>
      <c r="G17" s="43">
        <v>491</v>
      </c>
      <c r="H17" s="43">
        <v>115720</v>
      </c>
      <c r="I17" s="43">
        <v>117098</v>
      </c>
      <c r="J17" s="30" t="s">
        <v>215</v>
      </c>
      <c r="K17" s="43">
        <v>116838</v>
      </c>
      <c r="L17" s="139" t="s">
        <v>50</v>
      </c>
      <c r="M17" s="140">
        <f t="shared" si="0"/>
        <v>-137.28</v>
      </c>
      <c r="N17" s="141" t="str">
        <f>VLOOKUP(C17,'Trips&amp;Operators'!$C$1:$G$99999,5,FALSE)</f>
        <v>STRICKLAND EVAN</v>
      </c>
      <c r="O17" s="190" t="s">
        <v>185</v>
      </c>
      <c r="P17" s="142"/>
      <c r="Q17" s="30"/>
      <c r="R17" s="89" t="str">
        <f>IF(VLOOKUP(C17,'Train Runs'!$A$13:$AE$9934,1,1)=C17,VLOOKUP(C17,'Train Runs'!$A$13:$AE$9934,31,1),NA())</f>
        <v>aws s3 cp s3://rtdc.mdm.uploadarchive.raw/RTDC4032/ "%USERPROFILE%\AppData\Local\Temp\OnboardLogs"\RTDC4032\2017-04-07 --exclude "*" --recursive --include "*20170407*" &amp; "%USERPROFILE%\Documents\GitHub\mrs-test-scripts\Headless Mode &amp; Sideloading\WalkAndUnGZ.bat" "%USERPROFILE%\AppData\Local\Temp\OnboardLogs"\RTDC4032\2017-04-07 &amp; aws s3 cp s3://rtdc.mdm.uploadarchive.raw/RTDC4032/ "%USERPROFILE%\AppData\Local\Temp\OnboardLogs"\RTDC4032\2017-04-08 --exclude "*" --recursive --include "*20170408*" &amp; "%USERPROFILE%\Documents\GitHub\mrs-test-scripts\Headless Mode &amp; Sideloading\WalkAndUnGZ.bat" "%USERPROFILE%\AppData\Local\Temp\OnboardLogs"\RTDC4032\2017-04-08</v>
      </c>
      <c r="S17" s="92" t="str">
        <f>VLOOKUP(C17,'Train Runs'!$A$13:$AE$9934,22,0)</f>
        <v>https://d0f6bd738d7f1b3e5a7ca70fe4ff75f0.us-east-1.aws.found.io/app/kibana#/discover/Steve-Slow-Train-Analysis-(2080s-and-2083s)?_g=(refreshInterval:(display:Off,pause:!f,section:0,value:0),time:(from:'2017-04-07T11:26:35-0600',mode:absolute,to:'2017-04-07T14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7" s="94" t="str">
        <f t="shared" si="1"/>
        <v>"C:\Program Files (x86)\AstroGrep\AstroGrep.exe" /e /r /s /spath="%USERPROFILE%\AppData\Local\Temp\OnboardLogs" /stypes="*4032*201704071*" /stext=" 18:.+((SYSTEM_STATE.+slice.+state.+changed )|(ment ac)|(multiple cpu faults)|(system.+state.+changed )|(\[timeout)|(PRM\|1\|D)|(kpr)|(kdp)|(\|lc)|(penalty))"</v>
      </c>
      <c r="U17" s="9" t="str">
        <f t="shared" si="2"/>
        <v>4032</v>
      </c>
      <c r="V17" s="32">
        <f t="shared" si="3"/>
        <v>42832.786481481482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{"issue":{"subject":"","project_id":79,"tracker_id":40,"status_id":1,"priority_id":2,"assigned_to_id":23,"start_date":"2017-04-07","description":"","custom_fields":[{"id":1,"name":"Subdivision","value":"EC"},{"id":4,"name":"Milepost","value":"11.6838"},{"id":17,"name":"Train ID","value":"171-07"},{"id":16,"name":"Locomotive ID","value":"4032"},{"id":130,"name":"Impact","value":""},{"id":150,"name":"Time of Event (Mountain Time)","value":"12:52:32"},{"id":151,"name":"Denver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"%USERPROFILE%\AppData\Local\Temp\OnboardLogs"\RTDC4032\*4032*201704071*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"%USERPROFILE%\AppData\Local\Temp\OnboardLogs"\RTDC4032\*4032*201704071* &gt;&gt; 2017-04-07-SliceDisagreementCheck.txt</v>
      </c>
      <c r="AE17" s="153" t="str">
        <f t="shared" si="9"/>
        <v>start /low /b %USERPROFILE%\Documents\GitHub\eaglep3\Utilities\DownloadLogsFromS3.py --loco 4032 --day 2017-04-07</v>
      </c>
      <c r="AF17" s="1"/>
    </row>
    <row r="18" spans="1:32" ht="15" customHeight="1" x14ac:dyDescent="0.25">
      <c r="A18" s="32">
        <v>42832.716724537036</v>
      </c>
      <c r="B18" s="30" t="s">
        <v>379</v>
      </c>
      <c r="C18" s="30" t="s">
        <v>644</v>
      </c>
      <c r="D18" s="30" t="s">
        <v>49</v>
      </c>
      <c r="E18" s="30" t="s">
        <v>214</v>
      </c>
      <c r="F18" s="43">
        <v>400</v>
      </c>
      <c r="G18" s="43">
        <v>509</v>
      </c>
      <c r="H18" s="43">
        <v>121308</v>
      </c>
      <c r="I18" s="43">
        <v>119483</v>
      </c>
      <c r="J18" s="30" t="s">
        <v>215</v>
      </c>
      <c r="K18" s="43">
        <v>119716</v>
      </c>
      <c r="L18" s="139" t="s">
        <v>51</v>
      </c>
      <c r="M18" s="140">
        <f t="shared" si="0"/>
        <v>-123.024</v>
      </c>
      <c r="N18" s="141" t="str">
        <f>VLOOKUP(C18,'Trips&amp;Operators'!$C$1:$G$99999,5,FALSE)</f>
        <v>STRICKLAND EVAN</v>
      </c>
      <c r="O18" s="190" t="s">
        <v>185</v>
      </c>
      <c r="P18" s="142"/>
      <c r="Q18" s="30"/>
      <c r="R18" s="89" t="str">
        <f>IF(VLOOKUP(C18,'Train Runs'!$A$13:$AE$9934,1,1)=C18,VLOOKUP(C18,'Train Runs'!$A$13:$AE$9934,31,1),NA())</f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S18" s="92" t="str">
        <f>VLOOKUP(C18,'Train Runs'!$A$13:$AE$9934,22,0)</f>
        <v>https://d0f6bd738d7f1b3e5a7ca70fe4ff75f0.us-east-1.aws.found.io/app/kibana#/discover/Steve-Slow-Train-Analysis-(2080s-and-2083s)?_g=(refreshInterval:(display:Off,pause:!f,section:0,value:0),time:(from:'2017-04-07T15:39:41-0600',mode:absolute,to:'2017-04-07T18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8" s="94" t="str">
        <f t="shared" si="1"/>
        <v>"C:\Program Files (x86)\AstroGrep\AstroGrep.exe" /e /r /s /spath="%USERPROFILE%\AppData\Local\Temp\OnboardLogs" /stypes="*4031*201704072*" /stext=" 23:.+((SYSTEM_STATE.+slice.+state.+changed )|(ment ac)|(multiple cpu faults)|(system.+state.+changed )|(\[timeout)|(PRM\|1\|D)|(kpr)|(kdp)|(\|lc)|(penalty))"</v>
      </c>
      <c r="U18" s="9" t="str">
        <f t="shared" si="2"/>
        <v>4031</v>
      </c>
      <c r="V18" s="32">
        <f t="shared" si="3"/>
        <v>42832.966724537036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{"issue":{"subject":"","project_id":79,"tracker_id":40,"status_id":1,"priority_id":2,"assigned_to_id":23,"start_date":"2017-04-07","description":"","custom_fields":[{"id":1,"name":"Subdivision","value":"EC"},{"id":4,"name":"Milepost","value":"11.9716"},{"id":17,"name":"Train ID","value":"200-07"},{"id":16,"name":"Locomotive ID","value":"4031"},{"id":130,"name":"Impact","value":""},{"id":150,"name":"Time of Event (Mountain Time)","value":"17:12:05"},{"id":151,"name":"Denver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"%USERPROFILE%\AppData\Local\Temp\OnboardLogs"\RTDC4031\*4031*201704072*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"%USERPROFILE%\AppData\Local\Temp\OnboardLogs"\RTDC4031\*4031*201704072* &gt;&gt; 2017-04-07-SliceDisagreementCheck.txt</v>
      </c>
      <c r="AE18" s="153" t="str">
        <f t="shared" si="9"/>
        <v>start /low /b %USERPROFILE%\Documents\GitHub\eaglep3\Utilities\DownloadLogsFromS3.py --loco 4031 --day 2017-04-07</v>
      </c>
      <c r="AF18" s="1"/>
    </row>
    <row r="19" spans="1:32" x14ac:dyDescent="0.25">
      <c r="A19" s="32">
        <v>42832.213576388887</v>
      </c>
      <c r="B19" s="30" t="s">
        <v>466</v>
      </c>
      <c r="C19" s="30" t="s">
        <v>628</v>
      </c>
      <c r="D19" s="30" t="s">
        <v>98</v>
      </c>
      <c r="E19" s="30" t="s">
        <v>214</v>
      </c>
      <c r="F19" s="43">
        <v>600</v>
      </c>
      <c r="G19" s="43">
        <v>652</v>
      </c>
      <c r="H19" s="43">
        <v>123912</v>
      </c>
      <c r="I19" s="43">
        <v>127063</v>
      </c>
      <c r="J19" s="30" t="s">
        <v>215</v>
      </c>
      <c r="K19" s="43">
        <v>119716</v>
      </c>
      <c r="L19" s="139" t="s">
        <v>50</v>
      </c>
      <c r="M19" s="140">
        <f t="shared" si="0"/>
        <v>-3879.2159999999999</v>
      </c>
      <c r="N19" s="141" t="str">
        <f>VLOOKUP(C19,'Trips&amp;Operators'!$C$1:$G$99999,5,FALSE)</f>
        <v>LOZA FIDEL</v>
      </c>
      <c r="O19" s="190" t="s">
        <v>185</v>
      </c>
      <c r="P19" s="142"/>
      <c r="Q19" s="30"/>
      <c r="R19" s="89" t="str">
        <f>IF(VLOOKUP(C19,'Train Runs'!$A$13:$AE$9934,1,1)=C19,VLOOKUP(C19,'Train Runs'!$A$13:$AE$9934,31,1),NA())</f>
        <v>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 &amp; aws s3 cp s3://rtdc.mdm.uploadarchive.raw/RTDC4016/ "%USERPROFILE%\AppData\Local\Temp\OnboardLogs"\RTDC4016\2017-04-08 --exclude "*" --recursive --include "*20170408*" &amp; "%USERPROFILE%\Documents\GitHub\mrs-test-scripts\Headless Mode &amp; Sideloading\WalkAndUnGZ.bat" "%USERPROFILE%\AppData\Local\Temp\OnboardLogs"\RTDC4016\2017-04-08</v>
      </c>
      <c r="S19" s="92" t="str">
        <f>VLOOKUP(C19,'Train Runs'!$A$13:$AE$9934,22,0)</f>
        <v>https://d0f6bd738d7f1b3e5a7ca70fe4ff75f0.us-east-1.aws.found.io/app/kibana#/discover/Steve-Slow-Train-Analysis-(2080s-and-2083s)?_g=(refreshInterval:(display:Off,pause:!f,section:0,value:0),time:(from:'2017-04-07T03:37:16-0600',mode:absolute,to:'2017-04-07T06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9" s="94" t="str">
        <f t="shared" si="1"/>
        <v>"C:\Program Files (x86)\AstroGrep\AstroGrep.exe" /e /r /s /spath="%USERPROFILE%\AppData\Local\Temp\OnboardLogs" /stypes="*4016*201704071*" /stext=" 11:.+((SYSTEM_STATE.+slice.+state.+changed )|(ment ac)|(multiple cpu faults)|(system.+state.+changed )|(\[timeout)|(PRM\|1\|D)|(kpr)|(kdp)|(\|lc)|(penalty))"</v>
      </c>
      <c r="U19" s="9" t="str">
        <f t="shared" si="2"/>
        <v>4016</v>
      </c>
      <c r="V19" s="32">
        <f t="shared" si="3"/>
        <v>42832.463576388887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{"issue":{"subject":"","project_id":79,"tracker_id":40,"status_id":1,"priority_id":2,"assigned_to_id":23,"start_date":"2017-04-07","description":"","custom_fields":[{"id":1,"name":"Subdivision","value":"EC"},{"id":4,"name":"Milepost","value":"11.9716"},{"id":17,"name":"Train ID","value":"109-07"},{"id":16,"name":"Locomotive ID","value":"4016"},{"id":130,"name":"Impact","value":""},{"id":150,"name":"Time of Event (Mountain Time)","value":"05:07:33"},{"id":151,"name":"Denver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"%USERPROFILE%\AppData\Local\Temp\OnboardLogs"\RTDC4016\*4016*201704071*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"%USERPROFILE%\AppData\Local\Temp\OnboardLogs"\RTDC4016\*4016*201704071* &gt;&gt; 2017-04-07-SliceDisagreementCheck.txt</v>
      </c>
      <c r="AE19" s="153" t="str">
        <f t="shared" si="9"/>
        <v>start /low /b %USERPROFILE%\Documents\GitHub\eaglep3\Utilities\DownloadLogsFromS3.py --loco 4016 --day 2017-04-07</v>
      </c>
      <c r="AF19" s="1"/>
    </row>
    <row r="20" spans="1:32" x14ac:dyDescent="0.25">
      <c r="A20" s="32">
        <v>42832.633831018517</v>
      </c>
      <c r="B20" s="30" t="s">
        <v>379</v>
      </c>
      <c r="C20" s="30" t="s">
        <v>641</v>
      </c>
      <c r="D20" s="30" t="s">
        <v>98</v>
      </c>
      <c r="E20" s="30" t="s">
        <v>214</v>
      </c>
      <c r="F20" s="43">
        <v>350</v>
      </c>
      <c r="G20" s="43">
        <v>401</v>
      </c>
      <c r="H20" s="43">
        <v>228961</v>
      </c>
      <c r="I20" s="43">
        <v>227958</v>
      </c>
      <c r="J20" s="30" t="s">
        <v>215</v>
      </c>
      <c r="K20" s="43">
        <v>232107</v>
      </c>
      <c r="L20" s="139" t="s">
        <v>51</v>
      </c>
      <c r="M20" s="140">
        <f t="shared" si="0"/>
        <v>-2190.672</v>
      </c>
      <c r="N20" s="141" t="str">
        <f>VLOOKUP(C20,'Trips&amp;Operators'!$C$1:$G$99999,5,FALSE)</f>
        <v>STRICKLAND EVAN</v>
      </c>
      <c r="O20" s="190" t="s">
        <v>185</v>
      </c>
      <c r="P20" s="142"/>
      <c r="Q20" s="30"/>
      <c r="R20" s="89" t="str">
        <f>IF(VLOOKUP(C20,'Train Runs'!$A$13:$AE$9934,1,1)=C20,VLOOKUP(C20,'Train Runs'!$A$13:$AE$9934,31,1),NA())</f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S20" s="92" t="str">
        <f>VLOOKUP(C20,'Train Runs'!$A$13:$AE$9934,22,0)</f>
        <v>https://d0f6bd738d7f1b3e5a7ca70fe4ff75f0.us-east-1.aws.found.io/app/kibana#/discover/Steve-Slow-Train-Analysis-(2080s-and-2083s)?_g=(refreshInterval:(display:Off,pause:!f,section:0,value:0),time:(from:'2017-04-07T13:58:52-0600',mode:absolute,to:'2017-04-07T16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0" s="94" t="str">
        <f t="shared" si="1"/>
        <v>"C:\Program Files (x86)\AstroGrep\AstroGrep.exe" /e /r /s /spath="%USERPROFILE%\AppData\Local\Temp\OnboardLogs" /stypes="*4031*201704072*" /stext=" 21:.+((SYSTEM_STATE.+slice.+state.+changed )|(ment ac)|(multiple cpu faults)|(system.+state.+changed )|(\[timeout)|(PRM\|1\|D)|(kpr)|(kdp)|(\|lc)|(penalty))"</v>
      </c>
      <c r="U20" s="9" t="str">
        <f t="shared" si="2"/>
        <v>4031</v>
      </c>
      <c r="V20" s="32">
        <f t="shared" si="3"/>
        <v>42832.883831018517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{"issue":{"subject":"","project_id":79,"tracker_id":40,"status_id":1,"priority_id":2,"assigned_to_id":23,"start_date":"2017-04-07","description":"","custom_fields":[{"id":1,"name":"Subdivision","value":"EC"},{"id":4,"name":"Milepost","value":"23.2107"},{"id":17,"name":"Train ID","value":"186-07"},{"id":16,"name":"Locomotive ID","value":"4031"},{"id":130,"name":"Impact","value":""},{"id":150,"name":"Time of Event (Mountain Time)","value":"15:12:43"},{"id":151,"name":"Denver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"%USERPROFILE%\AppData\Local\Temp\OnboardLogs"\RTDC4031\*4031*201704072*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"%USERPROFILE%\AppData\Local\Temp\OnboardLogs"\RTDC4031\*4031*201704072* &gt;&gt; 2017-04-07-SliceDisagreementCheck.txt</v>
      </c>
      <c r="AE20" s="153" t="str">
        <f t="shared" si="9"/>
        <v>start /low /b %USERPROFILE%\Documents\GitHub\eaglep3\Utilities\DownloadLogsFromS3.py --loco 4031 --day 2017-04-07</v>
      </c>
      <c r="AF20" s="1"/>
    </row>
    <row r="21" spans="1:32" x14ac:dyDescent="0.25">
      <c r="A21" s="32">
        <v>42832.634918981479</v>
      </c>
      <c r="B21" s="30" t="s">
        <v>379</v>
      </c>
      <c r="C21" s="30" t="s">
        <v>641</v>
      </c>
      <c r="D21" s="30" t="s">
        <v>98</v>
      </c>
      <c r="E21" s="30" t="s">
        <v>214</v>
      </c>
      <c r="F21" s="43">
        <v>350</v>
      </c>
      <c r="G21" s="43">
        <v>400</v>
      </c>
      <c r="H21" s="43">
        <v>225195</v>
      </c>
      <c r="I21" s="43">
        <v>223818</v>
      </c>
      <c r="J21" s="30" t="s">
        <v>215</v>
      </c>
      <c r="K21" s="43">
        <v>232107</v>
      </c>
      <c r="L21" s="139" t="s">
        <v>51</v>
      </c>
      <c r="M21" s="140">
        <f t="shared" si="0"/>
        <v>-4376.5919999999996</v>
      </c>
      <c r="N21" s="141" t="str">
        <f>VLOOKUP(C21,'Trips&amp;Operators'!$C$1:$G$99999,5,FALSE)</f>
        <v>STRICKLAND EVAN</v>
      </c>
      <c r="O21" s="190" t="s">
        <v>185</v>
      </c>
      <c r="P21" s="142"/>
      <c r="Q21" s="30"/>
      <c r="R21" s="89" t="str">
        <f>IF(VLOOKUP(C21,'Train Runs'!$A$13:$AE$9934,1,1)=C21,VLOOKUP(C21,'Train Runs'!$A$13:$AE$9934,31,1),NA())</f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S21" s="92" t="str">
        <f>VLOOKUP(C21,'Train Runs'!$A$13:$AE$9934,22,0)</f>
        <v>https://d0f6bd738d7f1b3e5a7ca70fe4ff75f0.us-east-1.aws.found.io/app/kibana#/discover/Steve-Slow-Train-Analysis-(2080s-and-2083s)?_g=(refreshInterval:(display:Off,pause:!f,section:0,value:0),time:(from:'2017-04-07T13:58:52-0600',mode:absolute,to:'2017-04-07T16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1" s="94" t="str">
        <f t="shared" si="1"/>
        <v>"C:\Program Files (x86)\AstroGrep\AstroGrep.exe" /e /r /s /spath="%USERPROFILE%\AppData\Local\Temp\OnboardLogs" /stypes="*4031*201704072*" /stext=" 21:.+((SYSTEM_STATE.+slice.+state.+changed )|(ment ac)|(multiple cpu faults)|(system.+state.+changed )|(\[timeout)|(PRM\|1\|D)|(kpr)|(kdp)|(\|lc)|(penalty))"</v>
      </c>
      <c r="U21" s="9" t="str">
        <f t="shared" si="2"/>
        <v>4031</v>
      </c>
      <c r="V21" s="32">
        <f t="shared" si="3"/>
        <v>42832.884918981479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{"issue":{"subject":"","project_id":79,"tracker_id":40,"status_id":1,"priority_id":2,"assigned_to_id":23,"start_date":"2017-04-07","description":"","custom_fields":[{"id":1,"name":"Subdivision","value":"EC"},{"id":4,"name":"Milepost","value":"23.2107"},{"id":17,"name":"Train ID","value":"186-07"},{"id":16,"name":"Locomotive ID","value":"4031"},{"id":130,"name":"Impact","value":""},{"id":150,"name":"Time of Event (Mountain Time)","value":"15:14:17"},{"id":151,"name":"Denver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"%USERPROFILE%\AppData\Local\Temp\OnboardLogs"\RTDC4031\*4031*201704072*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"%USERPROFILE%\AppData\Local\Temp\OnboardLogs"\RTDC4031\*4031*201704072* &gt;&gt; 2017-04-07-SliceDisagreementCheck.txt</v>
      </c>
      <c r="AE21" s="153" t="str">
        <f t="shared" si="9"/>
        <v>start /low /b %USERPROFILE%\Documents\GitHub\eaglep3\Utilities\DownloadLogsFromS3.py --loco 4031 --day 2017-04-07</v>
      </c>
      <c r="AF21" s="1"/>
    </row>
    <row r="22" spans="1:32" x14ac:dyDescent="0.25">
      <c r="A22" s="32">
        <v>42832.296215277776</v>
      </c>
      <c r="B22" s="30" t="s">
        <v>379</v>
      </c>
      <c r="C22" s="30" t="s">
        <v>632</v>
      </c>
      <c r="D22" s="30" t="s">
        <v>49</v>
      </c>
      <c r="E22" s="30" t="s">
        <v>186</v>
      </c>
      <c r="F22" s="43">
        <v>0</v>
      </c>
      <c r="G22" s="43">
        <v>178</v>
      </c>
      <c r="H22" s="43">
        <v>1100</v>
      </c>
      <c r="I22" s="43">
        <v>830</v>
      </c>
      <c r="J22" s="30" t="s">
        <v>187</v>
      </c>
      <c r="K22" s="43">
        <v>1</v>
      </c>
      <c r="L22" s="139" t="s">
        <v>51</v>
      </c>
      <c r="M22" s="140">
        <f t="shared" si="0"/>
        <v>437.71199999999999</v>
      </c>
      <c r="N22" s="141" t="str">
        <f>VLOOKUP(C22,'Trips&amp;Operators'!$C$1:$G$99999,5,FALSE)</f>
        <v>MENGES BRAD</v>
      </c>
      <c r="O22" s="190" t="s">
        <v>185</v>
      </c>
      <c r="P22" s="142"/>
      <c r="Q22" s="30"/>
      <c r="R22" s="89" t="str">
        <f>IF(VLOOKUP(C22,'Train Runs'!$A$13:$AE$9934,1,1)=C22,VLOOKUP(C22,'Train Runs'!$A$13:$AE$9934,31,1),NA())</f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S22" s="92" t="str">
        <f>VLOOKUP(C22,'Train Runs'!$A$13:$AE$9934,22,0)</f>
        <v>https://d0f6bd738d7f1b3e5a7ca70fe4ff75f0.us-east-1.aws.found.io/app/kibana#/discover/Steve-Slow-Train-Analysis-(2080s-and-2083s)?_g=(refreshInterval:(display:Off,pause:!f,section:0,value:0),time:(from:'2017-04-07T05:08:43-0600',mode:absolute,to:'2017-04-07T08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2" s="94" t="str">
        <f t="shared" si="1"/>
        <v>"C:\Program Files (x86)\AstroGrep\AstroGrep.exe" /e /r /s /spath="%USERPROFILE%\AppData\Local\Temp\OnboardLogs" /stypes="*4031*201704071*" /stext=" 13:.+((SYSTEM_STATE.+slice.+state.+changed )|(ment ac)|(multiple cpu faults)|(system.+state.+changed )|(\[timeout)|(PRM\|1\|D)|(kpr)|(kdp)|(\|lc)|(penalty))"</v>
      </c>
      <c r="U22" s="9" t="str">
        <f t="shared" si="2"/>
        <v>4031</v>
      </c>
      <c r="V22" s="32">
        <f t="shared" si="3"/>
        <v>42832.546215277776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{"issue":{"subject":"","project_id":79,"tracker_id":40,"status_id":1,"priority_id":2,"assigned_to_id":23,"start_date":"2017-04-07","description":"","custom_fields":[{"id":1,"name":"Subdivision","value":"EC"},{"id":4,"name":"Milepost","value":"0.0001"},{"id":17,"name":"Train ID","value":"116-07"},{"id":16,"name":"Locomotive ID","value":"4031"},{"id":130,"name":"Impact","value":""},{"id":150,"name":"Time of Event (Mountain Time)","value":"07:06:33"},{"id":151,"name":"Denver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"%USERPROFILE%\AppData\Local\Temp\OnboardLogs"\RTDC4031\*4031*201704071*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"%USERPROFILE%\AppData\Local\Temp\OnboardLogs"\RTDC4031\*4031*201704071* &gt;&gt; 2017-04-07-SliceDisagreementCheck.txt</v>
      </c>
      <c r="AE22" s="153" t="str">
        <f t="shared" si="9"/>
        <v>start /low /b %USERPROFILE%\Documents\GitHub\eaglep3\Utilities\DownloadLogsFromS3.py --loco 4031 --day 2017-04-07</v>
      </c>
      <c r="AF22" s="1"/>
    </row>
    <row r="23" spans="1:32" x14ac:dyDescent="0.25">
      <c r="A23" s="32">
        <v>42832.587905092594</v>
      </c>
      <c r="B23" s="30" t="s">
        <v>379</v>
      </c>
      <c r="C23" s="30" t="s">
        <v>639</v>
      </c>
      <c r="D23" s="30" t="s">
        <v>49</v>
      </c>
      <c r="E23" s="30" t="s">
        <v>186</v>
      </c>
      <c r="F23" s="43">
        <v>0</v>
      </c>
      <c r="G23" s="43">
        <v>67</v>
      </c>
      <c r="H23" s="43">
        <v>236</v>
      </c>
      <c r="I23" s="43">
        <v>176</v>
      </c>
      <c r="J23" s="30" t="s">
        <v>187</v>
      </c>
      <c r="K23" s="43">
        <v>1</v>
      </c>
      <c r="L23" s="139" t="s">
        <v>51</v>
      </c>
      <c r="M23" s="140">
        <f t="shared" si="0"/>
        <v>92.4</v>
      </c>
      <c r="N23" s="141" t="str">
        <f>VLOOKUP(C23,'Trips&amp;Operators'!$C$1:$G$99999,5,FALSE)</f>
        <v>STRICKLAND EVAN</v>
      </c>
      <c r="O23" s="190" t="s">
        <v>185</v>
      </c>
      <c r="P23" s="142"/>
      <c r="Q23" s="30"/>
      <c r="R23" s="89" t="str">
        <f>IF(VLOOKUP(C23,'Train Runs'!$A$13:$AE$9934,1,1)=C23,VLOOKUP(C23,'Train Runs'!$A$13:$AE$9934,31,1),NA())</f>
        <v>aws s3 cp s3://rtdc.mdm.uploadarchive.raw/RTDC4031/ "%USERPROFILE%\AppData\Local\Temp\OnboardLogs"\RTDC4031\2017-04-07 --exclude "*" --recursive --include "*20170407*" &amp; "%USERPROFILE%\Documents\GitHub\mrs-test-scripts\Headless Mode &amp; Sideloading\WalkAndUnGZ.bat" "%USERPROFILE%\AppData\Local\Temp\OnboardLogs"\RTDC4031\2017-04-07 &amp; aws s3 cp s3://rtdc.mdm.uploadarchive.raw/RTDC4031/ "%USERPROFILE%\AppData\Local\Temp\OnboardLogs"\RTDC4031\2017-04-08 --exclude "*" --recursive --include "*20170408*" &amp; "%USERPROFILE%\Documents\GitHub\mrs-test-scripts\Headless Mode &amp; Sideloading\WalkAndUnGZ.bat" "%USERPROFILE%\AppData\Local\Temp\OnboardLogs"\RTDC4031\2017-04-08</v>
      </c>
      <c r="S23" s="92" t="str">
        <f>VLOOKUP(C23,'Train Runs'!$A$13:$AE$9934,22,0)</f>
        <v>https://d0f6bd738d7f1b3e5a7ca70fe4ff75f0.us-east-1.aws.found.io/app/kibana#/discover/Steve-Slow-Train-Analysis-(2080s-and-2083s)?_g=(refreshInterval:(display:Off,pause:!f,section:0,value:0),time:(from:'2017-04-07T12:11:30-0600',mode:absolute,to:'2017-04-07T15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3" s="94" t="str">
        <f t="shared" si="1"/>
        <v>"C:\Program Files (x86)\AstroGrep\AstroGrep.exe" /e /r /s /spath="%USERPROFILE%\AppData\Local\Temp\OnboardLogs" /stypes="*4031*201704072*" /stext=" 20:.+((SYSTEM_STATE.+slice.+state.+changed )|(ment ac)|(multiple cpu faults)|(system.+state.+changed )|(\[timeout)|(PRM\|1\|D)|(kpr)|(kdp)|(\|lc)|(penalty))"</v>
      </c>
      <c r="U23" s="9" t="str">
        <f t="shared" si="2"/>
        <v>4031</v>
      </c>
      <c r="V23" s="32">
        <f t="shared" si="3"/>
        <v>42832.837905092594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{"issue":{"subject":"","project_id":79,"tracker_id":40,"status_id":1,"priority_id":2,"assigned_to_id":23,"start_date":"2017-04-07","description":"","custom_fields":[{"id":1,"name":"Subdivision","value":"EC"},{"id":4,"name":"Milepost","value":"0.0001"},{"id":17,"name":"Train ID","value":"172-07"},{"id":16,"name":"Locomotive ID","value":"4031"},{"id":130,"name":"Impact","value":""},{"id":150,"name":"Time of Event (Mountain Time)","value":"14:06:35"},{"id":151,"name":"Denver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"%USERPROFILE%\AppData\Local\Temp\OnboardLogs"\RTDC4031\*4031*201704072*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"%USERPROFILE%\AppData\Local\Temp\OnboardLogs"\RTDC4031\*4031*201704072* &gt;&gt; 2017-04-07-SliceDisagreementCheck.txt</v>
      </c>
      <c r="AE23" s="153" t="str">
        <f t="shared" si="9"/>
        <v>start /low /b %USERPROFILE%\Documents\GitHub\eaglep3\Utilities\DownloadLogsFromS3.py --loco 4031 --day 2017-04-07</v>
      </c>
      <c r="AF23" s="1"/>
    </row>
    <row r="24" spans="1:32" x14ac:dyDescent="0.25">
      <c r="A24" s="32">
        <v>42832.672002314815</v>
      </c>
      <c r="B24" s="30" t="s">
        <v>405</v>
      </c>
      <c r="C24" s="30" t="s">
        <v>642</v>
      </c>
      <c r="D24" s="30" t="s">
        <v>49</v>
      </c>
      <c r="E24" s="30" t="s">
        <v>186</v>
      </c>
      <c r="F24" s="43">
        <v>0</v>
      </c>
      <c r="G24" s="43">
        <v>157</v>
      </c>
      <c r="H24" s="43">
        <v>757</v>
      </c>
      <c r="I24" s="43">
        <v>531</v>
      </c>
      <c r="J24" s="30" t="s">
        <v>187</v>
      </c>
      <c r="K24" s="43">
        <v>1</v>
      </c>
      <c r="L24" s="139" t="s">
        <v>51</v>
      </c>
      <c r="M24" s="140">
        <f t="shared" si="0"/>
        <v>279.83999999999997</v>
      </c>
      <c r="N24" s="141" t="str">
        <f>VLOOKUP(C24,'Trips&amp;Operators'!$C$1:$G$99999,5,FALSE)</f>
        <v>STEWART MICHAEL</v>
      </c>
      <c r="O24" s="190" t="s">
        <v>185</v>
      </c>
      <c r="P24" s="142"/>
      <c r="Q24" s="30"/>
      <c r="R24" s="89" t="str">
        <f>IF(VLOOKUP(C24,'Train Runs'!$A$13:$AE$9934,1,1)=C24,VLOOKUP(C24,'Train Runs'!$A$13:$AE$9934,31,1),NA())</f>
        <v>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 &amp; 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</v>
      </c>
      <c r="S24" s="92" t="str">
        <f>VLOOKUP(C24,'Train Runs'!$A$13:$AE$9934,22,0)</f>
        <v>https://d0f6bd738d7f1b3e5a7ca70fe4ff75f0.us-east-1.aws.found.io/app/kibana#/discover/Steve-Slow-Train-Analysis-(2080s-and-2083s)?_g=(refreshInterval:(display:Off,pause:!f,section:0,value:0),time:(from:'2017-04-07T14:20:48-0600',mode:absolute,to:'2017-04-07T17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4" s="94" t="str">
        <f t="shared" si="1"/>
        <v>"C:\Program Files (x86)\AstroGrep\AstroGrep.exe" /e /r /s /spath="%USERPROFILE%\AppData\Local\Temp\OnboardLogs" /stypes="*4013*201704072*" /stext=" 22:.+((SYSTEM_STATE.+slice.+state.+changed )|(ment ac)|(multiple cpu faults)|(system.+state.+changed )|(\[timeout)|(PRM\|1\|D)|(kpr)|(kdp)|(\|lc)|(penalty))"</v>
      </c>
      <c r="U24" s="9" t="str">
        <f t="shared" si="2"/>
        <v>4013</v>
      </c>
      <c r="V24" s="32">
        <f t="shared" si="3"/>
        <v>42832.922002314815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{"issue":{"subject":"","project_id":79,"tracker_id":40,"status_id":1,"priority_id":2,"assigned_to_id":23,"start_date":"2017-04-07","description":"","custom_fields":[{"id":1,"name":"Subdivision","value":"EC"},{"id":4,"name":"Milepost","value":"0.0001"},{"id":17,"name":"Train ID","value":"188-07"},{"id":16,"name":"Locomotive ID","value":"4013"},{"id":130,"name":"Impact","value":""},{"id":150,"name":"Time of Event (Mountain Time)","value":"16:07:41"},{"id":151,"name":"Denver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"%USERPROFILE%\AppData\Local\Temp\OnboardLogs"\RTDC4013\*4013*201704072*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"%USERPROFILE%\AppData\Local\Temp\OnboardLogs"\RTDC4013\*4013*201704072* &gt;&gt; 2017-04-07-SliceDisagreementCheck.txt</v>
      </c>
      <c r="AE24" s="153" t="str">
        <f t="shared" si="9"/>
        <v>start /low /b %USERPROFILE%\Documents\GitHub\eaglep3\Utilities\DownloadLogsFromS3.py --loco 4013 --day 2017-04-07</v>
      </c>
      <c r="AF24" s="1"/>
    </row>
    <row r="25" spans="1:32" x14ac:dyDescent="0.25">
      <c r="A25" s="32">
        <v>42832.672418981485</v>
      </c>
      <c r="B25" s="30" t="s">
        <v>405</v>
      </c>
      <c r="C25" s="30" t="s">
        <v>642</v>
      </c>
      <c r="D25" s="30" t="s">
        <v>49</v>
      </c>
      <c r="E25" s="30" t="s">
        <v>186</v>
      </c>
      <c r="F25" s="43">
        <v>0</v>
      </c>
      <c r="G25" s="43">
        <v>75</v>
      </c>
      <c r="H25" s="43">
        <v>440</v>
      </c>
      <c r="I25" s="43">
        <v>355</v>
      </c>
      <c r="J25" s="30" t="s">
        <v>187</v>
      </c>
      <c r="K25" s="43">
        <v>1</v>
      </c>
      <c r="L25" s="139" t="s">
        <v>51</v>
      </c>
      <c r="M25" s="140">
        <f t="shared" si="0"/>
        <v>186.91200000000001</v>
      </c>
      <c r="N25" s="141" t="str">
        <f>VLOOKUP(C25,'Trips&amp;Operators'!$C$1:$G$99999,5,FALSE)</f>
        <v>STEWART MICHAEL</v>
      </c>
      <c r="O25" s="190" t="s">
        <v>185</v>
      </c>
      <c r="P25" s="142"/>
      <c r="Q25" s="30"/>
      <c r="R25" s="89" t="str">
        <f>IF(VLOOKUP(C25,'Train Runs'!$A$13:$AE$9934,1,1)=C25,VLOOKUP(C25,'Train Runs'!$A$13:$AE$9934,31,1),NA())</f>
        <v>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 &amp; 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</v>
      </c>
      <c r="S25" s="92" t="str">
        <f>VLOOKUP(C25,'Train Runs'!$A$13:$AE$9934,22,0)</f>
        <v>https://d0f6bd738d7f1b3e5a7ca70fe4ff75f0.us-east-1.aws.found.io/app/kibana#/discover/Steve-Slow-Train-Analysis-(2080s-and-2083s)?_g=(refreshInterval:(display:Off,pause:!f,section:0,value:0),time:(from:'2017-04-07T14:20:48-0600',mode:absolute,to:'2017-04-07T17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5" s="94" t="str">
        <f t="shared" si="1"/>
        <v>"C:\Program Files (x86)\AstroGrep\AstroGrep.exe" /e /r /s /spath="%USERPROFILE%\AppData\Local\Temp\OnboardLogs" /stypes="*4013*201704072*" /stext=" 22:.+((SYSTEM_STATE.+slice.+state.+changed )|(ment ac)|(multiple cpu faults)|(system.+state.+changed )|(\[timeout)|(PRM\|1\|D)|(kpr)|(kdp)|(\|lc)|(penalty))"</v>
      </c>
      <c r="U25" s="9" t="str">
        <f t="shared" si="2"/>
        <v>4013</v>
      </c>
      <c r="V25" s="32">
        <f t="shared" si="3"/>
        <v>42832.922418981485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{"issue":{"subject":"","project_id":79,"tracker_id":40,"status_id":1,"priority_id":2,"assigned_to_id":23,"start_date":"2017-04-07","description":"","custom_fields":[{"id":1,"name":"Subdivision","value":"EC"},{"id":4,"name":"Milepost","value":"0.0001"},{"id":17,"name":"Train ID","value":"188-07"},{"id":16,"name":"Locomotive ID","value":"4013"},{"id":130,"name":"Impact","value":""},{"id":150,"name":"Time of Event (Mountain Time)","value":"16:08:17"},{"id":151,"name":"Denver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"%USERPROFILE%\AppData\Local\Temp\OnboardLogs"\RTDC4013\*4013*201704072*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"%USERPROFILE%\AppData\Local\Temp\OnboardLogs"\RTDC4013\*4013*201704072* &gt;&gt; 2017-04-07-SliceDisagreementCheck.txt</v>
      </c>
      <c r="AE25" s="153" t="str">
        <f t="shared" si="9"/>
        <v>start /low /b %USERPROFILE%\Documents\GitHub\eaglep3\Utilities\DownloadLogsFromS3.py --loco 4013 --day 2017-04-07</v>
      </c>
      <c r="AF25" s="1"/>
    </row>
    <row r="26" spans="1:32" x14ac:dyDescent="0.25">
      <c r="A26" s="32">
        <v>42832.701909722222</v>
      </c>
      <c r="B26" s="30" t="s">
        <v>469</v>
      </c>
      <c r="C26" s="30" t="s">
        <v>643</v>
      </c>
      <c r="D26" s="30" t="s">
        <v>49</v>
      </c>
      <c r="E26" s="30" t="s">
        <v>186</v>
      </c>
      <c r="F26" s="43">
        <v>0</v>
      </c>
      <c r="G26" s="43">
        <v>40</v>
      </c>
      <c r="H26" s="43">
        <v>141</v>
      </c>
      <c r="I26" s="43">
        <v>116</v>
      </c>
      <c r="J26" s="30" t="s">
        <v>187</v>
      </c>
      <c r="K26" s="43">
        <v>1</v>
      </c>
      <c r="L26" s="139" t="s">
        <v>51</v>
      </c>
      <c r="M26" s="140">
        <f t="shared" si="0"/>
        <v>60.72</v>
      </c>
      <c r="N26" s="141" t="str">
        <f>VLOOKUP(C26,'Trips&amp;Operators'!$C$1:$G$99999,5,FALSE)</f>
        <v>BRUDER RICHARD</v>
      </c>
      <c r="O26" s="190" t="s">
        <v>185</v>
      </c>
      <c r="P26" s="142"/>
      <c r="Q26" s="30"/>
      <c r="R26" s="89" t="str">
        <f>IF(VLOOKUP(C26,'Train Runs'!$A$13:$AE$9934,1,1)=C26,VLOOKUP(C26,'Train Runs'!$A$13:$AE$9934,31,1),NA())</f>
        <v>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 &amp; aws s3 cp s3://rtdc.mdm.uploadarchive.raw/RTDC4015/ "%USERPROFILE%\AppData\Local\Temp\OnboardLogs"\RTDC4015\2017-04-08 --exclude "*" --recursive --include "*20170408*" &amp; "%USERPROFILE%\Documents\GitHub\mrs-test-scripts\Headless Mode &amp; Sideloading\WalkAndUnGZ.bat" "%USERPROFILE%\AppData\Local\Temp\OnboardLogs"\RTDC4015\2017-04-08</v>
      </c>
      <c r="S26" s="92" t="str">
        <f>VLOOKUP(C26,'Train Runs'!$A$13:$AE$9934,22,0)</f>
        <v>https://d0f6bd738d7f1b3e5a7ca70fe4ff75f0.us-east-1.aws.found.io/app/kibana#/discover/Steve-Slow-Train-Analysis-(2080s-and-2083s)?_g=(refreshInterval:(display:Off,pause:!f,section:0,value:0),time:(from:'2017-04-07T15:04:54-0600',mode:absolute,to:'2017-04-07T17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6" s="94" t="str">
        <f t="shared" si="1"/>
        <v>"C:\Program Files (x86)\AstroGrep\AstroGrep.exe" /e /r /s /spath="%USERPROFILE%\AppData\Local\Temp\OnboardLogs" /stypes="*4015*201704072*" /stext=" 22:.+((SYSTEM_STATE.+slice.+state.+changed )|(ment ac)|(multiple cpu faults)|(system.+state.+changed )|(\[timeout)|(PRM\|1\|D)|(kpr)|(kdp)|(\|lc)|(penalty))"</v>
      </c>
      <c r="U26" s="9" t="str">
        <f t="shared" si="2"/>
        <v>4015</v>
      </c>
      <c r="V26" s="32">
        <f t="shared" si="3"/>
        <v>42832.951909722222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{"issue":{"subject":"","project_id":79,"tracker_id":40,"status_id":1,"priority_id":2,"assigned_to_id":23,"start_date":"2017-04-07","description":"","custom_fields":[{"id":1,"name":"Subdivision","value":"EC"},{"id":4,"name":"Milepost","value":"0.0001"},{"id":17,"name":"Train ID","value":"194-07"},{"id":16,"name":"Locomotive ID","value":"4015"},{"id":130,"name":"Impact","value":""},{"id":150,"name":"Time of Event (Mountain Time)","value":"16:50:45"},{"id":151,"name":"Denver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"%USERPROFILE%\AppData\Local\Temp\OnboardLogs"\RTDC4015\*4015*201704072*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"%USERPROFILE%\AppData\Local\Temp\OnboardLogs"\RTDC4015\*4015*201704072* &gt;&gt; 2017-04-07-SliceDisagreementCheck.txt</v>
      </c>
      <c r="AE26" s="153" t="str">
        <f t="shared" si="9"/>
        <v>start /low /b %USERPROFILE%\Documents\GitHub\eaglep3\Utilities\DownloadLogsFromS3.py --loco 4015 --day 2017-04-07</v>
      </c>
      <c r="AF26" s="1"/>
    </row>
    <row r="27" spans="1:32" x14ac:dyDescent="0.25">
      <c r="A27" s="32">
        <v>42832.795995370368</v>
      </c>
      <c r="B27" s="30" t="s">
        <v>382</v>
      </c>
      <c r="C27" s="30" t="s">
        <v>648</v>
      </c>
      <c r="D27" s="30" t="s">
        <v>49</v>
      </c>
      <c r="E27" s="30" t="s">
        <v>186</v>
      </c>
      <c r="F27" s="43">
        <v>0</v>
      </c>
      <c r="G27" s="43">
        <v>56</v>
      </c>
      <c r="H27" s="43">
        <v>191</v>
      </c>
      <c r="I27" s="43">
        <v>139</v>
      </c>
      <c r="J27" s="30" t="s">
        <v>187</v>
      </c>
      <c r="K27" s="43">
        <v>1</v>
      </c>
      <c r="L27" s="139" t="s">
        <v>51</v>
      </c>
      <c r="M27" s="140">
        <f t="shared" si="0"/>
        <v>72.864000000000004</v>
      </c>
      <c r="N27" s="141" t="str">
        <f>VLOOKUP(C27,'Trips&amp;Operators'!$C$1:$G$99999,5,FALSE)</f>
        <v>BRANDNER MELINDA</v>
      </c>
      <c r="O27" s="190" t="s">
        <v>185</v>
      </c>
      <c r="P27" s="142"/>
      <c r="Q27" s="30"/>
      <c r="R27" s="89" t="str">
        <f>IF(VLOOKUP(C27,'Train Runs'!$A$13:$AE$9934,1,1)=C27,VLOOKUP(C27,'Train Runs'!$A$13:$AE$9934,31,1),NA())</f>
        <v>aws s3 cp s3://rtdc.mdm.uploadarchive.raw/RTDC4021/ "%USERPROFILE%\AppData\Local\Temp\OnboardLogs"\RTDC4021\2017-04-07 --exclude "*" --recursive --include "*20170407*" &amp; "%USERPROFILE%\Documents\GitHub\mrs-test-scripts\Headless Mode &amp; Sideloading\WalkAndUnGZ.bat" "%USERPROFILE%\AppData\Local\Temp\OnboardLogs"\RTDC4021\2017-04-07 &amp; 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</v>
      </c>
      <c r="S27" s="92" t="str">
        <f>VLOOKUP(C27,'Train Runs'!$A$13:$AE$9934,22,0)</f>
        <v>https://d0f6bd738d7f1b3e5a7ca70fe4ff75f0.us-east-1.aws.found.io/app/kibana#/discover/Steve-Slow-Train-Analysis-(2080s-and-2083s)?_g=(refreshInterval:(display:Off,pause:!f,section:0,value:0),time:(from:'2017-04-07T17:19:29-0600',mode:absolute,to:'2017-04-07T20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7" s="94" t="str">
        <f t="shared" si="1"/>
        <v>"C:\Program Files (x86)\AstroGrep\AstroGrep.exe" /e /r /s /spath="%USERPROFILE%\AppData\Local\Temp\OnboardLogs" /stypes="*4021*201704080*" /stext=" 01:.+((SYSTEM_STATE.+slice.+state.+changed )|(ment ac)|(multiple cpu faults)|(system.+state.+changed )|(\[timeout)|(PRM\|1\|D)|(kpr)|(kdp)|(\|lc)|(penalty))"</v>
      </c>
      <c r="U27" s="9" t="str">
        <f t="shared" si="2"/>
        <v>4021</v>
      </c>
      <c r="V27" s="32">
        <f t="shared" si="3"/>
        <v>42833.045995370368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{"issue":{"subject":"","project_id":79,"tracker_id":40,"status_id":1,"priority_id":2,"assigned_to_id":23,"start_date":"2017-04-07","description":"","custom_fields":[{"id":1,"name":"Subdivision","value":"EC"},{"id":4,"name":"Milepost","value":"0.0001"},{"id":17,"name":"Train ID","value":"212-07"},{"id":16,"name":"Locomotive ID","value":"4021"},{"id":130,"name":"Impact","value":""},{"id":150,"name":"Time of Event (Mountain Time)","value":"19:06:14"},{"id":151,"name":"Denver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"%USERPROFILE%\AppData\Local\Temp\OnboardLogs"\RTDC4021\*4021*201704080*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"%USERPROFILE%\AppData\Local\Temp\OnboardLogs"\RTDC4021\*4021*201704080* &gt;&gt; 2017-04-07-SliceDisagreementCheck.txt</v>
      </c>
      <c r="AE27" s="153" t="str">
        <f t="shared" si="9"/>
        <v>start /low /b %USERPROFILE%\Documents\GitHub\eaglep3\Utilities\DownloadLogsFromS3.py --loco 4021 --day 2017-04-08</v>
      </c>
      <c r="AF27" s="1"/>
    </row>
    <row r="28" spans="1:32" x14ac:dyDescent="0.25">
      <c r="A28" s="32">
        <v>42832.493472222224</v>
      </c>
      <c r="B28" s="30" t="s">
        <v>557</v>
      </c>
      <c r="C28" s="30" t="s">
        <v>637</v>
      </c>
      <c r="D28" s="30" t="s">
        <v>49</v>
      </c>
      <c r="E28" s="30" t="s">
        <v>186</v>
      </c>
      <c r="F28" s="43">
        <v>0</v>
      </c>
      <c r="G28" s="43">
        <v>24</v>
      </c>
      <c r="H28" s="43">
        <v>233417</v>
      </c>
      <c r="I28" s="43">
        <v>233423</v>
      </c>
      <c r="J28" s="30" t="s">
        <v>187</v>
      </c>
      <c r="K28" s="43">
        <v>233491</v>
      </c>
      <c r="L28" s="139" t="s">
        <v>50</v>
      </c>
      <c r="M28" s="140">
        <f t="shared" si="0"/>
        <v>35.904000000000003</v>
      </c>
      <c r="N28" s="141" t="str">
        <f>VLOOKUP(C28,'Trips&amp;Operators'!$C$1:$G$99999,5,FALSE)</f>
        <v>ROMERO CHAD</v>
      </c>
      <c r="O28" s="190" t="s">
        <v>185</v>
      </c>
      <c r="P28" s="142"/>
      <c r="Q28" s="30"/>
      <c r="R28" s="89" t="str">
        <f>IF(VLOOKUP(C28,'Train Runs'!$A$13:$AE$9934,1,1)=C28,VLOOKUP(C28,'Train Runs'!$A$13:$AE$9934,31,1),NA())</f>
        <v>aws s3 cp s3://rtdc.mdm.uploadarchive.raw/RTDC4026/ "%USERPROFILE%\AppData\Local\Temp\OnboardLogs"\RTDC4026\2017-04-07 --exclude "*" --recursive --include "*20170407*" &amp; "%USERPROFILE%\Documents\GitHub\mrs-test-scripts\Headless Mode &amp; Sideloading\WalkAndUnGZ.bat" "%USERPROFILE%\AppData\Local\Temp\OnboardLogs"\RTDC4026\2017-04-07 &amp; aws s3 cp s3://rtdc.mdm.uploadarchive.raw/RTDC4026/ "%USERPROFILE%\AppData\Local\Temp\OnboardLogs"\RTDC4026\2017-04-08 --exclude "*" --recursive --include "*20170408*" &amp; "%USERPROFILE%\Documents\GitHub\mrs-test-scripts\Headless Mode &amp; Sideloading\WalkAndUnGZ.bat" "%USERPROFILE%\AppData\Local\Temp\OnboardLogs"\RTDC4026\2017-04-08</v>
      </c>
      <c r="S28" s="92" t="str">
        <f>VLOOKUP(C28,'Train Runs'!$A$13:$AE$9934,22,0)</f>
        <v>https://d0f6bd738d7f1b3e5a7ca70fe4ff75f0.us-east-1.aws.found.io/app/kibana#/discover/Steve-Slow-Train-Analysis-(2080s-and-2083s)?_g=(refreshInterval:(display:Off,pause:!f,section:0,value:0),time:(from:'2017-04-07T10:08:58-0600',mode:absolute,to:'2017-04-07T12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8" s="94" t="str">
        <f t="shared" si="1"/>
        <v>"C:\Program Files (x86)\AstroGrep\AstroGrep.exe" /e /r /s /spath="%USERPROFILE%\AppData\Local\Temp\OnboardLogs" /stypes="*4026*201704071*" /stext=" 17:.+((SYSTEM_STATE.+slice.+state.+changed )|(ment ac)|(multiple cpu faults)|(system.+state.+changed )|(\[timeout)|(PRM\|1\|D)|(kpr)|(kdp)|(\|lc)|(penalty))"</v>
      </c>
      <c r="U28" s="9" t="str">
        <f t="shared" si="2"/>
        <v>4026</v>
      </c>
      <c r="V28" s="32">
        <f t="shared" si="3"/>
        <v>42832.743472222224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{"issue":{"subject":"","project_id":79,"tracker_id":40,"status_id":1,"priority_id":2,"assigned_to_id":23,"start_date":"2017-04-07","description":"","custom_fields":[{"id":1,"name":"Subdivision","value":"EC"},{"id":4,"name":"Milepost","value":"23.3491"},{"id":17,"name":"Train ID","value":"161-07"},{"id":16,"name":"Locomotive ID","value":"4026"},{"id":130,"name":"Impact","value":""},{"id":150,"name":"Time of Event (Mountain Time)","value":"11:50:36"},{"id":151,"name":"Denver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7"/>
        <v>grep -hSE -A400 "Enforcement Action" "%USERPROFILE%\AppData\Local\Temp\OnboardLogs"\RTDC4026\*4026*201704071*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"%USERPROFILE%\AppData\Local\Temp\OnboardLogs"\RTDC4026\*4026*201704071* &gt;&gt; 2017-04-07-SliceDisagreementCheck.txt</v>
      </c>
      <c r="AE28" s="153" t="str">
        <f t="shared" si="9"/>
        <v>start /low /b %USERPROFILE%\Documents\GitHub\eaglep3\Utilities\DownloadLogsFromS3.py --loco 4026 --day 2017-04-07</v>
      </c>
      <c r="AF28" s="1"/>
    </row>
    <row r="29" spans="1:32" x14ac:dyDescent="0.25">
      <c r="A29" s="32">
        <v>42832.6093287037</v>
      </c>
      <c r="B29" s="30" t="s">
        <v>383</v>
      </c>
      <c r="C29" s="30" t="s">
        <v>640</v>
      </c>
      <c r="D29" s="30" t="s">
        <v>49</v>
      </c>
      <c r="E29" s="30" t="s">
        <v>186</v>
      </c>
      <c r="F29" s="43">
        <v>0</v>
      </c>
      <c r="G29" s="43">
        <v>66</v>
      </c>
      <c r="H29" s="43">
        <v>233245</v>
      </c>
      <c r="I29" s="43">
        <v>233322</v>
      </c>
      <c r="J29" s="30" t="s">
        <v>187</v>
      </c>
      <c r="K29" s="43">
        <v>233491</v>
      </c>
      <c r="L29" s="139" t="s">
        <v>50</v>
      </c>
      <c r="M29" s="140">
        <f t="shared" si="0"/>
        <v>89.231999999999985</v>
      </c>
      <c r="N29" s="141" t="str">
        <f>VLOOKUP(C29,'Trips&amp;Operators'!$C$1:$G$99999,5,FALSE)</f>
        <v>BRANDNER MELINDA</v>
      </c>
      <c r="O29" s="190" t="s">
        <v>185</v>
      </c>
      <c r="P29" s="142"/>
      <c r="Q29" s="30"/>
      <c r="R29" s="89" t="str">
        <f>IF(VLOOKUP(C29,'Train Runs'!$A$13:$AE$9934,1,1)=C29,VLOOKUP(C29,'Train Runs'!$A$13:$AE$9934,31,1),NA())</f>
        <v>aws s3 cp s3://rtdc.mdm.uploadarchive.raw/RTDC4022/ "%USERPROFILE%\AppData\Local\Temp\OnboardLogs"\RTDC4022\2017-04-07 --exclude "*" --recursive --include "*20170407*" &amp; "%USERPROFILE%\Documents\GitHub\mrs-test-scripts\Headless Mode &amp; Sideloading\WalkAndUnGZ.bat" "%USERPROFILE%\AppData\Local\Temp\OnboardLogs"\RTDC4022\2017-04-07 &amp; 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</v>
      </c>
      <c r="S29" s="92" t="str">
        <f>VLOOKUP(C29,'Train Runs'!$A$13:$AE$9934,22,0)</f>
        <v>https://d0f6bd738d7f1b3e5a7ca70fe4ff75f0.us-east-1.aws.found.io/app/kibana#/discover/Steve-Slow-Train-Analysis-(2080s-and-2083s)?_g=(refreshInterval:(display:Off,pause:!f,section:0,value:0),time:(from:'2017-04-07T12:56:00-0600',mode:absolute,to:'2017-04-07T15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9" s="94" t="str">
        <f t="shared" si="1"/>
        <v>"C:\Program Files (x86)\AstroGrep\AstroGrep.exe" /e /r /s /spath="%USERPROFILE%\AppData\Local\Temp\OnboardLogs" /stypes="*4022*201704072*" /stext=" 20:.+((SYSTEM_STATE.+slice.+state.+changed )|(ment ac)|(multiple cpu faults)|(system.+state.+changed )|(\[timeout)|(PRM\|1\|D)|(kpr)|(kdp)|(\|lc)|(penalty))"</v>
      </c>
      <c r="U29" s="9" t="str">
        <f t="shared" si="2"/>
        <v>4022</v>
      </c>
      <c r="V29" s="32">
        <f t="shared" si="3"/>
        <v>42832.8593287037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{"issue":{"subject":"","project_id":79,"tracker_id":40,"status_id":1,"priority_id":2,"assigned_to_id":23,"start_date":"2017-04-07","description":"","custom_fields":[{"id":1,"name":"Subdivision","value":"EC"},{"id":4,"name":"Milepost","value":"23.3491"},{"id":17,"name":"Train ID","value":"183-07"},{"id":16,"name":"Locomotive ID","value":"4022"},{"id":130,"name":"Impact","value":""},{"id":150,"name":"Time of Event (Mountain Time)","value":"14:37:26"},{"id":151,"name":"Denver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7"/>
        <v>grep -hSE -A400 "Enforcement Action" "%USERPROFILE%\AppData\Local\Temp\OnboardLogs"\RTDC4022\*4022*201704072*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"%USERPROFILE%\AppData\Local\Temp\OnboardLogs"\RTDC4022\*4022*201704072* &gt;&gt; 2017-04-07-SliceDisagreementCheck.txt</v>
      </c>
      <c r="AE29" s="153" t="str">
        <f t="shared" si="9"/>
        <v>start /low /b %USERPROFILE%\Documents\GitHub\eaglep3\Utilities\DownloadLogsFromS3.py --loco 4022 --day 2017-04-07</v>
      </c>
      <c r="AF29" s="1"/>
    </row>
    <row r="30" spans="1:32" x14ac:dyDescent="0.25">
      <c r="A30" s="32">
        <v>42832.776898148149</v>
      </c>
      <c r="B30" s="30" t="s">
        <v>404</v>
      </c>
      <c r="C30" s="30" t="s">
        <v>647</v>
      </c>
      <c r="D30" s="30" t="s">
        <v>49</v>
      </c>
      <c r="E30" s="30" t="s">
        <v>186</v>
      </c>
      <c r="F30" s="43">
        <v>0</v>
      </c>
      <c r="G30" s="43">
        <v>44</v>
      </c>
      <c r="H30" s="43">
        <v>233336</v>
      </c>
      <c r="I30" s="43">
        <v>233351</v>
      </c>
      <c r="J30" s="30" t="s">
        <v>187</v>
      </c>
      <c r="K30" s="43">
        <v>233491</v>
      </c>
      <c r="L30" s="139" t="s">
        <v>50</v>
      </c>
      <c r="M30" s="140">
        <f t="shared" si="0"/>
        <v>73.92</v>
      </c>
      <c r="N30" s="141" t="str">
        <f>VLOOKUP(C30,'Trips&amp;Operators'!$C$1:$G$99999,5,FALSE)</f>
        <v>STRICKLAND EVAN</v>
      </c>
      <c r="O30" s="190" t="s">
        <v>185</v>
      </c>
      <c r="P30" s="142"/>
      <c r="Q30" s="30"/>
      <c r="R30" s="89" t="str">
        <f>IF(VLOOKUP(C30,'Train Runs'!$A$13:$AE$9934,1,1)=C30,VLOOKUP(C30,'Train Runs'!$A$13:$AE$9934,31,1),NA())</f>
        <v>aws s3 cp s3://rtdc.mdm.uploadarchive.raw/RTDC4014/ "%USERPROFILE%\AppData\Local\Temp\OnboardLogs"\RTDC4014\2017-04-07 --exclude "*" --recursive --include "*20170407*" &amp; "%USERPROFILE%\Documents\GitHub\mrs-test-scripts\Headless Mode &amp; Sideloading\WalkAndUnGZ.bat" "%USERPROFILE%\AppData\Local\Temp\OnboardLogs"\RTDC4014\2017-04-07 &amp; 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</v>
      </c>
      <c r="S30" s="92" t="str">
        <f>VLOOKUP(C30,'Train Runs'!$A$13:$AE$9934,22,0)</f>
        <v>https://d0f6bd738d7f1b3e5a7ca70fe4ff75f0.us-east-1.aws.found.io/app/kibana#/discover/Steve-Slow-Train-Analysis-(2080s-and-2083s)?_g=(refreshInterval:(display:Off,pause:!f,section:0,value:0),time:(from:'2017-04-07T16:54:14-0600',mode:absolute,to:'2017-04-07T19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0" s="94" t="str">
        <f t="shared" si="1"/>
        <v>"C:\Program Files (x86)\AstroGrep\AstroGrep.exe" /e /r /s /spath="%USERPROFILE%\AppData\Local\Temp\OnboardLogs" /stypes="*4014*201704080*" /stext=" 00:.+((SYSTEM_STATE.+slice.+state.+changed )|(ment ac)|(multiple cpu faults)|(system.+state.+changed )|(\[timeout)|(PRM\|1\|D)|(kpr)|(kdp)|(\|lc)|(penalty))"</v>
      </c>
      <c r="U30" s="9" t="str">
        <f t="shared" si="2"/>
        <v>4014</v>
      </c>
      <c r="V30" s="32">
        <f t="shared" si="3"/>
        <v>42833.026898148149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{"issue":{"subject":"","project_id":79,"tracker_id":40,"status_id":1,"priority_id":2,"assigned_to_id":23,"start_date":"2017-04-07","description":"","custom_fields":[{"id":1,"name":"Subdivision","value":"EC"},{"id":4,"name":"Milepost","value":"23.3491"},{"id":17,"name":"Train ID","value":"215-07"},{"id":16,"name":"Locomotive ID","value":"4014"},{"id":130,"name":"Impact","value":""},{"id":150,"name":"Time of Event (Mountain Time)","value":"18:38:44"},{"id":151,"name":"Denver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7"/>
        <v>grep -hSE -A400 "Enforcement Action" "%USERPROFILE%\AppData\Local\Temp\OnboardLogs"\RTDC4014\*4014*201704080*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"%USERPROFILE%\AppData\Local\Temp\OnboardLogs"\RTDC4014\*4014*201704080* &gt;&gt; 2017-04-07-SliceDisagreementCheck.txt</v>
      </c>
      <c r="AE30" s="153" t="str">
        <f t="shared" si="9"/>
        <v>start /low /b %USERPROFILE%\Documents\GitHub\eaglep3\Utilities\DownloadLogsFromS3.py --loco 4014 --day 2017-04-08</v>
      </c>
      <c r="AF30" s="1"/>
    </row>
    <row r="31" spans="1:32" x14ac:dyDescent="0.25">
      <c r="A31" s="32">
        <v>42832.902569444443</v>
      </c>
      <c r="B31" s="30" t="s">
        <v>200</v>
      </c>
      <c r="C31" s="30" t="s">
        <v>652</v>
      </c>
      <c r="D31" s="30" t="s">
        <v>49</v>
      </c>
      <c r="E31" s="30" t="s">
        <v>186</v>
      </c>
      <c r="F31" s="43">
        <v>0</v>
      </c>
      <c r="G31" s="43">
        <v>143</v>
      </c>
      <c r="H31" s="43">
        <v>232902</v>
      </c>
      <c r="I31" s="43">
        <v>233057</v>
      </c>
      <c r="J31" s="30" t="s">
        <v>187</v>
      </c>
      <c r="K31" s="43">
        <v>233491</v>
      </c>
      <c r="L31" s="139" t="s">
        <v>50</v>
      </c>
      <c r="M31" s="140">
        <f t="shared" si="0"/>
        <v>229.15199999999999</v>
      </c>
      <c r="N31" s="141" t="str">
        <f>VLOOKUP(C31,'Trips&amp;Operators'!$C$1:$G$99999,5,FALSE)</f>
        <v>BROWN JACOB</v>
      </c>
      <c r="O31" s="190" t="s">
        <v>185</v>
      </c>
      <c r="P31" s="142"/>
      <c r="Q31" s="30"/>
      <c r="R31" s="89" t="str">
        <f>IF(VLOOKUP(C31,'Train Runs'!$A$13:$AE$9934,1,1)=C31,VLOOKUP(C31,'Train Runs'!$A$13:$AE$9934,31,1),NA())</f>
        <v>aws s3 cp s3://rtdc.mdm.uploadarchive.raw/RTDC4030/ "%USERPROFILE%\AppData\Local\Temp\OnboardLogs"\RTDC4030\2017-04-07 --exclude "*" --recursive --include "*20170407*" &amp; "%USERPROFILE%\Documents\GitHub\mrs-test-scripts\Headless Mode &amp; Sideloading\WalkAndUnGZ.bat" "%USERPROFILE%\AppData\Local\Temp\OnboardLogs"\RTDC4030\2017-04-07 &amp; aws s3 cp s3://rtdc.mdm.uploadarchive.raw/RTDC4030/ "%USERPROFILE%\AppData\Local\Temp\OnboardLogs"\RTDC4030\2017-04-08 --exclude "*" --recursive --include "*20170408*" &amp; "%USERPROFILE%\Documents\GitHub\mrs-test-scripts\Headless Mode &amp; Sideloading\WalkAndUnGZ.bat" "%USERPROFILE%\AppData\Local\Temp\OnboardLogs"\RTDC4030\2017-04-08</v>
      </c>
      <c r="S31" s="92" t="str">
        <f>VLOOKUP(C31,'Train Runs'!$A$13:$AE$9934,22,0)</f>
        <v>https://d0f6bd738d7f1b3e5a7ca70fe4ff75f0.us-east-1.aws.found.io/app/kibana#/discover/Steve-Slow-Train-Analysis-(2080s-and-2083s)?_g=(refreshInterval:(display:Off,pause:!f,section:0,value:0),time:(from:'2017-04-07T19:59:05-0600',mode:absolute,to:'2017-04-07T22:39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1" s="94" t="str">
        <f t="shared" si="1"/>
        <v>"C:\Program Files (x86)\AstroGrep\AstroGrep.exe" /e /r /s /spath="%USERPROFILE%\AppData\Local\Temp\OnboardLogs" /stypes="*4030*201704080*" /stext=" 03:.+((SYSTEM_STATE.+slice.+state.+changed )|(ment ac)|(multiple cpu faults)|(system.+state.+changed )|(\[timeout)|(PRM\|1\|D)|(kpr)|(kdp)|(\|lc)|(penalty))"</v>
      </c>
      <c r="U31" s="9" t="str">
        <f t="shared" si="2"/>
        <v>4030</v>
      </c>
      <c r="V31" s="32">
        <f t="shared" si="3"/>
        <v>42833.152569444443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{"issue":{"subject":"","project_id":79,"tracker_id":40,"status_id":1,"priority_id":2,"assigned_to_id":23,"start_date":"2017-04-07","description":"","custom_fields":[{"id":1,"name":"Subdivision","value":"EC"},{"id":4,"name":"Milepost","value":"23.3491"},{"id":17,"name":"Train ID","value":"229-07"},{"id":16,"name":"Locomotive ID","value":"4030"},{"id":130,"name":"Impact","value":""},{"id":150,"name":"Time of Event (Mountain Time)","value":"21:39:42"},{"id":151,"name":"Denver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7"/>
        <v>grep -hSE -A400 "Enforcement Action" "%USERPROFILE%\AppData\Local\Temp\OnboardLogs"\RTDC4030\*4030*201704080*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"%USERPROFILE%\AppData\Local\Temp\OnboardLogs"\RTDC4030\*4030*201704080* &gt;&gt; 2017-04-07-SliceDisagreementCheck.txt</v>
      </c>
      <c r="AE31" s="153" t="str">
        <f t="shared" si="9"/>
        <v>start /low /b %USERPROFILE%\Documents\GitHub\eaglep3\Utilities\DownloadLogsFromS3.py --loco 4030 --day 2017-04-08</v>
      </c>
      <c r="AF31" s="1"/>
    </row>
    <row r="32" spans="1:32" x14ac:dyDescent="0.25">
      <c r="A32" s="32">
        <v>42832.72452546296</v>
      </c>
      <c r="B32" s="30" t="s">
        <v>645</v>
      </c>
      <c r="C32" s="30" t="s">
        <v>646</v>
      </c>
      <c r="D32" s="30" t="s">
        <v>98</v>
      </c>
      <c r="E32" s="30" t="s">
        <v>214</v>
      </c>
      <c r="F32" s="43">
        <v>150</v>
      </c>
      <c r="G32" s="43">
        <v>205</v>
      </c>
      <c r="H32" s="43">
        <v>5450</v>
      </c>
      <c r="I32" s="43">
        <v>5718</v>
      </c>
      <c r="J32" s="30" t="s">
        <v>215</v>
      </c>
      <c r="K32" s="43">
        <v>574</v>
      </c>
      <c r="L32" s="139" t="s">
        <v>50</v>
      </c>
      <c r="M32" s="140">
        <f t="shared" si="0"/>
        <v>-2716.0319999999997</v>
      </c>
      <c r="N32" s="141" t="str">
        <f>VLOOKUP(C32,'Trips&amp;Operators'!$C$1:$G$99999,5,FALSE)</f>
        <v>SULLIVAN BRANDON</v>
      </c>
      <c r="O32" s="190" t="s">
        <v>185</v>
      </c>
      <c r="P32" s="142"/>
      <c r="Q32" s="30"/>
      <c r="R32" s="89" t="str">
        <f>IF(VLOOKUP(C32,'Train Runs'!$A$13:$AE$9934,1,1)=C32,VLOOKUP(C32,'Train Runs'!$A$13:$AE$9934,31,1),NA())</f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S32" s="92" t="str">
        <f>VLOOKUP(C32,'Train Runs'!$A$13:$AE$9934,22,0)</f>
        <v>https://d0f6bd738d7f1b3e5a7ca70fe4ff75f0.us-east-1.aws.found.io/app/kibana#/discover/Steve-Slow-Train-Analysis-(2080s-and-2083s)?_g=(refreshInterval:(display:Off,pause:!f,section:0,value:0),time:(from:'2017-04-07T16:07:25-0600',mode:absolute,to:'2017-04-07T18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2" s="94" t="str">
        <f t="shared" si="1"/>
        <v>"C:\Program Files (x86)\AstroGrep\AstroGrep.exe" /e /r /s /spath="%USERPROFILE%\AppData\Local\Temp\OnboardLogs" /stypes="*4008*201704072*" /stext=" 23:.+((SYSTEM_STATE.+slice.+state.+changed )|(ment ac)|(multiple cpu faults)|(system.+state.+changed )|(\[timeout)|(PRM\|1\|D)|(kpr)|(kdp)|(\|lc)|(penalty))"</v>
      </c>
      <c r="U32" s="9" t="str">
        <f t="shared" si="2"/>
        <v>4008</v>
      </c>
      <c r="V32" s="32">
        <f t="shared" si="3"/>
        <v>42832.97452546296</v>
      </c>
      <c r="W32" s="46" t="str">
        <f t="shared" si="4"/>
        <v>NW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{"issue":{"subject":"","project_id":79,"tracker_id":40,"status_id":1,"priority_id":2,"assigned_to_id":23,"start_date":"2017-04-07","description":"","custom_fields":[{"id":1,"name":"Subdivision","value":"NW"},{"id":4,"name":"Milepost","value":"0.0574"},{"id":17,"name":"Train ID","value":"833-07"},{"id":16,"name":"Locomotive ID","value":"4008"},{"id":130,"name":"Impact","value":""},{"id":150,"name":"Time of Event (Mountain Time)","value":"17:23:19"},{"id":151,"name":"Denver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7"/>
        <v>grep -hSE -A400 "Enforcement Action" "%USERPROFILE%\AppData\Local\Temp\OnboardLogs"\RTDC4008\*4008*201704072*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"%USERPROFILE%\AppData\Local\Temp\OnboardLogs"\RTDC4008\*4008*201704072* &gt;&gt; 2017-04-07-SliceDisagreementCheck.txt</v>
      </c>
      <c r="AE32" s="153" t="str">
        <f t="shared" si="9"/>
        <v>start /low /b %USERPROFILE%\Documents\GitHub\eaglep3\Utilities\DownloadLogsFromS3.py --loco 4008 --day 2017-04-07</v>
      </c>
      <c r="AF32" s="1"/>
    </row>
    <row r="33" spans="1:32" x14ac:dyDescent="0.25">
      <c r="A33" s="32">
        <v>42832.267222222225</v>
      </c>
      <c r="B33" s="30" t="s">
        <v>630</v>
      </c>
      <c r="C33" s="30" t="s">
        <v>631</v>
      </c>
      <c r="D33" s="30" t="s">
        <v>49</v>
      </c>
      <c r="E33" s="30" t="s">
        <v>186</v>
      </c>
      <c r="F33" s="43">
        <v>0</v>
      </c>
      <c r="G33" s="43">
        <v>145</v>
      </c>
      <c r="H33" s="43">
        <v>1142</v>
      </c>
      <c r="I33" s="43">
        <v>946</v>
      </c>
      <c r="J33" s="30" t="s">
        <v>187</v>
      </c>
      <c r="K33" s="43">
        <v>575</v>
      </c>
      <c r="L33" s="139" t="s">
        <v>51</v>
      </c>
      <c r="M33" s="140">
        <f t="shared" si="0"/>
        <v>195.88800000000001</v>
      </c>
      <c r="N33" s="141" t="str">
        <f>VLOOKUP(C33,'Trips&amp;Operators'!$C$1:$G$99999,5,FALSE)</f>
        <v>GEBRETEKLE DAGNEW</v>
      </c>
      <c r="O33" s="190" t="s">
        <v>185</v>
      </c>
      <c r="P33" s="142"/>
      <c r="Q33" s="30"/>
      <c r="R33" s="89" t="str">
        <f>IF(VLOOKUP(C33,'Train Runs'!$A$13:$AE$9934,1,1)=C33,VLOOKUP(C33,'Train Runs'!$A$13:$AE$9934,31,1),NA())</f>
        <v>aws s3 cp s3://rtdc.mdm.uploadarchive.raw/RTDC4011/ "%USERPROFILE%\AppData\Local\Temp\OnboardLogs"\RTDC4011\2017-04-07 --exclude "*" --recursive --include "*20170407*" &amp; "%USERPROFILE%\Documents\GitHub\mrs-test-scripts\Headless Mode &amp; Sideloading\WalkAndUnGZ.bat" "%USERPROFILE%\AppData\Local\Temp\OnboardLogs"\RTDC4011\2017-04-07 &amp; aws s3 cp s3://rtdc.mdm.uploadarchive.raw/RTDC4011/ "%USERPROFILE%\AppData\Local\Temp\OnboardLogs"\RTDC4011\2017-04-08 --exclude "*" --recursive --include "*20170408*" &amp; "%USERPROFILE%\Documents\GitHub\mrs-test-scripts\Headless Mode &amp; Sideloading\WalkAndUnGZ.bat" "%USERPROFILE%\AppData\Local\Temp\OnboardLogs"\RTDC4011\2017-04-08</v>
      </c>
      <c r="S33" s="92" t="str">
        <f>VLOOKUP(C33,'Train Runs'!$A$13:$AE$9934,22,0)</f>
        <v>https://d0f6bd738d7f1b3e5a7ca70fe4ff75f0.us-east-1.aws.found.io/app/kibana#/discover/Steve-Slow-Train-Analysis-(2080s-and-2083s)?_g=(refreshInterval:(display:Off,pause:!f,section:0,value:0),time:(from:'2017-04-07T05:06:15-0600',mode:absolute,to:'2017-04-07T07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3" s="94" t="str">
        <f t="shared" si="1"/>
        <v>"C:\Program Files (x86)\AstroGrep\AstroGrep.exe" /e /r /s /spath="%USERPROFILE%\AppData\Local\Temp\OnboardLogs" /stypes="*4011*201704071*" /stext=" 12:.+((SYSTEM_STATE.+slice.+state.+changed )|(ment ac)|(multiple cpu faults)|(system.+state.+changed )|(\[timeout)|(PRM\|1\|D)|(kpr)|(kdp)|(\|lc)|(penalty))"</v>
      </c>
      <c r="U33" s="9" t="str">
        <f t="shared" si="2"/>
        <v>4011</v>
      </c>
      <c r="V33" s="32">
        <f t="shared" si="3"/>
        <v>42832.517222222225</v>
      </c>
      <c r="W33" s="46" t="str">
        <f t="shared" si="4"/>
        <v>NW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{"issue":{"subject":"","project_id":79,"tracker_id":40,"status_id":1,"priority_id":2,"assigned_to_id":23,"start_date":"2017-04-07","description":"","custom_fields":[{"id":1,"name":"Subdivision","value":"NW"},{"id":4,"name":"Milepost","value":"0.0575"},{"id":17,"name":"Train ID","value":"802-07"},{"id":16,"name":"Locomotive ID","value":"4011"},{"id":130,"name":"Impact","value":""},{"id":150,"name":"Time of Event (Mountain Time)","value":"06:24:48"},{"id":151,"name":"Denver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7"/>
        <v>grep -hSE -A400 "Enforcement Action" "%USERPROFILE%\AppData\Local\Temp\OnboardLogs"\RTDC4011\*4011*201704071*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"%USERPROFILE%\AppData\Local\Temp\OnboardLogs"\RTDC4011\*4011*201704071* &gt;&gt; 2017-04-07-SliceDisagreementCheck.txt</v>
      </c>
      <c r="AE33" s="153" t="str">
        <f t="shared" si="9"/>
        <v>start /low /b %USERPROFILE%\Documents\GitHub\eaglep3\Utilities\DownloadLogsFromS3.py --loco 4011 --day 2017-04-07</v>
      </c>
      <c r="AF33" s="1"/>
    </row>
    <row r="34" spans="1:32" x14ac:dyDescent="0.25">
      <c r="A34" s="32">
        <v>42832.89949074074</v>
      </c>
      <c r="B34" s="30" t="s">
        <v>645</v>
      </c>
      <c r="C34" s="30" t="s">
        <v>651</v>
      </c>
      <c r="D34" s="30" t="s">
        <v>98</v>
      </c>
      <c r="E34" s="30" t="s">
        <v>186</v>
      </c>
      <c r="F34" s="43">
        <v>0</v>
      </c>
      <c r="G34" s="43">
        <v>11</v>
      </c>
      <c r="H34" s="43">
        <v>59049</v>
      </c>
      <c r="I34" s="43">
        <v>0</v>
      </c>
      <c r="J34" s="30" t="s">
        <v>187</v>
      </c>
      <c r="K34" s="43">
        <v>59048</v>
      </c>
      <c r="L34" s="139" t="s">
        <v>50</v>
      </c>
      <c r="M34" s="140">
        <f t="shared" si="0"/>
        <v>31177.344000000001</v>
      </c>
      <c r="N34" s="141" t="str">
        <f>VLOOKUP(C34,'Trips&amp;Operators'!$C$1:$G$99999,5,FALSE)</f>
        <v>SMITH MICHAEL</v>
      </c>
      <c r="O34" s="190" t="s">
        <v>185</v>
      </c>
      <c r="P34" s="142"/>
      <c r="Q34" s="30"/>
      <c r="R34" s="89" t="str">
        <f>IF(VLOOKUP(C34,'Train Runs'!$A$13:$AE$9934,1,1)=C34,VLOOKUP(C34,'Train Runs'!$A$13:$AE$9934,31,1),NA())</f>
        <v>aws s3 cp s3://rtdc.mdm.uploadarchive.raw/RTDC4008/ "%USERPROFILE%\AppData\Local\Temp\OnboardLogs"\RTDC4008\2017-04-07 --exclude "*" --recursive --include "*20170407*" &amp; "%USERPROFILE%\Documents\GitHub\mrs-test-scripts\Headless Mode &amp; Sideloading\WalkAndUnGZ.bat" "%USERPROFILE%\AppData\Local\Temp\OnboardLogs"\RTDC4008\2017-04-07 &amp; aws s3 cp s3://rtdc.mdm.uploadarchive.raw/RTDC4008/ "%USERPROFILE%\AppData\Local\Temp\OnboardLogs"\RTDC4008\2017-04-08 --exclude "*" --recursive --include "*20170408*" &amp; "%USERPROFILE%\Documents\GitHub\mrs-test-scripts\Headless Mode &amp; Sideloading\WalkAndUnGZ.bat" "%USERPROFILE%\AppData\Local\Temp\OnboardLogs"\RTDC4008\2017-04-08</v>
      </c>
      <c r="S34" s="92" t="str">
        <f>VLOOKUP(C34,'Train Runs'!$A$13:$AE$9934,22,0)</f>
        <v>https://d0f6bd738d7f1b3e5a7ca70fe4ff75f0.us-east-1.aws.found.io/app/kibana#/discover/Steve-Slow-Train-Analysis-(2080s-and-2083s)?_g=(refreshInterval:(display:Off,pause:!f,section:0,value:0),time:(from:'2017-04-07T20:10:35-0600',mode:absolute,to:'2017-04-07T22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4" s="94" t="str">
        <f t="shared" si="1"/>
        <v>"C:\Program Files (x86)\AstroGrep\AstroGrep.exe" /e /r /s /spath="%USERPROFILE%\AppData\Local\Temp\OnboardLogs" /stypes="*4008*201704080*" /stext=" 03:.+((SYSTEM_STATE.+slice.+state.+changed )|(ment ac)|(multiple cpu faults)|(system.+state.+changed )|(\[timeout)|(PRM\|1\|D)|(kpr)|(kdp)|(\|lc)|(penalty))"</v>
      </c>
      <c r="U34" s="9" t="str">
        <f t="shared" si="2"/>
        <v>4008</v>
      </c>
      <c r="V34" s="32">
        <f t="shared" si="3"/>
        <v>42833.14949074074</v>
      </c>
      <c r="W34" s="46" t="str">
        <f t="shared" si="4"/>
        <v>NW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{"issue":{"subject":"","project_id":79,"tracker_id":40,"status_id":1,"priority_id":2,"assigned_to_id":23,"start_date":"2017-04-07","description":"","custom_fields":[{"id":1,"name":"Subdivision","value":"NW"},{"id":4,"name":"Milepost","value":"5.9048"},{"id":17,"name":"Train ID","value":"845-07"},{"id":16,"name":"Locomotive ID","value":"4008"},{"id":130,"name":"Impact","value":""},{"id":150,"name":"Time of Event (Mountain Time)","value":"21:35:16"},{"id":151,"name":"Denver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7"/>
        <v>grep -hSE -A400 "Enforcement Action" "%USERPROFILE%\AppData\Local\Temp\OnboardLogs"\RTDC4008\*4008*201704080*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"%USERPROFILE%\AppData\Local\Temp\OnboardLogs"\RTDC4008\*4008*201704080* &gt;&gt; 2017-04-07-SliceDisagreementCheck.txt</v>
      </c>
      <c r="AE34" s="153" t="str">
        <f t="shared" si="9"/>
        <v>start /low /b %USERPROFILE%\Documents\GitHub\eaglep3\Utilities\DownloadLogsFromS3.py --loco 4008 --day 2017-04-08</v>
      </c>
      <c r="AF34" s="1"/>
    </row>
    <row r="35" spans="1:32" x14ac:dyDescent="0.25">
      <c r="A35" s="32">
        <v>42832.146122685182</v>
      </c>
      <c r="B35" s="30" t="s">
        <v>502</v>
      </c>
      <c r="C35" s="30" t="s">
        <v>625</v>
      </c>
      <c r="D35" s="30" t="s">
        <v>98</v>
      </c>
      <c r="E35" s="30" t="s">
        <v>192</v>
      </c>
      <c r="F35" s="43">
        <v>0</v>
      </c>
      <c r="G35" s="43">
        <v>54</v>
      </c>
      <c r="H35" s="43">
        <v>63247</v>
      </c>
      <c r="I35" s="43">
        <v>63221</v>
      </c>
      <c r="J35" s="30" t="s">
        <v>193</v>
      </c>
      <c r="K35" s="43">
        <v>63309</v>
      </c>
      <c r="L35" s="139" t="s">
        <v>51</v>
      </c>
      <c r="M35" s="140">
        <f t="shared" si="0"/>
        <v>-46.463999999999999</v>
      </c>
      <c r="N35" s="141" t="str">
        <f>VLOOKUP(C35,'Trips&amp;Operators'!$C$1:$G$99999,5,FALSE)</f>
        <v>SPECTOR MICHAEL</v>
      </c>
      <c r="O35" s="190" t="s">
        <v>185</v>
      </c>
      <c r="P35" s="142"/>
      <c r="Q35" s="30"/>
      <c r="R35" s="89" t="e">
        <f>IF(VLOOKUP(C35,'Train Runs'!$A$13:$AE$9934,1,1)=C35,VLOOKUP(C35,'Train Runs'!$A$13:$AE$9934,31,1),NA())</f>
        <v>#N/A</v>
      </c>
      <c r="S35" s="92" t="str">
        <f>VLOOKUP(C35,'Train Runs'!$A$13:$AE$9934,22,0)</f>
        <v>https://d0f6bd738d7f1b3e5a7ca70fe4ff75f0.us-east-1.aws.found.io/app/kibana#/discover/Steve-Slow-Train-Analysis-(2080s-and-2083s)?_g=(refreshInterval:(display:Off,pause:!f,section:0,value:0),time:(from:'2017-04-07T09:27:55-0600',mode:absolute,to:'2017-04-07T11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5" s="94" t="str">
        <f t="shared" si="1"/>
        <v>"C:\Program Files (x86)\AstroGrep\AstroGrep.exe" /e /r /s /spath="%USERPROFILE%\AppData\Local\Temp\OnboardLogs" /stypes="*4051*201704070*" /stext=" 09:.+((SYSTEM_STATE.+slice.+state.+changed )|(ment ac)|(multiple cpu faults)|(system.+state.+changed )|(\[timeout)|(PRM\|1\|D)|(kpr)|(kdp)|(\|lc)|(penalty))"</v>
      </c>
      <c r="U35" s="9" t="str">
        <f t="shared" si="2"/>
        <v>4051</v>
      </c>
      <c r="V35" s="32">
        <f t="shared" si="3"/>
        <v>42832.396122685182</v>
      </c>
      <c r="W35" s="46" t="str">
        <f t="shared" si="4"/>
        <v>Other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{"issue":{"subject":"","project_id":79,"tracker_id":40,"status_id":1,"priority_id":2,"assigned_to_id":23,"start_date":"2017-04-07","description":"","custom_fields":[{"id":1,"name":"Subdivision","value":"Other"},{"id":4,"name":"Milepost","value":"6.3309"},{"id":17,"name":"Train ID","value":"51-07"},{"id":16,"name":"Locomotive ID","value":"4051"},{"id":130,"name":"Impact","value":""},{"id":150,"name":"Time of Event (Mountain Time)","value":"03:30:25"},{"id":151,"name":"Denver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7"/>
        <v>grep -hSE -A400 "Enforcement Action" "%USERPROFILE%\AppData\Local\Temp\OnboardLogs"\RTDC4051\*4051*201704070*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"%USERPROFILE%\AppData\Local\Temp\OnboardLogs"\RTDC4051\*4051*201704070* &gt;&gt; 2017-04-07-SliceDisagreementCheck.txt</v>
      </c>
      <c r="AE35" s="153" t="str">
        <f t="shared" si="9"/>
        <v>start /low /b %USERPROFILE%\Documents\GitHub\eaglep3\Utilities\DownloadLogsFromS3.py --loco 4051 --day 2017-04-07</v>
      </c>
      <c r="AF35" s="1"/>
    </row>
    <row r="36" spans="1:32" x14ac:dyDescent="0.25">
      <c r="A36" s="32">
        <v>42832.476967592593</v>
      </c>
      <c r="B36" s="30" t="s">
        <v>505</v>
      </c>
      <c r="C36" s="30" t="s">
        <v>636</v>
      </c>
      <c r="D36" s="30" t="s">
        <v>98</v>
      </c>
      <c r="E36" s="30" t="s">
        <v>442</v>
      </c>
      <c r="F36" s="43">
        <v>0</v>
      </c>
      <c r="G36" s="43">
        <v>133</v>
      </c>
      <c r="H36" s="43">
        <v>22455</v>
      </c>
      <c r="I36" s="43">
        <v>22662</v>
      </c>
      <c r="J36" s="30" t="s">
        <v>443</v>
      </c>
      <c r="K36" s="43">
        <v>22314</v>
      </c>
      <c r="L36" s="139" t="s">
        <v>50</v>
      </c>
      <c r="M36" s="140">
        <f t="shared" si="0"/>
        <v>-183.744</v>
      </c>
      <c r="N36" s="141" t="str">
        <f>VLOOKUP(C36,'Trips&amp;Operators'!$C$1:$G$99999,5,FALSE)</f>
        <v>ROBINSON KADDIBA</v>
      </c>
      <c r="O36" s="190" t="s">
        <v>185</v>
      </c>
      <c r="P36" s="142"/>
      <c r="Q36" s="30"/>
      <c r="R36" s="89" t="e">
        <f>IF(VLOOKUP(C36,'Train Runs'!$A$13:$AE$9934,1,1)=C36,VLOOKUP(C36,'Train Runs'!$A$13:$AE$9934,31,1),NA())</f>
        <v>#N/A</v>
      </c>
      <c r="S36" s="92" t="str">
        <f>VLOOKUP(C36,'Train Runs'!$A$13:$AE$9934,22,0)</f>
        <v>https://d0f6bd738d7f1b3e5a7ca70fe4ff75f0.us-east-1.aws.found.io/app/kibana#/discover/Steve-Slow-Train-Analysis-(2080s-and-2083s)?_g=(refreshInterval:(display:Off,pause:!f,section:0,value:0),time:(from:'2017-04-07T10:14:33-0600',mode:absolute,to:'2017-04-07T12:27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6" s="94" t="str">
        <f t="shared" si="1"/>
        <v>"C:\Program Files (x86)\AstroGrep\AstroGrep.exe" /e /r /s /spath="%USERPROFILE%\AppData\Local\Temp\OnboardLogs" /stypes="*4006*201704071*" /stext=" 17:.+((SYSTEM_STATE.+slice.+state.+changed )|(ment ac)|(multiple cpu faults)|(system.+state.+changed )|(\[timeout)|(PRM\|1\|D)|(kpr)|(kdp)|(\|lc)|(penalty))"</v>
      </c>
      <c r="U36" s="9" t="str">
        <f t="shared" si="2"/>
        <v>4006</v>
      </c>
      <c r="V36" s="32">
        <f t="shared" si="3"/>
        <v>42832.726967592593</v>
      </c>
      <c r="W36" s="46" t="str">
        <f t="shared" si="4"/>
        <v>Other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{"issue":{"subject":"","project_id":79,"tracker_id":40,"status_id":1,"priority_id":2,"assigned_to_id":23,"start_date":"2017-04-07","description":"","custom_fields":[{"id":1,"name":"Subdivision","value":"Other"},{"id":4,"name":"Milepost","value":"2.2314"},{"id":17,"name":"Train ID","value":"52-07"},{"id":16,"name":"Locomotive ID","value":"4006"},{"id":130,"name":"Impact","value":""},{"id":150,"name":"Time of Event (Mountain Time)","value":"11:26:50"},{"id":151,"name":"Denver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7"/>
        <v>grep -hSE -A400 "Enforcement Action" "%USERPROFILE%\AppData\Local\Temp\OnboardLogs"\RTDC4006\*4006*201704071*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"%USERPROFILE%\AppData\Local\Temp\OnboardLogs"\RTDC4006\*4006*201704071* &gt;&gt; 2017-04-07-SliceDisagreementCheck.txt</v>
      </c>
      <c r="AE36" s="153" t="str">
        <f t="shared" si="9"/>
        <v>start /low /b %USERPROFILE%\Documents\GitHub\eaglep3\Utilities\DownloadLogsFromS3.py --loco 4006 --day 2017-04-07</v>
      </c>
      <c r="AF36" s="1"/>
    </row>
    <row r="37" spans="1:32" x14ac:dyDescent="0.25">
      <c r="A37" s="32">
        <v>42832.477303240739</v>
      </c>
      <c r="B37" s="30" t="s">
        <v>505</v>
      </c>
      <c r="C37" s="30" t="s">
        <v>636</v>
      </c>
      <c r="D37" s="30" t="s">
        <v>98</v>
      </c>
      <c r="E37" s="30" t="s">
        <v>442</v>
      </c>
      <c r="F37" s="43">
        <v>0</v>
      </c>
      <c r="G37" s="43">
        <v>11</v>
      </c>
      <c r="H37" s="43">
        <v>22665</v>
      </c>
      <c r="I37" s="43">
        <v>22732</v>
      </c>
      <c r="J37" s="30" t="s">
        <v>443</v>
      </c>
      <c r="K37" s="43">
        <v>22314</v>
      </c>
      <c r="L37" s="139" t="s">
        <v>50</v>
      </c>
      <c r="M37" s="140">
        <f t="shared" si="0"/>
        <v>-220.70400000000001</v>
      </c>
      <c r="N37" s="141" t="str">
        <f>VLOOKUP(C37,'Trips&amp;Operators'!$C$1:$G$99999,5,FALSE)</f>
        <v>ROBINSON KADDIBA</v>
      </c>
      <c r="O37" s="190" t="s">
        <v>185</v>
      </c>
      <c r="P37" s="142"/>
      <c r="Q37" s="30"/>
      <c r="R37" s="89" t="e">
        <f>IF(VLOOKUP(C37,'Train Runs'!$A$13:$AE$9934,1,1)=C37,VLOOKUP(C37,'Train Runs'!$A$13:$AE$9934,31,1),NA())</f>
        <v>#N/A</v>
      </c>
      <c r="S37" s="92" t="str">
        <f>VLOOKUP(C37,'Train Runs'!$A$13:$AE$9934,22,0)</f>
        <v>https://d0f6bd738d7f1b3e5a7ca70fe4ff75f0.us-east-1.aws.found.io/app/kibana#/discover/Steve-Slow-Train-Analysis-(2080s-and-2083s)?_g=(refreshInterval:(display:Off,pause:!f,section:0,value:0),time:(from:'2017-04-07T10:14:33-0600',mode:absolute,to:'2017-04-07T12:27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7" s="94" t="str">
        <f t="shared" si="1"/>
        <v>"C:\Program Files (x86)\AstroGrep\AstroGrep.exe" /e /r /s /spath="%USERPROFILE%\AppData\Local\Temp\OnboardLogs" /stypes="*4006*201704071*" /stext=" 17:.+((SYSTEM_STATE.+slice.+state.+changed )|(ment ac)|(multiple cpu faults)|(system.+state.+changed )|(\[timeout)|(PRM\|1\|D)|(kpr)|(kdp)|(\|lc)|(penalty))"</v>
      </c>
      <c r="U37" s="9" t="str">
        <f t="shared" si="2"/>
        <v>4006</v>
      </c>
      <c r="V37" s="32">
        <f t="shared" si="3"/>
        <v>42832.727303240739</v>
      </c>
      <c r="W37" s="46" t="str">
        <f t="shared" si="4"/>
        <v>Other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{"issue":{"subject":"","project_id":79,"tracker_id":40,"status_id":1,"priority_id":2,"assigned_to_id":23,"start_date":"2017-04-07","description":"","custom_fields":[{"id":1,"name":"Subdivision","value":"Other"},{"id":4,"name":"Milepost","value":"2.2314"},{"id":17,"name":"Train ID","value":"52-07"},{"id":16,"name":"Locomotive ID","value":"4006"},{"id":130,"name":"Impact","value":""},{"id":150,"name":"Time of Event (Mountain Time)","value":"11:27:19"},{"id":151,"name":"Denver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7"/>
        <v>grep -hSE -A400 "Enforcement Action" "%USERPROFILE%\AppData\Local\Temp\OnboardLogs"\RTDC4006\*4006*201704071*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"%USERPROFILE%\AppData\Local\Temp\OnboardLogs"\RTDC4006\*4006*201704071* &gt;&gt; 2017-04-07-SliceDisagreementCheck.txt</v>
      </c>
      <c r="AE37" s="153" t="str">
        <f t="shared" si="9"/>
        <v>start /low /b %USERPROFILE%\Documents\GitHub\eaglep3\Utilities\DownloadLogsFromS3.py --loco 4006 --day 2017-04-07</v>
      </c>
      <c r="AF37" s="1"/>
    </row>
    <row r="38" spans="1:32" x14ac:dyDescent="0.25">
      <c r="A38" s="32">
        <v>42832.16642361111</v>
      </c>
      <c r="B38" s="30" t="s">
        <v>388</v>
      </c>
      <c r="C38" s="30" t="s">
        <v>626</v>
      </c>
      <c r="D38" s="30" t="s">
        <v>49</v>
      </c>
      <c r="E38" s="30" t="s">
        <v>186</v>
      </c>
      <c r="F38" s="43">
        <v>0</v>
      </c>
      <c r="G38" s="43">
        <v>28</v>
      </c>
      <c r="H38" s="43">
        <v>134</v>
      </c>
      <c r="I38" s="43">
        <v>118</v>
      </c>
      <c r="J38" s="30" t="s">
        <v>187</v>
      </c>
      <c r="K38" s="43">
        <v>1</v>
      </c>
      <c r="L38" s="139" t="s">
        <v>51</v>
      </c>
      <c r="M38" s="140">
        <f t="shared" si="0"/>
        <v>61.776000000000003</v>
      </c>
      <c r="N38" s="141" t="str">
        <f>VLOOKUP(C38,'Trips&amp;Operators'!$C$1:$G$99999,5,FALSE)</f>
        <v>ROBINSON KADDIBA</v>
      </c>
      <c r="O38" s="190" t="s">
        <v>185</v>
      </c>
      <c r="P38" s="142"/>
      <c r="Q38" s="30"/>
      <c r="R38" s="89" t="e">
        <f>IF(VLOOKUP(C38,'Train Runs'!$A$13:$AE$9934,1,1)=C38,VLOOKUP(C38,'Train Runs'!$A$13:$AE$9934,31,1),NA())</f>
        <v>#N/A</v>
      </c>
      <c r="S38" s="92" t="str">
        <f>VLOOKUP(C38,'Train Runs'!$A$13:$AE$9934,22,0)</f>
        <v>https://d0f6bd738d7f1b3e5a7ca70fe4ff75f0.us-east-1.aws.found.io/app/kibana#/discover/Steve-Slow-Train-Analysis-(2080s-and-2083s)?_g=(refreshInterval:(display:Off,pause:!f,section:0,value:0),time:(from:'2017-04-07T02:46:12-0600',mode:absolute,to:'2017-04-07T04:59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8" s="94" t="str">
        <f t="shared" si="1"/>
        <v>"C:\Program Files (x86)\AstroGrep\AstroGrep.exe" /e /r /s /spath="%USERPROFILE%\AppData\Local\Temp\OnboardLogs" /stypes="*4029*201704070*" /stext=" 09:.+((SYSTEM_STATE.+slice.+state.+changed )|(ment ac)|(multiple cpu faults)|(system.+state.+changed )|(\[timeout)|(PRM\|1\|D)|(kpr)|(kdp)|(\|lc)|(penalty))"</v>
      </c>
      <c r="U38" s="9" t="str">
        <f t="shared" si="2"/>
        <v>4029</v>
      </c>
      <c r="V38" s="32">
        <f t="shared" si="3"/>
        <v>42832.41642361111</v>
      </c>
      <c r="W38" s="46" t="str">
        <f t="shared" si="4"/>
        <v>Other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{"issue":{"subject":"","project_id":79,"tracker_id":40,"status_id":1,"priority_id":2,"assigned_to_id":23,"start_date":"2017-04-07","description":"","custom_fields":[{"id":1,"name":"Subdivision","value":"Other"},{"id":4,"name":"Milepost","value":"0.0001"},{"id":17,"name":"Train ID","value":"306-07"},{"id":16,"name":"Locomotive ID","value":"4029"},{"id":130,"name":"Impact","value":""},{"id":150,"name":"Time of Event (Mountain Time)","value":"03:59:39"},{"id":151,"name":"Denver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7"/>
        <v>grep -hSE -A400 "Enforcement Action" "%USERPROFILE%\AppData\Local\Temp\OnboardLogs"\RTDC4029\*4029*201704070*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"%USERPROFILE%\AppData\Local\Temp\OnboardLogs"\RTDC4029\*4029*201704070* &gt;&gt; 2017-04-07-SliceDisagreementCheck.txt</v>
      </c>
      <c r="AE38" s="153" t="str">
        <f t="shared" si="9"/>
        <v>start /low /b %USERPROFILE%\Documents\GitHub\eaglep3\Utilities\DownloadLogsFromS3.py --loco 4029 --day 2017-04-07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</sheetData>
  <autoFilter ref="A6:AC62">
    <sortState ref="A7:AC62">
      <sortCondition ref="W7:W38"/>
      <sortCondition ref="E7:E38"/>
      <sortCondition ref="K7:K38"/>
      <sortCondition ref="F7:F38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3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6"/>
  <sheetViews>
    <sheetView workbookViewId="0">
      <selection activeCell="E3" sqref="E3:E8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2017-04-07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-07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" s="30" t="e">
        <f>VLOOKUP(B3,'Train Runs'!$A$13:$A$99931,1,FALSE)</f>
        <v>#N/A</v>
      </c>
    </row>
    <row r="4" spans="1:10" x14ac:dyDescent="0.25">
      <c r="A4" s="181"/>
      <c r="B4" s="43" t="str">
        <f>A4&amp;"-"&amp;IF(DAY(Variables!$A$2)&lt;10,0,"")&amp;DAY(Variables!$A$2)</f>
        <v>-07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" s="30" t="e">
        <f>VLOOKUP(B4,'Train Runs'!$A$13:$A$99931,1,FALSE)</f>
        <v>#N/A</v>
      </c>
    </row>
    <row r="5" spans="1:10" x14ac:dyDescent="0.25">
      <c r="A5" s="181"/>
      <c r="B5" s="43" t="str">
        <f>A5&amp;"-"&amp;IF(DAY(Variables!$A$2)&lt;10,0,"")&amp;DAY(Variables!$A$2)</f>
        <v>-07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" s="30" t="e">
        <f>VLOOKUP(B5,'Train Runs'!$A$13:$A$99931,1,FALSE)</f>
        <v>#N/A</v>
      </c>
    </row>
    <row r="6" spans="1:10" x14ac:dyDescent="0.25">
      <c r="A6" s="181"/>
      <c r="B6" s="43" t="str">
        <f>A6&amp;"-"&amp;IF(DAY(Variables!$A$2)&lt;10,0,"")&amp;DAY(Variables!$A$2)</f>
        <v>-07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" s="30" t="e">
        <f>VLOOKUP(B6,'Train Runs'!$A$13:$A$99931,1,FALSE)</f>
        <v>#N/A</v>
      </c>
    </row>
    <row r="7" spans="1:10" x14ac:dyDescent="0.25">
      <c r="A7" s="181"/>
      <c r="B7" s="43" t="str">
        <f>A7&amp;"-"&amp;IF(DAY(Variables!$A$2)&lt;10,0,"")&amp;DAY(Variables!$A$2)</f>
        <v>-07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" s="30" t="e">
        <f>VLOOKUP(B7,'Train Runs'!$A$13:$A$99931,1,FALSE)</f>
        <v>#N/A</v>
      </c>
    </row>
    <row r="8" spans="1:10" x14ac:dyDescent="0.25">
      <c r="A8" s="181"/>
      <c r="B8" s="43" t="str">
        <f>A8&amp;"-"&amp;IF(DAY(Variables!$A$2)&lt;10,0,"")&amp;DAY(Variables!$A$2)</f>
        <v>-07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" s="30" t="e">
        <f>VLOOKUP(B8,'Train Runs'!$A$13:$A$99931,1,FALSE)</f>
        <v>#N/A</v>
      </c>
    </row>
    <row r="9" spans="1:10" x14ac:dyDescent="0.25">
      <c r="A9" s="181"/>
      <c r="B9" s="43" t="str">
        <f>A9&amp;"-"&amp;IF(DAY(Variables!$A$2)&lt;10,0,"")&amp;DAY(Variables!$A$2)</f>
        <v>-07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" s="30" t="e">
        <f>VLOOKUP(B9,'Train Runs'!$A$13:$A$99931,1,FALSE)</f>
        <v>#N/A</v>
      </c>
    </row>
    <row r="10" spans="1:10" x14ac:dyDescent="0.25">
      <c r="A10" s="181"/>
      <c r="B10" s="43" t="str">
        <f>A10&amp;"-"&amp;IF(DAY(Variables!$A$2)&lt;10,0,"")&amp;DAY(Variables!$A$2)</f>
        <v>-07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" s="30" t="e">
        <f>VLOOKUP(B10,'Train Runs'!$A$13:$A$99931,1,FALSE)</f>
        <v>#N/A</v>
      </c>
    </row>
    <row r="11" spans="1:10" x14ac:dyDescent="0.25">
      <c r="A11" s="181"/>
      <c r="B11" s="43" t="str">
        <f>A11&amp;"-"&amp;IF(DAY(Variables!$A$2)&lt;10,0,"")&amp;DAY(Variables!$A$2)</f>
        <v>-07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" s="30" t="e">
        <f>VLOOKUP(B11,'Train Runs'!$A$13:$A$99931,1,FALSE)</f>
        <v>#N/A</v>
      </c>
    </row>
    <row r="12" spans="1:10" x14ac:dyDescent="0.25">
      <c r="A12" s="181"/>
      <c r="B12" s="43" t="str">
        <f>A12&amp;"-"&amp;IF(DAY(Variables!$A$2)&lt;10,0,"")&amp;DAY(Variables!$A$2)</f>
        <v>-07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2" s="30" t="e">
        <f>VLOOKUP(B12,'Train Runs'!$A$13:$A$99931,1,FALSE)</f>
        <v>#N/A</v>
      </c>
    </row>
    <row r="13" spans="1:10" x14ac:dyDescent="0.25">
      <c r="A13" s="181"/>
      <c r="B13" s="43" t="str">
        <f>A13&amp;"-"&amp;IF(DAY(Variables!$A$2)&lt;10,0,"")&amp;DAY(Variables!$A$2)</f>
        <v>-07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3" s="30" t="e">
        <f>VLOOKUP(B13,'Train Runs'!$A$13:$A$99931,1,FALSE)</f>
        <v>#N/A</v>
      </c>
    </row>
    <row r="14" spans="1:10" x14ac:dyDescent="0.25">
      <c r="A14" s="181"/>
      <c r="B14" s="43" t="str">
        <f>A14&amp;"-"&amp;IF(DAY(Variables!$A$2)&lt;10,0,"")&amp;DAY(Variables!$A$2)</f>
        <v>-07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4" s="30" t="e">
        <f>VLOOKUP(B14,'Train Runs'!$A$13:$A$99931,1,FALSE)</f>
        <v>#N/A</v>
      </c>
    </row>
    <row r="15" spans="1:10" x14ac:dyDescent="0.25">
      <c r="A15" s="181"/>
      <c r="B15" s="43" t="str">
        <f>A15&amp;"-"&amp;IF(DAY(Variables!$A$2)&lt;10,0,"")&amp;DAY(Variables!$A$2)</f>
        <v>-07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5" s="30" t="e">
        <f>VLOOKUP(B15,'Train Runs'!$A$13:$A$99931,1,FALSE)</f>
        <v>#N/A</v>
      </c>
    </row>
    <row r="16" spans="1:10" x14ac:dyDescent="0.25">
      <c r="A16" s="181"/>
      <c r="B16" s="43" t="str">
        <f>A16&amp;"-"&amp;IF(DAY(Variables!$A$2)&lt;10,0,"")&amp;DAY(Variables!$A$2)</f>
        <v>-07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6" s="30" t="e">
        <f>VLOOKUP(B16,'Train Runs'!$A$13:$A$99931,1,FALSE)</f>
        <v>#N/A</v>
      </c>
    </row>
    <row r="17" spans="1:10" x14ac:dyDescent="0.25">
      <c r="A17" s="181"/>
      <c r="B17" s="43" t="str">
        <f>A17&amp;"-"&amp;IF(DAY(Variables!$A$2)&lt;10,0,"")&amp;DAY(Variables!$A$2)</f>
        <v>-07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7" s="30" t="e">
        <f>VLOOKUP(B17,'Train Runs'!$A$13:$A$99931,1,FALSE)</f>
        <v>#N/A</v>
      </c>
    </row>
    <row r="18" spans="1:10" x14ac:dyDescent="0.25">
      <c r="A18" s="181"/>
      <c r="B18" s="43" t="str">
        <f>A18&amp;"-"&amp;IF(DAY(Variables!$A$2)&lt;10,0,"")&amp;DAY(Variables!$A$2)</f>
        <v>-07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8" s="30" t="e">
        <f>VLOOKUP(B18,'Train Runs'!$A$13:$A$99931,1,FALSE)</f>
        <v>#N/A</v>
      </c>
    </row>
    <row r="19" spans="1:10" x14ac:dyDescent="0.25">
      <c r="A19" s="181"/>
      <c r="B19" s="43" t="str">
        <f>A19&amp;"-"&amp;IF(DAY(Variables!$A$2)&lt;10,0,"")&amp;DAY(Variables!$A$2)</f>
        <v>-07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9" s="30" t="e">
        <f>VLOOKUP(B19,'Train Runs'!$A$13:$A$99931,1,FALSE)</f>
        <v>#N/A</v>
      </c>
    </row>
    <row r="20" spans="1:10" x14ac:dyDescent="0.25">
      <c r="A20" s="181"/>
      <c r="B20" s="43" t="str">
        <f>A20&amp;"-"&amp;IF(DAY(Variables!$A$2)&lt;10,0,"")&amp;DAY(Variables!$A$2)</f>
        <v>-07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0" s="30" t="e">
        <f>VLOOKUP(B20,'Train Runs'!$A$13:$A$99931,1,FALSE)</f>
        <v>#N/A</v>
      </c>
    </row>
    <row r="21" spans="1:10" x14ac:dyDescent="0.25">
      <c r="A21" s="181"/>
      <c r="B21" s="43" t="str">
        <f>A21&amp;"-"&amp;IF(DAY(Variables!$A$2)&lt;10,0,"")&amp;DAY(Variables!$A$2)</f>
        <v>-07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1" s="30" t="e">
        <f>VLOOKUP(B21,'Train Runs'!$A$13:$A$99931,1,FALSE)</f>
        <v>#N/A</v>
      </c>
    </row>
    <row r="22" spans="1:10" x14ac:dyDescent="0.25">
      <c r="A22" s="181"/>
      <c r="B22" s="43" t="str">
        <f>A22&amp;"-"&amp;IF(DAY(Variables!$A$2)&lt;10,0,"")&amp;DAY(Variables!$A$2)</f>
        <v>-07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2" s="30" t="e">
        <f>VLOOKUP(B22,'Train Runs'!$A$13:$A$99931,1,FALSE)</f>
        <v>#N/A</v>
      </c>
    </row>
    <row r="23" spans="1:10" x14ac:dyDescent="0.25">
      <c r="A23" s="181"/>
      <c r="B23" s="43" t="str">
        <f>A23&amp;"-"&amp;IF(DAY(Variables!$A$2)&lt;10,0,"")&amp;DAY(Variables!$A$2)</f>
        <v>-07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3" s="30" t="e">
        <f>VLOOKUP(B23,'Train Runs'!$A$13:$A$99931,1,FALSE)</f>
        <v>#N/A</v>
      </c>
    </row>
    <row r="24" spans="1:10" x14ac:dyDescent="0.25">
      <c r="A24" s="181"/>
      <c r="B24" s="43" t="str">
        <f>A24&amp;"-"&amp;IF(DAY(Variables!$A$2)&lt;10,0,"")&amp;DAY(Variables!$A$2)</f>
        <v>-07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4" s="30" t="e">
        <f>VLOOKUP(B24,'Train Runs'!$A$13:$A$99931,1,FALSE)</f>
        <v>#N/A</v>
      </c>
    </row>
    <row r="25" spans="1:10" x14ac:dyDescent="0.25">
      <c r="A25" s="181"/>
      <c r="B25" s="43" t="str">
        <f>A25&amp;"-"&amp;IF(DAY(Variables!$A$2)&lt;10,0,"")&amp;DAY(Variables!$A$2)</f>
        <v>-07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5" s="30" t="e">
        <f>VLOOKUP(B25,'Train Runs'!$A$13:$A$99931,1,FALSE)</f>
        <v>#N/A</v>
      </c>
    </row>
    <row r="26" spans="1:10" x14ac:dyDescent="0.25">
      <c r="A26" s="181"/>
      <c r="B26" s="43" t="str">
        <f>A26&amp;"-"&amp;IF(DAY(Variables!$A$2)&lt;10,0,"")&amp;DAY(Variables!$A$2)</f>
        <v>-07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6" s="30" t="e">
        <f>VLOOKUP(B26,'Train Runs'!$A$13:$A$99931,1,FALSE)</f>
        <v>#N/A</v>
      </c>
    </row>
    <row r="27" spans="1:10" x14ac:dyDescent="0.25">
      <c r="A27" s="181"/>
      <c r="B27" s="43" t="str">
        <f>A27&amp;"-"&amp;IF(DAY(Variables!$A$2)&lt;10,0,"")&amp;DAY(Variables!$A$2)</f>
        <v>-07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7" s="30" t="e">
        <f>VLOOKUP(B27,'Train Runs'!$A$13:$A$99931,1,FALSE)</f>
        <v>#N/A</v>
      </c>
    </row>
    <row r="28" spans="1:10" x14ac:dyDescent="0.25">
      <c r="A28" s="181"/>
      <c r="B28" s="43" t="str">
        <f>A28&amp;"-"&amp;IF(DAY(Variables!$A$2)&lt;10,0,"")&amp;DAY(Variables!$A$2)</f>
        <v>-07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8" s="30" t="e">
        <f>VLOOKUP(B28,'Train Runs'!$A$13:$A$99931,1,FALSE)</f>
        <v>#N/A</v>
      </c>
    </row>
    <row r="29" spans="1:10" x14ac:dyDescent="0.25">
      <c r="A29" s="181"/>
      <c r="B29" s="43" t="str">
        <f>A29&amp;"-"&amp;IF(DAY(Variables!$A$2)&lt;10,0,"")&amp;DAY(Variables!$A$2)</f>
        <v>-07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9" s="30" t="e">
        <f>VLOOKUP(B29,'Train Runs'!$A$13:$A$99931,1,FALSE)</f>
        <v>#N/A</v>
      </c>
    </row>
    <row r="30" spans="1:10" x14ac:dyDescent="0.25">
      <c r="A30" s="181"/>
      <c r="B30" s="43" t="str">
        <f>A30&amp;"-"&amp;IF(DAY(Variables!$A$2)&lt;10,0,"")&amp;DAY(Variables!$A$2)</f>
        <v>-07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0" s="30" t="e">
        <f>VLOOKUP(B30,'Train Runs'!$A$13:$A$99931,1,FALSE)</f>
        <v>#N/A</v>
      </c>
    </row>
    <row r="31" spans="1:10" x14ac:dyDescent="0.25">
      <c r="A31" s="181"/>
      <c r="B31" s="43" t="str">
        <f>A31&amp;"-"&amp;IF(DAY(Variables!$A$2)&lt;10,0,"")&amp;DAY(Variables!$A$2)</f>
        <v>-07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1" s="30" t="e">
        <f>VLOOKUP(B31,'Train Runs'!$A$13:$A$99931,1,FALSE)</f>
        <v>#N/A</v>
      </c>
    </row>
    <row r="32" spans="1:10" x14ac:dyDescent="0.25">
      <c r="A32" s="181"/>
      <c r="B32" s="43" t="str">
        <f>A32&amp;"-"&amp;IF(DAY(Variables!$A$2)&lt;10,0,"")&amp;DAY(Variables!$A$2)</f>
        <v>-07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2" s="30" t="e">
        <f>VLOOKUP(B32,'Train Runs'!$A$13:$A$99931,1,FALSE)</f>
        <v>#N/A</v>
      </c>
    </row>
    <row r="33" spans="1:10" x14ac:dyDescent="0.25">
      <c r="A33" s="181"/>
      <c r="B33" s="43" t="str">
        <f>A33&amp;"-"&amp;IF(DAY(Variables!$A$2)&lt;10,0,"")&amp;DAY(Variables!$A$2)</f>
        <v>-07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ref="I33:I6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3" s="30" t="e">
        <f>VLOOKUP(B33,'Train Runs'!$A$13:$A$99931,1,FALSE)</f>
        <v>#N/A</v>
      </c>
    </row>
    <row r="34" spans="1:10" x14ac:dyDescent="0.25">
      <c r="A34" s="181"/>
      <c r="B34" s="43" t="str">
        <f>A34&amp;"-"&amp;IF(DAY(Variables!$A$2)&lt;10,0,"")&amp;DAY(Variables!$A$2)</f>
        <v>-07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4" s="30" t="e">
        <f>VLOOKUP(B34,'Train Runs'!$A$13:$A$99931,1,FALSE)</f>
        <v>#N/A</v>
      </c>
    </row>
    <row r="35" spans="1:10" x14ac:dyDescent="0.25">
      <c r="A35" s="181"/>
      <c r="B35" s="43" t="str">
        <f>A35&amp;"-"&amp;IF(DAY(Variables!$A$2)&lt;10,0,"")&amp;DAY(Variables!$A$2)</f>
        <v>-07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5" s="30" t="e">
        <f>VLOOKUP(B35,'Train Runs'!$A$13:$A$99931,1,FALSE)</f>
        <v>#N/A</v>
      </c>
    </row>
    <row r="36" spans="1:10" x14ac:dyDescent="0.25">
      <c r="A36" s="181"/>
      <c r="B36" s="43" t="str">
        <f>A36&amp;"-"&amp;IF(DAY(Variables!$A$2)&lt;10,0,"")&amp;DAY(Variables!$A$2)</f>
        <v>-07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6" s="30" t="e">
        <f>VLOOKUP(B36,'Train Runs'!$A$13:$A$99931,1,FALSE)</f>
        <v>#N/A</v>
      </c>
    </row>
    <row r="37" spans="1:10" x14ac:dyDescent="0.25">
      <c r="A37" s="181"/>
      <c r="B37" s="43" t="str">
        <f>A37&amp;"-"&amp;IF(DAY(Variables!$A$2)&lt;10,0,"")&amp;DAY(Variables!$A$2)</f>
        <v>-07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7" s="30" t="e">
        <f>VLOOKUP(B37,'Train Runs'!$A$13:$A$99931,1,FALSE)</f>
        <v>#N/A</v>
      </c>
    </row>
    <row r="38" spans="1:10" x14ac:dyDescent="0.25">
      <c r="A38" s="181"/>
      <c r="B38" s="43" t="str">
        <f>A38&amp;"-"&amp;IF(DAY(Variables!$A$2)&lt;10,0,"")&amp;DAY(Variables!$A$2)</f>
        <v>-07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8" s="30" t="e">
        <f>VLOOKUP(B38,'Train Runs'!$A$13:$A$99931,1,FALSE)</f>
        <v>#N/A</v>
      </c>
    </row>
    <row r="39" spans="1:10" x14ac:dyDescent="0.25">
      <c r="A39" s="181"/>
      <c r="B39" s="43" t="str">
        <f>A39&amp;"-"&amp;IF(DAY(Variables!$A$2)&lt;10,0,"")&amp;DAY(Variables!$A$2)</f>
        <v>-07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9" s="30" t="e">
        <f>VLOOKUP(B39,'Train Runs'!$A$13:$A$99931,1,FALSE)</f>
        <v>#N/A</v>
      </c>
    </row>
    <row r="40" spans="1:10" x14ac:dyDescent="0.25">
      <c r="A40" s="181"/>
      <c r="B40" s="43" t="str">
        <f>A40&amp;"-"&amp;IF(DAY(Variables!$A$2)&lt;10,0,"")&amp;DAY(Variables!$A$2)</f>
        <v>-07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0" s="30" t="e">
        <f>VLOOKUP(B40,'Train Runs'!$A$13:$A$99931,1,FALSE)</f>
        <v>#N/A</v>
      </c>
    </row>
    <row r="41" spans="1:10" x14ac:dyDescent="0.25">
      <c r="A41" s="181"/>
      <c r="B41" s="43" t="str">
        <f>A41&amp;"-"&amp;IF(DAY(Variables!$A$2)&lt;10,0,"")&amp;DAY(Variables!$A$2)</f>
        <v>-07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1" s="30" t="e">
        <f>VLOOKUP(B41,'Train Runs'!$A$13:$A$99931,1,FALSE)</f>
        <v>#N/A</v>
      </c>
    </row>
    <row r="42" spans="1:10" x14ac:dyDescent="0.25">
      <c r="A42" s="181"/>
      <c r="B42" s="43" t="str">
        <f>A42&amp;"-"&amp;IF(DAY(Variables!$A$2)&lt;10,0,"")&amp;DAY(Variables!$A$2)</f>
        <v>-07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2" s="30" t="e">
        <f>VLOOKUP(B42,'Train Runs'!$A$13:$A$99931,1,FALSE)</f>
        <v>#N/A</v>
      </c>
    </row>
    <row r="43" spans="1:10" x14ac:dyDescent="0.25">
      <c r="A43" s="181"/>
      <c r="B43" s="43" t="str">
        <f>A43&amp;"-"&amp;IF(DAY(Variables!$A$2)&lt;10,0,"")&amp;DAY(Variables!$A$2)</f>
        <v>-07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3" s="30" t="e">
        <f>VLOOKUP(B43,'Train Runs'!$A$13:$A$99931,1,FALSE)</f>
        <v>#N/A</v>
      </c>
    </row>
    <row r="44" spans="1:10" x14ac:dyDescent="0.25">
      <c r="A44" s="181"/>
      <c r="B44" s="43" t="str">
        <f>A44&amp;"-"&amp;IF(DAY(Variables!$A$2)&lt;10,0,"")&amp;DAY(Variables!$A$2)</f>
        <v>-07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4" s="30" t="e">
        <f>VLOOKUP(B44,'Train Runs'!$A$13:$A$99931,1,FALSE)</f>
        <v>#N/A</v>
      </c>
    </row>
    <row r="45" spans="1:10" x14ac:dyDescent="0.25">
      <c r="A45" s="181"/>
      <c r="B45" s="43" t="str">
        <f>A45&amp;"-"&amp;IF(DAY(Variables!$A$2)&lt;10,0,"")&amp;DAY(Variables!$A$2)</f>
        <v>-07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5" s="30" t="e">
        <f>VLOOKUP(B45,'Train Runs'!$A$13:$A$99931,1,FALSE)</f>
        <v>#N/A</v>
      </c>
    </row>
    <row r="46" spans="1:10" x14ac:dyDescent="0.25">
      <c r="A46" s="181"/>
      <c r="B46" s="43" t="str">
        <f>A46&amp;"-"&amp;IF(DAY(Variables!$A$2)&lt;10,0,"")&amp;DAY(Variables!$A$2)</f>
        <v>-07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6" s="30" t="e">
        <f>VLOOKUP(B46,'Train Runs'!$A$13:$A$99931,1,FALSE)</f>
        <v>#N/A</v>
      </c>
    </row>
    <row r="47" spans="1:10" x14ac:dyDescent="0.25">
      <c r="A47" s="181"/>
      <c r="B47" s="43" t="str">
        <f>A47&amp;"-"&amp;IF(DAY(Variables!$A$2)&lt;10,0,"")&amp;DAY(Variables!$A$2)</f>
        <v>-07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7" s="30" t="e">
        <f>VLOOKUP(B47,'Train Runs'!$A$13:$A$99931,1,FALSE)</f>
        <v>#N/A</v>
      </c>
    </row>
    <row r="48" spans="1:10" x14ac:dyDescent="0.25">
      <c r="A48" s="181"/>
      <c r="B48" s="43" t="str">
        <f>A48&amp;"-"&amp;IF(DAY(Variables!$A$2)&lt;10,0,"")&amp;DAY(Variables!$A$2)</f>
        <v>-07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8" s="30" t="e">
        <f>VLOOKUP(B48,'Train Runs'!$A$13:$A$99931,1,FALSE)</f>
        <v>#N/A</v>
      </c>
    </row>
    <row r="49" spans="1:10" x14ac:dyDescent="0.25">
      <c r="A49" s="181"/>
      <c r="B49" s="43" t="str">
        <f>A49&amp;"-"&amp;IF(DAY(Variables!$A$2)&lt;10,0,"")&amp;DAY(Variables!$A$2)</f>
        <v>-07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9" s="30" t="e">
        <f>VLOOKUP(B49,'Train Runs'!$A$13:$A$99931,1,FALSE)</f>
        <v>#N/A</v>
      </c>
    </row>
    <row r="50" spans="1:10" x14ac:dyDescent="0.25">
      <c r="A50" s="181"/>
      <c r="B50" s="43" t="str">
        <f>A50&amp;"-"&amp;IF(DAY(Variables!$A$2)&lt;10,0,"")&amp;DAY(Variables!$A$2)</f>
        <v>-07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0" s="30" t="e">
        <f>VLOOKUP(B50,'Train Runs'!$A$13:$A$99931,1,FALSE)</f>
        <v>#N/A</v>
      </c>
    </row>
    <row r="51" spans="1:10" x14ac:dyDescent="0.25">
      <c r="A51" s="181"/>
      <c r="B51" s="43" t="str">
        <f>A51&amp;"-"&amp;IF(DAY(Variables!$A$2)&lt;10,0,"")&amp;DAY(Variables!$A$2)</f>
        <v>-07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1" s="30" t="e">
        <f>VLOOKUP(B51,'Train Runs'!$A$13:$A$99931,1,FALSE)</f>
        <v>#N/A</v>
      </c>
    </row>
    <row r="52" spans="1:10" x14ac:dyDescent="0.25">
      <c r="A52" s="181"/>
      <c r="B52" s="43" t="str">
        <f>A52&amp;"-"&amp;IF(DAY(Variables!$A$2)&lt;10,0,"")&amp;DAY(Variables!$A$2)</f>
        <v>-07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2" s="30" t="e">
        <f>VLOOKUP(B52,'Train Runs'!$A$13:$A$99931,1,FALSE)</f>
        <v>#N/A</v>
      </c>
    </row>
    <row r="53" spans="1:10" x14ac:dyDescent="0.25">
      <c r="A53" s="181"/>
      <c r="B53" s="43" t="str">
        <f>A53&amp;"-"&amp;IF(DAY(Variables!$A$2)&lt;10,0,"")&amp;DAY(Variables!$A$2)</f>
        <v>-07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3" s="30" t="e">
        <f>VLOOKUP(B53,'Train Runs'!$A$13:$A$99931,1,FALSE)</f>
        <v>#N/A</v>
      </c>
    </row>
    <row r="54" spans="1:10" x14ac:dyDescent="0.25">
      <c r="A54" s="181"/>
      <c r="B54" s="43" t="str">
        <f>A54&amp;"-"&amp;IF(DAY(Variables!$A$2)&lt;10,0,"")&amp;DAY(Variables!$A$2)</f>
        <v>-07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4" s="30" t="e">
        <f>VLOOKUP(B54,'Train Runs'!$A$13:$A$99931,1,FALSE)</f>
        <v>#N/A</v>
      </c>
    </row>
    <row r="55" spans="1:10" x14ac:dyDescent="0.25">
      <c r="A55" s="181"/>
      <c r="B55" s="43" t="str">
        <f>A55&amp;"-"&amp;IF(DAY(Variables!$A$2)&lt;10,0,"")&amp;DAY(Variables!$A$2)</f>
        <v>-07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5" s="30" t="e">
        <f>VLOOKUP(B55,'Train Runs'!$A$13:$A$99931,1,FALSE)</f>
        <v>#N/A</v>
      </c>
    </row>
    <row r="56" spans="1:10" x14ac:dyDescent="0.25">
      <c r="A56" s="181"/>
      <c r="B56" s="43" t="str">
        <f>A56&amp;"-"&amp;IF(DAY(Variables!$A$2)&lt;10,0,"")&amp;DAY(Variables!$A$2)</f>
        <v>-07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6" s="30" t="e">
        <f>VLOOKUP(B56,'Train Runs'!$A$13:$A$99931,1,FALSE)</f>
        <v>#N/A</v>
      </c>
    </row>
    <row r="57" spans="1:10" x14ac:dyDescent="0.25">
      <c r="A57" s="181"/>
      <c r="B57" s="43" t="str">
        <f>A57&amp;"-"&amp;IF(DAY(Variables!$A$2)&lt;10,0,"")&amp;DAY(Variables!$A$2)</f>
        <v>-07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7" s="30" t="e">
        <f>VLOOKUP(B57,'Train Runs'!$A$13:$A$99931,1,FALSE)</f>
        <v>#N/A</v>
      </c>
    </row>
    <row r="58" spans="1:10" x14ac:dyDescent="0.25">
      <c r="A58" s="181"/>
      <c r="B58" s="43" t="str">
        <f>A58&amp;"-"&amp;IF(DAY(Variables!$A$2)&lt;10,0,"")&amp;DAY(Variables!$A$2)</f>
        <v>-07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8" s="30" t="e">
        <f>VLOOKUP(B58,'Train Runs'!$A$13:$A$99931,1,FALSE)</f>
        <v>#N/A</v>
      </c>
    </row>
    <row r="59" spans="1:10" x14ac:dyDescent="0.25">
      <c r="A59" s="181"/>
      <c r="B59" s="43" t="str">
        <f>A59&amp;"-"&amp;IF(DAY(Variables!$A$2)&lt;10,0,"")&amp;DAY(Variables!$A$2)</f>
        <v>-07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9" s="30" t="e">
        <f>VLOOKUP(B59,'Train Runs'!$A$13:$A$99931,1,FALSE)</f>
        <v>#N/A</v>
      </c>
    </row>
    <row r="60" spans="1:10" x14ac:dyDescent="0.25">
      <c r="A60" s="181"/>
      <c r="B60" s="43" t="str">
        <f>A60&amp;"-"&amp;IF(DAY(Variables!$A$2)&lt;10,0,"")&amp;DAY(Variables!$A$2)</f>
        <v>-07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0" s="30" t="e">
        <f>VLOOKUP(B60,'Train Runs'!$A$13:$A$99931,1,FALSE)</f>
        <v>#N/A</v>
      </c>
    </row>
    <row r="61" spans="1:10" x14ac:dyDescent="0.25">
      <c r="A61" s="181"/>
      <c r="B61" s="43" t="str">
        <f>A61&amp;"-"&amp;IF(DAY(Variables!$A$2)&lt;10,0,"")&amp;DAY(Variables!$A$2)</f>
        <v>-07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1" s="30" t="e">
        <f>VLOOKUP(B61,'Train Runs'!$A$13:$A$99931,1,FALSE)</f>
        <v>#N/A</v>
      </c>
    </row>
    <row r="62" spans="1:10" x14ac:dyDescent="0.25">
      <c r="A62" s="181"/>
      <c r="B62" s="43" t="str">
        <f>A62&amp;"-"&amp;IF(DAY(Variables!$A$2)&lt;10,0,"")&amp;DAY(Variables!$A$2)</f>
        <v>-07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2" s="30" t="e">
        <f>VLOOKUP(B62,'Train Runs'!$A$13:$A$99931,1,FALSE)</f>
        <v>#N/A</v>
      </c>
    </row>
    <row r="63" spans="1:10" x14ac:dyDescent="0.25">
      <c r="A63" s="181"/>
      <c r="B63" s="43" t="str">
        <f>A63&amp;"-"&amp;IF(DAY(Variables!$A$2)&lt;10,0,"")&amp;DAY(Variables!$A$2)</f>
        <v>-07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3" s="30" t="e">
        <f>VLOOKUP(B63,'Train Runs'!$A$13:$A$99931,1,FALSE)</f>
        <v>#N/A</v>
      </c>
    </row>
    <row r="64" spans="1:10" x14ac:dyDescent="0.25">
      <c r="A64" s="181"/>
      <c r="B64" s="43" t="str">
        <f>A64&amp;"-"&amp;IF(DAY(Variables!$A$2)&lt;10,0,"")&amp;DAY(Variables!$A$2)</f>
        <v>-07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4" s="30" t="e">
        <f>VLOOKUP(B64,'Train Runs'!$A$13:$A$99931,1,FALSE)</f>
        <v>#N/A</v>
      </c>
    </row>
    <row r="65" spans="1:10" x14ac:dyDescent="0.25">
      <c r="A65" s="181"/>
      <c r="B65" s="43" t="str">
        <f>A65&amp;"-"&amp;IF(DAY(Variables!$A$2)&lt;10,0,"")&amp;DAY(Variables!$A$2)</f>
        <v>-07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ref="I65:I8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5" s="30" t="e">
        <f>VLOOKUP(B65,'Train Runs'!$A$13:$A$99931,1,FALSE)</f>
        <v>#N/A</v>
      </c>
    </row>
    <row r="66" spans="1:10" x14ac:dyDescent="0.25">
      <c r="A66" s="181"/>
      <c r="B66" s="43" t="str">
        <f>A66&amp;"-"&amp;IF(DAY(Variables!$A$2)&lt;10,0,"")&amp;DAY(Variables!$A$2)</f>
        <v>-07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6" s="30" t="e">
        <f>VLOOKUP(B66,'Train Runs'!$A$13:$A$99931,1,FALSE)</f>
        <v>#N/A</v>
      </c>
    </row>
    <row r="67" spans="1:10" x14ac:dyDescent="0.25">
      <c r="A67" s="181"/>
      <c r="B67" s="43" t="str">
        <f>A67&amp;"-"&amp;IF(DAY(Variables!$A$2)&lt;10,0,"")&amp;DAY(Variables!$A$2)</f>
        <v>-07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7" s="30" t="e">
        <f>VLOOKUP(B67,'Train Runs'!$A$13:$A$99931,1,FALSE)</f>
        <v>#N/A</v>
      </c>
    </row>
    <row r="68" spans="1:10" x14ac:dyDescent="0.25">
      <c r="A68" s="181"/>
      <c r="B68" s="43" t="str">
        <f>A68&amp;"-"&amp;IF(DAY(Variables!$A$2)&lt;10,0,"")&amp;DAY(Variables!$A$2)</f>
        <v>-07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8" s="30" t="e">
        <f>VLOOKUP(B68,'Train Runs'!$A$13:$A$99931,1,FALSE)</f>
        <v>#N/A</v>
      </c>
    </row>
    <row r="69" spans="1:10" x14ac:dyDescent="0.25">
      <c r="A69" s="181"/>
      <c r="B69" s="43" t="str">
        <f>A69&amp;"-"&amp;IF(DAY(Variables!$A$2)&lt;10,0,"")&amp;DAY(Variables!$A$2)</f>
        <v>-07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9" s="30" t="e">
        <f>VLOOKUP(B69,'Train Runs'!$A$13:$A$99931,1,FALSE)</f>
        <v>#N/A</v>
      </c>
    </row>
    <row r="70" spans="1:10" x14ac:dyDescent="0.25">
      <c r="A70" s="181"/>
      <c r="B70" s="43" t="str">
        <f>A70&amp;"-"&amp;IF(DAY(Variables!$A$2)&lt;10,0,"")&amp;DAY(Variables!$A$2)</f>
        <v>-07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0" s="30" t="e">
        <f>VLOOKUP(B70,'Train Runs'!$A$13:$A$99931,1,FALSE)</f>
        <v>#N/A</v>
      </c>
    </row>
    <row r="71" spans="1:10" x14ac:dyDescent="0.25">
      <c r="A71" s="181"/>
      <c r="B71" s="43" t="str">
        <f>A71&amp;"-"&amp;IF(DAY(Variables!$A$2)&lt;10,0,"")&amp;DAY(Variables!$A$2)</f>
        <v>-07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1" s="30" t="e">
        <f>VLOOKUP(B71,'Train Runs'!$A$13:$A$99931,1,FALSE)</f>
        <v>#N/A</v>
      </c>
    </row>
    <row r="72" spans="1:10" x14ac:dyDescent="0.25">
      <c r="A72" s="181"/>
      <c r="B72" s="43" t="str">
        <f>A72&amp;"-"&amp;IF(DAY(Variables!$A$2)&lt;10,0,"")&amp;DAY(Variables!$A$2)</f>
        <v>-07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2" s="30" t="e">
        <f>VLOOKUP(B72,'Train Runs'!$A$13:$A$99931,1,FALSE)</f>
        <v>#N/A</v>
      </c>
    </row>
    <row r="73" spans="1:10" x14ac:dyDescent="0.25">
      <c r="A73" s="181"/>
      <c r="B73" s="43" t="str">
        <f>A73&amp;"-"&amp;IF(DAY(Variables!$A$2)&lt;10,0,"")&amp;DAY(Variables!$A$2)</f>
        <v>-07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3" s="30" t="e">
        <f>VLOOKUP(B73,'Train Runs'!$A$13:$A$99931,1,FALSE)</f>
        <v>#N/A</v>
      </c>
    </row>
    <row r="74" spans="1:10" x14ac:dyDescent="0.25">
      <c r="A74" s="181"/>
      <c r="B74" s="43" t="str">
        <f>A74&amp;"-"&amp;IF(DAY(Variables!$A$2)&lt;10,0,"")&amp;DAY(Variables!$A$2)</f>
        <v>-07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4" s="30" t="e">
        <f>VLOOKUP(B74,'Train Runs'!$A$13:$A$99931,1,FALSE)</f>
        <v>#N/A</v>
      </c>
    </row>
    <row r="75" spans="1:10" x14ac:dyDescent="0.25">
      <c r="A75" s="181"/>
      <c r="B75" s="43" t="str">
        <f>A75&amp;"-"&amp;IF(DAY(Variables!$A$2)&lt;10,0,"")&amp;DAY(Variables!$A$2)</f>
        <v>-07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5" s="30" t="e">
        <f>VLOOKUP(B75,'Train Runs'!$A$13:$A$99931,1,FALSE)</f>
        <v>#N/A</v>
      </c>
    </row>
    <row r="76" spans="1:10" x14ac:dyDescent="0.25">
      <c r="A76" s="181"/>
      <c r="B76" s="43" t="str">
        <f>A76&amp;"-"&amp;IF(DAY(Variables!$A$2)&lt;10,0,"")&amp;DAY(Variables!$A$2)</f>
        <v>-07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6" s="30" t="e">
        <f>VLOOKUP(B76,'Train Runs'!$A$13:$A$99931,1,FALSE)</f>
        <v>#N/A</v>
      </c>
    </row>
    <row r="77" spans="1:10" x14ac:dyDescent="0.25">
      <c r="A77" s="181"/>
      <c r="B77" s="43" t="str">
        <f>A77&amp;"-"&amp;IF(DAY(Variables!$A$2)&lt;10,0,"")&amp;DAY(Variables!$A$2)</f>
        <v>-07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7" s="30" t="e">
        <f>VLOOKUP(B77,'Train Runs'!$A$13:$A$99931,1,FALSE)</f>
        <v>#N/A</v>
      </c>
    </row>
    <row r="78" spans="1:10" x14ac:dyDescent="0.25">
      <c r="A78" s="181"/>
      <c r="B78" s="43" t="str">
        <f>A78&amp;"-"&amp;IF(DAY(Variables!$A$2)&lt;10,0,"")&amp;DAY(Variables!$A$2)</f>
        <v>-07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8" s="30" t="e">
        <f>VLOOKUP(B78,'Train Runs'!$A$13:$A$99931,1,FALSE)</f>
        <v>#N/A</v>
      </c>
    </row>
    <row r="79" spans="1:10" x14ac:dyDescent="0.25">
      <c r="A79" s="181"/>
      <c r="B79" s="43" t="str">
        <f>A79&amp;"-"&amp;IF(DAY(Variables!$A$2)&lt;10,0,"")&amp;DAY(Variables!$A$2)</f>
        <v>-07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9" s="30" t="e">
        <f>VLOOKUP(B79,'Train Runs'!$A$13:$A$99931,1,FALSE)</f>
        <v>#N/A</v>
      </c>
    </row>
    <row r="80" spans="1:10" x14ac:dyDescent="0.25">
      <c r="A80" s="181"/>
      <c r="B80" s="43" t="str">
        <f>A80&amp;"-"&amp;IF(DAY(Variables!$A$2)&lt;10,0,"")&amp;DAY(Variables!$A$2)</f>
        <v>-07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0" s="30" t="e">
        <f>VLOOKUP(B80,'Train Runs'!$A$13:$A$99931,1,FALSE)</f>
        <v>#N/A</v>
      </c>
    </row>
    <row r="81" spans="1:10" x14ac:dyDescent="0.25">
      <c r="A81" s="181"/>
      <c r="B81" s="43" t="str">
        <f>A81&amp;"-"&amp;IF(DAY(Variables!$A$2)&lt;10,0,"")&amp;DAY(Variables!$A$2)</f>
        <v>-07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1" s="30" t="e">
        <f>VLOOKUP(B81,'Train Runs'!$A$13:$A$99931,1,FALSE)</f>
        <v>#N/A</v>
      </c>
    </row>
    <row r="82" spans="1:10" x14ac:dyDescent="0.25">
      <c r="A82" s="181"/>
      <c r="B82" s="43" t="str">
        <f>A82&amp;"-"&amp;IF(DAY(Variables!$A$2)&lt;10,0,"")&amp;DAY(Variables!$A$2)</f>
        <v>-07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2" s="30" t="e">
        <f>VLOOKUP(B82,'Train Runs'!$A$13:$A$99931,1,FALSE)</f>
        <v>#N/A</v>
      </c>
    </row>
    <row r="83" spans="1:10" x14ac:dyDescent="0.25">
      <c r="A83" s="181"/>
      <c r="B83" s="43" t="str">
        <f>A83&amp;"-"&amp;IF(DAY(Variables!$A$2)&lt;10,0,"")&amp;DAY(Variables!$A$2)</f>
        <v>-07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3" s="30" t="e">
        <f>VLOOKUP(B83,'Train Runs'!$A$13:$A$99931,1,FALSE)</f>
        <v>#N/A</v>
      </c>
    </row>
    <row r="84" spans="1:10" x14ac:dyDescent="0.25">
      <c r="A84" s="181"/>
      <c r="B84" s="43" t="str">
        <f>A84&amp;"-"&amp;IF(DAY(Variables!$A$2)&lt;10,0,"")&amp;DAY(Variables!$A$2)</f>
        <v>-07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4" s="30" t="e">
        <f>VLOOKUP(B84,'Train Runs'!$A$13:$A$99931,1,FALSE)</f>
        <v>#N/A</v>
      </c>
    </row>
    <row r="85" spans="1:10" x14ac:dyDescent="0.25">
      <c r="A85" s="181"/>
      <c r="B85" s="43" t="str">
        <f>A85&amp;"-"&amp;IF(DAY(Variables!$A$2)&lt;10,0,"")&amp;DAY(Variables!$A$2)</f>
        <v>-07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5" s="30" t="e">
        <f>VLOOKUP(B85,'Train Runs'!$A$13:$A$99931,1,FALSE)</f>
        <v>#N/A</v>
      </c>
    </row>
    <row r="86" spans="1:10" x14ac:dyDescent="0.25">
      <c r="A86" s="181"/>
      <c r="B86" s="43" t="str">
        <f>A86&amp;"-"&amp;IF(DAY(Variables!$A$2)&lt;10,0,"")&amp;DAY(Variables!$A$2)</f>
        <v>-07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6" s="30" t="e">
        <f>VLOOKUP(B86,'Train Runs'!$A$13:$A$99931,1,FALSE)</f>
        <v>#N/A</v>
      </c>
    </row>
  </sheetData>
  <autoFilter ref="A2:J86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350</v>
      </c>
      <c r="B1" s="203" t="s">
        <v>351</v>
      </c>
      <c r="C1" s="195" t="s">
        <v>359</v>
      </c>
      <c r="D1" s="207" t="s">
        <v>58</v>
      </c>
      <c r="E1" s="192" t="s">
        <v>24</v>
      </c>
      <c r="F1" s="207" t="s">
        <v>365</v>
      </c>
      <c r="G1" s="211" t="s">
        <v>94</v>
      </c>
      <c r="H1" s="213" t="s">
        <v>369</v>
      </c>
      <c r="I1" s="209" t="s">
        <v>368</v>
      </c>
      <c r="J1" s="205" t="s">
        <v>84</v>
      </c>
      <c r="K1" s="205" t="s">
        <v>364</v>
      </c>
      <c r="L1" s="200" t="s">
        <v>361</v>
      </c>
      <c r="M1" s="200" t="s">
        <v>352</v>
      </c>
      <c r="N1" s="200" t="s">
        <v>354</v>
      </c>
      <c r="O1" s="200" t="s">
        <v>355</v>
      </c>
      <c r="P1" s="200" t="s">
        <v>356</v>
      </c>
      <c r="Q1" s="199" t="s">
        <v>353</v>
      </c>
    </row>
    <row r="2" spans="1:17" x14ac:dyDescent="0.25">
      <c r="A2" s="197">
        <v>42800.21875</v>
      </c>
      <c r="B2" s="204" t="s">
        <v>358</v>
      </c>
      <c r="C2" s="194" t="s">
        <v>360</v>
      </c>
      <c r="D2" s="208">
        <v>104</v>
      </c>
      <c r="E2" s="30" t="s">
        <v>363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/stypes="*4013*201703061*"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"%USERPROFILE%\AppData\Local\Temp\OnboardLogs"\RTDC4013\*4013*201703061*</v>
      </c>
      <c r="I2" s="210" t="str">
        <f>IF(VLOOKUP(K2,'Train Runs'!$A$13:$V$987,1,TRUE)=K2,VLOOKUP(K2,'Train Runs'!$A$13:$V$987,22,TRUE),NA())</f>
        <v>https://d0f6bd738d7f1b3e5a7ca70fe4ff75f0.us-east-1.aws.found.io/app/kibana#/discover/Steve-Slow-Train-Analysis-(2080s-and-2083s)?_g=(refreshInterval:(display:Off,pause:!f,section:0,value:0),time:(from:'2017-04-07T03:37:35-0600',mode:absolute,to:'2017-04-07T06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104-07</v>
      </c>
      <c r="L2" s="202">
        <f>IF(VLOOKUP(K2,'Train Runs'!$A$12:$B$987,1,TRUE)=K2,VLOOKUP(K2,'Train Runs'!$A$12:$B$987,2,TRUE),NA())</f>
        <v>4013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358</v>
      </c>
      <c r="C3" s="194" t="s">
        <v>360</v>
      </c>
      <c r="D3" s="208">
        <v>126</v>
      </c>
      <c r="E3" s="30" t="s">
        <v>362</v>
      </c>
      <c r="F3" s="208" t="b">
        <v>1</v>
      </c>
      <c r="G3" s="212" t="str">
        <f t="shared" si="0"/>
        <v>"C:\Program Files (x86)\AstroGrep\AstroGrep.exe" /e /r /s /spath="%USERPROFILE%\AppData\Local\Temp\OnboardLogs" /stypes="*4019*201703061*"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"%USERPROFILE%\AppData\Local\Temp\OnboardLogs"\RTDC4019\*4019*201703061*</v>
      </c>
      <c r="I3" s="210" t="str">
        <f>IF(VLOOKUP(K3,'Train Runs'!$A$13:$V$987,1,TRUE)=K3,VLOOKUP(K3,'Train Runs'!$A$13:$V$987,22,TRUE),NA())</f>
        <v>https://d0f6bd738d7f1b3e5a7ca70fe4ff75f0.us-east-1.aws.found.io/app/kibana#/discover/Steve-Slow-Train-Analysis-(2080s-and-2083s)?_g=(refreshInterval:(display:Off,pause:!f,section:0,value:0),time:(from:'2017-04-07T06:30:25-0600',mode:absolute,to:'2017-04-07T09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126-07</v>
      </c>
      <c r="L3" s="202">
        <f>IF(VLOOKUP(K3,'Train Runs'!$A$12:$B$987,1,TRUE)=K3,VLOOKUP(K3,'Train Runs'!$A$12:$B$987,2,TRUE),NA())</f>
        <v>4019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358</v>
      </c>
      <c r="C4" s="194" t="s">
        <v>360</v>
      </c>
      <c r="D4" s="208">
        <v>128</v>
      </c>
      <c r="E4" s="30" t="s">
        <v>362</v>
      </c>
      <c r="F4" s="208" t="b">
        <v>1</v>
      </c>
      <c r="G4" s="212" t="str">
        <f t="shared" si="0"/>
        <v>"C:\Program Files (x86)\AstroGrep\AstroGrep.exe" /e /r /s /spath="%USERPROFILE%\AppData\Local\Temp\OnboardLogs" /stypes="*4021*201703061*"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"%USERPROFILE%\AppData\Local\Temp\OnboardLogs"\RTDC4021\*4021*201703061*</v>
      </c>
      <c r="I4" s="210" t="str">
        <f>IF(VLOOKUP(K4,'Train Runs'!$A$13:$V$987,1,TRUE)=K4,VLOOKUP(K4,'Train Runs'!$A$13:$V$987,22,TRUE),NA())</f>
        <v>https://d0f6bd738d7f1b3e5a7ca70fe4ff75f0.us-east-1.aws.found.io/app/kibana#/discover/Steve-Slow-Train-Analysis-(2080s-and-2083s)?_g=(refreshInterval:(display:Off,pause:!f,section:0,value:0),time:(from:'2017-04-07T06:47:19-0600',mode:absolute,to:'2017-04-07T09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128-07</v>
      </c>
      <c r="L4" s="202">
        <f>IF(VLOOKUP(K4,'Train Runs'!$A$12:$B$987,1,TRUE)=K4,VLOOKUP(K4,'Train Runs'!$A$12:$B$987,2,TRUE),NA())</f>
        <v>4021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358</v>
      </c>
      <c r="C5" s="194" t="s">
        <v>360</v>
      </c>
      <c r="D5" s="208">
        <f>D4+2</f>
        <v>130</v>
      </c>
      <c r="E5" s="30" t="s">
        <v>362</v>
      </c>
      <c r="F5" s="208" t="b">
        <v>1</v>
      </c>
      <c r="G5" s="212" t="str">
        <f t="shared" si="0"/>
        <v>"C:\Program Files (x86)\AstroGrep\AstroGrep.exe" /e /r /s /spath="%USERPROFILE%\AppData\Local\Temp\OnboardLogs" /stypes="*4031*201703061*"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"%USERPROFILE%\AppData\Local\Temp\OnboardLogs"\RTDC4031\*4031*201703061*</v>
      </c>
      <c r="I5" s="210" t="str">
        <f>IF(VLOOKUP(K5,'Train Runs'!$A$13:$V$987,1,TRUE)=K5,VLOOKUP(K5,'Train Runs'!$A$13:$V$987,22,TRUE),NA())</f>
        <v>https://d0f6bd738d7f1b3e5a7ca70fe4ff75f0.us-east-1.aws.found.io/app/kibana#/discover/Steve-Slow-Train-Analysis-(2080s-and-2083s)?_g=(refreshInterval:(display:Off,pause:!f,section:0,value:0),time:(from:'2017-04-07T07:01:34-0600',mode:absolute,to:'2017-04-07T09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130-07</v>
      </c>
      <c r="L5" s="202">
        <f>IF(VLOOKUP(K5,'Train Runs'!$A$12:$B$987,1,TRUE)=K5,VLOOKUP(K5,'Train Runs'!$A$12:$B$987,2,TRUE),NA())</f>
        <v>4031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358</v>
      </c>
      <c r="C6" s="194" t="s">
        <v>360</v>
      </c>
      <c r="D6" s="208">
        <f>D5+2</f>
        <v>132</v>
      </c>
      <c r="E6" s="30" t="s">
        <v>362</v>
      </c>
      <c r="F6" s="208" t="b">
        <v>1</v>
      </c>
      <c r="G6" s="212" t="str">
        <f t="shared" si="0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"%USERPROFILE%\AppData\Local\Temp\OnboardLogs"\RTDC4013\*4013*201703061*</v>
      </c>
      <c r="I6" s="210" t="str">
        <f>IF(VLOOKUP(K6,'Train Runs'!$A$13:$V$987,1,TRUE)=K6,VLOOKUP(K6,'Train Runs'!$A$13:$V$987,22,TRUE),NA())</f>
        <v>https://d0f6bd738d7f1b3e5a7ca70fe4ff75f0.us-east-1.aws.found.io/app/kibana#/discover/Steve-Slow-Train-Analysis-(2080s-and-2083s)?_g=(refreshInterval:(display:Off,pause:!f,section:0,value:0),time:(from:'2017-04-07T07:20:56-0600',mode:absolute,to:'2017-04-07T10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6" s="206">
        <f t="shared" si="2"/>
        <v>42800.625</v>
      </c>
      <c r="K6" s="206" t="str">
        <f>D6&amp;"-"&amp;IF(DAY(Variables!$A$2)&lt;10,0,"")&amp;DAY(Variables!$A$2)</f>
        <v>132-07</v>
      </c>
      <c r="L6" s="202">
        <f>IF(VLOOKUP(K6,'Train Runs'!$A$12:$B$987,1,TRUE)=K6,VLOOKUP(K6,'Train Runs'!$A$12:$B$987,2,TRUE),NA())</f>
        <v>4013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358</v>
      </c>
      <c r="C7" s="194" t="s">
        <v>360</v>
      </c>
      <c r="D7" s="208">
        <f t="shared" ref="D7:D11" si="4">D6+2</f>
        <v>134</v>
      </c>
      <c r="E7" s="30" t="s">
        <v>362</v>
      </c>
      <c r="F7" s="208" t="b">
        <v>1</v>
      </c>
      <c r="G7" s="212" t="str">
        <f t="shared" si="0"/>
        <v>"C:\Program Files (x86)\AstroGrep\AstroGrep.exe" /e /r /s /spath="%USERPROFILE%\AppData\Local\Temp\OnboardLogs" /stypes="*4025*201703061*"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"%USERPROFILE%\AppData\Local\Temp\OnboardLogs"\RTDC4025\*4025*201703061*</v>
      </c>
      <c r="I7" s="210" t="str">
        <f>IF(VLOOKUP(K7,'Train Runs'!$A$13:$V$987,1,TRUE)=K7,VLOOKUP(K7,'Train Runs'!$A$13:$V$987,22,TRUE),NA())</f>
        <v>https://d0f6bd738d7f1b3e5a7ca70fe4ff75f0.us-east-1.aws.found.io/app/kibana#/discover/Steve-Slow-Train-Analysis-(2080s-and-2083s)?_g=(refreshInterval:(display:Off,pause:!f,section:0,value:0),time:(from:'2017-04-07T07:37:32-0600',mode:absolute,to:'2017-04-07T10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134-07</v>
      </c>
      <c r="L7" s="202">
        <f>IF(VLOOKUP(K7,'Train Runs'!$A$12:$B$987,1,TRUE)=K7,VLOOKUP(K7,'Train Runs'!$A$12:$B$987,2,TRUE),NA())</f>
        <v>4025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358</v>
      </c>
      <c r="C8" s="194" t="s">
        <v>360</v>
      </c>
      <c r="D8" s="208">
        <f t="shared" si="4"/>
        <v>136</v>
      </c>
      <c r="E8" s="30" t="s">
        <v>362</v>
      </c>
      <c r="F8" s="208" t="b">
        <v>1</v>
      </c>
      <c r="G8" s="212" t="str">
        <f t="shared" si="0"/>
        <v>"C:\Program Files (x86)\AstroGrep\AstroGrep.exe" /e /r /s /spath="%USERPROFILE%\AppData\Local\Temp\OnboardLogs" /stypes="*4009*201703061*"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"%USERPROFILE%\AppData\Local\Temp\OnboardLogs"\RTDC4009\*4009*201703061*</v>
      </c>
      <c r="I8" s="210" t="str">
        <f>IF(VLOOKUP(K8,'Train Runs'!$A$13:$V$987,1,TRUE)=K8,VLOOKUP(K8,'Train Runs'!$A$13:$V$987,22,TRUE),NA())</f>
        <v>https://d0f6bd738d7f1b3e5a7ca70fe4ff75f0.us-east-1.aws.found.io/app/kibana#/discover/Steve-Slow-Train-Analysis-(2080s-and-2083s)?_g=(refreshInterval:(display:Off,pause:!f,section:0,value:0),time:(from:'2017-04-07T07:44:54-0600',mode:absolute,to:'2017-04-07T10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136-07</v>
      </c>
      <c r="L8" s="202">
        <f>IF(VLOOKUP(K8,'Train Runs'!$A$12:$B$987,1,TRUE)=K8,VLOOKUP(K8,'Train Runs'!$A$12:$B$987,2,TRUE),NA())</f>
        <v>4009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358</v>
      </c>
      <c r="C9" s="194" t="s">
        <v>360</v>
      </c>
      <c r="D9" s="208">
        <f t="shared" si="4"/>
        <v>138</v>
      </c>
      <c r="E9" s="30" t="s">
        <v>362</v>
      </c>
      <c r="F9" s="208" t="b">
        <v>1</v>
      </c>
      <c r="G9" s="212" t="str">
        <f t="shared" si="0"/>
        <v>"C:\Program Files (x86)\AstroGrep\AstroGrep.exe" /e /r /s /spath="%USERPROFILE%\AppData\Local\Temp\OnboardLogs" /stypes="*4015*201703061*"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"%USERPROFILE%\AppData\Local\Temp\OnboardLogs"\RTDC4015\*4015*201703061*</v>
      </c>
      <c r="I9" s="210" t="str">
        <f>IF(VLOOKUP(K9,'Train Runs'!$A$13:$V$987,1,TRUE)=K9,VLOOKUP(K9,'Train Runs'!$A$13:$V$987,22,TRUE),NA())</f>
        <v>https://d0f6bd738d7f1b3e5a7ca70fe4ff75f0.us-east-1.aws.found.io/app/kibana#/discover/Steve-Slow-Train-Analysis-(2080s-and-2083s)?_g=(refreshInterval:(display:Off,pause:!f,section:0,value:0),time:(from:'2017-04-07T07:53:53-0600',mode:absolute,to:'2017-04-07T10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138-07</v>
      </c>
      <c r="L9" s="202">
        <f>IF(VLOOKUP(K9,'Train Runs'!$A$12:$B$987,1,TRUE)=K9,VLOOKUP(K9,'Train Runs'!$A$12:$B$987,2,TRUE),NA())</f>
        <v>4015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358</v>
      </c>
      <c r="C10" s="194" t="s">
        <v>360</v>
      </c>
      <c r="D10" s="208">
        <f t="shared" si="4"/>
        <v>140</v>
      </c>
      <c r="E10" s="30" t="s">
        <v>362</v>
      </c>
      <c r="F10" s="208" t="b">
        <v>1</v>
      </c>
      <c r="G10" s="212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"%USERPROFILE%\AppData\Local\Temp\OnboardLogs"\RTDC4019\*4019*201703061*</v>
      </c>
      <c r="I10" s="210" t="str">
        <f>IF(VLOOKUP(K10,'Train Runs'!$A$13:$V$987,1,TRUE)=K10,VLOOKUP(K10,'Train Runs'!$A$13:$V$987,22,TRUE),NA())</f>
        <v>https://d0f6bd738d7f1b3e5a7ca70fe4ff75f0.us-east-1.aws.found.io/app/kibana#/discover/Steve-Slow-Train-Analysis-(2080s-and-2083s)?_g=(refreshInterval:(display:Off,pause:!f,section:0,value:0),time:(from:'2017-04-07T08:16:04-0600',mode:absolute,to:'2017-04-07T11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140-07</v>
      </c>
      <c r="L10" s="202">
        <f>IF(VLOOKUP(K10,'Train Runs'!$A$12:$B$987,1,TRUE)=K10,VLOOKUP(K10,'Train Runs'!$A$12:$B$987,2,TRUE),NA())</f>
        <v>4019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358</v>
      </c>
      <c r="C11" s="194" t="s">
        <v>360</v>
      </c>
      <c r="D11" s="208">
        <f t="shared" si="4"/>
        <v>142</v>
      </c>
      <c r="E11" s="30" t="s">
        <v>362</v>
      </c>
      <c r="F11" s="208" t="b">
        <v>1</v>
      </c>
      <c r="G11" s="212" t="str">
        <f t="shared" si="0"/>
        <v>"C:\Program Files (x86)\AstroGrep\AstroGrep.exe" /e /r /s /spath="%USERPROFILE%\AppData\Local\Temp\OnboardLogs" /stypes="*4021*201703061*"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"%USERPROFILE%\AppData\Local\Temp\OnboardLogs"\RTDC4021\*4021*201703061*</v>
      </c>
      <c r="I11" s="210" t="str">
        <f>IF(VLOOKUP(K11,'Train Runs'!$A$13:$V$987,1,TRUE)=K11,VLOOKUP(K11,'Train Runs'!$A$13:$V$987,22,TRUE),NA())</f>
        <v>https://d0f6bd738d7f1b3e5a7ca70fe4ff75f0.us-east-1.aws.found.io/app/kibana#/discover/Steve-Slow-Train-Analysis-(2080s-and-2083s)?_g=(refreshInterval:(display:Off,pause:!f,section:0,value:0),time:(from:'2017-04-07T08:33:33-0600',mode:absolute,to:'2017-04-07T11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142-07</v>
      </c>
      <c r="L11" s="202">
        <f>IF(VLOOKUP(K11,'Train Runs'!$A$12:$B$987,1,TRUE)=K11,VLOOKUP(K11,'Train Runs'!$A$12:$B$987,2,TRUE),NA())</f>
        <v>4021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358</v>
      </c>
      <c r="C12" s="194" t="s">
        <v>360</v>
      </c>
      <c r="D12" s="208">
        <v>144</v>
      </c>
      <c r="E12" s="30" t="s">
        <v>362</v>
      </c>
      <c r="F12" s="208" t="b">
        <v>1</v>
      </c>
      <c r="G12" s="212" t="str">
        <f t="shared" si="0"/>
        <v>"C:\Program Files (x86)\AstroGrep\AstroGrep.exe" /e /r /s /spath="%USERPROFILE%\AppData\Local\Temp\OnboardLogs" /stypes="*4031*201703061*"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"%USERPROFILE%\AppData\Local\Temp\OnboardLogs"\RTDC4031\*4031*201703061*</v>
      </c>
      <c r="I12" s="210" t="str">
        <f>IF(VLOOKUP(K12,'Train Runs'!$A$13:$V$987,1,TRUE)=K12,VLOOKUP(K12,'Train Runs'!$A$13:$V$987,22,TRUE),NA())</f>
        <v>https://d0f6bd738d7f1b3e5a7ca70fe4ff75f0.us-east-1.aws.found.io/app/kibana#/discover/Steve-Slow-Train-Analysis-(2080s-and-2083s)?_g=(refreshInterval:(display:Off,pause:!f,section:0,value:0),time:(from:'2017-04-07T08:54:06-0600',mode:absolute,to:'2017-04-07T11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144-07</v>
      </c>
      <c r="L12" s="202">
        <f>IF(VLOOKUP(K12,'Train Runs'!$A$12:$B$987,1,TRUE)=K12,VLOOKUP(K12,'Train Runs'!$A$12:$B$987,2,TRUE),NA())</f>
        <v>4031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358</v>
      </c>
      <c r="C13" s="194" t="s">
        <v>360</v>
      </c>
      <c r="D13" s="208">
        <v>146</v>
      </c>
      <c r="E13" s="30" t="s">
        <v>362</v>
      </c>
      <c r="F13" s="208" t="b">
        <v>1</v>
      </c>
      <c r="G13" s="212" t="str">
        <f t="shared" si="0"/>
        <v>"C:\Program Files (x86)\AstroGrep\AstroGrep.exe" /e /r /s /spath="%USERPROFILE%\AppData\Local\Temp\OnboardLogs" /stypes="*4013*201703061*"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"%USERPROFILE%\AppData\Local\Temp\OnboardLogs"\RTDC4013\*4013*201703061*</v>
      </c>
      <c r="I13" s="210" t="str">
        <f>IF(VLOOKUP(K13,'Train Runs'!$A$13:$V$987,1,TRUE)=K13,VLOOKUP(K13,'Train Runs'!$A$13:$V$987,22,TRUE),NA())</f>
        <v>https://d0f6bd738d7f1b3e5a7ca70fe4ff75f0.us-east-1.aws.found.io/app/kibana#/discover/Steve-Slow-Train-Analysis-(2080s-and-2083s)?_g=(refreshInterval:(display:Off,pause:!f,section:0,value:0),time:(from:'2017-04-07T09:08:07-0600',mode:absolute,to:'2017-04-07T11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146-07</v>
      </c>
      <c r="L13" s="202">
        <f>IF(VLOOKUP(K13,'Train Runs'!$A$12:$B$987,1,TRUE)=K13,VLOOKUP(K13,'Train Runs'!$A$12:$B$987,2,TRUE),NA())</f>
        <v>4013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358</v>
      </c>
      <c r="C14" s="194" t="s">
        <v>360</v>
      </c>
      <c r="D14" s="208">
        <v>148</v>
      </c>
      <c r="E14" s="30" t="s">
        <v>366</v>
      </c>
      <c r="F14" s="208" t="b">
        <v>1</v>
      </c>
      <c r="G14" s="212" t="str">
        <f t="shared" si="0"/>
        <v>"C:\Program Files (x86)\AstroGrep\AstroGrep.exe" /e /r /s /spath="%USERPROFILE%\AppData\Local\Temp\OnboardLogs" /stypes="*4025*201703061*"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"%USERPROFILE%\AppData\Local\Temp\OnboardLogs"\RTDC4025\*4025*201703061*</v>
      </c>
      <c r="I14" s="210" t="str">
        <f>IF(VLOOKUP(K14,'Train Runs'!$A$13:$V$987,1,TRUE)=K14,VLOOKUP(K14,'Train Runs'!$A$13:$V$987,22,TRUE),NA())</f>
        <v>https://d0f6bd738d7f1b3e5a7ca70fe4ff75f0.us-east-1.aws.found.io/app/kibana#/discover/Steve-Slow-Train-Analysis-(2080s-and-2083s)?_g=(refreshInterval:(display:Off,pause:!f,section:0,value:0),time:(from:'2017-04-07T09:19:02-0600',mode:absolute,to:'2017-04-07T12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148-07</v>
      </c>
      <c r="L14" s="202">
        <f>IF(VLOOKUP(K14,'Train Runs'!$A$12:$B$987,1,TRUE)=K14,VLOOKUP(K14,'Train Runs'!$A$12:$B$987,2,TRUE),NA())</f>
        <v>4025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358</v>
      </c>
      <c r="C15" s="194" t="s">
        <v>360</v>
      </c>
      <c r="D15" s="208">
        <v>178</v>
      </c>
      <c r="E15" s="30" t="s">
        <v>367</v>
      </c>
      <c r="F15" s="208" t="b">
        <v>1</v>
      </c>
      <c r="G15" s="212" t="str">
        <f t="shared" si="0"/>
        <v>"C:\Program Files (x86)\AstroGrep\AstroGrep.exe" /e /r /s /spath="%USERPROFILE%\AppData\Local\Temp\OnboardLogs" /stypes="*4009*201703062*"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"%USERPROFILE%\AppData\Local\Temp\OnboardLogs"\RTDC4009\*4009*201703062*</v>
      </c>
      <c r="I15" s="210" t="str">
        <f>IF(VLOOKUP(K15,'Train Runs'!$A$13:$V$987,1,TRUE)=K15,VLOOKUP(K15,'Train Runs'!$A$13:$V$987,22,TRUE),NA())</f>
        <v>https://d0f6bd738d7f1b3e5a7ca70fe4ff75f0.us-east-1.aws.found.io/app/kibana#/discover/Steve-Slow-Train-Analysis-(2080s-and-2083s)?_g=(refreshInterval:(display:Off,pause:!f,section:0,value:0),time:(from:'2017-04-07T13:02:50-0600',mode:absolute,to:'2017-04-07T15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178-07</v>
      </c>
      <c r="L15" s="202">
        <f>IF(VLOOKUP(K15,'Train Runs'!$A$12:$B$987,1,TRUE)=K15,VLOOKUP(K15,'Train Runs'!$A$12:$B$987,2,TRUE),NA())</f>
        <v>4009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358</v>
      </c>
      <c r="C16" s="194" t="s">
        <v>360</v>
      </c>
      <c r="D16" s="208">
        <v>194</v>
      </c>
      <c r="E16" s="30" t="s">
        <v>367</v>
      </c>
      <c r="F16" s="208" t="b">
        <v>1</v>
      </c>
      <c r="G16" s="212" t="str">
        <f t="shared" si="0"/>
        <v>"C:\Program Files (x86)\AstroGrep\AstroGrep.exe" /e /r /s /spath="%USERPROFILE%\AppData\Local\Temp\OnboardLogs" /stypes="*4015*201703062*"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"%USERPROFILE%\AppData\Local\Temp\OnboardLogs"\RTDC4015\*4015*201703062*</v>
      </c>
      <c r="I16" s="210" t="str">
        <f>IF(VLOOKUP(K16,'Train Runs'!$A$13:$V$987,1,TRUE)=K16,VLOOKUP(K16,'Train Runs'!$A$13:$V$987,22,TRUE),NA())</f>
        <v>https://d0f6bd738d7f1b3e5a7ca70fe4ff75f0.us-east-1.aws.found.io/app/kibana#/discover/Steve-Slow-Train-Analysis-(2080s-and-2083s)?_g=(refreshInterval:(display:Off,pause:!f,section:0,value:0),time:(from:'2017-04-07T15:04:54-0600',mode:absolute,to:'2017-04-07T17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194-07</v>
      </c>
      <c r="L16" s="202">
        <f>IF(VLOOKUP(K16,'Train Runs'!$A$12:$B$987,1,TRUE)=K16,VLOOKUP(K16,'Train Runs'!$A$12:$B$987,2,TRUE),NA())</f>
        <v>4015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358</v>
      </c>
      <c r="C17" s="194" t="s">
        <v>360</v>
      </c>
      <c r="D17" s="208">
        <v>206</v>
      </c>
      <c r="E17" s="30" t="s">
        <v>362</v>
      </c>
      <c r="F17" s="208" t="b">
        <v>1</v>
      </c>
      <c r="G17" s="212" t="str">
        <f t="shared" si="0"/>
        <v>"C:\Program Files (x86)\AstroGrep\AstroGrep.exe" /e /r /s /spath="%USERPROFILE%\AppData\Local\Temp\OnboardLogs" /stypes="*4009*201703070*"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"%USERPROFILE%\AppData\Local\Temp\OnboardLogs"\RTDC4009\*4009*201703070*</v>
      </c>
      <c r="I17" s="210" t="str">
        <f>IF(VLOOKUP(K17,'Train Runs'!$A$13:$V$987,1,TRUE)=K17,VLOOKUP(K17,'Train Runs'!$A$13:$V$987,22,TRUE),NA())</f>
        <v>https://d0f6bd738d7f1b3e5a7ca70fe4ff75f0.us-east-1.aws.found.io/app/kibana#/discover/Steve-Slow-Train-Analysis-(2080s-and-2083s)?_g=(refreshInterval:(display:Off,pause:!f,section:0,value:0),time:(from:'2017-04-07T16:33:40-0600',mode:absolute,to:'2017-04-07T19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206-07</v>
      </c>
      <c r="L17" s="202">
        <f>IF(VLOOKUP(K17,'Train Runs'!$A$12:$B$987,1,TRUE)=K17,VLOOKUP(K17,'Train Runs'!$A$12:$B$987,2,TRUE),NA())</f>
        <v>4009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358</v>
      </c>
      <c r="C18" s="194" t="s">
        <v>360</v>
      </c>
      <c r="D18" s="208">
        <v>210</v>
      </c>
      <c r="E18" s="30" t="s">
        <v>362</v>
      </c>
      <c r="F18" s="208" t="b">
        <v>1</v>
      </c>
      <c r="G18" s="212" t="str">
        <f t="shared" si="0"/>
        <v>"C:\Program Files (x86)\AstroGrep\AstroGrep.exe" /e /r /s /spath="%USERPROFILE%\AppData\Local\Temp\OnboardLogs" /stypes="*4029*201703070*"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"%USERPROFILE%\AppData\Local\Temp\OnboardLogs"\RTDC4029\*4029*201703070*</v>
      </c>
      <c r="I18" s="210" t="str">
        <f>IF(VLOOKUP(K18,'Train Runs'!$A$13:$V$987,1,TRUE)=K18,VLOOKUP(K18,'Train Runs'!$A$13:$V$987,22,TRUE),NA())</f>
        <v>https://d0f6bd738d7f1b3e5a7ca70fe4ff75f0.us-east-1.aws.found.io/app/kibana#/discover/Steve-Slow-Train-Analysis-(2080s-and-2083s)?_g=(refreshInterval:(display:Off,pause:!f,section:0,value:0),time:(from:'2017-04-07T17:01:23-0600',mode:absolute,to:'2017-04-07T19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210-07</v>
      </c>
      <c r="L18" s="202">
        <f>IF(VLOOKUP(K18,'Train Runs'!$A$12:$B$987,1,TRUE)=K18,VLOOKUP(K18,'Train Runs'!$A$12:$B$987,2,TRUE),NA())</f>
        <v>4029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358</v>
      </c>
      <c r="C19" s="194" t="s">
        <v>360</v>
      </c>
      <c r="D19" s="208">
        <f>D18+2</f>
        <v>212</v>
      </c>
      <c r="E19" s="30" t="s">
        <v>362</v>
      </c>
      <c r="F19" s="208" t="b">
        <v>1</v>
      </c>
      <c r="G19" s="212" t="str">
        <f t="shared" si="0"/>
        <v>"C:\Program Files (x86)\AstroGrep\AstroGrep.exe" /e /r /s /spath="%USERPROFILE%\AppData\Local\Temp\OnboardLogs" /stypes="*4021*201703070*"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"%USERPROFILE%\AppData\Local\Temp\OnboardLogs"\RTDC4021\*4021*201703070*</v>
      </c>
      <c r="I19" s="210" t="str">
        <f>IF(VLOOKUP(K19,'Train Runs'!$A$13:$V$987,1,TRUE)=K19,VLOOKUP(K19,'Train Runs'!$A$13:$V$987,22,TRUE),NA())</f>
        <v>https://d0f6bd738d7f1b3e5a7ca70fe4ff75f0.us-east-1.aws.found.io/app/kibana#/discover/Steve-Slow-Train-Analysis-(2080s-and-2083s)?_g=(refreshInterval:(display:Off,pause:!f,section:0,value:0),time:(from:'2017-04-07T17:19:29-0600',mode:absolute,to:'2017-04-07T20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212-07</v>
      </c>
      <c r="L19" s="202">
        <f>IF(VLOOKUP(K19,'Train Runs'!$A$12:$B$987,1,TRUE)=K19,VLOOKUP(K19,'Train Runs'!$A$12:$B$987,2,TRUE),NA())</f>
        <v>4021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358</v>
      </c>
      <c r="C20" s="194" t="s">
        <v>360</v>
      </c>
      <c r="D20" s="208">
        <v>214</v>
      </c>
      <c r="E20" s="30" t="s">
        <v>362</v>
      </c>
      <c r="F20" s="208" t="b">
        <v>1</v>
      </c>
      <c r="G20" s="212" t="str">
        <f t="shared" si="0"/>
        <v>"C:\Program Files (x86)\AstroGrep\AstroGrep.exe" /e /r /s /spath="%USERPROFILE%\AppData\Local\Temp\OnboardLogs" /stypes="*4031*201703070*"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"%USERPROFILE%\AppData\Local\Temp\OnboardLogs"\RTDC4031\*4031*201703070*</v>
      </c>
      <c r="I20" s="210" t="str">
        <f>IF(VLOOKUP(K20,'Train Runs'!$A$13:$V$987,1,TRUE)=K20,VLOOKUP(K20,'Train Runs'!$A$13:$V$987,22,TRUE),NA())</f>
        <v>https://d0f6bd738d7f1b3e5a7ca70fe4ff75f0.us-east-1.aws.found.io/app/kibana#/discover/Steve-Slow-Train-Analysis-(2080s-and-2083s)?_g=(refreshInterval:(display:Off,pause:!f,section:0,value:0),time:(from:'2017-04-07T17:33:40-0600',mode:absolute,to:'2017-04-07T20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214-07</v>
      </c>
      <c r="L20" s="202">
        <f>IF(VLOOKUP(K20,'Train Runs'!$A$12:$B$987,1,TRUE)=K20,VLOOKUP(K20,'Train Runs'!$A$12:$B$987,2,TRUE),NA())</f>
        <v>4031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358</v>
      </c>
      <c r="C21" s="194" t="s">
        <v>360</v>
      </c>
      <c r="D21" s="208">
        <v>216</v>
      </c>
      <c r="E21" s="30" t="s">
        <v>362</v>
      </c>
      <c r="F21" s="208" t="b">
        <v>1</v>
      </c>
      <c r="G21" s="212" t="str">
        <f t="shared" si="0"/>
        <v>"C:\Program Files (x86)\AstroGrep\AstroGrep.exe" /e /r /s /spath="%USERPROFILE%\AppData\Local\Temp\OnboardLogs" /stypes="*4013*201703070*"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"%USERPROFILE%\AppData\Local\Temp\OnboardLogs"\RTDC4013\*4013*201703070*</v>
      </c>
      <c r="I21" s="210" t="str">
        <f>IF(VLOOKUP(K21,'Train Runs'!$A$13:$V$987,1,TRUE)=K21,VLOOKUP(K21,'Train Runs'!$A$13:$V$987,22,TRUE),NA())</f>
        <v>https://d0f6bd738d7f1b3e5a7ca70fe4ff75f0.us-east-1.aws.found.io/app/kibana#/discover/Steve-Slow-Train-Analysis-(2080s-and-2083s)?_g=(refreshInterval:(display:Off,pause:!f,section:0,value:0),time:(from:'2017-04-07T17:41:57-0600',mode:absolute,to:'2017-04-07T20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216-07</v>
      </c>
      <c r="L21" s="202">
        <f>IF(VLOOKUP(K21,'Train Runs'!$A$12:$B$987,1,TRUE)=K21,VLOOKUP(K21,'Train Runs'!$A$12:$B$987,2,TRUE),NA())</f>
        <v>4013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358</v>
      </c>
      <c r="C22" s="194" t="s">
        <v>360</v>
      </c>
      <c r="D22" s="208">
        <f>D21+2</f>
        <v>218</v>
      </c>
      <c r="E22" s="30" t="s">
        <v>362</v>
      </c>
      <c r="F22" s="208" t="b">
        <v>1</v>
      </c>
      <c r="G22" s="212" t="str">
        <f t="shared" si="0"/>
        <v>"C:\Program Files (x86)\AstroGrep\AstroGrep.exe" /e /r /s /spath="%USERPROFILE%\AppData\Local\Temp\OnboardLogs" /stypes="*4025*201703070*"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"%USERPROFILE%\AppData\Local\Temp\OnboardLogs"\RTDC4025\*4025*201703070*</v>
      </c>
      <c r="I22" s="210" t="str">
        <f>IF(VLOOKUP(K22,'Train Runs'!$A$13:$V$987,1,TRUE)=K22,VLOOKUP(K22,'Train Runs'!$A$13:$V$987,22,TRUE),NA())</f>
        <v>https://d0f6bd738d7f1b3e5a7ca70fe4ff75f0.us-east-1.aws.found.io/app/kibana#/discover/Steve-Slow-Train-Analysis-(2080s-and-2083s)?_g=(refreshInterval:(display:Off,pause:!f,section:0,value:0),time:(from:'2017-04-07T17:54:32-0600',mode:absolute,to:'2017-04-07T20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218-07</v>
      </c>
      <c r="L22" s="202">
        <f>IF(VLOOKUP(K22,'Train Runs'!$A$12:$B$987,1,TRUE)=K22,VLOOKUP(K22,'Train Runs'!$A$12:$B$987,2,TRUE),NA())</f>
        <v>4025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358</v>
      </c>
      <c r="C23" s="194" t="s">
        <v>360</v>
      </c>
      <c r="D23" s="208">
        <f>D22+2</f>
        <v>220</v>
      </c>
      <c r="E23" s="30" t="s">
        <v>362</v>
      </c>
      <c r="F23" s="208" t="b">
        <v>1</v>
      </c>
      <c r="G23" s="212" t="str">
        <f t="shared" si="0"/>
        <v>"C:\Program Files (x86)\AstroGrep\AstroGrep.exe" /e /r /s /spath="%USERPROFILE%\AppData\Local\Temp\OnboardLogs" /stypes="*4009*201703070*"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"%USERPROFILE%\AppData\Local\Temp\OnboardLogs"\RTDC4009\*4009*201703070*</v>
      </c>
      <c r="I23" s="210" t="str">
        <f>IF(VLOOKUP(K23,'Train Runs'!$A$13:$V$987,1,TRUE)=K23,VLOOKUP(K23,'Train Runs'!$A$13:$V$987,22,TRUE),NA())</f>
        <v>https://d0f6bd738d7f1b3e5a7ca70fe4ff75f0.us-east-1.aws.found.io/app/kibana#/discover/Steve-Slow-Train-Analysis-(2080s-and-2083s)?_g=(refreshInterval:(display:Off,pause:!f,section:0,value:0),time:(from:'2017-04-07T18:14:54-0600',mode:absolute,to:'2017-04-07T21:08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220-07</v>
      </c>
      <c r="L23" s="202">
        <f>IF(VLOOKUP(K23,'Train Runs'!$A$12:$B$987,1,TRUE)=K23,VLOOKUP(K23,'Train Runs'!$A$12:$B$987,2,TRUE),NA())</f>
        <v>4009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358</v>
      </c>
      <c r="C24" s="194" t="s">
        <v>360</v>
      </c>
      <c r="D24" s="208">
        <f>D23+2</f>
        <v>222</v>
      </c>
      <c r="E24" s="30" t="s">
        <v>362</v>
      </c>
      <c r="F24" s="208" t="b">
        <v>1</v>
      </c>
      <c r="G24" s="212" t="str">
        <f t="shared" si="0"/>
        <v>"C:\Program Files (x86)\AstroGrep\AstroGrep.exe" /e /r /s /spath="%USERPROFILE%\AppData\Local\Temp\OnboardLogs" /stypes="*4029*201703070*"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"%USERPROFILE%\AppData\Local\Temp\OnboardLogs"\RTDC4029\*4029*201703070*</v>
      </c>
      <c r="I24" s="210" t="str">
        <f>IF(VLOOKUP(K24,'Train Runs'!$A$13:$V$987,1,TRUE)=K24,VLOOKUP(K24,'Train Runs'!$A$13:$V$987,22,TRUE),NA())</f>
        <v>https://d0f6bd738d7f1b3e5a7ca70fe4ff75f0.us-east-1.aws.found.io/app/kibana#/discover/Steve-Slow-Train-Analysis-(2080s-and-2083s)?_g=(refreshInterval:(display:Off,pause:!f,section:0,value:0),time:(from:'2017-04-07T18:48:38-0600',mode:absolute,to:'2017-04-07T21:39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222-07</v>
      </c>
      <c r="L24" s="202">
        <f>IF(VLOOKUP(K24,'Train Runs'!$A$12:$B$987,1,TRUE)=K24,VLOOKUP(K24,'Train Runs'!$A$12:$B$987,2,TRUE),NA())</f>
        <v>4029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358</v>
      </c>
      <c r="C25" s="194" t="s">
        <v>360</v>
      </c>
      <c r="D25" s="208">
        <f>D24+2</f>
        <v>224</v>
      </c>
      <c r="E25" s="30" t="s">
        <v>362</v>
      </c>
      <c r="F25" s="208" t="b">
        <v>1</v>
      </c>
      <c r="G25" s="212" t="str">
        <f t="shared" si="0"/>
        <v>"C:\Program Files (x86)\AstroGrep\AstroGrep.exe" /e /r /s /spath="%USERPROFILE%\AppData\Local\Temp\OnboardLogs" /stypes="*4031*201703070*"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"%USERPROFILE%\AppData\Local\Temp\OnboardLogs"\RTDC4031\*4031*201703070*</v>
      </c>
      <c r="I25" s="210" t="str">
        <f>IF(VLOOKUP(K25,'Train Runs'!$A$13:$V$987,1,TRUE)=K25,VLOOKUP(K25,'Train Runs'!$A$13:$V$987,22,TRUE),NA())</f>
        <v>https://d0f6bd738d7f1b3e5a7ca70fe4ff75f0.us-east-1.aws.found.io/app/kibana#/discover/Steve-Slow-Train-Analysis-(2080s-and-2083s)?_g=(refreshInterval:(display:Off,pause:!f,section:0,value:0),time:(from:'2017-04-07T19:16:43-0600',mode:absolute,to:'2017-04-07T22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224-07</v>
      </c>
      <c r="L25" s="202">
        <f>IF(VLOOKUP(K25,'Train Runs'!$A$12:$B$987,1,TRUE)=K25,VLOOKUP(K25,'Train Runs'!$A$12:$B$987,2,TRUE),NA())</f>
        <v>4031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358</v>
      </c>
      <c r="C26" s="194" t="s">
        <v>360</v>
      </c>
      <c r="D26" s="208">
        <f>D25+2</f>
        <v>226</v>
      </c>
      <c r="E26" s="30" t="s">
        <v>362</v>
      </c>
      <c r="F26" s="208" t="b">
        <v>1</v>
      </c>
      <c r="G26" s="212" t="str">
        <f t="shared" si="0"/>
        <v>"C:\Program Files (x86)\AstroGrep\AstroGrep.exe" /e /r /s /spath="%USERPROFILE%\AppData\Local\Temp\OnboardLogs" /stypes="*4025*201703070*"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"%USERPROFILE%\AppData\Local\Temp\OnboardLogs"\RTDC4025\*4025*201703070*</v>
      </c>
      <c r="I26" s="210" t="str">
        <f>IF(VLOOKUP(K26,'Train Runs'!$A$13:$V$987,1,TRUE)=K26,VLOOKUP(K26,'Train Runs'!$A$13:$V$987,22,TRUE),NA())</f>
        <v>https://d0f6bd738d7f1b3e5a7ca70fe4ff75f0.us-east-1.aws.found.io/app/kibana#/discover/Steve-Slow-Train-Analysis-(2080s-and-2083s)?_g=(refreshInterval:(display:Off,pause:!f,section:0,value:0),time:(from:'2017-04-07T19:39:00-0600',mode:absolute,to:'2017-04-07T22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226-07</v>
      </c>
      <c r="L26" s="202">
        <f>IF(VLOOKUP(K26,'Train Runs'!$A$12:$B$987,1,TRUE)=K26,VLOOKUP(K26,'Train Runs'!$A$12:$B$987,2,TRUE),NA())</f>
        <v>4025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358</v>
      </c>
      <c r="C27" s="194" t="s">
        <v>360</v>
      </c>
      <c r="D27" s="208">
        <f t="shared" ref="D27:D33" si="5">D26+2</f>
        <v>228</v>
      </c>
      <c r="E27" s="30" t="s">
        <v>362</v>
      </c>
      <c r="F27" s="208" t="b">
        <v>1</v>
      </c>
      <c r="G27" s="212" t="str">
        <f t="shared" si="0"/>
        <v>"C:\Program Files (x86)\AstroGrep\AstroGrep.exe" /e /r /s /spath="%USERPROFILE%\AppData\Local\Temp\OnboardLogs" /stypes="*4009*201703070*"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"%USERPROFILE%\AppData\Local\Temp\OnboardLogs"\RTDC4009\*4009*201703070*</v>
      </c>
      <c r="I27" s="210" t="str">
        <f>IF(VLOOKUP(K27,'Train Runs'!$A$13:$V$987,1,TRUE)=K27,VLOOKUP(K27,'Train Runs'!$A$13:$V$987,22,TRUE),NA())</f>
        <v>https://d0f6bd738d7f1b3e5a7ca70fe4ff75f0.us-east-1.aws.found.io/app/kibana#/discover/Steve-Slow-Train-Analysis-(2080s-and-2083s)?_g=(refreshInterval:(display:Off,pause:!f,section:0,value:0),time:(from:'2017-04-07T20:10:12-0600',mode:absolute,to:'2017-04-07T23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228-07</v>
      </c>
      <c r="L27" s="202">
        <f>IF(VLOOKUP(K27,'Train Runs'!$A$12:$B$987,1,TRUE)=K27,VLOOKUP(K27,'Train Runs'!$A$12:$B$987,2,TRUE),NA())</f>
        <v>4009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358</v>
      </c>
      <c r="C28" s="194" t="s">
        <v>360</v>
      </c>
      <c r="D28" s="208">
        <f t="shared" si="5"/>
        <v>230</v>
      </c>
      <c r="E28" s="30" t="s">
        <v>362</v>
      </c>
      <c r="F28" s="208" t="b">
        <v>1</v>
      </c>
      <c r="G28" s="212" t="str">
        <f t="shared" si="0"/>
        <v>"C:\Program Files (x86)\AstroGrep\AstroGrep.exe" /e /r /s /spath="%USERPROFILE%\AppData\Local\Temp\OnboardLogs" /stypes="*4029*201703070*"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"%USERPROFILE%\AppData\Local\Temp\OnboardLogs"\RTDC4029\*4029*201703070*</v>
      </c>
      <c r="I28" s="210" t="str">
        <f>IF(VLOOKUP(K28,'Train Runs'!$A$13:$V$987,1,TRUE)=K28,VLOOKUP(K28,'Train Runs'!$A$13:$V$987,22,TRUE),NA())</f>
        <v>https://d0f6bd738d7f1b3e5a7ca70fe4ff75f0.us-east-1.aws.found.io/app/kibana#/discover/Steve-Slow-Train-Analysis-(2080s-and-2083s)?_g=(refreshInterval:(display:Off,pause:!f,section:0,value:0),time:(from:'2017-04-07T20:47:17-0600',mode:absolute,to:'2017-04-07T23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230-07</v>
      </c>
      <c r="L28" s="202">
        <f>IF(VLOOKUP(K28,'Train Runs'!$A$12:$B$987,1,TRUE)=K28,VLOOKUP(K28,'Train Runs'!$A$12:$B$987,2,TRUE),NA())</f>
        <v>4029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358</v>
      </c>
      <c r="C29" s="194" t="s">
        <v>360</v>
      </c>
      <c r="D29" s="208">
        <f t="shared" si="5"/>
        <v>232</v>
      </c>
      <c r="E29" s="30" t="s">
        <v>362</v>
      </c>
      <c r="F29" s="208" t="b">
        <v>1</v>
      </c>
      <c r="G29" s="212" t="str">
        <f t="shared" si="0"/>
        <v>"C:\Program Files (x86)\AstroGrep\AstroGrep.exe" /e /r /s /spath="%USERPROFILE%\AppData\Local\Temp\OnboardLogs" /stypes="*4031*201703070*"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"%USERPROFILE%\AppData\Local\Temp\OnboardLogs"\RTDC4031\*4031*201703070*</v>
      </c>
      <c r="I29" s="210" t="str">
        <f>IF(VLOOKUP(K29,'Train Runs'!$A$13:$V$987,1,TRUE)=K29,VLOOKUP(K29,'Train Runs'!$A$13:$V$987,22,TRUE),NA())</f>
        <v>https://d0f6bd738d7f1b3e5a7ca70fe4ff75f0.us-east-1.aws.found.io/app/kibana#/discover/Steve-Slow-Train-Analysis-(2080s-and-2083s)?_g=(refreshInterval:(display:Off,pause:!f,section:0,value:0),time:(from:'2017-04-07T21:23:22-0600',mode:absolute,to:'2017-04-08T00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232-07</v>
      </c>
      <c r="L29" s="202">
        <f>IF(VLOOKUP(K29,'Train Runs'!$A$12:$B$987,1,TRUE)=K29,VLOOKUP(K29,'Train Runs'!$A$12:$B$987,2,TRUE),NA())</f>
        <v>4031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358</v>
      </c>
      <c r="C30" s="194" t="s">
        <v>360</v>
      </c>
      <c r="D30" s="208">
        <f t="shared" si="5"/>
        <v>234</v>
      </c>
      <c r="E30" s="30" t="s">
        <v>362</v>
      </c>
      <c r="F30" s="208" t="b">
        <v>1</v>
      </c>
      <c r="G30" s="212" t="str">
        <f t="shared" si="0"/>
        <v>"C:\Program Files (x86)\AstroGrep\AstroGrep.exe" /e /r /s /spath="%USERPROFILE%\AppData\Local\Temp\OnboardLogs" /stypes="*4025*201703070*"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"%USERPROFILE%\AppData\Local\Temp\OnboardLogs"\RTDC4025\*4025*201703070*</v>
      </c>
      <c r="I30" s="210" t="str">
        <f>IF(VLOOKUP(K30,'Train Runs'!$A$13:$V$987,1,TRUE)=K30,VLOOKUP(K30,'Train Runs'!$A$13:$V$987,22,TRUE),NA())</f>
        <v>https://d0f6bd738d7f1b3e5a7ca70fe4ff75f0.us-east-1.aws.found.io/app/kibana#/discover/Steve-Slow-Train-Analysis-(2080s-and-2083s)?_g=(refreshInterval:(display:Off,pause:!f,section:0,value:0),time:(from:'2017-04-07T21:43:04-0600',mode:absolute,to:'2017-04-08T00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234-07</v>
      </c>
      <c r="L30" s="202">
        <f>IF(VLOOKUP(K30,'Train Runs'!$A$12:$B$987,1,TRUE)=K30,VLOOKUP(K30,'Train Runs'!$A$12:$B$987,2,TRUE),NA())</f>
        <v>4025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358</v>
      </c>
      <c r="C31" s="194" t="s">
        <v>360</v>
      </c>
      <c r="D31" s="208">
        <f t="shared" si="5"/>
        <v>236</v>
      </c>
      <c r="E31" s="30" t="s">
        <v>362</v>
      </c>
      <c r="F31" s="208" t="b">
        <v>1</v>
      </c>
      <c r="G31" s="212" t="str">
        <f t="shared" si="0"/>
        <v>"C:\Program Files (x86)\AstroGrep\AstroGrep.exe" /e /r /s /spath="%USERPROFILE%\AppData\Local\Temp\OnboardLogs" /stypes="*4009*201703070*"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"%USERPROFILE%\AppData\Local\Temp\OnboardLogs"\RTDC4009\*4009*201703070*</v>
      </c>
      <c r="I31" s="210" t="str">
        <f>IF(VLOOKUP(K31,'Train Runs'!$A$13:$V$987,1,TRUE)=K31,VLOOKUP(K31,'Train Runs'!$A$13:$V$987,22,TRUE),NA())</f>
        <v>https://d0f6bd738d7f1b3e5a7ca70fe4ff75f0.us-east-1.aws.found.io/app/kibana#/discover/Steve-Slow-Train-Analysis-(2080s-and-2083s)?_g=(refreshInterval:(display:Off,pause:!f,section:0,value:0),time:(from:'2017-04-07T22:13:33-0600',mode:absolute,to:'2017-04-08T01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236-07</v>
      </c>
      <c r="L31" s="202">
        <f>IF(VLOOKUP(K31,'Train Runs'!$A$12:$B$987,1,TRUE)=K31,VLOOKUP(K31,'Train Runs'!$A$12:$B$987,2,TRUE),NA())</f>
        <v>4009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358</v>
      </c>
      <c r="C32" s="194" t="s">
        <v>360</v>
      </c>
      <c r="D32" s="208">
        <f t="shared" si="5"/>
        <v>238</v>
      </c>
      <c r="E32" s="30" t="s">
        <v>362</v>
      </c>
      <c r="F32" s="208" t="b">
        <v>1</v>
      </c>
      <c r="G32" s="212" t="str">
        <f t="shared" si="0"/>
        <v>"C:\Program Files (x86)\AstroGrep\AstroGrep.exe" /e /r /s /spath="%USERPROFILE%\AppData\Local\Temp\OnboardLogs" /stypes="*4029*201703070*"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"%USERPROFILE%\AppData\Local\Temp\OnboardLogs"\RTDC4029\*4029*201703070*</v>
      </c>
      <c r="I32" s="210" t="str">
        <f>IF(VLOOKUP(K32,'Train Runs'!$A$13:$V$987,1,TRUE)=K32,VLOOKUP(K32,'Train Runs'!$A$13:$V$987,22,TRUE),NA())</f>
        <v>https://d0f6bd738d7f1b3e5a7ca70fe4ff75f0.us-east-1.aws.found.io/app/kibana#/discover/Steve-Slow-Train-Analysis-(2080s-and-2083s)?_g=(refreshInterval:(display:Off,pause:!f,section:0,value:0),time:(from:'2017-04-07T22:46:39-0600',mode:absolute,to:'2017-04-08T01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238-07</v>
      </c>
      <c r="L32" s="202">
        <f>IF(VLOOKUP(K32,'Train Runs'!$A$12:$B$987,1,TRUE)=K32,VLOOKUP(K32,'Train Runs'!$A$12:$B$987,2,TRUE),NA())</f>
        <v>4029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358</v>
      </c>
      <c r="C33" s="194" t="s">
        <v>360</v>
      </c>
      <c r="D33" s="208">
        <f t="shared" si="5"/>
        <v>240</v>
      </c>
      <c r="E33" s="30" t="s">
        <v>362</v>
      </c>
      <c r="F33" s="208" t="b">
        <v>1</v>
      </c>
      <c r="G33" s="212" t="str">
        <f t="shared" si="0"/>
        <v>"C:\Program Files (x86)\AstroGrep\AstroGrep.exe" /e /r /s /spath="%USERPROFILE%\AppData\Local\Temp\OnboardLogs" /stypes="*4031*201703070*"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"%USERPROFILE%\AppData\Local\Temp\OnboardLogs"\RTDC4031\*4031*201703070*</v>
      </c>
      <c r="I33" s="210" t="str">
        <f>IF(VLOOKUP(K33,'Train Runs'!$A$13:$V$987,1,TRUE)=K33,VLOOKUP(K33,'Train Runs'!$A$13:$V$987,22,TRUE),NA())</f>
        <v>https://d0f6bd738d7f1b3e5a7ca70fe4ff75f0.us-east-1.aws.found.io/app/kibana#/discover/Steve-Slow-Train-Analysis-(2080s-and-2083s)?_g=(refreshInterval:(display:Off,pause:!f,section:0,value:0),time:(from:'2017-04-07T23:17:23-0600',mode:absolute,to:'2017-04-08T02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240-07</v>
      </c>
      <c r="L33" s="202">
        <f>IF(VLOOKUP(K33,'Train Runs'!$A$12:$B$987,1,TRUE)=K33,VLOOKUP(K33,'Train Runs'!$A$12:$B$987,2,TRUE),NA())</f>
        <v>4031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358</v>
      </c>
      <c r="C34" s="194" t="s">
        <v>360</v>
      </c>
      <c r="D34" s="208">
        <v>240</v>
      </c>
      <c r="E34" s="30" t="s">
        <v>362</v>
      </c>
      <c r="F34" s="208" t="b">
        <v>1</v>
      </c>
      <c r="G34" s="212" t="str">
        <f t="shared" si="0"/>
        <v>"C:\Program Files (x86)\AstroGrep\AstroGrep.exe" /e /r /s /spath="%USERPROFILE%\AppData\Local\Temp\OnboardLogs" /stypes="*4031*201703070*"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"%USERPROFILE%\AppData\Local\Temp\OnboardLogs"\RTDC4031\*4031*201703070*</v>
      </c>
      <c r="I34" s="210" t="str">
        <f>IF(VLOOKUP(K34,'Train Runs'!$A$13:$V$987,1,TRUE)=K34,VLOOKUP(K34,'Train Runs'!$A$13:$V$987,22,TRUE),NA())</f>
        <v>https://d0f6bd738d7f1b3e5a7ca70fe4ff75f0.us-east-1.aws.found.io/app/kibana#/discover/Steve-Slow-Train-Analysis-(2080s-and-2083s)?_g=(refreshInterval:(display:Off,pause:!f,section:0,value:0),time:(from:'2017-04-07T23:17:23-0600',mode:absolute,to:'2017-04-08T02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240-07</v>
      </c>
      <c r="L34" s="202">
        <f>IF(VLOOKUP(K34,'Train Runs'!$A$12:$B$987,1,TRUE)=K34,VLOOKUP(K34,'Train Runs'!$A$12:$B$987,2,TRUE),NA())</f>
        <v>4031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358</v>
      </c>
      <c r="C35" s="194" t="s">
        <v>360</v>
      </c>
      <c r="D35" s="208">
        <v>242</v>
      </c>
      <c r="E35" s="30" t="s">
        <v>362</v>
      </c>
      <c r="F35" s="208" t="b">
        <v>1</v>
      </c>
      <c r="G35" s="212" t="str">
        <f t="shared" si="0"/>
        <v>"C:\Program Files (x86)\AstroGrep\AstroGrep.exe" /e /r /s /spath="%USERPROFILE%\AppData\Local\Temp\OnboardLogs" /stypes="*4025*201703070*"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"%USERPROFILE%\AppData\Local\Temp\OnboardLogs"\RTDC4025\*4025*201703070*</v>
      </c>
      <c r="I35" s="210" t="str">
        <f>IF(VLOOKUP(K35,'Train Runs'!$A$13:$V$987,1,TRUE)=K35,VLOOKUP(K35,'Train Runs'!$A$13:$V$987,22,TRUE),NA())</f>
        <v>https://d0f6bd738d7f1b3e5a7ca70fe4ff75f0.us-east-1.aws.found.io/app/kibana#/discover/Steve-Slow-Train-Analysis-(2080s-and-2083s)?_g=(refreshInterval:(display:Off,pause:!f,section:0,value:0),time:(from:'2017-04-07T23:38:16-0600',mode:absolute,to:'2017-04-08T02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242-07</v>
      </c>
      <c r="L35" s="202">
        <f>IF(VLOOKUP(K35,'Train Runs'!$A$12:$B$987,1,TRUE)=K35,VLOOKUP(K35,'Train Runs'!$A$12:$B$987,2,TRUE),NA())</f>
        <v>4025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196</v>
      </c>
      <c r="G1" s="8" t="s">
        <v>195</v>
      </c>
    </row>
    <row r="2" spans="1:7" x14ac:dyDescent="0.25">
      <c r="A2" s="8">
        <v>42832.036076388889</v>
      </c>
      <c r="B2" s="20" t="s">
        <v>462</v>
      </c>
      <c r="C2" s="20" t="s">
        <v>570</v>
      </c>
      <c r="D2" s="146">
        <v>2480000</v>
      </c>
      <c r="E2" s="20" t="s">
        <v>514</v>
      </c>
      <c r="F2" s="20" t="s">
        <v>515</v>
      </c>
      <c r="G2" s="8" t="str">
        <f>E2&amp;" "&amp;F2</f>
        <v>WHITED DUSTIN</v>
      </c>
    </row>
    <row r="3" spans="1:7" x14ac:dyDescent="0.25">
      <c r="A3" s="8">
        <v>42832.047430555554</v>
      </c>
      <c r="B3" s="20" t="s">
        <v>385</v>
      </c>
      <c r="C3" s="20" t="s">
        <v>571</v>
      </c>
      <c r="D3" s="146">
        <v>1810000</v>
      </c>
      <c r="E3" s="20" t="s">
        <v>399</v>
      </c>
      <c r="F3" s="20" t="s">
        <v>194</v>
      </c>
      <c r="G3" s="8" t="str">
        <f t="shared" ref="G3:G66" si="0">E3&amp;" "&amp;F3</f>
        <v>NEWELL JAMES</v>
      </c>
    </row>
    <row r="4" spans="1:7" x14ac:dyDescent="0.25">
      <c r="A4" s="8">
        <v>42832.057939814818</v>
      </c>
      <c r="B4" s="20" t="s">
        <v>439</v>
      </c>
      <c r="C4" s="20" t="s">
        <v>572</v>
      </c>
      <c r="D4" s="146">
        <v>2150000</v>
      </c>
      <c r="E4" s="20" t="s">
        <v>373</v>
      </c>
      <c r="F4" s="20" t="s">
        <v>374</v>
      </c>
      <c r="G4" s="8" t="str">
        <f t="shared" si="0"/>
        <v>SWANSON BRYCE</v>
      </c>
    </row>
    <row r="5" spans="1:7" x14ac:dyDescent="0.25">
      <c r="A5" s="8">
        <v>42832.068240740744</v>
      </c>
      <c r="B5" s="20" t="s">
        <v>550</v>
      </c>
      <c r="C5" s="20" t="s">
        <v>573</v>
      </c>
      <c r="D5" s="146">
        <v>2480000</v>
      </c>
      <c r="E5" s="20" t="s">
        <v>514</v>
      </c>
      <c r="F5" s="20" t="s">
        <v>515</v>
      </c>
      <c r="G5" s="8" t="str">
        <f t="shared" si="0"/>
        <v>WHITED DUSTIN</v>
      </c>
    </row>
    <row r="6" spans="1:7" x14ac:dyDescent="0.25">
      <c r="A6" s="8">
        <v>42832.090752314813</v>
      </c>
      <c r="B6" s="20" t="s">
        <v>454</v>
      </c>
      <c r="C6" s="20" t="s">
        <v>574</v>
      </c>
      <c r="D6" s="146">
        <v>2150000</v>
      </c>
      <c r="E6" s="20" t="s">
        <v>373</v>
      </c>
      <c r="F6" s="20" t="s">
        <v>374</v>
      </c>
      <c r="G6" s="8" t="str">
        <f t="shared" si="0"/>
        <v>SWANSON BRYCE</v>
      </c>
    </row>
    <row r="7" spans="1:7" x14ac:dyDescent="0.25">
      <c r="A7" s="8">
        <v>42832.11614583333</v>
      </c>
      <c r="B7" s="20" t="s">
        <v>382</v>
      </c>
      <c r="C7" s="20" t="s">
        <v>654</v>
      </c>
      <c r="D7" s="146">
        <v>2550000</v>
      </c>
      <c r="E7" s="20" t="s">
        <v>506</v>
      </c>
      <c r="F7" s="20" t="s">
        <v>507</v>
      </c>
      <c r="G7" s="8" t="str">
        <f t="shared" si="0"/>
        <v>BADERTSCHER DIANE</v>
      </c>
    </row>
    <row r="8" spans="1:7" x14ac:dyDescent="0.25">
      <c r="A8" s="8">
        <v>42832.119502314818</v>
      </c>
      <c r="B8" s="20" t="s">
        <v>424</v>
      </c>
      <c r="C8" s="20" t="s">
        <v>655</v>
      </c>
      <c r="D8" s="146">
        <v>1090000</v>
      </c>
      <c r="E8" s="20" t="s">
        <v>551</v>
      </c>
      <c r="F8" s="20" t="s">
        <v>197</v>
      </c>
      <c r="G8" s="8" t="str">
        <f t="shared" si="0"/>
        <v>SPECTOR MICHAEL</v>
      </c>
    </row>
    <row r="9" spans="1:7" ht="15.75" thickBot="1" x14ac:dyDescent="0.3">
      <c r="A9" s="24">
        <v>42832.130439814813</v>
      </c>
      <c r="B9" s="20" t="s">
        <v>470</v>
      </c>
      <c r="C9" s="20" t="s">
        <v>656</v>
      </c>
      <c r="D9" s="146">
        <v>2550000</v>
      </c>
      <c r="E9" s="20" t="s">
        <v>506</v>
      </c>
      <c r="F9" s="20" t="s">
        <v>507</v>
      </c>
      <c r="G9" s="8" t="str">
        <f t="shared" si="0"/>
        <v>BADERTSCHER DIANE</v>
      </c>
    </row>
    <row r="10" spans="1:7" x14ac:dyDescent="0.25">
      <c r="A10" s="8">
        <v>42832.137627314813</v>
      </c>
      <c r="B10" s="20" t="s">
        <v>502</v>
      </c>
      <c r="C10" s="20" t="s">
        <v>625</v>
      </c>
      <c r="D10" s="146">
        <v>1090000</v>
      </c>
      <c r="E10" s="20" t="s">
        <v>551</v>
      </c>
      <c r="F10" s="20" t="s">
        <v>197</v>
      </c>
      <c r="G10" s="8" t="str">
        <f t="shared" si="0"/>
        <v>SPECTOR MICHAEL</v>
      </c>
    </row>
    <row r="11" spans="1:7" x14ac:dyDescent="0.25">
      <c r="A11" s="8">
        <v>42832.139409722222</v>
      </c>
      <c r="B11" s="20" t="s">
        <v>405</v>
      </c>
      <c r="C11" s="20" t="s">
        <v>657</v>
      </c>
      <c r="D11" s="146">
        <v>1990000</v>
      </c>
      <c r="E11" s="20" t="s">
        <v>658</v>
      </c>
      <c r="F11" s="20" t="s">
        <v>659</v>
      </c>
      <c r="G11" s="8" t="str">
        <f t="shared" si="0"/>
        <v>DAVIS WENDY</v>
      </c>
    </row>
    <row r="12" spans="1:7" x14ac:dyDescent="0.25">
      <c r="A12" s="8">
        <v>42832.150254629632</v>
      </c>
      <c r="B12" s="20" t="s">
        <v>378</v>
      </c>
      <c r="C12" s="20" t="s">
        <v>660</v>
      </c>
      <c r="D12" s="146">
        <v>1990000</v>
      </c>
      <c r="E12" s="20" t="s">
        <v>658</v>
      </c>
      <c r="F12" s="20" t="s">
        <v>659</v>
      </c>
      <c r="G12" s="8" t="str">
        <f t="shared" si="0"/>
        <v>DAVIS WENDY</v>
      </c>
    </row>
    <row r="13" spans="1:7" x14ac:dyDescent="0.25">
      <c r="A13" s="8">
        <v>42832.157557870371</v>
      </c>
      <c r="B13" s="20" t="s">
        <v>388</v>
      </c>
      <c r="C13" s="20" t="s">
        <v>626</v>
      </c>
      <c r="D13" s="146">
        <v>2140000</v>
      </c>
      <c r="E13" s="20" t="s">
        <v>552</v>
      </c>
      <c r="F13" s="20" t="s">
        <v>553</v>
      </c>
      <c r="G13" s="8" t="str">
        <f t="shared" si="0"/>
        <v>ROBINSON KADDIBA</v>
      </c>
    </row>
    <row r="14" spans="1:7" x14ac:dyDescent="0.25">
      <c r="A14" s="8">
        <v>42832.168171296296</v>
      </c>
      <c r="B14" s="20" t="s">
        <v>426</v>
      </c>
      <c r="C14" s="20" t="s">
        <v>661</v>
      </c>
      <c r="D14" s="146">
        <v>1110000</v>
      </c>
      <c r="E14" s="20" t="s">
        <v>444</v>
      </c>
      <c r="F14" s="20" t="s">
        <v>445</v>
      </c>
      <c r="G14" s="8" t="str">
        <f t="shared" si="0"/>
        <v>STARKS ANGELINA</v>
      </c>
    </row>
    <row r="15" spans="1:7" x14ac:dyDescent="0.25">
      <c r="A15" s="8">
        <v>42832.169178240743</v>
      </c>
      <c r="B15" s="20" t="s">
        <v>382</v>
      </c>
      <c r="C15" s="20" t="s">
        <v>662</v>
      </c>
      <c r="D15" s="146">
        <v>2550000</v>
      </c>
      <c r="E15" s="20" t="s">
        <v>506</v>
      </c>
      <c r="F15" s="20" t="s">
        <v>507</v>
      </c>
      <c r="G15" s="8" t="str">
        <f t="shared" si="0"/>
        <v>BADERTSCHER DIANE</v>
      </c>
    </row>
    <row r="16" spans="1:7" x14ac:dyDescent="0.25">
      <c r="A16" s="8">
        <v>42832.169224537036</v>
      </c>
      <c r="B16" s="20" t="s">
        <v>426</v>
      </c>
      <c r="C16" s="20" t="s">
        <v>661</v>
      </c>
      <c r="D16" s="146">
        <v>1110000</v>
      </c>
      <c r="E16" s="20" t="s">
        <v>444</v>
      </c>
      <c r="F16" s="20" t="s">
        <v>445</v>
      </c>
      <c r="G16" s="8" t="str">
        <f t="shared" si="0"/>
        <v>STARKS ANGELINA</v>
      </c>
    </row>
    <row r="17" spans="1:7" x14ac:dyDescent="0.25">
      <c r="A17" s="8">
        <v>42832.16951388889</v>
      </c>
      <c r="B17" s="20" t="s">
        <v>557</v>
      </c>
      <c r="C17" s="20" t="s">
        <v>663</v>
      </c>
      <c r="D17" s="146">
        <v>2140000</v>
      </c>
      <c r="E17" s="20" t="s">
        <v>552</v>
      </c>
      <c r="F17" s="20" t="s">
        <v>553</v>
      </c>
      <c r="G17" s="8" t="str">
        <f t="shared" si="0"/>
        <v>ROBINSON KADDIBA</v>
      </c>
    </row>
    <row r="18" spans="1:7" x14ac:dyDescent="0.25">
      <c r="A18" s="8">
        <v>42832.170567129629</v>
      </c>
      <c r="B18" s="20" t="s">
        <v>426</v>
      </c>
      <c r="C18" s="20" t="s">
        <v>661</v>
      </c>
      <c r="D18" s="146">
        <v>1110000</v>
      </c>
      <c r="E18" s="20" t="s">
        <v>444</v>
      </c>
      <c r="F18" s="20" t="s">
        <v>445</v>
      </c>
      <c r="G18" s="8" t="str">
        <f t="shared" si="0"/>
        <v>STARKS ANGELINA</v>
      </c>
    </row>
    <row r="19" spans="1:7" x14ac:dyDescent="0.25">
      <c r="A19" s="8">
        <v>42832.183136574073</v>
      </c>
      <c r="B19" s="20" t="s">
        <v>469</v>
      </c>
      <c r="C19" s="20" t="s">
        <v>664</v>
      </c>
      <c r="D19" s="146">
        <v>890000</v>
      </c>
      <c r="E19" s="20" t="s">
        <v>467</v>
      </c>
      <c r="F19" s="20" t="s">
        <v>468</v>
      </c>
      <c r="G19" s="8" t="str">
        <f t="shared" si="0"/>
        <v>LOZA FIDEL</v>
      </c>
    </row>
    <row r="20" spans="1:7" x14ac:dyDescent="0.25">
      <c r="A20" s="8">
        <v>42832.183611111112</v>
      </c>
      <c r="B20" s="20" t="s">
        <v>416</v>
      </c>
      <c r="C20" s="20" t="s">
        <v>627</v>
      </c>
      <c r="D20" s="146">
        <v>1110000</v>
      </c>
      <c r="E20" s="20" t="s">
        <v>444</v>
      </c>
      <c r="F20" s="20" t="s">
        <v>445</v>
      </c>
      <c r="G20" s="8" t="str">
        <f t="shared" si="0"/>
        <v>STARKS ANGELINA</v>
      </c>
    </row>
    <row r="21" spans="1:7" x14ac:dyDescent="0.25">
      <c r="A21" s="8">
        <v>42832.193101851852</v>
      </c>
      <c r="B21" s="20" t="s">
        <v>405</v>
      </c>
      <c r="C21" s="20" t="s">
        <v>665</v>
      </c>
      <c r="D21" s="146">
        <v>1990000</v>
      </c>
      <c r="E21" s="20" t="s">
        <v>658</v>
      </c>
      <c r="F21" s="20" t="s">
        <v>659</v>
      </c>
      <c r="G21" s="8" t="str">
        <f t="shared" si="0"/>
        <v>DAVIS WENDY</v>
      </c>
    </row>
    <row r="22" spans="1:7" x14ac:dyDescent="0.25">
      <c r="A22" s="26">
        <v>42832.193240740744</v>
      </c>
      <c r="B22" s="20" t="s">
        <v>466</v>
      </c>
      <c r="C22" s="20" t="s">
        <v>628</v>
      </c>
      <c r="D22" s="146">
        <v>890000</v>
      </c>
      <c r="E22" s="20" t="s">
        <v>467</v>
      </c>
      <c r="F22" s="20" t="s">
        <v>468</v>
      </c>
      <c r="G22" s="8" t="str">
        <f t="shared" si="0"/>
        <v>LOZA FIDEL</v>
      </c>
    </row>
    <row r="23" spans="1:7" x14ac:dyDescent="0.25">
      <c r="A23" s="8">
        <v>42832.198159722226</v>
      </c>
      <c r="B23" s="20" t="s">
        <v>387</v>
      </c>
      <c r="C23" s="20" t="s">
        <v>666</v>
      </c>
      <c r="D23" s="146">
        <v>1100000</v>
      </c>
      <c r="E23" s="20" t="s">
        <v>509</v>
      </c>
      <c r="F23" s="20" t="s">
        <v>510</v>
      </c>
      <c r="G23" s="8" t="str">
        <f t="shared" si="0"/>
        <v>GEBRETEKLE DAGNEW</v>
      </c>
    </row>
    <row r="24" spans="1:7" x14ac:dyDescent="0.25">
      <c r="A24" s="8">
        <v>42832.199988425928</v>
      </c>
      <c r="B24" s="20" t="s">
        <v>387</v>
      </c>
      <c r="C24" s="20" t="s">
        <v>666</v>
      </c>
      <c r="D24" s="146">
        <v>1100000</v>
      </c>
      <c r="E24" s="20" t="s">
        <v>509</v>
      </c>
      <c r="F24" s="20" t="s">
        <v>510</v>
      </c>
      <c r="G24" s="8" t="str">
        <f t="shared" si="0"/>
        <v>GEBRETEKLE DAGNEW</v>
      </c>
    </row>
    <row r="25" spans="1:7" x14ac:dyDescent="0.25">
      <c r="A25" s="8">
        <v>42832.206782407404</v>
      </c>
      <c r="B25" s="20" t="s">
        <v>470</v>
      </c>
      <c r="C25" s="20" t="s">
        <v>667</v>
      </c>
      <c r="D25" s="146">
        <v>3000000</v>
      </c>
      <c r="E25" s="20" t="s">
        <v>446</v>
      </c>
      <c r="F25" s="20" t="s">
        <v>447</v>
      </c>
      <c r="G25" s="8" t="str">
        <f t="shared" si="0"/>
        <v>FORTUNATO FRANK</v>
      </c>
    </row>
    <row r="26" spans="1:7" x14ac:dyDescent="0.25">
      <c r="A26" s="8">
        <v>42832.209976851853</v>
      </c>
      <c r="B26" s="20" t="s">
        <v>383</v>
      </c>
      <c r="C26" s="20" t="s">
        <v>668</v>
      </c>
      <c r="D26" s="146">
        <v>2550000</v>
      </c>
      <c r="E26" s="20" t="s">
        <v>506</v>
      </c>
      <c r="F26" s="20" t="s">
        <v>507</v>
      </c>
      <c r="G26" s="8" t="str">
        <f t="shared" si="0"/>
        <v>BADERTSCHER DIANE</v>
      </c>
    </row>
    <row r="27" spans="1:7" x14ac:dyDescent="0.25">
      <c r="A27" s="8">
        <v>42832.21</v>
      </c>
      <c r="B27" s="20" t="s">
        <v>388</v>
      </c>
      <c r="C27" s="20" t="s">
        <v>669</v>
      </c>
      <c r="D27" s="146">
        <v>2140000</v>
      </c>
      <c r="E27" s="20" t="s">
        <v>552</v>
      </c>
      <c r="F27" s="20" t="s">
        <v>553</v>
      </c>
      <c r="G27" s="8" t="str">
        <f t="shared" si="0"/>
        <v>ROBINSON KADDIBA</v>
      </c>
    </row>
    <row r="28" spans="1:7" x14ac:dyDescent="0.25">
      <c r="A28" s="8">
        <v>42832.212557870371</v>
      </c>
      <c r="B28" s="20" t="s">
        <v>630</v>
      </c>
      <c r="C28" s="20" t="s">
        <v>670</v>
      </c>
      <c r="D28" s="146">
        <v>1100000</v>
      </c>
      <c r="E28" s="20" t="s">
        <v>509</v>
      </c>
      <c r="F28" s="20" t="s">
        <v>510</v>
      </c>
      <c r="G28" s="8" t="str">
        <f t="shared" si="0"/>
        <v>GEBRETEKLE DAGNEW</v>
      </c>
    </row>
    <row r="29" spans="1:7" x14ac:dyDescent="0.25">
      <c r="A29" s="8">
        <v>42832.217511574076</v>
      </c>
      <c r="B29" s="20" t="s">
        <v>383</v>
      </c>
      <c r="C29" s="20" t="s">
        <v>668</v>
      </c>
      <c r="D29" s="146">
        <v>2550000</v>
      </c>
      <c r="E29" s="20" t="s">
        <v>506</v>
      </c>
      <c r="F29" s="20" t="s">
        <v>507</v>
      </c>
      <c r="G29" s="8" t="str">
        <f t="shared" si="0"/>
        <v>BADERTSCHER DIANE</v>
      </c>
    </row>
    <row r="30" spans="1:7" x14ac:dyDescent="0.25">
      <c r="A30" s="8">
        <v>42832.225648148145</v>
      </c>
      <c r="B30" s="20" t="s">
        <v>426</v>
      </c>
      <c r="C30" s="20" t="s">
        <v>671</v>
      </c>
      <c r="D30" s="146">
        <v>1110000</v>
      </c>
      <c r="E30" s="20" t="s">
        <v>444</v>
      </c>
      <c r="F30" s="20" t="s">
        <v>445</v>
      </c>
      <c r="G30" s="8" t="str">
        <f t="shared" si="0"/>
        <v>STARKS ANGELINA</v>
      </c>
    </row>
    <row r="31" spans="1:7" x14ac:dyDescent="0.25">
      <c r="A31" s="8">
        <v>42832.227395833332</v>
      </c>
      <c r="B31" s="20" t="s">
        <v>378</v>
      </c>
      <c r="C31" s="20" t="s">
        <v>672</v>
      </c>
      <c r="D31" s="146">
        <v>3020000</v>
      </c>
      <c r="E31" s="20" t="s">
        <v>448</v>
      </c>
      <c r="F31" s="20" t="s">
        <v>449</v>
      </c>
      <c r="G31" s="8" t="str">
        <f t="shared" si="0"/>
        <v>MENGES BRAD</v>
      </c>
    </row>
    <row r="32" spans="1:7" x14ac:dyDescent="0.25">
      <c r="A32" s="8">
        <v>42832.227407407408</v>
      </c>
      <c r="B32" s="20" t="s">
        <v>387</v>
      </c>
      <c r="C32" s="20" t="s">
        <v>673</v>
      </c>
      <c r="D32" s="146">
        <v>1100000</v>
      </c>
      <c r="E32" s="20" t="s">
        <v>509</v>
      </c>
      <c r="F32" s="20" t="s">
        <v>510</v>
      </c>
      <c r="G32" s="8" t="str">
        <f t="shared" si="0"/>
        <v>GEBRETEKLE DAGNEW</v>
      </c>
    </row>
    <row r="33" spans="1:7" x14ac:dyDescent="0.25">
      <c r="A33" s="8">
        <v>42832.228217592594</v>
      </c>
      <c r="B33" s="20" t="s">
        <v>469</v>
      </c>
      <c r="C33" s="20" t="s">
        <v>629</v>
      </c>
      <c r="D33" s="146">
        <v>890000</v>
      </c>
      <c r="E33" s="20" t="s">
        <v>467</v>
      </c>
      <c r="F33" s="20" t="s">
        <v>468</v>
      </c>
      <c r="G33" s="8" t="str">
        <f t="shared" si="0"/>
        <v>LOZA FIDEL</v>
      </c>
    </row>
    <row r="34" spans="1:7" x14ac:dyDescent="0.25">
      <c r="A34" s="8">
        <v>42832.234756944446</v>
      </c>
      <c r="B34" s="20" t="s">
        <v>404</v>
      </c>
      <c r="C34" s="20" t="s">
        <v>674</v>
      </c>
      <c r="D34" s="146">
        <v>1990000</v>
      </c>
      <c r="E34" s="20" t="s">
        <v>658</v>
      </c>
      <c r="F34" s="20" t="s">
        <v>659</v>
      </c>
      <c r="G34" s="8" t="str">
        <f t="shared" si="0"/>
        <v>DAVIS WENDY</v>
      </c>
    </row>
    <row r="35" spans="1:7" x14ac:dyDescent="0.25">
      <c r="A35" s="8">
        <v>42832.239120370374</v>
      </c>
      <c r="B35" s="20" t="s">
        <v>463</v>
      </c>
      <c r="C35" s="20" t="s">
        <v>675</v>
      </c>
      <c r="D35" s="146">
        <v>3000000</v>
      </c>
      <c r="E35" s="20" t="s">
        <v>446</v>
      </c>
      <c r="F35" s="20" t="s">
        <v>447</v>
      </c>
      <c r="G35" s="8" t="str">
        <f t="shared" si="0"/>
        <v>FORTUNATO FRANK</v>
      </c>
    </row>
    <row r="36" spans="1:7" x14ac:dyDescent="0.25">
      <c r="A36" s="8">
        <v>42832.244710648149</v>
      </c>
      <c r="B36" s="20" t="s">
        <v>676</v>
      </c>
      <c r="C36" s="20" t="s">
        <v>677</v>
      </c>
      <c r="D36" s="146">
        <v>2020000</v>
      </c>
      <c r="E36" s="20" t="s">
        <v>554</v>
      </c>
      <c r="F36" s="20" t="s">
        <v>511</v>
      </c>
      <c r="G36" s="8" t="str">
        <f t="shared" si="0"/>
        <v>SHOOK JOHN</v>
      </c>
    </row>
    <row r="37" spans="1:7" x14ac:dyDescent="0.25">
      <c r="A37" s="8">
        <v>42832.248599537037</v>
      </c>
      <c r="B37" s="20" t="s">
        <v>557</v>
      </c>
      <c r="C37" s="20" t="s">
        <v>678</v>
      </c>
      <c r="D37" s="146">
        <v>2140000</v>
      </c>
      <c r="E37" s="20" t="s">
        <v>552</v>
      </c>
      <c r="F37" s="20" t="s">
        <v>553</v>
      </c>
      <c r="G37" s="8" t="str">
        <f t="shared" si="0"/>
        <v>ROBINSON KADDIBA</v>
      </c>
    </row>
    <row r="38" spans="1:7" x14ac:dyDescent="0.25">
      <c r="A38" s="8">
        <v>42832.249490740738</v>
      </c>
      <c r="B38" s="20" t="s">
        <v>557</v>
      </c>
      <c r="C38" s="20" t="s">
        <v>678</v>
      </c>
      <c r="D38" s="146">
        <v>2140000</v>
      </c>
      <c r="E38" s="20" t="s">
        <v>552</v>
      </c>
      <c r="F38" s="20" t="s">
        <v>553</v>
      </c>
      <c r="G38" s="8" t="str">
        <f t="shared" si="0"/>
        <v>ROBINSON KADDIBA</v>
      </c>
    </row>
    <row r="39" spans="1:7" x14ac:dyDescent="0.25">
      <c r="A39" s="8">
        <v>42832.252233796295</v>
      </c>
      <c r="B39" s="20" t="s">
        <v>382</v>
      </c>
      <c r="C39" s="20" t="s">
        <v>679</v>
      </c>
      <c r="D39" s="146">
        <v>2550000</v>
      </c>
      <c r="E39" s="20" t="s">
        <v>506</v>
      </c>
      <c r="F39" s="20" t="s">
        <v>507</v>
      </c>
      <c r="G39" s="8" t="str">
        <f t="shared" si="0"/>
        <v>BADERTSCHER DIANE</v>
      </c>
    </row>
    <row r="40" spans="1:7" x14ac:dyDescent="0.25">
      <c r="A40" s="8">
        <v>42832.254687499997</v>
      </c>
      <c r="B40" s="25" t="s">
        <v>630</v>
      </c>
      <c r="C40" s="20" t="s">
        <v>631</v>
      </c>
      <c r="D40" s="146">
        <v>1100000</v>
      </c>
      <c r="E40" s="20" t="s">
        <v>509</v>
      </c>
      <c r="F40" s="20" t="s">
        <v>510</v>
      </c>
      <c r="G40" s="8" t="str">
        <f t="shared" si="0"/>
        <v>GEBRETEKLE DAGNEW</v>
      </c>
    </row>
    <row r="41" spans="1:7" x14ac:dyDescent="0.25">
      <c r="A41" s="8">
        <v>42832.255324074074</v>
      </c>
      <c r="B41" s="20" t="s">
        <v>645</v>
      </c>
      <c r="C41" s="20" t="s">
        <v>680</v>
      </c>
      <c r="D41" s="146">
        <v>2020000</v>
      </c>
      <c r="E41" s="20" t="s">
        <v>554</v>
      </c>
      <c r="F41" s="20" t="s">
        <v>511</v>
      </c>
      <c r="G41" s="8" t="str">
        <f t="shared" si="0"/>
        <v>SHOOK JOHN</v>
      </c>
    </row>
    <row r="42" spans="1:7" x14ac:dyDescent="0.25">
      <c r="A42" s="8">
        <v>42832.256689814814</v>
      </c>
      <c r="B42" s="20" t="s">
        <v>379</v>
      </c>
      <c r="C42" s="20" t="s">
        <v>632</v>
      </c>
      <c r="D42" s="146">
        <v>3020000</v>
      </c>
      <c r="E42" s="20" t="s">
        <v>448</v>
      </c>
      <c r="F42" s="20" t="s">
        <v>449</v>
      </c>
      <c r="G42" s="8" t="str">
        <f t="shared" si="0"/>
        <v>MENGES BRAD</v>
      </c>
    </row>
    <row r="43" spans="1:7" x14ac:dyDescent="0.25">
      <c r="A43" s="8">
        <v>42832.257824074077</v>
      </c>
      <c r="B43" s="20" t="s">
        <v>416</v>
      </c>
      <c r="C43" s="20" t="s">
        <v>681</v>
      </c>
      <c r="D43" s="146">
        <v>1110000</v>
      </c>
      <c r="E43" s="20" t="s">
        <v>444</v>
      </c>
      <c r="F43" s="20" t="s">
        <v>445</v>
      </c>
      <c r="G43" s="8" t="str">
        <f t="shared" si="0"/>
        <v>STARKS ANGELINA</v>
      </c>
    </row>
    <row r="44" spans="1:7" x14ac:dyDescent="0.25">
      <c r="A44" s="8">
        <v>42832.268310185187</v>
      </c>
      <c r="B44" s="20" t="s">
        <v>466</v>
      </c>
      <c r="C44" s="20" t="s">
        <v>682</v>
      </c>
      <c r="D44" s="146">
        <v>890000</v>
      </c>
      <c r="E44" s="20" t="s">
        <v>467</v>
      </c>
      <c r="F44" s="20" t="s">
        <v>468</v>
      </c>
      <c r="G44" s="8" t="str">
        <f t="shared" si="0"/>
        <v>LOZA FIDEL</v>
      </c>
    </row>
    <row r="45" spans="1:7" x14ac:dyDescent="0.25">
      <c r="A45" s="8">
        <v>42832.269872685189</v>
      </c>
      <c r="B45" s="20" t="s">
        <v>387</v>
      </c>
      <c r="C45" s="20" t="s">
        <v>683</v>
      </c>
      <c r="D45" s="146">
        <v>1100000</v>
      </c>
      <c r="E45" s="20" t="s">
        <v>509</v>
      </c>
      <c r="F45" s="20" t="s">
        <v>510</v>
      </c>
      <c r="G45" s="8" t="str">
        <f t="shared" si="0"/>
        <v>GEBRETEKLE DAGNEW</v>
      </c>
    </row>
    <row r="46" spans="1:7" x14ac:dyDescent="0.25">
      <c r="A46" s="8">
        <v>42832.276238425926</v>
      </c>
      <c r="B46" s="20" t="s">
        <v>676</v>
      </c>
      <c r="C46" s="20" t="s">
        <v>684</v>
      </c>
      <c r="D46" s="146">
        <v>2020000</v>
      </c>
      <c r="E46" s="20" t="s">
        <v>554</v>
      </c>
      <c r="F46" s="20" t="s">
        <v>511</v>
      </c>
      <c r="G46" s="8" t="str">
        <f t="shared" si="0"/>
        <v>SHOOK JOHN</v>
      </c>
    </row>
    <row r="47" spans="1:7" x14ac:dyDescent="0.25">
      <c r="A47" s="8">
        <v>42832.276562500003</v>
      </c>
      <c r="B47" s="20" t="s">
        <v>405</v>
      </c>
      <c r="C47" s="20" t="s">
        <v>685</v>
      </c>
      <c r="D47" s="146">
        <v>1990000</v>
      </c>
      <c r="E47" s="20" t="s">
        <v>658</v>
      </c>
      <c r="F47" s="20" t="s">
        <v>659</v>
      </c>
      <c r="G47" s="8" t="str">
        <f t="shared" si="0"/>
        <v>DAVIS WENDY</v>
      </c>
    </row>
    <row r="48" spans="1:7" x14ac:dyDescent="0.25">
      <c r="A48" s="8">
        <v>42832.278310185182</v>
      </c>
      <c r="B48" s="20" t="s">
        <v>470</v>
      </c>
      <c r="C48" s="20" t="s">
        <v>686</v>
      </c>
      <c r="D48" s="146">
        <v>3000000</v>
      </c>
      <c r="E48" s="20" t="s">
        <v>446</v>
      </c>
      <c r="F48" s="20" t="s">
        <v>447</v>
      </c>
      <c r="G48" s="8" t="str">
        <f t="shared" si="0"/>
        <v>FORTUNATO FRANK</v>
      </c>
    </row>
    <row r="49" spans="1:7" x14ac:dyDescent="0.25">
      <c r="A49" s="8">
        <v>42832.286145833335</v>
      </c>
      <c r="B49" s="20" t="s">
        <v>687</v>
      </c>
      <c r="C49" s="20" t="s">
        <v>688</v>
      </c>
      <c r="D49" s="146">
        <v>2140000</v>
      </c>
      <c r="E49" s="20" t="s">
        <v>552</v>
      </c>
      <c r="F49" s="20" t="s">
        <v>553</v>
      </c>
      <c r="G49" s="8" t="str">
        <f t="shared" si="0"/>
        <v>ROBINSON KADDIBA</v>
      </c>
    </row>
    <row r="50" spans="1:7" x14ac:dyDescent="0.25">
      <c r="A50" s="8">
        <v>42832.289490740739</v>
      </c>
      <c r="B50" s="20" t="s">
        <v>383</v>
      </c>
      <c r="C50" s="20" t="s">
        <v>689</v>
      </c>
      <c r="D50" s="146">
        <v>2550000</v>
      </c>
      <c r="E50" s="20" t="s">
        <v>506</v>
      </c>
      <c r="F50" s="20" t="s">
        <v>507</v>
      </c>
      <c r="G50" s="8" t="str">
        <f t="shared" si="0"/>
        <v>BADERTSCHER DIANE</v>
      </c>
    </row>
    <row r="51" spans="1:7" x14ac:dyDescent="0.25">
      <c r="A51" s="8">
        <v>42832.29042824074</v>
      </c>
      <c r="B51" s="20" t="s">
        <v>645</v>
      </c>
      <c r="C51" s="20" t="s">
        <v>690</v>
      </c>
      <c r="D51" s="146">
        <v>2020000</v>
      </c>
      <c r="E51" s="20" t="s">
        <v>554</v>
      </c>
      <c r="F51" s="20" t="s">
        <v>511</v>
      </c>
      <c r="G51" s="8" t="str">
        <f t="shared" si="0"/>
        <v>SHOOK JOHN</v>
      </c>
    </row>
    <row r="52" spans="1:7" x14ac:dyDescent="0.25">
      <c r="A52" s="8">
        <v>42832.295937499999</v>
      </c>
      <c r="B52" s="20" t="s">
        <v>630</v>
      </c>
      <c r="C52" s="20" t="s">
        <v>691</v>
      </c>
      <c r="D52" s="146">
        <v>1100000</v>
      </c>
      <c r="E52" s="20" t="s">
        <v>509</v>
      </c>
      <c r="F52" s="20" t="s">
        <v>510</v>
      </c>
      <c r="G52" s="8" t="str">
        <f t="shared" si="0"/>
        <v>GEBRETEKLE DAGNEW</v>
      </c>
    </row>
    <row r="53" spans="1:7" x14ac:dyDescent="0.25">
      <c r="A53" s="8">
        <v>42832.296342592592</v>
      </c>
      <c r="B53" s="20" t="s">
        <v>426</v>
      </c>
      <c r="C53" s="20" t="s">
        <v>692</v>
      </c>
      <c r="D53" s="146">
        <v>1110000</v>
      </c>
      <c r="E53" s="20" t="s">
        <v>444</v>
      </c>
      <c r="F53" s="20" t="s">
        <v>445</v>
      </c>
      <c r="G53" s="8" t="str">
        <f t="shared" si="0"/>
        <v>STARKS ANGELINA</v>
      </c>
    </row>
    <row r="54" spans="1:7" x14ac:dyDescent="0.25">
      <c r="A54" s="8">
        <v>42832.297835648147</v>
      </c>
      <c r="B54" s="20" t="s">
        <v>469</v>
      </c>
      <c r="C54" s="20" t="s">
        <v>693</v>
      </c>
      <c r="D54" s="146">
        <v>890000</v>
      </c>
      <c r="E54" s="20" t="s">
        <v>467</v>
      </c>
      <c r="F54" s="20" t="s">
        <v>468</v>
      </c>
      <c r="G54" s="8" t="str">
        <f t="shared" si="0"/>
        <v>LOZA FIDEL</v>
      </c>
    </row>
    <row r="55" spans="1:7" x14ac:dyDescent="0.25">
      <c r="A55" s="8">
        <v>42832.298854166664</v>
      </c>
      <c r="B55" s="20" t="s">
        <v>378</v>
      </c>
      <c r="C55" s="20" t="s">
        <v>694</v>
      </c>
      <c r="D55" s="146">
        <v>3020000</v>
      </c>
      <c r="E55" s="20" t="s">
        <v>448</v>
      </c>
      <c r="F55" s="20" t="s">
        <v>449</v>
      </c>
      <c r="G55" s="8" t="str">
        <f t="shared" si="0"/>
        <v>MENGES BRAD</v>
      </c>
    </row>
    <row r="56" spans="1:7" x14ac:dyDescent="0.25">
      <c r="A56" s="8">
        <v>42832.308368055557</v>
      </c>
      <c r="B56" s="20" t="s">
        <v>404</v>
      </c>
      <c r="C56" s="20" t="s">
        <v>695</v>
      </c>
      <c r="D56" s="146">
        <v>1990000</v>
      </c>
      <c r="E56" s="20" t="s">
        <v>658</v>
      </c>
      <c r="F56" s="20" t="s">
        <v>659</v>
      </c>
      <c r="G56" s="8" t="str">
        <f t="shared" si="0"/>
        <v>DAVIS WENDY</v>
      </c>
    </row>
    <row r="57" spans="1:7" x14ac:dyDescent="0.25">
      <c r="A57" s="8">
        <v>42832.310682870368</v>
      </c>
      <c r="B57" s="20" t="s">
        <v>387</v>
      </c>
      <c r="C57" s="20" t="s">
        <v>696</v>
      </c>
      <c r="D57" s="146">
        <v>1100000</v>
      </c>
      <c r="E57" s="20" t="s">
        <v>509</v>
      </c>
      <c r="F57" s="20" t="s">
        <v>510</v>
      </c>
      <c r="G57" s="8" t="str">
        <f t="shared" si="0"/>
        <v>GEBRETEKLE DAGNEW</v>
      </c>
    </row>
    <row r="58" spans="1:7" x14ac:dyDescent="0.25">
      <c r="A58" s="8">
        <v>42832.313194444447</v>
      </c>
      <c r="B58" s="20" t="s">
        <v>463</v>
      </c>
      <c r="C58" s="20" t="s">
        <v>697</v>
      </c>
      <c r="D58" s="146">
        <v>3000000</v>
      </c>
      <c r="E58" s="20" t="s">
        <v>446</v>
      </c>
      <c r="F58" s="20" t="s">
        <v>447</v>
      </c>
      <c r="G58" s="8" t="str">
        <f t="shared" si="0"/>
        <v>FORTUNATO FRANK</v>
      </c>
    </row>
    <row r="59" spans="1:7" x14ac:dyDescent="0.25">
      <c r="A59" s="8">
        <v>42832.317685185182</v>
      </c>
      <c r="B59" s="20" t="s">
        <v>676</v>
      </c>
      <c r="C59" s="20" t="s">
        <v>698</v>
      </c>
      <c r="D59" s="146">
        <v>2020000</v>
      </c>
      <c r="E59" s="20" t="s">
        <v>554</v>
      </c>
      <c r="F59" s="20" t="s">
        <v>511</v>
      </c>
      <c r="G59" s="8" t="str">
        <f t="shared" si="0"/>
        <v>SHOOK JOHN</v>
      </c>
    </row>
    <row r="60" spans="1:7" x14ac:dyDescent="0.25">
      <c r="A60" s="8">
        <v>42832.319398148145</v>
      </c>
      <c r="B60" s="20" t="s">
        <v>557</v>
      </c>
      <c r="C60" s="20" t="s">
        <v>699</v>
      </c>
      <c r="D60" s="146">
        <v>2140000</v>
      </c>
      <c r="E60" s="20" t="s">
        <v>552</v>
      </c>
      <c r="F60" s="20" t="s">
        <v>553</v>
      </c>
      <c r="G60" s="8" t="str">
        <f t="shared" si="0"/>
        <v>ROBINSON KADDIBA</v>
      </c>
    </row>
    <row r="61" spans="1:7" x14ac:dyDescent="0.25">
      <c r="A61" s="8">
        <v>42832.324988425928</v>
      </c>
      <c r="B61" s="20" t="s">
        <v>382</v>
      </c>
      <c r="C61" s="20" t="s">
        <v>700</v>
      </c>
      <c r="D61" s="146">
        <v>2550000</v>
      </c>
      <c r="E61" s="20" t="s">
        <v>506</v>
      </c>
      <c r="F61" s="20" t="s">
        <v>507</v>
      </c>
      <c r="G61" s="8" t="str">
        <f t="shared" si="0"/>
        <v>BADERTSCHER DIANE</v>
      </c>
    </row>
    <row r="62" spans="1:7" x14ac:dyDescent="0.25">
      <c r="A62" s="8">
        <v>42832.331979166665</v>
      </c>
      <c r="B62" s="20" t="s">
        <v>645</v>
      </c>
      <c r="C62" s="20" t="s">
        <v>701</v>
      </c>
      <c r="D62" s="146">
        <v>2020000</v>
      </c>
      <c r="E62" s="20" t="s">
        <v>554</v>
      </c>
      <c r="F62" s="20" t="s">
        <v>511</v>
      </c>
      <c r="G62" s="8" t="str">
        <f t="shared" si="0"/>
        <v>SHOOK JOHN</v>
      </c>
    </row>
    <row r="63" spans="1:7" x14ac:dyDescent="0.25">
      <c r="A63" s="8">
        <v>42832.332303240742</v>
      </c>
      <c r="B63" s="20" t="s">
        <v>416</v>
      </c>
      <c r="C63" s="20" t="s">
        <v>702</v>
      </c>
      <c r="D63" s="146">
        <v>1110000</v>
      </c>
      <c r="E63" s="20" t="s">
        <v>444</v>
      </c>
      <c r="F63" s="20" t="s">
        <v>445</v>
      </c>
      <c r="G63" s="8" t="str">
        <f t="shared" si="0"/>
        <v>STARKS ANGELINA</v>
      </c>
    </row>
    <row r="64" spans="1:7" x14ac:dyDescent="0.25">
      <c r="A64" s="26">
        <v>42832.334791666668</v>
      </c>
      <c r="B64" s="20" t="s">
        <v>379</v>
      </c>
      <c r="C64" s="20" t="s">
        <v>703</v>
      </c>
      <c r="D64" s="146">
        <v>3020000</v>
      </c>
      <c r="E64" s="20" t="s">
        <v>448</v>
      </c>
      <c r="F64" s="20" t="s">
        <v>449</v>
      </c>
      <c r="G64" s="8" t="str">
        <f t="shared" si="0"/>
        <v>MENGES BRAD</v>
      </c>
    </row>
    <row r="65" spans="1:7" x14ac:dyDescent="0.25">
      <c r="A65" s="8">
        <v>42832.337777777779</v>
      </c>
      <c r="B65" s="20" t="s">
        <v>630</v>
      </c>
      <c r="C65" s="20" t="s">
        <v>704</v>
      </c>
      <c r="D65" s="146">
        <v>1100000</v>
      </c>
      <c r="E65" s="20" t="s">
        <v>509</v>
      </c>
      <c r="F65" s="20" t="s">
        <v>510</v>
      </c>
      <c r="G65" s="8" t="str">
        <f t="shared" si="0"/>
        <v>GEBRETEKLE DAGNEW</v>
      </c>
    </row>
    <row r="66" spans="1:7" x14ac:dyDescent="0.25">
      <c r="A66" s="8">
        <v>42832.33934027778</v>
      </c>
      <c r="B66" s="20" t="s">
        <v>466</v>
      </c>
      <c r="C66" s="20" t="s">
        <v>705</v>
      </c>
      <c r="D66" s="146">
        <v>890000</v>
      </c>
      <c r="E66" s="20" t="s">
        <v>467</v>
      </c>
      <c r="F66" s="20" t="s">
        <v>468</v>
      </c>
      <c r="G66" s="8" t="str">
        <f t="shared" si="0"/>
        <v>LOZA FIDEL</v>
      </c>
    </row>
    <row r="67" spans="1:7" x14ac:dyDescent="0.25">
      <c r="A67" s="8">
        <v>42832.348391203705</v>
      </c>
      <c r="B67" s="20" t="s">
        <v>405</v>
      </c>
      <c r="C67" s="20" t="s">
        <v>706</v>
      </c>
      <c r="D67" s="146">
        <v>1990000</v>
      </c>
      <c r="E67" s="20" t="s">
        <v>658</v>
      </c>
      <c r="F67" s="20" t="s">
        <v>659</v>
      </c>
      <c r="G67" s="8" t="str">
        <f t="shared" ref="G67:G130" si="1">E67&amp;" "&amp;F67</f>
        <v>DAVIS WENDY</v>
      </c>
    </row>
    <row r="68" spans="1:7" x14ac:dyDescent="0.25">
      <c r="A68" s="8">
        <v>42832.350428240738</v>
      </c>
      <c r="B68" s="20" t="s">
        <v>470</v>
      </c>
      <c r="C68" s="20" t="s">
        <v>707</v>
      </c>
      <c r="D68" s="146">
        <v>3000000</v>
      </c>
      <c r="E68" s="20" t="s">
        <v>446</v>
      </c>
      <c r="F68" s="20" t="s">
        <v>447</v>
      </c>
      <c r="G68" s="8" t="str">
        <f t="shared" si="1"/>
        <v>FORTUNATO FRANK</v>
      </c>
    </row>
    <row r="69" spans="1:7" x14ac:dyDescent="0.25">
      <c r="A69" s="8">
        <v>42832.352789351855</v>
      </c>
      <c r="B69" s="20" t="s">
        <v>387</v>
      </c>
      <c r="C69" s="20" t="s">
        <v>708</v>
      </c>
      <c r="D69" s="146">
        <v>1100000</v>
      </c>
      <c r="E69" s="20" t="s">
        <v>509</v>
      </c>
      <c r="F69" s="20" t="s">
        <v>510</v>
      </c>
      <c r="G69" s="8" t="str">
        <f t="shared" si="1"/>
        <v>GEBRETEKLE DAGNEW</v>
      </c>
    </row>
    <row r="70" spans="1:7" x14ac:dyDescent="0.25">
      <c r="A70" s="8">
        <v>42832.359525462962</v>
      </c>
      <c r="B70" s="20" t="s">
        <v>676</v>
      </c>
      <c r="C70" s="20" t="s">
        <v>709</v>
      </c>
      <c r="D70" s="146">
        <v>2020000</v>
      </c>
      <c r="E70" s="20" t="s">
        <v>554</v>
      </c>
      <c r="F70" s="20" t="s">
        <v>511</v>
      </c>
      <c r="G70" s="8" t="str">
        <f t="shared" si="1"/>
        <v>SHOOK JOHN</v>
      </c>
    </row>
    <row r="71" spans="1:7" x14ac:dyDescent="0.25">
      <c r="A71" s="8">
        <v>42832.359710648147</v>
      </c>
      <c r="B71" s="20" t="s">
        <v>687</v>
      </c>
      <c r="C71" s="20" t="s">
        <v>710</v>
      </c>
      <c r="D71" s="146">
        <v>2140000</v>
      </c>
      <c r="E71" s="20" t="s">
        <v>552</v>
      </c>
      <c r="F71" s="20" t="s">
        <v>553</v>
      </c>
      <c r="G71" s="8" t="str">
        <f t="shared" si="1"/>
        <v>ROBINSON KADDIBA</v>
      </c>
    </row>
    <row r="72" spans="1:7" x14ac:dyDescent="0.25">
      <c r="A72" s="8">
        <v>42832.362083333333</v>
      </c>
      <c r="B72" s="20" t="s">
        <v>383</v>
      </c>
      <c r="C72" s="20" t="s">
        <v>711</v>
      </c>
      <c r="D72" s="146">
        <v>2550000</v>
      </c>
      <c r="E72" s="20" t="s">
        <v>506</v>
      </c>
      <c r="F72" s="20" t="s">
        <v>507</v>
      </c>
      <c r="G72" s="8" t="str">
        <f t="shared" si="1"/>
        <v>BADERTSCHER DIANE</v>
      </c>
    </row>
    <row r="73" spans="1:7" x14ac:dyDescent="0.25">
      <c r="A73" s="8">
        <v>42832.365659722222</v>
      </c>
      <c r="B73" s="20" t="s">
        <v>426</v>
      </c>
      <c r="C73" s="20" t="s">
        <v>712</v>
      </c>
      <c r="D73" s="146">
        <v>1110000</v>
      </c>
      <c r="E73" s="20" t="s">
        <v>444</v>
      </c>
      <c r="F73" s="20" t="s">
        <v>445</v>
      </c>
      <c r="G73" s="8" t="str">
        <f t="shared" si="1"/>
        <v>STARKS ANGELINA</v>
      </c>
    </row>
    <row r="74" spans="1:7" x14ac:dyDescent="0.25">
      <c r="A74" s="8">
        <v>42832.371215277781</v>
      </c>
      <c r="B74" s="20" t="s">
        <v>469</v>
      </c>
      <c r="C74" s="20" t="s">
        <v>713</v>
      </c>
      <c r="D74" s="146">
        <v>890000</v>
      </c>
      <c r="E74" s="20" t="s">
        <v>467</v>
      </c>
      <c r="F74" s="20" t="s">
        <v>468</v>
      </c>
      <c r="G74" s="8" t="str">
        <f t="shared" si="1"/>
        <v>LOZA FIDEL</v>
      </c>
    </row>
    <row r="75" spans="1:7" x14ac:dyDescent="0.25">
      <c r="A75" s="8">
        <v>42832.372256944444</v>
      </c>
      <c r="B75" s="20" t="s">
        <v>378</v>
      </c>
      <c r="C75" s="20" t="s">
        <v>714</v>
      </c>
      <c r="D75" s="146">
        <v>3020000</v>
      </c>
      <c r="E75" s="20" t="s">
        <v>448</v>
      </c>
      <c r="F75" s="20" t="s">
        <v>449</v>
      </c>
      <c r="G75" s="8" t="str">
        <f t="shared" si="1"/>
        <v>MENGES BRAD</v>
      </c>
    </row>
    <row r="76" spans="1:7" x14ac:dyDescent="0.25">
      <c r="A76" s="8">
        <v>42832.373796296299</v>
      </c>
      <c r="B76" s="20" t="s">
        <v>645</v>
      </c>
      <c r="C76" s="20" t="s">
        <v>715</v>
      </c>
      <c r="D76" s="146">
        <v>2020000</v>
      </c>
      <c r="E76" s="20" t="s">
        <v>554</v>
      </c>
      <c r="F76" s="20" t="s">
        <v>511</v>
      </c>
      <c r="G76" s="8" t="str">
        <f t="shared" si="1"/>
        <v>SHOOK JOHN</v>
      </c>
    </row>
    <row r="77" spans="1:7" x14ac:dyDescent="0.25">
      <c r="A77" s="8">
        <v>42832.381331018521</v>
      </c>
      <c r="B77" s="20" t="s">
        <v>404</v>
      </c>
      <c r="C77" s="20" t="s">
        <v>716</v>
      </c>
      <c r="D77" s="146">
        <v>1990000</v>
      </c>
      <c r="E77" s="20" t="s">
        <v>658</v>
      </c>
      <c r="F77" s="20" t="s">
        <v>659</v>
      </c>
      <c r="G77" s="8" t="str">
        <f t="shared" si="1"/>
        <v>DAVIS WENDY</v>
      </c>
    </row>
    <row r="78" spans="1:7" x14ac:dyDescent="0.25">
      <c r="A78" s="8">
        <v>42832.386516203704</v>
      </c>
      <c r="B78" s="20" t="s">
        <v>463</v>
      </c>
      <c r="C78" s="20" t="s">
        <v>717</v>
      </c>
      <c r="D78" s="146">
        <v>3000000</v>
      </c>
      <c r="E78" s="20" t="s">
        <v>446</v>
      </c>
      <c r="F78" s="20" t="s">
        <v>447</v>
      </c>
      <c r="G78" s="8" t="str">
        <f t="shared" si="1"/>
        <v>FORTUNATO FRANK</v>
      </c>
    </row>
    <row r="79" spans="1:7" x14ac:dyDescent="0.25">
      <c r="A79" s="8">
        <v>42832.390590277777</v>
      </c>
      <c r="B79" s="20" t="s">
        <v>557</v>
      </c>
      <c r="C79" s="20" t="s">
        <v>718</v>
      </c>
      <c r="D79" s="146">
        <v>2140000</v>
      </c>
      <c r="E79" s="20" t="s">
        <v>552</v>
      </c>
      <c r="F79" s="20" t="s">
        <v>553</v>
      </c>
      <c r="G79" s="8" t="str">
        <f t="shared" si="1"/>
        <v>ROBINSON KADDIBA</v>
      </c>
    </row>
    <row r="80" spans="1:7" x14ac:dyDescent="0.25">
      <c r="A80" s="8">
        <v>42832.3987037037</v>
      </c>
      <c r="B80" s="20" t="s">
        <v>382</v>
      </c>
      <c r="C80" s="20" t="s">
        <v>719</v>
      </c>
      <c r="D80" s="146">
        <v>2550000</v>
      </c>
      <c r="E80" s="20" t="s">
        <v>506</v>
      </c>
      <c r="F80" s="20" t="s">
        <v>507</v>
      </c>
      <c r="G80" s="8" t="str">
        <f t="shared" si="1"/>
        <v>BADERTSCHER DIANE</v>
      </c>
    </row>
    <row r="81" spans="1:7" x14ac:dyDescent="0.25">
      <c r="A81" s="8">
        <v>42832.401643518519</v>
      </c>
      <c r="B81" s="20" t="s">
        <v>676</v>
      </c>
      <c r="C81" s="20" t="s">
        <v>720</v>
      </c>
      <c r="D81" s="146">
        <v>2020000</v>
      </c>
      <c r="E81" s="20" t="s">
        <v>554</v>
      </c>
      <c r="F81" s="20" t="s">
        <v>511</v>
      </c>
      <c r="G81" s="8" t="str">
        <f t="shared" si="1"/>
        <v>SHOOK JOHN</v>
      </c>
    </row>
    <row r="82" spans="1:7" x14ac:dyDescent="0.25">
      <c r="A82" s="8">
        <v>42832.405115740738</v>
      </c>
      <c r="B82" s="20" t="s">
        <v>416</v>
      </c>
      <c r="C82" s="20" t="s">
        <v>633</v>
      </c>
      <c r="D82" s="146">
        <v>1110000</v>
      </c>
      <c r="E82" s="20" t="s">
        <v>444</v>
      </c>
      <c r="F82" s="20" t="s">
        <v>445</v>
      </c>
      <c r="G82" s="8" t="str">
        <f t="shared" si="1"/>
        <v>STARKS ANGELINA</v>
      </c>
    </row>
    <row r="83" spans="1:7" x14ac:dyDescent="0.25">
      <c r="A83" s="8">
        <v>42832.412245370368</v>
      </c>
      <c r="B83" s="20" t="s">
        <v>466</v>
      </c>
      <c r="C83" s="20" t="s">
        <v>634</v>
      </c>
      <c r="D83" s="146">
        <v>890000</v>
      </c>
      <c r="E83" s="20" t="s">
        <v>467</v>
      </c>
      <c r="F83" s="20" t="s">
        <v>468</v>
      </c>
      <c r="G83" s="8" t="str">
        <f t="shared" si="1"/>
        <v>LOZA FIDEL</v>
      </c>
    </row>
    <row r="84" spans="1:7" x14ac:dyDescent="0.25">
      <c r="A84" s="8">
        <v>42832.412939814814</v>
      </c>
      <c r="B84" s="20" t="s">
        <v>379</v>
      </c>
      <c r="C84" s="20" t="s">
        <v>635</v>
      </c>
      <c r="D84" s="146">
        <v>3020000</v>
      </c>
      <c r="E84" s="20" t="s">
        <v>448</v>
      </c>
      <c r="F84" s="20" t="s">
        <v>449</v>
      </c>
      <c r="G84" s="8" t="str">
        <f t="shared" si="1"/>
        <v>MENGES BRAD</v>
      </c>
    </row>
    <row r="85" spans="1:7" x14ac:dyDescent="0.25">
      <c r="A85" s="8">
        <v>42832.415520833332</v>
      </c>
      <c r="B85" s="20" t="s">
        <v>645</v>
      </c>
      <c r="C85" s="20" t="s">
        <v>721</v>
      </c>
      <c r="D85" s="146">
        <v>2020000</v>
      </c>
      <c r="E85" s="20" t="s">
        <v>554</v>
      </c>
      <c r="F85" s="20" t="s">
        <v>511</v>
      </c>
      <c r="G85" s="8" t="str">
        <f t="shared" si="1"/>
        <v>SHOOK JOHN</v>
      </c>
    </row>
    <row r="86" spans="1:7" x14ac:dyDescent="0.25">
      <c r="A86" s="8">
        <v>42832.42292824074</v>
      </c>
      <c r="B86" s="20" t="s">
        <v>405</v>
      </c>
      <c r="C86" s="20" t="s">
        <v>722</v>
      </c>
      <c r="D86" s="146">
        <v>1990000</v>
      </c>
      <c r="E86" s="20" t="s">
        <v>658</v>
      </c>
      <c r="F86" s="20" t="s">
        <v>659</v>
      </c>
      <c r="G86" s="8" t="str">
        <f t="shared" si="1"/>
        <v>DAVIS WENDY</v>
      </c>
    </row>
    <row r="87" spans="1:7" x14ac:dyDescent="0.25">
      <c r="A87" s="8">
        <v>42832.424421296295</v>
      </c>
      <c r="B87" s="20" t="s">
        <v>470</v>
      </c>
      <c r="C87" s="20" t="s">
        <v>723</v>
      </c>
      <c r="D87" s="146">
        <v>3000000</v>
      </c>
      <c r="E87" s="20" t="s">
        <v>446</v>
      </c>
      <c r="F87" s="20" t="s">
        <v>447</v>
      </c>
      <c r="G87" s="8" t="str">
        <f t="shared" si="1"/>
        <v>FORTUNATO FRANK</v>
      </c>
    </row>
    <row r="88" spans="1:7" x14ac:dyDescent="0.25">
      <c r="A88" s="8">
        <v>42832.430231481485</v>
      </c>
      <c r="B88" s="20" t="s">
        <v>687</v>
      </c>
      <c r="C88" s="20" t="s">
        <v>724</v>
      </c>
      <c r="D88" s="146">
        <v>2140000</v>
      </c>
      <c r="E88" s="20" t="s">
        <v>552</v>
      </c>
      <c r="F88" s="20" t="s">
        <v>553</v>
      </c>
      <c r="G88" s="8" t="str">
        <f t="shared" si="1"/>
        <v>ROBINSON KADDIBA</v>
      </c>
    </row>
    <row r="89" spans="1:7" x14ac:dyDescent="0.25">
      <c r="A89" s="8">
        <v>42832.434004629627</v>
      </c>
      <c r="B89" s="20" t="s">
        <v>383</v>
      </c>
      <c r="C89" s="20" t="s">
        <v>725</v>
      </c>
      <c r="D89" s="146">
        <v>1100000</v>
      </c>
      <c r="E89" s="20" t="s">
        <v>509</v>
      </c>
      <c r="F89" s="20" t="s">
        <v>510</v>
      </c>
      <c r="G89" s="8" t="str">
        <f t="shared" si="1"/>
        <v>GEBRETEKLE DAGNEW</v>
      </c>
    </row>
    <row r="90" spans="1:7" x14ac:dyDescent="0.25">
      <c r="A90" s="8">
        <v>42832.43509259259</v>
      </c>
      <c r="B90" s="20" t="s">
        <v>504</v>
      </c>
      <c r="C90" s="20" t="s">
        <v>625</v>
      </c>
      <c r="D90" s="146">
        <v>2370000</v>
      </c>
      <c r="E90" s="20" t="s">
        <v>516</v>
      </c>
      <c r="F90" s="20" t="s">
        <v>517</v>
      </c>
      <c r="G90" s="8" t="str">
        <f t="shared" si="1"/>
        <v>DELGADO DIANAH</v>
      </c>
    </row>
    <row r="91" spans="1:7" x14ac:dyDescent="0.25">
      <c r="A91" s="8">
        <v>42832.436319444445</v>
      </c>
      <c r="B91" s="20" t="s">
        <v>504</v>
      </c>
      <c r="C91" s="20" t="s">
        <v>625</v>
      </c>
      <c r="D91" s="146">
        <v>2370000</v>
      </c>
      <c r="E91" s="20" t="s">
        <v>516</v>
      </c>
      <c r="F91" s="20" t="s">
        <v>517</v>
      </c>
      <c r="G91" s="8" t="str">
        <f t="shared" si="1"/>
        <v>DELGADO DIANAH</v>
      </c>
    </row>
    <row r="92" spans="1:7" x14ac:dyDescent="0.25">
      <c r="A92" s="8">
        <v>42832.438634259262</v>
      </c>
      <c r="B92" s="20" t="s">
        <v>426</v>
      </c>
      <c r="C92" s="20" t="s">
        <v>726</v>
      </c>
      <c r="D92" s="146">
        <v>1110000</v>
      </c>
      <c r="E92" s="20" t="s">
        <v>444</v>
      </c>
      <c r="F92" s="20" t="s">
        <v>445</v>
      </c>
      <c r="G92" s="8" t="str">
        <f t="shared" si="1"/>
        <v>STARKS ANGELINA</v>
      </c>
    </row>
    <row r="93" spans="1:7" x14ac:dyDescent="0.25">
      <c r="A93" s="8">
        <v>42832.443391203706</v>
      </c>
      <c r="B93" s="20" t="s">
        <v>676</v>
      </c>
      <c r="C93" s="20" t="s">
        <v>727</v>
      </c>
      <c r="D93" s="146">
        <v>2020000</v>
      </c>
      <c r="E93" s="20" t="s">
        <v>554</v>
      </c>
      <c r="F93" s="20" t="s">
        <v>511</v>
      </c>
      <c r="G93" s="8" t="str">
        <f t="shared" si="1"/>
        <v>SHOOK JOHN</v>
      </c>
    </row>
    <row r="94" spans="1:7" x14ac:dyDescent="0.25">
      <c r="A94" s="8">
        <v>42832.443472222221</v>
      </c>
      <c r="B94" s="20" t="s">
        <v>378</v>
      </c>
      <c r="C94" s="20" t="s">
        <v>728</v>
      </c>
      <c r="D94" s="146">
        <v>3020000</v>
      </c>
      <c r="E94" s="20" t="s">
        <v>448</v>
      </c>
      <c r="F94" s="20" t="s">
        <v>449</v>
      </c>
      <c r="G94" s="8" t="str">
        <f t="shared" si="1"/>
        <v>MENGES BRAD</v>
      </c>
    </row>
    <row r="95" spans="1:7" x14ac:dyDescent="0.25">
      <c r="A95" s="8">
        <v>42832.446018518516</v>
      </c>
      <c r="B95" s="20" t="s">
        <v>469</v>
      </c>
      <c r="C95" s="20" t="s">
        <v>729</v>
      </c>
      <c r="D95" s="146">
        <v>890000</v>
      </c>
      <c r="E95" s="20" t="s">
        <v>467</v>
      </c>
      <c r="F95" s="20" t="s">
        <v>468</v>
      </c>
      <c r="G95" s="8" t="str">
        <f t="shared" si="1"/>
        <v>LOZA FIDEL</v>
      </c>
    </row>
    <row r="96" spans="1:7" x14ac:dyDescent="0.25">
      <c r="A96" s="8">
        <v>42832.45517361111</v>
      </c>
      <c r="B96" s="20" t="s">
        <v>404</v>
      </c>
      <c r="C96" s="20" t="s">
        <v>730</v>
      </c>
      <c r="D96" s="146">
        <v>880000</v>
      </c>
      <c r="E96" s="20" t="s">
        <v>731</v>
      </c>
      <c r="F96" s="20" t="s">
        <v>197</v>
      </c>
      <c r="G96" s="8" t="str">
        <f t="shared" si="1"/>
        <v>STEWART MICHAEL</v>
      </c>
    </row>
    <row r="97" spans="1:7" x14ac:dyDescent="0.25">
      <c r="A97" s="8">
        <v>42832.456817129627</v>
      </c>
      <c r="B97" s="20" t="s">
        <v>463</v>
      </c>
      <c r="C97" s="20" t="s">
        <v>732</v>
      </c>
      <c r="D97" s="146">
        <v>3000000</v>
      </c>
      <c r="E97" s="20" t="s">
        <v>446</v>
      </c>
      <c r="F97" s="20" t="s">
        <v>447</v>
      </c>
      <c r="G97" s="8" t="str">
        <f t="shared" si="1"/>
        <v>FORTUNATO FRANK</v>
      </c>
    </row>
    <row r="98" spans="1:7" x14ac:dyDescent="0.25">
      <c r="A98" s="8">
        <v>42832.457592592589</v>
      </c>
      <c r="B98" s="20" t="s">
        <v>645</v>
      </c>
      <c r="C98" s="20" t="s">
        <v>733</v>
      </c>
      <c r="D98" s="146">
        <v>2020000</v>
      </c>
      <c r="E98" s="20" t="s">
        <v>554</v>
      </c>
      <c r="F98" s="20" t="s">
        <v>511</v>
      </c>
      <c r="G98" s="8" t="str">
        <f t="shared" si="1"/>
        <v>SHOOK JOHN</v>
      </c>
    </row>
    <row r="99" spans="1:7" x14ac:dyDescent="0.25">
      <c r="A99" s="8">
        <v>42832.465231481481</v>
      </c>
      <c r="B99" s="20" t="s">
        <v>557</v>
      </c>
      <c r="C99" s="20" t="s">
        <v>637</v>
      </c>
      <c r="D99" s="146">
        <v>2470000</v>
      </c>
      <c r="E99" s="20" t="s">
        <v>734</v>
      </c>
      <c r="F99" s="20" t="s">
        <v>735</v>
      </c>
      <c r="G99" s="8" t="str">
        <f t="shared" si="1"/>
        <v>ROMERO CHAD</v>
      </c>
    </row>
    <row r="100" spans="1:7" x14ac:dyDescent="0.25">
      <c r="A100" s="8">
        <v>42832.468229166669</v>
      </c>
      <c r="B100" s="20" t="s">
        <v>505</v>
      </c>
      <c r="C100" s="20" t="s">
        <v>636</v>
      </c>
      <c r="D100" s="146">
        <v>2140000</v>
      </c>
      <c r="E100" s="20" t="s">
        <v>552</v>
      </c>
      <c r="F100" s="20" t="s">
        <v>553</v>
      </c>
      <c r="G100" s="8" t="str">
        <f t="shared" si="1"/>
        <v>ROBINSON KADDIBA</v>
      </c>
    </row>
    <row r="101" spans="1:7" x14ac:dyDescent="0.25">
      <c r="A101" s="8">
        <v>42832.468946759262</v>
      </c>
      <c r="B101" s="20" t="s">
        <v>505</v>
      </c>
      <c r="C101" s="20" t="s">
        <v>636</v>
      </c>
      <c r="D101" s="146">
        <v>2140000</v>
      </c>
      <c r="E101" s="20" t="s">
        <v>552</v>
      </c>
      <c r="F101" s="20" t="s">
        <v>553</v>
      </c>
      <c r="G101" s="8" t="str">
        <f t="shared" si="1"/>
        <v>ROBINSON KADDIBA</v>
      </c>
    </row>
    <row r="102" spans="1:7" x14ac:dyDescent="0.25">
      <c r="A102" s="8">
        <v>42832.472430555557</v>
      </c>
      <c r="B102" s="20" t="s">
        <v>382</v>
      </c>
      <c r="C102" s="20" t="s">
        <v>736</v>
      </c>
      <c r="D102" s="146">
        <v>1100000</v>
      </c>
      <c r="E102" s="20" t="s">
        <v>509</v>
      </c>
      <c r="F102" s="20" t="s">
        <v>510</v>
      </c>
      <c r="G102" s="8" t="str">
        <f t="shared" si="1"/>
        <v>GEBRETEKLE DAGNEW</v>
      </c>
    </row>
    <row r="103" spans="1:7" x14ac:dyDescent="0.25">
      <c r="A103" s="8">
        <v>42832.477777777778</v>
      </c>
      <c r="B103" s="20" t="s">
        <v>416</v>
      </c>
      <c r="C103" s="20" t="s">
        <v>737</v>
      </c>
      <c r="D103" s="146">
        <v>930000</v>
      </c>
      <c r="E103" s="20" t="s">
        <v>450</v>
      </c>
      <c r="F103" s="20" t="s">
        <v>451</v>
      </c>
      <c r="G103" s="8" t="str">
        <f t="shared" si="1"/>
        <v>CLARK KATHLEEN</v>
      </c>
    </row>
    <row r="104" spans="1:7" x14ac:dyDescent="0.25">
      <c r="A104" s="8">
        <v>42832.480474537035</v>
      </c>
      <c r="B104" s="20" t="s">
        <v>379</v>
      </c>
      <c r="C104" s="20" t="s">
        <v>738</v>
      </c>
      <c r="D104" s="146">
        <v>3020000</v>
      </c>
      <c r="E104" s="20" t="s">
        <v>448</v>
      </c>
      <c r="F104" s="20" t="s">
        <v>449</v>
      </c>
      <c r="G104" s="8" t="str">
        <f t="shared" si="1"/>
        <v>MENGES BRAD</v>
      </c>
    </row>
    <row r="105" spans="1:7" x14ac:dyDescent="0.25">
      <c r="A105" s="8">
        <v>42832.487013888887</v>
      </c>
      <c r="B105" s="20" t="s">
        <v>466</v>
      </c>
      <c r="C105" s="20" t="s">
        <v>739</v>
      </c>
      <c r="D105" s="146">
        <v>1770000</v>
      </c>
      <c r="E105" s="20" t="s">
        <v>740</v>
      </c>
      <c r="F105" s="20" t="s">
        <v>741</v>
      </c>
      <c r="G105" s="8" t="str">
        <f t="shared" si="1"/>
        <v>BRUDER RICHARD</v>
      </c>
    </row>
    <row r="106" spans="1:7" x14ac:dyDescent="0.25">
      <c r="A106" s="8">
        <v>42832.48704861111</v>
      </c>
      <c r="B106" s="20" t="s">
        <v>676</v>
      </c>
      <c r="C106" s="20" t="s">
        <v>742</v>
      </c>
      <c r="D106" s="146">
        <v>2020000</v>
      </c>
      <c r="E106" s="20" t="s">
        <v>554</v>
      </c>
      <c r="F106" s="20" t="s">
        <v>511</v>
      </c>
      <c r="G106" s="8" t="str">
        <f t="shared" si="1"/>
        <v>SHOOK JOHN</v>
      </c>
    </row>
    <row r="107" spans="1:7" x14ac:dyDescent="0.25">
      <c r="A107" s="8">
        <v>42832.492268518516</v>
      </c>
      <c r="B107" s="20" t="s">
        <v>405</v>
      </c>
      <c r="C107" s="20" t="s">
        <v>743</v>
      </c>
      <c r="D107" s="146">
        <v>880000</v>
      </c>
      <c r="E107" s="20" t="s">
        <v>731</v>
      </c>
      <c r="F107" s="20" t="s">
        <v>197</v>
      </c>
      <c r="G107" s="8" t="str">
        <f t="shared" si="1"/>
        <v>STEWART MICHAEL</v>
      </c>
    </row>
    <row r="108" spans="1:7" x14ac:dyDescent="0.25">
      <c r="A108" s="8">
        <v>42832.49596064815</v>
      </c>
      <c r="B108" s="20" t="s">
        <v>687</v>
      </c>
      <c r="C108" s="20" t="s">
        <v>744</v>
      </c>
      <c r="D108" s="146">
        <v>2470000</v>
      </c>
      <c r="E108" s="20" t="s">
        <v>734</v>
      </c>
      <c r="F108" s="20" t="s">
        <v>735</v>
      </c>
      <c r="G108" s="8" t="str">
        <f t="shared" si="1"/>
        <v>ROMERO CHAD</v>
      </c>
    </row>
    <row r="109" spans="1:7" x14ac:dyDescent="0.25">
      <c r="A109" s="8">
        <v>42832.498252314814</v>
      </c>
      <c r="B109" s="20" t="s">
        <v>470</v>
      </c>
      <c r="C109" s="20" t="s">
        <v>745</v>
      </c>
      <c r="D109" s="146">
        <v>3040000</v>
      </c>
      <c r="E109" s="20" t="s">
        <v>452</v>
      </c>
      <c r="F109" s="20" t="s">
        <v>453</v>
      </c>
      <c r="G109" s="8" t="str">
        <f t="shared" si="1"/>
        <v>WILLIAMS DONTE</v>
      </c>
    </row>
    <row r="110" spans="1:7" x14ac:dyDescent="0.25">
      <c r="A110" s="8">
        <v>42832.500983796293</v>
      </c>
      <c r="B110" s="20" t="s">
        <v>645</v>
      </c>
      <c r="C110" s="20" t="s">
        <v>746</v>
      </c>
      <c r="D110" s="146">
        <v>2020000</v>
      </c>
      <c r="E110" s="20" t="s">
        <v>554</v>
      </c>
      <c r="F110" s="20" t="s">
        <v>511</v>
      </c>
      <c r="G110" s="8" t="str">
        <f t="shared" si="1"/>
        <v>SHOOK JOHN</v>
      </c>
    </row>
    <row r="111" spans="1:7" x14ac:dyDescent="0.25">
      <c r="A111" s="8">
        <v>42832.506377314814</v>
      </c>
      <c r="B111" s="20" t="s">
        <v>383</v>
      </c>
      <c r="C111" s="20" t="s">
        <v>747</v>
      </c>
      <c r="D111" s="146">
        <v>2360000</v>
      </c>
      <c r="E111" s="20" t="s">
        <v>555</v>
      </c>
      <c r="F111" s="20" t="s">
        <v>556</v>
      </c>
      <c r="G111" s="8" t="str">
        <f t="shared" si="1"/>
        <v>BRANDNER MELINDA</v>
      </c>
    </row>
    <row r="112" spans="1:7" x14ac:dyDescent="0.25">
      <c r="A112" s="8">
        <v>42832.513460648152</v>
      </c>
      <c r="B112" s="20" t="s">
        <v>426</v>
      </c>
      <c r="C112" s="20" t="s">
        <v>748</v>
      </c>
      <c r="D112" s="146">
        <v>930000</v>
      </c>
      <c r="E112" s="20" t="s">
        <v>450</v>
      </c>
      <c r="F112" s="20" t="s">
        <v>451</v>
      </c>
      <c r="G112" s="8" t="str">
        <f t="shared" si="1"/>
        <v>CLARK KATHLEEN</v>
      </c>
    </row>
    <row r="113" spans="1:7" x14ac:dyDescent="0.25">
      <c r="A113" s="8">
        <v>42832.51903935185</v>
      </c>
      <c r="B113" s="20" t="s">
        <v>378</v>
      </c>
      <c r="C113" s="20" t="s">
        <v>638</v>
      </c>
      <c r="D113" s="146">
        <v>1760000</v>
      </c>
      <c r="E113" s="20" t="s">
        <v>471</v>
      </c>
      <c r="F113" s="20" t="s">
        <v>472</v>
      </c>
      <c r="G113" s="8" t="str">
        <f t="shared" si="1"/>
        <v>STRICKLAND EVAN</v>
      </c>
    </row>
    <row r="114" spans="1:7" x14ac:dyDescent="0.25">
      <c r="A114" s="8">
        <v>42832.52484953704</v>
      </c>
      <c r="B114" s="20" t="s">
        <v>469</v>
      </c>
      <c r="C114" s="20" t="s">
        <v>749</v>
      </c>
      <c r="D114" s="146">
        <v>1770000</v>
      </c>
      <c r="E114" s="20" t="s">
        <v>740</v>
      </c>
      <c r="F114" s="20" t="s">
        <v>741</v>
      </c>
      <c r="G114" s="8" t="str">
        <f t="shared" si="1"/>
        <v>BRUDER RICHARD</v>
      </c>
    </row>
    <row r="115" spans="1:7" x14ac:dyDescent="0.25">
      <c r="A115" s="8">
        <v>42832.526932870373</v>
      </c>
      <c r="B115" s="20" t="s">
        <v>676</v>
      </c>
      <c r="C115" s="20" t="s">
        <v>750</v>
      </c>
      <c r="D115" s="146">
        <v>2020000</v>
      </c>
      <c r="E115" s="20" t="s">
        <v>554</v>
      </c>
      <c r="F115" s="20" t="s">
        <v>511</v>
      </c>
      <c r="G115" s="8" t="str">
        <f t="shared" si="1"/>
        <v>SHOOK JOHN</v>
      </c>
    </row>
    <row r="116" spans="1:7" x14ac:dyDescent="0.25">
      <c r="A116" s="8">
        <v>42832.528067129628</v>
      </c>
      <c r="B116" s="20" t="s">
        <v>404</v>
      </c>
      <c r="C116" s="20" t="s">
        <v>751</v>
      </c>
      <c r="D116" s="146">
        <v>880000</v>
      </c>
      <c r="E116" s="20" t="s">
        <v>731</v>
      </c>
      <c r="F116" s="20" t="s">
        <v>197</v>
      </c>
      <c r="G116" s="8" t="str">
        <f t="shared" si="1"/>
        <v>STEWART MICHAEL</v>
      </c>
    </row>
    <row r="117" spans="1:7" x14ac:dyDescent="0.25">
      <c r="A117" s="8">
        <v>42832.53429398148</v>
      </c>
      <c r="B117" s="20" t="s">
        <v>463</v>
      </c>
      <c r="C117" s="20" t="s">
        <v>752</v>
      </c>
      <c r="D117" s="146">
        <v>3040000</v>
      </c>
      <c r="E117" s="20" t="s">
        <v>452</v>
      </c>
      <c r="F117" s="20" t="s">
        <v>453</v>
      </c>
      <c r="G117" s="8" t="str">
        <f t="shared" si="1"/>
        <v>WILLIAMS DONTE</v>
      </c>
    </row>
    <row r="118" spans="1:7" x14ac:dyDescent="0.25">
      <c r="A118" s="8">
        <v>42832.536122685182</v>
      </c>
      <c r="B118" s="20" t="s">
        <v>557</v>
      </c>
      <c r="C118" s="20" t="s">
        <v>753</v>
      </c>
      <c r="D118" s="146">
        <v>2470000</v>
      </c>
      <c r="E118" s="20" t="s">
        <v>734</v>
      </c>
      <c r="F118" s="20" t="s">
        <v>735</v>
      </c>
      <c r="G118" s="8" t="str">
        <f t="shared" si="1"/>
        <v>ROMERO CHAD</v>
      </c>
    </row>
    <row r="119" spans="1:7" x14ac:dyDescent="0.25">
      <c r="A119" s="8">
        <v>42832.545138888891</v>
      </c>
      <c r="B119" s="20" t="s">
        <v>382</v>
      </c>
      <c r="C119" s="20" t="s">
        <v>754</v>
      </c>
      <c r="D119" s="146">
        <v>2360000</v>
      </c>
      <c r="E119" s="20" t="s">
        <v>555</v>
      </c>
      <c r="F119" s="20" t="s">
        <v>556</v>
      </c>
      <c r="G119" s="8" t="str">
        <f t="shared" si="1"/>
        <v>BRANDNER MELINDA</v>
      </c>
    </row>
    <row r="120" spans="1:7" x14ac:dyDescent="0.25">
      <c r="A120" s="8">
        <v>42832.546435185184</v>
      </c>
      <c r="B120" s="20" t="s">
        <v>645</v>
      </c>
      <c r="C120" s="20" t="s">
        <v>755</v>
      </c>
      <c r="D120" s="146">
        <v>3010000</v>
      </c>
      <c r="E120" s="20" t="s">
        <v>512</v>
      </c>
      <c r="F120" s="20" t="s">
        <v>513</v>
      </c>
      <c r="G120" s="8" t="str">
        <f t="shared" si="1"/>
        <v>SULLIVAN BRANDON</v>
      </c>
    </row>
    <row r="121" spans="1:7" x14ac:dyDescent="0.25">
      <c r="A121" s="8">
        <v>42832.548310185186</v>
      </c>
      <c r="B121" s="20" t="s">
        <v>416</v>
      </c>
      <c r="C121" s="20" t="s">
        <v>756</v>
      </c>
      <c r="D121" s="146">
        <v>930000</v>
      </c>
      <c r="E121" s="20" t="s">
        <v>450</v>
      </c>
      <c r="F121" s="20" t="s">
        <v>451</v>
      </c>
      <c r="G121" s="8" t="str">
        <f t="shared" si="1"/>
        <v>CLARK KATHLEEN</v>
      </c>
    </row>
    <row r="122" spans="1:7" x14ac:dyDescent="0.25">
      <c r="A122" s="8">
        <v>42832.551354166666</v>
      </c>
      <c r="B122" s="25" t="s">
        <v>379</v>
      </c>
      <c r="C122" s="20" t="s">
        <v>639</v>
      </c>
      <c r="D122" s="146">
        <v>1760000</v>
      </c>
      <c r="E122" s="20" t="s">
        <v>471</v>
      </c>
      <c r="F122" s="20" t="s">
        <v>472</v>
      </c>
      <c r="G122" s="8" t="str">
        <f t="shared" si="1"/>
        <v>STRICKLAND EVAN</v>
      </c>
    </row>
    <row r="123" spans="1:7" x14ac:dyDescent="0.25">
      <c r="A123" s="8">
        <v>42832.55777777778</v>
      </c>
      <c r="B123" s="20" t="s">
        <v>466</v>
      </c>
      <c r="C123" s="20" t="s">
        <v>757</v>
      </c>
      <c r="D123" s="146">
        <v>1770000</v>
      </c>
      <c r="E123" s="20" t="s">
        <v>740</v>
      </c>
      <c r="F123" s="20" t="s">
        <v>741</v>
      </c>
      <c r="G123" s="8" t="str">
        <f t="shared" si="1"/>
        <v>BRUDER RICHARD</v>
      </c>
    </row>
    <row r="124" spans="1:7" x14ac:dyDescent="0.25">
      <c r="A124" s="8">
        <v>42832.566412037035</v>
      </c>
      <c r="B124" s="20" t="s">
        <v>405</v>
      </c>
      <c r="C124" s="20" t="s">
        <v>758</v>
      </c>
      <c r="D124" s="146">
        <v>880000</v>
      </c>
      <c r="E124" s="20" t="s">
        <v>731</v>
      </c>
      <c r="F124" s="20" t="s">
        <v>197</v>
      </c>
      <c r="G124" s="8" t="str">
        <f t="shared" si="1"/>
        <v>STEWART MICHAEL</v>
      </c>
    </row>
    <row r="125" spans="1:7" x14ac:dyDescent="0.25">
      <c r="A125" s="8">
        <v>42832.567743055559</v>
      </c>
      <c r="B125" s="20" t="s">
        <v>676</v>
      </c>
      <c r="C125" s="20" t="s">
        <v>759</v>
      </c>
      <c r="D125" s="146">
        <v>3010000</v>
      </c>
      <c r="E125" s="20" t="s">
        <v>512</v>
      </c>
      <c r="F125" s="20" t="s">
        <v>513</v>
      </c>
      <c r="G125" s="8" t="str">
        <f t="shared" si="1"/>
        <v>SULLIVAN BRANDON</v>
      </c>
    </row>
    <row r="126" spans="1:7" x14ac:dyDescent="0.25">
      <c r="A126" s="8">
        <v>42832.567997685182</v>
      </c>
      <c r="B126" s="20" t="s">
        <v>687</v>
      </c>
      <c r="C126" s="20" t="s">
        <v>760</v>
      </c>
      <c r="D126" s="146">
        <v>2470000</v>
      </c>
      <c r="E126" s="20" t="s">
        <v>734</v>
      </c>
      <c r="F126" s="20" t="s">
        <v>735</v>
      </c>
      <c r="G126" s="8" t="str">
        <f t="shared" si="1"/>
        <v>ROMERO CHAD</v>
      </c>
    </row>
    <row r="127" spans="1:7" x14ac:dyDescent="0.25">
      <c r="A127" s="8">
        <v>42832.570081018515</v>
      </c>
      <c r="B127" s="20" t="s">
        <v>470</v>
      </c>
      <c r="C127" s="20" t="s">
        <v>761</v>
      </c>
      <c r="D127" s="146">
        <v>3040000</v>
      </c>
      <c r="E127" s="20" t="s">
        <v>452</v>
      </c>
      <c r="F127" s="20" t="s">
        <v>453</v>
      </c>
      <c r="G127" s="8" t="str">
        <f t="shared" si="1"/>
        <v>WILLIAMS DONTE</v>
      </c>
    </row>
    <row r="128" spans="1:7" x14ac:dyDescent="0.25">
      <c r="A128" s="8">
        <v>42832.580937500003</v>
      </c>
      <c r="B128" s="20" t="s">
        <v>383</v>
      </c>
      <c r="C128" s="20" t="s">
        <v>640</v>
      </c>
      <c r="D128" s="146">
        <v>2360000</v>
      </c>
      <c r="E128" s="20" t="s">
        <v>555</v>
      </c>
      <c r="F128" s="20" t="s">
        <v>556</v>
      </c>
      <c r="G128" s="8" t="str">
        <f t="shared" si="1"/>
        <v>BRANDNER MELINDA</v>
      </c>
    </row>
    <row r="129" spans="1:7" x14ac:dyDescent="0.25">
      <c r="A129" s="8">
        <v>42832.585625</v>
      </c>
      <c r="B129" s="20" t="s">
        <v>426</v>
      </c>
      <c r="C129" s="20" t="s">
        <v>762</v>
      </c>
      <c r="D129" s="146">
        <v>930000</v>
      </c>
      <c r="E129" s="20" t="s">
        <v>450</v>
      </c>
      <c r="F129" s="20" t="s">
        <v>451</v>
      </c>
      <c r="G129" s="8" t="str">
        <f t="shared" si="1"/>
        <v>CLARK KATHLEEN</v>
      </c>
    </row>
    <row r="130" spans="1:7" x14ac:dyDescent="0.25">
      <c r="A130" s="8">
        <v>42832.590277777781</v>
      </c>
      <c r="B130" s="20" t="s">
        <v>378</v>
      </c>
      <c r="C130" s="20" t="s">
        <v>763</v>
      </c>
      <c r="D130" s="146">
        <v>1760000</v>
      </c>
      <c r="E130" s="20" t="s">
        <v>471</v>
      </c>
      <c r="F130" s="20" t="s">
        <v>472</v>
      </c>
      <c r="G130" s="8" t="str">
        <f t="shared" si="1"/>
        <v>STRICKLAND EVAN</v>
      </c>
    </row>
    <row r="131" spans="1:7" x14ac:dyDescent="0.25">
      <c r="A131" s="8">
        <v>42832.591365740744</v>
      </c>
      <c r="B131" s="20" t="s">
        <v>645</v>
      </c>
      <c r="C131" s="20" t="s">
        <v>764</v>
      </c>
      <c r="D131" s="146">
        <v>3010000</v>
      </c>
      <c r="E131" s="20" t="s">
        <v>512</v>
      </c>
      <c r="F131" s="20" t="s">
        <v>513</v>
      </c>
      <c r="G131" s="8" t="str">
        <f t="shared" ref="G131:G194" si="2">E131&amp;" "&amp;F131</f>
        <v>SULLIVAN BRANDON</v>
      </c>
    </row>
    <row r="132" spans="1:7" x14ac:dyDescent="0.25">
      <c r="A132" s="8">
        <v>42832.596273148149</v>
      </c>
      <c r="B132" s="20" t="s">
        <v>469</v>
      </c>
      <c r="C132" s="20" t="s">
        <v>765</v>
      </c>
      <c r="D132" s="146">
        <v>1770000</v>
      </c>
      <c r="E132" s="20" t="s">
        <v>740</v>
      </c>
      <c r="F132" s="20" t="s">
        <v>741</v>
      </c>
      <c r="G132" s="8" t="str">
        <f t="shared" si="2"/>
        <v>BRUDER RICHARD</v>
      </c>
    </row>
    <row r="133" spans="1:7" x14ac:dyDescent="0.25">
      <c r="A133" s="8">
        <v>42832.601377314815</v>
      </c>
      <c r="B133" s="20" t="s">
        <v>404</v>
      </c>
      <c r="C133" s="20" t="s">
        <v>766</v>
      </c>
      <c r="D133" s="146">
        <v>880000</v>
      </c>
      <c r="E133" s="20" t="s">
        <v>731</v>
      </c>
      <c r="F133" s="20" t="s">
        <v>197</v>
      </c>
      <c r="G133" s="8" t="str">
        <f t="shared" si="2"/>
        <v>STEWART MICHAEL</v>
      </c>
    </row>
    <row r="134" spans="1:7" x14ac:dyDescent="0.25">
      <c r="A134" s="8">
        <v>42832.606620370374</v>
      </c>
      <c r="B134" s="20" t="s">
        <v>463</v>
      </c>
      <c r="C134" s="20" t="s">
        <v>767</v>
      </c>
      <c r="D134" s="146">
        <v>3040000</v>
      </c>
      <c r="E134" s="20" t="s">
        <v>452</v>
      </c>
      <c r="F134" s="20" t="s">
        <v>453</v>
      </c>
      <c r="G134" s="8" t="str">
        <f t="shared" si="2"/>
        <v>WILLIAMS DONTE</v>
      </c>
    </row>
    <row r="135" spans="1:7" x14ac:dyDescent="0.25">
      <c r="A135" s="8">
        <v>42832.609016203707</v>
      </c>
      <c r="B135" s="20" t="s">
        <v>676</v>
      </c>
      <c r="C135" s="20" t="s">
        <v>768</v>
      </c>
      <c r="D135" s="146">
        <v>3010000</v>
      </c>
      <c r="E135" s="20" t="s">
        <v>512</v>
      </c>
      <c r="F135" s="20" t="s">
        <v>513</v>
      </c>
      <c r="G135" s="8" t="str">
        <f t="shared" si="2"/>
        <v>SULLIVAN BRANDON</v>
      </c>
    </row>
    <row r="136" spans="1:7" x14ac:dyDescent="0.25">
      <c r="A136" s="8">
        <v>42832.61241898148</v>
      </c>
      <c r="B136" s="20" t="s">
        <v>557</v>
      </c>
      <c r="C136" s="20" t="s">
        <v>769</v>
      </c>
      <c r="D136" s="146">
        <v>2370000</v>
      </c>
      <c r="E136" s="20" t="s">
        <v>516</v>
      </c>
      <c r="F136" s="20" t="s">
        <v>517</v>
      </c>
      <c r="G136" s="8" t="str">
        <f t="shared" si="2"/>
        <v>DELGADO DIANAH</v>
      </c>
    </row>
    <row r="137" spans="1:7" x14ac:dyDescent="0.25">
      <c r="A137" s="8">
        <v>42832.616527777776</v>
      </c>
      <c r="B137" s="20" t="s">
        <v>463</v>
      </c>
      <c r="C137" s="20" t="s">
        <v>767</v>
      </c>
      <c r="D137" s="146">
        <v>3040000</v>
      </c>
      <c r="E137" s="20" t="s">
        <v>452</v>
      </c>
      <c r="F137" s="20" t="s">
        <v>453</v>
      </c>
      <c r="G137" s="8" t="str">
        <f t="shared" si="2"/>
        <v>WILLIAMS DONTE</v>
      </c>
    </row>
    <row r="138" spans="1:7" x14ac:dyDescent="0.25">
      <c r="A138" s="8">
        <v>42832.621064814812</v>
      </c>
      <c r="B138" s="20" t="s">
        <v>416</v>
      </c>
      <c r="C138" s="20" t="s">
        <v>770</v>
      </c>
      <c r="D138" s="146">
        <v>930000</v>
      </c>
      <c r="E138" s="20" t="s">
        <v>450</v>
      </c>
      <c r="F138" s="20" t="s">
        <v>451</v>
      </c>
      <c r="G138" s="8" t="str">
        <f t="shared" si="2"/>
        <v>CLARK KATHLEEN</v>
      </c>
    </row>
    <row r="139" spans="1:7" x14ac:dyDescent="0.25">
      <c r="A139" s="8">
        <v>42832.621076388888</v>
      </c>
      <c r="B139" s="20" t="s">
        <v>382</v>
      </c>
      <c r="C139" s="20" t="s">
        <v>771</v>
      </c>
      <c r="D139" s="146">
        <v>2360000</v>
      </c>
      <c r="E139" s="20" t="s">
        <v>555</v>
      </c>
      <c r="F139" s="20" t="s">
        <v>556</v>
      </c>
      <c r="G139" s="8" t="str">
        <f t="shared" si="2"/>
        <v>BRANDNER MELINDA</v>
      </c>
    </row>
    <row r="140" spans="1:7" x14ac:dyDescent="0.25">
      <c r="A140" s="8">
        <v>42832.624780092592</v>
      </c>
      <c r="B140" s="20" t="s">
        <v>379</v>
      </c>
      <c r="C140" s="20" t="s">
        <v>641</v>
      </c>
      <c r="D140" s="146">
        <v>1760000</v>
      </c>
      <c r="E140" s="20" t="s">
        <v>471</v>
      </c>
      <c r="F140" s="20" t="s">
        <v>472</v>
      </c>
      <c r="G140" s="8" t="str">
        <f t="shared" si="2"/>
        <v>STRICKLAND EVAN</v>
      </c>
    </row>
    <row r="141" spans="1:7" x14ac:dyDescent="0.25">
      <c r="A141" s="8">
        <v>42832.630856481483</v>
      </c>
      <c r="B141" s="20" t="s">
        <v>645</v>
      </c>
      <c r="C141" s="20" t="s">
        <v>772</v>
      </c>
      <c r="D141" s="146">
        <v>3010000</v>
      </c>
      <c r="E141" s="20" t="s">
        <v>512</v>
      </c>
      <c r="F141" s="20" t="s">
        <v>513</v>
      </c>
      <c r="G141" s="8" t="str">
        <f t="shared" si="2"/>
        <v>SULLIVAN BRANDON</v>
      </c>
    </row>
    <row r="142" spans="1:7" x14ac:dyDescent="0.25">
      <c r="A142" s="8">
        <v>42832.631354166668</v>
      </c>
      <c r="B142" s="20" t="s">
        <v>466</v>
      </c>
      <c r="C142" s="20" t="s">
        <v>773</v>
      </c>
      <c r="D142" s="146">
        <v>1770000</v>
      </c>
      <c r="E142" s="20" t="s">
        <v>740</v>
      </c>
      <c r="F142" s="20" t="s">
        <v>741</v>
      </c>
      <c r="G142" s="8" t="str">
        <f t="shared" si="2"/>
        <v>BRUDER RICHARD</v>
      </c>
    </row>
    <row r="143" spans="1:7" x14ac:dyDescent="0.25">
      <c r="A143" s="8">
        <v>42832.639525462961</v>
      </c>
      <c r="B143" s="20" t="s">
        <v>630</v>
      </c>
      <c r="C143" s="20" t="s">
        <v>774</v>
      </c>
      <c r="D143" s="146">
        <v>2230000</v>
      </c>
      <c r="E143" s="20" t="s">
        <v>384</v>
      </c>
      <c r="F143" s="20" t="s">
        <v>197</v>
      </c>
      <c r="G143" s="8" t="str">
        <f t="shared" si="2"/>
        <v>SMITH MICHAEL</v>
      </c>
    </row>
    <row r="144" spans="1:7" x14ac:dyDescent="0.25">
      <c r="A144" s="8">
        <v>42832.6403125</v>
      </c>
      <c r="B144" s="20" t="s">
        <v>405</v>
      </c>
      <c r="C144" s="20" t="s">
        <v>642</v>
      </c>
      <c r="D144" s="146">
        <v>880000</v>
      </c>
      <c r="E144" s="20" t="s">
        <v>731</v>
      </c>
      <c r="F144" s="20" t="s">
        <v>197</v>
      </c>
      <c r="G144" s="8" t="str">
        <f t="shared" si="2"/>
        <v>STEWART MICHAEL</v>
      </c>
    </row>
    <row r="145" spans="1:7" x14ac:dyDescent="0.25">
      <c r="A145" s="8">
        <v>42832.640636574077</v>
      </c>
      <c r="B145" s="20" t="s">
        <v>630</v>
      </c>
      <c r="C145" s="20" t="s">
        <v>774</v>
      </c>
      <c r="D145" s="146">
        <v>2230000</v>
      </c>
      <c r="E145" s="20" t="s">
        <v>384</v>
      </c>
      <c r="F145" s="20" t="s">
        <v>197</v>
      </c>
      <c r="G145" s="8" t="str">
        <f t="shared" si="2"/>
        <v>SMITH MICHAEL</v>
      </c>
    </row>
    <row r="146" spans="1:7" x14ac:dyDescent="0.25">
      <c r="A146" s="8">
        <v>42832.643888888888</v>
      </c>
      <c r="B146" s="20" t="s">
        <v>200</v>
      </c>
      <c r="C146" s="20" t="s">
        <v>775</v>
      </c>
      <c r="D146" s="146">
        <v>2480000</v>
      </c>
      <c r="E146" s="20" t="s">
        <v>514</v>
      </c>
      <c r="F146" s="20" t="s">
        <v>515</v>
      </c>
      <c r="G146" s="8" t="str">
        <f t="shared" si="2"/>
        <v>WHITED DUSTIN</v>
      </c>
    </row>
    <row r="147" spans="1:7" x14ac:dyDescent="0.25">
      <c r="A147" s="8">
        <v>42832.650462962964</v>
      </c>
      <c r="B147" s="20" t="s">
        <v>676</v>
      </c>
      <c r="C147" s="20" t="s">
        <v>776</v>
      </c>
      <c r="D147" s="146">
        <v>3010000</v>
      </c>
      <c r="E147" s="20" t="s">
        <v>512</v>
      </c>
      <c r="F147" s="20" t="s">
        <v>513</v>
      </c>
      <c r="G147" s="8" t="str">
        <f t="shared" si="2"/>
        <v>SULLIVAN BRANDON</v>
      </c>
    </row>
    <row r="148" spans="1:7" x14ac:dyDescent="0.25">
      <c r="A148" s="8">
        <v>42832.650868055556</v>
      </c>
      <c r="B148" s="20" t="s">
        <v>387</v>
      </c>
      <c r="C148" s="20" t="s">
        <v>777</v>
      </c>
      <c r="D148" s="146">
        <v>2230000</v>
      </c>
      <c r="E148" s="20" t="s">
        <v>384</v>
      </c>
      <c r="F148" s="20" t="s">
        <v>197</v>
      </c>
      <c r="G148" s="8" t="str">
        <f t="shared" si="2"/>
        <v>SMITH MICHAEL</v>
      </c>
    </row>
    <row r="149" spans="1:7" x14ac:dyDescent="0.25">
      <c r="A149" s="8">
        <v>42832.651956018519</v>
      </c>
      <c r="B149" s="20" t="s">
        <v>687</v>
      </c>
      <c r="C149" s="20" t="s">
        <v>778</v>
      </c>
      <c r="D149" s="146">
        <v>2370000</v>
      </c>
      <c r="E149" s="20" t="s">
        <v>516</v>
      </c>
      <c r="F149" s="20" t="s">
        <v>517</v>
      </c>
      <c r="G149" s="8" t="str">
        <f t="shared" si="2"/>
        <v>DELGADO DIANAH</v>
      </c>
    </row>
    <row r="150" spans="1:7" x14ac:dyDescent="0.25">
      <c r="A150" s="8">
        <v>42832.655868055554</v>
      </c>
      <c r="B150" s="20" t="s">
        <v>383</v>
      </c>
      <c r="C150" s="20" t="s">
        <v>779</v>
      </c>
      <c r="D150" s="146">
        <v>2360000</v>
      </c>
      <c r="E150" s="20" t="s">
        <v>555</v>
      </c>
      <c r="F150" s="20" t="s">
        <v>556</v>
      </c>
      <c r="G150" s="8" t="str">
        <f t="shared" si="2"/>
        <v>BRANDNER MELINDA</v>
      </c>
    </row>
    <row r="151" spans="1:7" x14ac:dyDescent="0.25">
      <c r="A151" s="8">
        <v>42832.660891203705</v>
      </c>
      <c r="B151" s="20" t="s">
        <v>426</v>
      </c>
      <c r="C151" s="20" t="s">
        <v>780</v>
      </c>
      <c r="D151" s="146">
        <v>930000</v>
      </c>
      <c r="E151" s="20" t="s">
        <v>450</v>
      </c>
      <c r="F151" s="20" t="s">
        <v>451</v>
      </c>
      <c r="G151" s="8" t="str">
        <f t="shared" si="2"/>
        <v>CLARK KATHLEEN</v>
      </c>
    </row>
    <row r="152" spans="1:7" x14ac:dyDescent="0.25">
      <c r="A152" s="8">
        <v>42832.662835648145</v>
      </c>
      <c r="B152" s="20" t="s">
        <v>378</v>
      </c>
      <c r="C152" s="20" t="s">
        <v>781</v>
      </c>
      <c r="D152" s="146">
        <v>1760000</v>
      </c>
      <c r="E152" s="20" t="s">
        <v>471</v>
      </c>
      <c r="F152" s="20" t="s">
        <v>472</v>
      </c>
      <c r="G152" s="8" t="str">
        <f t="shared" si="2"/>
        <v>STRICKLAND EVAN</v>
      </c>
    </row>
    <row r="153" spans="1:7" x14ac:dyDescent="0.25">
      <c r="A153" s="8">
        <v>42832.670393518521</v>
      </c>
      <c r="B153" s="20" t="s">
        <v>469</v>
      </c>
      <c r="C153" s="20" t="s">
        <v>643</v>
      </c>
      <c r="D153" s="146">
        <v>1770000</v>
      </c>
      <c r="E153" s="20" t="s">
        <v>740</v>
      </c>
      <c r="F153" s="20" t="s">
        <v>741</v>
      </c>
      <c r="G153" s="8" t="str">
        <f t="shared" si="2"/>
        <v>BRUDER RICHARD</v>
      </c>
    </row>
    <row r="154" spans="1:7" x14ac:dyDescent="0.25">
      <c r="A154" s="8">
        <v>42832.671469907407</v>
      </c>
      <c r="B154" s="20" t="s">
        <v>630</v>
      </c>
      <c r="C154" s="20" t="s">
        <v>782</v>
      </c>
      <c r="D154" s="146">
        <v>2230000</v>
      </c>
      <c r="E154" s="20" t="s">
        <v>384</v>
      </c>
      <c r="F154" s="20" t="s">
        <v>197</v>
      </c>
      <c r="G154" s="8" t="str">
        <f t="shared" si="2"/>
        <v>SMITH MICHAEL</v>
      </c>
    </row>
    <row r="155" spans="1:7" x14ac:dyDescent="0.25">
      <c r="A155" s="8">
        <v>42832.674444444441</v>
      </c>
      <c r="B155" s="20" t="s">
        <v>388</v>
      </c>
      <c r="C155" s="20" t="s">
        <v>783</v>
      </c>
      <c r="D155" s="146">
        <v>2480000</v>
      </c>
      <c r="E155" s="20" t="s">
        <v>514</v>
      </c>
      <c r="F155" s="20" t="s">
        <v>515</v>
      </c>
      <c r="G155" s="8" t="str">
        <f t="shared" si="2"/>
        <v>WHITED DUSTIN</v>
      </c>
    </row>
    <row r="156" spans="1:7" x14ac:dyDescent="0.25">
      <c r="A156" s="8">
        <v>42832.67560185185</v>
      </c>
      <c r="B156" s="20" t="s">
        <v>645</v>
      </c>
      <c r="C156" s="20" t="s">
        <v>784</v>
      </c>
      <c r="D156" s="146">
        <v>3010000</v>
      </c>
      <c r="E156" s="20" t="s">
        <v>512</v>
      </c>
      <c r="F156" s="20" t="s">
        <v>513</v>
      </c>
      <c r="G156" s="8" t="str">
        <f t="shared" si="2"/>
        <v>SULLIVAN BRANDON</v>
      </c>
    </row>
    <row r="157" spans="1:7" x14ac:dyDescent="0.25">
      <c r="A157" s="8">
        <v>42832.676874999997</v>
      </c>
      <c r="B157" s="20" t="s">
        <v>404</v>
      </c>
      <c r="C157" s="20" t="s">
        <v>785</v>
      </c>
      <c r="D157" s="146">
        <v>880000</v>
      </c>
      <c r="E157" s="20" t="s">
        <v>731</v>
      </c>
      <c r="F157" s="20" t="s">
        <v>197</v>
      </c>
      <c r="G157" s="8" t="str">
        <f t="shared" si="2"/>
        <v>STEWART MICHAEL</v>
      </c>
    </row>
    <row r="158" spans="1:7" x14ac:dyDescent="0.25">
      <c r="A158" s="8">
        <v>42832.683356481481</v>
      </c>
      <c r="B158" s="20" t="s">
        <v>557</v>
      </c>
      <c r="C158" s="20" t="s">
        <v>786</v>
      </c>
      <c r="D158" s="146">
        <v>2470000</v>
      </c>
      <c r="E158" s="20" t="s">
        <v>734</v>
      </c>
      <c r="F158" s="20" t="s">
        <v>735</v>
      </c>
      <c r="G158" s="8" t="str">
        <f t="shared" si="2"/>
        <v>ROMERO CHAD</v>
      </c>
    </row>
    <row r="159" spans="1:7" x14ac:dyDescent="0.25">
      <c r="A159" s="8">
        <v>42832.688425925924</v>
      </c>
      <c r="B159" s="20" t="s">
        <v>387</v>
      </c>
      <c r="C159" s="20" t="s">
        <v>787</v>
      </c>
      <c r="D159" s="146">
        <v>2230000</v>
      </c>
      <c r="E159" s="20" t="s">
        <v>384</v>
      </c>
      <c r="F159" s="20" t="s">
        <v>197</v>
      </c>
      <c r="G159" s="8" t="str">
        <f t="shared" si="2"/>
        <v>SMITH MICHAEL</v>
      </c>
    </row>
    <row r="160" spans="1:7" x14ac:dyDescent="0.25">
      <c r="A160" s="8">
        <v>42832.690729166665</v>
      </c>
      <c r="B160" s="20" t="s">
        <v>382</v>
      </c>
      <c r="C160" s="20" t="s">
        <v>788</v>
      </c>
      <c r="D160" s="146">
        <v>2360000</v>
      </c>
      <c r="E160" s="20" t="s">
        <v>555</v>
      </c>
      <c r="F160" s="20" t="s">
        <v>556</v>
      </c>
      <c r="G160" s="8" t="str">
        <f t="shared" si="2"/>
        <v>BRANDNER MELINDA</v>
      </c>
    </row>
    <row r="161" spans="1:7" x14ac:dyDescent="0.25">
      <c r="A161" s="8">
        <v>42832.692557870374</v>
      </c>
      <c r="B161" s="20" t="s">
        <v>676</v>
      </c>
      <c r="C161" s="20" t="s">
        <v>789</v>
      </c>
      <c r="D161" s="146">
        <v>3010000</v>
      </c>
      <c r="E161" s="20" t="s">
        <v>512</v>
      </c>
      <c r="F161" s="20" t="s">
        <v>513</v>
      </c>
      <c r="G161" s="8" t="str">
        <f t="shared" si="2"/>
        <v>SULLIVAN BRANDON</v>
      </c>
    </row>
    <row r="162" spans="1:7" x14ac:dyDescent="0.25">
      <c r="A162" s="8">
        <v>42832.693668981483</v>
      </c>
      <c r="B162" s="20" t="s">
        <v>416</v>
      </c>
      <c r="C162" s="20" t="s">
        <v>790</v>
      </c>
      <c r="D162" s="146">
        <v>930000</v>
      </c>
      <c r="E162" s="20" t="s">
        <v>450</v>
      </c>
      <c r="F162" s="20" t="s">
        <v>451</v>
      </c>
      <c r="G162" s="8" t="str">
        <f t="shared" si="2"/>
        <v>CLARK KATHLEEN</v>
      </c>
    </row>
    <row r="163" spans="1:7" x14ac:dyDescent="0.25">
      <c r="A163" s="8">
        <v>42832.694803240738</v>
      </c>
      <c r="B163" s="20" t="s">
        <v>379</v>
      </c>
      <c r="C163" s="20" t="s">
        <v>644</v>
      </c>
      <c r="D163" s="146">
        <v>1760000</v>
      </c>
      <c r="E163" s="20" t="s">
        <v>471</v>
      </c>
      <c r="F163" s="20" t="s">
        <v>472</v>
      </c>
      <c r="G163" s="8" t="str">
        <f t="shared" si="2"/>
        <v>STRICKLAND EVAN</v>
      </c>
    </row>
    <row r="164" spans="1:7" x14ac:dyDescent="0.25">
      <c r="A164" s="8">
        <v>42832.704548611109</v>
      </c>
      <c r="B164" s="20" t="s">
        <v>466</v>
      </c>
      <c r="C164" s="20" t="s">
        <v>791</v>
      </c>
      <c r="D164" s="146">
        <v>1770000</v>
      </c>
      <c r="E164" s="20" t="s">
        <v>740</v>
      </c>
      <c r="F164" s="20" t="s">
        <v>741</v>
      </c>
      <c r="G164" s="8" t="str">
        <f t="shared" si="2"/>
        <v>BRUDER RICHARD</v>
      </c>
    </row>
    <row r="165" spans="1:7" x14ac:dyDescent="0.25">
      <c r="A165" s="8">
        <v>42832.713356481479</v>
      </c>
      <c r="B165" s="20" t="s">
        <v>405</v>
      </c>
      <c r="C165" s="20" t="s">
        <v>792</v>
      </c>
      <c r="D165" s="146">
        <v>880000</v>
      </c>
      <c r="E165" s="20" t="s">
        <v>731</v>
      </c>
      <c r="F165" s="20" t="s">
        <v>197</v>
      </c>
      <c r="G165" s="8" t="str">
        <f t="shared" si="2"/>
        <v>STEWART MICHAEL</v>
      </c>
    </row>
    <row r="166" spans="1:7" x14ac:dyDescent="0.25">
      <c r="A166" s="8">
        <v>42832.71365740741</v>
      </c>
      <c r="B166" s="20" t="s">
        <v>630</v>
      </c>
      <c r="C166" s="20" t="s">
        <v>793</v>
      </c>
      <c r="D166" s="146">
        <v>2230000</v>
      </c>
      <c r="E166" s="20" t="s">
        <v>384</v>
      </c>
      <c r="F166" s="20" t="s">
        <v>197</v>
      </c>
      <c r="G166" s="8" t="str">
        <f t="shared" si="2"/>
        <v>SMITH MICHAEL</v>
      </c>
    </row>
    <row r="167" spans="1:7" x14ac:dyDescent="0.25">
      <c r="A167" s="8">
        <v>42832.713958333334</v>
      </c>
      <c r="B167" s="20" t="s">
        <v>645</v>
      </c>
      <c r="C167" s="20" t="s">
        <v>646</v>
      </c>
      <c r="D167" s="146">
        <v>3010000</v>
      </c>
      <c r="E167" s="20" t="s">
        <v>512</v>
      </c>
      <c r="F167" s="20" t="s">
        <v>513</v>
      </c>
      <c r="G167" s="8" t="str">
        <f t="shared" si="2"/>
        <v>SULLIVAN BRANDON</v>
      </c>
    </row>
    <row r="168" spans="1:7" x14ac:dyDescent="0.25">
      <c r="A168" s="8">
        <v>42832.714039351849</v>
      </c>
      <c r="B168" s="20" t="s">
        <v>200</v>
      </c>
      <c r="C168" s="20" t="s">
        <v>794</v>
      </c>
      <c r="D168" s="146">
        <v>3040000</v>
      </c>
      <c r="E168" s="20" t="s">
        <v>452</v>
      </c>
      <c r="F168" s="20" t="s">
        <v>453</v>
      </c>
      <c r="G168" s="8" t="str">
        <f t="shared" si="2"/>
        <v>WILLIAMS DONTE</v>
      </c>
    </row>
    <row r="169" spans="1:7" x14ac:dyDescent="0.25">
      <c r="A169" s="8">
        <v>42832.716111111113</v>
      </c>
      <c r="B169" s="20" t="s">
        <v>470</v>
      </c>
      <c r="C169" s="20" t="s">
        <v>625</v>
      </c>
      <c r="D169" s="146">
        <v>2370000</v>
      </c>
      <c r="E169" s="20" t="s">
        <v>516</v>
      </c>
      <c r="F169" s="20" t="s">
        <v>517</v>
      </c>
      <c r="G169" s="8" t="str">
        <f t="shared" si="2"/>
        <v>DELGADO DIANAH</v>
      </c>
    </row>
    <row r="170" spans="1:7" x14ac:dyDescent="0.25">
      <c r="A170" s="8">
        <v>42832.719166666669</v>
      </c>
      <c r="B170" s="20" t="s">
        <v>687</v>
      </c>
      <c r="C170" s="20" t="s">
        <v>795</v>
      </c>
      <c r="D170" s="146">
        <v>2470000</v>
      </c>
      <c r="E170" s="20" t="s">
        <v>734</v>
      </c>
      <c r="F170" s="20" t="s">
        <v>735</v>
      </c>
      <c r="G170" s="8" t="str">
        <f t="shared" si="2"/>
        <v>ROMERO CHAD</v>
      </c>
    </row>
    <row r="171" spans="1:7" x14ac:dyDescent="0.25">
      <c r="A171" s="8">
        <v>42832.726354166669</v>
      </c>
      <c r="B171" s="20" t="s">
        <v>383</v>
      </c>
      <c r="C171" s="20" t="s">
        <v>796</v>
      </c>
      <c r="D171" s="146">
        <v>2360000</v>
      </c>
      <c r="E171" s="20" t="s">
        <v>555</v>
      </c>
      <c r="F171" s="20" t="s">
        <v>556</v>
      </c>
      <c r="G171" s="8" t="str">
        <f t="shared" si="2"/>
        <v>BRANDNER MELINDA</v>
      </c>
    </row>
    <row r="172" spans="1:7" x14ac:dyDescent="0.25">
      <c r="A172" s="8">
        <v>42832.73201388889</v>
      </c>
      <c r="B172" s="20" t="s">
        <v>426</v>
      </c>
      <c r="C172" s="20" t="s">
        <v>797</v>
      </c>
      <c r="D172" s="146">
        <v>930000</v>
      </c>
      <c r="E172" s="20" t="s">
        <v>450</v>
      </c>
      <c r="F172" s="20" t="s">
        <v>451</v>
      </c>
      <c r="G172" s="8" t="str">
        <f t="shared" si="2"/>
        <v>CLARK KATHLEEN</v>
      </c>
    </row>
    <row r="173" spans="1:7" x14ac:dyDescent="0.25">
      <c r="A173" s="8">
        <v>42832.734895833331</v>
      </c>
      <c r="B173" s="20" t="s">
        <v>676</v>
      </c>
      <c r="C173" s="20" t="s">
        <v>798</v>
      </c>
      <c r="D173" s="146">
        <v>3010000</v>
      </c>
      <c r="E173" s="20" t="s">
        <v>512</v>
      </c>
      <c r="F173" s="20" t="s">
        <v>513</v>
      </c>
      <c r="G173" s="8" t="str">
        <f t="shared" si="2"/>
        <v>SULLIVAN BRANDON</v>
      </c>
    </row>
    <row r="174" spans="1:7" x14ac:dyDescent="0.25">
      <c r="A174" s="8">
        <v>42832.736342592594</v>
      </c>
      <c r="B174" s="20" t="s">
        <v>387</v>
      </c>
      <c r="C174" s="20" t="s">
        <v>799</v>
      </c>
      <c r="D174" s="146">
        <v>2230000</v>
      </c>
      <c r="E174" s="20" t="s">
        <v>384</v>
      </c>
      <c r="F174" s="20" t="s">
        <v>197</v>
      </c>
      <c r="G174" s="8" t="str">
        <f t="shared" si="2"/>
        <v>SMITH MICHAEL</v>
      </c>
    </row>
    <row r="175" spans="1:7" x14ac:dyDescent="0.25">
      <c r="A175" s="8">
        <v>42832.737893518519</v>
      </c>
      <c r="B175" s="20" t="s">
        <v>434</v>
      </c>
      <c r="C175" s="20" t="s">
        <v>800</v>
      </c>
      <c r="D175" s="146">
        <v>2630000</v>
      </c>
      <c r="E175" s="20" t="s">
        <v>801</v>
      </c>
      <c r="F175" s="20" t="s">
        <v>802</v>
      </c>
      <c r="G175" s="8" t="str">
        <f t="shared" si="2"/>
        <v>SAFIEF AEIMEN</v>
      </c>
    </row>
    <row r="176" spans="1:7" x14ac:dyDescent="0.25">
      <c r="A176" s="8">
        <v>42832.738599537035</v>
      </c>
      <c r="B176" s="20" t="s">
        <v>378</v>
      </c>
      <c r="C176" s="20" t="s">
        <v>803</v>
      </c>
      <c r="D176" s="146">
        <v>1740000</v>
      </c>
      <c r="E176" s="20" t="s">
        <v>401</v>
      </c>
      <c r="F176" s="20" t="s">
        <v>402</v>
      </c>
      <c r="G176" s="8" t="str">
        <f t="shared" si="2"/>
        <v>STORY SAMANTHA</v>
      </c>
    </row>
    <row r="177" spans="1:7" x14ac:dyDescent="0.25">
      <c r="A177" s="8">
        <v>42832.742905092593</v>
      </c>
      <c r="B177" s="20" t="s">
        <v>469</v>
      </c>
      <c r="C177" s="20" t="s">
        <v>804</v>
      </c>
      <c r="D177" s="146">
        <v>1770000</v>
      </c>
      <c r="E177" s="20" t="s">
        <v>740</v>
      </c>
      <c r="F177" s="20" t="s">
        <v>741</v>
      </c>
      <c r="G177" s="8" t="str">
        <f t="shared" si="2"/>
        <v>BRUDER RICHARD</v>
      </c>
    </row>
    <row r="178" spans="1:7" x14ac:dyDescent="0.25">
      <c r="A178" s="8">
        <v>42832.746851851851</v>
      </c>
      <c r="B178" s="20" t="s">
        <v>404</v>
      </c>
      <c r="C178" s="20" t="s">
        <v>647</v>
      </c>
      <c r="D178" s="146">
        <v>1760000</v>
      </c>
      <c r="E178" s="20" t="s">
        <v>471</v>
      </c>
      <c r="F178" s="20" t="s">
        <v>472</v>
      </c>
      <c r="G178" s="8" t="str">
        <f t="shared" si="2"/>
        <v>STRICKLAND EVAN</v>
      </c>
    </row>
    <row r="179" spans="1:7" x14ac:dyDescent="0.25">
      <c r="A179" s="8">
        <v>42832.75204861111</v>
      </c>
      <c r="B179" s="20" t="s">
        <v>388</v>
      </c>
      <c r="C179" s="20" t="s">
        <v>805</v>
      </c>
      <c r="D179" s="146">
        <v>3040000</v>
      </c>
      <c r="E179" s="20" t="s">
        <v>452</v>
      </c>
      <c r="F179" s="20" t="s">
        <v>453</v>
      </c>
      <c r="G179" s="8" t="str">
        <f t="shared" si="2"/>
        <v>WILLIAMS DONTE</v>
      </c>
    </row>
    <row r="180" spans="1:7" x14ac:dyDescent="0.25">
      <c r="A180" s="8">
        <v>42832.754791666666</v>
      </c>
      <c r="B180" s="20" t="s">
        <v>557</v>
      </c>
      <c r="C180" s="20" t="s">
        <v>806</v>
      </c>
      <c r="D180" s="146">
        <v>2970000</v>
      </c>
      <c r="E180" s="20" t="s">
        <v>455</v>
      </c>
      <c r="F180" s="20" t="s">
        <v>456</v>
      </c>
      <c r="G180" s="8" t="str">
        <f t="shared" si="2"/>
        <v>GUZMAN DANNY</v>
      </c>
    </row>
    <row r="181" spans="1:7" x14ac:dyDescent="0.25">
      <c r="A181" s="8">
        <v>42832.756585648145</v>
      </c>
      <c r="B181" s="20" t="s">
        <v>630</v>
      </c>
      <c r="C181" s="20" t="s">
        <v>807</v>
      </c>
      <c r="D181" s="146">
        <v>2230000</v>
      </c>
      <c r="E181" s="20" t="s">
        <v>384</v>
      </c>
      <c r="F181" s="20" t="s">
        <v>197</v>
      </c>
      <c r="G181" s="8" t="str">
        <f t="shared" si="2"/>
        <v>SMITH MICHAEL</v>
      </c>
    </row>
    <row r="182" spans="1:7" x14ac:dyDescent="0.25">
      <c r="A182" s="8">
        <v>42832.75849537037</v>
      </c>
      <c r="B182" s="20" t="s">
        <v>645</v>
      </c>
      <c r="C182" s="20" t="s">
        <v>808</v>
      </c>
      <c r="D182" s="146">
        <v>3010000</v>
      </c>
      <c r="E182" s="20" t="s">
        <v>512</v>
      </c>
      <c r="F182" s="20" t="s">
        <v>513</v>
      </c>
      <c r="G182" s="8" t="str">
        <f t="shared" si="2"/>
        <v>SULLIVAN BRANDON</v>
      </c>
    </row>
    <row r="183" spans="1:7" x14ac:dyDescent="0.25">
      <c r="A183" s="8">
        <v>42832.764085648145</v>
      </c>
      <c r="B183" s="20" t="s">
        <v>382</v>
      </c>
      <c r="C183" s="20" t="s">
        <v>648</v>
      </c>
      <c r="D183" s="146">
        <v>2360000</v>
      </c>
      <c r="E183" s="20" t="s">
        <v>555</v>
      </c>
      <c r="F183" s="20" t="s">
        <v>556</v>
      </c>
      <c r="G183" s="8" t="str">
        <f t="shared" si="2"/>
        <v>BRANDNER MELINDA</v>
      </c>
    </row>
    <row r="184" spans="1:7" x14ac:dyDescent="0.25">
      <c r="A184" s="8">
        <v>42832.766956018517</v>
      </c>
      <c r="B184" s="20" t="s">
        <v>416</v>
      </c>
      <c r="C184" s="20" t="s">
        <v>809</v>
      </c>
      <c r="D184" s="146">
        <v>2150000</v>
      </c>
      <c r="E184" s="20" t="s">
        <v>373</v>
      </c>
      <c r="F184" s="20" t="s">
        <v>374</v>
      </c>
      <c r="G184" s="8" t="str">
        <f t="shared" si="2"/>
        <v>SWANSON BRYCE</v>
      </c>
    </row>
    <row r="185" spans="1:7" x14ac:dyDescent="0.25">
      <c r="A185" s="8">
        <v>42832.771608796298</v>
      </c>
      <c r="B185" s="20" t="s">
        <v>387</v>
      </c>
      <c r="C185" s="20" t="s">
        <v>810</v>
      </c>
      <c r="D185" s="146">
        <v>2230000</v>
      </c>
      <c r="E185" s="20" t="s">
        <v>384</v>
      </c>
      <c r="F185" s="20" t="s">
        <v>197</v>
      </c>
      <c r="G185" s="8" t="str">
        <f t="shared" si="2"/>
        <v>SMITH MICHAEL</v>
      </c>
    </row>
    <row r="186" spans="1:7" x14ac:dyDescent="0.25">
      <c r="A186" s="8">
        <v>42832.773900462962</v>
      </c>
      <c r="B186" s="20" t="s">
        <v>379</v>
      </c>
      <c r="C186" s="20" t="s">
        <v>811</v>
      </c>
      <c r="D186" s="146">
        <v>1740000</v>
      </c>
      <c r="E186" s="20" t="s">
        <v>401</v>
      </c>
      <c r="F186" s="20" t="s">
        <v>402</v>
      </c>
      <c r="G186" s="8" t="str">
        <f t="shared" si="2"/>
        <v>STORY SAMANTHA</v>
      </c>
    </row>
    <row r="187" spans="1:7" x14ac:dyDescent="0.25">
      <c r="A187" s="8">
        <v>42832.775405092594</v>
      </c>
      <c r="B187" s="20" t="s">
        <v>676</v>
      </c>
      <c r="C187" s="20" t="s">
        <v>812</v>
      </c>
      <c r="D187" s="146">
        <v>3010000</v>
      </c>
      <c r="E187" s="20" t="s">
        <v>512</v>
      </c>
      <c r="F187" s="20" t="s">
        <v>513</v>
      </c>
      <c r="G187" s="8" t="str">
        <f t="shared" si="2"/>
        <v>SULLIVAN BRANDON</v>
      </c>
    </row>
    <row r="188" spans="1:7" x14ac:dyDescent="0.25">
      <c r="A188" s="8">
        <v>42832.777511574073</v>
      </c>
      <c r="B188" s="20" t="s">
        <v>466</v>
      </c>
      <c r="C188" s="20" t="s">
        <v>813</v>
      </c>
      <c r="D188" s="146">
        <v>1770000</v>
      </c>
      <c r="E188" s="20" t="s">
        <v>740</v>
      </c>
      <c r="F188" s="20" t="s">
        <v>741</v>
      </c>
      <c r="G188" s="8" t="str">
        <f t="shared" si="2"/>
        <v>BRUDER RICHARD</v>
      </c>
    </row>
    <row r="189" spans="1:7" x14ac:dyDescent="0.25">
      <c r="A189" s="8">
        <v>42832.780416666668</v>
      </c>
      <c r="B189" s="20" t="s">
        <v>405</v>
      </c>
      <c r="C189" s="20" t="s">
        <v>650</v>
      </c>
      <c r="D189" s="146">
        <v>1760000</v>
      </c>
      <c r="E189" s="20" t="s">
        <v>471</v>
      </c>
      <c r="F189" s="20" t="s">
        <v>472</v>
      </c>
      <c r="G189" s="8" t="str">
        <f t="shared" si="2"/>
        <v>STRICKLAND EVAN</v>
      </c>
    </row>
    <row r="190" spans="1:7" x14ac:dyDescent="0.25">
      <c r="A190" s="8">
        <v>42832.788518518515</v>
      </c>
      <c r="B190" s="20" t="s">
        <v>687</v>
      </c>
      <c r="C190" s="20" t="s">
        <v>814</v>
      </c>
      <c r="D190" s="146">
        <v>2970000</v>
      </c>
      <c r="E190" s="20" t="s">
        <v>455</v>
      </c>
      <c r="F190" s="20" t="s">
        <v>456</v>
      </c>
      <c r="G190" s="8" t="str">
        <f t="shared" si="2"/>
        <v>GUZMAN DANNY</v>
      </c>
    </row>
    <row r="191" spans="1:7" x14ac:dyDescent="0.25">
      <c r="A191" s="8">
        <v>42832.788645833331</v>
      </c>
      <c r="B191" s="20" t="s">
        <v>200</v>
      </c>
      <c r="C191" s="20" t="s">
        <v>649</v>
      </c>
      <c r="D191" s="146">
        <v>2270000</v>
      </c>
      <c r="E191" s="20" t="s">
        <v>208</v>
      </c>
      <c r="F191" s="20" t="s">
        <v>209</v>
      </c>
      <c r="G191" s="8" t="str">
        <f t="shared" si="2"/>
        <v>BROWN JACOB</v>
      </c>
    </row>
    <row r="192" spans="1:7" x14ac:dyDescent="0.25">
      <c r="A192" s="8">
        <v>42832.797025462962</v>
      </c>
      <c r="B192" s="20" t="s">
        <v>645</v>
      </c>
      <c r="C192" s="20" t="s">
        <v>815</v>
      </c>
      <c r="D192" s="146">
        <v>3010000</v>
      </c>
      <c r="E192" s="20" t="s">
        <v>512</v>
      </c>
      <c r="F192" s="20" t="s">
        <v>513</v>
      </c>
      <c r="G192" s="8" t="str">
        <f t="shared" si="2"/>
        <v>SULLIVAN BRANDON</v>
      </c>
    </row>
    <row r="193" spans="1:7" x14ac:dyDescent="0.25">
      <c r="A193" s="8">
        <v>42832.797037037039</v>
      </c>
      <c r="B193" s="20" t="s">
        <v>630</v>
      </c>
      <c r="C193" s="20" t="s">
        <v>816</v>
      </c>
      <c r="D193" s="146">
        <v>2230000</v>
      </c>
      <c r="E193" s="20" t="s">
        <v>384</v>
      </c>
      <c r="F193" s="20" t="s">
        <v>197</v>
      </c>
      <c r="G193" s="8" t="str">
        <f t="shared" si="2"/>
        <v>SMITH MICHAEL</v>
      </c>
    </row>
    <row r="194" spans="1:7" x14ac:dyDescent="0.25">
      <c r="A194" s="8">
        <v>42832.800243055557</v>
      </c>
      <c r="B194" s="20" t="s">
        <v>383</v>
      </c>
      <c r="C194" s="20" t="s">
        <v>817</v>
      </c>
      <c r="D194" s="146">
        <v>2360000</v>
      </c>
      <c r="E194" s="20" t="s">
        <v>555</v>
      </c>
      <c r="F194" s="20" t="s">
        <v>556</v>
      </c>
      <c r="G194" s="8" t="str">
        <f t="shared" si="2"/>
        <v>BRANDNER MELINDA</v>
      </c>
    </row>
    <row r="195" spans="1:7" x14ac:dyDescent="0.25">
      <c r="A195" s="8">
        <v>42832.802488425928</v>
      </c>
      <c r="B195" s="20" t="s">
        <v>426</v>
      </c>
      <c r="C195" s="20" t="s">
        <v>818</v>
      </c>
      <c r="D195" s="146">
        <v>2150000</v>
      </c>
      <c r="E195" s="20" t="s">
        <v>373</v>
      </c>
      <c r="F195" s="20" t="s">
        <v>374</v>
      </c>
      <c r="G195" s="8" t="str">
        <f t="shared" ref="G195:G258" si="3">E195&amp;" "&amp;F195</f>
        <v>SWANSON BRYCE</v>
      </c>
    </row>
    <row r="196" spans="1:7" x14ac:dyDescent="0.25">
      <c r="A196" s="8">
        <v>42832.809317129628</v>
      </c>
      <c r="B196" s="20" t="s">
        <v>378</v>
      </c>
      <c r="C196" s="20" t="s">
        <v>819</v>
      </c>
      <c r="D196" s="146">
        <v>2600000</v>
      </c>
      <c r="E196" s="20" t="s">
        <v>820</v>
      </c>
      <c r="F196" s="20" t="s">
        <v>821</v>
      </c>
      <c r="G196" s="8" t="str">
        <f t="shared" si="3"/>
        <v>DAVIDSON DAVID</v>
      </c>
    </row>
    <row r="197" spans="1:7" x14ac:dyDescent="0.25">
      <c r="A197" s="8">
        <v>42832.817384259259</v>
      </c>
      <c r="B197" s="20" t="s">
        <v>676</v>
      </c>
      <c r="C197" s="20" t="s">
        <v>822</v>
      </c>
      <c r="D197" s="146">
        <v>3010000</v>
      </c>
      <c r="E197" s="20" t="s">
        <v>512</v>
      </c>
      <c r="F197" s="20" t="s">
        <v>513</v>
      </c>
      <c r="G197" s="8" t="str">
        <f t="shared" si="3"/>
        <v>SULLIVAN BRANDON</v>
      </c>
    </row>
    <row r="198" spans="1:7" x14ac:dyDescent="0.25">
      <c r="A198" s="8">
        <v>42832.820486111108</v>
      </c>
      <c r="B198" s="20" t="s">
        <v>404</v>
      </c>
      <c r="C198" s="20" t="s">
        <v>823</v>
      </c>
      <c r="D198" s="146">
        <v>1760000</v>
      </c>
      <c r="E198" s="20" t="s">
        <v>471</v>
      </c>
      <c r="F198" s="20" t="s">
        <v>472</v>
      </c>
      <c r="G198" s="8" t="str">
        <f t="shared" si="3"/>
        <v>STRICKLAND EVAN</v>
      </c>
    </row>
    <row r="199" spans="1:7" x14ac:dyDescent="0.25">
      <c r="A199" s="8">
        <v>42832.825960648152</v>
      </c>
      <c r="B199" s="20" t="s">
        <v>388</v>
      </c>
      <c r="C199" s="20" t="s">
        <v>824</v>
      </c>
      <c r="D199" s="146">
        <v>2270000</v>
      </c>
      <c r="E199" s="20" t="s">
        <v>208</v>
      </c>
      <c r="F199" s="20" t="s">
        <v>209</v>
      </c>
      <c r="G199" s="8" t="str">
        <f t="shared" si="3"/>
        <v>BROWN JACOB</v>
      </c>
    </row>
    <row r="200" spans="1:7" x14ac:dyDescent="0.25">
      <c r="A200" s="8">
        <v>42832.829733796294</v>
      </c>
      <c r="B200" s="20" t="s">
        <v>557</v>
      </c>
      <c r="C200" s="20" t="s">
        <v>825</v>
      </c>
      <c r="D200" s="146">
        <v>2970000</v>
      </c>
      <c r="E200" s="20" t="s">
        <v>455</v>
      </c>
      <c r="F200" s="20" t="s">
        <v>456</v>
      </c>
      <c r="G200" s="8" t="str">
        <f t="shared" si="3"/>
        <v>GUZMAN DANNY</v>
      </c>
    </row>
    <row r="201" spans="1:7" x14ac:dyDescent="0.25">
      <c r="A201" s="8">
        <v>42832.84302083333</v>
      </c>
      <c r="B201" s="20" t="s">
        <v>645</v>
      </c>
      <c r="C201" s="20" t="s">
        <v>826</v>
      </c>
      <c r="D201" s="146">
        <v>3010000</v>
      </c>
      <c r="E201" s="20" t="s">
        <v>512</v>
      </c>
      <c r="F201" s="20" t="s">
        <v>513</v>
      </c>
      <c r="G201" s="8" t="str">
        <f t="shared" si="3"/>
        <v>SULLIVAN BRANDON</v>
      </c>
    </row>
    <row r="202" spans="1:7" x14ac:dyDescent="0.25">
      <c r="A202" s="26">
        <v>42832.845706018517</v>
      </c>
      <c r="B202" s="20" t="s">
        <v>379</v>
      </c>
      <c r="C202" s="20" t="s">
        <v>827</v>
      </c>
      <c r="D202" s="146">
        <v>2600000</v>
      </c>
      <c r="E202" s="20" t="s">
        <v>820</v>
      </c>
      <c r="F202" s="20" t="s">
        <v>821</v>
      </c>
      <c r="G202" s="8" t="str">
        <f t="shared" si="3"/>
        <v>DAVIDSON DAVID</v>
      </c>
    </row>
    <row r="203" spans="1:7" x14ac:dyDescent="0.25">
      <c r="A203" s="8">
        <v>42832.852025462962</v>
      </c>
      <c r="B203" s="20" t="s">
        <v>416</v>
      </c>
      <c r="C203" s="20" t="s">
        <v>828</v>
      </c>
      <c r="D203" s="146">
        <v>2150000</v>
      </c>
      <c r="E203" s="20" t="s">
        <v>373</v>
      </c>
      <c r="F203" s="20" t="s">
        <v>374</v>
      </c>
      <c r="G203" s="8" t="str">
        <f t="shared" si="3"/>
        <v>SWANSON BRYCE</v>
      </c>
    </row>
    <row r="204" spans="1:7" x14ac:dyDescent="0.25">
      <c r="A204" s="8">
        <v>42832.859317129631</v>
      </c>
      <c r="B204" s="20" t="s">
        <v>676</v>
      </c>
      <c r="C204" s="20" t="s">
        <v>829</v>
      </c>
      <c r="D204" s="146">
        <v>3010000</v>
      </c>
      <c r="E204" s="20" t="s">
        <v>512</v>
      </c>
      <c r="F204" s="20" t="s">
        <v>513</v>
      </c>
      <c r="G204" s="8" t="str">
        <f t="shared" si="3"/>
        <v>SULLIVAN BRANDON</v>
      </c>
    </row>
    <row r="205" spans="1:7" x14ac:dyDescent="0.25">
      <c r="A205" s="8">
        <v>42832.86074074074</v>
      </c>
      <c r="B205" s="20" t="s">
        <v>687</v>
      </c>
      <c r="C205" s="20" t="s">
        <v>830</v>
      </c>
      <c r="D205" s="146">
        <v>2970000</v>
      </c>
      <c r="E205" s="20" t="s">
        <v>455</v>
      </c>
      <c r="F205" s="20" t="s">
        <v>456</v>
      </c>
      <c r="G205" s="8" t="str">
        <f t="shared" si="3"/>
        <v>GUZMAN DANNY</v>
      </c>
    </row>
    <row r="206" spans="1:7" x14ac:dyDescent="0.25">
      <c r="A206" s="8">
        <v>42832.874699074076</v>
      </c>
      <c r="B206" s="20" t="s">
        <v>200</v>
      </c>
      <c r="C206" s="20" t="s">
        <v>652</v>
      </c>
      <c r="D206" s="146">
        <v>2270000</v>
      </c>
      <c r="E206" s="20" t="s">
        <v>208</v>
      </c>
      <c r="F206" s="20" t="s">
        <v>209</v>
      </c>
      <c r="G206" s="8" t="str">
        <f t="shared" si="3"/>
        <v>BROWN JACOB</v>
      </c>
    </row>
    <row r="207" spans="1:7" x14ac:dyDescent="0.25">
      <c r="A207" s="8">
        <v>42832.878449074073</v>
      </c>
      <c r="B207" s="20" t="s">
        <v>645</v>
      </c>
      <c r="C207" s="20" t="s">
        <v>651</v>
      </c>
      <c r="D207" s="146">
        <v>2230000</v>
      </c>
      <c r="E207" s="20" t="s">
        <v>384</v>
      </c>
      <c r="F207" s="20" t="s">
        <v>197</v>
      </c>
      <c r="G207" s="8" t="str">
        <f t="shared" si="3"/>
        <v>SMITH MICHAEL</v>
      </c>
    </row>
    <row r="208" spans="1:7" x14ac:dyDescent="0.25">
      <c r="A208" s="8">
        <v>42832.882141203707</v>
      </c>
      <c r="B208" s="20" t="s">
        <v>645</v>
      </c>
      <c r="C208" s="20" t="s">
        <v>831</v>
      </c>
      <c r="D208" s="146">
        <v>2560000</v>
      </c>
      <c r="E208" s="20" t="s">
        <v>558</v>
      </c>
      <c r="F208" s="20" t="s">
        <v>559</v>
      </c>
      <c r="G208" s="8" t="str">
        <f t="shared" si="3"/>
        <v>MACDONALD THOMAS</v>
      </c>
    </row>
    <row r="209" spans="1:7" x14ac:dyDescent="0.25">
      <c r="A209" s="8">
        <v>42832.882627314815</v>
      </c>
      <c r="B209" s="20" t="s">
        <v>426</v>
      </c>
      <c r="C209" s="20" t="s">
        <v>832</v>
      </c>
      <c r="D209" s="146">
        <v>2150000</v>
      </c>
      <c r="E209" s="20" t="s">
        <v>373</v>
      </c>
      <c r="F209" s="20" t="s">
        <v>374</v>
      </c>
      <c r="G209" s="8" t="str">
        <f t="shared" si="3"/>
        <v>SWANSON BRYCE</v>
      </c>
    </row>
    <row r="210" spans="1:7" x14ac:dyDescent="0.25">
      <c r="A210" s="8">
        <v>42832.882662037038</v>
      </c>
      <c r="B210" s="20" t="s">
        <v>645</v>
      </c>
      <c r="C210" s="20" t="s">
        <v>651</v>
      </c>
      <c r="D210" s="146">
        <v>2560000</v>
      </c>
      <c r="E210" s="20" t="s">
        <v>558</v>
      </c>
      <c r="F210" s="20" t="s">
        <v>559</v>
      </c>
      <c r="G210" s="8" t="str">
        <f t="shared" si="3"/>
        <v>MACDONALD THOMAS</v>
      </c>
    </row>
    <row r="211" spans="1:7" x14ac:dyDescent="0.25">
      <c r="A211" s="8">
        <v>42832.89267361111</v>
      </c>
      <c r="B211" s="20" t="s">
        <v>378</v>
      </c>
      <c r="C211" s="20" t="s">
        <v>833</v>
      </c>
      <c r="D211" s="146">
        <v>1740000</v>
      </c>
      <c r="E211" s="20" t="s">
        <v>401</v>
      </c>
      <c r="F211" s="20" t="s">
        <v>402</v>
      </c>
      <c r="G211" s="8" t="str">
        <f t="shared" si="3"/>
        <v>STORY SAMANTHA</v>
      </c>
    </row>
    <row r="212" spans="1:7" x14ac:dyDescent="0.25">
      <c r="A212" s="8">
        <v>42832.900821759256</v>
      </c>
      <c r="B212" s="20" t="s">
        <v>676</v>
      </c>
      <c r="C212" s="20" t="s">
        <v>831</v>
      </c>
      <c r="D212" s="146">
        <v>2560000</v>
      </c>
      <c r="E212" s="20" t="s">
        <v>558</v>
      </c>
      <c r="F212" s="20" t="s">
        <v>559</v>
      </c>
      <c r="G212" s="8" t="str">
        <f t="shared" si="3"/>
        <v>MACDONALD THOMAS</v>
      </c>
    </row>
    <row r="213" spans="1:7" x14ac:dyDescent="0.25">
      <c r="A213" s="8">
        <v>42832.902789351851</v>
      </c>
      <c r="B213" s="20" t="s">
        <v>557</v>
      </c>
      <c r="C213" s="20" t="s">
        <v>834</v>
      </c>
      <c r="D213" s="146">
        <v>2970000</v>
      </c>
      <c r="E213" s="20" t="s">
        <v>455</v>
      </c>
      <c r="F213" s="20" t="s">
        <v>456</v>
      </c>
      <c r="G213" s="8" t="str">
        <f t="shared" si="3"/>
        <v>GUZMAN DANNY</v>
      </c>
    </row>
    <row r="214" spans="1:7" x14ac:dyDescent="0.25">
      <c r="A214" s="8">
        <v>42832.90828703704</v>
      </c>
      <c r="B214" s="20" t="s">
        <v>388</v>
      </c>
      <c r="C214" s="20" t="s">
        <v>835</v>
      </c>
      <c r="D214" s="146">
        <v>2270000</v>
      </c>
      <c r="E214" s="20" t="s">
        <v>208</v>
      </c>
      <c r="F214" s="20" t="s">
        <v>209</v>
      </c>
      <c r="G214" s="8" t="str">
        <f t="shared" si="3"/>
        <v>BROWN JACOB</v>
      </c>
    </row>
    <row r="215" spans="1:7" x14ac:dyDescent="0.25">
      <c r="A215" s="8">
        <v>42832.915682870371</v>
      </c>
      <c r="B215" s="20" t="s">
        <v>645</v>
      </c>
      <c r="C215" s="20" t="s">
        <v>836</v>
      </c>
      <c r="D215" s="146">
        <v>2230000</v>
      </c>
      <c r="E215" s="20" t="s">
        <v>384</v>
      </c>
      <c r="F215" s="20" t="s">
        <v>197</v>
      </c>
      <c r="G215" s="8" t="str">
        <f t="shared" si="3"/>
        <v>SMITH MICHAEL</v>
      </c>
    </row>
    <row r="216" spans="1:7" x14ac:dyDescent="0.25">
      <c r="A216" s="8">
        <v>42832.924675925926</v>
      </c>
      <c r="B216" s="20" t="s">
        <v>416</v>
      </c>
      <c r="C216" s="20" t="s">
        <v>837</v>
      </c>
      <c r="D216" s="146">
        <v>2150000</v>
      </c>
      <c r="E216" s="20" t="s">
        <v>373</v>
      </c>
      <c r="F216" s="20" t="s">
        <v>374</v>
      </c>
      <c r="G216" s="8" t="str">
        <f t="shared" si="3"/>
        <v>SWANSON BRYCE</v>
      </c>
    </row>
    <row r="217" spans="1:7" x14ac:dyDescent="0.25">
      <c r="A217" s="8">
        <v>42832.933333333334</v>
      </c>
      <c r="B217" s="20" t="s">
        <v>379</v>
      </c>
      <c r="C217" s="20" t="s">
        <v>838</v>
      </c>
      <c r="D217" s="146">
        <v>1740000</v>
      </c>
      <c r="E217" s="20" t="s">
        <v>401</v>
      </c>
      <c r="F217" s="20" t="s">
        <v>402</v>
      </c>
      <c r="G217" s="8" t="str">
        <f t="shared" si="3"/>
        <v>STORY SAMANTHA</v>
      </c>
    </row>
    <row r="218" spans="1:7" x14ac:dyDescent="0.25">
      <c r="A218" s="8">
        <v>42832.944884259261</v>
      </c>
      <c r="B218" s="20" t="s">
        <v>676</v>
      </c>
      <c r="C218" s="20" t="s">
        <v>839</v>
      </c>
      <c r="D218" s="146">
        <v>2230000</v>
      </c>
      <c r="E218" s="20" t="s">
        <v>384</v>
      </c>
      <c r="F218" s="20" t="s">
        <v>197</v>
      </c>
      <c r="G218" s="8" t="str">
        <f t="shared" si="3"/>
        <v>SMITH MICHAEL</v>
      </c>
    </row>
    <row r="219" spans="1:7" x14ac:dyDescent="0.25">
      <c r="A219" s="8">
        <v>42832.946875000001</v>
      </c>
      <c r="B219" s="20" t="s">
        <v>687</v>
      </c>
      <c r="C219" s="20" t="s">
        <v>840</v>
      </c>
      <c r="D219" s="146">
        <v>2970000</v>
      </c>
      <c r="E219" s="20" t="s">
        <v>455</v>
      </c>
      <c r="F219" s="20" t="s">
        <v>456</v>
      </c>
      <c r="G219" s="8" t="str">
        <f t="shared" si="3"/>
        <v>GUZMAN DANNY</v>
      </c>
    </row>
    <row r="220" spans="1:7" x14ac:dyDescent="0.25">
      <c r="A220" s="8">
        <v>42832.953726851854</v>
      </c>
      <c r="B220" s="20" t="s">
        <v>200</v>
      </c>
      <c r="C220" s="20" t="s">
        <v>653</v>
      </c>
      <c r="D220" s="146">
        <v>2270000</v>
      </c>
      <c r="E220" s="20" t="s">
        <v>208</v>
      </c>
      <c r="F220" s="20" t="s">
        <v>209</v>
      </c>
      <c r="G220" s="8" t="str">
        <f t="shared" si="3"/>
        <v>BROWN JACOB</v>
      </c>
    </row>
    <row r="221" spans="1:7" x14ac:dyDescent="0.25">
      <c r="A221" s="8">
        <v>42832.968217592592</v>
      </c>
      <c r="B221" s="20" t="s">
        <v>426</v>
      </c>
      <c r="C221" s="20" t="s">
        <v>841</v>
      </c>
      <c r="D221" s="146">
        <v>2150000</v>
      </c>
      <c r="E221" s="20" t="s">
        <v>373</v>
      </c>
      <c r="F221" s="20" t="s">
        <v>374</v>
      </c>
      <c r="G221" s="8" t="str">
        <f t="shared" si="3"/>
        <v>SWANSON BRYCE</v>
      </c>
    </row>
    <row r="222" spans="1:7" x14ac:dyDescent="0.25">
      <c r="A222" s="8">
        <v>42832.977037037039</v>
      </c>
      <c r="B222" s="20" t="s">
        <v>378</v>
      </c>
      <c r="C222" s="20" t="s">
        <v>842</v>
      </c>
      <c r="D222" s="146">
        <v>1740000</v>
      </c>
      <c r="E222" s="20" t="s">
        <v>401</v>
      </c>
      <c r="F222" s="20" t="s">
        <v>402</v>
      </c>
      <c r="G222" s="8" t="str">
        <f t="shared" si="3"/>
        <v>STORY SAMANTHA</v>
      </c>
    </row>
    <row r="223" spans="1:7" x14ac:dyDescent="0.25">
      <c r="A223" s="8">
        <v>42832.985358796293</v>
      </c>
      <c r="B223" s="20" t="s">
        <v>557</v>
      </c>
      <c r="C223" s="20" t="s">
        <v>843</v>
      </c>
      <c r="D223" s="146">
        <v>2970000</v>
      </c>
      <c r="E223" s="20" t="s">
        <v>455</v>
      </c>
      <c r="F223" s="20" t="s">
        <v>456</v>
      </c>
      <c r="G223" s="8" t="str">
        <f t="shared" si="3"/>
        <v>GUZMAN DANNY</v>
      </c>
    </row>
    <row r="224" spans="1:7" x14ac:dyDescent="0.25">
      <c r="A224" s="8">
        <v>42832.991076388891</v>
      </c>
      <c r="B224" t="s">
        <v>388</v>
      </c>
      <c r="C224" t="s">
        <v>844</v>
      </c>
      <c r="D224" s="146">
        <v>2270000</v>
      </c>
      <c r="E224" t="s">
        <v>208</v>
      </c>
      <c r="F224" s="20" t="s">
        <v>209</v>
      </c>
      <c r="G224" s="8" t="str">
        <f t="shared" si="3"/>
        <v>BROWN JACOB</v>
      </c>
    </row>
    <row r="225" spans="1:7" x14ac:dyDescent="0.25">
      <c r="A225" s="8">
        <v>42833.012407407405</v>
      </c>
      <c r="B225" t="s">
        <v>379</v>
      </c>
      <c r="C225" t="s">
        <v>845</v>
      </c>
      <c r="D225" s="146">
        <v>1740000</v>
      </c>
      <c r="E225" t="s">
        <v>401</v>
      </c>
      <c r="F225" s="20" t="s">
        <v>402</v>
      </c>
      <c r="G225" s="8" t="str">
        <f t="shared" si="3"/>
        <v>STORY SAMANTHA</v>
      </c>
    </row>
    <row r="226" spans="1:7" x14ac:dyDescent="0.25">
      <c r="A226" s="8">
        <v>42833.019178240742</v>
      </c>
      <c r="B226" t="s">
        <v>416</v>
      </c>
      <c r="C226" t="s">
        <v>846</v>
      </c>
      <c r="D226" s="146">
        <v>2150000</v>
      </c>
      <c r="E226" t="s">
        <v>373</v>
      </c>
      <c r="F226" s="20" t="s">
        <v>374</v>
      </c>
      <c r="G226" s="8" t="str">
        <f t="shared" si="3"/>
        <v>SWANSON BRYCE</v>
      </c>
    </row>
    <row r="227" spans="1:7" x14ac:dyDescent="0.25">
      <c r="A227" s="8">
        <v>42833.026944444442</v>
      </c>
      <c r="B227" t="s">
        <v>687</v>
      </c>
      <c r="C227" t="s">
        <v>847</v>
      </c>
      <c r="D227" s="146">
        <v>2970000</v>
      </c>
      <c r="E227" t="s">
        <v>455</v>
      </c>
      <c r="F227" s="20" t="s">
        <v>456</v>
      </c>
      <c r="G227" s="8" t="str">
        <f t="shared" si="3"/>
        <v>GUZMAN DANNY</v>
      </c>
    </row>
    <row r="228" spans="1:7" x14ac:dyDescent="0.25">
      <c r="A228" s="8">
        <v>42833.040972222225</v>
      </c>
      <c r="B228" t="s">
        <v>200</v>
      </c>
      <c r="C228" t="s">
        <v>848</v>
      </c>
      <c r="D228" s="146">
        <v>2270000</v>
      </c>
      <c r="E228" t="s">
        <v>208</v>
      </c>
      <c r="F228" s="20" t="s">
        <v>209</v>
      </c>
      <c r="G228" s="8" t="str">
        <f t="shared" si="3"/>
        <v>BROWN JACOB</v>
      </c>
    </row>
    <row r="229" spans="1:7" x14ac:dyDescent="0.25">
      <c r="A229" s="8">
        <v>42833.048958333333</v>
      </c>
      <c r="B229" t="s">
        <v>378</v>
      </c>
      <c r="C229" t="s">
        <v>849</v>
      </c>
      <c r="D229" s="146">
        <v>1740000</v>
      </c>
      <c r="E229" t="s">
        <v>401</v>
      </c>
      <c r="F229" s="20" t="s">
        <v>402</v>
      </c>
      <c r="G229" s="8" t="str">
        <f t="shared" si="3"/>
        <v>STORY SAMANTHA</v>
      </c>
    </row>
    <row r="230" spans="1:7" x14ac:dyDescent="0.25">
      <c r="A230" s="8">
        <v>42833.057685185187</v>
      </c>
      <c r="B230" t="s">
        <v>426</v>
      </c>
      <c r="C230" t="s">
        <v>850</v>
      </c>
      <c r="D230" s="146">
        <v>2150000</v>
      </c>
      <c r="E230" t="s">
        <v>373</v>
      </c>
      <c r="F230" s="20" t="s">
        <v>374</v>
      </c>
      <c r="G230" s="8" t="str">
        <f t="shared" si="3"/>
        <v>SWANSON BRYCE</v>
      </c>
    </row>
    <row r="231" spans="1:7" x14ac:dyDescent="0.25">
      <c r="A231" s="8">
        <v>42833.068055555559</v>
      </c>
      <c r="B231" t="s">
        <v>557</v>
      </c>
      <c r="C231" t="s">
        <v>851</v>
      </c>
      <c r="D231" s="146">
        <v>2970000</v>
      </c>
      <c r="E231" t="s">
        <v>455</v>
      </c>
      <c r="F231" s="20" t="s">
        <v>456</v>
      </c>
      <c r="G231" s="8" t="str">
        <f t="shared" si="3"/>
        <v>GUZMAN DANNY</v>
      </c>
    </row>
    <row r="232" spans="1:7" x14ac:dyDescent="0.25">
      <c r="A232" s="8">
        <v>42833.07608796296</v>
      </c>
      <c r="B232" t="s">
        <v>388</v>
      </c>
      <c r="C232" t="s">
        <v>852</v>
      </c>
      <c r="D232" s="146">
        <v>2270000</v>
      </c>
      <c r="E232" t="s">
        <v>208</v>
      </c>
      <c r="F232" s="20" t="s">
        <v>209</v>
      </c>
      <c r="G232" s="8" t="str">
        <f t="shared" si="3"/>
        <v>BROWN JACOB</v>
      </c>
    </row>
    <row r="233" spans="1:7" x14ac:dyDescent="0.25">
      <c r="A233" s="8">
        <v>42833.093032407407</v>
      </c>
      <c r="B233" t="s">
        <v>416</v>
      </c>
      <c r="C233" t="s">
        <v>853</v>
      </c>
      <c r="D233" s="146">
        <v>2150000</v>
      </c>
      <c r="E233" t="s">
        <v>373</v>
      </c>
      <c r="F233" s="20" t="s">
        <v>374</v>
      </c>
      <c r="G233" s="8" t="str">
        <f t="shared" si="3"/>
        <v>SWANSON BRYCE</v>
      </c>
    </row>
    <row r="234" spans="1:7" x14ac:dyDescent="0.25">
      <c r="A234" s="8">
        <v>42833.109756944446</v>
      </c>
      <c r="B234" t="s">
        <v>200</v>
      </c>
      <c r="C234" t="s">
        <v>854</v>
      </c>
      <c r="D234" s="146">
        <v>2270000</v>
      </c>
      <c r="E234" t="s">
        <v>208</v>
      </c>
      <c r="F234" s="20" t="s">
        <v>209</v>
      </c>
      <c r="G234" s="8" t="str">
        <f t="shared" si="3"/>
        <v>BROWN JACOB</v>
      </c>
    </row>
    <row r="235" spans="1:7" x14ac:dyDescent="0.25">
      <c r="A235" s="8">
        <v>42831.943298611113</v>
      </c>
      <c r="B235" t="s">
        <v>503</v>
      </c>
      <c r="C235" t="s">
        <v>560</v>
      </c>
      <c r="D235" s="146">
        <v>1740000</v>
      </c>
      <c r="E235" t="s">
        <v>401</v>
      </c>
      <c r="F235" s="20" t="s">
        <v>402</v>
      </c>
      <c r="G235" s="8" t="str">
        <f t="shared" si="3"/>
        <v>STORY SAMANTHA</v>
      </c>
    </row>
    <row r="236" spans="1:7" x14ac:dyDescent="0.25">
      <c r="A236" s="8">
        <v>42831.94939814815</v>
      </c>
      <c r="B236" t="s">
        <v>462</v>
      </c>
      <c r="C236" t="s">
        <v>561</v>
      </c>
      <c r="D236" s="146">
        <v>2440000</v>
      </c>
      <c r="E236" t="s">
        <v>518</v>
      </c>
      <c r="F236" s="20" t="s">
        <v>519</v>
      </c>
      <c r="G236" s="8" t="str">
        <f t="shared" si="3"/>
        <v>LOPES KIMBERLY</v>
      </c>
    </row>
    <row r="237" spans="1:7" x14ac:dyDescent="0.25">
      <c r="A237" s="8">
        <v>42831.951331018521</v>
      </c>
      <c r="B237" t="s">
        <v>508</v>
      </c>
      <c r="C237" t="s">
        <v>560</v>
      </c>
      <c r="D237" s="146">
        <v>1740000</v>
      </c>
      <c r="E237" t="s">
        <v>401</v>
      </c>
      <c r="F237" s="20" t="s">
        <v>402</v>
      </c>
      <c r="G237" s="8" t="str">
        <f t="shared" si="3"/>
        <v>STORY SAMANTHA</v>
      </c>
    </row>
    <row r="238" spans="1:7" x14ac:dyDescent="0.25">
      <c r="A238" s="8">
        <v>42831.9528125</v>
      </c>
      <c r="B238" t="s">
        <v>508</v>
      </c>
      <c r="C238" t="s">
        <v>560</v>
      </c>
      <c r="D238" s="146">
        <v>1740000</v>
      </c>
      <c r="E238" t="s">
        <v>401</v>
      </c>
      <c r="F238" s="20" t="s">
        <v>402</v>
      </c>
      <c r="G238" s="8" t="str">
        <f t="shared" si="3"/>
        <v>STORY SAMANTHA</v>
      </c>
    </row>
    <row r="239" spans="1:7" x14ac:dyDescent="0.25">
      <c r="A239" s="8">
        <v>42831.954918981479</v>
      </c>
      <c r="B239" t="s">
        <v>440</v>
      </c>
      <c r="C239" t="s">
        <v>562</v>
      </c>
      <c r="D239" s="146">
        <v>1800000</v>
      </c>
      <c r="E239" t="s">
        <v>397</v>
      </c>
      <c r="F239" s="20" t="s">
        <v>398</v>
      </c>
      <c r="G239" s="8" t="str">
        <f t="shared" si="3"/>
        <v>CHANDLER KELVIN</v>
      </c>
    </row>
    <row r="240" spans="1:7" x14ac:dyDescent="0.25">
      <c r="A240" s="8">
        <v>42831.968055555553</v>
      </c>
      <c r="B240" t="s">
        <v>439</v>
      </c>
      <c r="C240" t="s">
        <v>563</v>
      </c>
      <c r="D240" s="146">
        <v>2150000</v>
      </c>
      <c r="E240" t="s">
        <v>373</v>
      </c>
      <c r="F240" s="20" t="s">
        <v>374</v>
      </c>
      <c r="G240" s="8" t="str">
        <f t="shared" si="3"/>
        <v>SWANSON BRYCE</v>
      </c>
    </row>
    <row r="241" spans="1:7" x14ac:dyDescent="0.25">
      <c r="A241" s="8">
        <v>42831.976076388892</v>
      </c>
      <c r="B241" t="s">
        <v>385</v>
      </c>
      <c r="C241" t="s">
        <v>564</v>
      </c>
      <c r="D241" s="146">
        <v>1810000</v>
      </c>
      <c r="E241" t="s">
        <v>399</v>
      </c>
      <c r="F241" s="20" t="s">
        <v>194</v>
      </c>
      <c r="G241" s="8" t="str">
        <f t="shared" si="3"/>
        <v>NEWELL JAMES</v>
      </c>
    </row>
    <row r="242" spans="1:7" x14ac:dyDescent="0.25">
      <c r="A242" s="8">
        <v>42831.993622685186</v>
      </c>
      <c r="B242" t="s">
        <v>550</v>
      </c>
      <c r="C242" t="s">
        <v>565</v>
      </c>
      <c r="D242" s="146">
        <v>2480000</v>
      </c>
      <c r="E242" t="s">
        <v>514</v>
      </c>
      <c r="F242" s="20" t="s">
        <v>515</v>
      </c>
      <c r="G242" s="8" t="str">
        <f t="shared" si="3"/>
        <v>WHITED DUSTIN</v>
      </c>
    </row>
    <row r="243" spans="1:7" x14ac:dyDescent="0.25">
      <c r="A243" s="8">
        <v>42831.993622685186</v>
      </c>
      <c r="B243" t="s">
        <v>441</v>
      </c>
      <c r="C243" t="s">
        <v>566</v>
      </c>
      <c r="D243" s="146">
        <v>1800000</v>
      </c>
      <c r="E243" t="s">
        <v>397</v>
      </c>
      <c r="F243" s="20" t="s">
        <v>398</v>
      </c>
      <c r="G243" s="8" t="str">
        <f t="shared" si="3"/>
        <v>CHANDLER KELVIN</v>
      </c>
    </row>
    <row r="244" spans="1:7" x14ac:dyDescent="0.25">
      <c r="A244" s="8">
        <v>42832.00917824074</v>
      </c>
      <c r="B244" t="s">
        <v>454</v>
      </c>
      <c r="C244" t="s">
        <v>567</v>
      </c>
      <c r="D244" s="146">
        <v>2150000</v>
      </c>
      <c r="E244" t="s">
        <v>373</v>
      </c>
      <c r="F244" s="20" t="s">
        <v>374</v>
      </c>
      <c r="G244" s="8" t="str">
        <f t="shared" si="3"/>
        <v>SWANSON BRYCE</v>
      </c>
    </row>
    <row r="245" spans="1:7" x14ac:dyDescent="0.25">
      <c r="A245" s="8">
        <v>42832.015138888892</v>
      </c>
      <c r="B245" t="s">
        <v>386</v>
      </c>
      <c r="C245" t="s">
        <v>568</v>
      </c>
      <c r="D245" s="146">
        <v>1810000</v>
      </c>
      <c r="E245" t="s">
        <v>399</v>
      </c>
      <c r="F245" s="20" t="s">
        <v>194</v>
      </c>
      <c r="G245" s="8" t="str">
        <f t="shared" si="3"/>
        <v>NEWELL JAMES</v>
      </c>
    </row>
    <row r="246" spans="1:7" x14ac:dyDescent="0.25">
      <c r="A246" s="8">
        <v>42832.028819444444</v>
      </c>
      <c r="B246" t="s">
        <v>440</v>
      </c>
      <c r="C246" t="s">
        <v>569</v>
      </c>
      <c r="D246" s="146">
        <v>1800000</v>
      </c>
      <c r="E246" t="s">
        <v>397</v>
      </c>
      <c r="F246" s="20" t="s">
        <v>398</v>
      </c>
      <c r="G246" s="8" t="str">
        <f t="shared" si="3"/>
        <v>CHANDLER KELVIN</v>
      </c>
    </row>
    <row r="247" spans="1:7" x14ac:dyDescent="0.25">
      <c r="A247" s="8">
        <v>42832.036076388889</v>
      </c>
      <c r="B247" t="s">
        <v>462</v>
      </c>
      <c r="C247" t="s">
        <v>570</v>
      </c>
      <c r="D247" s="146">
        <v>2480000</v>
      </c>
      <c r="E247" t="s">
        <v>514</v>
      </c>
      <c r="F247" s="20" t="s">
        <v>515</v>
      </c>
      <c r="G247" s="8" t="str">
        <f t="shared" si="3"/>
        <v>WHITED DUSTIN</v>
      </c>
    </row>
    <row r="248" spans="1:7" x14ac:dyDescent="0.25">
      <c r="A248" s="8">
        <v>42832.047430555554</v>
      </c>
      <c r="B248" t="s">
        <v>385</v>
      </c>
      <c r="C248" t="s">
        <v>571</v>
      </c>
      <c r="D248" s="146">
        <v>1810000</v>
      </c>
      <c r="E248" t="s">
        <v>399</v>
      </c>
      <c r="F248" s="20" t="s">
        <v>194</v>
      </c>
      <c r="G248" s="8" t="str">
        <f t="shared" si="3"/>
        <v>NEWELL JAMES</v>
      </c>
    </row>
    <row r="249" spans="1:7" x14ac:dyDescent="0.25">
      <c r="A249" s="8">
        <v>42832.057939814818</v>
      </c>
      <c r="B249" t="s">
        <v>439</v>
      </c>
      <c r="C249" t="s">
        <v>572</v>
      </c>
      <c r="D249" s="146">
        <v>2150000</v>
      </c>
      <c r="E249" t="s">
        <v>373</v>
      </c>
      <c r="F249" s="20" t="s">
        <v>374</v>
      </c>
      <c r="G249" s="8" t="str">
        <f t="shared" si="3"/>
        <v>SWANSON BRYCE</v>
      </c>
    </row>
    <row r="250" spans="1:7" x14ac:dyDescent="0.25">
      <c r="A250" s="8">
        <v>42832.068240740744</v>
      </c>
      <c r="B250" t="s">
        <v>550</v>
      </c>
      <c r="C250" t="s">
        <v>573</v>
      </c>
      <c r="D250" s="146">
        <v>2480000</v>
      </c>
      <c r="E250" t="s">
        <v>514</v>
      </c>
      <c r="F250" s="20" t="s">
        <v>515</v>
      </c>
      <c r="G250" s="8" t="str">
        <f t="shared" si="3"/>
        <v>WHITED DUSTIN</v>
      </c>
    </row>
    <row r="251" spans="1:7" x14ac:dyDescent="0.25">
      <c r="A251" s="8">
        <v>42832.090752314813</v>
      </c>
      <c r="B251" t="s">
        <v>454</v>
      </c>
      <c r="C251" t="s">
        <v>574</v>
      </c>
      <c r="D251" s="146">
        <v>2150000</v>
      </c>
      <c r="E251" t="s">
        <v>373</v>
      </c>
      <c r="F251" s="20" t="s">
        <v>374</v>
      </c>
      <c r="G251" s="8" t="str">
        <f t="shared" si="3"/>
        <v>SWANSON BRYCE</v>
      </c>
    </row>
    <row r="252" spans="1:7" x14ac:dyDescent="0.25">
      <c r="A252" s="8">
        <v>42829.913263888891</v>
      </c>
      <c r="B252" t="s">
        <v>416</v>
      </c>
      <c r="C252" t="s">
        <v>474</v>
      </c>
      <c r="D252" s="146">
        <v>1740000</v>
      </c>
      <c r="E252" t="s">
        <v>401</v>
      </c>
      <c r="F252" s="20" t="s">
        <v>402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454</v>
      </c>
      <c r="C253" t="s">
        <v>475</v>
      </c>
      <c r="D253" s="146">
        <v>2150000</v>
      </c>
      <c r="E253" t="s">
        <v>373</v>
      </c>
      <c r="F253" s="20" t="s">
        <v>374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382</v>
      </c>
      <c r="C254" t="s">
        <v>473</v>
      </c>
      <c r="D254" s="146">
        <v>2680000</v>
      </c>
      <c r="E254" t="s">
        <v>435</v>
      </c>
      <c r="F254" s="20" t="s">
        <v>436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380</v>
      </c>
      <c r="C255" t="s">
        <v>476</v>
      </c>
      <c r="D255" s="146">
        <v>2970000</v>
      </c>
      <c r="E255" t="s">
        <v>455</v>
      </c>
      <c r="F255" s="20" t="s">
        <v>456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383</v>
      </c>
      <c r="C256" t="s">
        <v>465</v>
      </c>
      <c r="D256" s="146">
        <v>2680000</v>
      </c>
      <c r="E256" t="s">
        <v>435</v>
      </c>
      <c r="F256" s="20" t="s">
        <v>436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441</v>
      </c>
      <c r="C257" t="s">
        <v>477</v>
      </c>
      <c r="D257" s="146">
        <v>1810000</v>
      </c>
      <c r="E257" t="s">
        <v>399</v>
      </c>
      <c r="F257" s="20" t="s">
        <v>194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439</v>
      </c>
      <c r="C258" t="s">
        <v>478</v>
      </c>
      <c r="D258" s="146">
        <v>2150000</v>
      </c>
      <c r="E258" t="s">
        <v>373</v>
      </c>
      <c r="F258" s="20" t="s">
        <v>374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382</v>
      </c>
      <c r="C259" t="s">
        <v>473</v>
      </c>
      <c r="D259" s="146">
        <v>2680000</v>
      </c>
      <c r="E259" t="s">
        <v>435</v>
      </c>
      <c r="F259" s="20" t="s">
        <v>436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426</v>
      </c>
      <c r="C260" t="s">
        <v>479</v>
      </c>
      <c r="D260" s="146">
        <v>1740000</v>
      </c>
      <c r="E260" t="s">
        <v>401</v>
      </c>
      <c r="F260" s="20" t="s">
        <v>402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404</v>
      </c>
      <c r="C261" t="s">
        <v>480</v>
      </c>
      <c r="D261" s="146">
        <v>1800000</v>
      </c>
      <c r="E261" t="s">
        <v>397</v>
      </c>
      <c r="F261" s="20" t="s">
        <v>398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383</v>
      </c>
      <c r="C262" t="s">
        <v>465</v>
      </c>
      <c r="D262" s="146">
        <v>2680000</v>
      </c>
      <c r="E262" t="s">
        <v>435</v>
      </c>
      <c r="F262" s="20" t="s">
        <v>436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427</v>
      </c>
      <c r="C263" t="s">
        <v>481</v>
      </c>
      <c r="D263" s="146">
        <v>2970000</v>
      </c>
      <c r="E263" t="s">
        <v>455</v>
      </c>
      <c r="F263" s="20" t="s">
        <v>456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383</v>
      </c>
      <c r="C264" t="s">
        <v>465</v>
      </c>
      <c r="D264" s="146">
        <v>2680000</v>
      </c>
      <c r="E264" t="s">
        <v>435</v>
      </c>
      <c r="F264" s="20" t="s">
        <v>436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440</v>
      </c>
      <c r="C265" t="s">
        <v>464</v>
      </c>
      <c r="D265" s="146">
        <v>1810000</v>
      </c>
      <c r="E265" t="s">
        <v>399</v>
      </c>
      <c r="F265" s="20" t="s">
        <v>194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382</v>
      </c>
      <c r="C266" t="s">
        <v>473</v>
      </c>
      <c r="D266" s="146">
        <v>2680000</v>
      </c>
      <c r="E266" t="s">
        <v>435</v>
      </c>
      <c r="F266" s="20" t="s">
        <v>436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383</v>
      </c>
      <c r="C267" t="s">
        <v>465</v>
      </c>
      <c r="D267" s="146">
        <v>2680000</v>
      </c>
      <c r="E267" t="s">
        <v>435</v>
      </c>
      <c r="F267" s="20" t="s">
        <v>436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416</v>
      </c>
      <c r="C268" t="s">
        <v>482</v>
      </c>
      <c r="D268" s="146">
        <v>1740000</v>
      </c>
      <c r="E268" t="s">
        <v>401</v>
      </c>
      <c r="F268" s="20" t="s">
        <v>402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405</v>
      </c>
      <c r="C269" t="s">
        <v>483</v>
      </c>
      <c r="D269" s="146">
        <v>1800000</v>
      </c>
      <c r="E269" t="s">
        <v>397</v>
      </c>
      <c r="F269" s="20" t="s">
        <v>398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382</v>
      </c>
      <c r="C270" t="s">
        <v>473</v>
      </c>
      <c r="D270" s="146">
        <v>2680000</v>
      </c>
      <c r="E270" t="s">
        <v>435</v>
      </c>
      <c r="F270" s="20" t="s">
        <v>436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383</v>
      </c>
      <c r="C271" t="s">
        <v>465</v>
      </c>
      <c r="D271" s="146">
        <v>2680000</v>
      </c>
      <c r="E271" t="s">
        <v>435</v>
      </c>
      <c r="F271" s="20" t="s">
        <v>436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380</v>
      </c>
      <c r="C272" t="s">
        <v>484</v>
      </c>
      <c r="D272" s="146">
        <v>2970000</v>
      </c>
      <c r="E272" t="s">
        <v>455</v>
      </c>
      <c r="F272" s="20" t="s">
        <v>456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382</v>
      </c>
      <c r="C273" t="s">
        <v>473</v>
      </c>
      <c r="D273" s="146">
        <v>2680000</v>
      </c>
      <c r="E273" t="s">
        <v>435</v>
      </c>
      <c r="F273" s="20" t="s">
        <v>436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383</v>
      </c>
      <c r="C274" t="s">
        <v>465</v>
      </c>
      <c r="D274" s="146">
        <v>2680000</v>
      </c>
      <c r="E274" t="s">
        <v>435</v>
      </c>
      <c r="F274" s="20" t="s">
        <v>436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441</v>
      </c>
      <c r="C275" t="s">
        <v>485</v>
      </c>
      <c r="D275" s="146">
        <v>1810000</v>
      </c>
      <c r="E275" t="s">
        <v>399</v>
      </c>
      <c r="F275" s="20" t="s">
        <v>194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382</v>
      </c>
      <c r="C276" t="s">
        <v>473</v>
      </c>
      <c r="D276" s="146">
        <v>2680000</v>
      </c>
      <c r="E276" t="s">
        <v>435</v>
      </c>
      <c r="F276" s="20" t="s">
        <v>436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383</v>
      </c>
      <c r="C277" t="s">
        <v>465</v>
      </c>
      <c r="D277" s="146">
        <v>2680000</v>
      </c>
      <c r="E277" t="s">
        <v>435</v>
      </c>
      <c r="F277" s="20" t="s">
        <v>436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382</v>
      </c>
      <c r="C278" t="s">
        <v>473</v>
      </c>
      <c r="D278" s="146">
        <v>2680000</v>
      </c>
      <c r="E278" t="s">
        <v>435</v>
      </c>
      <c r="F278" s="20" t="s">
        <v>436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404</v>
      </c>
      <c r="C279" t="s">
        <v>486</v>
      </c>
      <c r="D279" s="146">
        <v>1800000</v>
      </c>
      <c r="E279" t="s">
        <v>397</v>
      </c>
      <c r="F279" s="20" t="s">
        <v>398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426</v>
      </c>
      <c r="C280" t="s">
        <v>487</v>
      </c>
      <c r="D280" s="146">
        <v>1740000</v>
      </c>
      <c r="E280" t="s">
        <v>401</v>
      </c>
      <c r="F280" s="20" t="s">
        <v>402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427</v>
      </c>
      <c r="C281" t="s">
        <v>488</v>
      </c>
      <c r="D281" s="146">
        <v>2970000</v>
      </c>
      <c r="E281" t="s">
        <v>455</v>
      </c>
      <c r="F281" s="20" t="s">
        <v>456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440</v>
      </c>
      <c r="C282" t="s">
        <v>489</v>
      </c>
      <c r="D282" s="146">
        <v>1810000</v>
      </c>
      <c r="E282" t="s">
        <v>399</v>
      </c>
      <c r="F282" s="20" t="s">
        <v>194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416</v>
      </c>
      <c r="C283" t="s">
        <v>490</v>
      </c>
      <c r="D283" s="146">
        <v>1740000</v>
      </c>
      <c r="E283" t="s">
        <v>401</v>
      </c>
      <c r="F283" s="20" t="s">
        <v>402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383</v>
      </c>
      <c r="C284" t="s">
        <v>465</v>
      </c>
      <c r="D284" s="146">
        <v>2680000</v>
      </c>
      <c r="E284" t="s">
        <v>435</v>
      </c>
      <c r="F284" s="20" t="s">
        <v>436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383</v>
      </c>
      <c r="C285" t="s">
        <v>465</v>
      </c>
      <c r="D285" s="146">
        <v>2680000</v>
      </c>
      <c r="E285" t="s">
        <v>435</v>
      </c>
      <c r="F285" s="20" t="s">
        <v>436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380</v>
      </c>
      <c r="C286" t="s">
        <v>491</v>
      </c>
      <c r="D286" s="146">
        <v>2970000</v>
      </c>
      <c r="E286" t="s">
        <v>455</v>
      </c>
      <c r="F286" s="20" t="s">
        <v>456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200</v>
      </c>
      <c r="C287" t="s">
        <v>389</v>
      </c>
      <c r="D287" s="146">
        <v>2230000</v>
      </c>
      <c r="E287" t="s">
        <v>384</v>
      </c>
      <c r="F287" s="20" t="s">
        <v>197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379</v>
      </c>
      <c r="C288" t="s">
        <v>390</v>
      </c>
      <c r="D288" s="146">
        <v>2000000</v>
      </c>
      <c r="E288" t="s">
        <v>377</v>
      </c>
      <c r="F288" s="20" t="s">
        <v>194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387</v>
      </c>
      <c r="C289" t="s">
        <v>391</v>
      </c>
      <c r="D289" s="146">
        <v>2150000</v>
      </c>
      <c r="E289" t="s">
        <v>373</v>
      </c>
      <c r="F289" s="20" t="s">
        <v>374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387</v>
      </c>
      <c r="C290" t="s">
        <v>391</v>
      </c>
      <c r="D290" s="146">
        <v>2150000</v>
      </c>
      <c r="E290" t="s">
        <v>373</v>
      </c>
      <c r="F290" s="20" t="s">
        <v>374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387</v>
      </c>
      <c r="C291" t="s">
        <v>391</v>
      </c>
      <c r="D291" s="146">
        <v>2150000</v>
      </c>
      <c r="E291" t="s">
        <v>373</v>
      </c>
      <c r="F291" s="20" t="s">
        <v>374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388</v>
      </c>
      <c r="C292" t="s">
        <v>392</v>
      </c>
      <c r="D292" s="146">
        <v>2230000</v>
      </c>
      <c r="E292" t="s">
        <v>384</v>
      </c>
      <c r="F292" s="20" t="s">
        <v>197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375</v>
      </c>
      <c r="C293" t="s">
        <v>393</v>
      </c>
      <c r="D293" s="146">
        <v>2270000</v>
      </c>
      <c r="E293" t="s">
        <v>208</v>
      </c>
      <c r="F293" s="20" t="s">
        <v>209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375</v>
      </c>
      <c r="C294" t="s">
        <v>393</v>
      </c>
      <c r="D294" s="146">
        <v>2270000</v>
      </c>
      <c r="E294" t="s">
        <v>208</v>
      </c>
      <c r="F294" s="20" t="s">
        <v>209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375</v>
      </c>
      <c r="C295" t="s">
        <v>393</v>
      </c>
      <c r="D295" s="146">
        <v>2270000</v>
      </c>
      <c r="E295" t="s">
        <v>208</v>
      </c>
      <c r="F295" s="20" t="s">
        <v>209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383</v>
      </c>
      <c r="C296" t="s">
        <v>394</v>
      </c>
      <c r="D296" s="146">
        <v>2150000</v>
      </c>
      <c r="E296" t="s">
        <v>373</v>
      </c>
      <c r="F296" s="20" t="s">
        <v>374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376</v>
      </c>
      <c r="C297" t="s">
        <v>395</v>
      </c>
      <c r="D297" s="146">
        <v>2270000</v>
      </c>
      <c r="E297" t="s">
        <v>208</v>
      </c>
      <c r="F297" s="20" t="s">
        <v>209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163</v>
      </c>
      <c r="K1" s="186" t="s">
        <v>161</v>
      </c>
      <c r="L1" s="186" t="s">
        <v>156</v>
      </c>
      <c r="M1" s="186" t="s">
        <v>166</v>
      </c>
      <c r="N1" s="186" t="s">
        <v>160</v>
      </c>
      <c r="O1" s="186" t="s">
        <v>167</v>
      </c>
      <c r="P1" s="186" t="s">
        <v>164</v>
      </c>
      <c r="Q1"/>
      <c r="R1"/>
    </row>
    <row r="2" spans="1:18" x14ac:dyDescent="0.25">
      <c r="A2" s="164">
        <v>44.06</v>
      </c>
      <c r="B2" s="164">
        <v>0.28999999999999998</v>
      </c>
      <c r="C2" s="164">
        <v>30.02</v>
      </c>
      <c r="D2" s="8">
        <v>42832</v>
      </c>
      <c r="E2" s="164">
        <v>0.52</v>
      </c>
      <c r="F2" s="164" t="s">
        <v>428</v>
      </c>
      <c r="G2" s="164">
        <v>298.02</v>
      </c>
      <c r="H2" s="164">
        <v>0</v>
      </c>
      <c r="I2" s="164">
        <v>0</v>
      </c>
      <c r="J2" s="164">
        <v>1015.56</v>
      </c>
      <c r="K2" s="164" t="s">
        <v>347</v>
      </c>
      <c r="L2" s="164">
        <v>46.69</v>
      </c>
      <c r="M2" s="164">
        <v>1491544800</v>
      </c>
      <c r="N2" s="164">
        <v>7.99</v>
      </c>
      <c r="O2" s="164">
        <v>211</v>
      </c>
      <c r="P2" s="164">
        <v>5.44</v>
      </c>
      <c r="Q2"/>
      <c r="R2"/>
    </row>
    <row r="3" spans="1:18" x14ac:dyDescent="0.25">
      <c r="A3" s="164">
        <v>42.75</v>
      </c>
      <c r="B3" s="164">
        <v>0.38</v>
      </c>
      <c r="C3" s="164">
        <v>31.35</v>
      </c>
      <c r="D3" s="8">
        <v>42832.041666666664</v>
      </c>
      <c r="E3" s="164">
        <v>0.56999999999999995</v>
      </c>
      <c r="F3" s="164" t="s">
        <v>428</v>
      </c>
      <c r="G3" s="164">
        <v>298.52</v>
      </c>
      <c r="H3" s="164">
        <v>0</v>
      </c>
      <c r="I3" s="164">
        <v>0</v>
      </c>
      <c r="J3" s="164">
        <v>1015.74</v>
      </c>
      <c r="K3" s="164" t="s">
        <v>347</v>
      </c>
      <c r="L3" s="164">
        <v>45.78</v>
      </c>
      <c r="M3" s="164">
        <v>1491548400</v>
      </c>
      <c r="N3" s="164">
        <v>8.14</v>
      </c>
      <c r="O3" s="164">
        <v>212</v>
      </c>
      <c r="P3" s="164">
        <v>5.83</v>
      </c>
      <c r="Q3"/>
      <c r="R3"/>
    </row>
    <row r="4" spans="1:18" x14ac:dyDescent="0.25">
      <c r="A4" s="164">
        <v>42.17</v>
      </c>
      <c r="B4" s="164">
        <v>0.48</v>
      </c>
      <c r="C4" s="164">
        <v>30.96</v>
      </c>
      <c r="D4" s="8">
        <v>42832.083333333336</v>
      </c>
      <c r="E4" s="164">
        <v>0.57999999999999996</v>
      </c>
      <c r="F4" s="164" t="s">
        <v>428</v>
      </c>
      <c r="G4" s="164">
        <v>299.02999999999997</v>
      </c>
      <c r="H4" s="164">
        <v>0</v>
      </c>
      <c r="I4" s="164">
        <v>0</v>
      </c>
      <c r="J4" s="164">
        <v>1015.83</v>
      </c>
      <c r="K4" s="164" t="s">
        <v>347</v>
      </c>
      <c r="L4" s="164">
        <v>44.93</v>
      </c>
      <c r="M4" s="164">
        <v>1491552000</v>
      </c>
      <c r="N4" s="164">
        <v>8.09</v>
      </c>
      <c r="O4" s="164">
        <v>207</v>
      </c>
      <c r="P4" s="164">
        <v>5.15</v>
      </c>
      <c r="Q4"/>
      <c r="R4"/>
    </row>
    <row r="5" spans="1:18" x14ac:dyDescent="0.25">
      <c r="A5" s="164">
        <v>40.590000000000003</v>
      </c>
      <c r="B5" s="164">
        <v>0.54</v>
      </c>
      <c r="C5" s="164">
        <v>29.85</v>
      </c>
      <c r="D5" s="8">
        <v>42832.125</v>
      </c>
      <c r="E5" s="164">
        <v>0.57999999999999996</v>
      </c>
      <c r="F5" s="164" t="s">
        <v>428</v>
      </c>
      <c r="G5" s="164">
        <v>299.52999999999997</v>
      </c>
      <c r="H5" s="164">
        <v>0</v>
      </c>
      <c r="I5" s="164">
        <v>0</v>
      </c>
      <c r="J5" s="164">
        <v>1015.9</v>
      </c>
      <c r="K5" s="164" t="s">
        <v>347</v>
      </c>
      <c r="L5" s="164">
        <v>43.58</v>
      </c>
      <c r="M5" s="164">
        <v>1491555600</v>
      </c>
      <c r="N5" s="164">
        <v>8</v>
      </c>
      <c r="O5" s="164">
        <v>214</v>
      </c>
      <c r="P5" s="164">
        <v>5.13</v>
      </c>
      <c r="Q5"/>
      <c r="R5"/>
    </row>
    <row r="6" spans="1:18" x14ac:dyDescent="0.25">
      <c r="A6" s="164">
        <v>39.24</v>
      </c>
      <c r="B6" s="164">
        <v>0.61</v>
      </c>
      <c r="C6" s="164">
        <v>28.58</v>
      </c>
      <c r="D6" s="8">
        <v>42832.166666666664</v>
      </c>
      <c r="E6" s="164">
        <v>0.57999999999999996</v>
      </c>
      <c r="F6" s="164" t="s">
        <v>428</v>
      </c>
      <c r="G6" s="164">
        <v>300.29000000000002</v>
      </c>
      <c r="H6" s="164">
        <v>0</v>
      </c>
      <c r="I6" s="164">
        <v>0</v>
      </c>
      <c r="J6" s="164">
        <v>1015.34</v>
      </c>
      <c r="K6" s="164" t="s">
        <v>855</v>
      </c>
      <c r="L6" s="164">
        <v>42.44</v>
      </c>
      <c r="M6" s="164">
        <v>1491559200</v>
      </c>
      <c r="N6" s="164">
        <v>8.08</v>
      </c>
      <c r="O6" s="164">
        <v>220</v>
      </c>
      <c r="P6" s="164">
        <v>5.13</v>
      </c>
      <c r="Q6"/>
      <c r="R6"/>
    </row>
    <row r="7" spans="1:18" x14ac:dyDescent="0.25">
      <c r="A7" s="164">
        <v>38.78</v>
      </c>
      <c r="B7" s="164">
        <v>0.68</v>
      </c>
      <c r="C7" s="164">
        <v>27.14</v>
      </c>
      <c r="D7" s="8">
        <v>42832.208333333336</v>
      </c>
      <c r="E7" s="164">
        <v>0.56000000000000005</v>
      </c>
      <c r="F7" s="164" t="s">
        <v>428</v>
      </c>
      <c r="G7" s="164">
        <v>301.19</v>
      </c>
      <c r="H7" s="164">
        <v>0</v>
      </c>
      <c r="I7" s="164">
        <v>0</v>
      </c>
      <c r="J7" s="164">
        <v>1014.33</v>
      </c>
      <c r="K7" s="164" t="s">
        <v>855</v>
      </c>
      <c r="L7" s="164">
        <v>41.76</v>
      </c>
      <c r="M7" s="164">
        <v>1491562800</v>
      </c>
      <c r="N7" s="164">
        <v>8.56</v>
      </c>
      <c r="O7" s="164">
        <v>227</v>
      </c>
      <c r="P7" s="164">
        <v>4.6900000000000004</v>
      </c>
      <c r="Q7"/>
      <c r="R7"/>
    </row>
    <row r="8" spans="1:18" x14ac:dyDescent="0.25">
      <c r="A8" s="164">
        <v>39.54</v>
      </c>
      <c r="B8" s="164">
        <v>0.67</v>
      </c>
      <c r="C8" s="164">
        <v>26.21</v>
      </c>
      <c r="D8" s="8">
        <v>42832.25</v>
      </c>
      <c r="E8" s="164">
        <v>0.53</v>
      </c>
      <c r="F8" s="164" t="s">
        <v>428</v>
      </c>
      <c r="G8" s="164">
        <v>302.27</v>
      </c>
      <c r="H8" s="164">
        <v>0</v>
      </c>
      <c r="I8" s="164">
        <v>0</v>
      </c>
      <c r="J8" s="164">
        <v>1013.36</v>
      </c>
      <c r="K8" s="164" t="s">
        <v>855</v>
      </c>
      <c r="L8" s="164">
        <v>42.03</v>
      </c>
      <c r="M8" s="164">
        <v>1491566400</v>
      </c>
      <c r="N8" s="164">
        <v>8.9</v>
      </c>
      <c r="O8" s="164">
        <v>222</v>
      </c>
      <c r="P8" s="164">
        <v>4.1399999999999997</v>
      </c>
      <c r="Q8"/>
      <c r="R8"/>
    </row>
    <row r="9" spans="1:18" x14ac:dyDescent="0.25">
      <c r="A9" s="164">
        <v>41.97</v>
      </c>
      <c r="B9" s="164">
        <v>0.72</v>
      </c>
      <c r="C9" s="164">
        <v>27.07</v>
      </c>
      <c r="D9" s="8">
        <v>42832.291666666664</v>
      </c>
      <c r="E9" s="164">
        <v>0.52</v>
      </c>
      <c r="F9" s="164" t="s">
        <v>348</v>
      </c>
      <c r="G9" s="164">
        <v>303.95999999999998</v>
      </c>
      <c r="H9" s="164">
        <v>0</v>
      </c>
      <c r="I9" s="164">
        <v>0</v>
      </c>
      <c r="J9" s="164">
        <v>1012.88</v>
      </c>
      <c r="K9" s="164" t="s">
        <v>855</v>
      </c>
      <c r="L9" s="164">
        <v>43.65</v>
      </c>
      <c r="M9" s="164">
        <v>1491570000</v>
      </c>
      <c r="N9" s="164">
        <v>8.1999999999999993</v>
      </c>
      <c r="O9" s="164">
        <v>211</v>
      </c>
      <c r="P9" s="164">
        <v>3.51</v>
      </c>
      <c r="Q9"/>
      <c r="R9"/>
    </row>
    <row r="10" spans="1:18" x14ac:dyDescent="0.25">
      <c r="A10" s="164">
        <v>45.54</v>
      </c>
      <c r="B10" s="164">
        <v>0.63</v>
      </c>
      <c r="C10" s="164">
        <v>28.95</v>
      </c>
      <c r="D10" s="8">
        <v>42832.333333333336</v>
      </c>
      <c r="E10" s="164">
        <v>0.48</v>
      </c>
      <c r="F10" s="164" t="s">
        <v>348</v>
      </c>
      <c r="G10" s="164">
        <v>305.82</v>
      </c>
      <c r="H10" s="164">
        <v>0</v>
      </c>
      <c r="I10" s="164">
        <v>0</v>
      </c>
      <c r="J10" s="164">
        <v>1012.5</v>
      </c>
      <c r="K10" s="164" t="s">
        <v>855</v>
      </c>
      <c r="L10" s="164">
        <v>47.42</v>
      </c>
      <c r="M10" s="164">
        <v>1491573600</v>
      </c>
      <c r="N10" s="164">
        <v>7.78</v>
      </c>
      <c r="O10" s="164">
        <v>227</v>
      </c>
      <c r="P10" s="164">
        <v>4.47</v>
      </c>
      <c r="Q10"/>
      <c r="R10"/>
    </row>
    <row r="11" spans="1:18" x14ac:dyDescent="0.25">
      <c r="A11" s="164">
        <v>53.99</v>
      </c>
      <c r="B11" s="164">
        <v>0.54</v>
      </c>
      <c r="C11" s="164">
        <v>31.59</v>
      </c>
      <c r="D11" s="8">
        <v>42832.375</v>
      </c>
      <c r="E11" s="164">
        <v>0.42</v>
      </c>
      <c r="F11" s="164" t="s">
        <v>348</v>
      </c>
      <c r="G11" s="164">
        <v>306.63</v>
      </c>
      <c r="H11" s="164">
        <v>0</v>
      </c>
      <c r="I11" s="164">
        <v>0</v>
      </c>
      <c r="J11" s="164">
        <v>1011.87</v>
      </c>
      <c r="K11" s="164" t="s">
        <v>347</v>
      </c>
      <c r="L11" s="164">
        <v>53.99</v>
      </c>
      <c r="M11" s="164">
        <v>1491577200</v>
      </c>
      <c r="N11" s="164">
        <v>7.58</v>
      </c>
      <c r="O11" s="164">
        <v>216</v>
      </c>
      <c r="P11" s="164">
        <v>5.08</v>
      </c>
      <c r="Q11"/>
      <c r="R11"/>
    </row>
    <row r="12" spans="1:18" x14ac:dyDescent="0.25">
      <c r="A12" s="164">
        <v>60.51</v>
      </c>
      <c r="B12" s="164">
        <v>0.54</v>
      </c>
      <c r="C12" s="164">
        <v>32.520000000000003</v>
      </c>
      <c r="D12" s="8">
        <v>42832.416666666664</v>
      </c>
      <c r="E12" s="164">
        <v>0.35</v>
      </c>
      <c r="F12" s="164" t="s">
        <v>348</v>
      </c>
      <c r="G12" s="164">
        <v>305.37</v>
      </c>
      <c r="H12" s="164">
        <v>0</v>
      </c>
      <c r="I12" s="164">
        <v>0</v>
      </c>
      <c r="J12" s="164">
        <v>1010.77</v>
      </c>
      <c r="K12" s="164" t="s">
        <v>347</v>
      </c>
      <c r="L12" s="164">
        <v>60.51</v>
      </c>
      <c r="M12" s="164">
        <v>1491580800</v>
      </c>
      <c r="N12" s="164">
        <v>7.55</v>
      </c>
      <c r="O12" s="164">
        <v>205</v>
      </c>
      <c r="P12" s="164">
        <v>5.19</v>
      </c>
      <c r="Q12"/>
      <c r="R12"/>
    </row>
    <row r="13" spans="1:18" x14ac:dyDescent="0.25">
      <c r="A13" s="164">
        <v>67.08</v>
      </c>
      <c r="B13" s="164">
        <v>0.52</v>
      </c>
      <c r="C13" s="164">
        <v>32.22</v>
      </c>
      <c r="D13" s="8">
        <v>42832.458333333336</v>
      </c>
      <c r="E13" s="164">
        <v>0.27</v>
      </c>
      <c r="F13" s="164" t="s">
        <v>348</v>
      </c>
      <c r="G13" s="164">
        <v>303.05</v>
      </c>
      <c r="H13" s="164">
        <v>0</v>
      </c>
      <c r="I13" s="164">
        <v>0</v>
      </c>
      <c r="J13" s="164">
        <v>1009.57</v>
      </c>
      <c r="K13" s="164" t="s">
        <v>347</v>
      </c>
      <c r="L13" s="164">
        <v>67.08</v>
      </c>
      <c r="M13" s="164">
        <v>1491584400</v>
      </c>
      <c r="N13" s="164">
        <v>7.59</v>
      </c>
      <c r="O13" s="164">
        <v>196</v>
      </c>
      <c r="P13" s="164">
        <v>4.9400000000000004</v>
      </c>
      <c r="Q13"/>
      <c r="R13"/>
    </row>
    <row r="14" spans="1:18" x14ac:dyDescent="0.25">
      <c r="A14" s="164">
        <v>71.22</v>
      </c>
      <c r="B14" s="164">
        <v>0.53</v>
      </c>
      <c r="C14" s="164">
        <v>31.16</v>
      </c>
      <c r="D14" s="8">
        <v>42832.5</v>
      </c>
      <c r="E14" s="164">
        <v>0.23</v>
      </c>
      <c r="F14" s="164" t="s">
        <v>348</v>
      </c>
      <c r="G14" s="164">
        <v>301.42</v>
      </c>
      <c r="H14" s="164">
        <v>0</v>
      </c>
      <c r="I14" s="164">
        <v>0</v>
      </c>
      <c r="J14" s="164">
        <v>1008.55</v>
      </c>
      <c r="K14" s="164" t="s">
        <v>347</v>
      </c>
      <c r="L14" s="164">
        <v>71.22</v>
      </c>
      <c r="M14" s="164">
        <v>1491588000</v>
      </c>
      <c r="N14" s="164">
        <v>7.67</v>
      </c>
      <c r="O14" s="164">
        <v>184</v>
      </c>
      <c r="P14" s="164">
        <v>4.12</v>
      </c>
      <c r="Q14"/>
      <c r="R14"/>
    </row>
    <row r="15" spans="1:18" x14ac:dyDescent="0.25">
      <c r="A15" s="164">
        <v>73.010000000000005</v>
      </c>
      <c r="B15" s="164">
        <v>0.6</v>
      </c>
      <c r="C15" s="164">
        <v>32.15</v>
      </c>
      <c r="D15" s="8">
        <v>42832.541666666664</v>
      </c>
      <c r="E15" s="164">
        <v>0.22</v>
      </c>
      <c r="F15" s="164" t="s">
        <v>348</v>
      </c>
      <c r="G15" s="164">
        <v>301.45999999999998</v>
      </c>
      <c r="H15" s="164">
        <v>0</v>
      </c>
      <c r="I15" s="164">
        <v>0</v>
      </c>
      <c r="J15" s="164">
        <v>1007.88</v>
      </c>
      <c r="K15" s="164" t="s">
        <v>855</v>
      </c>
      <c r="L15" s="164">
        <v>73.010000000000005</v>
      </c>
      <c r="M15" s="164">
        <v>1491591600</v>
      </c>
      <c r="N15" s="164">
        <v>7.72</v>
      </c>
      <c r="O15" s="164">
        <v>224</v>
      </c>
      <c r="P15" s="164">
        <v>4.28</v>
      </c>
      <c r="Q15"/>
      <c r="R15"/>
    </row>
    <row r="16" spans="1:18" x14ac:dyDescent="0.25">
      <c r="A16" s="164">
        <v>73.739999999999995</v>
      </c>
      <c r="B16" s="164">
        <v>0.7</v>
      </c>
      <c r="C16" s="164">
        <v>32.950000000000003</v>
      </c>
      <c r="D16" s="8">
        <v>42832.583333333336</v>
      </c>
      <c r="E16" s="164">
        <v>0.22</v>
      </c>
      <c r="F16" s="164" t="s">
        <v>348</v>
      </c>
      <c r="G16" s="164">
        <v>302.19</v>
      </c>
      <c r="H16" s="164">
        <v>0</v>
      </c>
      <c r="I16" s="164">
        <v>0</v>
      </c>
      <c r="J16" s="164">
        <v>1007.38</v>
      </c>
      <c r="K16" s="164" t="s">
        <v>855</v>
      </c>
      <c r="L16" s="164">
        <v>73.739999999999995</v>
      </c>
      <c r="M16" s="164">
        <v>1491595200</v>
      </c>
      <c r="N16" s="164">
        <v>7.73</v>
      </c>
      <c r="O16" s="164">
        <v>223</v>
      </c>
      <c r="P16" s="164">
        <v>3.5</v>
      </c>
      <c r="Q16"/>
      <c r="R16"/>
    </row>
    <row r="17" spans="1:18" x14ac:dyDescent="0.25">
      <c r="A17" s="164">
        <v>73.739999999999995</v>
      </c>
      <c r="B17" s="164">
        <v>0.61</v>
      </c>
      <c r="C17" s="164">
        <v>33.159999999999997</v>
      </c>
      <c r="D17" s="8">
        <v>42832.625</v>
      </c>
      <c r="E17" s="164">
        <v>0.23</v>
      </c>
      <c r="F17" s="164" t="s">
        <v>348</v>
      </c>
      <c r="G17" s="164">
        <v>302.36</v>
      </c>
      <c r="H17" s="164">
        <v>0</v>
      </c>
      <c r="I17" s="164">
        <v>0</v>
      </c>
      <c r="J17" s="164">
        <v>1006.84</v>
      </c>
      <c r="K17" s="164" t="s">
        <v>855</v>
      </c>
      <c r="L17" s="164">
        <v>73.739999999999995</v>
      </c>
      <c r="M17" s="164">
        <v>1491598800</v>
      </c>
      <c r="N17" s="164">
        <v>8.59</v>
      </c>
      <c r="O17" s="164">
        <v>245</v>
      </c>
      <c r="P17" s="164">
        <v>4.46</v>
      </c>
      <c r="Q17"/>
      <c r="R17"/>
    </row>
    <row r="18" spans="1:18" x14ac:dyDescent="0.25">
      <c r="A18" s="164">
        <v>72.84</v>
      </c>
      <c r="B18" s="164">
        <v>0.63</v>
      </c>
      <c r="C18" s="164">
        <v>33.979999999999997</v>
      </c>
      <c r="D18" s="8">
        <v>42832.666666666664</v>
      </c>
      <c r="E18" s="164">
        <v>0.24</v>
      </c>
      <c r="F18" s="164" t="s">
        <v>348</v>
      </c>
      <c r="G18" s="164">
        <v>301.12</v>
      </c>
      <c r="H18" s="164">
        <v>0</v>
      </c>
      <c r="I18" s="164">
        <v>0</v>
      </c>
      <c r="J18" s="164">
        <v>1006</v>
      </c>
      <c r="K18" s="164" t="s">
        <v>855</v>
      </c>
      <c r="L18" s="164">
        <v>72.84</v>
      </c>
      <c r="M18" s="164">
        <v>1491602400</v>
      </c>
      <c r="N18" s="164">
        <v>8.61</v>
      </c>
      <c r="O18" s="164">
        <v>263</v>
      </c>
      <c r="P18" s="164">
        <v>3.39</v>
      </c>
      <c r="Q18"/>
      <c r="R18"/>
    </row>
    <row r="19" spans="1:18" x14ac:dyDescent="0.25">
      <c r="A19" s="164">
        <v>71.23</v>
      </c>
      <c r="B19" s="164">
        <v>0.65</v>
      </c>
      <c r="C19" s="164">
        <v>34.049999999999997</v>
      </c>
      <c r="D19" s="8">
        <v>42832.708333333336</v>
      </c>
      <c r="E19" s="164">
        <v>0.25</v>
      </c>
      <c r="F19" s="164" t="s">
        <v>348</v>
      </c>
      <c r="G19" s="164">
        <v>299.33</v>
      </c>
      <c r="H19" s="164">
        <v>0</v>
      </c>
      <c r="I19" s="164">
        <v>0</v>
      </c>
      <c r="J19" s="164">
        <v>1005.18</v>
      </c>
      <c r="K19" s="164" t="s">
        <v>855</v>
      </c>
      <c r="L19" s="164">
        <v>71.23</v>
      </c>
      <c r="M19" s="164">
        <v>1491606000</v>
      </c>
      <c r="N19" s="164">
        <v>8.67</v>
      </c>
      <c r="O19" s="164">
        <v>290</v>
      </c>
      <c r="P19" s="164">
        <v>2.66</v>
      </c>
      <c r="Q19"/>
      <c r="R19"/>
    </row>
    <row r="20" spans="1:18" x14ac:dyDescent="0.25">
      <c r="A20" s="164">
        <v>69.06</v>
      </c>
      <c r="B20" s="164">
        <v>0.65</v>
      </c>
      <c r="C20" s="164">
        <v>34.68</v>
      </c>
      <c r="D20" s="8">
        <v>42832.75</v>
      </c>
      <c r="E20" s="164">
        <v>0.28000000000000003</v>
      </c>
      <c r="F20" s="164" t="s">
        <v>348</v>
      </c>
      <c r="G20" s="164">
        <v>298.37</v>
      </c>
      <c r="H20" s="164">
        <v>0</v>
      </c>
      <c r="I20" s="164">
        <v>0</v>
      </c>
      <c r="J20" s="164">
        <v>1004.84</v>
      </c>
      <c r="K20" s="164" t="s">
        <v>855</v>
      </c>
      <c r="L20" s="164">
        <v>69.06</v>
      </c>
      <c r="M20" s="164">
        <v>1491609600</v>
      </c>
      <c r="N20" s="164">
        <v>8.81</v>
      </c>
      <c r="O20" s="164">
        <v>297</v>
      </c>
      <c r="P20" s="164">
        <v>2.61</v>
      </c>
      <c r="Q20"/>
      <c r="R20"/>
    </row>
    <row r="21" spans="1:18" x14ac:dyDescent="0.25">
      <c r="A21" s="164">
        <v>66.5</v>
      </c>
      <c r="B21" s="164">
        <v>0.56999999999999995</v>
      </c>
      <c r="C21" s="164">
        <v>34.619999999999997</v>
      </c>
      <c r="D21" s="8">
        <v>42832.791666666664</v>
      </c>
      <c r="E21" s="164">
        <v>0.31</v>
      </c>
      <c r="F21" s="164" t="s">
        <v>348</v>
      </c>
      <c r="G21" s="164">
        <v>299.13</v>
      </c>
      <c r="H21" s="164">
        <v>0</v>
      </c>
      <c r="I21" s="164">
        <v>0</v>
      </c>
      <c r="J21" s="164">
        <v>1004.92</v>
      </c>
      <c r="K21" s="164" t="s">
        <v>347</v>
      </c>
      <c r="L21" s="164">
        <v>66.5</v>
      </c>
      <c r="M21" s="164">
        <v>1491613200</v>
      </c>
      <c r="N21" s="164">
        <v>9.0299999999999994</v>
      </c>
      <c r="O21" s="164">
        <v>275</v>
      </c>
      <c r="P21" s="164">
        <v>3.3</v>
      </c>
      <c r="Q21"/>
      <c r="R21"/>
    </row>
    <row r="22" spans="1:18" x14ac:dyDescent="0.25">
      <c r="A22" s="164">
        <v>62.64</v>
      </c>
      <c r="B22" s="164">
        <v>0.36</v>
      </c>
      <c r="C22" s="164">
        <v>34.01</v>
      </c>
      <c r="D22" s="8">
        <v>42832.833333333336</v>
      </c>
      <c r="E22" s="164">
        <v>0.34</v>
      </c>
      <c r="F22" s="164" t="s">
        <v>428</v>
      </c>
      <c r="G22" s="164">
        <v>300.72000000000003</v>
      </c>
      <c r="H22" s="164">
        <v>0</v>
      </c>
      <c r="I22" s="164">
        <v>0</v>
      </c>
      <c r="J22" s="164">
        <v>1005.77</v>
      </c>
      <c r="K22" s="164" t="s">
        <v>347</v>
      </c>
      <c r="L22" s="164">
        <v>62.64</v>
      </c>
      <c r="M22" s="164">
        <v>1491616800</v>
      </c>
      <c r="N22" s="164">
        <v>9.33</v>
      </c>
      <c r="O22" s="164">
        <v>257</v>
      </c>
      <c r="P22" s="164">
        <v>4.63</v>
      </c>
      <c r="Q22"/>
      <c r="R22"/>
    </row>
    <row r="23" spans="1:18" x14ac:dyDescent="0.25">
      <c r="A23" s="164">
        <v>59.76</v>
      </c>
      <c r="B23" s="164">
        <v>0.28999999999999998</v>
      </c>
      <c r="C23" s="164">
        <v>32.99</v>
      </c>
      <c r="D23" s="8">
        <v>42832.875</v>
      </c>
      <c r="E23" s="164">
        <v>0.36</v>
      </c>
      <c r="F23" s="164" t="s">
        <v>428</v>
      </c>
      <c r="G23" s="164">
        <v>301.77</v>
      </c>
      <c r="H23" s="164">
        <v>0</v>
      </c>
      <c r="I23" s="164">
        <v>0</v>
      </c>
      <c r="J23" s="164">
        <v>1006.53</v>
      </c>
      <c r="K23" s="164" t="s">
        <v>347</v>
      </c>
      <c r="L23" s="164">
        <v>59.76</v>
      </c>
      <c r="M23" s="164">
        <v>1491620400</v>
      </c>
      <c r="N23" s="164">
        <v>9.48</v>
      </c>
      <c r="O23" s="164">
        <v>245</v>
      </c>
      <c r="P23" s="164">
        <v>4.07</v>
      </c>
      <c r="Q23"/>
      <c r="R23"/>
    </row>
    <row r="24" spans="1:18" x14ac:dyDescent="0.25">
      <c r="A24" s="164">
        <v>58.37</v>
      </c>
      <c r="B24" s="164">
        <v>0.46</v>
      </c>
      <c r="C24" s="164">
        <v>31.59</v>
      </c>
      <c r="D24" s="8">
        <v>42832.916666666664</v>
      </c>
      <c r="E24" s="164">
        <v>0.36</v>
      </c>
      <c r="F24" s="164" t="s">
        <v>428</v>
      </c>
      <c r="G24" s="164">
        <v>301.8</v>
      </c>
      <c r="H24" s="164">
        <v>0</v>
      </c>
      <c r="I24" s="164">
        <v>0</v>
      </c>
      <c r="J24" s="164">
        <v>1006.54</v>
      </c>
      <c r="K24" s="164" t="s">
        <v>347</v>
      </c>
      <c r="L24" s="164">
        <v>58.37</v>
      </c>
      <c r="M24" s="164">
        <v>1491624000</v>
      </c>
      <c r="N24" s="164">
        <v>9.07</v>
      </c>
      <c r="O24" s="164">
        <v>243</v>
      </c>
      <c r="P24" s="164">
        <v>5.75</v>
      </c>
      <c r="Q24"/>
      <c r="R24"/>
    </row>
    <row r="25" spans="1:18" x14ac:dyDescent="0.25">
      <c r="A25" s="164">
        <v>57.38</v>
      </c>
      <c r="B25" s="164">
        <v>0.71</v>
      </c>
      <c r="C25" s="164">
        <v>30.76</v>
      </c>
      <c r="D25" s="8">
        <v>42832.958333333336</v>
      </c>
      <c r="E25" s="164">
        <v>0.36</v>
      </c>
      <c r="F25" s="164" t="s">
        <v>428</v>
      </c>
      <c r="G25" s="164">
        <v>301.3</v>
      </c>
      <c r="H25" s="164">
        <v>0</v>
      </c>
      <c r="I25" s="164">
        <v>0</v>
      </c>
      <c r="J25" s="164">
        <v>1006.18</v>
      </c>
      <c r="K25" s="164" t="s">
        <v>855</v>
      </c>
      <c r="L25" s="164">
        <v>57.38</v>
      </c>
      <c r="M25" s="164">
        <v>1491627600</v>
      </c>
      <c r="N25" s="164">
        <v>8.9</v>
      </c>
      <c r="O25" s="164">
        <v>226</v>
      </c>
      <c r="P25" s="164">
        <v>5.55</v>
      </c>
      <c r="Q25"/>
      <c r="R25"/>
    </row>
    <row r="26" spans="1:18" x14ac:dyDescent="0.25">
      <c r="A26" s="164">
        <v>56.02</v>
      </c>
      <c r="B26" s="164">
        <v>0.87</v>
      </c>
      <c r="C26" s="164">
        <v>29.7</v>
      </c>
      <c r="D26" s="8">
        <v>42833</v>
      </c>
      <c r="E26" s="164">
        <v>0.36</v>
      </c>
      <c r="F26" s="164" t="s">
        <v>428</v>
      </c>
      <c r="G26" s="164">
        <v>300.32</v>
      </c>
      <c r="H26" s="164">
        <v>0</v>
      </c>
      <c r="I26" s="164">
        <v>0</v>
      </c>
      <c r="J26" s="164">
        <v>1005.85</v>
      </c>
      <c r="K26" s="164" t="s">
        <v>855</v>
      </c>
      <c r="L26" s="164">
        <v>56.02</v>
      </c>
      <c r="M26" s="164">
        <v>1491631200</v>
      </c>
      <c r="N26" s="164">
        <v>8.91</v>
      </c>
      <c r="O26" s="164">
        <v>219</v>
      </c>
      <c r="P26" s="164">
        <v>5.69</v>
      </c>
      <c r="Q26"/>
      <c r="R26"/>
    </row>
    <row r="27" spans="1:18" x14ac:dyDescent="0.25">
      <c r="A27" s="164">
        <v>55.58</v>
      </c>
      <c r="B27" s="164">
        <v>0.83</v>
      </c>
      <c r="C27" s="164">
        <v>29.12</v>
      </c>
      <c r="D27" s="8">
        <v>42833.041666666664</v>
      </c>
      <c r="E27" s="164">
        <v>0.36</v>
      </c>
      <c r="F27" s="164" t="s">
        <v>428</v>
      </c>
      <c r="G27" s="164">
        <v>298.44</v>
      </c>
      <c r="H27" s="164">
        <v>0</v>
      </c>
      <c r="I27" s="164">
        <v>0</v>
      </c>
      <c r="J27" s="164">
        <v>1005.91</v>
      </c>
      <c r="K27" s="164" t="s">
        <v>855</v>
      </c>
      <c r="L27" s="164">
        <v>55.58</v>
      </c>
      <c r="M27" s="164">
        <v>1491634800</v>
      </c>
      <c r="N27" s="164">
        <v>8.9600000000000009</v>
      </c>
      <c r="O27" s="164">
        <v>212</v>
      </c>
      <c r="P27" s="164">
        <v>5.93</v>
      </c>
      <c r="Q27"/>
      <c r="R27"/>
    </row>
    <row r="28" spans="1:18" x14ac:dyDescent="0.25">
      <c r="A28" s="164">
        <v>54.73</v>
      </c>
      <c r="B28" s="164">
        <v>0.81</v>
      </c>
      <c r="C28" s="164">
        <v>28.26</v>
      </c>
      <c r="D28" s="8">
        <v>42833.083333333336</v>
      </c>
      <c r="E28" s="164">
        <v>0.36</v>
      </c>
      <c r="F28" s="164" t="s">
        <v>428</v>
      </c>
      <c r="G28" s="164">
        <v>296.55</v>
      </c>
      <c r="H28" s="164">
        <v>0</v>
      </c>
      <c r="I28" s="164">
        <v>0</v>
      </c>
      <c r="J28" s="164">
        <v>1005.9</v>
      </c>
      <c r="K28" s="164" t="s">
        <v>855</v>
      </c>
      <c r="L28" s="164">
        <v>54.73</v>
      </c>
      <c r="M28" s="164">
        <v>1491638400</v>
      </c>
      <c r="N28" s="164">
        <v>8.94</v>
      </c>
      <c r="O28" s="164">
        <v>207</v>
      </c>
      <c r="P28" s="164">
        <v>5.99</v>
      </c>
      <c r="Q28"/>
      <c r="R28"/>
    </row>
    <row r="29" spans="1:18" x14ac:dyDescent="0.25">
      <c r="A29" s="164">
        <v>54.44</v>
      </c>
      <c r="B29" s="164">
        <v>0.8</v>
      </c>
      <c r="C29" s="164">
        <v>29.16</v>
      </c>
      <c r="D29" s="8">
        <v>42833.125</v>
      </c>
      <c r="E29" s="164">
        <v>0.38</v>
      </c>
      <c r="F29" s="164" t="s">
        <v>428</v>
      </c>
      <c r="G29" s="164">
        <v>294.67</v>
      </c>
      <c r="H29" s="164">
        <v>0</v>
      </c>
      <c r="I29" s="164">
        <v>0</v>
      </c>
      <c r="J29" s="164">
        <v>1005.87</v>
      </c>
      <c r="K29" s="164" t="s">
        <v>855</v>
      </c>
      <c r="L29" s="164">
        <v>54.44</v>
      </c>
      <c r="M29" s="164">
        <v>1491642000</v>
      </c>
      <c r="N29" s="164">
        <v>8.06</v>
      </c>
      <c r="O29" s="164">
        <v>191</v>
      </c>
      <c r="P29" s="164">
        <v>5.0999999999999996</v>
      </c>
      <c r="Q29"/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3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357</v>
      </c>
      <c r="U1" s="215"/>
      <c r="V1" s="215"/>
      <c r="W1" s="215"/>
      <c r="X1" s="215"/>
    </row>
    <row r="2" spans="1:24" ht="15.75" thickBot="1" x14ac:dyDescent="0.3">
      <c r="A2" s="12">
        <v>42832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358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370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371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372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991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992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993</v>
      </c>
      <c r="J20" s="148" t="s">
        <v>87</v>
      </c>
      <c r="M20" s="164" t="s">
        <v>349</v>
      </c>
      <c r="N20" s="164" t="s">
        <v>349</v>
      </c>
      <c r="T20" s="193"/>
      <c r="U20" s="193"/>
      <c r="V20" s="193"/>
      <c r="W20" s="193"/>
      <c r="X20" s="193"/>
    </row>
    <row r="21" spans="3:24" x14ac:dyDescent="0.25">
      <c r="C21" t="s">
        <v>994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995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624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996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997</v>
      </c>
      <c r="J25" s="148" t="s">
        <v>150</v>
      </c>
      <c r="M25" s="164" t="b">
        <v>1</v>
      </c>
    </row>
    <row r="26" spans="3:24" x14ac:dyDescent="0.25">
      <c r="C26" t="s">
        <v>998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C:\Users\stu\Documents\GitHub\eaglep3-reporting\EC\2017-04-07-refined-times.txt</v>
      </c>
    </row>
    <row r="27" spans="3:24" x14ac:dyDescent="0.25">
      <c r="C27" t="s">
        <v>999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C:\Users\stu\Documents\GitHub\eaglep3-reporting\EC\2017-04-07-Enforcements.txt</v>
      </c>
    </row>
    <row r="28" spans="3:24" x14ac:dyDescent="0.25">
      <c r="C28" t="s">
        <v>1000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C:\Users\stu\Documents\GitHub\eaglep3-reporting\EC\2017-04-07-Runs-refined.txt</v>
      </c>
    </row>
    <row r="29" spans="3:24" x14ac:dyDescent="0.25">
      <c r="C29" t="s">
        <v>1001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C:\Users\stu\Documents\GitHub\eaglep3-reporting\EC\2017-04-07-Trips.txt</v>
      </c>
    </row>
    <row r="30" spans="3:24" x14ac:dyDescent="0.25">
      <c r="C30" t="s">
        <v>1002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C:\Users\stu\Documents\GitHub\eaglep3-reporting\EC\2017-04-07-Weather.txt</v>
      </c>
    </row>
    <row r="31" spans="3:24" x14ac:dyDescent="0.25">
      <c r="C31" t="s">
        <v>1003</v>
      </c>
      <c r="J31" s="148" t="s">
        <v>202</v>
      </c>
      <c r="M31" s="164" t="s">
        <v>203</v>
      </c>
    </row>
    <row r="32" spans="3:24" x14ac:dyDescent="0.25">
      <c r="C32" t="s">
        <v>1004</v>
      </c>
    </row>
    <row r="33" spans="3:3" x14ac:dyDescent="0.25">
      <c r="C33" t="s">
        <v>1005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414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415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2017-04-10T15:40:22Z</dcterms:modified>
</cp:coreProperties>
</file>