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Trips'!$A$2:$J$75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4" i="1" l="1"/>
  <c r="M34" i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2" i="1"/>
  <c r="M32" i="1"/>
  <c r="P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AA34" i="1" l="1"/>
  <c r="AG34" i="1"/>
  <c r="AG3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G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S28" i="3" s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7" i="3" s="1"/>
  <c r="Y31" i="1"/>
  <c r="AA31" i="1" s="1"/>
  <c r="Z31" i="1"/>
  <c r="AB31" i="1"/>
  <c r="AC31" i="1"/>
  <c r="AD31" i="1"/>
  <c r="AG31" i="1" s="1"/>
  <c r="AE31" i="1"/>
  <c r="AF31" i="1"/>
  <c r="AH31" i="1"/>
  <c r="AM31" i="1"/>
  <c r="AN31" i="1"/>
  <c r="K33" i="1"/>
  <c r="L33" i="1"/>
  <c r="M33" i="1"/>
  <c r="N33" i="1" s="1"/>
  <c r="T33" i="1"/>
  <c r="V33" i="1"/>
  <c r="S23" i="3" s="1"/>
  <c r="Y33" i="1"/>
  <c r="Z33" i="1"/>
  <c r="AB33" i="1"/>
  <c r="AC33" i="1"/>
  <c r="AD33" i="1"/>
  <c r="X33" i="1" s="1"/>
  <c r="AE33" i="1"/>
  <c r="AF33" i="1"/>
  <c r="AH33" i="1"/>
  <c r="AM33" i="1"/>
  <c r="AN33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17" i="3" s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S15" i="3" s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R10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R24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T64" i="1"/>
  <c r="V64" i="1"/>
  <c r="S13" i="3" s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W66" i="1" s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T67" i="1"/>
  <c r="V67" i="1"/>
  <c r="Y67" i="1"/>
  <c r="AA67" i="1" s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T68" i="1"/>
  <c r="V68" i="1"/>
  <c r="X68" i="1"/>
  <c r="Y68" i="1"/>
  <c r="Z68" i="1"/>
  <c r="AA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T69" i="1"/>
  <c r="V69" i="1"/>
  <c r="X69" i="1"/>
  <c r="Y69" i="1"/>
  <c r="Z69" i="1"/>
  <c r="AB69" i="1"/>
  <c r="AC69" i="1"/>
  <c r="AD69" i="1"/>
  <c r="AE69" i="1"/>
  <c r="R16" i="3" s="1"/>
  <c r="AF69" i="1"/>
  <c r="AG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I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W80" i="1" s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V83" i="1"/>
  <c r="S25" i="3" s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AG84" i="1" s="1"/>
  <c r="AE84" i="1"/>
  <c r="R25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S11" i="3" s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S8" i="3" s="1"/>
  <c r="Y91" i="1"/>
  <c r="Z91" i="1"/>
  <c r="AB91" i="1"/>
  <c r="AC91" i="1"/>
  <c r="AD91" i="1"/>
  <c r="T91" i="1" s="1"/>
  <c r="AE91" i="1"/>
  <c r="R8" i="3" s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X93" i="1"/>
  <c r="Y93" i="1"/>
  <c r="Z93" i="1"/>
  <c r="AB93" i="1"/>
  <c r="AC93" i="1"/>
  <c r="AD93" i="1"/>
  <c r="T93" i="1" s="1"/>
  <c r="AE93" i="1"/>
  <c r="AF93" i="1"/>
  <c r="AG93" i="1"/>
  <c r="U93" i="1" s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S12" i="3" s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V101" i="1"/>
  <c r="Y101" i="1"/>
  <c r="Z101" i="1"/>
  <c r="AB101" i="1"/>
  <c r="AC101" i="1"/>
  <c r="AD101" i="1"/>
  <c r="AG101" i="1" s="1"/>
  <c r="AE101" i="1"/>
  <c r="R26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Z106" i="1"/>
  <c r="AB106" i="1"/>
  <c r="AC106" i="1"/>
  <c r="AD106" i="1"/>
  <c r="AE106" i="1"/>
  <c r="AF106" i="1"/>
  <c r="AG106" i="1"/>
  <c r="AI106" i="1" s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R27" i="3" s="1"/>
  <c r="AF112" i="1"/>
  <c r="AH112" i="1"/>
  <c r="AM112" i="1"/>
  <c r="AN112" i="1"/>
  <c r="K113" i="1"/>
  <c r="L113" i="1"/>
  <c r="M113" i="1"/>
  <c r="V113" i="1"/>
  <c r="S21" i="3" s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V114" i="1"/>
  <c r="Y114" i="1"/>
  <c r="Z114" i="1"/>
  <c r="AB114" i="1"/>
  <c r="AC114" i="1"/>
  <c r="AD114" i="1"/>
  <c r="T114" i="1" s="1"/>
  <c r="AE114" i="1"/>
  <c r="R21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30" i="3" s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S18" i="3" s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S22" i="3" s="1"/>
  <c r="Y131" i="1"/>
  <c r="Z131" i="1"/>
  <c r="AB131" i="1"/>
  <c r="AC131" i="1"/>
  <c r="AD131" i="1"/>
  <c r="T131" i="1" s="1"/>
  <c r="AE131" i="1"/>
  <c r="R22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S9" i="3" s="1"/>
  <c r="Y133" i="1"/>
  <c r="Z133" i="1"/>
  <c r="AB133" i="1"/>
  <c r="AC133" i="1"/>
  <c r="AD133" i="1"/>
  <c r="AG133" i="1" s="1"/>
  <c r="AE133" i="1"/>
  <c r="R9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A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S19" i="3" s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/>
  <c r="V148" i="1"/>
  <c r="Y148" i="1"/>
  <c r="AA148" i="1" s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R14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1" i="1"/>
  <c r="AM161" i="1"/>
  <c r="AN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4" i="1"/>
  <c r="AM164" i="1"/>
  <c r="AN16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5" i="1"/>
  <c r="AM165" i="1"/>
  <c r="AN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7" i="1"/>
  <c r="AM167" i="1"/>
  <c r="AN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0" i="1"/>
  <c r="AM170" i="1"/>
  <c r="AN17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1" i="1"/>
  <c r="AM171" i="1"/>
  <c r="AN17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G222" i="1"/>
  <c r="AH172" i="1"/>
  <c r="AM172" i="1"/>
  <c r="AN17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3" i="1"/>
  <c r="AM173" i="1"/>
  <c r="AN173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K235" i="1"/>
  <c r="L235" i="1"/>
  <c r="M235" i="1"/>
  <c r="N235" i="1" s="1"/>
  <c r="V235" i="1"/>
  <c r="Y235" i="1"/>
  <c r="AA235" i="1" s="1"/>
  <c r="Z235" i="1"/>
  <c r="AB235" i="1"/>
  <c r="AC235" i="1"/>
  <c r="AD235" i="1"/>
  <c r="AG235" i="1" s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/>
  <c r="V237" i="1"/>
  <c r="S49" i="3" s="1"/>
  <c r="Y237" i="1"/>
  <c r="Z237" i="1"/>
  <c r="AB237" i="1"/>
  <c r="AC237" i="1"/>
  <c r="AD237" i="1"/>
  <c r="T237" i="1" s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A242" i="1" s="1"/>
  <c r="AB242" i="1"/>
  <c r="AC242" i="1"/>
  <c r="AD242" i="1"/>
  <c r="T242" i="1" s="1"/>
  <c r="AE242" i="1"/>
  <c r="AF242" i="1"/>
  <c r="AH186" i="1"/>
  <c r="AM186" i="1"/>
  <c r="AN186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7" i="1"/>
  <c r="AM187" i="1"/>
  <c r="AN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K245" i="1"/>
  <c r="L245" i="1"/>
  <c r="M245" i="1"/>
  <c r="N245" i="1"/>
  <c r="V245" i="1"/>
  <c r="Y245" i="1"/>
  <c r="Z245" i="1"/>
  <c r="AB245" i="1"/>
  <c r="AC245" i="1"/>
  <c r="AD245" i="1"/>
  <c r="T245" i="1" s="1"/>
  <c r="AE245" i="1"/>
  <c r="AF245" i="1"/>
  <c r="AH189" i="1"/>
  <c r="AM189" i="1"/>
  <c r="AN189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0" i="1"/>
  <c r="AM190" i="1"/>
  <c r="AN190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1" i="1"/>
  <c r="AM191" i="1"/>
  <c r="AN19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2" i="1"/>
  <c r="AM192" i="1"/>
  <c r="AN192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3" i="1"/>
  <c r="AM193" i="1"/>
  <c r="AN193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4" i="1"/>
  <c r="AM194" i="1"/>
  <c r="AN194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195" i="1"/>
  <c r="AM195" i="1"/>
  <c r="AN195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8" i="1"/>
  <c r="AM198" i="1"/>
  <c r="AN1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9" i="1"/>
  <c r="AM199" i="1"/>
  <c r="AN199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200" i="1"/>
  <c r="AM200" i="1"/>
  <c r="AN2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1" i="1"/>
  <c r="AM201" i="1"/>
  <c r="AN201" i="1"/>
  <c r="K166" i="1"/>
  <c r="L166" i="1"/>
  <c r="M166" i="1"/>
  <c r="N166" i="1" s="1"/>
  <c r="V166" i="1"/>
  <c r="S33" i="3" s="1"/>
  <c r="Y166" i="1"/>
  <c r="Z166" i="1"/>
  <c r="AB166" i="1"/>
  <c r="AC166" i="1"/>
  <c r="AD166" i="1"/>
  <c r="T166" i="1" s="1"/>
  <c r="AE166" i="1"/>
  <c r="R33" i="3" s="1"/>
  <c r="AF166" i="1"/>
  <c r="AH202" i="1"/>
  <c r="AM202" i="1"/>
  <c r="AN2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3" i="1"/>
  <c r="AM203" i="1"/>
  <c r="AN20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4" i="1"/>
  <c r="AM204" i="1"/>
  <c r="AN204" i="1"/>
  <c r="K169" i="1"/>
  <c r="L169" i="1"/>
  <c r="M169" i="1"/>
  <c r="N169" i="1"/>
  <c r="V169" i="1"/>
  <c r="Y169" i="1"/>
  <c r="Z169" i="1"/>
  <c r="AB169" i="1"/>
  <c r="AC169" i="1"/>
  <c r="AD169" i="1"/>
  <c r="T169" i="1" s="1"/>
  <c r="AE169" i="1"/>
  <c r="AF169" i="1"/>
  <c r="AH205" i="1"/>
  <c r="AM205" i="1"/>
  <c r="AN2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6" i="1"/>
  <c r="AM206" i="1"/>
  <c r="AN2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7" i="1"/>
  <c r="AM207" i="1"/>
  <c r="AN2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8" i="1"/>
  <c r="AM208" i="1"/>
  <c r="AN20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9" i="1"/>
  <c r="AM209" i="1"/>
  <c r="AN2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0" i="1"/>
  <c r="AM210" i="1"/>
  <c r="AN210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211" i="1"/>
  <c r="AM211" i="1"/>
  <c r="AN2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2" i="1"/>
  <c r="AM212" i="1"/>
  <c r="AN21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3" i="1"/>
  <c r="AM213" i="1"/>
  <c r="AN213" i="1"/>
  <c r="K178" i="1"/>
  <c r="L178" i="1"/>
  <c r="M178" i="1"/>
  <c r="N178" i="1" s="1"/>
  <c r="V178" i="1"/>
  <c r="S37" i="3" s="1"/>
  <c r="Y178" i="1"/>
  <c r="Z178" i="1"/>
  <c r="AB178" i="1"/>
  <c r="AC178" i="1"/>
  <c r="AD178" i="1"/>
  <c r="T178" i="1" s="1"/>
  <c r="AE178" i="1"/>
  <c r="AF178" i="1"/>
  <c r="AH214" i="1"/>
  <c r="AM214" i="1"/>
  <c r="AN2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5" i="1"/>
  <c r="AM215" i="1"/>
  <c r="AN215" i="1"/>
  <c r="K180" i="1"/>
  <c r="L180" i="1"/>
  <c r="M180" i="1"/>
  <c r="P180" i="1" s="1"/>
  <c r="V180" i="1"/>
  <c r="Y180" i="1"/>
  <c r="Z180" i="1"/>
  <c r="AB180" i="1"/>
  <c r="AC180" i="1"/>
  <c r="AD180" i="1"/>
  <c r="T180" i="1" s="1"/>
  <c r="AE180" i="1"/>
  <c r="AF180" i="1"/>
  <c r="AH216" i="1"/>
  <c r="AM216" i="1"/>
  <c r="AN216" i="1"/>
  <c r="K181" i="1"/>
  <c r="L181" i="1"/>
  <c r="M181" i="1"/>
  <c r="V181" i="1"/>
  <c r="Y181" i="1"/>
  <c r="Z181" i="1"/>
  <c r="AB181" i="1"/>
  <c r="AC181" i="1"/>
  <c r="AD181" i="1"/>
  <c r="T181" i="1" s="1"/>
  <c r="AE181" i="1"/>
  <c r="AF181" i="1"/>
  <c r="AH217" i="1"/>
  <c r="AM217" i="1"/>
  <c r="AN217" i="1"/>
  <c r="K182" i="1"/>
  <c r="L182" i="1"/>
  <c r="M182" i="1"/>
  <c r="N182" i="1" s="1"/>
  <c r="V182" i="1"/>
  <c r="Y182" i="1"/>
  <c r="AA182" i="1" s="1"/>
  <c r="Z182" i="1"/>
  <c r="AB182" i="1"/>
  <c r="AC182" i="1"/>
  <c r="AD182" i="1"/>
  <c r="T182" i="1" s="1"/>
  <c r="AE182" i="1"/>
  <c r="AF182" i="1"/>
  <c r="AH218" i="1"/>
  <c r="AM218" i="1"/>
  <c r="AN2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9" i="1"/>
  <c r="AM219" i="1"/>
  <c r="AN219" i="1"/>
  <c r="K184" i="1"/>
  <c r="L184" i="1"/>
  <c r="M184" i="1"/>
  <c r="N184" i="1" s="1"/>
  <c r="V184" i="1"/>
  <c r="S39" i="3" s="1"/>
  <c r="Y184" i="1"/>
  <c r="Z184" i="1"/>
  <c r="AB184" i="1"/>
  <c r="AC184" i="1"/>
  <c r="AD184" i="1"/>
  <c r="AE184" i="1"/>
  <c r="AF184" i="1"/>
  <c r="AH220" i="1"/>
  <c r="AM220" i="1"/>
  <c r="AN2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1" i="1"/>
  <c r="AM221" i="1"/>
  <c r="AN2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2" i="1"/>
  <c r="AM222" i="1"/>
  <c r="AN2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3" i="1"/>
  <c r="AM223" i="1"/>
  <c r="AN22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4" i="1"/>
  <c r="AM224" i="1"/>
  <c r="AN2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5" i="1"/>
  <c r="AM225" i="1"/>
  <c r="AN2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6" i="1"/>
  <c r="AM226" i="1"/>
  <c r="AN226" i="1"/>
  <c r="K191" i="1"/>
  <c r="L191" i="1"/>
  <c r="M191" i="1"/>
  <c r="N191" i="1" s="1"/>
  <c r="V191" i="1"/>
  <c r="S31" i="3" s="1"/>
  <c r="Y191" i="1"/>
  <c r="Z191" i="1"/>
  <c r="AA191" i="1" s="1"/>
  <c r="AB191" i="1"/>
  <c r="AC191" i="1"/>
  <c r="AD191" i="1"/>
  <c r="AE191" i="1"/>
  <c r="AF191" i="1"/>
  <c r="AH227" i="1"/>
  <c r="AM227" i="1"/>
  <c r="AN2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8" i="1"/>
  <c r="AM228" i="1"/>
  <c r="AN228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229" i="1"/>
  <c r="AM229" i="1"/>
  <c r="AN229" i="1"/>
  <c r="K194" i="1"/>
  <c r="L194" i="1"/>
  <c r="M194" i="1"/>
  <c r="N194" i="1" s="1"/>
  <c r="V194" i="1"/>
  <c r="S40" i="3" s="1"/>
  <c r="Y194" i="1"/>
  <c r="Z194" i="1"/>
  <c r="AB194" i="1"/>
  <c r="AC194" i="1"/>
  <c r="AD194" i="1"/>
  <c r="T194" i="1" s="1"/>
  <c r="AE194" i="1"/>
  <c r="AF194" i="1"/>
  <c r="AH230" i="1"/>
  <c r="AM230" i="1"/>
  <c r="AN230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H231" i="1"/>
  <c r="AM231" i="1"/>
  <c r="AN23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2" i="1"/>
  <c r="AM232" i="1"/>
  <c r="AN23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3" i="1"/>
  <c r="AM233" i="1"/>
  <c r="AN233" i="1"/>
  <c r="K198" i="1"/>
  <c r="L198" i="1"/>
  <c r="M198" i="1"/>
  <c r="N198" i="1" s="1"/>
  <c r="V198" i="1"/>
  <c r="S36" i="3" s="1"/>
  <c r="Y198" i="1"/>
  <c r="Z198" i="1"/>
  <c r="AB198" i="1"/>
  <c r="AC198" i="1"/>
  <c r="AD198" i="1"/>
  <c r="T198" i="1" s="1"/>
  <c r="AE198" i="1"/>
  <c r="AF198" i="1"/>
  <c r="AH234" i="1"/>
  <c r="AM234" i="1"/>
  <c r="AN23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5" i="1"/>
  <c r="AM235" i="1"/>
  <c r="AN235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6" i="1"/>
  <c r="AM236" i="1"/>
  <c r="AN236" i="1"/>
  <c r="K201" i="1"/>
  <c r="L201" i="1"/>
  <c r="M201" i="1"/>
  <c r="N201" i="1" s="1"/>
  <c r="V201" i="1"/>
  <c r="S43" i="3" s="1"/>
  <c r="Y201" i="1"/>
  <c r="Z201" i="1"/>
  <c r="AB201" i="1"/>
  <c r="AC201" i="1"/>
  <c r="AD201" i="1"/>
  <c r="AG201" i="1" s="1"/>
  <c r="AE201" i="1"/>
  <c r="AF201" i="1"/>
  <c r="AH237" i="1"/>
  <c r="AM237" i="1"/>
  <c r="AN23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8" i="1"/>
  <c r="AM238" i="1"/>
  <c r="AN238" i="1"/>
  <c r="K203" i="1"/>
  <c r="L203" i="1"/>
  <c r="M203" i="1"/>
  <c r="N203" i="1" s="1"/>
  <c r="V203" i="1"/>
  <c r="S44" i="3" s="1"/>
  <c r="Y203" i="1"/>
  <c r="Z203" i="1"/>
  <c r="AA203" i="1" s="1"/>
  <c r="AB203" i="1"/>
  <c r="AC203" i="1"/>
  <c r="AD203" i="1"/>
  <c r="T203" i="1" s="1"/>
  <c r="AE203" i="1"/>
  <c r="AF203" i="1"/>
  <c r="AH239" i="1"/>
  <c r="AM239" i="1"/>
  <c r="AN23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40" i="1"/>
  <c r="AM240" i="1"/>
  <c r="AN24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1" i="1"/>
  <c r="AM241" i="1"/>
  <c r="AN241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42" i="1"/>
  <c r="AM242" i="1"/>
  <c r="AN242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43" i="1"/>
  <c r="AM243" i="1"/>
  <c r="AN243" i="1"/>
  <c r="K208" i="1"/>
  <c r="L208" i="1"/>
  <c r="M208" i="1"/>
  <c r="N208" i="1" s="1"/>
  <c r="V208" i="1"/>
  <c r="S42" i="3" s="1"/>
  <c r="Y208" i="1"/>
  <c r="Z208" i="1"/>
  <c r="AB208" i="1"/>
  <c r="AC208" i="1"/>
  <c r="AD208" i="1"/>
  <c r="AG208" i="1" s="1"/>
  <c r="AE208" i="1"/>
  <c r="AF208" i="1"/>
  <c r="AH244" i="1"/>
  <c r="AM244" i="1"/>
  <c r="AN244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45" i="1"/>
  <c r="AM245" i="1"/>
  <c r="AN245" i="1"/>
  <c r="K210" i="1"/>
  <c r="L210" i="1"/>
  <c r="M210" i="1"/>
  <c r="N210" i="1" s="1"/>
  <c r="V210" i="1"/>
  <c r="S45" i="3" s="1"/>
  <c r="Y210" i="1"/>
  <c r="Z210" i="1"/>
  <c r="AB210" i="1"/>
  <c r="AC210" i="1"/>
  <c r="AD210" i="1"/>
  <c r="AG210" i="1" s="1"/>
  <c r="AE210" i="1"/>
  <c r="AF210" i="1"/>
  <c r="AH246" i="1"/>
  <c r="AM246" i="1"/>
  <c r="AN246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47" i="1"/>
  <c r="AM247" i="1"/>
  <c r="AN247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48" i="1"/>
  <c r="AM248" i="1"/>
  <c r="AN248" i="1"/>
  <c r="K226" i="1"/>
  <c r="L226" i="1"/>
  <c r="M226" i="1"/>
  <c r="N226" i="1" s="1"/>
  <c r="V226" i="1"/>
  <c r="S50" i="3" s="1"/>
  <c r="Y226" i="1"/>
  <c r="Z226" i="1"/>
  <c r="AB226" i="1"/>
  <c r="AC226" i="1"/>
  <c r="AD226" i="1"/>
  <c r="AE226" i="1"/>
  <c r="AF226" i="1"/>
  <c r="AH249" i="1"/>
  <c r="AM249" i="1"/>
  <c r="AN249" i="1"/>
  <c r="K227" i="1"/>
  <c r="L227" i="1"/>
  <c r="M227" i="1"/>
  <c r="N227" i="1"/>
  <c r="V227" i="1"/>
  <c r="Y227" i="1"/>
  <c r="Z227" i="1"/>
  <c r="AB227" i="1"/>
  <c r="AC227" i="1"/>
  <c r="AD227" i="1"/>
  <c r="AG227" i="1" s="1"/>
  <c r="AE227" i="1"/>
  <c r="AF227" i="1"/>
  <c r="AH250" i="1"/>
  <c r="AM250" i="1"/>
  <c r="AN250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51" i="1"/>
  <c r="AM251" i="1"/>
  <c r="AN251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R47" i="3" s="1"/>
  <c r="AF229" i="1"/>
  <c r="AH252" i="1"/>
  <c r="AM252" i="1"/>
  <c r="AN252" i="1"/>
  <c r="M28" i="3"/>
  <c r="R28" i="3"/>
  <c r="U28" i="3"/>
  <c r="T28" i="3" s="1"/>
  <c r="V28" i="3"/>
  <c r="W28" i="3"/>
  <c r="Y28" i="3" s="1"/>
  <c r="X28" i="3"/>
  <c r="M7" i="3"/>
  <c r="R7" i="3"/>
  <c r="U7" i="3"/>
  <c r="T7" i="3" s="1"/>
  <c r="V7" i="3"/>
  <c r="W7" i="3"/>
  <c r="X7" i="3"/>
  <c r="Y7" i="3"/>
  <c r="M23" i="3"/>
  <c r="R23" i="3"/>
  <c r="U23" i="3"/>
  <c r="AC23" i="3" s="1"/>
  <c r="V23" i="3"/>
  <c r="W23" i="3"/>
  <c r="X23" i="3"/>
  <c r="Y23" i="3"/>
  <c r="M33" i="3"/>
  <c r="U33" i="3"/>
  <c r="AC33" i="3" s="1"/>
  <c r="V33" i="3"/>
  <c r="W33" i="3"/>
  <c r="X33" i="3"/>
  <c r="M15" i="3"/>
  <c r="R15" i="3"/>
  <c r="U15" i="3"/>
  <c r="T15" i="3" s="1"/>
  <c r="V15" i="3"/>
  <c r="W15" i="3"/>
  <c r="X15" i="3"/>
  <c r="AC15" i="3"/>
  <c r="M17" i="3"/>
  <c r="S17" i="3"/>
  <c r="U17" i="3"/>
  <c r="T17" i="3" s="1"/>
  <c r="V17" i="3"/>
  <c r="W17" i="3"/>
  <c r="X17" i="3"/>
  <c r="AC17" i="3"/>
  <c r="M29" i="3"/>
  <c r="R29" i="3"/>
  <c r="S29" i="3"/>
  <c r="U29" i="3"/>
  <c r="AC29" i="3" s="1"/>
  <c r="V29" i="3"/>
  <c r="W29" i="3"/>
  <c r="X29" i="3"/>
  <c r="M10" i="3"/>
  <c r="S10" i="3"/>
  <c r="U10" i="3"/>
  <c r="AC10" i="3" s="1"/>
  <c r="V10" i="3"/>
  <c r="W10" i="3"/>
  <c r="X10" i="3"/>
  <c r="Y10" i="3"/>
  <c r="M24" i="3"/>
  <c r="S24" i="3"/>
  <c r="U24" i="3"/>
  <c r="T24" i="3" s="1"/>
  <c r="V24" i="3"/>
  <c r="W24" i="3"/>
  <c r="X24" i="3"/>
  <c r="AC24" i="3"/>
  <c r="M16" i="3"/>
  <c r="S16" i="3"/>
  <c r="U16" i="3"/>
  <c r="T16" i="3" s="1"/>
  <c r="V16" i="3"/>
  <c r="W16" i="3"/>
  <c r="X16" i="3"/>
  <c r="AC16" i="3"/>
  <c r="M49" i="3"/>
  <c r="R49" i="3"/>
  <c r="U49" i="3"/>
  <c r="AC49" i="3" s="1"/>
  <c r="V49" i="3"/>
  <c r="W49" i="3"/>
  <c r="X49" i="3"/>
  <c r="Y49" i="3"/>
  <c r="M51" i="3"/>
  <c r="R51" i="3"/>
  <c r="U51" i="3"/>
  <c r="AC51" i="3" s="1"/>
  <c r="V51" i="3"/>
  <c r="W51" i="3"/>
  <c r="X51" i="3"/>
  <c r="M13" i="3"/>
  <c r="R13" i="3"/>
  <c r="U13" i="3"/>
  <c r="T13" i="3" s="1"/>
  <c r="V13" i="3"/>
  <c r="W13" i="3"/>
  <c r="X13" i="3"/>
  <c r="AC13" i="3"/>
  <c r="M37" i="3"/>
  <c r="R37" i="3"/>
  <c r="U37" i="3"/>
  <c r="T37" i="3" s="1"/>
  <c r="V37" i="3"/>
  <c r="W37" i="3"/>
  <c r="X37" i="3"/>
  <c r="AC37" i="3"/>
  <c r="M20" i="3"/>
  <c r="R20" i="3"/>
  <c r="S20" i="3"/>
  <c r="U20" i="3"/>
  <c r="AC20" i="3" s="1"/>
  <c r="V20" i="3"/>
  <c r="W20" i="3"/>
  <c r="X20" i="3"/>
  <c r="M38" i="3"/>
  <c r="R38" i="3"/>
  <c r="S38" i="3"/>
  <c r="U38" i="3"/>
  <c r="AC38" i="3" s="1"/>
  <c r="V38" i="3"/>
  <c r="W38" i="3"/>
  <c r="X38" i="3"/>
  <c r="M25" i="3"/>
  <c r="U25" i="3"/>
  <c r="T25" i="3" s="1"/>
  <c r="V25" i="3"/>
  <c r="W25" i="3"/>
  <c r="X25" i="3"/>
  <c r="M11" i="3"/>
  <c r="R11" i="3"/>
  <c r="U11" i="3"/>
  <c r="T11" i="3" s="1"/>
  <c r="V11" i="3"/>
  <c r="W11" i="3"/>
  <c r="X11" i="3"/>
  <c r="AC11" i="3"/>
  <c r="M39" i="3"/>
  <c r="R39" i="3"/>
  <c r="U39" i="3"/>
  <c r="V39" i="3"/>
  <c r="W39" i="3"/>
  <c r="X39" i="3"/>
  <c r="M12" i="3"/>
  <c r="R12" i="3"/>
  <c r="U12" i="3"/>
  <c r="AC12" i="3" s="1"/>
  <c r="V12" i="3"/>
  <c r="W12" i="3"/>
  <c r="X12" i="3"/>
  <c r="M26" i="3"/>
  <c r="S26" i="3"/>
  <c r="U26" i="3"/>
  <c r="AD28" i="3" s="1"/>
  <c r="V26" i="3"/>
  <c r="W26" i="3"/>
  <c r="X26" i="3"/>
  <c r="AC26" i="3"/>
  <c r="M8" i="3"/>
  <c r="U8" i="3"/>
  <c r="T8" i="3" s="1"/>
  <c r="V8" i="3"/>
  <c r="W8" i="3"/>
  <c r="X8" i="3"/>
  <c r="AC8" i="3"/>
  <c r="AD29" i="3"/>
  <c r="M50" i="3"/>
  <c r="R50" i="3"/>
  <c r="U50" i="3"/>
  <c r="V50" i="3"/>
  <c r="W50" i="3"/>
  <c r="X50" i="3"/>
  <c r="AC50" i="3"/>
  <c r="M21" i="3"/>
  <c r="U21" i="3"/>
  <c r="AC21" i="3" s="1"/>
  <c r="V21" i="3"/>
  <c r="W21" i="3"/>
  <c r="X21" i="3"/>
  <c r="M31" i="3"/>
  <c r="R31" i="3"/>
  <c r="U31" i="3"/>
  <c r="T31" i="3" s="1"/>
  <c r="V31" i="3"/>
  <c r="W31" i="3"/>
  <c r="X31" i="3"/>
  <c r="AC31" i="3"/>
  <c r="M35" i="3"/>
  <c r="R35" i="3"/>
  <c r="U35" i="3"/>
  <c r="T35" i="3" s="1"/>
  <c r="V35" i="3"/>
  <c r="W35" i="3"/>
  <c r="X35" i="3"/>
  <c r="AC35" i="3"/>
  <c r="M27" i="3"/>
  <c r="S27" i="3"/>
  <c r="U27" i="3"/>
  <c r="V27" i="3"/>
  <c r="W27" i="3"/>
  <c r="X27" i="3"/>
  <c r="M40" i="3"/>
  <c r="R40" i="3"/>
  <c r="U40" i="3"/>
  <c r="AC40" i="3" s="1"/>
  <c r="V40" i="3"/>
  <c r="W40" i="3"/>
  <c r="Y40" i="3" s="1"/>
  <c r="X40" i="3"/>
  <c r="M30" i="3"/>
  <c r="S30" i="3"/>
  <c r="U30" i="3"/>
  <c r="T30" i="3" s="1"/>
  <c r="V30" i="3"/>
  <c r="W30" i="3"/>
  <c r="X30" i="3"/>
  <c r="AC30" i="3"/>
  <c r="M32" i="3"/>
  <c r="R32" i="3"/>
  <c r="S32" i="3"/>
  <c r="U32" i="3"/>
  <c r="T32" i="3" s="1"/>
  <c r="V32" i="3"/>
  <c r="W32" i="3"/>
  <c r="X32" i="3"/>
  <c r="AC32" i="3"/>
  <c r="M41" i="3"/>
  <c r="R41" i="3"/>
  <c r="S41" i="3"/>
  <c r="U41" i="3"/>
  <c r="AD38" i="3" s="1"/>
  <c r="V41" i="3"/>
  <c r="W41" i="3"/>
  <c r="Y41" i="3" s="1"/>
  <c r="X41" i="3"/>
  <c r="AC41" i="3"/>
  <c r="M34" i="3"/>
  <c r="R34" i="3"/>
  <c r="S34" i="3"/>
  <c r="U34" i="3"/>
  <c r="AC34" i="3" s="1"/>
  <c r="V34" i="3"/>
  <c r="W34" i="3"/>
  <c r="Y34" i="3" s="1"/>
  <c r="X34" i="3"/>
  <c r="M36" i="3"/>
  <c r="R36" i="3"/>
  <c r="U36" i="3"/>
  <c r="V36" i="3"/>
  <c r="W36" i="3"/>
  <c r="X36" i="3"/>
  <c r="AC36" i="3"/>
  <c r="M18" i="3"/>
  <c r="R18" i="3"/>
  <c r="U18" i="3"/>
  <c r="T18" i="3" s="1"/>
  <c r="V18" i="3"/>
  <c r="W18" i="3"/>
  <c r="X18" i="3"/>
  <c r="AC18" i="3"/>
  <c r="M22" i="3"/>
  <c r="U22" i="3"/>
  <c r="V22" i="3"/>
  <c r="W22" i="3"/>
  <c r="X22" i="3"/>
  <c r="M43" i="3"/>
  <c r="R43" i="3"/>
  <c r="U43" i="3"/>
  <c r="AC43" i="3" s="1"/>
  <c r="V43" i="3"/>
  <c r="W43" i="3"/>
  <c r="X43" i="3"/>
  <c r="M44" i="3"/>
  <c r="R44" i="3"/>
  <c r="U44" i="3"/>
  <c r="AD44" i="3" s="1"/>
  <c r="V44" i="3"/>
  <c r="W44" i="3"/>
  <c r="X44" i="3"/>
  <c r="AC44" i="3"/>
  <c r="M9" i="3"/>
  <c r="U9" i="3"/>
  <c r="T9" i="3" s="1"/>
  <c r="V9" i="3"/>
  <c r="W9" i="3"/>
  <c r="X9" i="3"/>
  <c r="AC9" i="3"/>
  <c r="M19" i="3"/>
  <c r="R19" i="3"/>
  <c r="U19" i="3"/>
  <c r="AC19" i="3" s="1"/>
  <c r="V19" i="3"/>
  <c r="W19" i="3"/>
  <c r="X19" i="3"/>
  <c r="Y19" i="3"/>
  <c r="M46" i="3"/>
  <c r="R46" i="3"/>
  <c r="S46" i="3"/>
  <c r="U46" i="3"/>
  <c r="AC46" i="3" s="1"/>
  <c r="V46" i="3"/>
  <c r="W46" i="3"/>
  <c r="X46" i="3"/>
  <c r="M42" i="3"/>
  <c r="R42" i="3"/>
  <c r="U42" i="3"/>
  <c r="T42" i="3" s="1"/>
  <c r="V42" i="3"/>
  <c r="W42" i="3"/>
  <c r="X42" i="3"/>
  <c r="M45" i="3"/>
  <c r="R45" i="3"/>
  <c r="U45" i="3"/>
  <c r="T45" i="3" s="1"/>
  <c r="V45" i="3"/>
  <c r="W45" i="3"/>
  <c r="X45" i="3"/>
  <c r="M47" i="3"/>
  <c r="S47" i="3"/>
  <c r="U47" i="3"/>
  <c r="V47" i="3"/>
  <c r="W47" i="3"/>
  <c r="X47" i="3"/>
  <c r="M14" i="3"/>
  <c r="S14" i="3"/>
  <c r="U14" i="3"/>
  <c r="AC14" i="3" s="1"/>
  <c r="V14" i="3"/>
  <c r="W14" i="3"/>
  <c r="X14" i="3"/>
  <c r="AG240" i="1" l="1"/>
  <c r="X240" i="1"/>
  <c r="AG212" i="1"/>
  <c r="AA153" i="1"/>
  <c r="AA144" i="1"/>
  <c r="AG134" i="1"/>
  <c r="T116" i="1"/>
  <c r="AA105" i="1"/>
  <c r="AA89" i="1"/>
  <c r="AA75" i="1"/>
  <c r="AA71" i="1"/>
  <c r="AG47" i="1"/>
  <c r="AA46" i="1"/>
  <c r="AA26" i="1"/>
  <c r="AG196" i="1"/>
  <c r="X196" i="1"/>
  <c r="AA171" i="1"/>
  <c r="AG163" i="1"/>
  <c r="T108" i="1"/>
  <c r="P100" i="1"/>
  <c r="AA179" i="1"/>
  <c r="AG248" i="1"/>
  <c r="X248" i="1"/>
  <c r="AA229" i="1"/>
  <c r="W229" i="1" s="1"/>
  <c r="X226" i="1"/>
  <c r="AA198" i="1"/>
  <c r="AA190" i="1"/>
  <c r="T164" i="1"/>
  <c r="AA239" i="1"/>
  <c r="AA231" i="1"/>
  <c r="AA212" i="1"/>
  <c r="AA160" i="1"/>
  <c r="AA136" i="1"/>
  <c r="AG116" i="1"/>
  <c r="AA98" i="1"/>
  <c r="AG75" i="1"/>
  <c r="AI75" i="1" s="1"/>
  <c r="AA53" i="1"/>
  <c r="AA49" i="1"/>
  <c r="AA47" i="1"/>
  <c r="AA25" i="1"/>
  <c r="W71" i="1"/>
  <c r="AA107" i="1"/>
  <c r="AA18" i="1"/>
  <c r="X32" i="1"/>
  <c r="AA209" i="1"/>
  <c r="AI227" i="1"/>
  <c r="AA208" i="1"/>
  <c r="W208" i="1" s="1"/>
  <c r="AA204" i="1"/>
  <c r="X200" i="1"/>
  <c r="AA196" i="1"/>
  <c r="AA187" i="1"/>
  <c r="AA183" i="1"/>
  <c r="AA166" i="1"/>
  <c r="AA164" i="1"/>
  <c r="AA250" i="1"/>
  <c r="AA247" i="1"/>
  <c r="AA240" i="1"/>
  <c r="W240" i="1" s="1"/>
  <c r="X221" i="1"/>
  <c r="AA217" i="1"/>
  <c r="AA215" i="1"/>
  <c r="P159" i="1"/>
  <c r="AG157" i="1"/>
  <c r="AI157" i="1" s="1"/>
  <c r="X157" i="1"/>
  <c r="T146" i="1"/>
  <c r="AA145" i="1"/>
  <c r="AA135" i="1"/>
  <c r="AA132" i="1"/>
  <c r="AA130" i="1"/>
  <c r="W130" i="1" s="1"/>
  <c r="AG120" i="1"/>
  <c r="AG108" i="1"/>
  <c r="AA106" i="1"/>
  <c r="W106" i="1" s="1"/>
  <c r="AA102" i="1"/>
  <c r="X99" i="1"/>
  <c r="X88" i="1"/>
  <c r="AA79" i="1"/>
  <c r="W79" i="1" s="1"/>
  <c r="AG73" i="1"/>
  <c r="T71" i="1"/>
  <c r="AA70" i="1"/>
  <c r="AA61" i="1"/>
  <c r="AA52" i="1"/>
  <c r="AA48" i="1"/>
  <c r="T46" i="1"/>
  <c r="AA42" i="1"/>
  <c r="T38" i="1"/>
  <c r="X38" i="1"/>
  <c r="T36" i="1"/>
  <c r="X36" i="1"/>
  <c r="AA205" i="1"/>
  <c r="AA181" i="1"/>
  <c r="AA167" i="1"/>
  <c r="AA251" i="1"/>
  <c r="X247" i="1"/>
  <c r="X222" i="1"/>
  <c r="X150" i="1"/>
  <c r="AA141" i="1"/>
  <c r="U116" i="1"/>
  <c r="S116" i="1" s="1"/>
  <c r="AA114" i="1"/>
  <c r="P83" i="1"/>
  <c r="T81" i="1"/>
  <c r="X77" i="1"/>
  <c r="X56" i="1"/>
  <c r="W45" i="1"/>
  <c r="AA165" i="1"/>
  <c r="AA162" i="1"/>
  <c r="AA249" i="1"/>
  <c r="AA246" i="1"/>
  <c r="AA221" i="1"/>
  <c r="AA149" i="1"/>
  <c r="AA133" i="1"/>
  <c r="W133" i="1" s="1"/>
  <c r="AA131" i="1"/>
  <c r="AA120" i="1"/>
  <c r="W120" i="1" s="1"/>
  <c r="AA118" i="1"/>
  <c r="W118" i="1" s="1"/>
  <c r="AA94" i="1"/>
  <c r="AI87" i="1"/>
  <c r="AA83" i="1"/>
  <c r="AA57" i="1"/>
  <c r="AA55" i="1"/>
  <c r="AA41" i="1"/>
  <c r="AG37" i="1"/>
  <c r="X37" i="1"/>
  <c r="T35" i="1"/>
  <c r="X35" i="1"/>
  <c r="AG33" i="1"/>
  <c r="AA22" i="1"/>
  <c r="X34" i="1"/>
  <c r="P113" i="1"/>
  <c r="AG100" i="1"/>
  <c r="X85" i="1"/>
  <c r="Y22" i="3"/>
  <c r="S51" i="3"/>
  <c r="AI34" i="1"/>
  <c r="U34" i="1"/>
  <c r="S34" i="1" s="1"/>
  <c r="W34" i="1"/>
  <c r="AI32" i="1"/>
  <c r="U32" i="1"/>
  <c r="S32" i="1" s="1"/>
  <c r="W32" i="1"/>
  <c r="S35" i="3"/>
  <c r="AC25" i="3"/>
  <c r="Y14" i="3"/>
  <c r="AD50" i="3"/>
  <c r="AE36" i="3"/>
  <c r="Y50" i="3"/>
  <c r="AD24" i="3"/>
  <c r="AE24" i="3"/>
  <c r="AC42" i="3"/>
  <c r="AD20" i="3"/>
  <c r="AC7" i="3"/>
  <c r="AD46" i="3"/>
  <c r="Y46" i="3"/>
  <c r="Y18" i="3"/>
  <c r="Y30" i="3"/>
  <c r="Y20" i="3"/>
  <c r="Y51" i="3"/>
  <c r="Y24" i="3"/>
  <c r="Y17" i="3"/>
  <c r="AC45" i="3"/>
  <c r="AD42" i="3"/>
  <c r="Y47" i="3"/>
  <c r="Y9" i="3"/>
  <c r="AD37" i="3"/>
  <c r="AD34" i="3"/>
  <c r="Y39" i="3"/>
  <c r="Y11" i="3"/>
  <c r="Y38" i="3"/>
  <c r="AA202" i="1"/>
  <c r="W202" i="1" s="1"/>
  <c r="AA199" i="1"/>
  <c r="AG195" i="1"/>
  <c r="AI195" i="1" s="1"/>
  <c r="AA194" i="1"/>
  <c r="AG191" i="1"/>
  <c r="X191" i="1"/>
  <c r="T188" i="1"/>
  <c r="X188" i="1"/>
  <c r="AG188" i="1"/>
  <c r="AA227" i="1"/>
  <c r="T226" i="1"/>
  <c r="AA225" i="1"/>
  <c r="W225" i="1" s="1"/>
  <c r="W87" i="1"/>
  <c r="X202" i="1"/>
  <c r="AA197" i="1"/>
  <c r="X229" i="1"/>
  <c r="AA228" i="1"/>
  <c r="AG226" i="1"/>
  <c r="X225" i="1"/>
  <c r="AG209" i="1"/>
  <c r="W209" i="1" s="1"/>
  <c r="X209" i="1"/>
  <c r="W195" i="1"/>
  <c r="W217" i="1"/>
  <c r="X251" i="1"/>
  <c r="X244" i="1"/>
  <c r="X215" i="1"/>
  <c r="AG131" i="1"/>
  <c r="X131" i="1"/>
  <c r="X130" i="1"/>
  <c r="X118" i="1"/>
  <c r="U100" i="1"/>
  <c r="T95" i="1"/>
  <c r="U95" i="1" s="1"/>
  <c r="S95" i="1" s="1"/>
  <c r="W75" i="1"/>
  <c r="X73" i="1"/>
  <c r="U69" i="1"/>
  <c r="X61" i="1"/>
  <c r="AA23" i="1"/>
  <c r="AA19" i="1"/>
  <c r="X187" i="1"/>
  <c r="X184" i="1"/>
  <c r="AG180" i="1"/>
  <c r="X180" i="1"/>
  <c r="X175" i="1"/>
  <c r="X171" i="1"/>
  <c r="X168" i="1"/>
  <c r="AG164" i="1"/>
  <c r="AA163" i="1"/>
  <c r="W163" i="1" s="1"/>
  <c r="AA243" i="1"/>
  <c r="AG239" i="1"/>
  <c r="W239" i="1" s="1"/>
  <c r="AA238" i="1"/>
  <c r="AA234" i="1"/>
  <c r="AG232" i="1"/>
  <c r="AI232" i="1" s="1"/>
  <c r="X232" i="1"/>
  <c r="AA230" i="1"/>
  <c r="AA214" i="1"/>
  <c r="AA211" i="1"/>
  <c r="AA157" i="1"/>
  <c r="W157" i="1" s="1"/>
  <c r="X154" i="1"/>
  <c r="X153" i="1"/>
  <c r="AA151" i="1"/>
  <c r="AA150" i="1"/>
  <c r="T150" i="1"/>
  <c r="AA138" i="1"/>
  <c r="AA129" i="1"/>
  <c r="AA126" i="1"/>
  <c r="AG124" i="1"/>
  <c r="X122" i="1"/>
  <c r="AA117" i="1"/>
  <c r="W117" i="1" s="1"/>
  <c r="AA115" i="1"/>
  <c r="W115" i="1" s="1"/>
  <c r="AA110" i="1"/>
  <c r="AG104" i="1"/>
  <c r="AA103" i="1"/>
  <c r="W103" i="1" s="1"/>
  <c r="T103" i="1"/>
  <c r="AG102" i="1"/>
  <c r="AI102" i="1" s="1"/>
  <c r="AG91" i="1"/>
  <c r="AI91" i="1" s="1"/>
  <c r="T87" i="1"/>
  <c r="U87" i="1" s="1"/>
  <c r="S87" i="1" s="1"/>
  <c r="AA86" i="1"/>
  <c r="T85" i="1"/>
  <c r="AA84" i="1"/>
  <c r="T84" i="1"/>
  <c r="U84" i="1" s="1"/>
  <c r="T83" i="1"/>
  <c r="U83" i="1" s="1"/>
  <c r="AA82" i="1"/>
  <c r="W82" i="1" s="1"/>
  <c r="T80" i="1"/>
  <c r="X65" i="1"/>
  <c r="AA59" i="1"/>
  <c r="AG57" i="1"/>
  <c r="X57" i="1"/>
  <c r="AG55" i="1"/>
  <c r="AI55" i="1" s="1"/>
  <c r="AG53" i="1"/>
  <c r="AI53" i="1" s="1"/>
  <c r="X53" i="1"/>
  <c r="AG50" i="1"/>
  <c r="X50" i="1"/>
  <c r="X49" i="1"/>
  <c r="X45" i="1"/>
  <c r="AG42" i="1"/>
  <c r="X42" i="1"/>
  <c r="X41" i="1"/>
  <c r="AG38" i="1"/>
  <c r="AA28" i="1"/>
  <c r="W95" i="1"/>
  <c r="AI45" i="1"/>
  <c r="X23" i="1"/>
  <c r="AA16" i="1"/>
  <c r="AA186" i="1"/>
  <c r="AA180" i="1"/>
  <c r="W180" i="1" s="1"/>
  <c r="AG179" i="1"/>
  <c r="AI179" i="1" s="1"/>
  <c r="AA178" i="1"/>
  <c r="AA174" i="1"/>
  <c r="AG172" i="1"/>
  <c r="X172" i="1"/>
  <c r="AA170" i="1"/>
  <c r="W164" i="1"/>
  <c r="AA241" i="1"/>
  <c r="X235" i="1"/>
  <c r="X231" i="1"/>
  <c r="AA220" i="1"/>
  <c r="W220" i="1" s="1"/>
  <c r="AG218" i="1"/>
  <c r="X218" i="1"/>
  <c r="AG216" i="1"/>
  <c r="X216" i="1"/>
  <c r="AG215" i="1"/>
  <c r="AI215" i="1" s="1"/>
  <c r="AA159" i="1"/>
  <c r="AA156" i="1"/>
  <c r="AA152" i="1"/>
  <c r="AG150" i="1"/>
  <c r="AA146" i="1"/>
  <c r="AA142" i="1"/>
  <c r="AG128" i="1"/>
  <c r="U128" i="1" s="1"/>
  <c r="S128" i="1" s="1"/>
  <c r="X126" i="1"/>
  <c r="AA124" i="1"/>
  <c r="W124" i="1" s="1"/>
  <c r="AA122" i="1"/>
  <c r="W122" i="1" s="1"/>
  <c r="T122" i="1"/>
  <c r="U122" i="1" s="1"/>
  <c r="S122" i="1" s="1"/>
  <c r="AA121" i="1"/>
  <c r="AA111" i="1"/>
  <c r="AA109" i="1"/>
  <c r="X103" i="1"/>
  <c r="AA101" i="1"/>
  <c r="T98" i="1"/>
  <c r="AA97" i="1"/>
  <c r="AA91" i="1"/>
  <c r="W91" i="1" s="1"/>
  <c r="AG89" i="1"/>
  <c r="X89" i="1"/>
  <c r="AG85" i="1"/>
  <c r="X84" i="1"/>
  <c r="AA77" i="1"/>
  <c r="AA73" i="1"/>
  <c r="X72" i="1"/>
  <c r="AA64" i="1"/>
  <c r="W64" i="1" s="1"/>
  <c r="AA63" i="1"/>
  <c r="W63" i="1" s="1"/>
  <c r="AG59" i="1"/>
  <c r="AI59" i="1" s="1"/>
  <c r="AA54" i="1"/>
  <c r="AA36" i="1"/>
  <c r="AA30" i="1"/>
  <c r="X24" i="1"/>
  <c r="X20" i="1"/>
  <c r="AI191" i="1"/>
  <c r="U131" i="1"/>
  <c r="AI235" i="1"/>
  <c r="W145" i="1"/>
  <c r="AI130" i="1"/>
  <c r="AI175" i="1"/>
  <c r="AI153" i="1"/>
  <c r="AI145" i="1"/>
  <c r="U209" i="1"/>
  <c r="S209" i="1" s="1"/>
  <c r="T229" i="1"/>
  <c r="X208" i="1"/>
  <c r="AG205" i="1"/>
  <c r="U205" i="1" s="1"/>
  <c r="X205" i="1"/>
  <c r="AA201" i="1"/>
  <c r="W201" i="1" s="1"/>
  <c r="AA200" i="1"/>
  <c r="T200" i="1"/>
  <c r="AG199" i="1"/>
  <c r="W199" i="1" s="1"/>
  <c r="X195" i="1"/>
  <c r="AG192" i="1"/>
  <c r="X192" i="1"/>
  <c r="W191" i="1"/>
  <c r="T187" i="1"/>
  <c r="AA185" i="1"/>
  <c r="AA184" i="1"/>
  <c r="T184" i="1"/>
  <c r="AG183" i="1"/>
  <c r="X179" i="1"/>
  <c r="AG176" i="1"/>
  <c r="X176" i="1"/>
  <c r="W175" i="1"/>
  <c r="T171" i="1"/>
  <c r="AA169" i="1"/>
  <c r="AA168" i="1"/>
  <c r="T168" i="1"/>
  <c r="AG167" i="1"/>
  <c r="W167" i="1" s="1"/>
  <c r="X163" i="1"/>
  <c r="AG252" i="1"/>
  <c r="X252" i="1"/>
  <c r="W251" i="1"/>
  <c r="T247" i="1"/>
  <c r="AA245" i="1"/>
  <c r="AA244" i="1"/>
  <c r="T244" i="1"/>
  <c r="AG243" i="1"/>
  <c r="U243" i="1" s="1"/>
  <c r="S243" i="1" s="1"/>
  <c r="X239" i="1"/>
  <c r="AG236" i="1"/>
  <c r="X236" i="1"/>
  <c r="W235" i="1"/>
  <c r="T231" i="1"/>
  <c r="T230" i="1"/>
  <c r="T221" i="1"/>
  <c r="U221" i="1" s="1"/>
  <c r="S221" i="1" s="1"/>
  <c r="T220" i="1"/>
  <c r="W212" i="1"/>
  <c r="AG211" i="1"/>
  <c r="AG158" i="1"/>
  <c r="X158" i="1"/>
  <c r="T153" i="1"/>
  <c r="U153" i="1" s="1"/>
  <c r="S153" i="1" s="1"/>
  <c r="W150" i="1"/>
  <c r="AG149" i="1"/>
  <c r="X145" i="1"/>
  <c r="AG142" i="1"/>
  <c r="W142" i="1" s="1"/>
  <c r="X142" i="1"/>
  <c r="T137" i="1"/>
  <c r="W132" i="1"/>
  <c r="W131" i="1"/>
  <c r="T130" i="1"/>
  <c r="U130" i="1" s="1"/>
  <c r="S130" i="1" s="1"/>
  <c r="AA128" i="1"/>
  <c r="W126" i="1"/>
  <c r="T126" i="1"/>
  <c r="U126" i="1" s="1"/>
  <c r="S126" i="1" s="1"/>
  <c r="AI122" i="1"/>
  <c r="U120" i="1"/>
  <c r="U98" i="1"/>
  <c r="S98" i="1" s="1"/>
  <c r="AI98" i="1"/>
  <c r="AI63" i="1"/>
  <c r="W23" i="1"/>
  <c r="W19" i="1"/>
  <c r="AA226" i="1"/>
  <c r="W226" i="1" s="1"/>
  <c r="T225" i="1"/>
  <c r="AA210" i="1"/>
  <c r="X204" i="1"/>
  <c r="T202" i="1"/>
  <c r="X199" i="1"/>
  <c r="U196" i="1"/>
  <c r="T191" i="1"/>
  <c r="U191" i="1" s="1"/>
  <c r="S191" i="1" s="1"/>
  <c r="AA189" i="1"/>
  <c r="AA188" i="1"/>
  <c r="W188" i="1" s="1"/>
  <c r="AG187" i="1"/>
  <c r="X183" i="1"/>
  <c r="T175" i="1"/>
  <c r="U175" i="1" s="1"/>
  <c r="S175" i="1" s="1"/>
  <c r="AA173" i="1"/>
  <c r="AA172" i="1"/>
  <c r="W172" i="1" s="1"/>
  <c r="AG171" i="1"/>
  <c r="X167" i="1"/>
  <c r="T251" i="1"/>
  <c r="U251" i="1" s="1"/>
  <c r="S251" i="1" s="1"/>
  <c r="AA248" i="1"/>
  <c r="W248" i="1" s="1"/>
  <c r="AG247" i="1"/>
  <c r="X243" i="1"/>
  <c r="T235" i="1"/>
  <c r="U235" i="1" s="1"/>
  <c r="S235" i="1" s="1"/>
  <c r="AA233" i="1"/>
  <c r="AA232" i="1"/>
  <c r="W232" i="1" s="1"/>
  <c r="AG231" i="1"/>
  <c r="AA223" i="1"/>
  <c r="AA222" i="1"/>
  <c r="W222" i="1" s="1"/>
  <c r="AA219" i="1"/>
  <c r="AA218" i="1"/>
  <c r="W218" i="1" s="1"/>
  <c r="U215" i="1"/>
  <c r="S215" i="1" s="1"/>
  <c r="AA213" i="1"/>
  <c r="X211" i="1"/>
  <c r="AA155" i="1"/>
  <c r="AA154" i="1"/>
  <c r="T154" i="1"/>
  <c r="X149" i="1"/>
  <c r="AG146" i="1"/>
  <c r="W146" i="1" s="1"/>
  <c r="X141" i="1"/>
  <c r="AG138" i="1"/>
  <c r="W138" i="1" s="1"/>
  <c r="X138" i="1"/>
  <c r="AA134" i="1"/>
  <c r="W134" i="1" s="1"/>
  <c r="AI133" i="1"/>
  <c r="AI126" i="1"/>
  <c r="T119" i="1"/>
  <c r="X119" i="1"/>
  <c r="AG119" i="1"/>
  <c r="AI23" i="1"/>
  <c r="AI19" i="1"/>
  <c r="T208" i="1"/>
  <c r="AA206" i="1"/>
  <c r="W206" i="1" s="1"/>
  <c r="AG200" i="1"/>
  <c r="AA193" i="1"/>
  <c r="AA192" i="1"/>
  <c r="AG184" i="1"/>
  <c r="U184" i="1" s="1"/>
  <c r="S184" i="1" s="1"/>
  <c r="AA177" i="1"/>
  <c r="AA176" i="1"/>
  <c r="W176" i="1" s="1"/>
  <c r="AG168" i="1"/>
  <c r="AA161" i="1"/>
  <c r="AA252" i="1"/>
  <c r="AG244" i="1"/>
  <c r="AA237" i="1"/>
  <c r="AA236" i="1"/>
  <c r="W236" i="1" s="1"/>
  <c r="X230" i="1"/>
  <c r="X220" i="1"/>
  <c r="X212" i="1"/>
  <c r="AA158" i="1"/>
  <c r="W158" i="1" s="1"/>
  <c r="U157" i="1"/>
  <c r="S157" i="1" s="1"/>
  <c r="T145" i="1"/>
  <c r="U145" i="1" s="1"/>
  <c r="S145" i="1" s="1"/>
  <c r="AA143" i="1"/>
  <c r="X137" i="1"/>
  <c r="X123" i="1"/>
  <c r="AG123" i="1"/>
  <c r="T123" i="1"/>
  <c r="AI83" i="1"/>
  <c r="W27" i="1"/>
  <c r="W205" i="1"/>
  <c r="T204" i="1"/>
  <c r="W187" i="1"/>
  <c r="U179" i="1"/>
  <c r="S179" i="1" s="1"/>
  <c r="W171" i="1"/>
  <c r="U163" i="1"/>
  <c r="S163" i="1" s="1"/>
  <c r="U239" i="1"/>
  <c r="S239" i="1" s="1"/>
  <c r="W231" i="1"/>
  <c r="W221" i="1"/>
  <c r="U216" i="1"/>
  <c r="AG154" i="1"/>
  <c r="W153" i="1"/>
  <c r="T141" i="1"/>
  <c r="T127" i="1"/>
  <c r="X127" i="1"/>
  <c r="AG127" i="1"/>
  <c r="AI118" i="1"/>
  <c r="AI79" i="1"/>
  <c r="U67" i="1"/>
  <c r="S67" i="1" s="1"/>
  <c r="AI67" i="1"/>
  <c r="AI27" i="1"/>
  <c r="AA123" i="1"/>
  <c r="X115" i="1"/>
  <c r="AG112" i="1"/>
  <c r="U112" i="1" s="1"/>
  <c r="X112" i="1"/>
  <c r="AA108" i="1"/>
  <c r="W108" i="1" s="1"/>
  <c r="T107" i="1"/>
  <c r="AA104" i="1"/>
  <c r="W104" i="1" s="1"/>
  <c r="AA100" i="1"/>
  <c r="W100" i="1" s="1"/>
  <c r="AA96" i="1"/>
  <c r="AI95" i="1"/>
  <c r="AA90" i="1"/>
  <c r="AA88" i="1"/>
  <c r="T88" i="1"/>
  <c r="U88" i="1" s="1"/>
  <c r="S88" i="1" s="1"/>
  <c r="AA85" i="1"/>
  <c r="W85" i="1" s="1"/>
  <c r="AG81" i="1"/>
  <c r="U81" i="1" s="1"/>
  <c r="X80" i="1"/>
  <c r="AA74" i="1"/>
  <c r="W74" i="1" s="1"/>
  <c r="AA72" i="1"/>
  <c r="T72" i="1"/>
  <c r="AA69" i="1"/>
  <c r="W69" i="1" s="1"/>
  <c r="AG65" i="1"/>
  <c r="U65" i="1" s="1"/>
  <c r="S65" i="1" s="1"/>
  <c r="X64" i="1"/>
  <c r="AA58" i="1"/>
  <c r="AA56" i="1"/>
  <c r="T56" i="1"/>
  <c r="U56" i="1" s="1"/>
  <c r="S56" i="1" s="1"/>
  <c r="AA50" i="1"/>
  <c r="W50" i="1" s="1"/>
  <c r="AG49" i="1"/>
  <c r="AG46" i="1"/>
  <c r="U46" i="1" s="1"/>
  <c r="AG41" i="1"/>
  <c r="U33" i="1"/>
  <c r="W29" i="1"/>
  <c r="X27" i="1"/>
  <c r="T23" i="1"/>
  <c r="U23" i="1" s="1"/>
  <c r="S23" i="1" s="1"/>
  <c r="AA21" i="1"/>
  <c r="X19" i="1"/>
  <c r="AG16" i="1"/>
  <c r="U16" i="1" s="1"/>
  <c r="X16" i="1"/>
  <c r="T118" i="1"/>
  <c r="U118" i="1" s="1"/>
  <c r="S118" i="1" s="1"/>
  <c r="X111" i="1"/>
  <c r="U108" i="1"/>
  <c r="S108" i="1" s="1"/>
  <c r="U106" i="1"/>
  <c r="S106" i="1" s="1"/>
  <c r="U104" i="1"/>
  <c r="U102" i="1"/>
  <c r="S102" i="1" s="1"/>
  <c r="AA99" i="1"/>
  <c r="W99" i="1" s="1"/>
  <c r="T99" i="1"/>
  <c r="AG96" i="1"/>
  <c r="AI96" i="1" s="1"/>
  <c r="AA93" i="1"/>
  <c r="AA92" i="1"/>
  <c r="W92" i="1" s="1"/>
  <c r="T92" i="1"/>
  <c r="W89" i="1"/>
  <c r="T79" i="1"/>
  <c r="U79" i="1" s="1"/>
  <c r="S79" i="1" s="1"/>
  <c r="AA78" i="1"/>
  <c r="T77" i="1"/>
  <c r="AA76" i="1"/>
  <c r="T76" i="1"/>
  <c r="U76" i="1" s="1"/>
  <c r="S76" i="1" s="1"/>
  <c r="U71" i="1"/>
  <c r="S71" i="1" s="1"/>
  <c r="T63" i="1"/>
  <c r="U63" i="1" s="1"/>
  <c r="S63" i="1" s="1"/>
  <c r="AA62" i="1"/>
  <c r="W62" i="1" s="1"/>
  <c r="T61" i="1"/>
  <c r="AA60" i="1"/>
  <c r="W60" i="1" s="1"/>
  <c r="T60" i="1"/>
  <c r="W57" i="1"/>
  <c r="U53" i="1"/>
  <c r="S53" i="1" s="1"/>
  <c r="AA51" i="1"/>
  <c r="T45" i="1"/>
  <c r="U45" i="1" s="1"/>
  <c r="S45" i="1" s="1"/>
  <c r="AA44" i="1"/>
  <c r="AA43" i="1"/>
  <c r="W42" i="1"/>
  <c r="X31" i="1"/>
  <c r="AG28" i="1"/>
  <c r="U28" i="1" s="1"/>
  <c r="X28" i="1"/>
  <c r="AA24" i="1"/>
  <c r="T24" i="1"/>
  <c r="U20" i="1"/>
  <c r="AA14" i="1"/>
  <c r="AA127" i="1"/>
  <c r="AA119" i="1"/>
  <c r="W119" i="1" s="1"/>
  <c r="AA116" i="1"/>
  <c r="W116" i="1" s="1"/>
  <c r="T115" i="1"/>
  <c r="AA113" i="1"/>
  <c r="X107" i="1"/>
  <c r="U91" i="1"/>
  <c r="S91" i="1" s="1"/>
  <c r="U89" i="1"/>
  <c r="W83" i="1"/>
  <c r="U75" i="1"/>
  <c r="S75" i="1" s="1"/>
  <c r="W67" i="1"/>
  <c r="U59" i="1"/>
  <c r="S59" i="1" s="1"/>
  <c r="U57" i="1"/>
  <c r="S57" i="1" s="1"/>
  <c r="U50" i="1"/>
  <c r="W49" i="1"/>
  <c r="U42" i="1"/>
  <c r="W41" i="1"/>
  <c r="T27" i="1"/>
  <c r="U27" i="1" s="1"/>
  <c r="S27" i="1" s="1"/>
  <c r="T19" i="1"/>
  <c r="U19" i="1" s="1"/>
  <c r="S19" i="1" s="1"/>
  <c r="AA17" i="1"/>
  <c r="W112" i="1"/>
  <c r="T111" i="1"/>
  <c r="W98" i="1"/>
  <c r="X92" i="1"/>
  <c r="AA81" i="1"/>
  <c r="W81" i="1" s="1"/>
  <c r="AG77" i="1"/>
  <c r="X76" i="1"/>
  <c r="AA65" i="1"/>
  <c r="AG61" i="1"/>
  <c r="X60" i="1"/>
  <c r="AG51" i="1"/>
  <c r="W47" i="1"/>
  <c r="AG43" i="1"/>
  <c r="U43" i="1" s="1"/>
  <c r="S43" i="1" s="1"/>
  <c r="AA39" i="1"/>
  <c r="AA38" i="1"/>
  <c r="W38" i="1" s="1"/>
  <c r="T37" i="1"/>
  <c r="AA35" i="1"/>
  <c r="AA33" i="1"/>
  <c r="W33" i="1" s="1"/>
  <c r="T31" i="1"/>
  <c r="AG24" i="1"/>
  <c r="AA20" i="1"/>
  <c r="W20" i="1" s="1"/>
  <c r="AI248" i="1"/>
  <c r="U225" i="1"/>
  <c r="S225" i="1" s="1"/>
  <c r="W210" i="1"/>
  <c r="AI244" i="1"/>
  <c r="U208" i="1"/>
  <c r="S208" i="1" s="1"/>
  <c r="W204" i="1"/>
  <c r="AI240" i="1"/>
  <c r="U204" i="1"/>
  <c r="S204" i="1" s="1"/>
  <c r="U229" i="1"/>
  <c r="S229" i="1" s="1"/>
  <c r="AI252" i="1"/>
  <c r="W227" i="1"/>
  <c r="AG228" i="1"/>
  <c r="X227" i="1"/>
  <c r="T227" i="1"/>
  <c r="U227" i="1" s="1"/>
  <c r="S227" i="1" s="1"/>
  <c r="AG224" i="1"/>
  <c r="X210" i="1"/>
  <c r="T210" i="1"/>
  <c r="U210" i="1" s="1"/>
  <c r="S210" i="1" s="1"/>
  <c r="AG207" i="1"/>
  <c r="AI207" i="1" s="1"/>
  <c r="X206" i="1"/>
  <c r="T206" i="1"/>
  <c r="U206" i="1" s="1"/>
  <c r="S206" i="1" s="1"/>
  <c r="S205" i="1"/>
  <c r="AG203" i="1"/>
  <c r="AI203" i="1" s="1"/>
  <c r="W196" i="1"/>
  <c r="U230" i="1"/>
  <c r="S230" i="1" s="1"/>
  <c r="U220" i="1"/>
  <c r="S220" i="1" s="1"/>
  <c r="X228" i="1"/>
  <c r="X224" i="1"/>
  <c r="X207" i="1"/>
  <c r="X203" i="1"/>
  <c r="U202" i="1"/>
  <c r="S202" i="1" s="1"/>
  <c r="AI236" i="1"/>
  <c r="T197" i="1"/>
  <c r="X197" i="1"/>
  <c r="AG197" i="1"/>
  <c r="U195" i="1"/>
  <c r="S195" i="1" s="1"/>
  <c r="S196" i="1"/>
  <c r="T201" i="1"/>
  <c r="U201" i="1" s="1"/>
  <c r="S201" i="1" s="1"/>
  <c r="X201" i="1"/>
  <c r="W200" i="1"/>
  <c r="U200" i="1"/>
  <c r="S200" i="1" s="1"/>
  <c r="W230" i="1"/>
  <c r="U192" i="1"/>
  <c r="S192" i="1" s="1"/>
  <c r="U188" i="1"/>
  <c r="S188" i="1" s="1"/>
  <c r="U180" i="1"/>
  <c r="S180" i="1" s="1"/>
  <c r="U176" i="1"/>
  <c r="S176" i="1" s="1"/>
  <c r="U172" i="1"/>
  <c r="S172" i="1" s="1"/>
  <c r="U168" i="1"/>
  <c r="S168" i="1" s="1"/>
  <c r="U164" i="1"/>
  <c r="S164" i="1" s="1"/>
  <c r="U252" i="1"/>
  <c r="S252" i="1" s="1"/>
  <c r="U248" i="1"/>
  <c r="S248" i="1" s="1"/>
  <c r="U244" i="1"/>
  <c r="S244" i="1" s="1"/>
  <c r="U240" i="1"/>
  <c r="S240" i="1" s="1"/>
  <c r="U236" i="1"/>
  <c r="S236" i="1" s="1"/>
  <c r="U222" i="1"/>
  <c r="S222" i="1" s="1"/>
  <c r="U218" i="1"/>
  <c r="S218" i="1" s="1"/>
  <c r="AG193" i="1"/>
  <c r="W193" i="1" s="1"/>
  <c r="AG189" i="1"/>
  <c r="W189" i="1" s="1"/>
  <c r="AG185" i="1"/>
  <c r="AG181" i="1"/>
  <c r="W181" i="1" s="1"/>
  <c r="AG177" i="1"/>
  <c r="W177" i="1" s="1"/>
  <c r="AG173" i="1"/>
  <c r="AG169" i="1"/>
  <c r="AG165" i="1"/>
  <c r="AI165" i="1" s="1"/>
  <c r="AG161" i="1"/>
  <c r="AI161" i="1" s="1"/>
  <c r="AG249" i="1"/>
  <c r="AI249" i="1" s="1"/>
  <c r="AG245" i="1"/>
  <c r="AI245" i="1" s="1"/>
  <c r="AG241" i="1"/>
  <c r="AI241" i="1" s="1"/>
  <c r="AG237" i="1"/>
  <c r="AI237" i="1" s="1"/>
  <c r="AG233" i="1"/>
  <c r="AG223" i="1"/>
  <c r="AI223" i="1" s="1"/>
  <c r="AG219" i="1"/>
  <c r="AI219" i="1" s="1"/>
  <c r="AA216" i="1"/>
  <c r="W216" i="1" s="1"/>
  <c r="W141" i="1"/>
  <c r="AG198" i="1"/>
  <c r="AG194" i="1"/>
  <c r="X193" i="1"/>
  <c r="AI228" i="1"/>
  <c r="AG190" i="1"/>
  <c r="W190" i="1" s="1"/>
  <c r="X189" i="1"/>
  <c r="AI224" i="1"/>
  <c r="AG186" i="1"/>
  <c r="X185" i="1"/>
  <c r="AI220" i="1"/>
  <c r="AG182" i="1"/>
  <c r="X181" i="1"/>
  <c r="AI216" i="1"/>
  <c r="AG178" i="1"/>
  <c r="X177" i="1"/>
  <c r="AI212" i="1"/>
  <c r="AG174" i="1"/>
  <c r="X173" i="1"/>
  <c r="AI208" i="1"/>
  <c r="AG170" i="1"/>
  <c r="AI170" i="1" s="1"/>
  <c r="X169" i="1"/>
  <c r="AI204" i="1"/>
  <c r="AG166" i="1"/>
  <c r="W166" i="1" s="1"/>
  <c r="X165" i="1"/>
  <c r="AI200" i="1"/>
  <c r="AG162" i="1"/>
  <c r="X161" i="1"/>
  <c r="AI196" i="1"/>
  <c r="AG250" i="1"/>
  <c r="AI250" i="1" s="1"/>
  <c r="X249" i="1"/>
  <c r="AI192" i="1"/>
  <c r="AG246" i="1"/>
  <c r="AI246" i="1" s="1"/>
  <c r="X245" i="1"/>
  <c r="AI188" i="1"/>
  <c r="AG242" i="1"/>
  <c r="AI242" i="1" s="1"/>
  <c r="X241" i="1"/>
  <c r="AG238" i="1"/>
  <c r="X237" i="1"/>
  <c r="AI180" i="1"/>
  <c r="AG234" i="1"/>
  <c r="W234" i="1" s="1"/>
  <c r="X233" i="1"/>
  <c r="AI176" i="1"/>
  <c r="X223" i="1"/>
  <c r="T223" i="1"/>
  <c r="AI172" i="1"/>
  <c r="X219" i="1"/>
  <c r="T219" i="1"/>
  <c r="AI168" i="1"/>
  <c r="T217" i="1"/>
  <c r="U217" i="1" s="1"/>
  <c r="S217" i="1" s="1"/>
  <c r="X217" i="1"/>
  <c r="U141" i="1"/>
  <c r="S141" i="1" s="1"/>
  <c r="AI141" i="1"/>
  <c r="W137" i="1"/>
  <c r="X198" i="1"/>
  <c r="X194" i="1"/>
  <c r="X190" i="1"/>
  <c r="X186" i="1"/>
  <c r="X182" i="1"/>
  <c r="X178" i="1"/>
  <c r="X174" i="1"/>
  <c r="X170" i="1"/>
  <c r="X166" i="1"/>
  <c r="X162" i="1"/>
  <c r="X250" i="1"/>
  <c r="X246" i="1"/>
  <c r="X242" i="1"/>
  <c r="X238" i="1"/>
  <c r="X234" i="1"/>
  <c r="S216" i="1"/>
  <c r="U137" i="1"/>
  <c r="S137" i="1" s="1"/>
  <c r="AI137" i="1"/>
  <c r="U212" i="1"/>
  <c r="S212" i="1" s="1"/>
  <c r="U158" i="1"/>
  <c r="S158" i="1" s="1"/>
  <c r="U154" i="1"/>
  <c r="S154" i="1" s="1"/>
  <c r="U150" i="1"/>
  <c r="S150" i="1" s="1"/>
  <c r="U138" i="1"/>
  <c r="S138" i="1" s="1"/>
  <c r="U134" i="1"/>
  <c r="S134" i="1" s="1"/>
  <c r="AI129" i="1"/>
  <c r="AI121" i="1"/>
  <c r="AI109" i="1"/>
  <c r="AI107" i="1"/>
  <c r="U107" i="1"/>
  <c r="S107" i="1" s="1"/>
  <c r="AI105" i="1"/>
  <c r="AI101" i="1"/>
  <c r="AI97" i="1"/>
  <c r="AG213" i="1"/>
  <c r="AG159" i="1"/>
  <c r="AG155" i="1"/>
  <c r="W155" i="1" s="1"/>
  <c r="AG151" i="1"/>
  <c r="AG147" i="1"/>
  <c r="AG143" i="1"/>
  <c r="AG139" i="1"/>
  <c r="W139" i="1" s="1"/>
  <c r="AG135" i="1"/>
  <c r="X134" i="1"/>
  <c r="T133" i="1"/>
  <c r="U133" i="1" s="1"/>
  <c r="S133" i="1" s="1"/>
  <c r="T132" i="1"/>
  <c r="U132" i="1" s="1"/>
  <c r="S132" i="1" s="1"/>
  <c r="X132" i="1"/>
  <c r="AG214" i="1"/>
  <c r="W214" i="1" s="1"/>
  <c r="X213" i="1"/>
  <c r="AI162" i="1"/>
  <c r="AG160" i="1"/>
  <c r="X159" i="1"/>
  <c r="AI158" i="1"/>
  <c r="AG156" i="1"/>
  <c r="W156" i="1" s="1"/>
  <c r="X155" i="1"/>
  <c r="AI154" i="1"/>
  <c r="AG152" i="1"/>
  <c r="X151" i="1"/>
  <c r="AI150" i="1"/>
  <c r="AG148" i="1"/>
  <c r="W148" i="1" s="1"/>
  <c r="X147" i="1"/>
  <c r="AI146" i="1"/>
  <c r="AG144" i="1"/>
  <c r="X143" i="1"/>
  <c r="AG140" i="1"/>
  <c r="X139" i="1"/>
  <c r="AI138" i="1"/>
  <c r="AG136" i="1"/>
  <c r="X135" i="1"/>
  <c r="AI134" i="1"/>
  <c r="X133" i="1"/>
  <c r="AI132" i="1"/>
  <c r="AI125" i="1"/>
  <c r="AI117" i="1"/>
  <c r="AI115" i="1"/>
  <c r="U115" i="1"/>
  <c r="S115" i="1" s="1"/>
  <c r="W113" i="1"/>
  <c r="W111" i="1"/>
  <c r="AI103" i="1"/>
  <c r="U103" i="1"/>
  <c r="S103" i="1" s="1"/>
  <c r="AI99" i="1"/>
  <c r="U99" i="1"/>
  <c r="S99" i="1" s="1"/>
  <c r="X214" i="1"/>
  <c r="X160" i="1"/>
  <c r="X156" i="1"/>
  <c r="X152" i="1"/>
  <c r="X148" i="1"/>
  <c r="X144" i="1"/>
  <c r="X140" i="1"/>
  <c r="X136" i="1"/>
  <c r="S131" i="1"/>
  <c r="AI131" i="1"/>
  <c r="W129" i="1"/>
  <c r="U124" i="1"/>
  <c r="S124" i="1" s="1"/>
  <c r="W121" i="1"/>
  <c r="AI113" i="1"/>
  <c r="AI111" i="1"/>
  <c r="U111" i="1"/>
  <c r="S111" i="1" s="1"/>
  <c r="W109" i="1"/>
  <c r="W107" i="1"/>
  <c r="W105" i="1"/>
  <c r="W101" i="1"/>
  <c r="W97" i="1"/>
  <c r="X129" i="1"/>
  <c r="T129" i="1"/>
  <c r="U129" i="1" s="1"/>
  <c r="S129" i="1" s="1"/>
  <c r="X125" i="1"/>
  <c r="T125" i="1"/>
  <c r="U125" i="1" s="1"/>
  <c r="S125" i="1" s="1"/>
  <c r="AI124" i="1"/>
  <c r="X121" i="1"/>
  <c r="T121" i="1"/>
  <c r="U121" i="1" s="1"/>
  <c r="S121" i="1" s="1"/>
  <c r="AI120" i="1"/>
  <c r="S120" i="1"/>
  <c r="X117" i="1"/>
  <c r="T117" i="1"/>
  <c r="U117" i="1" s="1"/>
  <c r="S117" i="1" s="1"/>
  <c r="AI116" i="1"/>
  <c r="AG114" i="1"/>
  <c r="X113" i="1"/>
  <c r="T113" i="1"/>
  <c r="U113" i="1" s="1"/>
  <c r="AI112" i="1"/>
  <c r="S112" i="1"/>
  <c r="AG110" i="1"/>
  <c r="X109" i="1"/>
  <c r="T109" i="1"/>
  <c r="U109" i="1" s="1"/>
  <c r="S109" i="1" s="1"/>
  <c r="AI108" i="1"/>
  <c r="X105" i="1"/>
  <c r="T105" i="1"/>
  <c r="U105" i="1" s="1"/>
  <c r="S105" i="1" s="1"/>
  <c r="AI104" i="1"/>
  <c r="S104" i="1"/>
  <c r="X101" i="1"/>
  <c r="T101" i="1"/>
  <c r="U101" i="1" s="1"/>
  <c r="AI100" i="1"/>
  <c r="X97" i="1"/>
  <c r="T97" i="1"/>
  <c r="U97" i="1" s="1"/>
  <c r="S97" i="1" s="1"/>
  <c r="W90" i="1"/>
  <c r="W88" i="1"/>
  <c r="AI86" i="1"/>
  <c r="AI84" i="1"/>
  <c r="W72" i="1"/>
  <c r="AI70" i="1"/>
  <c r="AI68" i="1"/>
  <c r="U68" i="1"/>
  <c r="S68" i="1" s="1"/>
  <c r="W58" i="1"/>
  <c r="W56" i="1"/>
  <c r="AI54" i="1"/>
  <c r="U119" i="1"/>
  <c r="S119" i="1" s="1"/>
  <c r="X114" i="1"/>
  <c r="X110" i="1"/>
  <c r="X106" i="1"/>
  <c r="X102" i="1"/>
  <c r="X98" i="1"/>
  <c r="AG94" i="1"/>
  <c r="W94" i="1" s="1"/>
  <c r="X95" i="1"/>
  <c r="T94" i="1"/>
  <c r="X94" i="1"/>
  <c r="W93" i="1"/>
  <c r="AI90" i="1"/>
  <c r="AI88" i="1"/>
  <c r="W78" i="1"/>
  <c r="W76" i="1"/>
  <c r="AI74" i="1"/>
  <c r="AI72" i="1"/>
  <c r="U72" i="1"/>
  <c r="S72" i="1" s="1"/>
  <c r="AI58" i="1"/>
  <c r="AI56" i="1"/>
  <c r="U96" i="1"/>
  <c r="S96" i="1" s="1"/>
  <c r="S93" i="1"/>
  <c r="AI93" i="1"/>
  <c r="AI92" i="1"/>
  <c r="U92" i="1"/>
  <c r="S92" i="1" s="1"/>
  <c r="AI78" i="1"/>
  <c r="AI76" i="1"/>
  <c r="AI62" i="1"/>
  <c r="AI60" i="1"/>
  <c r="U60" i="1"/>
  <c r="S60" i="1" s="1"/>
  <c r="X128" i="1"/>
  <c r="AI127" i="1"/>
  <c r="X124" i="1"/>
  <c r="AI123" i="1"/>
  <c r="X120" i="1"/>
  <c r="AI119" i="1"/>
  <c r="X104" i="1"/>
  <c r="X100" i="1"/>
  <c r="X96" i="1"/>
  <c r="W86" i="1"/>
  <c r="W84" i="1"/>
  <c r="AI82" i="1"/>
  <c r="AI80" i="1"/>
  <c r="U80" i="1"/>
  <c r="S80" i="1" s="1"/>
  <c r="W70" i="1"/>
  <c r="W68" i="1"/>
  <c r="AI66" i="1"/>
  <c r="AI64" i="1"/>
  <c r="U64" i="1"/>
  <c r="S64" i="1" s="1"/>
  <c r="W54" i="1"/>
  <c r="X90" i="1"/>
  <c r="T90" i="1"/>
  <c r="U90" i="1" s="1"/>
  <c r="S90" i="1" s="1"/>
  <c r="AI89" i="1"/>
  <c r="S89" i="1"/>
  <c r="X86" i="1"/>
  <c r="T86" i="1"/>
  <c r="U86" i="1" s="1"/>
  <c r="S86" i="1" s="1"/>
  <c r="AI85" i="1"/>
  <c r="X82" i="1"/>
  <c r="T82" i="1"/>
  <c r="U82" i="1" s="1"/>
  <c r="S82" i="1" s="1"/>
  <c r="AI81" i="1"/>
  <c r="S81" i="1"/>
  <c r="X78" i="1"/>
  <c r="T78" i="1"/>
  <c r="U78" i="1" s="1"/>
  <c r="S78" i="1" s="1"/>
  <c r="AI77" i="1"/>
  <c r="X74" i="1"/>
  <c r="T74" i="1"/>
  <c r="U74" i="1" s="1"/>
  <c r="S74" i="1" s="1"/>
  <c r="AI73" i="1"/>
  <c r="X70" i="1"/>
  <c r="T70" i="1"/>
  <c r="U70" i="1" s="1"/>
  <c r="S70" i="1" s="1"/>
  <c r="AI69" i="1"/>
  <c r="S69" i="1"/>
  <c r="X66" i="1"/>
  <c r="T66" i="1"/>
  <c r="U66" i="1" s="1"/>
  <c r="S66" i="1" s="1"/>
  <c r="AI65" i="1"/>
  <c r="X62" i="1"/>
  <c r="T62" i="1"/>
  <c r="U62" i="1" s="1"/>
  <c r="S62" i="1" s="1"/>
  <c r="AI61" i="1"/>
  <c r="X58" i="1"/>
  <c r="T58" i="1"/>
  <c r="U58" i="1" s="1"/>
  <c r="S58" i="1" s="1"/>
  <c r="AI57" i="1"/>
  <c r="X54" i="1"/>
  <c r="T54" i="1"/>
  <c r="U54" i="1" s="1"/>
  <c r="S54" i="1" s="1"/>
  <c r="X91" i="1"/>
  <c r="X87" i="1"/>
  <c r="X83" i="1"/>
  <c r="X79" i="1"/>
  <c r="X75" i="1"/>
  <c r="X71" i="1"/>
  <c r="X67" i="1"/>
  <c r="X63" i="1"/>
  <c r="X59" i="1"/>
  <c r="X55" i="1"/>
  <c r="W37" i="1"/>
  <c r="W31" i="1"/>
  <c r="T52" i="1"/>
  <c r="X52" i="1"/>
  <c r="AG52" i="1"/>
  <c r="U37" i="1"/>
  <c r="S37" i="1" s="1"/>
  <c r="AI37" i="1"/>
  <c r="U31" i="1"/>
  <c r="S31" i="1" s="1"/>
  <c r="AI31" i="1"/>
  <c r="U51" i="1"/>
  <c r="S51" i="1" s="1"/>
  <c r="U47" i="1"/>
  <c r="S47" i="1" s="1"/>
  <c r="AG39" i="1"/>
  <c r="AG35" i="1"/>
  <c r="U29" i="1"/>
  <c r="S29" i="1" s="1"/>
  <c r="AG25" i="1"/>
  <c r="W25" i="1" s="1"/>
  <c r="AG21" i="1"/>
  <c r="AG17" i="1"/>
  <c r="X51" i="1"/>
  <c r="AI50" i="1"/>
  <c r="S50" i="1"/>
  <c r="AG48" i="1"/>
  <c r="W48" i="1" s="1"/>
  <c r="X47" i="1"/>
  <c r="AI46" i="1"/>
  <c r="S46" i="1"/>
  <c r="AG44" i="1"/>
  <c r="X43" i="1"/>
  <c r="AI42" i="1"/>
  <c r="S42" i="1"/>
  <c r="AG40" i="1"/>
  <c r="X39" i="1"/>
  <c r="AI38" i="1"/>
  <c r="AG36" i="1"/>
  <c r="AI33" i="1"/>
  <c r="S33" i="1"/>
  <c r="AG30" i="1"/>
  <c r="X29" i="1"/>
  <c r="AI28" i="1"/>
  <c r="S28" i="1"/>
  <c r="AG26" i="1"/>
  <c r="W26" i="1" s="1"/>
  <c r="X25" i="1"/>
  <c r="AI24" i="1"/>
  <c r="AG22" i="1"/>
  <c r="W22" i="1" s="1"/>
  <c r="X21" i="1"/>
  <c r="AI20" i="1"/>
  <c r="S20" i="1"/>
  <c r="AG18" i="1"/>
  <c r="X17" i="1"/>
  <c r="S16" i="1"/>
  <c r="AG14" i="1"/>
  <c r="AI51" i="1"/>
  <c r="X48" i="1"/>
  <c r="AI47" i="1"/>
  <c r="X44" i="1"/>
  <c r="X40" i="1"/>
  <c r="X30" i="1"/>
  <c r="AI29" i="1"/>
  <c r="X26" i="1"/>
  <c r="X22" i="1"/>
  <c r="X18" i="1"/>
  <c r="AG15" i="1"/>
  <c r="W15" i="1" s="1"/>
  <c r="X15" i="1"/>
  <c r="AD40" i="3"/>
  <c r="AE40" i="3"/>
  <c r="AE32" i="3"/>
  <c r="Y12" i="3"/>
  <c r="Y25" i="3"/>
  <c r="Y16" i="3"/>
  <c r="Y29" i="3"/>
  <c r="AD12" i="3"/>
  <c r="Y33" i="3"/>
  <c r="AD9" i="3"/>
  <c r="AE12" i="3"/>
  <c r="AE9" i="3"/>
  <c r="T36" i="3"/>
  <c r="AD45" i="3"/>
  <c r="Y43" i="3"/>
  <c r="Y36" i="3"/>
  <c r="Y27" i="3"/>
  <c r="AD32" i="3"/>
  <c r="Y21" i="3"/>
  <c r="AD30" i="3"/>
  <c r="Y8" i="3"/>
  <c r="AD26" i="3"/>
  <c r="AE20" i="3"/>
  <c r="AD16" i="3"/>
  <c r="AE16" i="3"/>
  <c r="AD8" i="3"/>
  <c r="AC47" i="3"/>
  <c r="Y42" i="3"/>
  <c r="T44" i="3"/>
  <c r="AD41" i="3"/>
  <c r="Y32" i="3"/>
  <c r="AD36" i="3"/>
  <c r="AC27" i="3"/>
  <c r="Y31" i="3"/>
  <c r="T26" i="3"/>
  <c r="AD25" i="3"/>
  <c r="T38" i="3"/>
  <c r="Y13" i="3"/>
  <c r="AE19" i="3"/>
  <c r="AD17" i="3"/>
  <c r="T10" i="3"/>
  <c r="Y15" i="3"/>
  <c r="AE11" i="3"/>
  <c r="Y44" i="3"/>
  <c r="Y35" i="3"/>
  <c r="AE28" i="3"/>
  <c r="Y26" i="3"/>
  <c r="Y37" i="3"/>
  <c r="Y45" i="3"/>
  <c r="AE44" i="3"/>
  <c r="AD49" i="3"/>
  <c r="AC22" i="3"/>
  <c r="AD33" i="3"/>
  <c r="AC39" i="3"/>
  <c r="AE23" i="3"/>
  <c r="AD21" i="3"/>
  <c r="T51" i="3"/>
  <c r="AE15" i="3"/>
  <c r="AD13" i="3"/>
  <c r="T33" i="3"/>
  <c r="AE51" i="3"/>
  <c r="T14" i="3"/>
  <c r="AE47" i="3"/>
  <c r="T46" i="3"/>
  <c r="AE35" i="3"/>
  <c r="T40" i="3"/>
  <c r="AE31" i="3"/>
  <c r="T21" i="3"/>
  <c r="AE27" i="3"/>
  <c r="T12" i="3"/>
  <c r="AE50" i="3"/>
  <c r="T47" i="3"/>
  <c r="AE46" i="3"/>
  <c r="T19" i="3"/>
  <c r="AD43" i="3"/>
  <c r="AD39" i="3"/>
  <c r="AE38" i="3"/>
  <c r="T41" i="3"/>
  <c r="AD35" i="3"/>
  <c r="AE34" i="3"/>
  <c r="T27" i="3"/>
  <c r="AD31" i="3"/>
  <c r="AE30" i="3"/>
  <c r="T50" i="3"/>
  <c r="AD27" i="3"/>
  <c r="AE26" i="3"/>
  <c r="T39" i="3"/>
  <c r="AD23" i="3"/>
  <c r="AE22" i="3"/>
  <c r="T20" i="3"/>
  <c r="AD19" i="3"/>
  <c r="AE18" i="3"/>
  <c r="T49" i="3"/>
  <c r="AD15" i="3"/>
  <c r="AE14" i="3"/>
  <c r="T29" i="3"/>
  <c r="AD11" i="3"/>
  <c r="AE10" i="3"/>
  <c r="T23" i="3"/>
  <c r="AC28" i="3"/>
  <c r="AE43" i="3"/>
  <c r="T43" i="3"/>
  <c r="AE39" i="3"/>
  <c r="T34" i="3"/>
  <c r="AD51" i="3"/>
  <c r="AD47" i="3"/>
  <c r="AE42" i="3"/>
  <c r="T22" i="3"/>
  <c r="AE49" i="3"/>
  <c r="AE45" i="3"/>
  <c r="AE41" i="3"/>
  <c r="AE37" i="3"/>
  <c r="AE33" i="3"/>
  <c r="AE29" i="3"/>
  <c r="AE25" i="3"/>
  <c r="AD22" i="3"/>
  <c r="AE21" i="3"/>
  <c r="AD18" i="3"/>
  <c r="AE17" i="3"/>
  <c r="AD14" i="3"/>
  <c r="AE13" i="3"/>
  <c r="AD10" i="3"/>
  <c r="AE8" i="3"/>
  <c r="U127" i="1" l="1"/>
  <c r="S127" i="1" s="1"/>
  <c r="U123" i="1"/>
  <c r="S123" i="1" s="1"/>
  <c r="W149" i="1"/>
  <c r="U38" i="1"/>
  <c r="S38" i="1" s="1"/>
  <c r="W73" i="1"/>
  <c r="U146" i="1"/>
  <c r="S146" i="1" s="1"/>
  <c r="W247" i="1"/>
  <c r="U61" i="1"/>
  <c r="S61" i="1" s="1"/>
  <c r="AI16" i="1"/>
  <c r="W36" i="1"/>
  <c r="AI142" i="1"/>
  <c r="U142" i="1"/>
  <c r="S142" i="1" s="1"/>
  <c r="W194" i="1"/>
  <c r="W65" i="1"/>
  <c r="W127" i="1"/>
  <c r="W192" i="1"/>
  <c r="U85" i="1"/>
  <c r="S85" i="1" s="1"/>
  <c r="S100" i="1"/>
  <c r="AI43" i="1"/>
  <c r="W52" i="1"/>
  <c r="AI184" i="1"/>
  <c r="W174" i="1"/>
  <c r="W128" i="1"/>
  <c r="AI128" i="1"/>
  <c r="W151" i="1"/>
  <c r="U232" i="1"/>
  <c r="S232" i="1" s="1"/>
  <c r="W16" i="1"/>
  <c r="U77" i="1"/>
  <c r="S77" i="1" s="1"/>
  <c r="U73" i="1"/>
  <c r="S73" i="1" s="1"/>
  <c r="U55" i="1"/>
  <c r="S55" i="1" s="1"/>
  <c r="W252" i="1"/>
  <c r="W211" i="1"/>
  <c r="S83" i="1"/>
  <c r="W46" i="1"/>
  <c r="W77" i="1"/>
  <c r="U226" i="1"/>
  <c r="S226" i="1" s="1"/>
  <c r="W179" i="1"/>
  <c r="W59" i="1"/>
  <c r="W102" i="1"/>
  <c r="U247" i="1"/>
  <c r="S247" i="1" s="1"/>
  <c r="W53" i="1"/>
  <c r="W215" i="1"/>
  <c r="W55" i="1"/>
  <c r="AI166" i="1"/>
  <c r="W241" i="1"/>
  <c r="U24" i="1"/>
  <c r="S24" i="1" s="1"/>
  <c r="W24" i="1"/>
  <c r="W51" i="1"/>
  <c r="W28" i="1"/>
  <c r="U41" i="1"/>
  <c r="S41" i="1" s="1"/>
  <c r="AI41" i="1"/>
  <c r="W96" i="1"/>
  <c r="W123" i="1"/>
  <c r="U171" i="1"/>
  <c r="S171" i="1" s="1"/>
  <c r="AI171" i="1"/>
  <c r="U149" i="1"/>
  <c r="S149" i="1" s="1"/>
  <c r="AI149" i="1"/>
  <c r="U167" i="1"/>
  <c r="S167" i="1" s="1"/>
  <c r="AI167" i="1"/>
  <c r="AI174" i="1"/>
  <c r="W43" i="1"/>
  <c r="W154" i="1"/>
  <c r="U187" i="1"/>
  <c r="S187" i="1" s="1"/>
  <c r="AI187" i="1"/>
  <c r="U211" i="1"/>
  <c r="S211" i="1" s="1"/>
  <c r="AI211" i="1"/>
  <c r="W244" i="1"/>
  <c r="U183" i="1"/>
  <c r="S183" i="1" s="1"/>
  <c r="AI183" i="1"/>
  <c r="W238" i="1"/>
  <c r="AI238" i="1"/>
  <c r="U49" i="1"/>
  <c r="S49" i="1" s="1"/>
  <c r="AI49" i="1"/>
  <c r="W168" i="1"/>
  <c r="U199" i="1"/>
  <c r="S199" i="1" s="1"/>
  <c r="AI199" i="1"/>
  <c r="W61" i="1"/>
  <c r="U231" i="1"/>
  <c r="S231" i="1" s="1"/>
  <c r="AI231" i="1"/>
  <c r="W184" i="1"/>
  <c r="W183" i="1"/>
  <c r="W243" i="1"/>
  <c r="AI18" i="1"/>
  <c r="U18" i="1"/>
  <c r="S18" i="1" s="1"/>
  <c r="AI40" i="1"/>
  <c r="U40" i="1"/>
  <c r="S40" i="1" s="1"/>
  <c r="W18" i="1"/>
  <c r="AI110" i="1"/>
  <c r="U110" i="1"/>
  <c r="S110" i="1" s="1"/>
  <c r="U136" i="1"/>
  <c r="S136" i="1" s="1"/>
  <c r="AI136" i="1"/>
  <c r="U152" i="1"/>
  <c r="S152" i="1" s="1"/>
  <c r="AI152" i="1"/>
  <c r="AI143" i="1"/>
  <c r="U143" i="1"/>
  <c r="S143" i="1" s="1"/>
  <c r="AI159" i="1"/>
  <c r="U159" i="1"/>
  <c r="W136" i="1"/>
  <c r="U246" i="1"/>
  <c r="S246" i="1" s="1"/>
  <c r="AI190" i="1"/>
  <c r="U170" i="1"/>
  <c r="S170" i="1" s="1"/>
  <c r="AI206" i="1"/>
  <c r="U186" i="1"/>
  <c r="S186" i="1" s="1"/>
  <c r="AI222" i="1"/>
  <c r="AI173" i="1"/>
  <c r="U223" i="1"/>
  <c r="S223" i="1" s="1"/>
  <c r="AI189" i="1"/>
  <c r="U245" i="1"/>
  <c r="S245" i="1" s="1"/>
  <c r="AI205" i="1"/>
  <c r="U169" i="1"/>
  <c r="S169" i="1" s="1"/>
  <c r="AI221" i="1"/>
  <c r="U185" i="1"/>
  <c r="S185" i="1" s="1"/>
  <c r="W245" i="1"/>
  <c r="W170" i="1"/>
  <c r="U228" i="1"/>
  <c r="S228" i="1" s="1"/>
  <c r="AI251" i="1"/>
  <c r="AI14" i="1"/>
  <c r="U14" i="1"/>
  <c r="S14" i="1" s="1"/>
  <c r="AI22" i="1"/>
  <c r="U22" i="1"/>
  <c r="S22" i="1" s="1"/>
  <c r="AI30" i="1"/>
  <c r="U30" i="1"/>
  <c r="S30" i="1" s="1"/>
  <c r="AI44" i="1"/>
  <c r="U44" i="1"/>
  <c r="S44" i="1" s="1"/>
  <c r="AI35" i="1"/>
  <c r="U35" i="1"/>
  <c r="S35" i="1" s="1"/>
  <c r="AI39" i="1"/>
  <c r="U39" i="1"/>
  <c r="S39" i="1" s="1"/>
  <c r="W35" i="1"/>
  <c r="U94" i="1"/>
  <c r="S94" i="1" s="1"/>
  <c r="AI94" i="1"/>
  <c r="U148" i="1"/>
  <c r="S148" i="1" s="1"/>
  <c r="AI148" i="1"/>
  <c r="U214" i="1"/>
  <c r="S214" i="1" s="1"/>
  <c r="AI164" i="1"/>
  <c r="AI147" i="1"/>
  <c r="U147" i="1"/>
  <c r="S147" i="1" s="1"/>
  <c r="AI163" i="1"/>
  <c r="U213" i="1"/>
  <c r="S213" i="1" s="1"/>
  <c r="W110" i="1"/>
  <c r="U242" i="1"/>
  <c r="S242" i="1" s="1"/>
  <c r="AI186" i="1"/>
  <c r="U166" i="1"/>
  <c r="S166" i="1" s="1"/>
  <c r="AI202" i="1"/>
  <c r="U182" i="1"/>
  <c r="S182" i="1" s="1"/>
  <c r="AI218" i="1"/>
  <c r="AI177" i="1"/>
  <c r="U233" i="1"/>
  <c r="S233" i="1" s="1"/>
  <c r="AI193" i="1"/>
  <c r="U249" i="1"/>
  <c r="S249" i="1" s="1"/>
  <c r="AI209" i="1"/>
  <c r="U173" i="1"/>
  <c r="S173" i="1" s="1"/>
  <c r="AI225" i="1"/>
  <c r="U189" i="1"/>
  <c r="S189" i="1" s="1"/>
  <c r="W246" i="1"/>
  <c r="W242" i="1"/>
  <c r="W173" i="1"/>
  <c r="AI239" i="1"/>
  <c r="U203" i="1"/>
  <c r="S203" i="1" s="1"/>
  <c r="W203" i="1"/>
  <c r="AI25" i="1"/>
  <c r="U25" i="1"/>
  <c r="S25" i="1" s="1"/>
  <c r="W39" i="1"/>
  <c r="W14" i="1"/>
  <c r="U144" i="1"/>
  <c r="S144" i="1" s="1"/>
  <c r="AI144" i="1"/>
  <c r="U160" i="1"/>
  <c r="AI160" i="1"/>
  <c r="AI135" i="1"/>
  <c r="U135" i="1"/>
  <c r="S135" i="1" s="1"/>
  <c r="AI151" i="1"/>
  <c r="U151" i="1"/>
  <c r="S151" i="1" s="1"/>
  <c r="W152" i="1"/>
  <c r="W159" i="1"/>
  <c r="U238" i="1"/>
  <c r="S238" i="1" s="1"/>
  <c r="AI182" i="1"/>
  <c r="U162" i="1"/>
  <c r="S162" i="1" s="1"/>
  <c r="AI198" i="1"/>
  <c r="U178" i="1"/>
  <c r="S178" i="1" s="1"/>
  <c r="AI214" i="1"/>
  <c r="U194" i="1"/>
  <c r="S194" i="1" s="1"/>
  <c r="AI230" i="1"/>
  <c r="W143" i="1"/>
  <c r="AI181" i="1"/>
  <c r="U237" i="1"/>
  <c r="S237" i="1" s="1"/>
  <c r="AI197" i="1"/>
  <c r="U161" i="1"/>
  <c r="S161" i="1" s="1"/>
  <c r="AI213" i="1"/>
  <c r="U177" i="1"/>
  <c r="S177" i="1" s="1"/>
  <c r="AI229" i="1"/>
  <c r="U193" i="1"/>
  <c r="S193" i="1" s="1"/>
  <c r="W185" i="1"/>
  <c r="W161" i="1"/>
  <c r="W178" i="1"/>
  <c r="W249" i="1"/>
  <c r="AI243" i="1"/>
  <c r="U207" i="1"/>
  <c r="S207" i="1" s="1"/>
  <c r="W207" i="1"/>
  <c r="AI26" i="1"/>
  <c r="U26" i="1"/>
  <c r="S26" i="1" s="1"/>
  <c r="AI36" i="1"/>
  <c r="U36" i="1"/>
  <c r="S36" i="1" s="1"/>
  <c r="AI48" i="1"/>
  <c r="U48" i="1"/>
  <c r="S48" i="1" s="1"/>
  <c r="AI17" i="1"/>
  <c r="U17" i="1"/>
  <c r="S17" i="1" s="1"/>
  <c r="AI21" i="1"/>
  <c r="U21" i="1"/>
  <c r="S21" i="1" s="1"/>
  <c r="W30" i="1"/>
  <c r="AI114" i="1"/>
  <c r="U114" i="1"/>
  <c r="S113" i="1" s="1"/>
  <c r="W114" i="1"/>
  <c r="U15" i="1"/>
  <c r="S15" i="1" s="1"/>
  <c r="AI15" i="1"/>
  <c r="W40" i="1"/>
  <c r="U52" i="1"/>
  <c r="S52" i="1" s="1"/>
  <c r="AI52" i="1"/>
  <c r="W17" i="1"/>
  <c r="W44" i="1"/>
  <c r="W21" i="1"/>
  <c r="U140" i="1"/>
  <c r="S140" i="1" s="1"/>
  <c r="AI140" i="1"/>
  <c r="U156" i="1"/>
  <c r="S156" i="1" s="1"/>
  <c r="AI156" i="1"/>
  <c r="AI139" i="1"/>
  <c r="U139" i="1"/>
  <c r="S139" i="1" s="1"/>
  <c r="AI155" i="1"/>
  <c r="U155" i="1"/>
  <c r="S155" i="1" s="1"/>
  <c r="W135" i="1"/>
  <c r="W140" i="1"/>
  <c r="W147" i="1"/>
  <c r="W160" i="1"/>
  <c r="U234" i="1"/>
  <c r="S234" i="1" s="1"/>
  <c r="AI178" i="1"/>
  <c r="U250" i="1"/>
  <c r="S250" i="1" s="1"/>
  <c r="AI194" i="1"/>
  <c r="U174" i="1"/>
  <c r="S174" i="1" s="1"/>
  <c r="AI210" i="1"/>
  <c r="U190" i="1"/>
  <c r="S190" i="1" s="1"/>
  <c r="AI226" i="1"/>
  <c r="U198" i="1"/>
  <c r="S198" i="1" s="1"/>
  <c r="AI234" i="1"/>
  <c r="W144" i="1"/>
  <c r="AI169" i="1"/>
  <c r="U219" i="1"/>
  <c r="S219" i="1" s="1"/>
  <c r="AI185" i="1"/>
  <c r="U241" i="1"/>
  <c r="S241" i="1" s="1"/>
  <c r="AI201" i="1"/>
  <c r="U165" i="1"/>
  <c r="S165" i="1" s="1"/>
  <c r="AI217" i="1"/>
  <c r="U181" i="1"/>
  <c r="W213" i="1"/>
  <c r="W169" i="1"/>
  <c r="W186" i="1"/>
  <c r="W165" i="1"/>
  <c r="W182" i="1"/>
  <c r="W237" i="1"/>
  <c r="W162" i="1"/>
  <c r="AI233" i="1"/>
  <c r="U197" i="1"/>
  <c r="S197" i="1" s="1"/>
  <c r="W219" i="1"/>
  <c r="W223" i="1"/>
  <c r="W233" i="1"/>
  <c r="W250" i="1"/>
  <c r="W197" i="1"/>
  <c r="AI247" i="1"/>
  <c r="U224" i="1"/>
  <c r="S224" i="1" s="1"/>
  <c r="W198" i="1"/>
  <c r="W224" i="1"/>
  <c r="W228" i="1"/>
  <c r="R48" i="3"/>
  <c r="M48" i="3"/>
  <c r="U48" i="3"/>
  <c r="AC48" i="3" s="1"/>
  <c r="V48" i="3"/>
  <c r="W48" i="3"/>
  <c r="X48" i="3"/>
  <c r="S159" i="1" l="1"/>
  <c r="T48" i="3"/>
  <c r="AD48" i="3"/>
  <c r="AE48" i="3"/>
  <c r="S48" i="3"/>
  <c r="Y48" i="3"/>
  <c r="B5" i="6" l="1"/>
  <c r="J5" i="6" s="1"/>
  <c r="B6" i="6" l="1"/>
  <c r="F5" i="6"/>
  <c r="I5" i="6"/>
  <c r="G5" i="6"/>
  <c r="G6" i="6" l="1"/>
  <c r="I6" i="6"/>
  <c r="J6" i="6"/>
  <c r="F6" i="6"/>
  <c r="B7" i="6"/>
  <c r="F7" i="6" l="1"/>
  <c r="G7" i="6"/>
  <c r="I7" i="6"/>
  <c r="J7" i="6"/>
  <c r="B8" i="6"/>
  <c r="O2" i="3"/>
  <c r="G8" i="6" l="1"/>
  <c r="I8" i="6"/>
  <c r="J8" i="6"/>
  <c r="F8" i="6"/>
  <c r="B9" i="6"/>
  <c r="M28" i="5"/>
  <c r="B10" i="6" l="1"/>
  <c r="F9" i="6"/>
  <c r="I9" i="6"/>
  <c r="G9" i="6"/>
  <c r="J9" i="6"/>
  <c r="M23" i="5"/>
  <c r="B11" i="6" l="1"/>
  <c r="G10" i="6"/>
  <c r="I10" i="6"/>
  <c r="J10" i="6"/>
  <c r="F10" i="6"/>
  <c r="AD7" i="3"/>
  <c r="AN13" i="1"/>
  <c r="F11" i="6" l="1"/>
  <c r="I11" i="6"/>
  <c r="G11" i="6"/>
  <c r="J11" i="6"/>
  <c r="B12" i="6"/>
  <c r="AE7" i="3"/>
  <c r="G12" i="6" l="1"/>
  <c r="I12" i="6"/>
  <c r="F12" i="6"/>
  <c r="J12" i="6"/>
  <c r="B13" i="6"/>
  <c r="K13" i="1"/>
  <c r="M13" i="1"/>
  <c r="N13" i="1" s="1"/>
  <c r="Y13" i="1"/>
  <c r="Z13" i="1"/>
  <c r="AB13" i="1"/>
  <c r="AC13" i="1"/>
  <c r="AD13" i="1"/>
  <c r="X14" i="1" s="1"/>
  <c r="AE13" i="1"/>
  <c r="AM13" i="1"/>
  <c r="F13" i="6" l="1"/>
  <c r="I13" i="6"/>
  <c r="G13" i="6"/>
  <c r="J13" i="6"/>
  <c r="B14" i="6"/>
  <c r="AG13" i="1"/>
  <c r="AI13" i="1" s="1"/>
  <c r="X13" i="1"/>
  <c r="AA13" i="1"/>
  <c r="T13" i="1"/>
  <c r="G14" i="6" l="1"/>
  <c r="I14" i="6"/>
  <c r="J14" i="6"/>
  <c r="F14" i="6"/>
  <c r="B15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6" i="6" l="1"/>
  <c r="F15" i="6"/>
  <c r="G15" i="6"/>
  <c r="I15" i="6"/>
  <c r="J15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6" i="6" l="1"/>
  <c r="I16" i="6"/>
  <c r="J16" i="6"/>
  <c r="F16" i="6"/>
  <c r="B17" i="6"/>
  <c r="B87" i="9"/>
  <c r="B88" i="9"/>
  <c r="B89" i="9"/>
  <c r="B90" i="9"/>
  <c r="B91" i="9"/>
  <c r="B92" i="9"/>
  <c r="B18" i="6" l="1"/>
  <c r="F17" i="6"/>
  <c r="G17" i="6"/>
  <c r="I17" i="6"/>
  <c r="J17" i="6"/>
  <c r="C88" i="9"/>
  <c r="C92" i="9"/>
  <c r="C93" i="9"/>
  <c r="C90" i="9"/>
  <c r="C89" i="9"/>
  <c r="C91" i="9"/>
  <c r="B19" i="6" l="1"/>
  <c r="G18" i="6"/>
  <c r="I18" i="6"/>
  <c r="J18" i="6"/>
  <c r="F18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9" i="6" l="1"/>
  <c r="G19" i="6"/>
  <c r="I19" i="6"/>
  <c r="J19" i="6"/>
  <c r="B20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0" i="6" l="1"/>
  <c r="F20" i="6"/>
  <c r="G20" i="6"/>
  <c r="J20" i="6"/>
  <c r="B21" i="6"/>
  <c r="B55" i="9"/>
  <c r="B56" i="9"/>
  <c r="B57" i="9"/>
  <c r="B58" i="9"/>
  <c r="B59" i="9"/>
  <c r="B60" i="9"/>
  <c r="B61" i="9"/>
  <c r="B62" i="9"/>
  <c r="C63" i="9" s="1"/>
  <c r="F21" i="6" l="1"/>
  <c r="I21" i="6"/>
  <c r="G21" i="6"/>
  <c r="J21" i="6"/>
  <c r="B22" i="6"/>
  <c r="C61" i="9"/>
  <c r="C57" i="9"/>
  <c r="C59" i="9"/>
  <c r="C62" i="9"/>
  <c r="C60" i="9"/>
  <c r="C58" i="9"/>
  <c r="C56" i="9"/>
  <c r="G22" i="6" l="1"/>
  <c r="I22" i="6"/>
  <c r="J22" i="6"/>
  <c r="F22" i="6"/>
  <c r="B23" i="6"/>
  <c r="B50" i="9"/>
  <c r="B51" i="9"/>
  <c r="B52" i="9"/>
  <c r="B53" i="9"/>
  <c r="B54" i="9"/>
  <c r="F23" i="6" l="1"/>
  <c r="G23" i="6"/>
  <c r="I23" i="6"/>
  <c r="J23" i="6"/>
  <c r="B24" i="6"/>
  <c r="C52" i="9"/>
  <c r="C54" i="9"/>
  <c r="C55" i="9"/>
  <c r="C53" i="9"/>
  <c r="C51" i="9"/>
  <c r="G24" i="6" l="1"/>
  <c r="I24" i="6"/>
  <c r="J24" i="6"/>
  <c r="F24" i="6"/>
  <c r="B2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6" i="6" l="1"/>
  <c r="F25" i="6"/>
  <c r="G25" i="6"/>
  <c r="I25" i="6"/>
  <c r="J2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6" i="6" l="1"/>
  <c r="I26" i="6"/>
  <c r="J26" i="6"/>
  <c r="F26" i="6"/>
  <c r="B27" i="6"/>
  <c r="V13" i="1"/>
  <c r="B31" i="9"/>
  <c r="B32" i="9"/>
  <c r="C33" i="9" s="1"/>
  <c r="F27" i="6" l="1"/>
  <c r="G27" i="6"/>
  <c r="I27" i="6"/>
  <c r="J27" i="6"/>
  <c r="B28" i="6"/>
  <c r="C32" i="9"/>
  <c r="G28" i="6" l="1"/>
  <c r="I28" i="6"/>
  <c r="F28" i="6"/>
  <c r="H28" i="6"/>
  <c r="J28" i="6"/>
  <c r="B2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8" i="3" s="1"/>
  <c r="G30" i="4"/>
  <c r="G31" i="4"/>
  <c r="G32" i="4"/>
  <c r="G33" i="4"/>
  <c r="G34" i="4"/>
  <c r="G35" i="4"/>
  <c r="G36" i="4"/>
  <c r="G37" i="4"/>
  <c r="G38" i="4"/>
  <c r="G39" i="4"/>
  <c r="G40" i="4"/>
  <c r="G41" i="4"/>
  <c r="N7" i="3" s="1"/>
  <c r="G42" i="4"/>
  <c r="G43" i="4"/>
  <c r="G44" i="4"/>
  <c r="G45" i="4"/>
  <c r="N23" i="3" s="1"/>
  <c r="G46" i="4"/>
  <c r="G47" i="4"/>
  <c r="G48" i="4"/>
  <c r="N33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5" i="3" s="1"/>
  <c r="G69" i="4"/>
  <c r="G70" i="4"/>
  <c r="N17" i="3" s="1"/>
  <c r="G71" i="4"/>
  <c r="G72" i="4"/>
  <c r="G73" i="4"/>
  <c r="G74" i="4"/>
  <c r="G75" i="4"/>
  <c r="N29" i="3" s="1"/>
  <c r="G76" i="4"/>
  <c r="G77" i="4"/>
  <c r="G78" i="4"/>
  <c r="G79" i="4"/>
  <c r="G80" i="4"/>
  <c r="N10" i="3" s="1"/>
  <c r="G81" i="4"/>
  <c r="G82" i="4"/>
  <c r="G83" i="4"/>
  <c r="G84" i="4"/>
  <c r="G85" i="4"/>
  <c r="N24" i="3" s="1"/>
  <c r="G86" i="4"/>
  <c r="G87" i="4"/>
  <c r="G88" i="4"/>
  <c r="G89" i="4"/>
  <c r="G90" i="4"/>
  <c r="G91" i="4"/>
  <c r="G92" i="4"/>
  <c r="G93" i="4"/>
  <c r="G94" i="4"/>
  <c r="N13" i="3" s="1"/>
  <c r="G95" i="4"/>
  <c r="G96" i="4"/>
  <c r="N16" i="3" s="1"/>
  <c r="G97" i="4"/>
  <c r="G98" i="4"/>
  <c r="G99" i="4"/>
  <c r="G100" i="4"/>
  <c r="G101" i="4"/>
  <c r="G102" i="4"/>
  <c r="G103" i="4"/>
  <c r="G104" i="4"/>
  <c r="N37" i="3" s="1"/>
  <c r="G105" i="4"/>
  <c r="G106" i="4"/>
  <c r="G107" i="4"/>
  <c r="N20" i="3" s="1"/>
  <c r="G108" i="4"/>
  <c r="G109" i="4"/>
  <c r="G110" i="4"/>
  <c r="H9" i="6" s="1"/>
  <c r="G111" i="4"/>
  <c r="G112" i="4"/>
  <c r="G113" i="4"/>
  <c r="G114" i="4"/>
  <c r="H10" i="6" s="1"/>
  <c r="G115" i="4"/>
  <c r="N38" i="3" s="1"/>
  <c r="G116" i="4"/>
  <c r="H11" i="6" s="1"/>
  <c r="G117" i="4"/>
  <c r="G118" i="4"/>
  <c r="N25" i="3" s="1"/>
  <c r="G119" i="4"/>
  <c r="G120" i="4"/>
  <c r="G121" i="4"/>
  <c r="G122" i="4"/>
  <c r="G123" i="4"/>
  <c r="G124" i="4"/>
  <c r="N11" i="3" s="1"/>
  <c r="G125" i="4"/>
  <c r="G126" i="4"/>
  <c r="G127" i="4"/>
  <c r="G128" i="4"/>
  <c r="H19" i="6" s="1"/>
  <c r="G129" i="4"/>
  <c r="G130" i="4"/>
  <c r="G131" i="4"/>
  <c r="N39" i="3" s="1"/>
  <c r="G132" i="4"/>
  <c r="G133" i="4"/>
  <c r="G134" i="4"/>
  <c r="G135" i="4"/>
  <c r="N8" i="3" s="1"/>
  <c r="G136" i="4"/>
  <c r="N12" i="3" s="1"/>
  <c r="G137" i="4"/>
  <c r="G138" i="4"/>
  <c r="G139" i="4"/>
  <c r="N26" i="3" s="1"/>
  <c r="G140" i="4"/>
  <c r="G141" i="4"/>
  <c r="G142" i="4"/>
  <c r="H25" i="6" s="1"/>
  <c r="G143" i="4"/>
  <c r="G144" i="4"/>
  <c r="G145" i="4"/>
  <c r="G146" i="4"/>
  <c r="G147" i="4"/>
  <c r="G148" i="4"/>
  <c r="H27" i="6" s="1"/>
  <c r="G149" i="4"/>
  <c r="N50" i="3" s="1"/>
  <c r="G150" i="4"/>
  <c r="G151" i="4"/>
  <c r="G152" i="4"/>
  <c r="G153" i="4"/>
  <c r="G154" i="4"/>
  <c r="G155" i="4"/>
  <c r="G156" i="4"/>
  <c r="G157" i="4"/>
  <c r="G158" i="4"/>
  <c r="G159" i="4"/>
  <c r="G160" i="4"/>
  <c r="N21" i="3" s="1"/>
  <c r="G161" i="4"/>
  <c r="G162" i="4"/>
  <c r="G163" i="4"/>
  <c r="G164" i="4"/>
  <c r="N31" i="3" s="1"/>
  <c r="G165" i="4"/>
  <c r="G166" i="4"/>
  <c r="G167" i="4"/>
  <c r="G168" i="4"/>
  <c r="G169" i="4"/>
  <c r="G170" i="4"/>
  <c r="N27" i="3" s="1"/>
  <c r="G171" i="4"/>
  <c r="G172" i="4"/>
  <c r="G173" i="4"/>
  <c r="G174" i="4"/>
  <c r="G175" i="4"/>
  <c r="G176" i="4"/>
  <c r="G177" i="4"/>
  <c r="G178" i="4"/>
  <c r="N30" i="3" s="1"/>
  <c r="G179" i="4"/>
  <c r="G180" i="4"/>
  <c r="G181" i="4"/>
  <c r="G182" i="4"/>
  <c r="G183" i="4"/>
  <c r="G184" i="4"/>
  <c r="G185" i="4"/>
  <c r="N41" i="3" s="1"/>
  <c r="G186" i="4"/>
  <c r="G187" i="4"/>
  <c r="G188" i="4"/>
  <c r="G189" i="4"/>
  <c r="G190" i="4"/>
  <c r="G191" i="4"/>
  <c r="N36" i="3" s="1"/>
  <c r="G192" i="4"/>
  <c r="G193" i="4"/>
  <c r="G194" i="4"/>
  <c r="N18" i="3" s="1"/>
  <c r="G195" i="4"/>
  <c r="G196" i="4"/>
  <c r="N43" i="3" s="1"/>
  <c r="G197" i="4"/>
  <c r="G198" i="4"/>
  <c r="G199" i="4"/>
  <c r="G200" i="4"/>
  <c r="N22" i="3" s="1"/>
  <c r="G201" i="4"/>
  <c r="G202" i="4"/>
  <c r="G203" i="4"/>
  <c r="N9" i="3" s="1"/>
  <c r="G204" i="4"/>
  <c r="G205" i="4"/>
  <c r="G206" i="4"/>
  <c r="N44" i="3" s="1"/>
  <c r="G207" i="4"/>
  <c r="G208" i="4"/>
  <c r="G209" i="4"/>
  <c r="N46" i="3" s="1"/>
  <c r="G210" i="4"/>
  <c r="G211" i="4"/>
  <c r="G212" i="4"/>
  <c r="G213" i="4"/>
  <c r="G214" i="4"/>
  <c r="G215" i="4"/>
  <c r="G216" i="4"/>
  <c r="G217" i="4"/>
  <c r="G218" i="4"/>
  <c r="G219" i="4"/>
  <c r="N19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N42" i="3" s="1"/>
  <c r="G236" i="4"/>
  <c r="G237" i="4"/>
  <c r="G238" i="4"/>
  <c r="G239" i="4"/>
  <c r="N45" i="3" s="1"/>
  <c r="G240" i="4"/>
  <c r="G241" i="4"/>
  <c r="G242" i="4"/>
  <c r="G243" i="4"/>
  <c r="G244" i="4"/>
  <c r="N47" i="3" s="1"/>
  <c r="G245" i="4"/>
  <c r="N14" i="3" s="1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4" i="3" l="1"/>
  <c r="N32" i="3"/>
  <c r="N35" i="3"/>
  <c r="N40" i="3"/>
  <c r="N51" i="3"/>
  <c r="N49" i="3"/>
  <c r="N48" i="3"/>
  <c r="H6" i="6"/>
  <c r="H22" i="6"/>
  <c r="H13" i="6"/>
  <c r="H26" i="6"/>
  <c r="H20" i="6"/>
  <c r="H7" i="6"/>
  <c r="H17" i="6"/>
  <c r="H12" i="6"/>
  <c r="H5" i="6"/>
  <c r="H16" i="6"/>
  <c r="H18" i="6"/>
  <c r="H8" i="6"/>
  <c r="H15" i="6"/>
  <c r="H23" i="6"/>
  <c r="H24" i="6"/>
  <c r="H21" i="6"/>
  <c r="H14" i="6"/>
  <c r="F29" i="6"/>
  <c r="I29" i="6"/>
  <c r="G29" i="6"/>
  <c r="H29" i="6"/>
  <c r="J29" i="6"/>
  <c r="B30" i="6"/>
  <c r="L13" i="1"/>
  <c r="G30" i="6" l="1"/>
  <c r="I30" i="6"/>
  <c r="J30" i="6"/>
  <c r="F30" i="6"/>
  <c r="H30" i="6"/>
  <c r="B3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1" i="6" l="1"/>
  <c r="G31" i="6"/>
  <c r="I31" i="6"/>
  <c r="J31" i="6"/>
  <c r="H31" i="6"/>
  <c r="B3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2" i="6" l="1"/>
  <c r="H32" i="6"/>
  <c r="J32" i="6"/>
  <c r="I32" i="6"/>
  <c r="F32" i="6"/>
  <c r="B3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4" i="6" l="1"/>
  <c r="F33" i="6"/>
  <c r="G33" i="6"/>
  <c r="I33" i="6"/>
  <c r="H33" i="6"/>
  <c r="J33" i="6"/>
  <c r="M30" i="5"/>
  <c r="M29" i="5"/>
  <c r="M27" i="5"/>
  <c r="G34" i="6" l="1"/>
  <c r="I34" i="6"/>
  <c r="J34" i="6"/>
  <c r="H34" i="6"/>
  <c r="F34" i="6"/>
  <c r="B35" i="6"/>
  <c r="M26" i="5"/>
  <c r="B36" i="6" l="1"/>
  <c r="F35" i="6"/>
  <c r="G35" i="6"/>
  <c r="H35" i="6"/>
  <c r="J35" i="6"/>
  <c r="I35" i="6"/>
  <c r="AH13" i="1"/>
  <c r="J7" i="1"/>
  <c r="G36" i="6" l="1"/>
  <c r="F36" i="6"/>
  <c r="H36" i="6"/>
  <c r="J36" i="6"/>
  <c r="I36" i="6"/>
  <c r="B37" i="6"/>
  <c r="X6" i="1"/>
  <c r="W6" i="1"/>
  <c r="V6" i="1"/>
  <c r="S6" i="1"/>
  <c r="R2" i="1"/>
  <c r="I2" i="1"/>
  <c r="O6" i="1"/>
  <c r="N6" i="1"/>
  <c r="M6" i="1"/>
  <c r="J6" i="1"/>
  <c r="B38" i="6" l="1"/>
  <c r="I37" i="6"/>
  <c r="G37" i="6"/>
  <c r="H37" i="6"/>
  <c r="J37" i="6"/>
  <c r="F37" i="6"/>
  <c r="P3" i="5"/>
  <c r="G38" i="6" l="1"/>
  <c r="I38" i="6"/>
  <c r="J38" i="6"/>
  <c r="F38" i="6"/>
  <c r="H38" i="6"/>
  <c r="B39" i="6"/>
  <c r="M18" i="5"/>
  <c r="B40" i="6" l="1"/>
  <c r="F39" i="6"/>
  <c r="G39" i="6"/>
  <c r="I39" i="6"/>
  <c r="J39" i="6"/>
  <c r="H39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0" i="6" l="1"/>
  <c r="I40" i="6"/>
  <c r="J40" i="6"/>
  <c r="F40" i="6"/>
  <c r="H40" i="6"/>
  <c r="B4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2" i="6" l="1"/>
  <c r="F41" i="6"/>
  <c r="G41" i="6"/>
  <c r="I41" i="6"/>
  <c r="H41" i="6"/>
  <c r="J41" i="6"/>
  <c r="G259" i="4"/>
  <c r="G260" i="4"/>
  <c r="G261" i="4"/>
  <c r="G262" i="4"/>
  <c r="G263" i="4"/>
  <c r="G264" i="4"/>
  <c r="G265" i="4"/>
  <c r="B43" i="6" l="1"/>
  <c r="G42" i="6"/>
  <c r="I42" i="6"/>
  <c r="H42" i="6"/>
  <c r="J42" i="6"/>
  <c r="F42" i="6"/>
  <c r="M14" i="5"/>
  <c r="M13" i="5"/>
  <c r="M12" i="5"/>
  <c r="M11" i="5"/>
  <c r="M10" i="5"/>
  <c r="M9" i="5"/>
  <c r="M8" i="5"/>
  <c r="M7" i="5"/>
  <c r="M6" i="5"/>
  <c r="M5" i="5"/>
  <c r="M4" i="5"/>
  <c r="M3" i="5"/>
  <c r="F43" i="6" l="1"/>
  <c r="G43" i="6"/>
  <c r="I43" i="6"/>
  <c r="J43" i="6"/>
  <c r="H43" i="6"/>
  <c r="B44" i="6"/>
  <c r="U13" i="1"/>
  <c r="S13" i="1" s="1"/>
  <c r="O3" i="3"/>
  <c r="H44" i="6" l="1"/>
  <c r="I44" i="6"/>
  <c r="F44" i="6"/>
  <c r="G44" i="6"/>
  <c r="J44" i="6"/>
  <c r="B4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6" i="6" l="1"/>
  <c r="F46" i="6" s="1"/>
  <c r="F45" i="6"/>
  <c r="G45" i="6"/>
  <c r="I45" i="6"/>
  <c r="H45" i="6"/>
  <c r="J45" i="6"/>
  <c r="J8" i="1"/>
  <c r="J4" i="1"/>
  <c r="S8" i="1"/>
  <c r="S4" i="1"/>
  <c r="J46" i="6" l="1"/>
  <c r="I46" i="6"/>
  <c r="G46" i="6"/>
  <c r="H46" i="6"/>
  <c r="B47" i="6"/>
  <c r="S9" i="1"/>
  <c r="J9" i="1"/>
  <c r="B48" i="6" l="1"/>
  <c r="H47" i="6"/>
  <c r="J47" i="6"/>
  <c r="F47" i="6"/>
  <c r="G47" i="6"/>
  <c r="I47" i="6"/>
  <c r="S11" i="1"/>
  <c r="A11" i="1"/>
  <c r="B49" i="6" l="1"/>
  <c r="F48" i="6"/>
  <c r="I48" i="6"/>
  <c r="J48" i="6"/>
  <c r="G48" i="6"/>
  <c r="H48" i="6"/>
  <c r="B1" i="6"/>
  <c r="A5" i="3"/>
  <c r="B50" i="6" l="1"/>
  <c r="G49" i="6"/>
  <c r="H49" i="6"/>
  <c r="F49" i="6"/>
  <c r="I49" i="6"/>
  <c r="J49" i="6"/>
  <c r="G50" i="6" l="1"/>
  <c r="H50" i="6"/>
  <c r="I50" i="6"/>
  <c r="J50" i="6"/>
  <c r="F50" i="6"/>
  <c r="B51" i="6"/>
  <c r="H51" i="6" l="1"/>
  <c r="F51" i="6"/>
  <c r="G51" i="6"/>
  <c r="I51" i="6"/>
  <c r="J51" i="6"/>
  <c r="B52" i="6"/>
  <c r="B53" i="6" l="1"/>
  <c r="G52" i="6"/>
  <c r="H52" i="6"/>
  <c r="I52" i="6"/>
  <c r="J52" i="6"/>
  <c r="F52" i="6"/>
  <c r="B54" i="6" l="1"/>
  <c r="I53" i="6"/>
  <c r="G53" i="6"/>
  <c r="F53" i="6"/>
  <c r="H53" i="6"/>
  <c r="J53" i="6"/>
  <c r="G54" i="6" l="1"/>
  <c r="F54" i="6"/>
  <c r="H54" i="6"/>
  <c r="I54" i="6"/>
  <c r="J54" i="6"/>
  <c r="B55" i="6"/>
  <c r="B3" i="6"/>
  <c r="H55" i="6" l="1"/>
  <c r="J55" i="6"/>
  <c r="F55" i="6"/>
  <c r="G55" i="6"/>
  <c r="I55" i="6"/>
  <c r="B56" i="6"/>
  <c r="I3" i="6"/>
  <c r="F3" i="6"/>
  <c r="B4" i="6"/>
  <c r="G3" i="6"/>
  <c r="J3" i="6"/>
  <c r="H3" i="6"/>
  <c r="B57" i="6" l="1"/>
  <c r="F56" i="6"/>
  <c r="G56" i="6"/>
  <c r="I56" i="6"/>
  <c r="H56" i="6"/>
  <c r="J56" i="6"/>
  <c r="I4" i="6"/>
  <c r="F4" i="6"/>
  <c r="G4" i="6"/>
  <c r="J4" i="6"/>
  <c r="H4" i="6"/>
  <c r="F57" i="6" l="1"/>
  <c r="G57" i="6"/>
  <c r="J57" i="6"/>
  <c r="H57" i="6"/>
  <c r="I57" i="6"/>
  <c r="B58" i="6"/>
  <c r="G58" i="6" l="1"/>
  <c r="J58" i="6"/>
  <c r="F58" i="6"/>
  <c r="H58" i="6"/>
  <c r="I58" i="6"/>
  <c r="B59" i="6"/>
  <c r="B60" i="6" l="1"/>
  <c r="F59" i="6"/>
  <c r="G59" i="6"/>
  <c r="H59" i="6"/>
  <c r="I59" i="6"/>
  <c r="J59" i="6"/>
  <c r="B61" i="6" l="1"/>
  <c r="J60" i="6"/>
  <c r="F60" i="6"/>
  <c r="I60" i="6"/>
  <c r="G60" i="6"/>
  <c r="H60" i="6"/>
  <c r="B62" i="6" l="1"/>
  <c r="G61" i="6"/>
  <c r="H61" i="6"/>
  <c r="F61" i="6"/>
  <c r="I61" i="6"/>
  <c r="J61" i="6"/>
  <c r="G62" i="6" l="1"/>
  <c r="I62" i="6"/>
  <c r="J62" i="6"/>
  <c r="F62" i="6"/>
  <c r="H62" i="6"/>
  <c r="B63" i="6"/>
  <c r="B64" i="6" l="1"/>
  <c r="J63" i="6"/>
  <c r="F63" i="6"/>
  <c r="H63" i="6"/>
  <c r="G63" i="6"/>
  <c r="I63" i="6"/>
  <c r="B65" i="6" l="1"/>
  <c r="H64" i="6"/>
  <c r="F64" i="6"/>
  <c r="I64" i="6"/>
  <c r="J64" i="6"/>
  <c r="G64" i="6"/>
  <c r="B67" i="6" l="1"/>
  <c r="B66" i="6"/>
  <c r="G65" i="6"/>
  <c r="H65" i="6"/>
  <c r="F65" i="6"/>
  <c r="I65" i="6"/>
  <c r="J65" i="6"/>
  <c r="G66" i="6" l="1"/>
  <c r="H66" i="6"/>
  <c r="I66" i="6"/>
  <c r="J66" i="6"/>
  <c r="F66" i="6"/>
  <c r="H67" i="6"/>
  <c r="J67" i="6"/>
  <c r="G67" i="6"/>
  <c r="I67" i="6"/>
  <c r="F6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<sst xmlns="http://schemas.openxmlformats.org/spreadsheetml/2006/main" count="3017" uniqueCount="1037">
  <si>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</si>
  <si>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</si>
  <si>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</si>
  <si>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</si>
  <si>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</si>
  <si>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</si>
  <si>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</si>
  <si>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</si>
  <si>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</si>
  <si>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</si>
  <si>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</si>
  <si>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</si>
  <si>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</si>
  <si>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</si>
  <si>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</si>
  <si>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</si>
  <si>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</si>
  <si>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</si>
  <si>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</si>
  <si>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</si>
  <si>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</si>
  <si>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</si>
  <si>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</si>
  <si>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</si>
  <si>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</si>
  <si>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</si>
  <si>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</si>
  <si>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</si>
  <si>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</si>
  <si>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</si>
  <si>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</si>
  <si>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</si>
  <si>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</si>
  <si>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</si>
  <si>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</si>
  <si>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</si>
  <si>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</si>
  <si>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</si>
  <si>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</si>
  <si>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</si>
  <si>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</si>
  <si>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</si>
  <si>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</si>
  <si>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</si>
  <si>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</si>
  <si>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</si>
  <si>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</si>
  <si>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</si>
  <si>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</si>
  <si>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</si>
  <si>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</si>
  <si>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</si>
  <si>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</si>
  <si>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</si>
  <si>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</si>
  <si>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</si>
  <si>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</si>
  <si>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</si>
  <si>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</si>
  <si>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</si>
  <si>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</si>
  <si>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</si>
  <si>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</si>
  <si>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</si>
  <si>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</si>
  <si>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</si>
  <si>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</si>
  <si>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</si>
  <si>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</si>
  <si>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</si>
  <si>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</si>
  <si>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</si>
  <si>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</si>
  <si>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</si>
  <si>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</si>
  <si>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</si>
  <si>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</si>
  <si>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</si>
  <si>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</si>
  <si>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</si>
  <si>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</si>
  <si>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</si>
  <si>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</si>
  <si>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</si>
  <si>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</si>
  <si>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</si>
  <si>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</si>
  <si>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</si>
  <si>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</si>
  <si>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</si>
  <si>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</si>
  <si>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</si>
  <si>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</si>
  <si>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</si>
  <si>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</si>
  <si>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</si>
  <si>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</si>
  <si>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</si>
  <si>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</si>
  <si>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</si>
  <si>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</si>
  <si>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</si>
  <si>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</si>
  <si>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</si>
  <si>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</si>
  <si>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</si>
  <si>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</si>
  <si>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</si>
  <si>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</si>
  <si>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</si>
  <si>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</si>
  <si>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</si>
  <si>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</si>
  <si>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</si>
  <si>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</si>
  <si>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</si>
  <si>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</si>
  <si>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</si>
  <si>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</si>
  <si>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</si>
  <si>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</si>
  <si>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</si>
  <si>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</si>
  <si>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</si>
  <si>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</si>
  <si>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</si>
  <si>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</si>
  <si>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</si>
  <si>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</si>
  <si>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</si>
  <si>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</si>
  <si>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</si>
  <si>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</si>
  <si>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</si>
  <si>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</si>
  <si>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</si>
  <si>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</si>
  <si>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</si>
  <si>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</si>
  <si>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</si>
  <si>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</si>
  <si>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</si>
  <si>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</si>
  <si>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</si>
  <si>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</si>
  <si>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</si>
  <si>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</si>
  <si>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</si>
  <si>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</si>
  <si>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</si>
  <si>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</si>
  <si>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</si>
  <si>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</si>
  <si>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</si>
  <si>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</si>
  <si>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</si>
  <si>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</si>
  <si>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</si>
  <si>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</si>
  <si>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</si>
  <si>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</si>
  <si>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</si>
  <si>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</si>
  <si>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</si>
  <si>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</si>
  <si>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</si>
  <si>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</si>
  <si>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</si>
  <si>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</si>
  <si>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</si>
  <si>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</si>
  <si>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</si>
  <si>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</si>
  <si>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</si>
  <si>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</si>
  <si>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</si>
  <si>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</si>
  <si>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</si>
  <si>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</si>
  <si>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</si>
  <si>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</si>
  <si>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</si>
  <si>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</si>
  <si>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</si>
  <si>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</si>
  <si>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</si>
  <si>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</si>
  <si>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</si>
  <si>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</si>
  <si>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</si>
  <si>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</si>
  <si>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</si>
  <si>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</si>
  <si>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</si>
  <si>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</si>
  <si>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</si>
  <si>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</si>
  <si>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</si>
  <si>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</si>
  <si>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</si>
  <si>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</si>
  <si>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</si>
  <si>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</si>
  <si>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</si>
  <si>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</si>
  <si>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</si>
  <si>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</si>
  <si>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</si>
  <si>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</si>
  <si>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</si>
  <si>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</si>
  <si>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</si>
  <si>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</si>
  <si>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</si>
  <si>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</si>
  <si>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</si>
  <si>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</si>
  <si>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</si>
  <si>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</si>
  <si>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</si>
  <si>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</si>
  <si>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</si>
  <si>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</si>
  <si>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</si>
  <si>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</si>
  <si>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</si>
  <si>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</si>
  <si>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</si>
  <si>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</si>
  <si>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</si>
  <si>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</si>
  <si>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</si>
  <si>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</si>
  <si>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</si>
  <si>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</si>
  <si>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</si>
  <si>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</si>
  <si>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</si>
  <si>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</si>
  <si>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</si>
  <si>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</si>
  <si>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</si>
  <si>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</si>
  <si>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</si>
  <si>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</si>
  <si>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</si>
  <si>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</si>
  <si>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</si>
  <si>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</si>
  <si>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</si>
  <si>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</si>
  <si>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</si>
  <si>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</si>
  <si>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</si>
  <si>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</si>
  <si>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</si>
  <si>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</si>
  <si>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</si>
  <si>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</si>
  <si>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</si>
  <si>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</si>
  <si>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</si>
  <si>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</si>
  <si>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</si>
  <si>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</si>
  <si>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</si>
  <si>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</si>
  <si>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</si>
  <si>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</si>
  <si>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</si>
  <si>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</si>
  <si>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</si>
  <si>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</si>
  <si>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</si>
  <si>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</si>
  <si>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</si>
  <si>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</si>
  <si>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</si>
  <si>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</si>
  <si>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</si>
  <si>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</si>
  <si>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</si>
  <si>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</si>
  <si>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</si>
  <si>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</si>
  <si>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</si>
  <si>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</si>
  <si>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</si>
  <si>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</si>
  <si>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</si>
  <si>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</si>
  <si>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</si>
  <si>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</si>
  <si>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</si>
  <si>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</si>
  <si>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</si>
  <si>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</si>
  <si>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</si>
  <si>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</si>
  <si>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</si>
  <si>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</si>
  <si>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</si>
  <si>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</si>
  <si>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</si>
  <si>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</si>
  <si>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</si>
  <si>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</si>
  <si>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</si>
  <si>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</si>
  <si>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</si>
  <si>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</si>
  <si>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</si>
  <si>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</si>
  <si>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</si>
  <si>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</si>
  <si>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</si>
  <si>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</si>
  <si>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</si>
  <si>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</si>
  <si>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</si>
  <si>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</si>
  <si>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</si>
  <si>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</si>
  <si>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</si>
  <si>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</si>
  <si>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</si>
  <si>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</si>
  <si>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</si>
  <si>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</si>
  <si>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</si>
  <si>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</si>
  <si>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</si>
  <si>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</si>
  <si>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</si>
  <si>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</si>
  <si>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</si>
  <si>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</si>
  <si>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</si>
  <si>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</si>
  <si>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</si>
  <si>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</si>
  <si>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</si>
  <si>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</si>
  <si>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</si>
  <si>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</si>
  <si>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</si>
  <si>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</si>
  <si>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</si>
  <si>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</si>
  <si>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</si>
  <si>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</si>
  <si>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</si>
  <si>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</si>
  <si>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</si>
  <si>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</si>
  <si>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</si>
  <si>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</si>
  <si>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</si>
  <si>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</si>
  <si>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</si>
  <si>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</si>
  <si>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</si>
  <si>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</si>
  <si>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</si>
  <si>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</si>
  <si>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</si>
  <si>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</si>
  <si>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</si>
  <si>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</si>
  <si>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</si>
  <si>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</si>
  <si>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</si>
  <si>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</si>
  <si>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</si>
  <si>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</si>
  <si>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</si>
  <si>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</si>
  <si>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</si>
  <si>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</si>
  <si>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</si>
  <si>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</si>
  <si>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</si>
  <si>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</si>
  <si>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</si>
  <si>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</si>
  <si>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</si>
  <si>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</si>
  <si>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</si>
  <si>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</si>
  <si>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</si>
  <si>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</si>
  <si>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</si>
  <si>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</si>
  <si>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</si>
  <si>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</si>
  <si>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</si>
  <si>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</si>
  <si>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</si>
  <si>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</si>
  <si>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</si>
  <si>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</si>
  <si>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</si>
  <si>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</si>
  <si>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</si>
  <si>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</si>
  <si>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</si>
  <si>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</si>
  <si>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204:477</t>
  </si>
  <si>
    <t>300:58617</t>
  </si>
  <si>
    <t>rtdc.l.rtdc.4001:itc</t>
  </si>
  <si>
    <t>SULLIVAN</t>
  </si>
  <si>
    <t>BRANDON</t>
  </si>
  <si>
    <t>rtdc.l.rtdc.4002:itc</t>
  </si>
  <si>
    <t>204:154</t>
  </si>
  <si>
    <t>Early arrival</t>
  </si>
  <si>
    <t>204:233295</t>
  </si>
  <si>
    <t>204:232974</t>
  </si>
  <si>
    <t>204:232982</t>
  </si>
  <si>
    <t>204:233011</t>
  </si>
  <si>
    <t>204:473</t>
  </si>
  <si>
    <t>rtdc.l.rtdc.4049:itc</t>
  </si>
  <si>
    <t>rtdc.l.rtdc.4030:itc</t>
  </si>
  <si>
    <t>rtdc.l.rtdc.4050:itc</t>
  </si>
  <si>
    <t>CLARK</t>
  </si>
  <si>
    <t>KATHLEEN</t>
  </si>
  <si>
    <t>204:469</t>
  </si>
  <si>
    <t>204:232993</t>
  </si>
  <si>
    <t>rtdc.l.rtdc.4008:itc</t>
  </si>
  <si>
    <t>rtdc.l.rtdc.4007:itc</t>
  </si>
  <si>
    <t>rtdc.l.rtdc.4018:itc</t>
  </si>
  <si>
    <t>rtdc.l.rtdc.4053:itc</t>
  </si>
  <si>
    <t>rtdc.l.rtdc.4054:itc</t>
  </si>
  <si>
    <t>rtdc.l.rtdc.4059:itc</t>
  </si>
  <si>
    <t>59-16</t>
  </si>
  <si>
    <t>243-16</t>
  </si>
  <si>
    <t>rtdc.l.rtdc.4012:itc</t>
  </si>
  <si>
    <t>66-16</t>
  </si>
  <si>
    <t>rtdc.l.rtdc.4060:itc</t>
  </si>
  <si>
    <t>60-16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</si>
  <si>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</si>
  <si>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</si>
  <si>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</si>
  <si>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</si>
  <si>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</si>
  <si>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</si>
  <si>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</si>
  <si>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</si>
  <si>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</si>
  <si>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</si>
  <si>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Light Rain</t>
  </si>
  <si>
    <t>204:471</t>
  </si>
  <si>
    <t>204:233312</t>
  </si>
  <si>
    <t>204:233000</t>
  </si>
  <si>
    <t>204:233301</t>
  </si>
  <si>
    <t>300:23308</t>
  </si>
  <si>
    <t>300:58941</t>
  </si>
  <si>
    <t>300:58943</t>
  </si>
  <si>
    <t>Onboard in-route failure</t>
  </si>
  <si>
    <t>rtdc.l.rtdc.4056:itc</t>
  </si>
  <si>
    <t>rtdc.l.rtdc.4029:itc</t>
  </si>
  <si>
    <t>rtdc.l.rtdc.4055:itc</t>
  </si>
  <si>
    <t>Y</t>
  </si>
  <si>
    <t>204:233299</t>
  </si>
  <si>
    <t>204:233306</t>
  </si>
  <si>
    <t>204:438</t>
  </si>
  <si>
    <t>204:233021</t>
  </si>
  <si>
    <t>204:232965</t>
  </si>
  <si>
    <t>300:58937</t>
  </si>
  <si>
    <t>Wi-MAX data drop</t>
  </si>
  <si>
    <t>Track device (7)</t>
  </si>
  <si>
    <t>rtdc.l.rtdc.4009:itc</t>
  </si>
  <si>
    <t>rtdc.l.rtdc.4010:itc</t>
  </si>
  <si>
    <t>ROBINSON</t>
  </si>
  <si>
    <t>KADDIBA</t>
  </si>
  <si>
    <t>MACDONALD</t>
  </si>
  <si>
    <t>rtdc.l.rtdc.4026:itc</t>
  </si>
  <si>
    <t>LALONDE</t>
  </si>
  <si>
    <t>GREGORY</t>
  </si>
  <si>
    <t>WHITED</t>
  </si>
  <si>
    <t>DUSTIN</t>
  </si>
  <si>
    <t>PERKINS</t>
  </si>
  <si>
    <t>DARREN</t>
  </si>
  <si>
    <t>204:165</t>
  </si>
  <si>
    <t>204:233023</t>
  </si>
  <si>
    <t>204:233334</t>
  </si>
  <si>
    <t>204:233302</t>
  </si>
  <si>
    <t>204:233282</t>
  </si>
  <si>
    <t>204:232983</t>
  </si>
  <si>
    <t>204:233015</t>
  </si>
  <si>
    <t>204:232985</t>
  </si>
  <si>
    <t>204:972</t>
  </si>
  <si>
    <t>300:58630</t>
  </si>
  <si>
    <t>300:58969</t>
  </si>
  <si>
    <t>300:58950</t>
  </si>
  <si>
    <t>SWITCH UNKNOWN</t>
  </si>
  <si>
    <t>rtdc.l.rtdc.4041:itc</t>
  </si>
  <si>
    <t>STAMBAUGH</t>
  </si>
  <si>
    <t>MAELZER</t>
  </si>
  <si>
    <t>KURT</t>
  </si>
  <si>
    <t>DAVIS</t>
  </si>
  <si>
    <t>DAVIDSON</t>
  </si>
  <si>
    <t>DAVID</t>
  </si>
  <si>
    <t>BRUDER</t>
  </si>
  <si>
    <t>RICHARD</t>
  </si>
  <si>
    <t>ROMERO</t>
  </si>
  <si>
    <t>CHAD</t>
  </si>
  <si>
    <t>MCREYNOLDS</t>
  </si>
  <si>
    <t>KYLE</t>
  </si>
  <si>
    <t>rtdc.l.rtdc.4016:itc</t>
  </si>
  <si>
    <t>rtdc.l.rtdc.4015:itc</t>
  </si>
  <si>
    <t>DUNCAN</t>
  </si>
  <si>
    <t>SHEILA</t>
  </si>
  <si>
    <t>MAGEE</t>
  </si>
  <si>
    <t>KENYA</t>
  </si>
  <si>
    <t>242-21</t>
  </si>
  <si>
    <t>309-21</t>
  </si>
  <si>
    <t>244-21</t>
  </si>
  <si>
    <t>311-21</t>
  </si>
  <si>
    <t>313-21</t>
  </si>
  <si>
    <t>partly-cloudy-night</t>
  </si>
  <si>
    <t>Mostly Cloudy</t>
  </si>
  <si>
    <t>Partly Cloudy</t>
  </si>
  <si>
    <t>partly-cloudy-day</t>
  </si>
  <si>
    <t>Drizzle</t>
  </si>
  <si>
    <t>204:233368</t>
  </si>
  <si>
    <t>204:437</t>
  </si>
  <si>
    <t>204:233308</t>
  </si>
  <si>
    <t>204:233324</t>
  </si>
  <si>
    <t>204:233310</t>
  </si>
  <si>
    <t>204:467</t>
  </si>
  <si>
    <t>204:172</t>
  </si>
  <si>
    <t>204:232998</t>
  </si>
  <si>
    <t>204:233389</t>
  </si>
  <si>
    <t>204:233072</t>
  </si>
  <si>
    <t>204:233322</t>
  </si>
  <si>
    <t>204:232986</t>
  </si>
  <si>
    <t>204:233278</t>
  </si>
  <si>
    <t>204:232966</t>
  </si>
  <si>
    <t>204:232971</t>
  </si>
  <si>
    <t>204:233331</t>
  </si>
  <si>
    <t>204:233042</t>
  </si>
  <si>
    <t>204:233059</t>
  </si>
  <si>
    <t>204:233055</t>
  </si>
  <si>
    <t>204:161</t>
  </si>
  <si>
    <t>204:134</t>
  </si>
  <si>
    <t>204:544</t>
  </si>
  <si>
    <t>204:233363</t>
  </si>
  <si>
    <t>204:233276</t>
  </si>
  <si>
    <t>300:58615</t>
  </si>
  <si>
    <t>300:58924</t>
  </si>
  <si>
    <t>300:58613</t>
  </si>
  <si>
    <t>204:684</t>
  </si>
  <si>
    <t>204:965</t>
  </si>
  <si>
    <t>204:691</t>
  </si>
  <si>
    <t>204:985</t>
  </si>
  <si>
    <t>300:58918</t>
  </si>
  <si>
    <t>204:976</t>
  </si>
  <si>
    <t>300:58600</t>
  </si>
  <si>
    <t>204:967</t>
  </si>
  <si>
    <t>204:685</t>
  </si>
  <si>
    <t>204:233449</t>
  </si>
  <si>
    <t>204:678</t>
  </si>
  <si>
    <t>204:677</t>
  </si>
  <si>
    <t>204:233347</t>
  </si>
  <si>
    <t>204:233305</t>
  </si>
  <si>
    <t>204:233128</t>
  </si>
  <si>
    <t>204:232967</t>
  </si>
  <si>
    <t>204:233048</t>
  </si>
  <si>
    <t>204:232984</t>
  </si>
  <si>
    <t>204:233431</t>
  </si>
  <si>
    <t>204:232973</t>
  </si>
  <si>
    <t>204:233323</t>
  </si>
  <si>
    <t>204:232977</t>
  </si>
  <si>
    <t>310-22</t>
  </si>
  <si>
    <t>rtdc.l.rtdc.4006:itc</t>
  </si>
  <si>
    <t>111-22</t>
  </si>
  <si>
    <t>119-22</t>
  </si>
  <si>
    <t>121-22</t>
  </si>
  <si>
    <t>805-22</t>
  </si>
  <si>
    <t>137-22</t>
  </si>
  <si>
    <t>132-22</t>
  </si>
  <si>
    <t>141-22</t>
  </si>
  <si>
    <t>rtdc.l.rtdc.4005:itc</t>
  </si>
  <si>
    <t>140-22</t>
  </si>
  <si>
    <t>142-22</t>
  </si>
  <si>
    <t>rtdc.l.rtdc.4032:itc</t>
  </si>
  <si>
    <t>157-22</t>
  </si>
  <si>
    <t>52-22</t>
  </si>
  <si>
    <t>rtdc.l.rtdc.4025:itc</t>
  </si>
  <si>
    <t>152-22</t>
  </si>
  <si>
    <t>817-22</t>
  </si>
  <si>
    <t>rtdc.l.rtdc.4031:itc</t>
  </si>
  <si>
    <t>158-22</t>
  </si>
  <si>
    <t>819-22</t>
  </si>
  <si>
    <t>171-22</t>
  </si>
  <si>
    <t>175-22</t>
  </si>
  <si>
    <t>rtdc.l.rtdc.4017:itc</t>
  </si>
  <si>
    <t>822-22</t>
  </si>
  <si>
    <t>185-22</t>
  </si>
  <si>
    <t>187-22</t>
  </si>
  <si>
    <t>178-22</t>
  </si>
  <si>
    <t>904-22</t>
  </si>
  <si>
    <t>199-22</t>
  </si>
  <si>
    <t>829-22</t>
  </si>
  <si>
    <t>832-22</t>
  </si>
  <si>
    <t>198-22</t>
  </si>
  <si>
    <t>209-22</t>
  </si>
  <si>
    <t>835-22</t>
  </si>
  <si>
    <t>834-22</t>
  </si>
  <si>
    <t>836-22</t>
  </si>
  <si>
    <t>212-22</t>
  </si>
  <si>
    <t>216-22</t>
  </si>
  <si>
    <t>839-22</t>
  </si>
  <si>
    <t>841-22</t>
  </si>
  <si>
    <t>218-22</t>
  </si>
  <si>
    <t>229-22</t>
  </si>
  <si>
    <t>54-22</t>
  </si>
  <si>
    <t>846-22</t>
  </si>
  <si>
    <t>849-22</t>
  </si>
  <si>
    <t>908-22</t>
  </si>
  <si>
    <t>238-22</t>
  </si>
  <si>
    <t>300-22</t>
  </si>
  <si>
    <t>50-22</t>
  </si>
  <si>
    <t>MAYBERRY</t>
  </si>
  <si>
    <t>BILL</t>
  </si>
  <si>
    <t>101-22</t>
  </si>
  <si>
    <t>302-22</t>
  </si>
  <si>
    <t>BONDS</t>
  </si>
  <si>
    <t>REYNALDO</t>
  </si>
  <si>
    <t>103-22</t>
  </si>
  <si>
    <t>304-22</t>
  </si>
  <si>
    <t>STARKS</t>
  </si>
  <si>
    <t>ANGELINA</t>
  </si>
  <si>
    <t>102-22</t>
  </si>
  <si>
    <t>306-22</t>
  </si>
  <si>
    <t>105-22</t>
  </si>
  <si>
    <t>308-22</t>
  </si>
  <si>
    <t>107-22</t>
  </si>
  <si>
    <t>104-22</t>
  </si>
  <si>
    <t>109-22</t>
  </si>
  <si>
    <t>HELVIE</t>
  </si>
  <si>
    <t>ADAM</t>
  </si>
  <si>
    <t>901-22</t>
  </si>
  <si>
    <t>MOSES</t>
  </si>
  <si>
    <t>BRADLEY</t>
  </si>
  <si>
    <t>800-22</t>
  </si>
  <si>
    <t>106-22</t>
  </si>
  <si>
    <t>108-22</t>
  </si>
  <si>
    <t>113-22</t>
  </si>
  <si>
    <t>312-22</t>
  </si>
  <si>
    <t>115-22</t>
  </si>
  <si>
    <t>110-22</t>
  </si>
  <si>
    <t>801-22</t>
  </si>
  <si>
    <t>117-22</t>
  </si>
  <si>
    <t>112-22</t>
  </si>
  <si>
    <t>902-22</t>
  </si>
  <si>
    <t>LOZA</t>
  </si>
  <si>
    <t>FIDEL</t>
  </si>
  <si>
    <t>802-22</t>
  </si>
  <si>
    <t>114-22</t>
  </si>
  <si>
    <t>803-22</t>
  </si>
  <si>
    <t>116-22</t>
  </si>
  <si>
    <t>123-22</t>
  </si>
  <si>
    <t>804-22</t>
  </si>
  <si>
    <t>125-22</t>
  </si>
  <si>
    <t>118-22</t>
  </si>
  <si>
    <t>127-22</t>
  </si>
  <si>
    <t>129-22</t>
  </si>
  <si>
    <t>806-22</t>
  </si>
  <si>
    <t>807-22</t>
  </si>
  <si>
    <t>124-22</t>
  </si>
  <si>
    <t>131-22</t>
  </si>
  <si>
    <t>53-22</t>
  </si>
  <si>
    <t>126-22</t>
  </si>
  <si>
    <t>809-22</t>
  </si>
  <si>
    <t>808-22</t>
  </si>
  <si>
    <t>133-22</t>
  </si>
  <si>
    <t>128-22</t>
  </si>
  <si>
    <t>135-22</t>
  </si>
  <si>
    <t>810-22</t>
  </si>
  <si>
    <t>130-22</t>
  </si>
  <si>
    <t>811-22</t>
  </si>
  <si>
    <t>139-22</t>
  </si>
  <si>
    <t>134-22</t>
  </si>
  <si>
    <t>903-22</t>
  </si>
  <si>
    <t>812-22</t>
  </si>
  <si>
    <t>136-22</t>
  </si>
  <si>
    <t>143-22</t>
  </si>
  <si>
    <t>138-22</t>
  </si>
  <si>
    <t>145-22</t>
  </si>
  <si>
    <t>813-22</t>
  </si>
  <si>
    <t>147-22</t>
  </si>
  <si>
    <t>149-22</t>
  </si>
  <si>
    <t>814-22</t>
  </si>
  <si>
    <t>144-22</t>
  </si>
  <si>
    <t>151-22</t>
  </si>
  <si>
    <t>146-22</t>
  </si>
  <si>
    <t>148-22</t>
  </si>
  <si>
    <t>153-22</t>
  </si>
  <si>
    <t>815-22</t>
  </si>
  <si>
    <t>150-22</t>
  </si>
  <si>
    <t>155-22</t>
  </si>
  <si>
    <t>816-22</t>
  </si>
  <si>
    <t>55-22</t>
  </si>
  <si>
    <t>154-22</t>
  </si>
  <si>
    <t>159-22</t>
  </si>
  <si>
    <t>161-22</t>
  </si>
  <si>
    <t>163-22</t>
  </si>
  <si>
    <t>156-22</t>
  </si>
  <si>
    <t>818-22</t>
  </si>
  <si>
    <t>165-22</t>
  </si>
  <si>
    <t>LEVERE</t>
  </si>
  <si>
    <t>CRAIG</t>
  </si>
  <si>
    <t>160-22</t>
  </si>
  <si>
    <t>167-22</t>
  </si>
  <si>
    <t>57-22</t>
  </si>
  <si>
    <t>162-22</t>
  </si>
  <si>
    <t>169-22</t>
  </si>
  <si>
    <t>BRANDNER</t>
  </si>
  <si>
    <t>MELINDA</t>
  </si>
  <si>
    <t>164-22</t>
  </si>
  <si>
    <t>166-22</t>
  </si>
  <si>
    <t>173-22</t>
  </si>
  <si>
    <t>820-22</t>
  </si>
  <si>
    <t>168-22</t>
  </si>
  <si>
    <t>170-22</t>
  </si>
  <si>
    <t>177-22</t>
  </si>
  <si>
    <t>821-22</t>
  </si>
  <si>
    <t>LEVIN</t>
  </si>
  <si>
    <t>SCOTT</t>
  </si>
  <si>
    <t>172-22</t>
  </si>
  <si>
    <t>179-22</t>
  </si>
  <si>
    <t>174-22</t>
  </si>
  <si>
    <t>181-22</t>
  </si>
  <si>
    <t>176-22</t>
  </si>
  <si>
    <t>183-22</t>
  </si>
  <si>
    <t>180-22</t>
  </si>
  <si>
    <t>823-22</t>
  </si>
  <si>
    <t>824-22</t>
  </si>
  <si>
    <t>182-22</t>
  </si>
  <si>
    <t>189-22</t>
  </si>
  <si>
    <t>184-22</t>
  </si>
  <si>
    <t>191-22</t>
  </si>
  <si>
    <t>186-22</t>
  </si>
  <si>
    <t>193-22</t>
  </si>
  <si>
    <t>825-22</t>
  </si>
  <si>
    <t>188-22</t>
  </si>
  <si>
    <t>195-22</t>
  </si>
  <si>
    <t>826-22</t>
  </si>
  <si>
    <t>827-22</t>
  </si>
  <si>
    <t>190-22</t>
  </si>
  <si>
    <t>197-22</t>
  </si>
  <si>
    <t>192-22</t>
  </si>
  <si>
    <t>194-22</t>
  </si>
  <si>
    <t>828-22</t>
  </si>
  <si>
    <t>201-22</t>
  </si>
  <si>
    <t>196-22</t>
  </si>
  <si>
    <t>203-22</t>
  </si>
  <si>
    <t>831-22</t>
  </si>
  <si>
    <t>830-22</t>
  </si>
  <si>
    <t>205-22</t>
  </si>
  <si>
    <t>200-22</t>
  </si>
  <si>
    <t>207-22</t>
  </si>
  <si>
    <t>65-22</t>
  </si>
  <si>
    <t>202-22</t>
  </si>
  <si>
    <t>833-22</t>
  </si>
  <si>
    <t>67-22</t>
  </si>
  <si>
    <t>204-22</t>
  </si>
  <si>
    <t>211-22</t>
  </si>
  <si>
    <t>206-22</t>
  </si>
  <si>
    <t>213-22</t>
  </si>
  <si>
    <t>208-22</t>
  </si>
  <si>
    <t>215-22</t>
  </si>
  <si>
    <t>56-22</t>
  </si>
  <si>
    <t>210-22</t>
  </si>
  <si>
    <t>217-22</t>
  </si>
  <si>
    <t>837-22</t>
  </si>
  <si>
    <t>219-22</t>
  </si>
  <si>
    <t>214-22</t>
  </si>
  <si>
    <t>838-22</t>
  </si>
  <si>
    <t>301-22</t>
  </si>
  <si>
    <t>221-22</t>
  </si>
  <si>
    <t>906-22</t>
  </si>
  <si>
    <t>303-22</t>
  </si>
  <si>
    <t>220-22</t>
  </si>
  <si>
    <t>223-22</t>
  </si>
  <si>
    <t>840-22</t>
  </si>
  <si>
    <t>305-22</t>
  </si>
  <si>
    <t>222-22</t>
  </si>
  <si>
    <t>225-22</t>
  </si>
  <si>
    <t>51-22</t>
  </si>
  <si>
    <t>843-22</t>
  </si>
  <si>
    <t>227-22</t>
  </si>
  <si>
    <t>224-22</t>
  </si>
  <si>
    <t>842-22</t>
  </si>
  <si>
    <t>226-22</t>
  </si>
  <si>
    <t>845-22</t>
  </si>
  <si>
    <t>228-22</t>
  </si>
  <si>
    <t>231-22</t>
  </si>
  <si>
    <t>844-22</t>
  </si>
  <si>
    <t>230-22</t>
  </si>
  <si>
    <t>233-22</t>
  </si>
  <si>
    <t>847-22</t>
  </si>
  <si>
    <t>235-22</t>
  </si>
  <si>
    <t>232-22</t>
  </si>
  <si>
    <t>234-22</t>
  </si>
  <si>
    <t>237-22</t>
  </si>
  <si>
    <t>239-22</t>
  </si>
  <si>
    <t>236-22</t>
  </si>
  <si>
    <t>241-22</t>
  </si>
  <si>
    <t>243-22</t>
  </si>
  <si>
    <t>240-22</t>
  </si>
  <si>
    <t>307-22</t>
  </si>
  <si>
    <t>242-22</t>
  </si>
  <si>
    <t>66-22</t>
  </si>
  <si>
    <t>309-22</t>
  </si>
  <si>
    <t>244-22</t>
  </si>
  <si>
    <t>311-22</t>
  </si>
  <si>
    <t>313-22</t>
  </si>
  <si>
    <t>70-22</t>
  </si>
  <si>
    <t>clear-day</t>
  </si>
  <si>
    <t>Clear</t>
  </si>
  <si>
    <t>204:759</t>
  </si>
  <si>
    <t>204:232994</t>
  </si>
  <si>
    <t>204:232959</t>
  </si>
  <si>
    <t>204:233406</t>
  </si>
  <si>
    <t>204:233251</t>
  </si>
  <si>
    <t>204:232936</t>
  </si>
  <si>
    <t>204:145</t>
  </si>
  <si>
    <t>204:232989</t>
  </si>
  <si>
    <t>204:233298</t>
  </si>
  <si>
    <t>204:232991</t>
  </si>
  <si>
    <t>204:431</t>
  </si>
  <si>
    <t>204:233336</t>
  </si>
  <si>
    <t>204:233399</t>
  </si>
  <si>
    <t>204:233132</t>
  </si>
  <si>
    <t>204:433</t>
  </si>
  <si>
    <t>204:232968</t>
  </si>
  <si>
    <t>204:163</t>
  </si>
  <si>
    <t>204:232975</t>
  </si>
  <si>
    <t>204:233304</t>
  </si>
  <si>
    <t>204:233007</t>
  </si>
  <si>
    <t>204:232980</t>
  </si>
  <si>
    <t>204:233359</t>
  </si>
  <si>
    <t>204:232976</t>
  </si>
  <si>
    <t>204:480</t>
  </si>
  <si>
    <t>204:233289</t>
  </si>
  <si>
    <t>204:2494</t>
  </si>
  <si>
    <t>204:233028</t>
  </si>
  <si>
    <t>204:233376</t>
  </si>
  <si>
    <t>204:233067</t>
  </si>
  <si>
    <t>204:435</t>
  </si>
  <si>
    <t>204:233257</t>
  </si>
  <si>
    <t>204:232917</t>
  </si>
  <si>
    <t>204:211</t>
  </si>
  <si>
    <t>204:233284</t>
  </si>
  <si>
    <t>204:232963</t>
  </si>
  <si>
    <t>204:404</t>
  </si>
  <si>
    <t>204:233006</t>
  </si>
  <si>
    <t>204:442</t>
  </si>
  <si>
    <t>204:233287</t>
  </si>
  <si>
    <t>204:232979</t>
  </si>
  <si>
    <t>204:58902</t>
  </si>
  <si>
    <t>204:64692</t>
  </si>
  <si>
    <t>204:180</t>
  </si>
  <si>
    <t>204:497</t>
  </si>
  <si>
    <t>204:233300</t>
  </si>
  <si>
    <t>204:216</t>
  </si>
  <si>
    <t>204:232996</t>
  </si>
  <si>
    <t>204:493</t>
  </si>
  <si>
    <t>204:178</t>
  </si>
  <si>
    <t>204:58758</t>
  </si>
  <si>
    <t>204:64726</t>
  </si>
  <si>
    <t>204:233311</t>
  </si>
  <si>
    <t>204:233027</t>
  </si>
  <si>
    <t>204:169</t>
  </si>
  <si>
    <t>204:515</t>
  </si>
  <si>
    <t>204:233286</t>
  </si>
  <si>
    <t>204:64270</t>
  </si>
  <si>
    <t>204:86375</t>
  </si>
  <si>
    <t>204:233264</t>
  </si>
  <si>
    <t>204:232950</t>
  </si>
  <si>
    <t>204:233349</t>
  </si>
  <si>
    <t>204:233307</t>
  </si>
  <si>
    <t>204:233370</t>
  </si>
  <si>
    <t>204:233404</t>
  </si>
  <si>
    <t>204:232990</t>
  </si>
  <si>
    <t>204:233341</t>
  </si>
  <si>
    <t>204:232992</t>
  </si>
  <si>
    <t>204:233266</t>
  </si>
  <si>
    <t>204:233086</t>
  </si>
  <si>
    <t>204:233318</t>
  </si>
  <si>
    <t>204:232988</t>
  </si>
  <si>
    <t>204:233240</t>
  </si>
  <si>
    <t>204:233043</t>
  </si>
  <si>
    <t>204:18780</t>
  </si>
  <si>
    <t>204:233049</t>
  </si>
  <si>
    <t>204:36771</t>
  </si>
  <si>
    <t>300:23709</t>
  </si>
  <si>
    <t>300:23306</t>
  </si>
  <si>
    <t>300:23372</t>
  </si>
  <si>
    <t>300:23028</t>
  </si>
  <si>
    <t>300:23019</t>
  </si>
  <si>
    <t>300:23468</t>
  </si>
  <si>
    <t>300:23302</t>
  </si>
  <si>
    <t>300:22682</t>
  </si>
  <si>
    <t>300:23758</t>
  </si>
  <si>
    <t>300:23112</t>
  </si>
  <si>
    <t>300:23639</t>
  </si>
  <si>
    <t>204:2947</t>
  </si>
  <si>
    <t>204:1162</t>
  </si>
  <si>
    <t>204:3280</t>
  </si>
  <si>
    <t>204:154249</t>
  </si>
  <si>
    <t>204:156656</t>
  </si>
  <si>
    <t>204:154255</t>
  </si>
  <si>
    <t>204:154261</t>
  </si>
  <si>
    <t>204:195479</t>
  </si>
  <si>
    <t>204:205937</t>
  </si>
  <si>
    <t>300:22252</t>
  </si>
  <si>
    <t>204:865</t>
  </si>
  <si>
    <t>300:24614</t>
  </si>
  <si>
    <t>300:24328</t>
  </si>
  <si>
    <t>204:2961</t>
  </si>
  <si>
    <t>204:1469</t>
  </si>
  <si>
    <t>204:3288</t>
  </si>
  <si>
    <t>204:154005</t>
  </si>
  <si>
    <t>204:153988</t>
  </si>
  <si>
    <t>204:195156</t>
  </si>
  <si>
    <t>204:154001</t>
  </si>
  <si>
    <t>204:3217</t>
  </si>
  <si>
    <t>204:101</t>
  </si>
  <si>
    <t>204:1477</t>
  </si>
  <si>
    <t>204:3552</t>
  </si>
  <si>
    <t>300:23565</t>
  </si>
  <si>
    <t>204:1967</t>
  </si>
  <si>
    <t>204:1186</t>
  </si>
  <si>
    <t>300:24226</t>
  </si>
  <si>
    <t>204:1475</t>
  </si>
  <si>
    <t>204:154138</t>
  </si>
  <si>
    <t>204:1158</t>
  </si>
  <si>
    <t>300:58606</t>
  </si>
  <si>
    <t>204:698</t>
  </si>
  <si>
    <t>204:978</t>
  </si>
  <si>
    <t>300:58914</t>
  </si>
  <si>
    <t>204:673</t>
  </si>
  <si>
    <t>300:58619</t>
  </si>
  <si>
    <t>204:666</t>
  </si>
  <si>
    <t>204:969</t>
  </si>
  <si>
    <t>300:58912</t>
  </si>
  <si>
    <t>300:58592</t>
  </si>
  <si>
    <t>204:964</t>
  </si>
  <si>
    <t>300:58628</t>
  </si>
  <si>
    <t>300:58653</t>
  </si>
  <si>
    <t>204:974</t>
  </si>
  <si>
    <t>300:58944</t>
  </si>
  <si>
    <t>300:58632</t>
  </si>
  <si>
    <t>204:682</t>
  </si>
  <si>
    <t>300:58939</t>
  </si>
  <si>
    <t>300:14827</t>
  </si>
  <si>
    <t>300:14815</t>
  </si>
  <si>
    <t>300:58933</t>
  </si>
  <si>
    <t>204:617</t>
  </si>
  <si>
    <t>204:930</t>
  </si>
  <si>
    <t>300:58931</t>
  </si>
  <si>
    <t>204:633</t>
  </si>
  <si>
    <t>204:622</t>
  </si>
  <si>
    <t>204:990</t>
  </si>
  <si>
    <t>300:58920</t>
  </si>
  <si>
    <t>204:645</t>
  </si>
  <si>
    <t>204:918</t>
  </si>
  <si>
    <t>204:615</t>
  </si>
  <si>
    <t>204:943</t>
  </si>
  <si>
    <t>204:664</t>
  </si>
  <si>
    <t>204:920</t>
  </si>
  <si>
    <t>204:719</t>
  </si>
  <si>
    <t>300:58922</t>
  </si>
  <si>
    <t>300:58596</t>
  </si>
  <si>
    <t>204:652</t>
  </si>
  <si>
    <t>204:1023</t>
  </si>
  <si>
    <t>204:638</t>
  </si>
  <si>
    <t>300:58892</t>
  </si>
  <si>
    <t>300:58705</t>
  </si>
  <si>
    <t>204:631</t>
  </si>
  <si>
    <t>204:939</t>
  </si>
  <si>
    <t>300:58331</t>
  </si>
  <si>
    <t>300:58647</t>
  </si>
  <si>
    <t>204:640</t>
  </si>
  <si>
    <t>300:58946</t>
  </si>
  <si>
    <t>300:58608</t>
  </si>
  <si>
    <t>204:929</t>
  </si>
  <si>
    <t>204:610</t>
  </si>
  <si>
    <t>204:925</t>
  </si>
  <si>
    <t>204:904</t>
  </si>
  <si>
    <t>300:23415</t>
  </si>
  <si>
    <t>300:24218</t>
  </si>
  <si>
    <t>300:23506</t>
  </si>
  <si>
    <t>300:58566</t>
  </si>
  <si>
    <t>300:28797</t>
  </si>
  <si>
    <t>300:58574</t>
  </si>
  <si>
    <t>300:13021</t>
  </si>
  <si>
    <t>300:13347</t>
  </si>
  <si>
    <t>300:14018</t>
  </si>
  <si>
    <t>start /low /b %USERPROFILE%\Documents\GitHub\eaglep3\Utilities\DownloadLogsFromS3.py --loco 4032 --day 2017-05-22</t>
  </si>
  <si>
    <t>start /low /b %USERPROFILE%\Documents\GitHub\eaglep3\Utilities\DownloadLogsFromS3.py --loco 4010 --day 2017-05-22</t>
  </si>
  <si>
    <t>start /low /b %USERPROFILE%\Documents\GitHub\eaglep3\Utilities\DownloadLogsFromS3.py --loco 4013 --day 2017-05-23</t>
  </si>
  <si>
    <t>start /low /b %USERPROFILE%\Documents\GitHub\eaglep3\Utilities\DownloadLogsFromS3.py --loco 4018 --day 2017-05-22</t>
  </si>
  <si>
    <t>start /low /b %USERPROFILE%\Documents\GitHub\eaglep3\Utilities\DownloadLogsFromS3.py --loco 4016 --day 2017-05-22</t>
  </si>
  <si>
    <t>start /low /b %USERPROFILE%\Documents\GitHub\eaglep3\Utilities\DownloadLogsFromS3.py --loco 4013 --day 2017-05-22</t>
  </si>
  <si>
    <t>start /low /b %USERPROFILE%\Documents\GitHub\eaglep3\Utilities\DownloadLogsFromS3.py --loco 4015 --day 2017-05-23</t>
  </si>
  <si>
    <t>start /low /b %USERPROFILE%\Documents\GitHub\eaglep3\Utilities\DownloadLogsFromS3.py --loco 4005 --day 2017-05-22</t>
  </si>
  <si>
    <t>start /low /b %USERPROFILE%\Documents\GitHub\eaglep3\Utilities\DownloadLogsFromS3.py --loco 4025 --day 2017-05-22</t>
  </si>
  <si>
    <t>start /low /b %USERPROFILE%\Documents\GitHub\eaglep3\Utilities\DownloadLogsFromS3.py --loco 4005 --day 2017-05-23</t>
  </si>
  <si>
    <t>start /low /b %USERPROFILE%\Documents\GitHub\eaglep3\Utilities\DownloadLogsFromS3.py --loco 4026 --day 2017-05-22</t>
  </si>
  <si>
    <t>start /low /b %USERPROFILE%\Documents\GitHub\eaglep3\Utilities\DownloadLogsFromS3.py --loco 4009 --day 2017-05-22</t>
  </si>
  <si>
    <t>start /low /b %USERPROFILE%\Documents\GitHub\eaglep3\Utilities\DownloadLogsFromS3.py --loco 4007 --day 2017-05-23</t>
  </si>
  <si>
    <t>start /low /b %USERPROFILE%\Documents\GitHub\eaglep3\Utilities\DownloadLogsFromS3.py --loco 4006 --day 2017-05-23</t>
  </si>
  <si>
    <t>start /low /b %USERPROFILE%\Documents\GitHub\eaglep3\Utilities\DownloadLogsFromS3.py --loco 4031 --day 2017-05-22</t>
  </si>
  <si>
    <t>start /low /b %USERPROFILE%\Documents\GitHub\eaglep3\Utilities\DownloadLogsFromS3.py --loco 4009 --day 2017-05-23</t>
  </si>
  <si>
    <t>start /low /b %USERPROFILE%\Documents\GitHub\eaglep3\Utilities\DownloadLogsFromS3.py --loco 4014 --day 2017-05-22</t>
  </si>
  <si>
    <t>start /low /b %USERPROFILE%\Documents\GitHub\eaglep3\Utilities\DownloadLogsFromS3.py --loco 4007 --day 2017-05-22</t>
  </si>
  <si>
    <t>start /low /b %USERPROFILE%\Documents\GitHub\eaglep3\Utilities\DownloadLogsFromS3.py --loco 4006 --day 2017-05-22</t>
  </si>
  <si>
    <t>start /low /b %USERPROFILE%\Documents\GitHub\eaglep3\Utilities\DownloadLogsFromS3.py --loco 4008 --day 2017-05-22</t>
  </si>
  <si>
    <t>start /low /b %USERPROFILE%\Documents\GitHub\eaglep3\Utilities\DownloadLogsFromS3.py --loco 4030 --day 2017-05-22</t>
  </si>
  <si>
    <t>start /low /b %USERPROFILE%\Documents\GitHub\eaglep3\Utilities\DownloadLogsFromS3.py --loco 4030 --day 2017-05-23</t>
  </si>
  <si>
    <t>start /low /b %USERPROFILE%\Documents\GitHub\eaglep3\Utilities\DownloadLogsFromS3.py --loco 4029 --day 2017-05-22</t>
  </si>
  <si>
    <t>start /low /b %USERPROFILE%\Documents\GitHub\eaglep3\Utilities\DownloadLogsFromS3.py --loco 4029 --day 2017-05-23</t>
  </si>
  <si>
    <t>start /low /b %USERPROFILE%\Documents\GitHub\eaglep3\Utilities\DownloadLogsFromS3.py --loco 4017 --day 2017-05-22</t>
  </si>
  <si>
    <t>start /low /b %USERPROFILE%\Documents\GitHub\eaglep3\Utilities\DownloadLogsFromS3.py --loco 4017 --day 2017-05-23</t>
  </si>
  <si>
    <t>start /low /b %USERPROFILE%\Documents\GitHub\eaglep3\Utilities\DownloadLogsFromS3.py --loco 4018 --day 2017-05-23</t>
  </si>
  <si>
    <t>120-22</t>
  </si>
  <si>
    <t>STARKS ANGELINA</t>
  </si>
  <si>
    <t>CCROC/crew/equipment mismatch</t>
  </si>
  <si>
    <t>122-22</t>
  </si>
  <si>
    <t>LALONDE GREGORY</t>
  </si>
  <si>
    <t>Brief Wi-MAX data drop, no enforcement</t>
  </si>
  <si>
    <t>Incident about red fence enforcement - was due to overspeed</t>
  </si>
  <si>
    <t xml:space="preserve">Wi-MAX data drop, operator slowed in time, coincided with banner without braking at 15:39:56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</si>
</sst>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opLeftCell="A84" zoomScaleNormal="100" workbookViewId="0">
      <selection activeCell="R102" sqref="R10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42877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42877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49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COUNTIFS($N$13:$N$9317,"&gt;0",$AG$13:$AG$9317,I1)</f>
        <v>138</v>
      </c>
      <c r="K5" s="39"/>
      <c r="L5" s="39"/>
      <c r="M5" s="40">
        <f>AVERAGEIFS($N$13:$N$9317,$AG$13:$AG$9317,I1)</f>
        <v>38.693115942676187</v>
      </c>
      <c r="N5" s="38">
        <f t="array" ref="N5">MIN(IF($AG$13:$AG$9317=I1,IF(ISNUMBER($N$13:$N$9317),IF($N$13:$N$9317&gt;0,$N$13:$N$9317))))</f>
        <v>34.68333333148621</v>
      </c>
      <c r="O5" s="3">
        <f t="array" ref="O5">MAX(IF($AG$13:$AG$9317=I1,IF(ISNUMBER($N$13:$N$9317),IF($N$13:$N$9317&gt;0,$N$13:$N$9317))))</f>
        <v>48.349999997299165</v>
      </c>
      <c r="P5" s="2"/>
      <c r="R5" s="177" t="s">
        <v>17</v>
      </c>
      <c r="S5" s="199">
        <f>COUNTIFS($N$13:$N$9317,"&gt;0",$AG$13:$AG$9317,R1)</f>
        <v>48</v>
      </c>
      <c r="T5" s="179"/>
      <c r="U5" s="179"/>
      <c r="V5" s="176">
        <f>AVERAGEIFS($N$13:$N$9317,$AG$13:$AG$9317,R1)</f>
        <v>14.970486111633363</v>
      </c>
      <c r="W5" s="177">
        <f t="array" ref="W5">MIN(IF($AG$13:$AG$9317=R1,IF(ISNUMBER($N$13:$N$9317),IF($N$13:$N$9317&gt;0,$N$13:$N$9317))))</f>
        <v>12.499999998835847</v>
      </c>
      <c r="X5" s="178">
        <f t="array" ref="X5">MAX(IF($AG$13:$AG$9317=R1,IF(ISNUMBER($N$13:$N$9317),IF($N$13:$N$9317&gt;0,$N$13:$N$9317))))</f>
        <v>19.016666669631377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80" t="s">
        <v>43</v>
      </c>
      <c r="S6" s="199">
        <f>COUNT($O$13:$O$116)</f>
        <v>0</v>
      </c>
      <c r="T6" s="179"/>
      <c r="U6" s="179"/>
      <c r="V6" s="176">
        <f>IFERROR(AVERAGE($O$13:$O$116),0)</f>
        <v>0</v>
      </c>
      <c r="W6" s="177">
        <f>MIN($O$13:$O$116)</f>
        <v>0</v>
      </c>
      <c r="X6" s="178">
        <f>MAX($O$13:$O$116)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COUNTIFS($P$13:$P$9317,"&gt;0",$AG$13:$AG$9317,I1)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COUNTIFS($P$13:$P$9317,"&gt;0",$AG$13:$AG$9317,R1)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138</v>
      </c>
      <c r="K8" s="39"/>
      <c r="L8" s="39"/>
      <c r="M8" s="40">
        <f>M5</f>
        <v>38.693115942676187</v>
      </c>
      <c r="N8" s="38">
        <f>N5</f>
        <v>34.68333333148621</v>
      </c>
      <c r="O8" s="3">
        <f>O5</f>
        <v>48.349999997299165</v>
      </c>
      <c r="P8" s="2"/>
      <c r="R8" s="177" t="s">
        <v>16</v>
      </c>
      <c r="S8" s="199">
        <f>S5</f>
        <v>48</v>
      </c>
      <c r="T8" s="179"/>
      <c r="U8" s="179"/>
      <c r="V8" s="176">
        <f>V5</f>
        <v>14.970486111633363</v>
      </c>
      <c r="W8" s="177">
        <f>W5</f>
        <v>12.499999998835847</v>
      </c>
      <c r="X8" s="178">
        <f>X5</f>
        <v>19.016666669631377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0.95833333333333337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0.97959183673469385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- 2017-05-22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AVERAGE(S13:S92)</f>
        <v>0.97362869198312241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625</v>
      </c>
      <c r="B13" s="7">
        <v>4006</v>
      </c>
      <c r="C13" s="21" t="s">
        <v>206</v>
      </c>
      <c r="D13" s="21" t="s">
        <v>822</v>
      </c>
      <c r="E13" s="13">
        <v>42877.129293981481</v>
      </c>
      <c r="F13" s="13">
        <v>42877.135659722226</v>
      </c>
      <c r="G13" s="7">
        <v>1</v>
      </c>
      <c r="H13" s="21" t="s">
        <v>528</v>
      </c>
      <c r="I13" s="13">
        <v>42877.160983796297</v>
      </c>
      <c r="J13" s="7">
        <v>0</v>
      </c>
      <c r="K13" s="92" t="str">
        <f t="shared" ref="K13:K76" si="0">IF(ISEVEN(B13),(B13-1)&amp;"/"&amp;B13,B13&amp;"/"&amp;(B13+1))</f>
        <v>4005/4006</v>
      </c>
      <c r="L13" s="21" t="str">
        <f>VLOOKUP(A13,'Trips&amp;Operators'!$C$1:$G$99999,5,FALSE)</f>
        <v>MAELZER KURT</v>
      </c>
      <c r="M13" s="6">
        <f t="shared" ref="M13:M76" si="1">I13-F13</f>
        <v>2.5324074071249925E-2</v>
      </c>
      <c r="N13" s="7">
        <f t="shared" ref="N13:N31" si="2">24*60*SUM($M13:$M13)</f>
        <v>36.466666662599891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-22T02:06:11-0600',mode:absolute,to:'2017-05-22T04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2" t="str">
        <f t="shared" ref="W13:W76" si="6">IF(AA13&lt;IF(AG13="EC",23,5.65),"Y","N")</f>
        <v>N</v>
      </c>
      <c r="X13" s="192" t="e">
        <f t="shared" ref="X13:X32" si="7">VALUE(LEFT(AD13,4))-VALUE(LEFT(AD12,4))</f>
        <v>#VALUE!</v>
      </c>
      <c r="Y13" s="192">
        <f t="shared" ref="Y13:Y76" si="8">RIGHT(D13,LEN(D13)-4)/10000</f>
        <v>7.5899999999999995E-2</v>
      </c>
      <c r="Z13" s="192">
        <f t="shared" ref="Z13:Z76" si="9">RIGHT(H13,LEN(H13)-4)/10000</f>
        <v>23.331</v>
      </c>
      <c r="AA13" s="192">
        <f t="shared" ref="AA13:AA76" si="10">ABS(Z13-Y13)</f>
        <v>23.255099999999999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0101-22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/stypes="app*4006*20170522*"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4006 --swversion DE.1.0.9.0 --startMP 204:759 --initTime 2017-05-22T03:06:11 --startdatetime 2017-05-22T03:15:21 --delay 1 --endMP 204:233310 --enddatetime 2017-05-22T03:51:49 --enforcementcount 0 &gt;&gt;C:\Users\stu\Documents\GitHub\eaglep3-reporting\EC\2017-05-22-refined-times.txt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{"issue":{"subject":"","project_id":79,"tracker_id":40,"status_id":1,"priority_id":2,"assigned_to_id":23,"start_date":"2017-05-22","description":"","custom_fields":[{"id":1,"name":"Subdivision","value":"EC"},{"id":4,"name":"Milepost","value":"23.331"},{"id":17,"name":"Train ID","value":"101-22"},{"id":16,"name":"Locomotive ID","value":"4006"},{"id":130,"name":"Impact","value":""},{"id":150,"name":"Time of Event (Mountain Time)","value":"03:51:49"},{"id":151,"name":"Denver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4006 --day 2017-05-22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09:51:49"},{"id":29,"name":"Sharepoint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633</v>
      </c>
      <c r="B14" s="7">
        <v>4005</v>
      </c>
      <c r="C14" s="21" t="s">
        <v>206</v>
      </c>
      <c r="D14" s="21" t="s">
        <v>823</v>
      </c>
      <c r="E14" s="13">
        <v>42877.166759259257</v>
      </c>
      <c r="F14" s="13">
        <v>42877.175185185188</v>
      </c>
      <c r="G14" s="7">
        <v>1</v>
      </c>
      <c r="H14" s="21" t="s">
        <v>356</v>
      </c>
      <c r="I14" s="13">
        <v>42877.201990740738</v>
      </c>
      <c r="J14" s="7">
        <v>0</v>
      </c>
      <c r="K14" s="92" t="str">
        <f t="shared" si="0"/>
        <v>4005/4006</v>
      </c>
      <c r="L14" s="21" t="str">
        <f>VLOOKUP(A14,'Trips&amp;Operators'!$C$1:$G$99999,5,FALSE)</f>
        <v>MAELZER KURT</v>
      </c>
      <c r="M14" s="6">
        <f t="shared" si="1"/>
        <v>2.6805555549799465E-2</v>
      </c>
      <c r="N14" s="7">
        <f t="shared" si="2"/>
        <v>38.599999991711229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-22T03:00:08-0600',mode:absolute,to:'2017-05-22T05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23.299399999999999</v>
      </c>
      <c r="Z14" s="192">
        <f t="shared" si="9"/>
        <v>1.49E-2</v>
      </c>
      <c r="AA14" s="192">
        <f t="shared" si="10"/>
        <v>23.284499999999998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0102-22</v>
      </c>
      <c r="AE14" s="80" t="str">
        <f t="shared" si="12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14" s="77" t="str">
        <f t="shared" si="13"/>
        <v>"C:\Program Files (x86)\AstroGrep\AstroGrep.exe" /e /r /s /spath="%USERPROFILE%\AppData\Local\Temp\OnboardLogs" /stypes="app*4005*20170522*"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9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4005 --swversion DE.1.0.9.0 --startMP 204:232994 --initTime 2017-05-22T04:00:08 --startdatetime 2017-05-22T04:12:16 --delay 1 --endMP 204:149 --enddatetime 2017-05-22T04:50:52 --enforcementcount 0 &gt;&gt;C:\Users\stu\Documents\GitHub\eaglep3-reporting\EC\2017-05-22-refined-times.txt</v>
      </c>
      <c r="AI14" s="99" t="str">
        <f t="shared" ref="AI14:AI79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ID","value":"102-22"},{"id":16,"name":"Locomotive ID","value":"4005"},{"id":130,"name":"Impact","value":""},{"id":150,"name":"Time of Event (Mountain Time)","value":"04:50:52"},{"id":151,"name":"Denver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9" si="21">"start /low /b "&amp;dls3logs&amp;" --loco "&amp;B14&amp;" --day "&amp;TEXT(F14,"YYYY-MM-DD")</f>
        <v>start /low /b %USERPROFILE%\Documents\GitHub\eaglep3\Utilities\DownloadLogsFromS3.py --loco 4005 --day 2017-05-22</v>
      </c>
      <c r="AN14" s="154" t="str">
        <f t="shared" ref="AN14:AN79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629</v>
      </c>
      <c r="B15" s="7">
        <v>4032</v>
      </c>
      <c r="C15" s="21" t="s">
        <v>206</v>
      </c>
      <c r="D15" s="21" t="s">
        <v>365</v>
      </c>
      <c r="E15" s="13">
        <v>42877.15184027778</v>
      </c>
      <c r="F15" s="13">
        <v>42877.156504629631</v>
      </c>
      <c r="G15" s="7">
        <v>1</v>
      </c>
      <c r="H15" s="21" t="s">
        <v>486</v>
      </c>
      <c r="I15" s="13">
        <v>42877.182314814818</v>
      </c>
      <c r="J15" s="7">
        <v>0</v>
      </c>
      <c r="K15" s="92" t="str">
        <f t="shared" si="0"/>
        <v>4031/4032</v>
      </c>
      <c r="L15" s="21" t="str">
        <f>VLOOKUP(A15,'Trips&amp;Operators'!$C$1:$G$99999,5,FALSE)</f>
        <v>BONDS REYNALDO</v>
      </c>
      <c r="M15" s="6">
        <f t="shared" si="1"/>
        <v>2.5810185186855961E-2</v>
      </c>
      <c r="N15" s="7">
        <f t="shared" si="2"/>
        <v>37.166666669072583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-22T02:38:39-0600',mode:absolute,to:'2017-05-22T05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4.4699999999999997E-2</v>
      </c>
      <c r="Z15" s="192">
        <f t="shared" si="9"/>
        <v>23.328199999999999</v>
      </c>
      <c r="AA15" s="192">
        <f t="shared" si="10"/>
        <v>23.2835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0103-22</v>
      </c>
      <c r="AE15" s="80" t="str">
        <f t="shared" si="12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5" s="77" t="str">
        <f t="shared" si="13"/>
        <v>"C:\Program Files (x86)\AstroGrep\AstroGrep.exe" /e /r /s /spath="%USERPROFILE%\AppData\Local\Temp\OnboardLogs" /stypes="app*4032*20170522*"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103-22 --locoid 4032 --swversion DE.1.0.9.0 --startMP 204:447 --initTime 2017-05-22T03:38:39 --startdatetime 2017-05-22T03:45:22 --delay 1 --endMP 204:233282 --enddatetime 2017-05-22T04:22:32 --enforcementcount 0 &gt;&gt;C:\Users\stu\Documents\GitHub\eaglep3-reporting\EC\2017-05-22-refined-times.txt</v>
      </c>
      <c r="AI1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{"issue":{"subject":"","project_id":79,"tracker_id":40,"status_id":1,"priority_id":2,"assigned_to_id":23,"start_date":"2017-05-22","description":"","custom_fields":[{"id":1,"name":"Subdivision","value":"EC"},{"id":4,"name":"Milepost","value":"23.3282"},{"id":17,"name":"Train ID","value":"103-22"},{"id":16,"name":"Locomotive ID","value":"4032"},{"id":130,"name":"Impact","value":""},{"id":150,"name":"Time of Event (Mountain Time)","value":"04:22:32"},{"id":151,"name":"Denver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4032 --day 2017-05-22</v>
      </c>
      <c r="AN1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638</v>
      </c>
      <c r="B16" s="7">
        <v>4031</v>
      </c>
      <c r="C16" s="21" t="s">
        <v>206</v>
      </c>
      <c r="D16" s="21" t="s">
        <v>824</v>
      </c>
      <c r="E16" s="13">
        <v>42877.192881944444</v>
      </c>
      <c r="F16" s="13">
        <v>42877.196076388886</v>
      </c>
      <c r="G16" s="7">
        <v>0</v>
      </c>
      <c r="H16" s="21" t="s">
        <v>198</v>
      </c>
      <c r="I16" s="13">
        <v>42877.223275462966</v>
      </c>
      <c r="J16" s="7">
        <v>0</v>
      </c>
      <c r="K16" s="92" t="str">
        <f t="shared" si="0"/>
        <v>4031/4032</v>
      </c>
      <c r="L16" s="21" t="str">
        <f>VLOOKUP(A16,'Trips&amp;Operators'!$C$1:$G$99999,5,FALSE)</f>
        <v>BONDS REYNALDO</v>
      </c>
      <c r="M16" s="6">
        <f t="shared" si="1"/>
        <v>2.7199074080272112E-2</v>
      </c>
      <c r="N16" s="7">
        <f t="shared" si="2"/>
        <v>39.166666675591841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-22T03:37:45-0600',mode:absolute,to:'2017-05-22T06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23.2959</v>
      </c>
      <c r="Z16" s="192">
        <f t="shared" si="9"/>
        <v>1.5800000000000002E-2</v>
      </c>
      <c r="AA16" s="192">
        <f t="shared" si="10"/>
        <v>23.280100000000001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0104-22</v>
      </c>
      <c r="AE16" s="80" t="str">
        <f t="shared" si="12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16" s="77" t="str">
        <f t="shared" si="13"/>
        <v>"C:\Program Files (x86)\AstroGrep\AstroGrep.exe" /e /r /s /spath="%USERPROFILE%\AppData\Local\Temp\OnboardLogs" /stypes="app*4031*20170522*"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104-22 --locoid 4031 --swversion DE.1.0.9.0 --startMP 204:232959 --initTime 2017-05-22T04:37:45 --startdatetime 2017-05-22T04:42:21 --delay 0 --endMP 204:158 --enddatetime 2017-05-22T05:21:31 --enforcementcount 0 &gt;&gt;C:\Users\stu\Documents\GitHub\eaglep3-reporting\EC\2017-05-22-refined-times.txt</v>
      </c>
      <c r="AI1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{"issue":{"subject":"","project_id":79,"tracker_id":40,"status_id":1,"priority_id":2,"assigned_to_id":23,"start_date":"2017-05-22","description":"","custom_fields":[{"id":1,"name":"Subdivision","value":"EC"},{"id":4,"name":"Milepost","value":"0.0158"},{"id":17,"name":"Train ID","value":"104-22"},{"id":16,"name":"Locomotive ID","value":"4031"},{"id":130,"name":"Impact","value":""},{"id":150,"name":"Time of Event (Mountain Time)","value":"05:21:31"},{"id":151,"name":"Denver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4031 --day 2017-05-22</v>
      </c>
      <c r="AN1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635</v>
      </c>
      <c r="B17" s="7">
        <v>4016</v>
      </c>
      <c r="C17" s="21" t="s">
        <v>206</v>
      </c>
      <c r="D17" s="21" t="s">
        <v>203</v>
      </c>
      <c r="E17" s="13">
        <v>42877.174386574072</v>
      </c>
      <c r="F17" s="13">
        <v>42877.177349537036</v>
      </c>
      <c r="G17" s="7">
        <v>3</v>
      </c>
      <c r="H17" s="21" t="s">
        <v>463</v>
      </c>
      <c r="I17" s="13">
        <v>42877.202986111108</v>
      </c>
      <c r="J17" s="7">
        <v>0</v>
      </c>
      <c r="K17" s="92" t="str">
        <f t="shared" si="0"/>
        <v>4015/4016</v>
      </c>
      <c r="L17" s="21" t="str">
        <f>VLOOKUP(A17,'Trips&amp;Operators'!$C$1:$G$99999,5,FALSE)</f>
        <v>STARKS ANGELINA</v>
      </c>
      <c r="M17" s="6">
        <f t="shared" si="1"/>
        <v>2.5636574071540963E-2</v>
      </c>
      <c r="N17" s="7">
        <f t="shared" si="2"/>
        <v>36.916666663018987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-22T03:11:07-0600',mode:absolute,to:'2017-05-22T05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4.5999999999999999E-2</v>
      </c>
      <c r="Z17" s="192">
        <f t="shared" si="9"/>
        <v>23.3306</v>
      </c>
      <c r="AA17" s="192">
        <f t="shared" si="10"/>
        <v>23.284600000000001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0105-22</v>
      </c>
      <c r="AE17" s="80" t="str">
        <f t="shared" si="12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17" s="77" t="str">
        <f t="shared" si="13"/>
        <v>"C:\Program Files (x86)\AstroGrep\AstroGrep.exe" /e /r /s /spath="%USERPROFILE%\AppData\Local\Temp\OnboardLogs" /stypes="app*4016*20170522*"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105-22 --locoid 4016 --swversion DE.1.0.9.0 --startMP 204:460 --initTime 2017-05-22T04:11:07 --startdatetime 2017-05-22T04:15:23 --delay 3 --endMP 204:233306 --enddatetime 2017-05-22T04:52:18 --enforcementcount 0 &gt;&gt;C:\Users\stu\Documents\GitHub\eaglep3-reporting\EC\2017-05-22-refined-times.txt</v>
      </c>
      <c r="AI1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{"issue":{"subject":"","project_id":79,"tracker_id":40,"status_id":1,"priority_id":2,"assigned_to_id":23,"start_date":"2017-05-22","description":"","custom_fields":[{"id":1,"name":"Subdivision","value":"EC"},{"id":4,"name":"Milepost","value":"23.3306"},{"id":17,"name":"Train ID","value":"105-22"},{"id":16,"name":"Locomotive ID","value":"4016"},{"id":130,"name":"Impact","value":""},{"id":150,"name":"Time of Event (Mountain Time)","value":"04:52:18"},{"id":151,"name":"Denver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4016 --day 2017-05-22</v>
      </c>
      <c r="AN1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646</v>
      </c>
      <c r="B18" s="7">
        <v>4015</v>
      </c>
      <c r="C18" s="21" t="s">
        <v>206</v>
      </c>
      <c r="D18" s="21" t="s">
        <v>426</v>
      </c>
      <c r="E18" s="13">
        <v>42877.214467592596</v>
      </c>
      <c r="F18" s="13">
        <v>42877.216851851852</v>
      </c>
      <c r="G18" s="7">
        <v>1</v>
      </c>
      <c r="H18" s="21" t="s">
        <v>413</v>
      </c>
      <c r="I18" s="13">
        <v>42877.244756944441</v>
      </c>
      <c r="J18" s="7">
        <v>0</v>
      </c>
      <c r="K18" s="92" t="str">
        <f t="shared" si="0"/>
        <v>4015/4016</v>
      </c>
      <c r="L18" s="21" t="str">
        <f>VLOOKUP(A18,'Trips&amp;Operators'!$C$1:$G$99999,5,FALSE)</f>
        <v>STARKS ANGELINA</v>
      </c>
      <c r="M18" s="6">
        <f t="shared" si="1"/>
        <v>2.7905092589207925E-2</v>
      </c>
      <c r="N18" s="7">
        <f t="shared" si="2"/>
        <v>40.183333328459412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-22T04:08:50-0600',mode:absolute,to:'2017-05-22T06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23.299299999999999</v>
      </c>
      <c r="Z18" s="192">
        <f t="shared" si="9"/>
        <v>1.54E-2</v>
      </c>
      <c r="AA18" s="192">
        <f t="shared" si="10"/>
        <v>23.283899999999999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0106-22</v>
      </c>
      <c r="AE18" s="80" t="str">
        <f t="shared" si="12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18" s="77" t="str">
        <f t="shared" si="13"/>
        <v>"C:\Program Files (x86)\AstroGrep\AstroGrep.exe" /e /r /s /spath="%USERPROFILE%\AppData\Local\Temp\OnboardLogs" /stypes="app*4015*20170522*"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106-22 --locoid 4015 --swversion DE.1.0.9.0 --startMP 204:232993 --initTime 2017-05-22T05:08:50 --startdatetime 2017-05-22T05:12:16 --delay 1 --endMP 204:154 --enddatetime 2017-05-22T05:52:27 --enforcementcount 0 &gt;&gt;C:\Users\stu\Documents\GitHub\eaglep3-reporting\EC\2017-05-22-refined-times.txt</v>
      </c>
      <c r="AI1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ID","value":"106-22"},{"id":16,"name":"Locomotive ID","value":"4015"},{"id":130,"name":"Impact","value":""},{"id":150,"name":"Time of Event (Mountain Time)","value":"05:52:27"},{"id":151,"name":"Denver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4015 --day 2017-05-22</v>
      </c>
      <c r="AN1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637</v>
      </c>
      <c r="B19" s="7">
        <v>4014</v>
      </c>
      <c r="C19" s="21" t="s">
        <v>206</v>
      </c>
      <c r="D19" s="21" t="s">
        <v>203</v>
      </c>
      <c r="E19" s="13">
        <v>42877.184293981481</v>
      </c>
      <c r="F19" s="13">
        <v>42877.187650462962</v>
      </c>
      <c r="G19" s="7">
        <v>1</v>
      </c>
      <c r="H19" s="21" t="s">
        <v>406</v>
      </c>
      <c r="I19" s="13">
        <v>42877.211793981478</v>
      </c>
      <c r="J19" s="7">
        <v>0</v>
      </c>
      <c r="K19" s="92" t="str">
        <f t="shared" si="0"/>
        <v>4013/4014</v>
      </c>
      <c r="L19" s="21" t="str">
        <f>VLOOKUP(A19,'Trips&amp;Operators'!$C$1:$G$99999,5,FALSE)</f>
        <v>NEWELL JAMES</v>
      </c>
      <c r="M19" s="6">
        <f t="shared" si="1"/>
        <v>2.414351851621177E-2</v>
      </c>
      <c r="N19" s="7">
        <f t="shared" si="2"/>
        <v>34.766666663344949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-22T03:25:23-0600',mode:absolute,to:'2017-05-22T06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4.5999999999999999E-2</v>
      </c>
      <c r="Z19" s="192">
        <f t="shared" si="9"/>
        <v>23.3293</v>
      </c>
      <c r="AA19" s="192">
        <f t="shared" si="10"/>
        <v>23.283300000000001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0107-22</v>
      </c>
      <c r="AE19" s="80" t="str">
        <f t="shared" si="12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19" s="77" t="str">
        <f t="shared" si="13"/>
        <v>"C:\Program Files (x86)\AstroGrep\AstroGrep.exe" /e /r /s /spath="%USERPROFILE%\AppData\Local\Temp\OnboardLogs" /stypes="app*4014*20170522*"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107-22 --locoid 4014 --swversion DE.1.0.9.0 --startMP 204:460 --initTime 2017-05-22T04:25:23 --startdatetime 2017-05-22T04:30:13 --delay 1 --endMP 204:233293 --enddatetime 2017-05-22T05:04:59 --enforcementcount 0 &gt;&gt;C:\Users\stu\Documents\GitHub\eaglep3-reporting\EC\2017-05-22-refined-times.txt</v>
      </c>
      <c r="AI1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{"issue":{"subject":"","project_id":79,"tracker_id":40,"status_id":1,"priority_id":2,"assigned_to_id":23,"start_date":"2017-05-22","description":"","custom_fields":[{"id":1,"name":"Subdivision","value":"EC"},{"id":4,"name":"Milepost","value":"23.3293"},{"id":17,"name":"Train ID","value":"107-22"},{"id":16,"name":"Locomotive ID","value":"4014"},{"id":130,"name":"Impact","value":""},{"id":150,"name":"Time of Event (Mountain Time)","value":"05:04:59"},{"id":151,"name":"Denver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4014 --day 2017-05-22</v>
      </c>
      <c r="AN1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647</v>
      </c>
      <c r="B20" s="7">
        <v>4013</v>
      </c>
      <c r="C20" s="21" t="s">
        <v>206</v>
      </c>
      <c r="D20" s="21" t="s">
        <v>570</v>
      </c>
      <c r="E20" s="13">
        <v>42877.215312499997</v>
      </c>
      <c r="F20" s="13">
        <v>42877.227210648147</v>
      </c>
      <c r="G20" s="7">
        <v>1</v>
      </c>
      <c r="H20" s="21" t="s">
        <v>355</v>
      </c>
      <c r="I20" s="13">
        <v>42877.252893518518</v>
      </c>
      <c r="J20" s="7">
        <v>0</v>
      </c>
      <c r="K20" s="92" t="str">
        <f t="shared" si="0"/>
        <v>4013/4014</v>
      </c>
      <c r="L20" s="21" t="str">
        <f>VLOOKUP(A20,'Trips&amp;Operators'!$C$1:$G$99999,5,FALSE)</f>
        <v>NEWELL JAMES</v>
      </c>
      <c r="M20" s="6">
        <f t="shared" si="1"/>
        <v>2.5682870371383615E-2</v>
      </c>
      <c r="N20" s="7">
        <f t="shared" si="2"/>
        <v>36.983333334792405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-22T04:10:03-0600',mode:absolute,to:'2017-05-22T07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23.2973</v>
      </c>
      <c r="Z20" s="192">
        <f t="shared" si="9"/>
        <v>1.4999999999999999E-2</v>
      </c>
      <c r="AA20" s="192">
        <f t="shared" si="10"/>
        <v>23.282299999999999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0108-22</v>
      </c>
      <c r="AE20" s="80" t="str">
        <f t="shared" si="12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20" s="77" t="str">
        <f t="shared" si="13"/>
        <v>"C:\Program Files (x86)\AstroGrep\AstroGrep.exe" /e /r /s /spath="%USERPROFILE%\AppData\Local\Temp\OnboardLogs" /stypes="app*4013*20170522*"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108-22 --locoid 4013 --swversion DE.1.0.9.0 --startMP 204:232973 --initTime 2017-05-22T05:10:03 --startdatetime 2017-05-22T05:27:11 --delay 1 --endMP 204:150 --enddatetime 2017-05-22T06:04:10 --enforcementcount 0 &gt;&gt;C:\Users\stu\Documents\GitHub\eaglep3-reporting\EC\2017-05-22-refined-times.txt</v>
      </c>
      <c r="AI20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{"issue":{"subject":"","project_id":79,"tracker_id":40,"status_id":1,"priority_id":2,"assigned_to_id":23,"start_date":"2017-05-22","description":"","custom_fields":[{"id":1,"name":"Subdivision","value":"EC"},{"id":4,"name":"Milepost","value":"0.015"},{"id":17,"name":"Train ID","value":"108-22"},{"id":16,"name":"Locomotive ID","value":"4013"},{"id":130,"name":"Impact","value":""},{"id":150,"name":"Time of Event (Mountain Time)","value":"06:04:10"},{"id":151,"name":"Denver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4013 --day 2017-05-22</v>
      </c>
      <c r="AN20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639</v>
      </c>
      <c r="B21" s="7">
        <v>4026</v>
      </c>
      <c r="C21" s="21" t="s">
        <v>206</v>
      </c>
      <c r="D21" s="21" t="s">
        <v>425</v>
      </c>
      <c r="E21" s="13">
        <v>42877.192395833335</v>
      </c>
      <c r="F21" s="13">
        <v>42877.198148148149</v>
      </c>
      <c r="G21" s="7">
        <v>2</v>
      </c>
      <c r="H21" s="21" t="s">
        <v>825</v>
      </c>
      <c r="I21" s="13">
        <v>42877.224618055552</v>
      </c>
      <c r="J21" s="7">
        <v>0</v>
      </c>
      <c r="K21" s="92" t="str">
        <f t="shared" si="0"/>
        <v>4025/4026</v>
      </c>
      <c r="L21" s="21" t="str">
        <f>VLOOKUP(A21,'Trips&amp;Operators'!$C$1:$G$99999,5,FALSE)</f>
        <v>WILLIAMS DONTE</v>
      </c>
      <c r="M21" s="6">
        <f t="shared" si="1"/>
        <v>2.6469907403225079E-2</v>
      </c>
      <c r="N21" s="7">
        <f t="shared" si="2"/>
        <v>38.116666660644114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-22T03:37:03-0600',mode:absolute,to:'2017-05-22T06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4.6899999999999997E-2</v>
      </c>
      <c r="Z21" s="192">
        <f t="shared" si="9"/>
        <v>23.340599999999998</v>
      </c>
      <c r="AA21" s="192">
        <f t="shared" si="10"/>
        <v>23.293699999999998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0109-22</v>
      </c>
      <c r="AE21" s="80" t="str">
        <f t="shared" si="12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21" s="77" t="str">
        <f t="shared" si="13"/>
        <v>"C:\Program Files (x86)\AstroGrep\AstroGrep.exe" /e /r /s /spath="%USERPROFILE%\AppData\Local\Temp\OnboardLogs" /stypes="app*4026*20170522*"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109-22 --locoid 4026 --swversion DE.1.0.9.0 --startMP 204:469 --initTime 2017-05-22T04:37:03 --startdatetime 2017-05-22T04:45:20 --delay 2 --endMP 204:233406 --enddatetime 2017-05-22T05:23:27 --enforcementcount 0 &gt;&gt;C:\Users\stu\Documents\GitHub\eaglep3-reporting\EC\2017-05-22-refined-times.txt</v>
      </c>
      <c r="AI21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{"issue":{"subject":"","project_id":79,"tracker_id":40,"status_id":1,"priority_id":2,"assigned_to_id":23,"start_date":"2017-05-22","description":"","custom_fields":[{"id":1,"name":"Subdivision","value":"EC"},{"id":4,"name":"Milepost","value":"23.3406"},{"id":17,"name":"Train ID","value":"109-22"},{"id":16,"name":"Locomotive ID","value":"4026"},{"id":130,"name":"Impact","value":""},{"id":150,"name":"Time of Event (Mountain Time)","value":"05:23:27"},{"id":151,"name":"Denver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4026 --day 2017-05-22</v>
      </c>
      <c r="AN21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651</v>
      </c>
      <c r="B22" s="7">
        <v>4025</v>
      </c>
      <c r="C22" s="21" t="s">
        <v>206</v>
      </c>
      <c r="D22" s="21" t="s">
        <v>565</v>
      </c>
      <c r="E22" s="13">
        <v>42877.226875</v>
      </c>
      <c r="F22" s="13">
        <v>42877.237800925926</v>
      </c>
      <c r="G22" s="7">
        <v>2</v>
      </c>
      <c r="H22" s="21" t="s">
        <v>369</v>
      </c>
      <c r="I22" s="13">
        <v>42877.265034722222</v>
      </c>
      <c r="J22" s="7">
        <v>0</v>
      </c>
      <c r="K22" s="92" t="str">
        <f t="shared" si="0"/>
        <v>4025/4026</v>
      </c>
      <c r="L22" s="21" t="str">
        <f>VLOOKUP(A22,'Trips&amp;Operators'!$C$1:$G$99999,5,FALSE)</f>
        <v>WILLIAMS DONTE</v>
      </c>
      <c r="M22" s="6">
        <f t="shared" si="1"/>
        <v>2.7233796296059154E-2</v>
      </c>
      <c r="N22" s="7">
        <f t="shared" si="2"/>
        <v>39.216666666325182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-22T04:26:42-0600',mode:absolute,to:'2017-05-22T07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23.312799999999999</v>
      </c>
      <c r="Z22" s="192">
        <f t="shared" si="9"/>
        <v>1.47E-2</v>
      </c>
      <c r="AA22" s="192">
        <f t="shared" si="10"/>
        <v>23.298099999999998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0110-22</v>
      </c>
      <c r="AE22" s="80" t="str">
        <f t="shared" si="12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22" s="77" t="str">
        <f t="shared" si="13"/>
        <v>"C:\Program Files (x86)\AstroGrep\AstroGrep.exe" /e /r /s /spath="%USERPROFILE%\AppData\Local\Temp\OnboardLogs" /stypes="app*4025*20170522*"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110-22 --locoid 4025 --swversion DE.1.0.9.0 --startMP 204:233128 --initTime 2017-05-22T05:26:42 --startdatetime 2017-05-22T05:42:26 --delay 2 --endMP 204:147 --enddatetime 2017-05-22T06:21:39 --enforcementcount 0 &gt;&gt;C:\Users\stu\Documents\GitHub\eaglep3-reporting\EC\2017-05-22-refined-times.txt</v>
      </c>
      <c r="AI22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{"issue":{"subject":"","project_id":79,"tracker_id":40,"status_id":1,"priority_id":2,"assigned_to_id":23,"start_date":"2017-05-22","description":"","custom_fields":[{"id":1,"name":"Subdivision","value":"EC"},{"id":4,"name":"Milepost","value":"0.0147"},{"id":17,"name":"Train ID","value":"110-22"},{"id":16,"name":"Locomotive ID","value":"4025"},{"id":130,"name":"Impact","value":""},{"id":150,"name":"Time of Event (Mountain Time)","value":"06:21:39"},{"id":151,"name":"Denver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4025 --day 2017-05-22</v>
      </c>
      <c r="AN22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575</v>
      </c>
      <c r="B23" s="7">
        <v>4006</v>
      </c>
      <c r="C23" s="21" t="s">
        <v>206</v>
      </c>
      <c r="D23" s="21" t="s">
        <v>373</v>
      </c>
      <c r="E23" s="13">
        <v>42877.205196759256</v>
      </c>
      <c r="F23" s="13">
        <v>42877.208564814813</v>
      </c>
      <c r="G23" s="7">
        <v>1</v>
      </c>
      <c r="H23" s="21" t="s">
        <v>826</v>
      </c>
      <c r="I23" s="13">
        <v>42877.233240740738</v>
      </c>
      <c r="J23" s="7">
        <v>0</v>
      </c>
      <c r="K23" s="92" t="str">
        <f t="shared" si="0"/>
        <v>4005/4006</v>
      </c>
      <c r="L23" s="21" t="str">
        <f>VLOOKUP(A23,'Trips&amp;Operators'!$C$1:$G$99999,5,FALSE)</f>
        <v>MOSES BRADLEY</v>
      </c>
      <c r="M23" s="6">
        <f t="shared" si="1"/>
        <v>2.4675925924384501E-2</v>
      </c>
      <c r="N23" s="7">
        <f t="shared" si="2"/>
        <v>35.533333331113681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-22T03:55:29-0600',mode:absolute,to:'2017-05-22T06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4.5499999999999999E-2</v>
      </c>
      <c r="Z23" s="192">
        <f t="shared" si="9"/>
        <v>23.325099999999999</v>
      </c>
      <c r="AA23" s="192">
        <f t="shared" si="10"/>
        <v>23.279599999999999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0111-22</v>
      </c>
      <c r="AE23" s="80" t="str">
        <f t="shared" si="12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23" s="77" t="str">
        <f t="shared" si="13"/>
        <v>"C:\Program Files (x86)\AstroGrep\AstroGrep.exe" /e /r /s /spath="%USERPROFILE%\AppData\Local\Temp\OnboardLogs" /stypes="app*4006*20170522*"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111-22 --locoid 4006 --swversion DE.1.0.9.0 --startMP 204:455 --initTime 2017-05-22T04:55:29 --startdatetime 2017-05-22T05:00:20 --delay 1 --endMP 204:233251 --enddatetime 2017-05-22T05:35:52 --enforcementcount 0 &gt;&gt;C:\Users\stu\Documents\GitHub\eaglep3-reporting\EC\2017-05-22-refined-times.txt</v>
      </c>
      <c r="AI23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{"issue":{"subject":"","project_id":79,"tracker_id":40,"status_id":1,"priority_id":2,"assigned_to_id":23,"start_date":"2017-05-22","description":"","custom_fields":[{"id":1,"name":"Subdivision","value":"EC"},{"id":4,"name":"Milepost","value":"23.3251"},{"id":17,"name":"Train ID","value":"111-22"},{"id":16,"name":"Locomotive ID","value":"4006"},{"id":130,"name":"Impact","value":""},{"id":150,"name":"Time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4006 --day 2017-05-22</v>
      </c>
      <c r="AN23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654</v>
      </c>
      <c r="B24" s="7">
        <v>4005</v>
      </c>
      <c r="C24" s="21" t="s">
        <v>206</v>
      </c>
      <c r="D24" s="21" t="s">
        <v>827</v>
      </c>
      <c r="E24" s="13">
        <v>42877.24491898148</v>
      </c>
      <c r="F24" s="13">
        <v>42877.248194444444</v>
      </c>
      <c r="G24" s="7">
        <v>1</v>
      </c>
      <c r="H24" s="21" t="s">
        <v>828</v>
      </c>
      <c r="I24" s="13">
        <v>42877.27447916667</v>
      </c>
      <c r="J24" s="7">
        <v>0</v>
      </c>
      <c r="K24" s="92" t="str">
        <f t="shared" si="0"/>
        <v>4005/4006</v>
      </c>
      <c r="L24" s="21" t="str">
        <f>VLOOKUP(A24,'Trips&amp;Operators'!$C$1:$G$99999,5,FALSE)</f>
        <v>MOSES BRADLEY</v>
      </c>
      <c r="M24" s="6">
        <f t="shared" si="1"/>
        <v>2.6284722225682344E-2</v>
      </c>
      <c r="N24" s="7">
        <f t="shared" si="2"/>
        <v>37.850000004982576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-22T04:52:41-0600',mode:absolute,to:'2017-05-22T07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23.293600000000001</v>
      </c>
      <c r="Z24" s="192">
        <f t="shared" si="9"/>
        <v>1.4500000000000001E-2</v>
      </c>
      <c r="AA24" s="192">
        <f t="shared" si="10"/>
        <v>23.2791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0112-22</v>
      </c>
      <c r="AE24" s="80" t="str">
        <f t="shared" si="12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24" s="77" t="str">
        <f t="shared" si="13"/>
        <v>"C:\Program Files (x86)\AstroGrep\AstroGrep.exe" /e /r /s /spath="%USERPROFILE%\AppData\Local\Temp\OnboardLogs" /stypes="app*4005*20170522*"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112-22 --locoid 4005 --swversion DE.1.0.9.0 --startMP 204:232936 --initTime 2017-05-22T05:52:41 --startdatetime 2017-05-22T05:57:24 --delay 1 --endMP 204:145 --enddatetime 2017-05-22T06:35:15 --enforcementcount 0 &gt;&gt;C:\Users\stu\Documents\GitHub\eaglep3-reporting\EC\2017-05-22-refined-times.txt</v>
      </c>
      <c r="AI24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{"issue":{"subject":"","project_id":79,"tracker_id":40,"status_id":1,"priority_id":2,"assigned_to_id":23,"start_date":"2017-05-22","description":"","custom_fields":[{"id":1,"name":"Subdivision","value":"EC"},{"id":4,"name":"Milepost","value":"0.0145"},{"id":17,"name":"Train ID","value":"112-22"},{"id":16,"name":"Locomotive ID","value":"4005"},{"id":130,"name":"Impact","value":""},{"id":150,"name":"Time of Event (Mountain Time)","value":"06:35:15"},{"id":151,"name":"Denver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4005 --day 2017-05-22</v>
      </c>
      <c r="AN24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648</v>
      </c>
      <c r="B25" s="7">
        <v>4008</v>
      </c>
      <c r="C25" s="21" t="s">
        <v>206</v>
      </c>
      <c r="D25" s="21" t="s">
        <v>352</v>
      </c>
      <c r="E25" s="13">
        <v>42877.21671296296</v>
      </c>
      <c r="F25" s="13">
        <v>42877.218969907408</v>
      </c>
      <c r="G25" s="7">
        <v>1</v>
      </c>
      <c r="H25" s="21" t="s">
        <v>528</v>
      </c>
      <c r="I25" s="13">
        <v>42877.243796296294</v>
      </c>
      <c r="J25" s="7">
        <v>0</v>
      </c>
      <c r="K25" s="92" t="str">
        <f t="shared" si="0"/>
        <v>4007/4008</v>
      </c>
      <c r="L25" s="21" t="str">
        <f>VLOOKUP(A25,'Trips&amp;Operators'!$C$1:$G$99999,5,FALSE)</f>
        <v>HELVIE ADAM</v>
      </c>
      <c r="M25" s="6">
        <f t="shared" si="1"/>
        <v>2.4826388886140194E-2</v>
      </c>
      <c r="N25" s="7">
        <f t="shared" si="2"/>
        <v>35.749999996041879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-22T04:12:04-0600',mode:absolute,to:'2017-05-22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4.4600000000000001E-2</v>
      </c>
      <c r="Z25" s="192">
        <f t="shared" si="9"/>
        <v>23.331</v>
      </c>
      <c r="AA25" s="192">
        <f t="shared" si="10"/>
        <v>23.2864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0113-22</v>
      </c>
      <c r="AE25" s="80" t="str">
        <f t="shared" si="12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25" s="77" t="str">
        <f t="shared" si="13"/>
        <v>"C:\Program Files (x86)\AstroGrep\AstroGrep.exe" /e /r /s /spath="%USERPROFILE%\AppData\Local\Temp\OnboardLogs" /stypes="app*4008*20170522*"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113-22 --locoid 4008 --swversion DE.1.0.9.0 --startMP 204:446 --initTime 2017-05-22T05:12:04 --startdatetime 2017-05-22T05:15:19 --delay 1 --endMP 204:233310 --enddatetime 2017-05-22T05:51:04 --enforcementcount 0 &gt;&gt;C:\Users\stu\Documents\GitHub\eaglep3-reporting\EC\2017-05-22-refined-times.txt</v>
      </c>
      <c r="AI2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{"issue":{"subject":"","project_id":79,"tracker_id":40,"status_id":1,"priority_id":2,"assigned_to_id":23,"start_date":"2017-05-22","description":"","custom_fields":[{"id":1,"name":"Subdivision","value":"EC"},{"id":4,"name":"Milepost","value":"23.331"},{"id":17,"name":"Train ID","value":"113-22"},{"id":16,"name":"Locomotive ID","value":"4008"},{"id":130,"name":"Impact","value":""},{"id":150,"name":"Time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4008 --day 2017-05-22</v>
      </c>
      <c r="AN2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659</v>
      </c>
      <c r="B26" s="7">
        <v>4007</v>
      </c>
      <c r="C26" s="21" t="s">
        <v>206</v>
      </c>
      <c r="D26" s="21" t="s">
        <v>829</v>
      </c>
      <c r="E26" s="13">
        <v>42877.255624999998</v>
      </c>
      <c r="F26" s="13">
        <v>42877.25854166667</v>
      </c>
      <c r="G26" s="7">
        <v>0</v>
      </c>
      <c r="H26" s="21" t="s">
        <v>369</v>
      </c>
      <c r="I26" s="13">
        <v>42877.28396990741</v>
      </c>
      <c r="J26" s="7">
        <v>0</v>
      </c>
      <c r="K26" s="92" t="str">
        <f t="shared" si="0"/>
        <v>4007/4008</v>
      </c>
      <c r="L26" s="21" t="str">
        <f>VLOOKUP(A26,'Trips&amp;Operators'!$C$1:$G$99999,5,FALSE)</f>
        <v>HELVIE ADAM</v>
      </c>
      <c r="M26" s="6">
        <f t="shared" si="1"/>
        <v>2.5428240740438923E-2</v>
      </c>
      <c r="N26" s="7">
        <f t="shared" si="2"/>
        <v>36.616666666232049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-22T05:08:06-0600',mode:absolute,to:'2017-05-22T07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23.2989</v>
      </c>
      <c r="Z26" s="192">
        <f t="shared" si="9"/>
        <v>1.47E-2</v>
      </c>
      <c r="AA26" s="192">
        <f t="shared" si="10"/>
        <v>23.284199999999998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0114-22</v>
      </c>
      <c r="AE26" s="80" t="str">
        <f t="shared" si="12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26" s="77" t="str">
        <f t="shared" si="13"/>
        <v>"C:\Program Files (x86)\AstroGrep\AstroGrep.exe" /e /r /s /spath="%USERPROFILE%\AppData\Local\Temp\OnboardLogs" /stypes="app*4007*20170522*"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114-22 --locoid 4007 --swversion DE.1.0.9.0 --startMP 204:232989 --initTime 2017-05-22T06:08:06 --startdatetime 2017-05-22T06:12:18 --delay 0 --endMP 204:147 --enddatetime 2017-05-22T06:48:55 --enforcementcount 0 &gt;&gt;C:\Users\stu\Documents\GitHub\eaglep3-reporting\EC\2017-05-22-refined-times.txt</v>
      </c>
      <c r="AI2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{"issue":{"subject":"","project_id":79,"tracker_id":40,"status_id":1,"priority_id":2,"assigned_to_id":23,"start_date":"2017-05-22","description":"","custom_fields":[{"id":1,"name":"Subdivision","value":"EC"},{"id":4,"name":"Milepost","value":"0.0147"},{"id":17,"name":"Train ID","value":"114-22"},{"id":16,"name":"Locomotive ID","value":"4007"},{"id":130,"name":"Impact","value":""},{"id":150,"name":"Time of Event (Mountain Time)","value":"06:48:55"},{"id":151,"name":"Denver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4007 --day 2017-05-22</v>
      </c>
      <c r="AN2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650</v>
      </c>
      <c r="B27" s="7">
        <v>4032</v>
      </c>
      <c r="C27" s="21" t="s">
        <v>206</v>
      </c>
      <c r="D27" s="21" t="s">
        <v>354</v>
      </c>
      <c r="E27" s="13">
        <v>42877.22693287037</v>
      </c>
      <c r="F27" s="13">
        <v>42877.229363425926</v>
      </c>
      <c r="G27" s="7">
        <v>1</v>
      </c>
      <c r="H27" s="21" t="s">
        <v>527</v>
      </c>
      <c r="I27" s="13">
        <v>42877.254710648151</v>
      </c>
      <c r="J27" s="7">
        <v>0</v>
      </c>
      <c r="K27" s="92" t="str">
        <f t="shared" si="0"/>
        <v>4031/4032</v>
      </c>
      <c r="L27" s="21" t="str">
        <f>VLOOKUP(A27,'Trips&amp;Operators'!$C$1:$G$99999,5,FALSE)</f>
        <v>BONDS REYNALDO</v>
      </c>
      <c r="M27" s="6">
        <f t="shared" si="1"/>
        <v>2.5347222224809229E-2</v>
      </c>
      <c r="N27" s="7">
        <f t="shared" si="2"/>
        <v>36.50000000372529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-22T04:26:47-0600',mode:absolute,to:'2017-05-22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4.58E-2</v>
      </c>
      <c r="Z27" s="192">
        <f t="shared" si="9"/>
        <v>23.3324</v>
      </c>
      <c r="AA27" s="192">
        <f t="shared" si="10"/>
        <v>23.2866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0115-22</v>
      </c>
      <c r="AE27" s="80" t="str">
        <f t="shared" si="12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27" s="77" t="str">
        <f t="shared" si="13"/>
        <v>"C:\Program Files (x86)\AstroGrep\AstroGrep.exe" /e /r /s /spath="%USERPROFILE%\AppData\Local\Temp\OnboardLogs" /stypes="app*4032*20170522*"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115-22 --locoid 4032 --swversion DE.1.0.9.0 --startMP 204:458 --initTime 2017-05-22T05:26:47 --startdatetime 2017-05-22T05:30:17 --delay 1 --endMP 204:233324 --enddatetime 2017-05-22T06:06:47 --enforcementcount 0 &gt;&gt;C:\Users\stu\Documents\GitHub\eaglep3-reporting\EC\2017-05-22-refined-times.txt</v>
      </c>
      <c r="AI2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{"issue":{"subject":"","project_id":79,"tracker_id":40,"status_id":1,"priority_id":2,"assigned_to_id":23,"start_date":"2017-05-22","description":"","custom_fields":[{"id":1,"name":"Subdivision","value":"EC"},{"id":4,"name":"Milepost","value":"23.3324"},{"id":17,"name":"Train ID","value":"115-22"},{"id":16,"name":"Locomotive ID","value":"4032"},{"id":130,"name":"Impact","value":""},{"id":150,"name":"Time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4032 --day 2017-05-22</v>
      </c>
      <c r="AN2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661</v>
      </c>
      <c r="B28" s="7">
        <v>4031</v>
      </c>
      <c r="C28" s="21" t="s">
        <v>206</v>
      </c>
      <c r="D28" s="21" t="s">
        <v>568</v>
      </c>
      <c r="E28" s="13">
        <v>42877.264652777776</v>
      </c>
      <c r="F28" s="13">
        <v>42877.268935185188</v>
      </c>
      <c r="G28" s="7">
        <v>2</v>
      </c>
      <c r="H28" s="21" t="s">
        <v>353</v>
      </c>
      <c r="I28" s="13">
        <v>42877.296249999999</v>
      </c>
      <c r="J28" s="7">
        <v>0</v>
      </c>
      <c r="K28" s="92" t="str">
        <f t="shared" si="0"/>
        <v>4031/4032</v>
      </c>
      <c r="L28" s="21" t="str">
        <f>VLOOKUP(A28,'Trips&amp;Operators'!$C$1:$G$99999,5,FALSE)</f>
        <v>BONDS REYNALDO</v>
      </c>
      <c r="M28" s="6">
        <f t="shared" si="1"/>
        <v>2.7314814811688848E-2</v>
      </c>
      <c r="N28" s="7">
        <f t="shared" si="2"/>
        <v>39.333333328831941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-22T05:21:06-0600',mode:absolute,to:'2017-05-22T08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23.298400000000001</v>
      </c>
      <c r="Z28" s="192">
        <f t="shared" si="9"/>
        <v>1.6E-2</v>
      </c>
      <c r="AA28" s="192">
        <f t="shared" si="10"/>
        <v>23.282400000000003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0116-22</v>
      </c>
      <c r="AE28" s="80" t="str">
        <f t="shared" si="12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28" s="77" t="str">
        <f t="shared" si="13"/>
        <v>"C:\Program Files (x86)\AstroGrep\AstroGrep.exe" /e /r /s /spath="%USERPROFILE%\AppData\Local\Temp\OnboardLogs" /stypes="app*4031*20170522*"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116-22 --locoid 4031 --swversion DE.1.0.9.0 --startMP 204:232984 --initTime 2017-05-22T06:21:06 --startdatetime 2017-05-22T06:27:16 --delay 2 --endMP 204:160 --enddatetime 2017-05-22T07:06:36 --enforcementcount 0 &gt;&gt;C:\Users\stu\Documents\GitHub\eaglep3-reporting\EC\2017-05-22-refined-times.txt</v>
      </c>
      <c r="AI2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{"issue":{"subject":"","project_id":79,"tracker_id":40,"status_id":1,"priority_id":2,"assigned_to_id":23,"start_date":"2017-05-22","description":"","custom_fields":[{"id":1,"name":"Subdivision","value":"EC"},{"id":4,"name":"Milepost","value":"0.016"},{"id":17,"name":"Train ID","value":"116-22"},{"id":16,"name":"Locomotive ID","value":"4031"},{"id":130,"name":"Impact","value":""},{"id":150,"name":"Time of Event (Mountain Time)","value":"07:06:36"},{"id":151,"name":"Denver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4031 --day 2017-05-22</v>
      </c>
      <c r="AN2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653</v>
      </c>
      <c r="B29" s="7">
        <v>4010</v>
      </c>
      <c r="C29" s="21" t="s">
        <v>206</v>
      </c>
      <c r="D29" s="21" t="s">
        <v>202</v>
      </c>
      <c r="E29" s="13">
        <v>42877.235763888886</v>
      </c>
      <c r="F29" s="13">
        <v>42877.239768518521</v>
      </c>
      <c r="G29" s="7">
        <v>1</v>
      </c>
      <c r="H29" s="21" t="s">
        <v>830</v>
      </c>
      <c r="I29" s="13">
        <v>42877.264675925922</v>
      </c>
      <c r="J29" s="7">
        <v>0</v>
      </c>
      <c r="K29" s="92" t="str">
        <f t="shared" si="0"/>
        <v>4009/4010</v>
      </c>
      <c r="L29" s="21" t="str">
        <f>VLOOKUP(A29,'Trips&amp;Operators'!$C$1:$G$99999,5,FALSE)</f>
        <v>MACDONALD THOMAS</v>
      </c>
      <c r="M29" s="6">
        <f t="shared" si="1"/>
        <v>2.4907407401769888E-2</v>
      </c>
      <c r="N29" s="7">
        <f t="shared" si="2"/>
        <v>35.866666658548638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-22T04:39:30-0600',mode:absolute,to:'2017-05-22T07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4.5699999999999998E-2</v>
      </c>
      <c r="Z29" s="192">
        <f t="shared" si="9"/>
        <v>23.329799999999999</v>
      </c>
      <c r="AA29" s="192">
        <f t="shared" si="10"/>
        <v>23.284099999999999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0117-22</v>
      </c>
      <c r="AE29" s="80" t="str">
        <f t="shared" si="12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29" s="77" t="str">
        <f t="shared" si="13"/>
        <v>"C:\Program Files (x86)\AstroGrep\AstroGrep.exe" /e /r /s /spath="%USERPROFILE%\AppData\Local\Temp\OnboardLogs" /stypes="app*4010*20170522*"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117-22 --locoid 4010 --swversion DE.1.0.9.0 --startMP 204:457 --initTime 2017-05-22T05:39:30 --startdatetime 2017-05-22T05:45:16 --delay 1 --endMP 204:233298 --enddatetime 2017-05-22T06:21:08 --enforcementcount 0 &gt;&gt;C:\Users\stu\Documents\GitHub\eaglep3-reporting\EC\2017-05-22-refined-times.txt</v>
      </c>
      <c r="AI2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{"issue":{"subject":"","project_id":79,"tracker_id":40,"status_id":1,"priority_id":2,"assigned_to_id":23,"start_date":"2017-05-22","description":"","custom_fields":[{"id":1,"name":"Subdivision","value":"EC"},{"id":4,"name":"Milepost","value":"23.3298"},{"id":17,"name":"Train ID","value":"117-22"},{"id":16,"name":"Locomotive ID","value":"4010"},{"id":130,"name":"Impact","value":""},{"id":150,"name":"Time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4010 --day 2017-05-22</v>
      </c>
      <c r="AN2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665</v>
      </c>
      <c r="B30" s="7">
        <v>4009</v>
      </c>
      <c r="C30" s="21" t="s">
        <v>206</v>
      </c>
      <c r="D30" s="21" t="s">
        <v>831</v>
      </c>
      <c r="E30" s="13">
        <v>42877.27721064815</v>
      </c>
      <c r="F30" s="13">
        <v>42877.279328703706</v>
      </c>
      <c r="G30" s="7">
        <v>1</v>
      </c>
      <c r="H30" s="21" t="s">
        <v>413</v>
      </c>
      <c r="I30" s="13">
        <v>42877.305648148147</v>
      </c>
      <c r="J30" s="7">
        <v>0</v>
      </c>
      <c r="K30" s="92" t="str">
        <f t="shared" si="0"/>
        <v>4009/4010</v>
      </c>
      <c r="L30" s="21" t="str">
        <f>VLOOKUP(A30,'Trips&amp;Operators'!$C$1:$G$99999,5,FALSE)</f>
        <v>MACDONALD THOMAS</v>
      </c>
      <c r="M30" s="6">
        <f t="shared" si="1"/>
        <v>2.6319444441469386E-2</v>
      </c>
      <c r="N30" s="7">
        <f t="shared" si="2"/>
        <v>37.899999995715916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-22T05:39:11-0600',mode:absolute,to:'2017-05-22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23.299099999999999</v>
      </c>
      <c r="Z30" s="192">
        <f t="shared" si="9"/>
        <v>1.54E-2</v>
      </c>
      <c r="AA30" s="192">
        <f t="shared" si="10"/>
        <v>23.2837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0118-22</v>
      </c>
      <c r="AE30" s="80" t="str">
        <f t="shared" si="12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30" s="77" t="str">
        <f t="shared" si="13"/>
        <v>"C:\Program Files (x86)\AstroGrep\AstroGrep.exe" /e /r /s /spath="%USERPROFILE%\AppData\Local\Temp\OnboardLogs" /stypes="app*4009*20170522*"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118-22 --locoid 4009 --swversion DE.1.0.9.0 --startMP 204:232991 --initTime 2017-05-22T06:39:11 --startdatetime 2017-05-22T06:42:14 --delay 1 --endMP 204:154 --enddatetime 2017-05-22T07:20:08 --enforcementcount 0 &gt;&gt;C:\Users\stu\Documents\GitHub\eaglep3-reporting\EC\2017-05-22-refined-times.txt</v>
      </c>
      <c r="AI30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ID","value":"118-22"},{"id":16,"name":"Locomotive ID","value":"4009"},{"id":130,"name":"Impact","value":""},{"id":150,"name":"Time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4009 --day 2017-05-22</v>
      </c>
      <c r="AN30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576</v>
      </c>
      <c r="B31" s="7">
        <v>4016</v>
      </c>
      <c r="C31" s="21" t="s">
        <v>206</v>
      </c>
      <c r="D31" s="21" t="s">
        <v>405</v>
      </c>
      <c r="E31" s="13">
        <v>42877.247337962966</v>
      </c>
      <c r="F31" s="13">
        <v>42877.250520833331</v>
      </c>
      <c r="G31" s="7">
        <v>1</v>
      </c>
      <c r="H31" s="21" t="s">
        <v>564</v>
      </c>
      <c r="I31" s="13">
        <v>42877.275960648149</v>
      </c>
      <c r="J31" s="7">
        <v>0</v>
      </c>
      <c r="K31" s="92" t="str">
        <f t="shared" si="0"/>
        <v>4015/4016</v>
      </c>
      <c r="L31" s="21" t="str">
        <f>VLOOKUP(A31,'Trips&amp;Operators'!$C$1:$G$99999,5,FALSE)</f>
        <v>STARKS ANGELINA</v>
      </c>
      <c r="M31" s="6">
        <f t="shared" si="1"/>
        <v>2.5439814817218576E-2</v>
      </c>
      <c r="N31" s="7">
        <f t="shared" si="2"/>
        <v>36.633333336794749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-22T04:56:10-0600',mode:absolute,to:'2017-05-22T07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4.6199999999999998E-2</v>
      </c>
      <c r="Z31" s="192">
        <f t="shared" si="9"/>
        <v>23.330500000000001</v>
      </c>
      <c r="AA31" s="192">
        <f t="shared" si="10"/>
        <v>23.284300000000002</v>
      </c>
      <c r="AB31" s="57" t="str">
        <f>VLOOKUP(A31,Enforcements!$C$7:$K$13,8,0)</f>
        <v>Bulletin (2)</v>
      </c>
      <c r="AC31" s="53" t="str">
        <f>VLOOKUP(A31,Enforcements!$C$7:$E$13,3,0)</f>
        <v>GRADE CROSSING</v>
      </c>
      <c r="AD31" s="54" t="str">
        <f t="shared" si="11"/>
        <v>0119-22</v>
      </c>
      <c r="AE31" s="80" t="str">
        <f t="shared" si="12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31" s="77" t="str">
        <f t="shared" si="13"/>
        <v>"C:\Program Files (x86)\AstroGrep\AstroGrep.exe" /e /r /s /spath="%USERPROFILE%\AppData\Local\Temp\OnboardLogs" /stypes="app*4016*20170522*"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119-22 --locoid 4016 --swversion DE.1.0.9.0 --startMP 204:462 --initTime 2017-05-22T05:56:10 --startdatetime 2017-05-22T06:00:45 --delay 1 --endMP 204:233305 --enddatetime 2017-05-22T06:37:23 --enforcementcount 0 &gt;&gt;C:\Users\stu\Documents\GitHub\eaglep3-reporting\EC\2017-05-22-refined-times.txt</v>
      </c>
      <c r="AI31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{"issue":{"subject":"","project_id":79,"tracker_id":40,"status_id":1,"priority_id":2,"assigned_to_id":23,"start_date":"2017-05-22","description":"","custom_fields":[{"id":1,"name":"Subdivision","value":"EC"},{"id":4,"name":"Milepost","value":"23.3305"},{"id":17,"name":"Train ID","value":"119-22"},{"id":16,"name":"Locomotive ID","value":"4016"},{"id":130,"name":"Impact","value":""},{"id":150,"name":"Time of Event (Mountain Time)","value":"06:37:23"},{"id":151,"name":"Denver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4016 --day 2017-05-22</v>
      </c>
      <c r="AN31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1029</v>
      </c>
      <c r="B32" s="7">
        <v>4015</v>
      </c>
      <c r="C32" s="21" t="s">
        <v>206</v>
      </c>
      <c r="D32" s="21" t="s">
        <v>405</v>
      </c>
      <c r="E32" s="13">
        <v>42877.247337962966</v>
      </c>
      <c r="F32" s="13">
        <v>42877.289583333331</v>
      </c>
      <c r="G32" s="7">
        <v>1</v>
      </c>
      <c r="H32" s="21" t="s">
        <v>564</v>
      </c>
      <c r="I32" s="13">
        <v>42877.290277777778</v>
      </c>
      <c r="J32" s="7">
        <v>0</v>
      </c>
      <c r="K32" s="92" t="str">
        <f t="shared" si="0"/>
        <v>4015/4016</v>
      </c>
      <c r="L32" s="21" t="s">
        <v>1030</v>
      </c>
      <c r="M32" s="6">
        <f t="shared" si="1"/>
        <v>6.944444467080757E-4</v>
      </c>
      <c r="N32" s="7"/>
      <c r="O32" s="7"/>
      <c r="P32" s="7">
        <f>24*60*SUM($M32:$M32)</f>
        <v>1.000000003259629</v>
      </c>
      <c r="Q32" s="22"/>
      <c r="R32" s="190" t="s">
        <v>1031</v>
      </c>
      <c r="S32" s="196">
        <f t="shared" si="3"/>
        <v>0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-22T04:56:10-0600',mode:absolute,to:'2017-05-22T07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4.6199999999999998E-2</v>
      </c>
      <c r="Z32" s="192">
        <f t="shared" si="9"/>
        <v>23.330500000000001</v>
      </c>
      <c r="AA32" s="192">
        <f t="shared" si="10"/>
        <v>23.284300000000002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0120-22</v>
      </c>
      <c r="AE32" s="80" t="str">
        <f t="shared" si="12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32" s="77" t="str">
        <f t="shared" si="13"/>
        <v>"C:\Program Files (x86)\AstroGrep\AstroGrep.exe" /e /r /s /spath="%USERPROFILE%\AppData\Local\Temp\OnboardLogs" /stypes="app*4015*20170522*" /stext=" 12:.+((SYSTEM_STATE.+slice.+state.+changed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ref="AH32" si="23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120-22 --locoid 4015 --swversion DE.1.0.9.0 --startMP 204:462 --initTime 2017-05-22T05:56:10 --startdatetime 2017-05-22T06:57:00 --delay 1 --endMP 204:233305 --enddatetime 2017-05-22T06:58:00 --enforcementcount 0 &gt;&gt;C:\Users\stu\Documents\GitHub\eaglep3-reporting\EC\2017-05-22-refined-times.txt</v>
      </c>
      <c r="AI32" s="99" t="str">
        <f t="shared" ref="AI32" si="24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mismatch","project_id":79,"tracker_id":40,"status_id":1,"priority_id":2,"assigned_to_id":23,"start_date":"2017-05-22","description":"","custom_fields":[{"id":1,"name":"Subdivision","value":"EC"},{"id":4,"name":"Milepost","value":"23.3305"},{"id":17,"name":"Train ID","value":"120-22"},{"id":16,"name":"Locomotive ID","value":"4015"},{"id":130,"name":"Impact","value":""},{"id":150,"name":"Time of Event (Mountain Time)","value":"06:58:00"},{"id":151,"name":"Denver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ref="AM32" si="25">"start /low /b "&amp;dls3logs&amp;" --loco "&amp;B32&amp;" --day "&amp;TEXT(F32,"YYYY-MM-DD")</f>
        <v>start /low /b %USERPROFILE%\Documents\GitHub\eaglep3\Utilities\DownloadLogsFromS3.py --loco 4015 --day 2017-05-22</v>
      </c>
      <c r="AN32" s="154" t="str">
        <f t="shared" ref="AN32" si="26">"echo {""issue"":{""subject"":"""&amp;R32&amp;""",""project_id"":30,""tracker_id"":4,""status_id"":"&amp;redmine_status_wcr&amp;",""priority_id"":"&amp;redmine_priority_wcr&amp;",""assigned_to_id"":"&amp;redmine_assignee_wcr&amp;",""start_date"":"""&amp;TEXT(I32-utc_offset/24,"YYYY-mm-dd")&amp;""",""description"":"""&amp;AJ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</row>
    <row r="33" spans="1:91" s="1" customFormat="1" x14ac:dyDescent="0.25">
      <c r="A33" s="32" t="s">
        <v>577</v>
      </c>
      <c r="B33" s="7">
        <v>4014</v>
      </c>
      <c r="C33" s="21" t="s">
        <v>206</v>
      </c>
      <c r="D33" s="21" t="s">
        <v>832</v>
      </c>
      <c r="E33" s="13">
        <v>42877.257731481484</v>
      </c>
      <c r="F33" s="13">
        <v>42877.26059027778</v>
      </c>
      <c r="G33" s="7">
        <v>1</v>
      </c>
      <c r="H33" s="21" t="s">
        <v>833</v>
      </c>
      <c r="I33" s="13">
        <v>42877.285671296297</v>
      </c>
      <c r="J33" s="7">
        <v>0</v>
      </c>
      <c r="K33" s="92" t="str">
        <f t="shared" si="0"/>
        <v>4013/4014</v>
      </c>
      <c r="L33" s="21" t="str">
        <f>VLOOKUP(A33,'Trips&amp;Operators'!$C$1:$G$99999,5,FALSE)</f>
        <v>LALONDE GREGORY</v>
      </c>
      <c r="M33" s="6">
        <f t="shared" si="1"/>
        <v>2.5081018517084885E-2</v>
      </c>
      <c r="N33" s="7">
        <f>24*60*SUM($M33:$M33)</f>
        <v>36.116666664602235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-22T05:11:08-0600',mode:absolute,to:'2017-05-22T07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2" t="str">
        <f t="shared" si="6"/>
        <v>N</v>
      </c>
      <c r="X33" s="192">
        <f t="shared" ref="X33:X38" si="27">VALUE(LEFT(AD33,4))-VALUE(LEFT(AD32,4))</f>
        <v>1</v>
      </c>
      <c r="Y33" s="192">
        <f t="shared" si="8"/>
        <v>4.3099999999999999E-2</v>
      </c>
      <c r="Z33" s="192">
        <f t="shared" si="9"/>
        <v>23.333600000000001</v>
      </c>
      <c r="AA33" s="192">
        <f t="shared" si="10"/>
        <v>23.290500000000002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0121-22</v>
      </c>
      <c r="AE33" s="80" t="str">
        <f t="shared" si="12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33" s="77" t="str">
        <f t="shared" si="13"/>
        <v>"C:\Program Files (x86)\AstroGrep\AstroGrep.exe" /e /r /s /spath="%USERPROFILE%\AppData\Local\Temp\OnboardLogs" /stypes="app*4014*20170522*"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121-22 --locoid 4014 --swversion DE.1.0.9.0 --startMP 204:431 --initTime 2017-05-22T06:11:08 --startdatetime 2017-05-22T06:15:15 --delay 1 --endMP 204:233336 --enddatetime 2017-05-22T06:51:22 --enforcementcount 0 &gt;&gt;C:\Users\stu\Documents\GitHub\eaglep3-reporting\EC\2017-05-22-refined-times.txt</v>
      </c>
      <c r="AI33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{"issue":{"subject":"","project_id":79,"tracker_id":40,"status_id":1,"priority_id":2,"assigned_to_id":23,"start_date":"2017-05-22","description":"","custom_fields":[{"id":1,"name":"Subdivision","value":"EC"},{"id":4,"name":"Milepost","value":"23.3336"},{"id":17,"name":"Train ID","value":"121-22"},{"id":16,"name":"Locomotive ID","value":"4014"},{"id":130,"name":"Impact","value":""},{"id":150,"name":"Time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4014 --day 2017-05-22</v>
      </c>
      <c r="AN33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1032</v>
      </c>
      <c r="B34" s="7">
        <v>4013</v>
      </c>
      <c r="C34" s="21" t="s">
        <v>206</v>
      </c>
      <c r="D34" s="21" t="s">
        <v>832</v>
      </c>
      <c r="E34" s="13">
        <v>42877.257731481484</v>
      </c>
      <c r="F34" s="13">
        <v>42877.295138888891</v>
      </c>
      <c r="G34" s="7">
        <v>1</v>
      </c>
      <c r="H34" s="21" t="s">
        <v>833</v>
      </c>
      <c r="I34" s="13">
        <v>42877.29583333333</v>
      </c>
      <c r="J34" s="7">
        <v>0</v>
      </c>
      <c r="K34" s="92" t="str">
        <f t="shared" si="0"/>
        <v>4013/4014</v>
      </c>
      <c r="L34" s="21" t="s">
        <v>1033</v>
      </c>
      <c r="M34" s="6">
        <f t="shared" si="1"/>
        <v>6.9444443943211809E-4</v>
      </c>
      <c r="N34" s="7"/>
      <c r="O34" s="7"/>
      <c r="P34" s="7">
        <v>1</v>
      </c>
      <c r="Q34" s="22"/>
      <c r="R34" s="190" t="s">
        <v>1031</v>
      </c>
      <c r="S34" s="196">
        <f t="shared" si="3"/>
        <v>0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-22T05:11:08-0600',mode:absolute,to:'2017-05-22T08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92" t="str">
        <f t="shared" si="6"/>
        <v>N</v>
      </c>
      <c r="X34" s="192">
        <f t="shared" si="27"/>
        <v>1</v>
      </c>
      <c r="Y34" s="192">
        <f t="shared" si="8"/>
        <v>4.3099999999999999E-2</v>
      </c>
      <c r="Z34" s="192">
        <f t="shared" si="9"/>
        <v>23.333600000000001</v>
      </c>
      <c r="AA34" s="192">
        <f t="shared" si="10"/>
        <v>23.290500000000002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0122-22</v>
      </c>
      <c r="AE34" s="80" t="str">
        <f t="shared" si="12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34" s="77" t="str">
        <f t="shared" si="13"/>
        <v>"C:\Program Files (x86)\AstroGrep\AstroGrep.exe" /e /r /s /spath="%USERPROFILE%\AppData\Local\Temp\OnboardLogs" /stypes="app*4013*20170522*"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ref="AH34" si="28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122-22 --locoid 4013 --swversion DE.1.0.9.0 --startMP 204:431 --initTime 2017-05-22T06:11:08 --startdatetime 2017-05-22T07:05:00 --delay 1 --endMP 204:233336 --enddatetime 2017-05-22T07:06:00 --enforcementcount 0 &gt;&gt;C:\Users\stu\Documents\GitHub\eaglep3-reporting\EC\2017-05-22-refined-times.txt</v>
      </c>
      <c r="AI34" s="99" t="str">
        <f t="shared" ref="AI34" si="29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mismatch","project_id":79,"tracker_id":40,"status_id":1,"priority_id":2,"assigned_to_id":23,"start_date":"2017-05-22","description":"","custom_fields":[{"id":1,"name":"Subdivision","value":"EC"},{"id":4,"name":"Milepost","value":"23.3336"},{"id":17,"name":"Train ID","value":"122-22"},{"id":16,"name":"Locomotive ID","value":"4013"},{"id":130,"name":"Impact","value":""},{"id":150,"name":"Time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ref="AM34" si="30">"start /low /b "&amp;dls3logs&amp;" --loco "&amp;B34&amp;" --day "&amp;TEXT(F34,"YYYY-MM-DD")</f>
        <v>start /low /b %USERPROFILE%\Documents\GitHub\eaglep3\Utilities\DownloadLogsFromS3.py --loco 4013 --day 2017-05-22</v>
      </c>
      <c r="AN34" s="154" t="str">
        <f t="shared" ref="AN34" si="31"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</row>
    <row r="35" spans="1:91" s="1" customFormat="1" x14ac:dyDescent="0.25">
      <c r="A35" s="32" t="s">
        <v>662</v>
      </c>
      <c r="B35" s="7">
        <v>4026</v>
      </c>
      <c r="C35" s="21" t="s">
        <v>206</v>
      </c>
      <c r="D35" s="21" t="s">
        <v>525</v>
      </c>
      <c r="E35" s="13">
        <v>42877.268391203703</v>
      </c>
      <c r="F35" s="13">
        <v>42877.271782407406</v>
      </c>
      <c r="G35" s="7">
        <v>2</v>
      </c>
      <c r="H35" s="21" t="s">
        <v>834</v>
      </c>
      <c r="I35" s="13">
        <v>42877.2968287037</v>
      </c>
      <c r="J35" s="7">
        <v>0</v>
      </c>
      <c r="K35" s="92" t="str">
        <f t="shared" si="0"/>
        <v>4025/4026</v>
      </c>
      <c r="L35" s="21" t="str">
        <f>VLOOKUP(A35,'Trips&amp;Operators'!$C$1:$G$99999,5,FALSE)</f>
        <v>WILLIAMS DONTE</v>
      </c>
      <c r="M35" s="6">
        <f t="shared" si="1"/>
        <v>2.5046296294021886E-2</v>
      </c>
      <c r="N35" s="7">
        <f t="shared" ref="N35:N82" si="32">24*60*SUM($M35:$M35)</f>
        <v>36.066666663391516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-22T05:26:29-0600',mode:absolute,to:'2017-05-22T08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2" t="str">
        <f t="shared" si="6"/>
        <v>N</v>
      </c>
      <c r="X35" s="192">
        <f t="shared" si="27"/>
        <v>1</v>
      </c>
      <c r="Y35" s="192">
        <f t="shared" si="8"/>
        <v>4.3700000000000003E-2</v>
      </c>
      <c r="Z35" s="192">
        <f t="shared" si="9"/>
        <v>23.3399</v>
      </c>
      <c r="AA35" s="192">
        <f t="shared" si="10"/>
        <v>23.296199999999999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0123-22</v>
      </c>
      <c r="AE35" s="80" t="str">
        <f t="shared" si="12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35" s="77" t="str">
        <f t="shared" si="13"/>
        <v>"C:\Program Files (x86)\AstroGrep\AstroGrep.exe" /e /r /s /spath="%USERPROFILE%\AppData\Local\Temp\OnboardLogs" /stypes="app*4026*20170522*"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123-22 --locoid 4026 --swversion DE.1.0.9.0 --startMP 204:437 --initTime 2017-05-22T06:26:29 --startdatetime 2017-05-22T06:31:22 --delay 2 --endMP 204:233399 --enddatetime 2017-05-22T07:07:26 --enforcementcount 0 &gt;&gt;C:\Users\stu\Documents\GitHub\eaglep3-reporting\EC\2017-05-22-refined-times.txt</v>
      </c>
      <c r="AI3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{"issue":{"subject":"","project_id":79,"tracker_id":40,"status_id":1,"priority_id":2,"assigned_to_id":23,"start_date":"2017-05-22","description":"","custom_fields":[{"id":1,"name":"Subdivision","value":"EC"},{"id":4,"name":"Milepost","value":"23.3399"},{"id":17,"name":"Train ID","value":"123-22"},{"id":16,"name":"Locomotive ID","value":"4026"},{"id":130,"name":"Impact","value":""},{"id":150,"name":"Time of Event (Mountain Time)","value":"07:07:26"},{"id":151,"name":"Denver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4026 --day 2017-05-22</v>
      </c>
      <c r="AN3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670</v>
      </c>
      <c r="B36" s="7">
        <v>4025</v>
      </c>
      <c r="C36" s="21" t="s">
        <v>206</v>
      </c>
      <c r="D36" s="21" t="s">
        <v>835</v>
      </c>
      <c r="E36" s="13">
        <v>42877.30028935185</v>
      </c>
      <c r="F36" s="13">
        <v>42877.310601851852</v>
      </c>
      <c r="G36" s="7">
        <v>7</v>
      </c>
      <c r="H36" s="21" t="s">
        <v>543</v>
      </c>
      <c r="I36" s="13">
        <v>42877.339050925926</v>
      </c>
      <c r="J36" s="7">
        <v>0</v>
      </c>
      <c r="K36" s="92" t="str">
        <f t="shared" si="0"/>
        <v>4025/4026</v>
      </c>
      <c r="L36" s="21" t="str">
        <f>VLOOKUP(A36,'Trips&amp;Operators'!$C$1:$G$99999,5,FALSE)</f>
        <v>WILLIAMS DONTE</v>
      </c>
      <c r="M36" s="6">
        <f t="shared" si="1"/>
        <v>2.8449074074160308E-2</v>
      </c>
      <c r="N36" s="7">
        <f t="shared" si="32"/>
        <v>40.966666666790843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-22T06:12:25-0600',mode:absolute,to:'2017-05-22T09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2" t="str">
        <f t="shared" si="6"/>
        <v>N</v>
      </c>
      <c r="X36" s="192">
        <f t="shared" si="27"/>
        <v>1</v>
      </c>
      <c r="Y36" s="192">
        <f t="shared" si="8"/>
        <v>23.313199999999998</v>
      </c>
      <c r="Z36" s="192">
        <f t="shared" si="9"/>
        <v>1.61E-2</v>
      </c>
      <c r="AA36" s="192">
        <f t="shared" si="10"/>
        <v>23.297099999999997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0124-22</v>
      </c>
      <c r="AE36" s="80" t="str">
        <f t="shared" si="12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36" s="77" t="str">
        <f t="shared" si="13"/>
        <v>"C:\Program Files (x86)\AstroGrep\AstroGrep.exe" /e /r /s /spath="%USERPROFILE%\AppData\Local\Temp\OnboardLogs" /stypes="app*4025*20170522*"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124-22 --locoid 4025 --swversion DE.1.0.9.0 --startMP 204:233132 --initTime 2017-05-22T07:12:25 --startdatetime 2017-05-22T07:27:16 --delay 7 --endMP 204:161 --enddatetime 2017-05-22T08:08:14 --enforcementcount 0 &gt;&gt;C:\Users\stu\Documents\GitHub\eaglep3-reporting\EC\2017-05-22-refined-times.txt</v>
      </c>
      <c r="AI3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{"issue":{"subject":"","project_id":79,"tracker_id":40,"status_id":1,"priority_id":2,"assigned_to_id":23,"start_date":"2017-05-22","description":"","custom_fields":[{"id":1,"name":"Subdivision","value":"EC"},{"id":4,"name":"Milepost","value":"0.0161"},{"id":17,"name":"Train ID","value":"124-22"},{"id":16,"name":"Locomotive ID","value":"4025"},{"id":130,"name":"Impact","value":""},{"id":150,"name":"Time of Event (Mountain Time)","value":"08:08:14"},{"id":151,"name":"Denver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4025 --day 2017-05-22</v>
      </c>
      <c r="AN3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664</v>
      </c>
      <c r="B37" s="7">
        <v>4006</v>
      </c>
      <c r="C37" s="21" t="s">
        <v>206</v>
      </c>
      <c r="D37" s="21" t="s">
        <v>836</v>
      </c>
      <c r="E37" s="13">
        <v>42877.276284722226</v>
      </c>
      <c r="F37" s="13">
        <v>42877.281493055554</v>
      </c>
      <c r="G37" s="7">
        <v>2</v>
      </c>
      <c r="H37" s="21" t="s">
        <v>536</v>
      </c>
      <c r="I37" s="13">
        <v>42877.306504629632</v>
      </c>
      <c r="J37" s="7">
        <v>0</v>
      </c>
      <c r="K37" s="92" t="str">
        <f t="shared" si="0"/>
        <v>4005/4006</v>
      </c>
      <c r="L37" s="21" t="str">
        <f>VLOOKUP(A37,'Trips&amp;Operators'!$C$1:$G$99999,5,FALSE)</f>
        <v>MOSES BRADLEY</v>
      </c>
      <c r="M37" s="6">
        <f t="shared" si="1"/>
        <v>2.5011574078234844E-2</v>
      </c>
      <c r="N37" s="7">
        <f t="shared" si="32"/>
        <v>36.016666672658175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-22T05:37:51-0600',mode:absolute,to:'2017-05-22T08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2" t="str">
        <f t="shared" si="6"/>
        <v>N</v>
      </c>
      <c r="X37" s="192">
        <f t="shared" si="27"/>
        <v>1</v>
      </c>
      <c r="Y37" s="192">
        <f t="shared" si="8"/>
        <v>4.3299999999999998E-2</v>
      </c>
      <c r="Z37" s="192">
        <f t="shared" si="9"/>
        <v>23.3278</v>
      </c>
      <c r="AA37" s="192">
        <f t="shared" si="10"/>
        <v>23.284500000000001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0125-22</v>
      </c>
      <c r="AE37" s="80" t="str">
        <f t="shared" si="12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37" s="77" t="str">
        <f t="shared" si="13"/>
        <v>"C:\Program Files (x86)\AstroGrep\AstroGrep.exe" /e /r /s /spath="%USERPROFILE%\AppData\Local\Temp\OnboardLogs" /stypes="app*4006*20170522*"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125-22 --locoid 4006 --swversion DE.1.0.9.0 --startMP 204:433 --initTime 2017-05-22T06:37:51 --startdatetime 2017-05-22T06:45:21 --delay 2 --endMP 204:233278 --enddatetime 2017-05-22T07:21:22 --enforcementcount 0 &gt;&gt;C:\Users\stu\Documents\GitHub\eaglep3-reporting\EC\2017-05-22-refined-times.txt</v>
      </c>
      <c r="AI3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{"issue":{"subject":"","project_id":79,"tracker_id":40,"status_id":1,"priority_id":2,"assigned_to_id":23,"start_date":"2017-05-22","description":"","custom_fields":[{"id":1,"name":"Subdivision","value":"EC"},{"id":4,"name":"Milepost","value":"23.3278"},{"id":17,"name":"Train ID","value":"125-22"},{"id":16,"name":"Locomotive ID","value":"4006"},{"id":130,"name":"Impact","value":""},{"id":150,"name":"Time of Event (Mountain Time)","value":"07:21:22"},{"id":151,"name":"Denver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4006 --day 2017-05-22</v>
      </c>
      <c r="AN3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673</v>
      </c>
      <c r="B38" s="7">
        <v>4005</v>
      </c>
      <c r="C38" s="21" t="s">
        <v>206</v>
      </c>
      <c r="D38" s="21" t="s">
        <v>837</v>
      </c>
      <c r="E38" s="13">
        <v>42877.314756944441</v>
      </c>
      <c r="F38" s="13">
        <v>42877.321076388886</v>
      </c>
      <c r="G38" s="7">
        <v>1</v>
      </c>
      <c r="H38" s="21" t="s">
        <v>355</v>
      </c>
      <c r="I38" s="13">
        <v>42877.347858796296</v>
      </c>
      <c r="J38" s="7">
        <v>0</v>
      </c>
      <c r="K38" s="92" t="str">
        <f t="shared" si="0"/>
        <v>4005/4006</v>
      </c>
      <c r="L38" s="21" t="str">
        <f>VLOOKUP(A38,'Trips&amp;Operators'!$C$1:$G$99999,5,FALSE)</f>
        <v>MOSES BRADLEY</v>
      </c>
      <c r="M38" s="6">
        <f t="shared" si="1"/>
        <v>2.6782407410792075E-2</v>
      </c>
      <c r="N38" s="7">
        <f t="shared" si="32"/>
        <v>38.566666671540588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-22T06:33:15-0600',mode:absolute,to:'2017-05-22T09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2" t="str">
        <f t="shared" si="6"/>
        <v>N</v>
      </c>
      <c r="X38" s="192">
        <f t="shared" si="27"/>
        <v>1</v>
      </c>
      <c r="Y38" s="192">
        <f t="shared" si="8"/>
        <v>23.296800000000001</v>
      </c>
      <c r="Z38" s="192">
        <f t="shared" si="9"/>
        <v>1.4999999999999999E-2</v>
      </c>
      <c r="AA38" s="192">
        <f t="shared" si="10"/>
        <v>23.2818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0126-22</v>
      </c>
      <c r="AE38" s="80" t="str">
        <f t="shared" si="12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38" s="77" t="str">
        <f t="shared" si="13"/>
        <v>"C:\Program Files (x86)\AstroGrep\AstroGrep.exe" /e /r /s /spath="%USERPROFILE%\AppData\Local\Temp\OnboardLogs" /stypes="app*4005*20170522*"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126-22 --locoid 4005 --swversion DE.1.0.9.0 --startMP 204:232968 --initTime 2017-05-22T07:33:15 --startdatetime 2017-05-22T07:42:21 --delay 1 --endMP 204:150 --enddatetime 2017-05-22T08:20:55 --enforcementcount 0 &gt;&gt;C:\Users\stu\Documents\GitHub\eaglep3-reporting\EC\2017-05-22-refined-times.txt</v>
      </c>
      <c r="AI3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{"issue":{"subject":"","project_id":79,"tracker_id":40,"status_id":1,"priority_id":2,"assigned_to_id":23,"start_date":"2017-05-22","description":"","custom_fields":[{"id":1,"name":"Subdivision","value":"EC"},{"id":4,"name":"Milepost","value":"0.015"},{"id":17,"name":"Train ID","value":"126-22"},{"id":16,"name":"Locomotive ID","value":"4005"},{"id":130,"name":"Impact","value":""},{"id":150,"name":"Time of Event (Mountain Time)","value":"08:20:55"},{"id":151,"name":"Denver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4005 --day 2017-05-22</v>
      </c>
      <c r="AN3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666</v>
      </c>
      <c r="B39" s="7">
        <v>4008</v>
      </c>
      <c r="C39" s="21" t="s">
        <v>206</v>
      </c>
      <c r="D39" s="21" t="s">
        <v>202</v>
      </c>
      <c r="E39" s="13">
        <v>42877.289224537039</v>
      </c>
      <c r="F39" s="13">
        <v>42877.291979166665</v>
      </c>
      <c r="G39" s="7">
        <v>1</v>
      </c>
      <c r="H39" s="21" t="s">
        <v>547</v>
      </c>
      <c r="I39" s="13">
        <v>42877.317118055558</v>
      </c>
      <c r="J39" s="7">
        <v>0</v>
      </c>
      <c r="K39" s="92" t="str">
        <f t="shared" si="0"/>
        <v>4007/4008</v>
      </c>
      <c r="L39" s="21" t="str">
        <f>VLOOKUP(A39,'Trips&amp;Operators'!$C$1:$G$99999,5,FALSE)</f>
        <v>HELVIE ADAM</v>
      </c>
      <c r="M39" s="6">
        <f t="shared" si="1"/>
        <v>2.513888889370719E-2</v>
      </c>
      <c r="N39" s="7">
        <f t="shared" si="32"/>
        <v>36.200000006938353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-22T05:56:29-0600',mode:absolute,to:'2017-05-22T08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2" t="str">
        <f t="shared" si="6"/>
        <v>N</v>
      </c>
      <c r="X39" s="192">
        <f t="shared" ref="X39:X102" si="33">VALUE(LEFT(AD39,4))-VALUE(LEFT(AD38,4))</f>
        <v>1</v>
      </c>
      <c r="Y39" s="192">
        <f t="shared" si="8"/>
        <v>4.5699999999999998E-2</v>
      </c>
      <c r="Z39" s="192">
        <f t="shared" si="9"/>
        <v>23.3276</v>
      </c>
      <c r="AA39" s="192">
        <f t="shared" si="10"/>
        <v>23.2819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0127-22</v>
      </c>
      <c r="AE39" s="80" t="str">
        <f t="shared" si="12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39" s="77" t="str">
        <f t="shared" si="13"/>
        <v>"C:\Program Files (x86)\AstroGrep\AstroGrep.exe" /e /r /s /spath="%USERPROFILE%\AppData\Local\Temp\OnboardLogs" /stypes="app*4008*20170522*"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127-22 --locoid 4008 --swversion DE.1.0.9.0 --startMP 204:457 --initTime 2017-05-22T06:56:29 --startdatetime 2017-05-22T07:00:27 --delay 1 --endMP 204:233276 --enddatetime 2017-05-22T07:36:39 --enforcementcount 0 &gt;&gt;C:\Users\stu\Documents\GitHub\eaglep3-reporting\EC\2017-05-22-refined-times.txt</v>
      </c>
      <c r="AI3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{"issue":{"subject":"","project_id":79,"tracker_id":40,"status_id":1,"priority_id":2,"assigned_to_id":23,"start_date":"2017-05-22","description":"","custom_fields":[{"id":1,"name":"Subdivision","value":"EC"},{"id":4,"name":"Milepost","value":"23.3276"},{"id":17,"name":"Train ID","value":"127-22"},{"id":16,"name":"Locomotive ID","value":"4008"},{"id":130,"name":"Impact","value":""},{"id":150,"name":"Time of Event (Mountain Time)","value":"07:36:39"},{"id":151,"name":"Denver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4008 --day 2017-05-22</v>
      </c>
      <c r="AN3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677</v>
      </c>
      <c r="B40" s="7">
        <v>4007</v>
      </c>
      <c r="C40" s="21" t="s">
        <v>206</v>
      </c>
      <c r="D40" s="21" t="s">
        <v>466</v>
      </c>
      <c r="E40" s="13">
        <v>42877.329594907409</v>
      </c>
      <c r="F40" s="13">
        <v>42877.331412037034</v>
      </c>
      <c r="G40" s="7">
        <v>1</v>
      </c>
      <c r="H40" s="21" t="s">
        <v>838</v>
      </c>
      <c r="I40" s="13">
        <v>42877.357129629629</v>
      </c>
      <c r="J40" s="7">
        <v>0</v>
      </c>
      <c r="K40" s="92" t="str">
        <f t="shared" si="0"/>
        <v>4007/4008</v>
      </c>
      <c r="L40" s="21" t="str">
        <f>VLOOKUP(A40,'Trips&amp;Operators'!$C$1:$G$99999,5,FALSE)</f>
        <v>HELVIE ADAM</v>
      </c>
      <c r="M40" s="6">
        <f t="shared" si="1"/>
        <v>2.5717592594446614E-2</v>
      </c>
      <c r="N40" s="7">
        <f t="shared" si="32"/>
        <v>37.033333336003125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-22T06:54:37-0600',mode:absolute,to:'2017-05-22T09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2" t="str">
        <f t="shared" si="6"/>
        <v>N</v>
      </c>
      <c r="X40" s="192">
        <f t="shared" si="33"/>
        <v>1</v>
      </c>
      <c r="Y40" s="192">
        <f t="shared" si="8"/>
        <v>23.296500000000002</v>
      </c>
      <c r="Z40" s="192">
        <f t="shared" si="9"/>
        <v>1.6299999999999999E-2</v>
      </c>
      <c r="AA40" s="192">
        <f t="shared" si="10"/>
        <v>23.280200000000001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0128-22</v>
      </c>
      <c r="AE40" s="80" t="str">
        <f t="shared" si="12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40" s="77" t="str">
        <f t="shared" si="13"/>
        <v>"C:\Program Files (x86)\AstroGrep\AstroGrep.exe" /e /r /s /spath="%USERPROFILE%\AppData\Local\Temp\OnboardLogs" /stypes="app*4007*20170522*"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128-22 --locoid 4007 --swversion DE.1.0.9.0 --startMP 204:232965 --initTime 2017-05-22T07:54:37 --startdatetime 2017-05-22T07:57:14 --delay 1 --endMP 204:163 --enddatetime 2017-05-22T08:34:16 --enforcementcount 0 &gt;&gt;C:\Users\stu\Documents\GitHub\eaglep3-reporting\EC\2017-05-22-refined-times.txt</v>
      </c>
      <c r="AI40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{"issue":{"subject":"","project_id":79,"tracker_id":40,"status_id":1,"priority_id":2,"assigned_to_id":23,"start_date":"2017-05-22","description":"","custom_fields":[{"id":1,"name":"Subdivision","value":"EC"},{"id":4,"name":"Milepost","value":"0.0163"},{"id":17,"name":"Train ID","value":"128-22"},{"id":16,"name":"Locomotive ID","value":"4007"},{"id":130,"name":"Impact","value":""},{"id":150,"name":"Time of Event (Mountain Time)","value":"08:34:16"},{"id":151,"name":"Denver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4007 --day 2017-05-22</v>
      </c>
      <c r="AN40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667</v>
      </c>
      <c r="B41" s="7">
        <v>4032</v>
      </c>
      <c r="C41" s="21" t="s">
        <v>206</v>
      </c>
      <c r="D41" s="21" t="s">
        <v>347</v>
      </c>
      <c r="E41" s="13">
        <v>42877.299351851849</v>
      </c>
      <c r="F41" s="13">
        <v>42877.302245370367</v>
      </c>
      <c r="G41" s="7">
        <v>1</v>
      </c>
      <c r="H41" s="21" t="s">
        <v>528</v>
      </c>
      <c r="I41" s="13">
        <v>42877.327523148146</v>
      </c>
      <c r="J41" s="7">
        <v>0</v>
      </c>
      <c r="K41" s="92" t="str">
        <f t="shared" si="0"/>
        <v>4031/4032</v>
      </c>
      <c r="L41" s="21" t="str">
        <f>VLOOKUP(A41,'Trips&amp;Operators'!$C$1:$G$99999,5,FALSE)</f>
        <v>BONDS REYNALDO</v>
      </c>
      <c r="M41" s="6">
        <f t="shared" si="1"/>
        <v>2.527777777868323E-2</v>
      </c>
      <c r="N41" s="7">
        <f t="shared" si="32"/>
        <v>36.400000001303852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-22T06:11:04-0600',mode:absolute,to:'2017-05-22T08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92" t="str">
        <f t="shared" si="6"/>
        <v>N</v>
      </c>
      <c r="X41" s="192">
        <f t="shared" si="33"/>
        <v>1</v>
      </c>
      <c r="Y41" s="192">
        <f t="shared" si="8"/>
        <v>4.4900000000000002E-2</v>
      </c>
      <c r="Z41" s="192">
        <f t="shared" si="9"/>
        <v>23.331</v>
      </c>
      <c r="AA41" s="192">
        <f t="shared" si="10"/>
        <v>23.286100000000001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0129-22</v>
      </c>
      <c r="AE41" s="80" t="str">
        <f t="shared" si="12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41" s="77" t="str">
        <f t="shared" si="13"/>
        <v>"C:\Program Files (x86)\AstroGrep\AstroGrep.exe" /e /r /s /spath="%USERPROFILE%\AppData\Local\Temp\OnboardLogs" /stypes="app*4032*20170522*"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129-22 --locoid 4032 --swversion DE.1.0.9.0 --startMP 204:449 --initTime 2017-05-22T07:11:04 --startdatetime 2017-05-22T07:15:14 --delay 1 --endMP 204:233310 --enddatetime 2017-05-22T07:51:38 --enforcementcount 0 &gt;&gt;C:\Users\stu\Documents\GitHub\eaglep3-reporting\EC\2017-05-22-refined-times.txt</v>
      </c>
      <c r="AI41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{"issue":{"subject":"","project_id":79,"tracker_id":40,"status_id":1,"priority_id":2,"assigned_to_id":23,"start_date":"2017-05-22","description":"","custom_fields":[{"id":1,"name":"Subdivision","value":"EC"},{"id":4,"name":"Milepost","value":"23.331"},{"id":17,"name":"Train ID","value":"129-22"},{"id":16,"name":"Locomotive ID","value":"4032"},{"id":130,"name":"Impact","value":""},{"id":150,"name":"Time of Event (Mountain Time)","value":"07:51:38"},{"id":151,"name":"Denver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4032 --day 2017-05-22</v>
      </c>
      <c r="AN41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680</v>
      </c>
      <c r="B42" s="7">
        <v>4031</v>
      </c>
      <c r="C42" s="21" t="s">
        <v>206</v>
      </c>
      <c r="D42" s="21" t="s">
        <v>416</v>
      </c>
      <c r="E42" s="13">
        <v>42877.338969907411</v>
      </c>
      <c r="F42" s="13">
        <v>42877.342048611114</v>
      </c>
      <c r="G42" s="7">
        <v>1</v>
      </c>
      <c r="H42" s="21" t="s">
        <v>355</v>
      </c>
      <c r="I42" s="13">
        <v>42877.368831018517</v>
      </c>
      <c r="J42" s="7">
        <v>0</v>
      </c>
      <c r="K42" s="92" t="str">
        <f t="shared" si="0"/>
        <v>4031/4032</v>
      </c>
      <c r="L42" s="21" t="str">
        <f>VLOOKUP(A42,'Trips&amp;Operators'!$C$1:$G$99999,5,FALSE)</f>
        <v>BONDS REYNALDO</v>
      </c>
      <c r="M42" s="6">
        <f t="shared" si="1"/>
        <v>2.6782407403516117E-2</v>
      </c>
      <c r="N42" s="7">
        <f t="shared" si="32"/>
        <v>38.566666661063209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-22T07:08:07-0600',mode:absolute,to:'2017-05-22T09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92" t="str">
        <f t="shared" si="6"/>
        <v>N</v>
      </c>
      <c r="X42" s="192">
        <f t="shared" si="33"/>
        <v>1</v>
      </c>
      <c r="Y42" s="192">
        <f t="shared" si="8"/>
        <v>23.2974</v>
      </c>
      <c r="Z42" s="192">
        <f t="shared" si="9"/>
        <v>1.4999999999999999E-2</v>
      </c>
      <c r="AA42" s="192">
        <f t="shared" si="10"/>
        <v>23.282399999999999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0130-22</v>
      </c>
      <c r="AE42" s="80" t="str">
        <f t="shared" si="12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42" s="77" t="str">
        <f t="shared" si="13"/>
        <v>"C:\Program Files (x86)\AstroGrep\AstroGrep.exe" /e /r /s /spath="%USERPROFILE%\AppData\Local\Temp\OnboardLogs" /stypes="app*4031*20170522*"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130-22 --locoid 4031 --swversion DE.1.0.9.0 --startMP 204:232974 --initTime 2017-05-22T08:08:07 --startdatetime 2017-05-22T08:12:33 --delay 1 --endMP 204:150 --enddatetime 2017-05-22T08:51:07 --enforcementcount 0 &gt;&gt;C:\Users\stu\Documents\GitHub\eaglep3-reporting\EC\2017-05-22-refined-times.txt</v>
      </c>
      <c r="AI42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{"issue":{"subject":"","project_id":79,"tracker_id":40,"status_id":1,"priority_id":2,"assigned_to_id":23,"start_date":"2017-05-22","description":"","custom_fields":[{"id":1,"name":"Subdivision","value":"EC"},{"id":4,"name":"Milepost","value":"0.015"},{"id":17,"name":"Train ID","value":"130-22"},{"id":16,"name":"Locomotive ID","value":"4031"},{"id":130,"name":"Impact","value":""},{"id":150,"name":"Time of Event (Mountain Time)","value":"08:51:07"},{"id":151,"name":"Denver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4031 --day 2017-05-22</v>
      </c>
      <c r="AN42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4010</v>
      </c>
      <c r="C43" s="21" t="s">
        <v>206</v>
      </c>
      <c r="D43" s="21" t="s">
        <v>405</v>
      </c>
      <c r="E43" s="13">
        <v>42877.306990740741</v>
      </c>
      <c r="F43" s="13">
        <v>42877.312916666669</v>
      </c>
      <c r="G43" s="7">
        <v>1</v>
      </c>
      <c r="H43" s="21" t="s">
        <v>453</v>
      </c>
      <c r="I43" s="13">
        <v>42877.337002314816</v>
      </c>
      <c r="J43" s="7">
        <v>0</v>
      </c>
      <c r="K43" s="92" t="str">
        <f t="shared" si="0"/>
        <v>4009/4010</v>
      </c>
      <c r="L43" s="21" t="str">
        <f>VLOOKUP(A43,'Trips&amp;Operators'!$C$1:$G$99999,5,FALSE)</f>
        <v>MACDONALD THOMAS</v>
      </c>
      <c r="M43" s="6">
        <f t="shared" si="1"/>
        <v>2.4085648146865424E-2</v>
      </c>
      <c r="N43" s="7">
        <f t="shared" si="32"/>
        <v>34.68333333148621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-22T06:22:04-0600',mode:absolute,to:'2017-05-22T09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92" t="str">
        <f t="shared" si="6"/>
        <v>N</v>
      </c>
      <c r="X43" s="192">
        <f t="shared" si="33"/>
        <v>1</v>
      </c>
      <c r="Y43" s="192">
        <f t="shared" si="8"/>
        <v>4.6199999999999998E-2</v>
      </c>
      <c r="Z43" s="192">
        <f t="shared" si="9"/>
        <v>23.330100000000002</v>
      </c>
      <c r="AA43" s="192">
        <f t="shared" si="10"/>
        <v>23.283900000000003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0131-22</v>
      </c>
      <c r="AE43" s="80" t="str">
        <f t="shared" si="12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43" s="77" t="str">
        <f t="shared" si="13"/>
        <v>"C:\Program Files (x86)\AstroGrep\AstroGrep.exe" /e /r /s /spath="%USERPROFILE%\AppData\Local\Temp\OnboardLogs" /stypes="app*4010*20170522*"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131-22 --locoid 4010 --swversion DE.1.0.9.0 --startMP 204:462 --initTime 2017-05-22T07:22:04 --startdatetime 2017-05-22T07:30:36 --delay 1 --endMP 204:233301 --enddatetime 2017-05-22T08:05:17 --enforcementcount 0 &gt;&gt;C:\Users\stu\Documents\GitHub\eaglep3-reporting\EC\2017-05-22-refined-times.txt</v>
      </c>
      <c r="AI43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{"issue":{"subject":"","project_id":79,"tracker_id":40,"status_id":1,"priority_id":2,"assigned_to_id":23,"start_date":"2017-05-22","description":"","custom_fields":[{"id":1,"name":"Subdivision","value":"EC"},{"id":4,"name":"Milepost","value":"23.3301"},{"id":17,"name":"Train ID","value":"131-22"},{"id":16,"name":"Locomotive ID","value":"4010"},{"id":130,"name":"Impact","value":""},{"id":150,"name":"Time of Event (Mountain Time)","value":"08:05:17"},{"id":151,"name":"Denver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4010 --day 2017-05-22</v>
      </c>
      <c r="AN43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580</v>
      </c>
      <c r="B44" s="7">
        <v>4009</v>
      </c>
      <c r="C44" s="21" t="s">
        <v>206</v>
      </c>
      <c r="D44" s="21" t="s">
        <v>839</v>
      </c>
      <c r="E44" s="13">
        <v>42877.347534722219</v>
      </c>
      <c r="F44" s="13">
        <v>42877.352314814816</v>
      </c>
      <c r="G44" s="7">
        <v>2</v>
      </c>
      <c r="H44" s="21" t="s">
        <v>356</v>
      </c>
      <c r="I44" s="13">
        <v>42877.378310185188</v>
      </c>
      <c r="J44" s="7">
        <v>0</v>
      </c>
      <c r="K44" s="92" t="str">
        <f t="shared" si="0"/>
        <v>4009/4010</v>
      </c>
      <c r="L44" s="21" t="str">
        <f>VLOOKUP(A44,'Trips&amp;Operators'!$C$1:$G$99999,5,FALSE)</f>
        <v>MACDONALD THOMAS</v>
      </c>
      <c r="M44" s="6">
        <f t="shared" si="1"/>
        <v>2.5995370371674653E-2</v>
      </c>
      <c r="N44" s="7">
        <f t="shared" si="32"/>
        <v>37.433333335211501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-22T07:20:27-0600',mode:absolute,to:'2017-05-22T10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4" s="192" t="str">
        <f t="shared" si="6"/>
        <v>N</v>
      </c>
      <c r="X44" s="192">
        <f t="shared" si="33"/>
        <v>1</v>
      </c>
      <c r="Y44" s="192">
        <f t="shared" si="8"/>
        <v>23.297499999999999</v>
      </c>
      <c r="Z44" s="192">
        <f t="shared" si="9"/>
        <v>1.49E-2</v>
      </c>
      <c r="AA44" s="192">
        <f t="shared" si="10"/>
        <v>23.282599999999999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0132-22</v>
      </c>
      <c r="AE44" s="80" t="str">
        <f t="shared" si="12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44" s="77" t="str">
        <f t="shared" si="13"/>
        <v>"C:\Program Files (x86)\AstroGrep\AstroGrep.exe" /e /r /s /spath="%USERPROFILE%\AppData\Local\Temp\OnboardLogs" /stypes="app*4009*20170522*"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132-22 --locoid 4009 --swversion DE.1.0.9.0 --startMP 204:232975 --initTime 2017-05-22T08:20:27 --startdatetime 2017-05-22T08:27:20 --delay 2 --endMP 204:149 --enddatetime 2017-05-22T09:04:46 --enforcementcount 0 &gt;&gt;C:\Users\stu\Documents\GitHub\eaglep3-reporting\EC\2017-05-22-refined-times.txt</v>
      </c>
      <c r="AI44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ID","value":"132-22"},{"id":16,"name":"Locomotive ID","value":"4009"},{"id":130,"name":"Impact","value":""},{"id":150,"name":"Time of Event (Mountain Time)","value":"09:04:46"},{"id":151,"name":"Denver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4009 --day 2017-05-22</v>
      </c>
      <c r="AN44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676</v>
      </c>
      <c r="B45" s="7">
        <v>4022</v>
      </c>
      <c r="C45" s="21" t="s">
        <v>206</v>
      </c>
      <c r="D45" s="21" t="s">
        <v>202</v>
      </c>
      <c r="E45" s="13">
        <v>42877.321122685185</v>
      </c>
      <c r="F45" s="13">
        <v>42877.323240740741</v>
      </c>
      <c r="G45" s="7">
        <v>1</v>
      </c>
      <c r="H45" s="21" t="s">
        <v>840</v>
      </c>
      <c r="I45" s="13">
        <v>42877.348298611112</v>
      </c>
      <c r="J45" s="7">
        <v>0</v>
      </c>
      <c r="K45" s="92" t="str">
        <f t="shared" si="0"/>
        <v>4021/4022</v>
      </c>
      <c r="L45" s="21" t="str">
        <f>VLOOKUP(A45,'Trips&amp;Operators'!$C$1:$G$99999,5,FALSE)</f>
        <v>MAYBERRY BILL</v>
      </c>
      <c r="M45" s="6">
        <f t="shared" si="1"/>
        <v>2.5057870370801538E-2</v>
      </c>
      <c r="N45" s="7">
        <f t="shared" si="32"/>
        <v>36.083333333954215</v>
      </c>
      <c r="O45" s="7"/>
      <c r="P45" s="7"/>
      <c r="Q45" s="22"/>
      <c r="R45" s="190"/>
      <c r="S45" s="196">
        <f t="shared" ref="S45:S76" si="34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-22T06:42:25-0600',mode:absolute,to:'2017-05-22T09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92" t="str">
        <f t="shared" si="6"/>
        <v>N</v>
      </c>
      <c r="X45" s="192">
        <f t="shared" si="33"/>
        <v>1</v>
      </c>
      <c r="Y45" s="192">
        <f t="shared" si="8"/>
        <v>4.5699999999999998E-2</v>
      </c>
      <c r="Z45" s="192">
        <f t="shared" si="9"/>
        <v>23.330400000000001</v>
      </c>
      <c r="AA45" s="192">
        <f t="shared" si="10"/>
        <v>23.284700000000001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0133-22</v>
      </c>
      <c r="AE45" s="80" t="str">
        <f t="shared" si="12"/>
        <v>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 &amp; 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</v>
      </c>
      <c r="AF45" s="77" t="str">
        <f t="shared" si="13"/>
        <v>"C:\Program Files (x86)\AstroGrep\AstroGrep.exe" /e /r /s /spath="%USERPROFILE%\AppData\Local\Temp\OnboardLogs" /stypes="app*4022*20170522*"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133-22 --locoid 4022 --swversion DE.1.0.9.0 --startMP 204:457 --initTime 2017-05-22T07:42:25 --startdatetime 2017-05-22T07:45:28 --delay 1 --endMP 204:233304 --enddatetime 2017-05-22T08:21:33 --enforcementcount 0 &gt;&gt;C:\Users\stu\Documents\GitHub\eaglep3-reporting\EC\2017-05-22-refined-times.txt</v>
      </c>
      <c r="AI4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{"issue":{"subject":"","project_id":79,"tracker_id":40,"status_id":1,"priority_id":2,"assigned_to_id":23,"start_date":"2017-05-22","description":"","custom_fields":[{"id":1,"name":"Subdivision","value":"EC"},{"id":4,"name":"Milepost","value":"23.3304"},{"id":17,"name":"Train ID","value":"133-22"},{"id":16,"name":"Locomotive ID","value":"4022"},{"id":130,"name":"Impact","value":""},{"id":150,"name":"Time of Event (Mountain Time)","value":"08:21:33"},{"id":151,"name":"Denver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4022 --day 2017-05-22</v>
      </c>
      <c r="AN4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683</v>
      </c>
      <c r="B46" s="7">
        <v>4021</v>
      </c>
      <c r="C46" s="21" t="s">
        <v>206</v>
      </c>
      <c r="D46" s="21" t="s">
        <v>489</v>
      </c>
      <c r="E46" s="13">
        <v>42877.350439814814</v>
      </c>
      <c r="F46" s="13">
        <v>42877.362905092596</v>
      </c>
      <c r="G46" s="7">
        <v>1</v>
      </c>
      <c r="H46" s="21" t="s">
        <v>197</v>
      </c>
      <c r="I46" s="13">
        <v>42877.388993055552</v>
      </c>
      <c r="J46" s="7">
        <v>0</v>
      </c>
      <c r="K46" s="92" t="str">
        <f t="shared" si="0"/>
        <v>4021/4022</v>
      </c>
      <c r="L46" s="21" t="str">
        <f>VLOOKUP(A46,'Trips&amp;Operators'!$C$1:$G$99999,5,FALSE)</f>
        <v>MAYBERRY BILL</v>
      </c>
      <c r="M46" s="6">
        <f t="shared" si="1"/>
        <v>2.6087962956808042E-2</v>
      </c>
      <c r="N46" s="7">
        <f t="shared" si="32"/>
        <v>37.56666665780358</v>
      </c>
      <c r="O46" s="7"/>
      <c r="P46" s="7"/>
      <c r="Q46" s="22"/>
      <c r="R46" s="190"/>
      <c r="S46" s="196">
        <f t="shared" si="3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-22T07:24:38-0600',mode:absolute,to:'2017-05-22T10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92" t="str">
        <f t="shared" si="6"/>
        <v>N</v>
      </c>
      <c r="X46" s="192">
        <f t="shared" si="33"/>
        <v>1</v>
      </c>
      <c r="Y46" s="192">
        <f t="shared" si="8"/>
        <v>23.298500000000001</v>
      </c>
      <c r="Z46" s="192">
        <f t="shared" si="9"/>
        <v>1.52E-2</v>
      </c>
      <c r="AA46" s="192">
        <f t="shared" si="10"/>
        <v>23.283300000000001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0134-22</v>
      </c>
      <c r="AE46" s="80" t="str">
        <f t="shared" si="12"/>
        <v>aws s3 cp s3://rtdc.mdm.uploadarchive.raw/RTDC4021/ "%USERPROFILE%\AppData\Local\Temp\OnboardLogs"\RTDC4021\2017-05-22 --exclude "*" --recursive --include "*20170522*" &amp; "%USERPROFILE%\Documents\GitHub\mrs-test-scripts\Headless Mode &amp; Sideloading\WalkAndUnGZ.bat" "%USERPROFILE%\AppData\Local\Temp\OnboardLogs"\RTDC4021\2017-05-22 &amp; 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</v>
      </c>
      <c r="AF46" s="77" t="str">
        <f t="shared" si="13"/>
        <v>"C:\Program Files (x86)\AstroGrep\AstroGrep.exe" /e /r /s /spath="%USERPROFILE%\AppData\Local\Temp\OnboardLogs" /stypes="app*4021*20170522*"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134-22 --locoid 4021 --swversion DE.1.0.9.0 --startMP 204:232985 --initTime 2017-05-22T08:24:38 --startdatetime 2017-05-22T08:42:35 --delay 1 --endMP 204:152 --enddatetime 2017-05-22T09:20:09 --enforcementcount 0 &gt;&gt;C:\Users\stu\Documents\GitHub\eaglep3-reporting\EC\2017-05-22-refined-times.txt</v>
      </c>
      <c r="AI4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{"issue":{"subject":"","project_id":79,"tracker_id":40,"status_id":1,"priority_id":2,"assigned_to_id":23,"start_date":"2017-05-22","description":"","custom_fields":[{"id":1,"name":"Subdivision","value":"EC"},{"id":4,"name":"Milepost","value":"0.0152"},{"id":17,"name":"Train ID","value":"134-22"},{"id":16,"name":"Locomotive ID","value":"4021"},{"id":130,"name":"Impact","value":""},{"id":150,"name":"Time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4021 --day 2017-05-22</v>
      </c>
      <c r="AN4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678</v>
      </c>
      <c r="B47" s="7">
        <v>4014</v>
      </c>
      <c r="C47" s="21" t="s">
        <v>206</v>
      </c>
      <c r="D47" s="21" t="s">
        <v>363</v>
      </c>
      <c r="E47" s="13">
        <v>42877.329340277778</v>
      </c>
      <c r="F47" s="13">
        <v>42877.333553240744</v>
      </c>
      <c r="G47" s="7">
        <v>2</v>
      </c>
      <c r="H47" s="21" t="s">
        <v>534</v>
      </c>
      <c r="I47" s="13">
        <v>42877.357916666668</v>
      </c>
      <c r="J47" s="7">
        <v>0</v>
      </c>
      <c r="K47" s="92" t="str">
        <f t="shared" si="0"/>
        <v>4013/4014</v>
      </c>
      <c r="L47" s="21" t="str">
        <f>VLOOKUP(A47,'Trips&amp;Operators'!$C$1:$G$99999,5,FALSE)</f>
        <v>LALONDE GREGORY</v>
      </c>
      <c r="M47" s="6">
        <f t="shared" si="1"/>
        <v>2.4363425924093463E-2</v>
      </c>
      <c r="N47" s="7">
        <f t="shared" si="32"/>
        <v>35.083333330694586</v>
      </c>
      <c r="O47" s="7"/>
      <c r="P47" s="7"/>
      <c r="Q47" s="22"/>
      <c r="R47" s="190"/>
      <c r="S47" s="196">
        <f t="shared" si="3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-22T06:54:15-0600',mode:absolute,to:'2017-05-22T09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92" t="str">
        <f t="shared" si="6"/>
        <v>N</v>
      </c>
      <c r="X47" s="192">
        <f t="shared" si="33"/>
        <v>1</v>
      </c>
      <c r="Y47" s="192">
        <f t="shared" si="8"/>
        <v>4.53E-2</v>
      </c>
      <c r="Z47" s="192">
        <f t="shared" si="9"/>
        <v>23.3322</v>
      </c>
      <c r="AA47" s="192">
        <f t="shared" si="10"/>
        <v>23.286899999999999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0135-22</v>
      </c>
      <c r="AE47" s="80" t="str">
        <f t="shared" si="12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47" s="77" t="str">
        <f t="shared" si="13"/>
        <v>"C:\Program Files (x86)\AstroGrep\AstroGrep.exe" /e /r /s /spath="%USERPROFILE%\AppData\Local\Temp\OnboardLogs" /stypes="app*4014*20170522*"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135-22 --locoid 4014 --swversion DE.1.0.9.0 --startMP 204:453 --initTime 2017-05-22T07:54:15 --startdatetime 2017-05-22T08:00:19 --delay 2 --endMP 204:233322 --enddatetime 2017-05-22T08:35:24 --enforcementcount 0 &gt;&gt;C:\Users\stu\Documents\GitHub\eaglep3-reporting\EC\2017-05-22-refined-times.txt</v>
      </c>
      <c r="AI4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{"issue":{"subject":"","project_id":79,"tracker_id":40,"status_id":1,"priority_id":2,"assigned_to_id":23,"start_date":"2017-05-22","description":"","custom_fields":[{"id":1,"name":"Subdivision","value":"EC"},{"id":4,"name":"Milepost","value":"23.3322"},{"id":17,"name":"Train ID","value":"135-22"},{"id":16,"name":"Locomotive ID","value":"4014"},{"id":130,"name":"Impact","value":""},{"id":150,"name":"Time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4014 --day 2017-05-22</v>
      </c>
      <c r="AN4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686</v>
      </c>
      <c r="B48" s="7">
        <v>4013</v>
      </c>
      <c r="C48" s="21" t="s">
        <v>206</v>
      </c>
      <c r="D48" s="21" t="s">
        <v>841</v>
      </c>
      <c r="E48" s="13">
        <v>42877.364270833335</v>
      </c>
      <c r="F48" s="13">
        <v>42877.373090277775</v>
      </c>
      <c r="G48" s="7">
        <v>1</v>
      </c>
      <c r="H48" s="21" t="s">
        <v>355</v>
      </c>
      <c r="I48" s="13">
        <v>42877.3987037037</v>
      </c>
      <c r="J48" s="7">
        <v>0</v>
      </c>
      <c r="K48" s="92" t="str">
        <f t="shared" si="0"/>
        <v>4013/4014</v>
      </c>
      <c r="L48" s="21" t="str">
        <f>VLOOKUP(A48,'Trips&amp;Operators'!$C$1:$G$99999,5,FALSE)</f>
        <v>LALONDE GREGORY</v>
      </c>
      <c r="M48" s="6">
        <f t="shared" si="1"/>
        <v>2.5613425925257616E-2</v>
      </c>
      <c r="N48" s="7">
        <f t="shared" si="32"/>
        <v>36.883333332370967</v>
      </c>
      <c r="O48" s="7"/>
      <c r="P48" s="7"/>
      <c r="Q48" s="22"/>
      <c r="R48" s="190"/>
      <c r="S48" s="196">
        <f t="shared" si="3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-22T07:44:33-0600',mode:absolute,to:'2017-05-22T10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192" t="str">
        <f t="shared" si="6"/>
        <v>N</v>
      </c>
      <c r="X48" s="192">
        <f t="shared" si="33"/>
        <v>1</v>
      </c>
      <c r="Y48" s="192">
        <f t="shared" si="8"/>
        <v>23.300699999999999</v>
      </c>
      <c r="Z48" s="192">
        <f t="shared" si="9"/>
        <v>1.4999999999999999E-2</v>
      </c>
      <c r="AA48" s="192">
        <f t="shared" si="10"/>
        <v>23.285699999999999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0136-22</v>
      </c>
      <c r="AE48" s="80" t="str">
        <f t="shared" si="12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48" s="77" t="str">
        <f t="shared" si="13"/>
        <v>"C:\Program Files (x86)\AstroGrep\AstroGrep.exe" /e /r /s /spath="%USERPROFILE%\AppData\Local\Temp\OnboardLogs" /stypes="app*4013*20170522*"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136-22 --locoid 4013 --swversion DE.1.0.9.0 --startMP 204:233007 --initTime 2017-05-22T08:44:33 --startdatetime 2017-05-22T08:57:15 --delay 1 --endMP 204:150 --enddatetime 2017-05-22T09:34:08 --enforcementcount 0 &gt;&gt;C:\Users\stu\Documents\GitHub\eaglep3-reporting\EC\2017-05-22-refined-times.txt</v>
      </c>
      <c r="AI4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{"issue":{"subject":"","project_id":79,"tracker_id":40,"status_id":1,"priority_id":2,"assigned_to_id":23,"start_date":"2017-05-22","description":"","custom_fields":[{"id":1,"name":"Subdivision","value":"EC"},{"id":4,"name":"Milepost","value":"0.015"},{"id":17,"name":"Train ID","value":"136-22"},{"id":16,"name":"Locomotive ID","value":"4013"},{"id":130,"name":"Impact","value":""},{"id":150,"name":"Time of Event (Mountain Time)","value":"09:34:08"},{"id":151,"name":"Denver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4013 --day 2017-05-22</v>
      </c>
      <c r="AN4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579</v>
      </c>
      <c r="B49" s="7">
        <v>4026</v>
      </c>
      <c r="C49" s="21" t="s">
        <v>206</v>
      </c>
      <c r="D49" s="21" t="s">
        <v>529</v>
      </c>
      <c r="E49" s="13">
        <v>42877.341446759259</v>
      </c>
      <c r="F49" s="13">
        <v>42877.343923611108</v>
      </c>
      <c r="G49" s="7">
        <v>1</v>
      </c>
      <c r="H49" s="21" t="s">
        <v>546</v>
      </c>
      <c r="I49" s="13">
        <v>42877.369571759256</v>
      </c>
      <c r="J49" s="7">
        <v>0</v>
      </c>
      <c r="K49" s="92" t="str">
        <f t="shared" si="0"/>
        <v>4025/4026</v>
      </c>
      <c r="L49" s="21" t="str">
        <f>VLOOKUP(A49,'Trips&amp;Operators'!$C$1:$G$99999,5,FALSE)</f>
        <v>WILLIAMS DONTE</v>
      </c>
      <c r="M49" s="6">
        <f t="shared" si="1"/>
        <v>2.5648148148320615E-2</v>
      </c>
      <c r="N49" s="7">
        <f t="shared" si="32"/>
        <v>36.933333333581686</v>
      </c>
      <c r="O49" s="7"/>
      <c r="P49" s="7"/>
      <c r="Q49" s="22"/>
      <c r="R49" s="190"/>
      <c r="S49" s="196">
        <f t="shared" si="3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-22T07:11:41-0600',mode:absolute,to:'2017-05-22T09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2" t="str">
        <f t="shared" si="6"/>
        <v>N</v>
      </c>
      <c r="X49" s="192">
        <f t="shared" si="33"/>
        <v>1</v>
      </c>
      <c r="Y49" s="192">
        <f t="shared" si="8"/>
        <v>4.6699999999999998E-2</v>
      </c>
      <c r="Z49" s="192">
        <f t="shared" si="9"/>
        <v>23.336300000000001</v>
      </c>
      <c r="AA49" s="192">
        <f t="shared" si="10"/>
        <v>23.2896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0137-22</v>
      </c>
      <c r="AE49" s="80" t="str">
        <f t="shared" si="12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49" s="77" t="str">
        <f t="shared" si="13"/>
        <v>"C:\Program Files (x86)\AstroGrep\AstroGrep.exe" /e /r /s /spath="%USERPROFILE%\AppData\Local\Temp\OnboardLogs" /stypes="app*4026*20170522*"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137-22 --locoid 4026 --swversion DE.1.0.9.0 --startMP 204:467 --initTime 2017-05-22T08:11:41 --startdatetime 2017-05-22T08:15:15 --delay 1 --endMP 204:233363 --enddatetime 2017-05-22T08:52:11 --enforcementcount 0 &gt;&gt;C:\Users\stu\Documents\GitHub\eaglep3-reporting\EC\2017-05-22-refined-times.txt</v>
      </c>
      <c r="AI4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{"issue":{"subject":"","project_id":79,"tracker_id":40,"status_id":1,"priority_id":2,"assigned_to_id":23,"start_date":"2017-05-22","description":"","custom_fields":[{"id":1,"name":"Subdivision","value":"EC"},{"id":4,"name":"Milepost","value":"23.3363"},{"id":17,"name":"Train ID","value":"137-22"},{"id":16,"name":"Locomotive ID","value":"4026"},{"id":130,"name":"Impact","value":""},{"id":150,"name":"Time of Event (Mountain Time)","value":"08:52:11"},{"id":151,"name":"Denver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4026 --day 2017-05-22</v>
      </c>
      <c r="AN4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688</v>
      </c>
      <c r="B50" s="7">
        <v>4025</v>
      </c>
      <c r="C50" s="21" t="s">
        <v>206</v>
      </c>
      <c r="D50" s="21" t="s">
        <v>533</v>
      </c>
      <c r="E50" s="13">
        <v>42877.372430555559</v>
      </c>
      <c r="F50" s="13">
        <v>42877.383587962962</v>
      </c>
      <c r="G50" s="7">
        <v>1</v>
      </c>
      <c r="H50" s="21" t="s">
        <v>828</v>
      </c>
      <c r="I50" s="13">
        <v>42877.411076388889</v>
      </c>
      <c r="J50" s="7">
        <v>0</v>
      </c>
      <c r="K50" s="92" t="str">
        <f t="shared" si="0"/>
        <v>4025/4026</v>
      </c>
      <c r="L50" s="21" t="str">
        <f>VLOOKUP(A50,'Trips&amp;Operators'!$C$1:$G$99999,5,FALSE)</f>
        <v>WILLIAMS DONTE</v>
      </c>
      <c r="M50" s="6">
        <f t="shared" si="1"/>
        <v>2.7488425927003846E-2</v>
      </c>
      <c r="N50" s="7">
        <f t="shared" si="32"/>
        <v>39.583333334885538</v>
      </c>
      <c r="O50" s="7"/>
      <c r="P50" s="7"/>
      <c r="Q50" s="22"/>
      <c r="R50" s="190"/>
      <c r="S50" s="196">
        <f t="shared" si="3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-22T07:56:18-0600',mode:absolute,to:'2017-05-22T10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2" t="str">
        <f t="shared" si="6"/>
        <v>N</v>
      </c>
      <c r="X50" s="192">
        <f t="shared" si="33"/>
        <v>1</v>
      </c>
      <c r="Y50" s="192">
        <f t="shared" si="8"/>
        <v>23.307200000000002</v>
      </c>
      <c r="Z50" s="192">
        <f t="shared" si="9"/>
        <v>1.4500000000000001E-2</v>
      </c>
      <c r="AA50" s="192">
        <f t="shared" si="10"/>
        <v>23.2927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0138-22</v>
      </c>
      <c r="AE50" s="80" t="str">
        <f t="shared" si="12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50" s="77" t="str">
        <f t="shared" si="13"/>
        <v>"C:\Program Files (x86)\AstroGrep\AstroGrep.exe" /e /r /s /spath="%USERPROFILE%\AppData\Local\Temp\OnboardLogs" /stypes="app*4025*20170522*"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138-22 --locoid 4025 --swversion DE.1.0.9.0 --startMP 204:233072 --initTime 2017-05-22T08:56:18 --startdatetime 2017-05-22T09:12:22 --delay 1 --endMP 204:145 --enddatetime 2017-05-22T09:51:57 --enforcementcount 0 &gt;&gt;C:\Users\stu\Documents\GitHub\eaglep3-reporting\EC\2017-05-22-refined-times.txt</v>
      </c>
      <c r="AI50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{"issue":{"subject":"","project_id":79,"tracker_id":40,"status_id":1,"priority_id":2,"assigned_to_id":23,"start_date":"2017-05-22","description":"","custom_fields":[{"id":1,"name":"Subdivision","value":"EC"},{"id":4,"name":"Milepost","value":"0.0145"},{"id":17,"name":"Train ID","value":"138-22"},{"id":16,"name":"Locomotive ID","value":"4025"},{"id":130,"name":"Impact","value":""},{"id":150,"name":"Time of Event (Mountain Time)","value":"09:51:57"},{"id":151,"name":"Denver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4025 --day 2017-05-22</v>
      </c>
      <c r="AN50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682</v>
      </c>
      <c r="B51" s="7">
        <v>4006</v>
      </c>
      <c r="C51" s="21" t="s">
        <v>206</v>
      </c>
      <c r="D51" s="21" t="s">
        <v>529</v>
      </c>
      <c r="E51" s="13">
        <v>42877.350312499999</v>
      </c>
      <c r="F51" s="13">
        <v>42877.354386574072</v>
      </c>
      <c r="G51" s="7">
        <v>1</v>
      </c>
      <c r="H51" s="21" t="s">
        <v>453</v>
      </c>
      <c r="I51" s="13">
        <v>42877.379189814812</v>
      </c>
      <c r="J51" s="7">
        <v>0</v>
      </c>
      <c r="K51" s="92" t="str">
        <f t="shared" si="0"/>
        <v>4005/4006</v>
      </c>
      <c r="L51" s="21" t="str">
        <f>VLOOKUP(A51,'Trips&amp;Operators'!$C$1:$G$99999,5,FALSE)</f>
        <v>MAELZER KURT</v>
      </c>
      <c r="M51" s="6">
        <f t="shared" si="1"/>
        <v>2.4803240739856847E-2</v>
      </c>
      <c r="N51" s="7">
        <f t="shared" si="32"/>
        <v>35.716666665393859</v>
      </c>
      <c r="O51" s="7"/>
      <c r="P51" s="7"/>
      <c r="Q51" s="22"/>
      <c r="R51" s="190"/>
      <c r="S51" s="196">
        <f t="shared" si="3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-22T07:24:27-0600',mode:absolute,to:'2017-05-22T10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92" t="str">
        <f t="shared" si="6"/>
        <v>N</v>
      </c>
      <c r="X51" s="192">
        <f t="shared" si="33"/>
        <v>1</v>
      </c>
      <c r="Y51" s="192">
        <f t="shared" si="8"/>
        <v>4.6699999999999998E-2</v>
      </c>
      <c r="Z51" s="192">
        <f t="shared" si="9"/>
        <v>23.330100000000002</v>
      </c>
      <c r="AA51" s="192">
        <f t="shared" si="10"/>
        <v>23.2834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0139-22</v>
      </c>
      <c r="AE51" s="80" t="str">
        <f t="shared" si="12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51" s="77" t="str">
        <f t="shared" si="13"/>
        <v>"C:\Program Files (x86)\AstroGrep\AstroGrep.exe" /e /r /s /spath="%USERPROFILE%\AppData\Local\Temp\OnboardLogs" /stypes="app*4006*20170522*"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139-22 --locoid 4006 --swversion DE.1.0.9.0 --startMP 204:467 --initTime 2017-05-22T08:24:27 --startdatetime 2017-05-22T08:30:19 --delay 1 --endMP 204:233301 --enddatetime 2017-05-22T09:06:02 --enforcementcount 0 &gt;&gt;C:\Users\stu\Documents\GitHub\eaglep3-reporting\EC\2017-05-22-refined-times.txt</v>
      </c>
      <c r="AI51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{"issue":{"subject":"","project_id":79,"tracker_id":40,"status_id":1,"priority_id":2,"assigned_to_id":23,"start_date":"2017-05-22","description":"","custom_fields":[{"id":1,"name":"Subdivision","value":"EC"},{"id":4,"name":"Milepost","value":"23.3301"},{"id":17,"name":"Train ID","value":"139-22"},{"id":16,"name":"Locomotive ID","value":"4006"},{"id":130,"name":"Impact","value":""},{"id":150,"name":"Time of Event (Mountain Time)","value":"09:06:02"},{"id":151,"name":"Denver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4006 --day 2017-05-22</v>
      </c>
      <c r="AN51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583</v>
      </c>
      <c r="B52" s="7">
        <v>4005</v>
      </c>
      <c r="C52" s="21" t="s">
        <v>206</v>
      </c>
      <c r="D52" s="21" t="s">
        <v>842</v>
      </c>
      <c r="E52" s="13">
        <v>42877.383969907409</v>
      </c>
      <c r="F52" s="13">
        <v>42877.393935185188</v>
      </c>
      <c r="G52" s="7">
        <v>1</v>
      </c>
      <c r="H52" s="21" t="s">
        <v>368</v>
      </c>
      <c r="I52" s="13">
        <v>42877.420891203707</v>
      </c>
      <c r="J52" s="7">
        <v>0</v>
      </c>
      <c r="K52" s="92" t="str">
        <f t="shared" si="0"/>
        <v>4005/4006</v>
      </c>
      <c r="L52" s="21" t="str">
        <f>VLOOKUP(A52,'Trips&amp;Operators'!$C$1:$G$99999,5,FALSE)</f>
        <v>MAELZER KURT</v>
      </c>
      <c r="M52" s="6">
        <f t="shared" si="1"/>
        <v>2.6956018518831115E-2</v>
      </c>
      <c r="N52" s="7">
        <f t="shared" si="32"/>
        <v>38.816666667116806</v>
      </c>
      <c r="O52" s="7"/>
      <c r="P52" s="7"/>
      <c r="Q52" s="22"/>
      <c r="R52" s="190"/>
      <c r="S52" s="196">
        <f t="shared" si="3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-22T08:12:55-0600',mode:absolute,to:'2017-05-22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92" t="str">
        <f t="shared" si="6"/>
        <v>N</v>
      </c>
      <c r="X52" s="192">
        <f t="shared" si="33"/>
        <v>1</v>
      </c>
      <c r="Y52" s="192">
        <f t="shared" si="8"/>
        <v>23.297999999999998</v>
      </c>
      <c r="Z52" s="192">
        <f t="shared" si="9"/>
        <v>1.41E-2</v>
      </c>
      <c r="AA52" s="192">
        <f t="shared" si="10"/>
        <v>23.283899999999999</v>
      </c>
      <c r="AB52" s="57" t="str">
        <f>VLOOKUP(A52,Enforcements!$C$7:$K$13,8,0)</f>
        <v>Bulletin (2)</v>
      </c>
      <c r="AC52" s="53" t="str">
        <f>VLOOKUP(A52,Enforcements!$C$7:$E$13,3,0)</f>
        <v>GRADE CROSSING</v>
      </c>
      <c r="AD52" s="54" t="str">
        <f t="shared" si="11"/>
        <v>0140-22</v>
      </c>
      <c r="AE52" s="80" t="str">
        <f t="shared" si="12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52" s="77" t="str">
        <f t="shared" si="13"/>
        <v>"C:\Program Files (x86)\AstroGrep\AstroGrep.exe" /e /r /s /spath="%USERPROFILE%\AppData\Local\Temp\OnboardLogs" /stypes="app*4005*20170522*"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140-22 --locoid 4005 --swversion DE.1.0.9.0 --startMP 204:232980 --initTime 2017-05-22T09:12:55 --startdatetime 2017-05-22T09:27:16 --delay 1 --endMP 204:141 --enddatetime 2017-05-22T10:06:05 --enforcementcount 0 &gt;&gt;C:\Users\stu\Documents\GitHub\eaglep3-reporting\EC\2017-05-22-refined-times.txt</v>
      </c>
      <c r="AI52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{"issue":{"subject":"","project_id":79,"tracker_id":40,"status_id":1,"priority_id":2,"assigned_to_id":23,"start_date":"2017-05-22","description":"","custom_fields":[{"id":1,"name":"Subdivision","value":"EC"},{"id":4,"name":"Milepost","value":"0.0141"},{"id":17,"name":"Train ID","value":"140-22"},{"id":16,"name":"Locomotive ID","value":"4005"},{"id":130,"name":"Impact","value":""},{"id":150,"name":"Time of Event (Mountain Time)","value":"10:06:05"},{"id":151,"name":"Denver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4005 --day 2017-05-22</v>
      </c>
      <c r="AN52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581</v>
      </c>
      <c r="B53" s="7">
        <v>4008</v>
      </c>
      <c r="C53" s="21" t="s">
        <v>206</v>
      </c>
      <c r="D53" s="21" t="s">
        <v>405</v>
      </c>
      <c r="E53" s="13">
        <v>42877.362997685188</v>
      </c>
      <c r="F53" s="13">
        <v>42877.36478009259</v>
      </c>
      <c r="G53" s="7">
        <v>1</v>
      </c>
      <c r="H53" s="21" t="s">
        <v>843</v>
      </c>
      <c r="I53" s="13">
        <v>42877.389421296299</v>
      </c>
      <c r="J53" s="7">
        <v>0</v>
      </c>
      <c r="K53" s="92" t="str">
        <f t="shared" si="0"/>
        <v>4007/4008</v>
      </c>
      <c r="L53" s="21" t="str">
        <f>VLOOKUP(A53,'Trips&amp;Operators'!$C$1:$G$99999,5,FALSE)</f>
        <v>HELVIE ADAM</v>
      </c>
      <c r="M53" s="6">
        <f t="shared" si="1"/>
        <v>2.4641203708597459E-2</v>
      </c>
      <c r="N53" s="7">
        <f t="shared" si="32"/>
        <v>35.483333340380341</v>
      </c>
      <c r="O53" s="7"/>
      <c r="P53" s="7"/>
      <c r="Q53" s="22"/>
      <c r="R53" s="190"/>
      <c r="S53" s="196">
        <f t="shared" si="34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-22T07:42:43-0600',mode:absolute,to:'2017-05-22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2" t="str">
        <f t="shared" si="6"/>
        <v>N</v>
      </c>
      <c r="X53" s="192">
        <f t="shared" si="33"/>
        <v>1</v>
      </c>
      <c r="Y53" s="192">
        <f t="shared" si="8"/>
        <v>4.6199999999999998E-2</v>
      </c>
      <c r="Z53" s="192">
        <f t="shared" si="9"/>
        <v>23.335899999999999</v>
      </c>
      <c r="AA53" s="192">
        <f t="shared" si="10"/>
        <v>23.2897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0141-22</v>
      </c>
      <c r="AE53" s="80" t="str">
        <f t="shared" si="12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53" s="77" t="str">
        <f t="shared" si="13"/>
        <v>"C:\Program Files (x86)\AstroGrep\AstroGrep.exe" /e /r /s /spath="%USERPROFILE%\AppData\Local\Temp\OnboardLogs" /stypes="app*4008*20170522*"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141-22 --locoid 4008 --swversion DE.1.0.9.0 --startMP 204:462 --initTime 2017-05-22T08:42:43 --startdatetime 2017-05-22T08:45:17 --delay 1 --endMP 204:233359 --enddatetime 2017-05-22T09:20:46 --enforcementcount 0 &gt;&gt;C:\Users\stu\Documents\GitHub\eaglep3-reporting\EC\2017-05-22-refined-times.txt</v>
      </c>
      <c r="AI53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{"issue":{"subject":"","project_id":79,"tracker_id":40,"status_id":1,"priority_id":2,"assigned_to_id":23,"start_date":"2017-05-22","description":"","custom_fields":[{"id":1,"name":"Subdivision","value":"EC"},{"id":4,"name":"Milepost","value":"23.3359"},{"id":17,"name":"Train ID","value":"141-22"},{"id":16,"name":"Locomotive ID","value":"4008"},{"id":130,"name":"Impact","value":""},{"id":150,"name":"Time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4008 --day 2017-05-22</v>
      </c>
      <c r="AN53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584</v>
      </c>
      <c r="B54" s="7">
        <v>4007</v>
      </c>
      <c r="C54" s="21" t="s">
        <v>206</v>
      </c>
      <c r="D54" s="21" t="s">
        <v>844</v>
      </c>
      <c r="E54" s="13">
        <v>42877.401238425926</v>
      </c>
      <c r="F54" s="13">
        <v>42877.404398148145</v>
      </c>
      <c r="G54" s="7">
        <v>1</v>
      </c>
      <c r="H54" s="21" t="s">
        <v>353</v>
      </c>
      <c r="I54" s="13">
        <v>42877.430543981478</v>
      </c>
      <c r="J54" s="7">
        <v>0</v>
      </c>
      <c r="K54" s="92" t="str">
        <f t="shared" si="0"/>
        <v>4007/4008</v>
      </c>
      <c r="L54" s="21" t="str">
        <f>VLOOKUP(A54,'Trips&amp;Operators'!$C$1:$G$99999,5,FALSE)</f>
        <v>HELVIE ADAM</v>
      </c>
      <c r="M54" s="6">
        <f t="shared" si="1"/>
        <v>2.6145833333430346E-2</v>
      </c>
      <c r="N54" s="7">
        <f t="shared" si="32"/>
        <v>37.650000000139698</v>
      </c>
      <c r="O54" s="7"/>
      <c r="P54" s="7"/>
      <c r="Q54" s="22"/>
      <c r="R54" s="190"/>
      <c r="S54" s="196">
        <f t="shared" si="34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-22T08:37:47-0600',mode:absolute,to:'2017-05-22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2" t="str">
        <f t="shared" si="6"/>
        <v>N</v>
      </c>
      <c r="X54" s="192">
        <f t="shared" si="33"/>
        <v>1</v>
      </c>
      <c r="Y54" s="192">
        <f t="shared" si="8"/>
        <v>23.297599999999999</v>
      </c>
      <c r="Z54" s="192">
        <f t="shared" si="9"/>
        <v>1.6E-2</v>
      </c>
      <c r="AA54" s="192">
        <f t="shared" si="10"/>
        <v>23.281600000000001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0142-22</v>
      </c>
      <c r="AE54" s="80" t="str">
        <f t="shared" si="12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54" s="77" t="str">
        <f t="shared" si="13"/>
        <v>"C:\Program Files (x86)\AstroGrep\AstroGrep.exe" /e /r /s /spath="%USERPROFILE%\AppData\Local\Temp\OnboardLogs" /stypes="app*4007*20170522*"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142-22 --locoid 4007 --swversion DE.1.0.9.0 --startMP 204:232976 --initTime 2017-05-22T09:37:47 --startdatetime 2017-05-22T09:42:20 --delay 1 --endMP 204:160 --enddatetime 2017-05-22T10:19:59 --enforcementcount 0 &gt;&gt;C:\Users\stu\Documents\GitHub\eaglep3-reporting\EC\2017-05-22-refined-times.txt</v>
      </c>
      <c r="AI54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{"issue":{"subject":"","project_id":79,"tracker_id":40,"status_id":1,"priority_id":2,"assigned_to_id":23,"start_date":"2017-05-22","description":"","custom_fields":[{"id":1,"name":"Subdivision","value":"EC"},{"id":4,"name":"Milepost","value":"0.016"},{"id":17,"name":"Train ID","value":"142-22"},{"id":16,"name":"Locomotive ID","value":"4007"},{"id":130,"name":"Impact","value":""},{"id":150,"name":"Time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4007 --day 2017-05-22</v>
      </c>
      <c r="AN54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687</v>
      </c>
      <c r="B55" s="7">
        <v>4032</v>
      </c>
      <c r="C55" s="21" t="s">
        <v>206</v>
      </c>
      <c r="D55" s="21" t="s">
        <v>358</v>
      </c>
      <c r="E55" s="13">
        <v>42877.370532407411</v>
      </c>
      <c r="F55" s="13">
        <v>42877.375300925924</v>
      </c>
      <c r="G55" s="7">
        <v>0</v>
      </c>
      <c r="H55" s="21" t="s">
        <v>453</v>
      </c>
      <c r="I55" s="13">
        <v>42877.400567129633</v>
      </c>
      <c r="J55" s="7">
        <v>0</v>
      </c>
      <c r="K55" s="92" t="str">
        <f t="shared" si="0"/>
        <v>4031/4032</v>
      </c>
      <c r="L55" s="21" t="str">
        <f>VLOOKUP(A55,'Trips&amp;Operators'!$C$1:$G$99999,5,FALSE)</f>
        <v>BONDS REYNALDO</v>
      </c>
      <c r="M55" s="6">
        <f t="shared" si="1"/>
        <v>2.5266203709179536E-2</v>
      </c>
      <c r="N55" s="7">
        <f t="shared" si="32"/>
        <v>36.383333341218531</v>
      </c>
      <c r="O55" s="7"/>
      <c r="P55" s="7"/>
      <c r="Q55" s="22"/>
      <c r="R55" s="190"/>
      <c r="S55" s="196">
        <f t="shared" si="34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-22T07:53:34-0600',mode:absolute,to:'2017-05-22T10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92" t="str">
        <f t="shared" si="6"/>
        <v>N</v>
      </c>
      <c r="X55" s="192">
        <f t="shared" si="33"/>
        <v>1</v>
      </c>
      <c r="Y55" s="192">
        <f t="shared" si="8"/>
        <v>4.6600000000000003E-2</v>
      </c>
      <c r="Z55" s="192">
        <f t="shared" si="9"/>
        <v>23.330100000000002</v>
      </c>
      <c r="AA55" s="192">
        <f t="shared" si="10"/>
        <v>23.2835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0143-22</v>
      </c>
      <c r="AE55" s="80" t="str">
        <f t="shared" si="12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55" s="77" t="str">
        <f t="shared" si="13"/>
        <v>"C:\Program Files (x86)\AstroGrep\AstroGrep.exe" /e /r /s /spath="%USERPROFILE%\AppData\Local\Temp\OnboardLogs" /stypes="app*4032*20170522*"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143-22 --locoid 4032 --swversion DE.1.0.9.0 --startMP 204:466 --initTime 2017-05-22T08:53:34 --startdatetime 2017-05-22T09:00:26 --delay 0 --endMP 204:233301 --enddatetime 2017-05-22T09:36:49 --enforcementcount 0 &gt;&gt;C:\Users\stu\Documents\GitHub\eaglep3-reporting\EC\2017-05-22-refined-times.txt</v>
      </c>
      <c r="AI5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{"issue":{"subject":"","project_id":79,"tracker_id":40,"status_id":1,"priority_id":2,"assigned_to_id":23,"start_date":"2017-05-22","description":"","custom_fields":[{"id":1,"name":"Subdivision","value":"EC"},{"id":4,"name":"Milepost","value":"23.3301"},{"id":17,"name":"Train ID","value":"143-22"},{"id":16,"name":"Locomotive ID","value":"4032"},{"id":130,"name":"Impact","value":""},{"id":150,"name":"Time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4032 --day 2017-05-22</v>
      </c>
      <c r="AN5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694</v>
      </c>
      <c r="B56" s="7">
        <v>4031</v>
      </c>
      <c r="C56" s="21" t="s">
        <v>206</v>
      </c>
      <c r="D56" s="21" t="s">
        <v>566</v>
      </c>
      <c r="E56" s="13">
        <v>42877.410787037035</v>
      </c>
      <c r="F56" s="13">
        <v>42877.414930555555</v>
      </c>
      <c r="G56" s="7">
        <v>0</v>
      </c>
      <c r="H56" s="21" t="s">
        <v>828</v>
      </c>
      <c r="I56" s="13">
        <v>42877.442685185182</v>
      </c>
      <c r="J56" s="7">
        <v>0</v>
      </c>
      <c r="K56" s="92" t="str">
        <f t="shared" si="0"/>
        <v>4031/4032</v>
      </c>
      <c r="L56" s="21" t="str">
        <f>VLOOKUP(A56,'Trips&amp;Operators'!$C$1:$G$99999,5,FALSE)</f>
        <v>BONDS REYNALDO</v>
      </c>
      <c r="M56" s="6">
        <f t="shared" si="1"/>
        <v>2.7754629627452232E-2</v>
      </c>
      <c r="N56" s="7">
        <f t="shared" si="32"/>
        <v>39.966666663531214</v>
      </c>
      <c r="O56" s="7"/>
      <c r="P56" s="7"/>
      <c r="Q56" s="22"/>
      <c r="R56" s="190"/>
      <c r="S56" s="196">
        <f t="shared" si="34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-22T08:51:32-0600',mode:absolute,to:'2017-05-22T11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92" t="str">
        <f t="shared" si="6"/>
        <v>N</v>
      </c>
      <c r="X56" s="192">
        <f t="shared" si="33"/>
        <v>1</v>
      </c>
      <c r="Y56" s="192">
        <f t="shared" si="8"/>
        <v>23.296700000000001</v>
      </c>
      <c r="Z56" s="192">
        <f t="shared" si="9"/>
        <v>1.4500000000000001E-2</v>
      </c>
      <c r="AA56" s="192">
        <f t="shared" si="10"/>
        <v>23.2822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0144-22</v>
      </c>
      <c r="AE56" s="80" t="str">
        <f t="shared" si="12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56" s="77" t="str">
        <f t="shared" si="13"/>
        <v>"C:\Program Files (x86)\AstroGrep\AstroGrep.exe" /e /r /s /spath="%USERPROFILE%\AppData\Local\Temp\OnboardLogs" /stypes="app*4031*20170522*"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144-22 --locoid 4031 --swversion DE.1.0.9.0 --startMP 204:232967 --initTime 2017-05-22T09:51:32 --startdatetime 2017-05-22T09:57:30 --delay 0 --endMP 204:145 --enddatetime 2017-05-22T10:37:28 --enforcementcount 0 &gt;&gt;C:\Users\stu\Documents\GitHub\eaglep3-reporting\EC\2017-05-22-refined-times.txt</v>
      </c>
      <c r="AI5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{"issue":{"subject":"","project_id":79,"tracker_id":40,"status_id":1,"priority_id":2,"assigned_to_id":23,"start_date":"2017-05-22","description":"","custom_fields":[{"id":1,"name":"Subdivision","value":"EC"},{"id":4,"name":"Milepost","value":"0.0145"},{"id":17,"name":"Train ID","value":"144-22"},{"id":16,"name":"Locomotive ID","value":"4031"},{"id":130,"name":"Impact","value":""},{"id":150,"name":"Time of Event (Mountain Time)","value":"10:37:28"},{"id":151,"name":"Denver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4031 --day 2017-05-22</v>
      </c>
      <c r="AN5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4010</v>
      </c>
      <c r="C57" s="21" t="s">
        <v>206</v>
      </c>
      <c r="D57" s="21" t="s">
        <v>845</v>
      </c>
      <c r="E57" s="13">
        <v>42877.383101851854</v>
      </c>
      <c r="F57" s="13">
        <v>42877.385648148149</v>
      </c>
      <c r="G57" s="7">
        <v>1</v>
      </c>
      <c r="H57" s="21" t="s">
        <v>846</v>
      </c>
      <c r="I57" s="13">
        <v>42877.410451388889</v>
      </c>
      <c r="J57" s="7">
        <v>0</v>
      </c>
      <c r="K57" s="92" t="str">
        <f t="shared" si="0"/>
        <v>4009/4010</v>
      </c>
      <c r="L57" s="21" t="str">
        <f>VLOOKUP(A57,'Trips&amp;Operators'!$C$1:$G$99999,5,FALSE)</f>
        <v>MACDONALD THOMAS</v>
      </c>
      <c r="M57" s="6">
        <f t="shared" si="1"/>
        <v>2.4803240739856847E-2</v>
      </c>
      <c r="N57" s="7">
        <f t="shared" si="32"/>
        <v>35.716666665393859</v>
      </c>
      <c r="O57" s="7"/>
      <c r="P57" s="7"/>
      <c r="Q57" s="22"/>
      <c r="R57" s="190"/>
      <c r="S57" s="196">
        <f t="shared" si="34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-22T08:11:40-0600',mode:absolute,to:'2017-05-22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92" t="str">
        <f t="shared" si="6"/>
        <v>N</v>
      </c>
      <c r="X57" s="192">
        <f t="shared" si="33"/>
        <v>1</v>
      </c>
      <c r="Y57" s="192">
        <f t="shared" si="8"/>
        <v>4.8000000000000001E-2</v>
      </c>
      <c r="Z57" s="192">
        <f t="shared" si="9"/>
        <v>23.328900000000001</v>
      </c>
      <c r="AA57" s="192">
        <f t="shared" si="10"/>
        <v>23.280900000000003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0145-22</v>
      </c>
      <c r="AE57" s="80" t="str">
        <f t="shared" si="12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57" s="77" t="str">
        <f t="shared" si="13"/>
        <v>"C:\Program Files (x86)\AstroGrep\AstroGrep.exe" /e /r /s /spath="%USERPROFILE%\AppData\Local\Temp\OnboardLogs" /stypes="app*4010*20170522*"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145-22 --locoid 4010 --swversion DE.1.0.9.0 --startMP 204:480 --initTime 2017-05-22T09:11:40 --startdatetime 2017-05-22T09:15:20 --delay 1 --endMP 204:233289 --enddatetime 2017-05-22T09:51:03 --enforcementcount 0 &gt;&gt;C:\Users\stu\Documents\GitHub\eaglep3-reporting\EC\2017-05-22-refined-times.txt</v>
      </c>
      <c r="AI5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{"issue":{"subject":"","project_id":79,"tracker_id":40,"status_id":1,"priority_id":2,"assigned_to_id":23,"start_date":"2017-05-22","description":"","custom_fields":[{"id":1,"name":"Subdivision","value":"EC"},{"id":4,"name":"Milepost","value":"23.3289"},{"id":17,"name":"Train ID","value":"145-22"},{"id":16,"name":"Locomotive ID","value":"4010"},{"id":130,"name":"Impact","value":""},{"id":150,"name":"Time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4010 --day 2017-05-22</v>
      </c>
      <c r="AN5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696</v>
      </c>
      <c r="B58" s="7">
        <v>4009</v>
      </c>
      <c r="C58" s="21" t="s">
        <v>206</v>
      </c>
      <c r="D58" s="21" t="s">
        <v>844</v>
      </c>
      <c r="E58" s="13">
        <v>42877.42292824074</v>
      </c>
      <c r="F58" s="13">
        <v>42877.425578703704</v>
      </c>
      <c r="G58" s="7">
        <v>1</v>
      </c>
      <c r="H58" s="21" t="s">
        <v>413</v>
      </c>
      <c r="I58" s="13">
        <v>42877.452268518522</v>
      </c>
      <c r="J58" s="7">
        <v>0</v>
      </c>
      <c r="K58" s="92" t="str">
        <f t="shared" si="0"/>
        <v>4009/4010</v>
      </c>
      <c r="L58" s="21" t="str">
        <f>VLOOKUP(A58,'Trips&amp;Operators'!$C$1:$G$99999,5,FALSE)</f>
        <v>MACDONALD THOMAS</v>
      </c>
      <c r="M58" s="6">
        <f t="shared" si="1"/>
        <v>2.6689814818382729E-2</v>
      </c>
      <c r="N58" s="7">
        <f t="shared" si="32"/>
        <v>38.43333333847113</v>
      </c>
      <c r="O58" s="7"/>
      <c r="P58" s="7"/>
      <c r="Q58" s="22"/>
      <c r="R58" s="190"/>
      <c r="S58" s="196">
        <f t="shared" si="34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-22T09:09:01-0600',mode:absolute,to:'2017-05-22T11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8" s="192" t="str">
        <f t="shared" si="6"/>
        <v>N</v>
      </c>
      <c r="X58" s="192">
        <f t="shared" si="33"/>
        <v>1</v>
      </c>
      <c r="Y58" s="192">
        <f t="shared" si="8"/>
        <v>23.297599999999999</v>
      </c>
      <c r="Z58" s="192">
        <f t="shared" si="9"/>
        <v>1.54E-2</v>
      </c>
      <c r="AA58" s="192">
        <f t="shared" si="10"/>
        <v>23.2822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0146-22</v>
      </c>
      <c r="AE58" s="80" t="str">
        <f t="shared" si="12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58" s="77" t="str">
        <f t="shared" si="13"/>
        <v>"C:\Program Files (x86)\AstroGrep\AstroGrep.exe" /e /r /s /spath="%USERPROFILE%\AppData\Local\Temp\OnboardLogs" /stypes="app*4009*20170522*"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146-22 --locoid 4009 --swversion DE.1.0.9.0 --startMP 204:232976 --initTime 2017-05-22T10:09:01 --startdatetime 2017-05-22T10:12:50 --delay 1 --endMP 204:154 --enddatetime 2017-05-22T10:51:16 --enforcementcount 0 &gt;&gt;C:\Users\stu\Documents\GitHub\eaglep3-reporting\EC\2017-05-22-refined-times.txt</v>
      </c>
      <c r="AI5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ID","value":"146-22"},{"id":16,"name":"Locomotive ID","value":"4009"},{"id":130,"name":"Impact","value":""},{"id":150,"name":"Time of Event (Mountain Time)","value":"10:51:16"},{"id":151,"name":"Denver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4009 --day 2017-05-22</v>
      </c>
      <c r="AN5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691</v>
      </c>
      <c r="B59" s="7">
        <v>4022</v>
      </c>
      <c r="C59" s="21" t="s">
        <v>206</v>
      </c>
      <c r="D59" s="21" t="s">
        <v>363</v>
      </c>
      <c r="E59" s="13">
        <v>42877.390682870369</v>
      </c>
      <c r="F59" s="13">
        <v>42877.396134259259</v>
      </c>
      <c r="G59" s="7">
        <v>1</v>
      </c>
      <c r="H59" s="21" t="s">
        <v>415</v>
      </c>
      <c r="I59" s="13">
        <v>42877.421168981484</v>
      </c>
      <c r="J59" s="7">
        <v>0</v>
      </c>
      <c r="K59" s="92" t="str">
        <f t="shared" si="0"/>
        <v>4021/4022</v>
      </c>
      <c r="L59" s="21" t="str">
        <f>VLOOKUP(A59,'Trips&amp;Operators'!$C$1:$G$99999,5,FALSE)</f>
        <v>STARKS ANGELINA</v>
      </c>
      <c r="M59" s="6">
        <f t="shared" si="1"/>
        <v>2.5034722224518191E-2</v>
      </c>
      <c r="N59" s="7">
        <f t="shared" si="32"/>
        <v>36.050000003306195</v>
      </c>
      <c r="O59" s="7"/>
      <c r="P59" s="7"/>
      <c r="Q59" s="22"/>
      <c r="R59" s="190"/>
      <c r="S59" s="196">
        <f t="shared" si="34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-22T08:22:35-0600',mode:absolute,to:'2017-05-22T11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9" s="192" t="str">
        <f t="shared" si="6"/>
        <v>N</v>
      </c>
      <c r="X59" s="192">
        <f t="shared" si="33"/>
        <v>1</v>
      </c>
      <c r="Y59" s="192">
        <f t="shared" si="8"/>
        <v>4.53E-2</v>
      </c>
      <c r="Z59" s="192">
        <f t="shared" si="9"/>
        <v>23.329499999999999</v>
      </c>
      <c r="AA59" s="192">
        <f t="shared" si="10"/>
        <v>23.284199999999998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0147-22</v>
      </c>
      <c r="AE59" s="80" t="str">
        <f t="shared" si="12"/>
        <v>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 &amp; 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</v>
      </c>
      <c r="AF59" s="77" t="str">
        <f t="shared" si="13"/>
        <v>"C:\Program Files (x86)\AstroGrep\AstroGrep.exe" /e /r /s /spath="%USERPROFILE%\AppData\Local\Temp\OnboardLogs" /stypes="app*4022*20170522*"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147-22 --locoid 4022 --swversion DE.1.0.9.0 --startMP 204:453 --initTime 2017-05-22T09:22:35 --startdatetime 2017-05-22T09:30:26 --delay 1 --endMP 204:233295 --enddatetime 2017-05-22T10:06:29 --enforcementcount 0 &gt;&gt;C:\Users\stu\Documents\GitHub\eaglep3-reporting\EC\2017-05-22-refined-times.txt</v>
      </c>
      <c r="AI5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{"issue":{"subject":"","project_id":79,"tracker_id":40,"status_id":1,"priority_id":2,"assigned_to_id":23,"start_date":"2017-05-22","description":"","custom_fields":[{"id":1,"name":"Subdivision","value":"EC"},{"id":4,"name":"Milepost","value":"23.3295"},{"id":17,"name":"Train ID","value":"147-22"},{"id":16,"name":"Locomotive ID","value":"4022"},{"id":130,"name":"Impact","value":""},{"id":150,"name":"Time of Event (Mountain Time)","value":"10:06:29"},{"id":151,"name":"Denver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4022 --day 2017-05-22</v>
      </c>
      <c r="AN5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4021</v>
      </c>
      <c r="C60" s="21" t="s">
        <v>206</v>
      </c>
      <c r="D60" s="21" t="s">
        <v>570</v>
      </c>
      <c r="E60" s="13">
        <v>42877.423784722225</v>
      </c>
      <c r="F60" s="13">
        <v>42877.435659722221</v>
      </c>
      <c r="G60" s="7">
        <v>1</v>
      </c>
      <c r="H60" s="21" t="s">
        <v>847</v>
      </c>
      <c r="I60" s="13">
        <v>42877.466423611113</v>
      </c>
      <c r="J60" s="7">
        <v>0</v>
      </c>
      <c r="K60" s="92" t="str">
        <f t="shared" si="0"/>
        <v>4021/4022</v>
      </c>
      <c r="L60" s="21" t="str">
        <f>VLOOKUP(A60,'Trips&amp;Operators'!$C$1:$G$99999,5,FALSE)</f>
        <v>STARKS ANGELINA</v>
      </c>
      <c r="M60" s="6">
        <f t="shared" si="1"/>
        <v>3.0763888891669922E-2</v>
      </c>
      <c r="N60" s="7">
        <f t="shared" si="32"/>
        <v>44.300000004004687</v>
      </c>
      <c r="O60" s="7"/>
      <c r="P60" s="7"/>
      <c r="Q60" s="22"/>
      <c r="R60" s="190"/>
      <c r="S60" s="196">
        <f t="shared" si="34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-22T09:10:15-0600',mode:absolute,to:'2017-05-22T12:11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0" s="192" t="str">
        <f t="shared" si="6"/>
        <v>N</v>
      </c>
      <c r="X60" s="192">
        <f t="shared" si="33"/>
        <v>1</v>
      </c>
      <c r="Y60" s="192">
        <f t="shared" si="8"/>
        <v>23.2973</v>
      </c>
      <c r="Z60" s="192">
        <f t="shared" si="9"/>
        <v>0.24940000000000001</v>
      </c>
      <c r="AA60" s="192">
        <f t="shared" si="10"/>
        <v>23.047899999999998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0148-22</v>
      </c>
      <c r="AE60" s="80" t="str">
        <f t="shared" si="12"/>
        <v>aws s3 cp s3://rtdc.mdm.uploadarchive.raw/RTDC4021/ "%USERPROFILE%\AppData\Local\Temp\OnboardLogs"\RTDC4021\2017-05-22 --exclude "*" --recursive --include "*20170522*" &amp; "%USERPROFILE%\Documents\GitHub\mrs-test-scripts\Headless Mode &amp; Sideloading\WalkAndUnGZ.bat" "%USERPROFILE%\AppData\Local\Temp\OnboardLogs"\RTDC4021\2017-05-22 &amp; 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</v>
      </c>
      <c r="AF60" s="77" t="str">
        <f t="shared" si="13"/>
        <v>"C:\Program Files (x86)\AstroGrep\AstroGrep.exe" /e /r /s /spath="%USERPROFILE%\AppData\Local\Temp\OnboardLogs" /stypes="app*4021*20170522*"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148-22 --locoid 4021 --swversion DE.1.0.9.0 --startMP 204:232973 --initTime 2017-05-22T10:10:15 --startdatetime 2017-05-22T10:27:21 --delay 1 --endMP 204:2494 --enddatetime 2017-05-22T11:11:39 --enforcementcount 0 &gt;&gt;C:\Users\stu\Documents\GitHub\eaglep3-reporting\EC\2017-05-22-refined-times.txt</v>
      </c>
      <c r="AI60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{"issue":{"subject":"","project_id":79,"tracker_id":40,"status_id":1,"priority_id":2,"assigned_to_id":23,"start_date":"2017-05-22","description":"","custom_fields":[{"id":1,"name":"Subdivision","value":"EC"},{"id":4,"name":"Milepost","value":"0.2494"},{"id":17,"name":"Train ID","value":"148-22"},{"id":16,"name":"Locomotive ID","value":"4021"},{"id":130,"name":"Impact","value":""},{"id":150,"name":"Time of Event (Mountain Time)","value":"11:11:39"},{"id":151,"name":"Denver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4021 --day 2017-05-22</v>
      </c>
      <c r="AN60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17:11:39"},{"id":29,"name":"Sharepoint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692</v>
      </c>
      <c r="B61" s="7">
        <v>4014</v>
      </c>
      <c r="C61" s="21" t="s">
        <v>206</v>
      </c>
      <c r="D61" s="21" t="s">
        <v>419</v>
      </c>
      <c r="E61" s="13">
        <v>42877.400578703702</v>
      </c>
      <c r="F61" s="13">
        <v>42877.406539351854</v>
      </c>
      <c r="G61" s="7">
        <v>1</v>
      </c>
      <c r="H61" s="21" t="s">
        <v>833</v>
      </c>
      <c r="I61" s="13">
        <v>42877.430995370371</v>
      </c>
      <c r="J61" s="7">
        <v>0</v>
      </c>
      <c r="K61" s="92" t="str">
        <f t="shared" si="0"/>
        <v>4013/4014</v>
      </c>
      <c r="L61" s="21" t="str">
        <f>VLOOKUP(A61,'Trips&amp;Operators'!$C$1:$G$99999,5,FALSE)</f>
        <v>LALONDE GREGORY</v>
      </c>
      <c r="M61" s="6">
        <f t="shared" si="1"/>
        <v>2.4456018516502809E-2</v>
      </c>
      <c r="N61" s="7">
        <f t="shared" si="32"/>
        <v>35.216666663764045</v>
      </c>
      <c r="O61" s="7"/>
      <c r="P61" s="7"/>
      <c r="Q61" s="22"/>
      <c r="R61" s="190"/>
      <c r="S61" s="196">
        <f t="shared" si="34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-22T08:36:50-0600',mode:absolute,to:'2017-05-22T11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192" t="str">
        <f t="shared" si="6"/>
        <v>N</v>
      </c>
      <c r="X61" s="192">
        <f t="shared" si="33"/>
        <v>1</v>
      </c>
      <c r="Y61" s="192">
        <f t="shared" si="8"/>
        <v>4.7300000000000002E-2</v>
      </c>
      <c r="Z61" s="192">
        <f t="shared" si="9"/>
        <v>23.333600000000001</v>
      </c>
      <c r="AA61" s="192">
        <f t="shared" si="10"/>
        <v>23.286300000000001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0149-22</v>
      </c>
      <c r="AE61" s="80" t="str">
        <f t="shared" si="12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61" s="77" t="str">
        <f t="shared" si="13"/>
        <v>"C:\Program Files (x86)\AstroGrep\AstroGrep.exe" /e /r /s /spath="%USERPROFILE%\AppData\Local\Temp\OnboardLogs" /stypes="app*4014*20170522*"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149-22 --locoid 4014 --swversion DE.1.0.9.0 --startMP 204:473 --initTime 2017-05-22T09:36:50 --startdatetime 2017-05-22T09:45:25 --delay 1 --endMP 204:233336 --enddatetime 2017-05-22T10:20:38 --enforcementcount 0 &gt;&gt;C:\Users\stu\Documents\GitHub\eaglep3-reporting\EC\2017-05-22-refined-times.txt</v>
      </c>
      <c r="AI61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{"issue":{"subject":"","project_id":79,"tracker_id":40,"status_id":1,"priority_id":2,"assigned_to_id":23,"start_date":"2017-05-22","description":"","custom_fields":[{"id":1,"name":"Subdivision","value":"EC"},{"id":4,"name":"Milepost","value":"23.3336"},{"id":17,"name":"Train ID","value":"149-22"},{"id":16,"name":"Locomotive ID","value":"4014"},{"id":130,"name":"Impact","value":""},{"id":150,"name":"Time of Event (Mountain Time)","value":"10:20:38"},{"id":151,"name":"Denver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4014 --day 2017-05-22</v>
      </c>
      <c r="AN61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700</v>
      </c>
      <c r="B62" s="7">
        <v>4013</v>
      </c>
      <c r="C62" s="21" t="s">
        <v>206</v>
      </c>
      <c r="D62" s="21" t="s">
        <v>848</v>
      </c>
      <c r="E62" s="13">
        <v>42877.432916666665</v>
      </c>
      <c r="F62" s="13">
        <v>42877.446076388886</v>
      </c>
      <c r="G62" s="7">
        <v>1</v>
      </c>
      <c r="H62" s="21" t="s">
        <v>413</v>
      </c>
      <c r="I62" s="13">
        <v>42877.471678240741</v>
      </c>
      <c r="J62" s="7">
        <v>0</v>
      </c>
      <c r="K62" s="92" t="str">
        <f t="shared" si="0"/>
        <v>4013/4014</v>
      </c>
      <c r="L62" s="21" t="str">
        <f>VLOOKUP(A62,'Trips&amp;Operators'!$C$1:$G$99999,5,FALSE)</f>
        <v>LALONDE GREGORY</v>
      </c>
      <c r="M62" s="6">
        <f t="shared" si="1"/>
        <v>2.5601851855753921E-2</v>
      </c>
      <c r="N62" s="7">
        <f t="shared" si="32"/>
        <v>36.866666672285646</v>
      </c>
      <c r="O62" s="7"/>
      <c r="P62" s="7"/>
      <c r="Q62" s="22"/>
      <c r="R62" s="190"/>
      <c r="S62" s="196">
        <f t="shared" si="34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-22T09:23:24-0600',mode:absolute,to:'2017-05-22T12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192" t="str">
        <f t="shared" si="6"/>
        <v>N</v>
      </c>
      <c r="X62" s="192">
        <f t="shared" si="33"/>
        <v>1</v>
      </c>
      <c r="Y62" s="192">
        <f t="shared" si="8"/>
        <v>23.302800000000001</v>
      </c>
      <c r="Z62" s="192">
        <f t="shared" si="9"/>
        <v>1.54E-2</v>
      </c>
      <c r="AA62" s="192">
        <f t="shared" si="10"/>
        <v>23.287400000000002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0150-22</v>
      </c>
      <c r="AE62" s="80" t="str">
        <f t="shared" si="12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62" s="77" t="str">
        <f t="shared" si="13"/>
        <v>"C:\Program Files (x86)\AstroGrep\AstroGrep.exe" /e /r /s /spath="%USERPROFILE%\AppData\Local\Temp\OnboardLogs" /stypes="app*4013*20170522*"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150-22 --locoid 4013 --swversion DE.1.0.9.0 --startMP 204:233028 --initTime 2017-05-22T10:23:24 --startdatetime 2017-05-22T10:42:21 --delay 1 --endMP 204:154 --enddatetime 2017-05-22T11:19:13 --enforcementcount 0 &gt;&gt;C:\Users\stu\Documents\GitHub\eaglep3-reporting\EC\2017-05-22-refined-times.txt</v>
      </c>
      <c r="AI62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ID","value":"150-22"},{"id":16,"name":"Locomotive ID","value":"4013"},{"id":130,"name":"Impact","value":""},{"id":150,"name":"Time of Event (Mountain Time)","value":"11:19:13"},{"id":151,"name":"Denver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4013 --day 2017-05-22</v>
      </c>
      <c r="AN62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695</v>
      </c>
      <c r="B63" s="7">
        <v>4026</v>
      </c>
      <c r="C63" s="21" t="s">
        <v>206</v>
      </c>
      <c r="D63" s="21" t="s">
        <v>354</v>
      </c>
      <c r="E63" s="13">
        <v>42877.413298611114</v>
      </c>
      <c r="F63" s="13">
        <v>42877.416875000003</v>
      </c>
      <c r="G63" s="7">
        <v>0</v>
      </c>
      <c r="H63" s="21" t="s">
        <v>849</v>
      </c>
      <c r="I63" s="13">
        <v>42877.441504629627</v>
      </c>
      <c r="J63" s="7">
        <v>0</v>
      </c>
      <c r="K63" s="92" t="str">
        <f t="shared" si="0"/>
        <v>4025/4026</v>
      </c>
      <c r="L63" s="21" t="str">
        <f>VLOOKUP(A63,'Trips&amp;Operators'!$C$1:$G$99999,5,FALSE)</f>
        <v>WILLIAMS DONTE</v>
      </c>
      <c r="M63" s="6">
        <f t="shared" si="1"/>
        <v>2.4629629624541849E-2</v>
      </c>
      <c r="N63" s="7">
        <f t="shared" si="32"/>
        <v>35.466666659340262</v>
      </c>
      <c r="O63" s="7"/>
      <c r="P63" s="7"/>
      <c r="Q63" s="22"/>
      <c r="R63" s="190"/>
      <c r="S63" s="196">
        <f t="shared" si="34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-22T08:55:09-0600',mode:absolute,to:'2017-05-22T11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2" t="str">
        <f t="shared" si="6"/>
        <v>N</v>
      </c>
      <c r="X63" s="192">
        <f t="shared" si="33"/>
        <v>1</v>
      </c>
      <c r="Y63" s="192">
        <f t="shared" si="8"/>
        <v>4.58E-2</v>
      </c>
      <c r="Z63" s="192">
        <f t="shared" si="9"/>
        <v>23.337599999999998</v>
      </c>
      <c r="AA63" s="192">
        <f t="shared" si="10"/>
        <v>23.291799999999999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0151-22</v>
      </c>
      <c r="AE63" s="80" t="str">
        <f t="shared" si="12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63" s="77" t="str">
        <f t="shared" si="13"/>
        <v>"C:\Program Files (x86)\AstroGrep\AstroGrep.exe" /e /r /s /spath="%USERPROFILE%\AppData\Local\Temp\OnboardLogs" /stypes="app*4026*20170522*"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151-22 --locoid 4026 --swversion DE.1.0.9.0 --startMP 204:458 --initTime 2017-05-22T09:55:09 --startdatetime 2017-05-22T10:00:18 --delay 0 --endMP 204:233376 --enddatetime 2017-05-22T10:35:46 --enforcementcount 0 &gt;&gt;C:\Users\stu\Documents\GitHub\eaglep3-reporting\EC\2017-05-22-refined-times.txt</v>
      </c>
      <c r="AI63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{"issue":{"subject":"","project_id":79,"tracker_id":40,"status_id":1,"priority_id":2,"assigned_to_id":23,"start_date":"2017-05-22","description":"","custom_fields":[{"id":1,"name":"Subdivision","value":"EC"},{"id":4,"name":"Milepost","value":"23.3376"},{"id":17,"name":"Train ID","value":"151-22"},{"id":16,"name":"Locomotive ID","value":"4026"},{"id":130,"name":"Impact","value":""},{"id":150,"name":"Time of Event (Mountain Time)","value":"10:35:46"},{"id":151,"name":"Denver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4026 --day 2017-05-22</v>
      </c>
      <c r="AN63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589</v>
      </c>
      <c r="B64" s="7">
        <v>4025</v>
      </c>
      <c r="C64" s="21" t="s">
        <v>206</v>
      </c>
      <c r="D64" s="21" t="s">
        <v>850</v>
      </c>
      <c r="E64" s="13">
        <v>42877.443252314813</v>
      </c>
      <c r="F64" s="13">
        <v>42877.456423611111</v>
      </c>
      <c r="G64" s="7">
        <v>1</v>
      </c>
      <c r="H64" s="21" t="s">
        <v>362</v>
      </c>
      <c r="I64" s="13">
        <v>42877.484456018516</v>
      </c>
      <c r="J64" s="7">
        <v>0</v>
      </c>
      <c r="K64" s="92" t="str">
        <f t="shared" si="0"/>
        <v>4025/4026</v>
      </c>
      <c r="L64" s="21" t="str">
        <f>VLOOKUP(A64,'Trips&amp;Operators'!$C$1:$G$99999,5,FALSE)</f>
        <v>WILLIAMS DONTE</v>
      </c>
      <c r="M64" s="6">
        <f t="shared" si="1"/>
        <v>2.8032407404680271E-2</v>
      </c>
      <c r="N64" s="7">
        <f t="shared" si="32"/>
        <v>40.36666666273959</v>
      </c>
      <c r="O64" s="7"/>
      <c r="P64" s="7"/>
      <c r="Q64" s="22"/>
      <c r="R64" s="190"/>
      <c r="S64" s="196">
        <f t="shared" si="34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-22T09:38:17-0600',mode:absolute,to:'2017-05-22T12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2" t="str">
        <f t="shared" si="6"/>
        <v>N</v>
      </c>
      <c r="X64" s="192">
        <f t="shared" si="33"/>
        <v>1</v>
      </c>
      <c r="Y64" s="192">
        <f t="shared" si="8"/>
        <v>23.306699999999999</v>
      </c>
      <c r="Z64" s="192">
        <f t="shared" si="9"/>
        <v>1.5599999999999999E-2</v>
      </c>
      <c r="AA64" s="192">
        <f t="shared" si="10"/>
        <v>23.2911</v>
      </c>
      <c r="AB64" s="57" t="str">
        <f>VLOOKUP(A64,Enforcements!$C$7:$K$13,8,0)</f>
        <v>Bulletin (2)</v>
      </c>
      <c r="AC64" s="53" t="str">
        <f>VLOOKUP(A64,Enforcements!$C$7:$E$13,3,0)</f>
        <v>GRADE CROSSING</v>
      </c>
      <c r="AD64" s="54" t="str">
        <f t="shared" si="11"/>
        <v>0152-22</v>
      </c>
      <c r="AE64" s="80" t="str">
        <f t="shared" si="12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64" s="77" t="str">
        <f t="shared" si="13"/>
        <v>"C:\Program Files (x86)\AstroGrep\AstroGrep.exe" /e /r /s /spath="%USERPROFILE%\AppData\Local\Temp\OnboardLogs" /stypes="app*4025*20170522*"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152-22 --locoid 4025 --swversion DE.1.0.9.0 --startMP 204:233067 --initTime 2017-05-22T10:38:17 --startdatetime 2017-05-22T10:57:15 --delay 1 --endMP 204:156 --enddatetime 2017-05-22T11:37:37 --enforcementcount 0 &gt;&gt;C:\Users\stu\Documents\GitHub\eaglep3-reporting\EC\2017-05-22-refined-times.txt</v>
      </c>
      <c r="AI64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{"issue":{"subject":"","project_id":79,"tracker_id":40,"status_id":1,"priority_id":2,"assigned_to_id":23,"start_date":"2017-05-22","description":"","custom_fields":[{"id":1,"name":"Subdivision","value":"EC"},{"id":4,"name":"Milepost","value":"0.0156"},{"id":17,"name":"Train ID","value":"152-22"},{"id":16,"name":"Locomotive ID","value":"4025"},{"id":130,"name":"Impact","value":""},{"id":150,"name":"Time of Event (Mountain Time)","value":"11:37:37"},{"id":151,"name":"Denver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4025 --day 2017-05-22</v>
      </c>
      <c r="AN64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698</v>
      </c>
      <c r="B65" s="7">
        <v>4006</v>
      </c>
      <c r="C65" s="21" t="s">
        <v>206</v>
      </c>
      <c r="D65" s="21" t="s">
        <v>851</v>
      </c>
      <c r="E65" s="13">
        <v>42877.424780092595</v>
      </c>
      <c r="F65" s="13">
        <v>42877.427303240744</v>
      </c>
      <c r="G65" s="7">
        <v>1</v>
      </c>
      <c r="H65" s="21" t="s">
        <v>415</v>
      </c>
      <c r="I65" s="13">
        <v>42877.453784722224</v>
      </c>
      <c r="J65" s="7">
        <v>0</v>
      </c>
      <c r="K65" s="92" t="str">
        <f t="shared" si="0"/>
        <v>4005/4006</v>
      </c>
      <c r="L65" s="21" t="str">
        <f>VLOOKUP(A65,'Trips&amp;Operators'!$C$1:$G$99999,5,FALSE)</f>
        <v>DAVIDSON DAVID</v>
      </c>
      <c r="M65" s="6">
        <f t="shared" si="1"/>
        <v>2.6481481480004732E-2</v>
      </c>
      <c r="N65" s="7">
        <f t="shared" si="32"/>
        <v>38.133333331206813</v>
      </c>
      <c r="O65" s="7"/>
      <c r="P65" s="7"/>
      <c r="Q65" s="22"/>
      <c r="R65" s="190"/>
      <c r="S65" s="196">
        <f t="shared" si="34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-22T09:11:41-0600',mode:absolute,to:'2017-05-22T11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192" t="str">
        <f t="shared" si="6"/>
        <v>N</v>
      </c>
      <c r="X65" s="192">
        <f t="shared" si="33"/>
        <v>1</v>
      </c>
      <c r="Y65" s="192">
        <f t="shared" si="8"/>
        <v>4.3499999999999997E-2</v>
      </c>
      <c r="Z65" s="192">
        <f t="shared" si="9"/>
        <v>23.329499999999999</v>
      </c>
      <c r="AA65" s="192">
        <f t="shared" si="10"/>
        <v>23.285999999999998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0153-22</v>
      </c>
      <c r="AE65" s="80" t="str">
        <f t="shared" si="12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65" s="77" t="str">
        <f t="shared" si="13"/>
        <v>"C:\Program Files (x86)\AstroGrep\AstroGrep.exe" /e /r /s /spath="%USERPROFILE%\AppData\Local\Temp\OnboardLogs" /stypes="app*4006*20170522*"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153-22 --locoid 4006 --swversion DE.1.0.9.0 --startMP 204:435 --initTime 2017-05-22T10:11:41 --startdatetime 2017-05-22T10:15:19 --delay 1 --endMP 204:233295 --enddatetime 2017-05-22T10:53:27 --enforcementcount 0 &gt;&gt;C:\Users\stu\Documents\GitHub\eaglep3-reporting\EC\2017-05-22-refined-times.txt</v>
      </c>
      <c r="AI6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{"issue":{"subject":"","project_id":79,"tracker_id":40,"status_id":1,"priority_id":2,"assigned_to_id":23,"start_date":"2017-05-22","description":"","custom_fields":[{"id":1,"name":"Subdivision","value":"EC"},{"id":4,"name":"Milepost","value":"23.3295"},{"id":17,"name":"Train ID","value":"153-22"},{"id":16,"name":"Locomotive ID","value":"4006"},{"id":130,"name":"Impact","value":""},{"id":150,"name":"Time of Event (Mountain Time)","value":"10:53:27"},{"id":151,"name":"Denver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4006 --day 2017-05-22</v>
      </c>
      <c r="AN6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704</v>
      </c>
      <c r="B66" s="7">
        <v>4005</v>
      </c>
      <c r="C66" s="21" t="s">
        <v>206</v>
      </c>
      <c r="D66" s="21" t="s">
        <v>487</v>
      </c>
      <c r="E66" s="13">
        <v>42877.455034722225</v>
      </c>
      <c r="F66" s="13">
        <v>42877.466898148145</v>
      </c>
      <c r="G66" s="7">
        <v>1</v>
      </c>
      <c r="H66" s="21" t="s">
        <v>356</v>
      </c>
      <c r="I66" s="13">
        <v>42877.494953703703</v>
      </c>
      <c r="J66" s="7">
        <v>0</v>
      </c>
      <c r="K66" s="92" t="str">
        <f t="shared" si="0"/>
        <v>4005/4006</v>
      </c>
      <c r="L66" s="21" t="str">
        <f>VLOOKUP(A66,'Trips&amp;Operators'!$C$1:$G$99999,5,FALSE)</f>
        <v>DAVIDSON DAVID</v>
      </c>
      <c r="M66" s="6">
        <f t="shared" si="1"/>
        <v>2.8055555558239575E-2</v>
      </c>
      <c r="N66" s="7">
        <f t="shared" si="32"/>
        <v>40.400000003864989</v>
      </c>
      <c r="O66" s="7"/>
      <c r="P66" s="7"/>
      <c r="Q66" s="22"/>
      <c r="R66" s="190"/>
      <c r="S66" s="196">
        <f t="shared" si="34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-22T09:55:15-0600',mode:absolute,to:'2017-05-22T12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192" t="str">
        <f t="shared" si="6"/>
        <v>N</v>
      </c>
      <c r="X66" s="192">
        <f t="shared" si="33"/>
        <v>1</v>
      </c>
      <c r="Y66" s="192">
        <f t="shared" si="8"/>
        <v>23.298300000000001</v>
      </c>
      <c r="Z66" s="192">
        <f t="shared" si="9"/>
        <v>1.49E-2</v>
      </c>
      <c r="AA66" s="192">
        <f t="shared" si="10"/>
        <v>23.2834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0154-22</v>
      </c>
      <c r="AE66" s="80" t="str">
        <f t="shared" si="12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66" s="77" t="str">
        <f t="shared" si="13"/>
        <v>"C:\Program Files (x86)\AstroGrep\AstroGrep.exe" /e /r /s /spath="%USERPROFILE%\AppData\Local\Temp\OnboardLogs" /stypes="app*4005*20170522*"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154-22 --locoid 4005 --swversion DE.1.0.9.0 --startMP 204:232983 --initTime 2017-05-22T10:55:15 --startdatetime 2017-05-22T11:12:20 --delay 1 --endMP 204:149 --enddatetime 2017-05-22T11:52:44 --enforcementcount 0 &gt;&gt;C:\Users\stu\Documents\GitHub\eaglep3-reporting\EC\2017-05-22-refined-times.txt</v>
      </c>
      <c r="AI6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ID","value":"154-22"},{"id":16,"name":"Locomotive ID","value":"4005"},{"id":130,"name":"Impact","value":""},{"id":150,"name":"Time of Event (Mountain Time)","value":"11:52:44"},{"id":151,"name":"Denver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4005 --day 2017-05-22</v>
      </c>
      <c r="AN6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701</v>
      </c>
      <c r="B67" s="7">
        <v>4008</v>
      </c>
      <c r="C67" s="21" t="s">
        <v>206</v>
      </c>
      <c r="D67" s="21" t="s">
        <v>361</v>
      </c>
      <c r="E67" s="13">
        <v>42877.435648148145</v>
      </c>
      <c r="F67" s="13">
        <v>42877.437650462962</v>
      </c>
      <c r="G67" s="7">
        <v>0</v>
      </c>
      <c r="H67" s="21" t="s">
        <v>462</v>
      </c>
      <c r="I67" s="13">
        <v>42877.462222222224</v>
      </c>
      <c r="J67" s="7">
        <v>0</v>
      </c>
      <c r="K67" s="92" t="str">
        <f t="shared" si="0"/>
        <v>4007/4008</v>
      </c>
      <c r="L67" s="21" t="str">
        <f>VLOOKUP(A67,'Trips&amp;Operators'!$C$1:$G$99999,5,FALSE)</f>
        <v>HELVIE ADAM</v>
      </c>
      <c r="M67" s="6">
        <f t="shared" si="1"/>
        <v>2.457175926247146E-2</v>
      </c>
      <c r="N67" s="7">
        <f t="shared" si="32"/>
        <v>35.383333337958902</v>
      </c>
      <c r="O67" s="7"/>
      <c r="P67" s="7"/>
      <c r="Q67" s="22"/>
      <c r="R67" s="190"/>
      <c r="S67" s="196">
        <f t="shared" si="34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-22T09:27:20-0600',mode:absolute,to:'2017-05-22T12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2" t="str">
        <f t="shared" si="6"/>
        <v>N</v>
      </c>
      <c r="X67" s="192">
        <f t="shared" si="33"/>
        <v>1</v>
      </c>
      <c r="Y67" s="192">
        <f t="shared" si="8"/>
        <v>4.6399999999999997E-2</v>
      </c>
      <c r="Z67" s="192">
        <f t="shared" si="9"/>
        <v>23.329899999999999</v>
      </c>
      <c r="AA67" s="192">
        <f t="shared" si="10"/>
        <v>23.2835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0155-22</v>
      </c>
      <c r="AE67" s="80" t="str">
        <f t="shared" si="12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67" s="77" t="str">
        <f t="shared" si="13"/>
        <v>"C:\Program Files (x86)\AstroGrep\AstroGrep.exe" /e /r /s /spath="%USERPROFILE%\AppData\Local\Temp\OnboardLogs" /stypes="app*4008*20170522*"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155-22 --locoid 4008 --swversion DE.1.0.9.0 --startMP 204:464 --initTime 2017-05-22T10:27:20 --startdatetime 2017-05-22T10:30:13 --delay 0 --endMP 204:233299 --enddatetime 2017-05-22T11:05:36 --enforcementcount 0 &gt;&gt;C:\Users\stu\Documents\GitHub\eaglep3-reporting\EC\2017-05-22-refined-times.txt</v>
      </c>
      <c r="AI6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{"issue":{"subject":"","project_id":79,"tracker_id":40,"status_id":1,"priority_id":2,"assigned_to_id":23,"start_date":"2017-05-22","description":"","custom_fields":[{"id":1,"name":"Subdivision","value":"EC"},{"id":4,"name":"Milepost","value":"23.3299"},{"id":17,"name":"Train ID","value":"155-22"},{"id":16,"name":"Locomotive ID","value":"4008"},{"id":130,"name":"Impact","value":""},{"id":150,"name":"Time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4008 --day 2017-05-22</v>
      </c>
      <c r="AN6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708</v>
      </c>
      <c r="B68" s="7">
        <v>4007</v>
      </c>
      <c r="C68" s="21" t="s">
        <v>206</v>
      </c>
      <c r="D68" s="21" t="s">
        <v>572</v>
      </c>
      <c r="E68" s="13">
        <v>42877.474444444444</v>
      </c>
      <c r="F68" s="13">
        <v>42877.47724537037</v>
      </c>
      <c r="G68" s="7">
        <v>1</v>
      </c>
      <c r="H68" s="21" t="s">
        <v>198</v>
      </c>
      <c r="I68" s="13">
        <v>42877.503460648149</v>
      </c>
      <c r="J68" s="7">
        <v>0</v>
      </c>
      <c r="K68" s="92" t="str">
        <f t="shared" si="0"/>
        <v>4007/4008</v>
      </c>
      <c r="L68" s="21" t="str">
        <f>VLOOKUP(A68,'Trips&amp;Operators'!$C$1:$G$99999,5,FALSE)</f>
        <v>HELVIE ADAM</v>
      </c>
      <c r="M68" s="6">
        <f t="shared" si="1"/>
        <v>2.6215277779556345E-2</v>
      </c>
      <c r="N68" s="7">
        <f t="shared" si="32"/>
        <v>37.750000002561137</v>
      </c>
      <c r="O68" s="7"/>
      <c r="P68" s="7"/>
      <c r="Q68" s="22"/>
      <c r="R68" s="190"/>
      <c r="S68" s="196">
        <f t="shared" si="34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-22T10:23:12-0600',mode:absolute,to:'2017-05-22T13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92" t="str">
        <f t="shared" si="6"/>
        <v>N</v>
      </c>
      <c r="X68" s="192">
        <f t="shared" si="33"/>
        <v>1</v>
      </c>
      <c r="Y68" s="192">
        <f t="shared" si="8"/>
        <v>23.297699999999999</v>
      </c>
      <c r="Z68" s="192">
        <f t="shared" si="9"/>
        <v>1.5800000000000002E-2</v>
      </c>
      <c r="AA68" s="192">
        <f t="shared" si="10"/>
        <v>23.2819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0156-22</v>
      </c>
      <c r="AE68" s="80" t="str">
        <f t="shared" si="12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68" s="77" t="str">
        <f t="shared" si="13"/>
        <v>"C:\Program Files (x86)\AstroGrep\AstroGrep.exe" /e /r /s /spath="%USERPROFILE%\AppData\Local\Temp\OnboardLogs" /stypes="app*4007*20170522*"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156-22 --locoid 4007 --swversion DE.1.0.9.0 --startMP 204:232977 --initTime 2017-05-22T11:23:12 --startdatetime 2017-05-22T11:27:14 --delay 1 --endMP 204:158 --enddatetime 2017-05-22T12:04:59 --enforcementcount 0 &gt;&gt;C:\Users\stu\Documents\GitHub\eaglep3-reporting\EC\2017-05-22-refined-times.txt</v>
      </c>
      <c r="AI6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{"issue":{"subject":"","project_id":79,"tracker_id":40,"status_id":1,"priority_id":2,"assigned_to_id":23,"start_date":"2017-05-22","description":"","custom_fields":[{"id":1,"name":"Subdivision","value":"EC"},{"id":4,"name":"Milepost","value":"0.0158"},{"id":17,"name":"Train ID","value":"156-22"},{"id":16,"name":"Locomotive ID","value":"4007"},{"id":130,"name":"Impact","value":""},{"id":150,"name":"Time of Event (Mountain Time)","value":"12:04:59"},{"id":151,"name":"Denver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4007 --day 2017-05-22</v>
      </c>
      <c r="AN6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586</v>
      </c>
      <c r="B69" s="7">
        <v>4032</v>
      </c>
      <c r="C69" s="21" t="s">
        <v>206</v>
      </c>
      <c r="D69" s="21" t="s">
        <v>202</v>
      </c>
      <c r="E69" s="13">
        <v>42877.444803240738</v>
      </c>
      <c r="F69" s="13">
        <v>42877.448148148149</v>
      </c>
      <c r="G69" s="7">
        <v>3</v>
      </c>
      <c r="H69" s="21" t="s">
        <v>852</v>
      </c>
      <c r="I69" s="13">
        <v>42877.481724537036</v>
      </c>
      <c r="J69" s="7">
        <v>0</v>
      </c>
      <c r="K69" s="92" t="str">
        <f t="shared" si="0"/>
        <v>4031/4032</v>
      </c>
      <c r="L69" s="21" t="str">
        <f>VLOOKUP(A69,'Trips&amp;Operators'!$C$1:$G$99999,5,FALSE)</f>
        <v>WHITED DUSTIN</v>
      </c>
      <c r="M69" s="6">
        <f t="shared" si="1"/>
        <v>3.3576388887013309E-2</v>
      </c>
      <c r="N69" s="7">
        <f t="shared" si="32"/>
        <v>48.349999997299165</v>
      </c>
      <c r="O69" s="7"/>
      <c r="P69" s="7"/>
      <c r="Q69" s="22"/>
      <c r="R69" s="190"/>
      <c r="S69" s="196">
        <f t="shared" si="34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-22T09:40:31-0600',mode:absolute,to:'2017-05-22T12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92" t="str">
        <f t="shared" si="6"/>
        <v>N</v>
      </c>
      <c r="X69" s="192">
        <f t="shared" si="33"/>
        <v>1</v>
      </c>
      <c r="Y69" s="192">
        <f t="shared" si="8"/>
        <v>4.5699999999999998E-2</v>
      </c>
      <c r="Z69" s="192">
        <f t="shared" si="9"/>
        <v>23.325700000000001</v>
      </c>
      <c r="AA69" s="192">
        <f t="shared" si="10"/>
        <v>23.28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0157-22</v>
      </c>
      <c r="AE69" s="80" t="str">
        <f t="shared" si="12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69" s="77" t="str">
        <f t="shared" si="13"/>
        <v>"C:\Program Files (x86)\AstroGrep\AstroGrep.exe" /e /r /s /spath="%USERPROFILE%\AppData\Local\Temp\OnboardLogs" /stypes="app*4032*20170522*"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157-22 --locoid 4032 --swversion DE.1.0.9.0 --startMP 204:457 --initTime 2017-05-22T10:40:31 --startdatetime 2017-05-22T10:45:20 --delay 3 --endMP 204:233257 --enddatetime 2017-05-22T11:33:41 --enforcementcount 0 &gt;&gt;C:\Users\stu\Documents\GitHub\eaglep3-reporting\EC\2017-05-22-refined-times.txt</v>
      </c>
      <c r="AI6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{"issue":{"subject":"","project_id":79,"tracker_id":40,"status_id":1,"priority_id":2,"assigned_to_id":23,"start_date":"2017-05-22","description":"","custom_fields":[{"id":1,"name":"Subdivision","value":"EC"},{"id":4,"name":"Milepost","value":"23.3257"},{"id":17,"name":"Train ID","value":"157-22"},{"id":16,"name":"Locomotive ID","value":"4032"},{"id":130,"name":"Impact","value":""},{"id":150,"name":"Time of Event (Mountain Time)","value":"11:33:41"},{"id":151,"name":"Denver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4032 --day 2017-05-22</v>
      </c>
      <c r="AN6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592</v>
      </c>
      <c r="B70" s="7">
        <v>4031</v>
      </c>
      <c r="C70" s="21" t="s">
        <v>206</v>
      </c>
      <c r="D70" s="21" t="s">
        <v>853</v>
      </c>
      <c r="E70" s="13">
        <v>42877.484456018516</v>
      </c>
      <c r="F70" s="13">
        <v>42877.49082175926</v>
      </c>
      <c r="G70" s="7">
        <v>1</v>
      </c>
      <c r="H70" s="21" t="s">
        <v>854</v>
      </c>
      <c r="I70" s="13">
        <v>42877.518287037034</v>
      </c>
      <c r="J70" s="7">
        <v>0</v>
      </c>
      <c r="K70" s="92" t="str">
        <f t="shared" si="0"/>
        <v>4031/4032</v>
      </c>
      <c r="L70" s="21" t="str">
        <f>VLOOKUP(A70,'Trips&amp;Operators'!$C$1:$G$99999,5,FALSE)</f>
        <v>WHITED DUSTIN</v>
      </c>
      <c r="M70" s="6">
        <f t="shared" si="1"/>
        <v>2.7465277773444541E-2</v>
      </c>
      <c r="N70" s="7">
        <f t="shared" si="32"/>
        <v>39.549999993760139</v>
      </c>
      <c r="O70" s="7"/>
      <c r="P70" s="7"/>
      <c r="Q70" s="22"/>
      <c r="R70" s="190"/>
      <c r="S70" s="196">
        <f t="shared" si="34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-22T10:37:37-0600',mode:absolute,to:'2017-05-22T13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92" t="str">
        <f t="shared" si="6"/>
        <v>N</v>
      </c>
      <c r="X70" s="192">
        <f t="shared" si="33"/>
        <v>1</v>
      </c>
      <c r="Y70" s="192">
        <f t="shared" si="8"/>
        <v>23.291699999999999</v>
      </c>
      <c r="Z70" s="192">
        <f t="shared" si="9"/>
        <v>2.1100000000000001E-2</v>
      </c>
      <c r="AA70" s="192">
        <f t="shared" si="10"/>
        <v>23.270599999999998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0158-22</v>
      </c>
      <c r="AE70" s="80" t="str">
        <f t="shared" si="12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70" s="77" t="str">
        <f t="shared" si="13"/>
        <v>"C:\Program Files (x86)\AstroGrep\AstroGrep.exe" /e /r /s /spath="%USERPROFILE%\AppData\Local\Temp\OnboardLogs" /stypes="app*4031*20170522*"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158-22 --locoid 4031 --swversion DE.1.0.9.0 --startMP 204:232917 --initTime 2017-05-22T11:37:37 --startdatetime 2017-05-22T11:46:47 --delay 1 --endMP 204:211 --enddatetime 2017-05-22T12:26:20 --enforcementcount 0 &gt;&gt;C:\Users\stu\Documents\GitHub\eaglep3-reporting\EC\2017-05-22-refined-times.txt</v>
      </c>
      <c r="AI70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{"issue":{"subject":"","project_id":79,"tracker_id":40,"status_id":1,"priority_id":2,"assigned_to_id":23,"start_date":"2017-05-22","description":"","custom_fields":[{"id":1,"name":"Subdivision","value":"EC"},{"id":4,"name":"Milepost","value":"0.0211"},{"id":17,"name":"Train ID","value":"158-22"},{"id":16,"name":"Locomotive ID","value":"4031"},{"id":130,"name":"Impact","value":""},{"id":150,"name":"Time of Event (Mountain Time)","value":"12:26:20"},{"id":151,"name":"Denver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4031 --day 2017-05-22</v>
      </c>
      <c r="AN70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4010</v>
      </c>
      <c r="C71" s="21" t="s">
        <v>206</v>
      </c>
      <c r="D71" s="21" t="s">
        <v>202</v>
      </c>
      <c r="E71" s="13">
        <v>42877.456192129626</v>
      </c>
      <c r="F71" s="13">
        <v>42877.458506944444</v>
      </c>
      <c r="G71" s="7">
        <v>1</v>
      </c>
      <c r="H71" s="21" t="s">
        <v>855</v>
      </c>
      <c r="I71" s="13">
        <v>42877.484560185185</v>
      </c>
      <c r="J71" s="7">
        <v>0</v>
      </c>
      <c r="K71" s="92" t="str">
        <f t="shared" si="0"/>
        <v>4009/4010</v>
      </c>
      <c r="L71" s="21" t="str">
        <f>VLOOKUP(A71,'Trips&amp;Operators'!$C$1:$G$99999,5,FALSE)</f>
        <v>MACDONALD THOMAS</v>
      </c>
      <c r="M71" s="6">
        <f t="shared" si="1"/>
        <v>2.6053240741021E-2</v>
      </c>
      <c r="N71" s="7">
        <f t="shared" si="32"/>
        <v>37.51666666707024</v>
      </c>
      <c r="O71" s="7"/>
      <c r="P71" s="7"/>
      <c r="Q71" s="22"/>
      <c r="R71" s="190"/>
      <c r="S71" s="196">
        <f t="shared" si="34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-22T09:56:55-0600',mode:absolute,to:'2017-05-22T12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92" t="str">
        <f t="shared" si="6"/>
        <v>N</v>
      </c>
      <c r="X71" s="192">
        <f t="shared" si="33"/>
        <v>1</v>
      </c>
      <c r="Y71" s="192">
        <f t="shared" si="8"/>
        <v>4.5699999999999998E-2</v>
      </c>
      <c r="Z71" s="192">
        <f t="shared" si="9"/>
        <v>23.328399999999998</v>
      </c>
      <c r="AA71" s="192">
        <f t="shared" si="10"/>
        <v>23.282699999999998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0159-22</v>
      </c>
      <c r="AE71" s="80" t="str">
        <f t="shared" si="12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71" s="77" t="str">
        <f t="shared" si="13"/>
        <v>"C:\Program Files (x86)\AstroGrep\AstroGrep.exe" /e /r /s /spath="%USERPROFILE%\AppData\Local\Temp\OnboardLogs" /stypes="app*4010*20170522*"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159-22 --locoid 4010 --swversion DE.1.0.9.0 --startMP 204:457 --initTime 2017-05-22T10:56:55 --startdatetime 2017-05-22T11:00:15 --delay 1 --endMP 204:233284 --enddatetime 2017-05-22T11:37:46 --enforcementcount 0 &gt;&gt;C:\Users\stu\Documents\GitHub\eaglep3-reporting\EC\2017-05-22-refined-times.txt</v>
      </c>
      <c r="AI71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{"issue":{"subject":"","project_id":79,"tracker_id":40,"status_id":1,"priority_id":2,"assigned_to_id":23,"start_date":"2017-05-22","description":"","custom_fields":[{"id":1,"name":"Subdivision","value":"EC"},{"id":4,"name":"Milepost","value":"23.3284"},{"id":17,"name":"Train ID","value":"159-22"},{"id":16,"name":"Locomotive ID","value":"4010"},{"id":130,"name":"Impact","value":""},{"id":150,"name":"Time of Event (Mountain Time)","value":"11:37:46"},{"id":151,"name":"Denver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4010 --day 2017-05-22</v>
      </c>
      <c r="AN71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713</v>
      </c>
      <c r="B72" s="7">
        <v>4009</v>
      </c>
      <c r="C72" s="21" t="s">
        <v>206</v>
      </c>
      <c r="D72" s="21" t="s">
        <v>856</v>
      </c>
      <c r="E72" s="13">
        <v>42877.492569444446</v>
      </c>
      <c r="F72" s="13">
        <v>42877.498298611114</v>
      </c>
      <c r="G72" s="7">
        <v>0</v>
      </c>
      <c r="H72" s="21" t="s">
        <v>362</v>
      </c>
      <c r="I72" s="13">
        <v>42877.524652777778</v>
      </c>
      <c r="J72" s="7">
        <v>0</v>
      </c>
      <c r="K72" s="92" t="str">
        <f t="shared" si="0"/>
        <v>4009/4010</v>
      </c>
      <c r="L72" s="21" t="str">
        <f>VLOOKUP(A72,'Trips&amp;Operators'!$C$1:$G$99999,5,FALSE)</f>
        <v>MACDONALD THOMAS</v>
      </c>
      <c r="M72" s="6">
        <f t="shared" si="1"/>
        <v>2.6354166664532386E-2</v>
      </c>
      <c r="N72" s="7">
        <f t="shared" si="32"/>
        <v>37.949999996926636</v>
      </c>
      <c r="O72" s="7"/>
      <c r="P72" s="7"/>
      <c r="Q72" s="22"/>
      <c r="R72" s="190"/>
      <c r="S72" s="196">
        <f t="shared" si="34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-22T10:49:18-0600',mode:absolute,to:'2017-05-22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192" t="str">
        <f t="shared" si="6"/>
        <v>N</v>
      </c>
      <c r="X72" s="192">
        <f t="shared" si="33"/>
        <v>1</v>
      </c>
      <c r="Y72" s="192">
        <f t="shared" si="8"/>
        <v>23.296299999999999</v>
      </c>
      <c r="Z72" s="192">
        <f t="shared" si="9"/>
        <v>1.5599999999999999E-2</v>
      </c>
      <c r="AA72" s="192">
        <f t="shared" si="10"/>
        <v>23.2807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0160-22</v>
      </c>
      <c r="AE72" s="80" t="str">
        <f t="shared" si="12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72" s="77" t="str">
        <f t="shared" si="13"/>
        <v>"C:\Program Files (x86)\AstroGrep\AstroGrep.exe" /e /r /s /spath="%USERPROFILE%\AppData\Local\Temp\OnboardLogs" /stypes="app*4009*20170522*"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160-22 --locoid 4009 --swversion DE.1.0.9.0 --startMP 204:232963 --initTime 2017-05-22T11:49:18 --startdatetime 2017-05-22T11:57:33 --delay 0 --endMP 204:156 --enddatetime 2017-05-22T12:35:30 --enforcementcount 0 &gt;&gt;C:\Users\stu\Documents\GitHub\eaglep3-reporting\EC\2017-05-22-refined-times.txt</v>
      </c>
      <c r="AI72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{"issue":{"subject":"","project_id":79,"tracker_id":40,"status_id":1,"priority_id":2,"assigned_to_id":23,"start_date":"2017-05-22","description":"","custom_fields":[{"id":1,"name":"Subdivision","value":"EC"},{"id":4,"name":"Milepost","value":"0.0156"},{"id":17,"name":"Train ID","value":"160-22"},{"id":16,"name":"Locomotive ID","value":"4009"},{"id":130,"name":"Impact","value":""},{"id":150,"name":"Time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4009 --day 2017-05-22</v>
      </c>
      <c r="AN72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706</v>
      </c>
      <c r="B73" s="7">
        <v>4016</v>
      </c>
      <c r="C73" s="21" t="s">
        <v>206</v>
      </c>
      <c r="D73" s="21" t="s">
        <v>857</v>
      </c>
      <c r="E73" s="13">
        <v>42877.466296296298</v>
      </c>
      <c r="F73" s="13">
        <v>42877.469201388885</v>
      </c>
      <c r="G73" s="7">
        <v>3</v>
      </c>
      <c r="H73" s="21" t="s">
        <v>484</v>
      </c>
      <c r="I73" s="13">
        <v>42877.496620370373</v>
      </c>
      <c r="J73" s="7">
        <v>0</v>
      </c>
      <c r="K73" s="92" t="str">
        <f t="shared" si="0"/>
        <v>4015/4016</v>
      </c>
      <c r="L73" s="21" t="str">
        <f>VLOOKUP(A73,'Trips&amp;Operators'!$C$1:$G$99999,5,FALSE)</f>
        <v>DAVIS MICHAEL</v>
      </c>
      <c r="M73" s="6">
        <f t="shared" si="1"/>
        <v>2.7418981488153804E-2</v>
      </c>
      <c r="N73" s="7">
        <f t="shared" si="32"/>
        <v>39.483333342941478</v>
      </c>
      <c r="O73" s="7"/>
      <c r="P73" s="7"/>
      <c r="Q73" s="22"/>
      <c r="R73" s="190"/>
      <c r="S73" s="196">
        <f t="shared" si="34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-22T10:11:28-0600',mode:absolute,to:'2017-05-22T12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192" t="str">
        <f t="shared" si="6"/>
        <v>N</v>
      </c>
      <c r="X73" s="192">
        <f t="shared" si="33"/>
        <v>1</v>
      </c>
      <c r="Y73" s="192">
        <f t="shared" si="8"/>
        <v>4.0399999999999998E-2</v>
      </c>
      <c r="Z73" s="192">
        <f t="shared" si="9"/>
        <v>23.333400000000001</v>
      </c>
      <c r="AA73" s="192">
        <f t="shared" si="10"/>
        <v>23.292999999999999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0161-22</v>
      </c>
      <c r="AE73" s="80" t="str">
        <f t="shared" si="12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73" s="77" t="str">
        <f t="shared" si="13"/>
        <v>"C:\Program Files (x86)\AstroGrep\AstroGrep.exe" /e /r /s /spath="%USERPROFILE%\AppData\Local\Temp\OnboardLogs" /stypes="app*4016*20170522*"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161-22 --locoid 4016 --swversion DE.1.0.9.0 --startMP 204:404 --initTime 2017-05-22T11:11:28 --startdatetime 2017-05-22T11:15:39 --delay 3 --endMP 204:233334 --enddatetime 2017-05-22T11:55:08 --enforcementcount 0 &gt;&gt;C:\Users\stu\Documents\GitHub\eaglep3-reporting\EC\2017-05-22-refined-times.txt</v>
      </c>
      <c r="AI73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{"issue":{"subject":"","project_id":79,"tracker_id":40,"status_id":1,"priority_id":2,"assigned_to_id":23,"start_date":"2017-05-22","description":"","custom_fields":[{"id":1,"name":"Subdivision","value":"EC"},{"id":4,"name":"Milepost","value":"23.3334"},{"id":17,"name":"Train ID","value":"161-22"},{"id":16,"name":"Locomotive ID","value":"4016"},{"id":130,"name":"Impact","value":""},{"id":150,"name":"Time of Event (Mountain Time)","value":"11:55:08"},{"id":151,"name":"Denver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4016 --day 2017-05-22</v>
      </c>
      <c r="AN73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4015</v>
      </c>
      <c r="C74" s="21" t="s">
        <v>206</v>
      </c>
      <c r="D74" s="21" t="s">
        <v>858</v>
      </c>
      <c r="E74" s="13">
        <v>42877.505868055552</v>
      </c>
      <c r="F74" s="13">
        <v>42877.508900462963</v>
      </c>
      <c r="G74" s="7">
        <v>2</v>
      </c>
      <c r="H74" s="21" t="s">
        <v>356</v>
      </c>
      <c r="I74" s="13">
        <v>42877.536192129628</v>
      </c>
      <c r="J74" s="7">
        <v>0</v>
      </c>
      <c r="K74" s="92" t="str">
        <f t="shared" si="0"/>
        <v>4015/4016</v>
      </c>
      <c r="L74" s="21" t="str">
        <f>VLOOKUP(A74,'Trips&amp;Operators'!$C$1:$G$99999,5,FALSE)</f>
        <v>DAVIS MICHAEL</v>
      </c>
      <c r="M74" s="6">
        <f t="shared" si="1"/>
        <v>2.7291666665405501E-2</v>
      </c>
      <c r="N74" s="7">
        <f t="shared" si="32"/>
        <v>39.299999998183921</v>
      </c>
      <c r="O74" s="7"/>
      <c r="P74" s="7"/>
      <c r="Q74" s="22"/>
      <c r="R74" s="190"/>
      <c r="S74" s="196">
        <f t="shared" si="34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-22T11:08:27-0600',mode:absolute,to:'2017-05-22T13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192" t="str">
        <f t="shared" si="6"/>
        <v>N</v>
      </c>
      <c r="X74" s="192">
        <f t="shared" si="33"/>
        <v>1</v>
      </c>
      <c r="Y74" s="192">
        <f t="shared" si="8"/>
        <v>23.300599999999999</v>
      </c>
      <c r="Z74" s="192">
        <f t="shared" si="9"/>
        <v>1.49E-2</v>
      </c>
      <c r="AA74" s="192">
        <f t="shared" si="10"/>
        <v>23.285699999999999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0162-22</v>
      </c>
      <c r="AE74" s="80" t="str">
        <f t="shared" si="12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74" s="77" t="str">
        <f t="shared" si="13"/>
        <v>"C:\Program Files (x86)\AstroGrep\AstroGrep.exe" /e /r /s /spath="%USERPROFILE%\AppData\Local\Temp\OnboardLogs" /stypes="app*4015*20170522*"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162-22 --locoid 4015 --swversion DE.1.0.9.0 --startMP 204:233006 --initTime 2017-05-22T12:08:27 --startdatetime 2017-05-22T12:12:49 --delay 2 --endMP 204:149 --enddatetime 2017-05-22T12:52:07 --enforcementcount 0 &gt;&gt;C:\Users\stu\Documents\GitHub\eaglep3-reporting\EC\2017-05-22-refined-times.txt</v>
      </c>
      <c r="AI74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ID","value":"162-22"},{"id":16,"name":"Locomotive ID","value":"4015"},{"id":130,"name":"Impact","value":""},{"id":150,"name":"Time of Event (Mountain Time)","value":"12:52:07"},{"id":151,"name":"Denver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4015 --day 2017-05-22</v>
      </c>
      <c r="AN74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707</v>
      </c>
      <c r="B75" s="7">
        <v>4014</v>
      </c>
      <c r="C75" s="21" t="s">
        <v>206</v>
      </c>
      <c r="D75" s="21" t="s">
        <v>859</v>
      </c>
      <c r="E75" s="13">
        <v>42877.473217592589</v>
      </c>
      <c r="F75" s="13">
        <v>42877.479328703703</v>
      </c>
      <c r="G75" s="7">
        <v>1</v>
      </c>
      <c r="H75" s="21" t="s">
        <v>486</v>
      </c>
      <c r="I75" s="13">
        <v>42877.505856481483</v>
      </c>
      <c r="J75" s="7">
        <v>0</v>
      </c>
      <c r="K75" s="92" t="str">
        <f t="shared" si="0"/>
        <v>4013/4014</v>
      </c>
      <c r="L75" s="21" t="str">
        <f>VLOOKUP(A75,'Trips&amp;Operators'!$C$1:$G$99999,5,FALSE)</f>
        <v>CLARK KATHLEEN</v>
      </c>
      <c r="M75" s="6">
        <f t="shared" si="1"/>
        <v>2.6527777779847383E-2</v>
      </c>
      <c r="N75" s="7">
        <f t="shared" si="32"/>
        <v>38.200000002980232</v>
      </c>
      <c r="O75" s="7"/>
      <c r="P75" s="7"/>
      <c r="Q75" s="22"/>
      <c r="R75" s="190"/>
      <c r="S75" s="196">
        <f t="shared" si="34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-22T10:21:26-0600',mode:absolute,to:'2017-05-22T13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192" t="str">
        <f t="shared" si="6"/>
        <v>N</v>
      </c>
      <c r="X75" s="192">
        <f t="shared" si="33"/>
        <v>1</v>
      </c>
      <c r="Y75" s="192">
        <f t="shared" si="8"/>
        <v>4.4200000000000003E-2</v>
      </c>
      <c r="Z75" s="192">
        <f t="shared" si="9"/>
        <v>23.328199999999999</v>
      </c>
      <c r="AA75" s="192">
        <f t="shared" si="10"/>
        <v>23.283999999999999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0163-22</v>
      </c>
      <c r="AE75" s="80" t="str">
        <f t="shared" si="12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75" s="77" t="str">
        <f t="shared" si="13"/>
        <v>"C:\Program Files (x86)\AstroGrep\AstroGrep.exe" /e /r /s /spath="%USERPROFILE%\AppData\Local\Temp\OnboardLogs" /stypes="app*4014*20170522*"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163-22 --locoid 4014 --swversion DE.1.0.9.0 --startMP 204:442 --initTime 2017-05-22T11:21:26 --startdatetime 2017-05-22T11:30:14 --delay 1 --endMP 204:233282 --enddatetime 2017-05-22T12:08:26 --enforcementcount 0 &gt;&gt;C:\Users\stu\Documents\GitHub\eaglep3-reporting\EC\2017-05-22-refined-times.txt</v>
      </c>
      <c r="AI75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{"issue":{"subject":"","project_id":79,"tracker_id":40,"status_id":1,"priority_id":2,"assigned_to_id":23,"start_date":"2017-05-22","description":"","custom_fields":[{"id":1,"name":"Subdivision","value":"EC"},{"id":4,"name":"Milepost","value":"23.3282"},{"id":17,"name":"Train ID","value":"163-22"},{"id":16,"name":"Locomotive ID","value":"4014"},{"id":130,"name":"Impact","value":""},{"id":150,"name":"Time of Event (Mountain Time)","value":"12:08:26"},{"id":151,"name":"Denver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4014 --day 2017-05-22</v>
      </c>
      <c r="AN75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720</v>
      </c>
      <c r="B76" s="7">
        <v>4013</v>
      </c>
      <c r="C76" s="21" t="s">
        <v>206</v>
      </c>
      <c r="D76" s="21" t="s">
        <v>466</v>
      </c>
      <c r="E76" s="13">
        <v>42877.513773148145</v>
      </c>
      <c r="F76" s="13">
        <v>42877.518923611111</v>
      </c>
      <c r="G76" s="7">
        <v>1</v>
      </c>
      <c r="H76" s="21" t="s">
        <v>530</v>
      </c>
      <c r="I76" s="13">
        <v>42877.546805555554</v>
      </c>
      <c r="J76" s="7">
        <v>0</v>
      </c>
      <c r="K76" s="92" t="str">
        <f t="shared" si="0"/>
        <v>4013/4014</v>
      </c>
      <c r="L76" s="21" t="str">
        <f>VLOOKUP(A76,'Trips&amp;Operators'!$C$1:$G$99999,5,FALSE)</f>
        <v>CLARK KATHLEEN</v>
      </c>
      <c r="M76" s="6">
        <f t="shared" si="1"/>
        <v>2.7881944442924578E-2</v>
      </c>
      <c r="N76" s="7">
        <f t="shared" si="32"/>
        <v>40.149999997811392</v>
      </c>
      <c r="O76" s="7"/>
      <c r="P76" s="7"/>
      <c r="Q76" s="22"/>
      <c r="R76" s="190"/>
      <c r="S76" s="196">
        <f t="shared" si="34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-22T11:19:50-0600',mode:absolute,to:'2017-05-22T14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192" t="str">
        <f t="shared" si="6"/>
        <v>N</v>
      </c>
      <c r="X76" s="192">
        <f t="shared" si="33"/>
        <v>1</v>
      </c>
      <c r="Y76" s="192">
        <f t="shared" si="8"/>
        <v>23.296500000000002</v>
      </c>
      <c r="Z76" s="192">
        <f t="shared" si="9"/>
        <v>1.72E-2</v>
      </c>
      <c r="AA76" s="192">
        <f t="shared" si="10"/>
        <v>23.279300000000003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0164-22</v>
      </c>
      <c r="AE76" s="80" t="str">
        <f t="shared" si="12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76" s="77" t="str">
        <f t="shared" si="13"/>
        <v>"C:\Program Files (x86)\AstroGrep\AstroGrep.exe" /e /r /s /spath="%USERPROFILE%\AppData\Local\Temp\OnboardLogs" /stypes="app*4013*20170522*"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164-22 --locoid 4013 --swversion DE.1.0.9.0 --startMP 204:232965 --initTime 2017-05-22T12:19:50 --startdatetime 2017-05-22T12:27:15 --delay 1 --endMP 204:172 --enddatetime 2017-05-22T13:07:24 --enforcementcount 0 &gt;&gt;C:\Users\stu\Documents\GitHub\eaglep3-reporting\EC\2017-05-22-refined-times.txt</v>
      </c>
      <c r="AI76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{"issue":{"subject":"","project_id":79,"tracker_id":40,"status_id":1,"priority_id":2,"assigned_to_id":23,"start_date":"2017-05-22","description":"","custom_fields":[{"id":1,"name":"Subdivision","value":"EC"},{"id":4,"name":"Milepost","value":"0.0172"},{"id":17,"name":"Train ID","value":"164-22"},{"id":16,"name":"Locomotive ID","value":"4013"},{"id":130,"name":"Impact","value":""},{"id":150,"name":"Time of Event (Mountain Time)","value":"13:07:24"},{"id":151,"name":"Denver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4013 --day 2017-05-22</v>
      </c>
      <c r="AN76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710</v>
      </c>
      <c r="B77" s="7">
        <v>4026</v>
      </c>
      <c r="C77" s="21" t="s">
        <v>206</v>
      </c>
      <c r="D77" s="21" t="s">
        <v>405</v>
      </c>
      <c r="E77" s="13">
        <v>42877.486851851849</v>
      </c>
      <c r="F77" s="13">
        <v>42877.489849537036</v>
      </c>
      <c r="G77" s="7">
        <v>1</v>
      </c>
      <c r="H77" s="21" t="s">
        <v>840</v>
      </c>
      <c r="I77" s="13">
        <v>42877.515798611108</v>
      </c>
      <c r="J77" s="7">
        <v>0</v>
      </c>
      <c r="K77" s="92" t="str">
        <f t="shared" ref="K77:K140" si="35">IF(ISEVEN(B77),(B77-1)&amp;"/"&amp;B77,B77&amp;"/"&amp;(B77+1))</f>
        <v>4025/4026</v>
      </c>
      <c r="L77" s="21" t="str">
        <f>VLOOKUP(A77,'Trips&amp;Operators'!$C$1:$G$99999,5,FALSE)</f>
        <v>LEVERE CRAIG</v>
      </c>
      <c r="M77" s="6">
        <f t="shared" ref="M77:M140" si="36">I77-F77</f>
        <v>2.5949074071832001E-2</v>
      </c>
      <c r="N77" s="7">
        <f t="shared" si="32"/>
        <v>37.366666663438082</v>
      </c>
      <c r="O77" s="7"/>
      <c r="P77" s="7"/>
      <c r="Q77" s="22"/>
      <c r="R77" s="190"/>
      <c r="S77" s="196">
        <f t="shared" ref="S77:S82" si="37">SUM(U77:U77)/IF(AG77="EC",12,1)</f>
        <v>1</v>
      </c>
      <c r="T77" s="190" t="str">
        <f t="shared" ref="T77:T140" si="38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-22T10:41:04-0600',mode:absolute,to:'2017-05-22T13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2" t="str">
        <f t="shared" ref="W77:W140" si="40">IF(AA77&lt;IF(AG77="EC",23,5.65),"Y","N")</f>
        <v>N</v>
      </c>
      <c r="X77" s="192">
        <f t="shared" si="33"/>
        <v>1</v>
      </c>
      <c r="Y77" s="192">
        <f t="shared" ref="Y77:Y140" si="41">RIGHT(D77,LEN(D77)-4)/10000</f>
        <v>4.6199999999999998E-2</v>
      </c>
      <c r="Z77" s="192">
        <f t="shared" ref="Z77:Z140" si="42">RIGHT(H77,LEN(H77)-4)/10000</f>
        <v>23.330400000000001</v>
      </c>
      <c r="AA77" s="192">
        <f t="shared" ref="AA77:AA140" si="43">ABS(Z77-Y77)</f>
        <v>23.284200000000002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4">IF(LEN(A77)=6,"0"&amp;A77,A77)</f>
        <v>0165-22</v>
      </c>
      <c r="AE77" s="80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77" s="77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/stypes="app*4026*20170522*"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7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165-22 --locoid 4026 --swversion DE.1.0.9.0 --startMP 204:462 --initTime 2017-05-22T11:41:04 --startdatetime 2017-05-22T11:45:23 --delay 1 --endMP 204:233304 --enddatetime 2017-05-22T12:22:45 --enforcementcount 0 &gt;&gt;C:\Users\stu\Documents\GitHub\eaglep3-reporting\EC\2017-05-22-refined-times.txt</v>
      </c>
      <c r="AI77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{"issue":{"subject":"","project_id":79,"tracker_id":40,"status_id":1,"priority_id":2,"assigned_to_id":23,"start_date":"2017-05-22","description":"","custom_fields":[{"id":1,"name":"Subdivision","value":"EC"},{"id":4,"name":"Milepost","value":"23.3304"},{"id":17,"name":"Train ID","value":"165-22"},{"id":16,"name":"Locomotive ID","value":"4026"},{"id":130,"name":"Impact","value":""},{"id":150,"name":"Time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4026 --day 2017-05-22</v>
      </c>
      <c r="AN77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721</v>
      </c>
      <c r="B78" s="7">
        <v>4025</v>
      </c>
      <c r="C78" s="21" t="s">
        <v>206</v>
      </c>
      <c r="D78" s="21" t="s">
        <v>837</v>
      </c>
      <c r="E78" s="13">
        <v>42877.526423611111</v>
      </c>
      <c r="F78" s="13">
        <v>42877.529351851852</v>
      </c>
      <c r="G78" s="7">
        <v>1</v>
      </c>
      <c r="H78" s="21" t="s">
        <v>197</v>
      </c>
      <c r="I78" s="13">
        <v>42877.557962962965</v>
      </c>
      <c r="J78" s="7">
        <v>0</v>
      </c>
      <c r="K78" s="92" t="str">
        <f t="shared" si="35"/>
        <v>4025/4026</v>
      </c>
      <c r="L78" s="21" t="str">
        <f>VLOOKUP(A78,'Trips&amp;Operators'!$C$1:$G$99999,5,FALSE)</f>
        <v>LEVERE CRAIG</v>
      </c>
      <c r="M78" s="6">
        <f t="shared" si="36"/>
        <v>2.8611111112695653E-2</v>
      </c>
      <c r="N78" s="7">
        <f t="shared" si="32"/>
        <v>41.20000000228174</v>
      </c>
      <c r="O78" s="7"/>
      <c r="P78" s="7"/>
      <c r="Q78" s="22"/>
      <c r="R78" s="190"/>
      <c r="S78" s="196">
        <f t="shared" si="37"/>
        <v>1</v>
      </c>
      <c r="T78" s="190" t="str">
        <f t="shared" si="38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9"/>
        <v>https://d0f6bd738d7f1b3e5a7ca70fe4ff75f0.us-east-1.aws.found.io/app/kibana#/discover/Steve-Slow-Train-Analysis-(2080s-and-2083s)?_g=(refreshInterval:(display:Off,pause:!f,section:0,value:0),time:(from:'2017-05-22T11:38:03-0600',mode:absolute,to:'2017-05-22T14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2" t="str">
        <f t="shared" si="40"/>
        <v>N</v>
      </c>
      <c r="X78" s="192">
        <f t="shared" si="33"/>
        <v>1</v>
      </c>
      <c r="Y78" s="192">
        <f t="shared" si="41"/>
        <v>23.296800000000001</v>
      </c>
      <c r="Z78" s="192">
        <f t="shared" si="42"/>
        <v>1.52E-2</v>
      </c>
      <c r="AA78" s="192">
        <f t="shared" si="43"/>
        <v>23.281600000000001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4"/>
        <v>0166-22</v>
      </c>
      <c r="AE78" s="80" t="str">
        <f t="shared" si="45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78" s="77" t="str">
        <f t="shared" si="46"/>
        <v>"C:\Program Files (x86)\AstroGrep\AstroGrep.exe" /e /r /s /spath="%USERPROFILE%\AppData\Local\Temp\OnboardLogs" /stypes="app*4025*20170522*" /stext=" 19:.+((SYSTEM_STATE.+slice.+state.+changed )|(ment ac)|(multiple cpu faults)|(system.+state.+changed )|(\[timeout)|(PRM\|1\|D)|(kpr)|(kdp)|(train st.+moving)|(\|lc)|(penalty))"</v>
      </c>
      <c r="AG78" s="1" t="str">
        <f t="shared" si="47"/>
        <v>EC</v>
      </c>
      <c r="AH78" s="81" t="str">
        <f t="shared" si="19"/>
        <v>"%USERPROFILE%\Documents\GitHub\eaglep3\Utilities\RefineRTDCRunTimes.py" --tripid 166-22 --locoid 4025 --swversion DE.1.0.9.0 --startMP 204:232968 --initTime 2017-05-22T12:38:03 --startdatetime 2017-05-22T12:42:16 --delay 1 --endMP 204:152 --enddatetime 2017-05-22T13:23:28 --enforcementcount 0 &gt;&gt;C:\Users\stu\Documents\GitHub\eaglep3-reporting\EC\2017-05-22-refined-times.txt</v>
      </c>
      <c r="AI78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{"issue":{"subject":"","project_id":79,"tracker_id":40,"status_id":1,"priority_id":2,"assigned_to_id":23,"start_date":"2017-05-22","description":"","custom_fields":[{"id":1,"name":"Subdivision","value":"EC"},{"id":4,"name":"Milepost","value":"0.0152"},{"id":17,"name":"Train ID","value":"166-22"},{"id":16,"name":"Locomotive ID","value":"4025"},{"id":130,"name":"Impact","value":""},{"id":150,"name":"Time of Event (Mountain Time)","value":"13:23:28"},{"id":151,"name":"Denver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1"/>
        <v>start /low /b %USERPROFILE%\Documents\GitHub\eaglep3\Utilities\DownloadLogsFromS3.py --loco 4025 --day 2017-05-22</v>
      </c>
      <c r="AN78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714</v>
      </c>
      <c r="B79" s="7">
        <v>4006</v>
      </c>
      <c r="C79" s="21" t="s">
        <v>206</v>
      </c>
      <c r="D79" s="21" t="s">
        <v>354</v>
      </c>
      <c r="E79" s="13">
        <v>42877.497337962966</v>
      </c>
      <c r="F79" s="13">
        <v>42877.500185185185</v>
      </c>
      <c r="G79" s="7">
        <v>1</v>
      </c>
      <c r="H79" s="21" t="s">
        <v>486</v>
      </c>
      <c r="I79" s="13">
        <v>42877.525289351855</v>
      </c>
      <c r="J79" s="7">
        <v>0</v>
      </c>
      <c r="K79" s="92" t="str">
        <f t="shared" si="35"/>
        <v>4005/4006</v>
      </c>
      <c r="L79" s="21" t="str">
        <f>VLOOKUP(A79,'Trips&amp;Operators'!$C$1:$G$99999,5,FALSE)</f>
        <v>BRUDER RICHARD</v>
      </c>
      <c r="M79" s="6">
        <f t="shared" si="36"/>
        <v>2.510416667064419E-2</v>
      </c>
      <c r="N79" s="7">
        <f t="shared" si="32"/>
        <v>36.150000005727634</v>
      </c>
      <c r="O79" s="7"/>
      <c r="P79" s="7"/>
      <c r="Q79" s="22"/>
      <c r="R79" s="190"/>
      <c r="S79" s="196">
        <f t="shared" si="37"/>
        <v>1</v>
      </c>
      <c r="T79" s="190" t="str">
        <f t="shared" si="38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9"/>
        <v>https://d0f6bd738d7f1b3e5a7ca70fe4ff75f0.us-east-1.aws.found.io/app/kibana#/discover/Steve-Slow-Train-Analysis-(2080s-and-2083s)?_g=(refreshInterval:(display:Off,pause:!f,section:0,value:0),time:(from:'2017-05-22T10:56:10-0600',mode:absolute,to:'2017-05-22T13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192" t="str">
        <f t="shared" si="40"/>
        <v>N</v>
      </c>
      <c r="X79" s="192">
        <f t="shared" si="33"/>
        <v>1</v>
      </c>
      <c r="Y79" s="192">
        <f t="shared" si="41"/>
        <v>4.58E-2</v>
      </c>
      <c r="Z79" s="192">
        <f t="shared" si="42"/>
        <v>23.328199999999999</v>
      </c>
      <c r="AA79" s="192">
        <f t="shared" si="43"/>
        <v>23.282399999999999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4"/>
        <v>0167-22</v>
      </c>
      <c r="AE79" s="80" t="str">
        <f t="shared" si="45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79" s="77" t="str">
        <f t="shared" si="46"/>
        <v>"C:\Program Files (x86)\AstroGrep\AstroGrep.exe" /e /r /s /spath="%USERPROFILE%\AppData\Local\Temp\OnboardLogs" /stypes="app*4006*20170522*" /stext=" 18:.+((SYSTEM_STATE.+slice.+state.+changed )|(ment ac)|(multiple cpu faults)|(system.+state.+changed )|(\[timeout)|(PRM\|1\|D)|(kpr)|(kdp)|(train st.+moving)|(\|lc)|(penalty))"</v>
      </c>
      <c r="AG79" s="1" t="str">
        <f t="shared" si="47"/>
        <v>EC</v>
      </c>
      <c r="AH79" s="81" t="str">
        <f t="shared" si="19"/>
        <v>"%USERPROFILE%\Documents\GitHub\eaglep3\Utilities\RefineRTDCRunTimes.py" --tripid 167-22 --locoid 4006 --swversion DE.1.0.9.0 --startMP 204:458 --initTime 2017-05-22T11:56:10 --startdatetime 2017-05-22T12:00:16 --delay 1 --endMP 204:233282 --enddatetime 2017-05-22T12:36:25 --enforcementcount 0 &gt;&gt;C:\Users\stu\Documents\GitHub\eaglep3-reporting\EC\2017-05-22-refined-times.txt</v>
      </c>
      <c r="AI79" s="99" t="str">
        <f t="shared" si="20"/>
        <v>echo {"issue":{"subject":"","project_id":79,"tracker_id":40,"status_id":1,"priority_id":2,"assigned_to_id":23,"start_date":"2017-05-22","description":"","custom_fields":[{"id":1,"name":"Subdivision","value":"EC"},{"id":4,"name":"Milepost","value":"23.3282"},{"id":17,"name":"Train ID","value":"167-22"},{"id":16,"name":"Locomotive ID","value":"4006"},{"id":130,"name":"Impact","value":""},{"id":150,"name":"Time of Event (Mountain Time)","value":"12:36:25"},{"id":151,"name":"Denver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21"/>
        <v>start /low /b %USERPROFILE%\Documents\GitHub\eaglep3\Utilities\DownloadLogsFromS3.py --loco 4006 --day 2017-05-22</v>
      </c>
      <c r="AN79" s="154" t="str">
        <f t="shared" si="22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724</v>
      </c>
      <c r="B80" s="7">
        <v>4005</v>
      </c>
      <c r="C80" s="21" t="s">
        <v>206</v>
      </c>
      <c r="D80" s="21" t="s">
        <v>842</v>
      </c>
      <c r="E80" s="13">
        <v>42877.53533564815</v>
      </c>
      <c r="F80" s="13">
        <v>42877.540162037039</v>
      </c>
      <c r="G80" s="7">
        <v>1</v>
      </c>
      <c r="H80" s="21" t="s">
        <v>413</v>
      </c>
      <c r="I80" s="13">
        <v>42877.567673611113</v>
      </c>
      <c r="J80" s="7">
        <v>0</v>
      </c>
      <c r="K80" s="92" t="str">
        <f t="shared" si="35"/>
        <v>4005/4006</v>
      </c>
      <c r="L80" s="21" t="str">
        <f>VLOOKUP(A80,'Trips&amp;Operators'!$C$1:$G$99999,5,FALSE)</f>
        <v>BRUDER RICHARD</v>
      </c>
      <c r="M80" s="6">
        <f t="shared" si="36"/>
        <v>2.7511574073287193E-2</v>
      </c>
      <c r="N80" s="7">
        <f t="shared" si="32"/>
        <v>39.616666665533558</v>
      </c>
      <c r="O80" s="7"/>
      <c r="P80" s="7"/>
      <c r="Q80" s="22"/>
      <c r="R80" s="190"/>
      <c r="S80" s="196">
        <f t="shared" si="37"/>
        <v>1</v>
      </c>
      <c r="T80" s="190" t="str">
        <f t="shared" si="38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9"/>
        <v>https://d0f6bd738d7f1b3e5a7ca70fe4ff75f0.us-east-1.aws.found.io/app/kibana#/discover/Steve-Slow-Train-Analysis-(2080s-and-2083s)?_g=(refreshInterval:(display:Off,pause:!f,section:0,value:0),time:(from:'2017-05-22T11:50:53-0600',mode:absolute,to:'2017-05-22T14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192" t="str">
        <f t="shared" si="40"/>
        <v>N</v>
      </c>
      <c r="X80" s="192">
        <f t="shared" si="33"/>
        <v>1</v>
      </c>
      <c r="Y80" s="192">
        <f t="shared" si="41"/>
        <v>23.297999999999998</v>
      </c>
      <c r="Z80" s="192">
        <f t="shared" si="42"/>
        <v>1.54E-2</v>
      </c>
      <c r="AA80" s="192">
        <f t="shared" si="43"/>
        <v>23.282599999999999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4"/>
        <v>0168-22</v>
      </c>
      <c r="AE80" s="80" t="str">
        <f t="shared" si="45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80" s="77" t="str">
        <f t="shared" si="46"/>
        <v>"C:\Program Files (x86)\AstroGrep\AstroGrep.exe" /e /r /s /spath="%USERPROFILE%\AppData\Local\Temp\OnboardLogs" /stypes="app*4005*20170522*" /stext=" 19:.+((SYSTEM_STATE.+slice.+state.+changed )|(ment ac)|(multiple cpu faults)|(system.+state.+changed )|(\[timeout)|(PRM\|1\|D)|(kpr)|(kdp)|(train st.+moving)|(\|lc)|(penalty))"</v>
      </c>
      <c r="AG80" s="1" t="str">
        <f t="shared" si="47"/>
        <v>EC</v>
      </c>
      <c r="AH80" s="81" t="str">
        <f t="shared" ref="AH80:AH143" si="4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168-22 --locoid 4005 --swversion DE.1.0.9.0 --startMP 204:232980 --initTime 2017-05-22T12:50:53 --startdatetime 2017-05-22T12:57:50 --delay 1 --endMP 204:154 --enddatetime 2017-05-22T13:37:27 --enforcementcount 0 &gt;&gt;C:\Users\stu\Documents\GitHub\eaglep3-reporting\EC\2017-05-22-refined-times.txt</v>
      </c>
      <c r="AI80" s="99" t="str">
        <f t="shared" ref="AI80:AI143" si="4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ID","value":"168-22"},{"id":16,"name":"Locomotive ID","value":"4005"},{"id":130,"name":"Impact","value":""},{"id":150,"name":"Time of Event (Mountain Time)","value":"13:37:27"},{"id":151,"name":"Denver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ref="AM80:AM143" si="50">"start /low /b "&amp;dls3logs&amp;" --loco "&amp;B80&amp;" --day "&amp;TEXT(F80,"YYYY-MM-DD")</f>
        <v>start /low /b %USERPROFILE%\Documents\GitHub\eaglep3\Utilities\DownloadLogsFromS3.py --loco 4005 --day 2017-05-22</v>
      </c>
      <c r="AN80" s="154" t="str">
        <f t="shared" ref="AN80:AN143" si="51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717</v>
      </c>
      <c r="B81" s="7">
        <v>4008</v>
      </c>
      <c r="C81" s="21" t="s">
        <v>206</v>
      </c>
      <c r="D81" s="21" t="s">
        <v>407</v>
      </c>
      <c r="E81" s="13">
        <v>42877.506168981483</v>
      </c>
      <c r="F81" s="13">
        <v>42877.510821759257</v>
      </c>
      <c r="G81" s="7">
        <v>2</v>
      </c>
      <c r="H81" s="21" t="s">
        <v>860</v>
      </c>
      <c r="I81" s="13">
        <v>42877.536736111113</v>
      </c>
      <c r="J81" s="7">
        <v>0</v>
      </c>
      <c r="K81" s="92" t="str">
        <f t="shared" si="35"/>
        <v>4007/4008</v>
      </c>
      <c r="L81" s="21" t="str">
        <f>VLOOKUP(A81,'Trips&amp;Operators'!$C$1:$G$99999,5,FALSE)</f>
        <v>BRANDNER MELINDA</v>
      </c>
      <c r="M81" s="6">
        <f t="shared" si="36"/>
        <v>2.5914351856044959E-2</v>
      </c>
      <c r="N81" s="7">
        <f t="shared" si="32"/>
        <v>37.316666672704741</v>
      </c>
      <c r="O81" s="7"/>
      <c r="P81" s="7"/>
      <c r="Q81" s="22"/>
      <c r="R81" s="190"/>
      <c r="S81" s="196">
        <f t="shared" si="37"/>
        <v>1</v>
      </c>
      <c r="T81" s="190" t="str">
        <f t="shared" si="38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9"/>
        <v>https://d0f6bd738d7f1b3e5a7ca70fe4ff75f0.us-east-1.aws.found.io/app/kibana#/discover/Steve-Slow-Train-Analysis-(2080s-and-2083s)?_g=(refreshInterval:(display:Off,pause:!f,section:0,value:0),time:(from:'2017-05-22T11:08:53-0600',mode:absolute,to:'2017-05-22T13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2" t="str">
        <f t="shared" si="40"/>
        <v>N</v>
      </c>
      <c r="X81" s="192">
        <f t="shared" si="33"/>
        <v>1</v>
      </c>
      <c r="Y81" s="192">
        <f t="shared" si="41"/>
        <v>4.7699999999999999E-2</v>
      </c>
      <c r="Z81" s="192">
        <f t="shared" si="42"/>
        <v>23.328700000000001</v>
      </c>
      <c r="AA81" s="192">
        <f t="shared" si="43"/>
        <v>23.281000000000002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4"/>
        <v>0169-22</v>
      </c>
      <c r="AE81" s="80" t="str">
        <f t="shared" si="45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81" s="77" t="str">
        <f t="shared" si="46"/>
        <v>"C:\Program Files (x86)\AstroGrep\AstroGrep.exe" /e /r /s /spath="%USERPROFILE%\AppData\Local\Temp\OnboardLogs" /stypes="app*4008*20170522*" /stext=" 18:.+((SYSTEM_STATE.+slice.+state.+changed )|(ment ac)|(multiple cpu faults)|(system.+state.+changed )|(\[timeout)|(PRM\|1\|D)|(kpr)|(kdp)|(train st.+moving)|(\|lc)|(penalty))"</v>
      </c>
      <c r="AG81" s="1" t="str">
        <f t="shared" si="47"/>
        <v>EC</v>
      </c>
      <c r="AH81" s="81" t="str">
        <f t="shared" si="48"/>
        <v>"%USERPROFILE%\Documents\GitHub\eaglep3\Utilities\RefineRTDCRunTimes.py" --tripid 169-22 --locoid 4008 --swversion DE.1.0.9.0 --startMP 204:477 --initTime 2017-05-22T12:08:53 --startdatetime 2017-05-22T12:15:35 --delay 2 --endMP 204:233287 --enddatetime 2017-05-22T12:52:54 --enforcementcount 0 &gt;&gt;C:\Users\stu\Documents\GitHub\eaglep3-reporting\EC\2017-05-22-refined-times.txt</v>
      </c>
      <c r="AI8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{"issue":{"subject":"","project_id":79,"tracker_id":40,"status_id":1,"priority_id":2,"assigned_to_id":23,"start_date":"2017-05-22","description":"","custom_fields":[{"id":1,"name":"Subdivision","value":"EC"},{"id":4,"name":"Milepost","value":"23.3287"},{"id":17,"name":"Train ID","value":"169-22"},{"id":16,"name":"Locomotive ID","value":"4008"},{"id":130,"name":"Impact","value":""},{"id":150,"name":"Time of Event (Mountain Time)","value":"12:52:54"},{"id":151,"name":"Denver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50"/>
        <v>start /low /b %USERPROFILE%\Documents\GitHub\eaglep3\Utilities\DownloadLogsFromS3.py --loco 4008 --day 2017-05-22</v>
      </c>
      <c r="AN81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725</v>
      </c>
      <c r="B82" s="7">
        <v>4007</v>
      </c>
      <c r="C82" s="21" t="s">
        <v>206</v>
      </c>
      <c r="D82" s="21" t="s">
        <v>861</v>
      </c>
      <c r="E82" s="13">
        <v>42877.545439814814</v>
      </c>
      <c r="F82" s="13">
        <v>42877.550162037034</v>
      </c>
      <c r="G82" s="7">
        <v>3</v>
      </c>
      <c r="H82" s="21" t="s">
        <v>348</v>
      </c>
      <c r="I82" s="13">
        <v>42877.578055555554</v>
      </c>
      <c r="J82" s="7">
        <v>0</v>
      </c>
      <c r="K82" s="92" t="str">
        <f t="shared" si="35"/>
        <v>4007/4008</v>
      </c>
      <c r="L82" s="21" t="str">
        <f>VLOOKUP(A82,'Trips&amp;Operators'!$C$1:$G$99999,5,FALSE)</f>
        <v>BRANDNER MELINDA</v>
      </c>
      <c r="M82" s="6">
        <f t="shared" si="36"/>
        <v>2.789351851970423E-2</v>
      </c>
      <c r="N82" s="7">
        <f t="shared" si="32"/>
        <v>40.166666668374091</v>
      </c>
      <c r="O82" s="7"/>
      <c r="P82" s="7"/>
      <c r="Q82" s="22"/>
      <c r="R82" s="190"/>
      <c r="S82" s="196">
        <f t="shared" si="37"/>
        <v>1</v>
      </c>
      <c r="T82" s="190" t="str">
        <f t="shared" si="38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9"/>
        <v>https://d0f6bd738d7f1b3e5a7ca70fe4ff75f0.us-east-1.aws.found.io/app/kibana#/discover/Steve-Slow-Train-Analysis-(2080s-and-2083s)?_g=(refreshInterval:(display:Off,pause:!f,section:0,value:0),time:(from:'2017-05-22T12:05:26-0600',mode:absolute,to:'2017-05-22T14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2" t="str">
        <f t="shared" si="40"/>
        <v>N</v>
      </c>
      <c r="X82" s="192">
        <f t="shared" si="33"/>
        <v>1</v>
      </c>
      <c r="Y82" s="192">
        <f t="shared" si="41"/>
        <v>23.297899999999998</v>
      </c>
      <c r="Z82" s="192">
        <f t="shared" si="42"/>
        <v>1.38E-2</v>
      </c>
      <c r="AA82" s="192">
        <f t="shared" si="43"/>
        <v>23.284099999999999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4"/>
        <v>0170-22</v>
      </c>
      <c r="AE82" s="80" t="str">
        <f t="shared" si="45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82" s="77" t="str">
        <f t="shared" si="46"/>
        <v>"C:\Program Files (x86)\AstroGrep\AstroGrep.exe" /e /r /s /spath="%USERPROFILE%\AppData\Local\Temp\OnboardLogs" /stypes="app*4007*20170522*" /stext=" 19:.+((SYSTEM_STATE.+slice.+state.+changed )|(ment ac)|(multiple cpu faults)|(system.+state.+changed )|(\[timeout)|(PRM\|1\|D)|(kpr)|(kdp)|(train st.+moving)|(\|lc)|(penalty))"</v>
      </c>
      <c r="AG82" s="1" t="str">
        <f t="shared" si="47"/>
        <v>EC</v>
      </c>
      <c r="AH82" s="81" t="str">
        <f t="shared" si="48"/>
        <v>"%USERPROFILE%\Documents\GitHub\eaglep3\Utilities\RefineRTDCRunTimes.py" --tripid 170-22 --locoid 4007 --swversion DE.1.0.9.0 --startMP 204:232979 --initTime 2017-05-22T13:05:26 --startdatetime 2017-05-22T13:12:14 --delay 3 --endMP 204:138 --enddatetime 2017-05-22T13:52:24 --enforcementcount 0 &gt;&gt;C:\Users\stu\Documents\GitHub\eaglep3-reporting\EC\2017-05-22-refined-times.txt</v>
      </c>
      <c r="AI82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{"issue":{"subject":"","project_id":79,"tracker_id":40,"status_id":1,"priority_id":2,"assigned_to_id":23,"start_date":"2017-05-22","description":"","custom_fields":[{"id":1,"name":"Subdivision","value":"EC"},{"id":4,"name":"Milepost","value":"0.0138"},{"id":17,"name":"Train ID","value":"170-22"},{"id":16,"name":"Locomotive ID","value":"4007"},{"id":130,"name":"Impact","value":""},{"id":150,"name":"Time of Event (Mountain Time)","value":"13:52:24"},{"id":151,"name":"Denver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50"/>
        <v>start /low /b %USERPROFILE%\Documents\GitHub\eaglep3\Utilities\DownloadLogsFromS3.py --loco 4007 --day 2017-05-22</v>
      </c>
      <c r="AN82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594</v>
      </c>
      <c r="B83" s="7">
        <v>4032</v>
      </c>
      <c r="C83" s="21" t="s">
        <v>206</v>
      </c>
      <c r="D83" s="21" t="s">
        <v>545</v>
      </c>
      <c r="E83" s="13">
        <v>42877.519305555557</v>
      </c>
      <c r="F83" s="13">
        <v>42877.520243055558</v>
      </c>
      <c r="G83" s="7">
        <v>1</v>
      </c>
      <c r="H83" s="21" t="s">
        <v>862</v>
      </c>
      <c r="I83" s="13">
        <v>42877.530601851853</v>
      </c>
      <c r="J83" s="7">
        <v>1</v>
      </c>
      <c r="K83" s="92" t="str">
        <f t="shared" si="35"/>
        <v>4031/4032</v>
      </c>
      <c r="L83" s="21" t="str">
        <f>VLOOKUP(A83,'Trips&amp;Operators'!$C$1:$G$99999,5,FALSE)</f>
        <v>WHITED DUSTIN</v>
      </c>
      <c r="M83" s="6">
        <f t="shared" si="36"/>
        <v>1.0358796294895001E-2</v>
      </c>
      <c r="N83" s="7"/>
      <c r="O83" s="7"/>
      <c r="P83" s="7">
        <f>24*60*SUM($M83:$M84)</f>
        <v>38.51666665985249</v>
      </c>
      <c r="Q83" s="22"/>
      <c r="R83" s="190" t="s">
        <v>468</v>
      </c>
      <c r="S83" s="196">
        <f>SUM(U83:U84)/IF(AG83="EC",12,1)</f>
        <v>0.91666666666666663</v>
      </c>
      <c r="T83" s="190" t="str">
        <f t="shared" si="38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8</v>
      </c>
      <c r="V83" s="191" t="str">
        <f t="shared" si="39"/>
        <v>https://d0f6bd738d7f1b3e5a7ca70fe4ff75f0.us-east-1.aws.found.io/app/kibana#/discover/Steve-Slow-Train-Analysis-(2080s-and-2083s)?_g=(refreshInterval:(display:Off,pause:!f,section:0,value:0),time:(from:'2017-05-22T11:27:48-0600',mode:absolute,to:'2017-05-22T13:44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2" t="str">
        <f t="shared" si="40"/>
        <v>Y</v>
      </c>
      <c r="X83" s="192">
        <f t="shared" si="33"/>
        <v>1</v>
      </c>
      <c r="Y83" s="192">
        <f t="shared" si="41"/>
        <v>5.4399999999999997E-2</v>
      </c>
      <c r="Z83" s="192">
        <f t="shared" si="42"/>
        <v>5.8902000000000001</v>
      </c>
      <c r="AA83" s="192">
        <f t="shared" si="43"/>
        <v>5.8357999999999999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4"/>
        <v>0171-22</v>
      </c>
      <c r="AE83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83" s="77" t="str">
        <f t="shared" si="46"/>
        <v>"C:\Program Files (x86)\AstroGrep\AstroGrep.exe" /e /r /s /spath="%USERPROFILE%\AppData\Local\Temp\OnboardLogs" /stypes="app*4032*20170522*" /stext=" 18:.+((SYSTEM_STATE.+slice.+state.+changed )|(ment ac)|(multiple cpu faults)|(system.+state.+changed )|(\[timeout)|(PRM\|1\|D)|(kpr)|(kdp)|(train st.+moving)|(\|lc)|(penalty))"</v>
      </c>
      <c r="AG83" s="1" t="str">
        <f t="shared" si="47"/>
        <v>EC</v>
      </c>
      <c r="AH83" s="81" t="str">
        <f t="shared" si="48"/>
        <v>"%USERPROFILE%\Documents\GitHub\eaglep3\Utilities\RefineRTDCRunTimes.py" --tripid 171-22 --locoid 4032 --swversion DE.1.0.9.0 --startMP 204:544 --initTime 2017-05-22T12:27:48 --startdatetime 2017-05-22T12:29:09 --delay 1 --endMP 204:58902 --enddatetime 2017-05-22T12:44:04 --enforcementcount 1 &gt;&gt;C:\Users\stu\Documents\GitHub\eaglep3-reporting\EC\2017-05-22-refined-times.txt</v>
      </c>
      <c r="AI83" s="99" t="str">
        <f t="shared" si="49"/>
        <v>echo {"issue":{"subject":"Wi-MAX data drop","project_id":79,"tracker_id":40,"status_id":1,"priority_id":2,"assigned_to_id":23,"start_date":"2017-05-22","description":"","custom_fields":[{"id":1,"name":"Subdivision","value":"EC"},{"id":4,"name":"Milepost","value":"5.8902"},{"id":17,"name":"Train ID","value":"171-22"},{"id":16,"name":"Locomotive ID","value":"4032"},{"id":130,"name":"Impact","value":""},{"id":150,"name":"Time of Event (Mountain Time)","value":"12:44:04"},{"id":151,"name":"Denver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0"/>
        <v>start /low /b %USERPROFILE%\Documents\GitHub\eaglep3\Utilities\DownloadLogsFromS3.py --loco 4032 --day 2017-05-22</v>
      </c>
      <c r="AN83" s="154" t="str">
        <f t="shared" si="51"/>
        <v>echo {"issue":{"subject":"Wi-MAX data drop","project_id":30,"tracker_id":4,"status_id":1,"priority_id":1,"assigned_to_id":10,"start_date":"2017-05-22","description":"","custom_fields":[{"id":30,"name":"Category","value":"Issue"},{"id":3,"name":"Functional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18:44:04"},{"id":29,"name":"Sharepoint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594</v>
      </c>
      <c r="B84" s="7">
        <v>4032</v>
      </c>
      <c r="C84" s="21" t="s">
        <v>206</v>
      </c>
      <c r="D84" s="21" t="s">
        <v>863</v>
      </c>
      <c r="E84" s="13">
        <v>42877.532268518517</v>
      </c>
      <c r="F84" s="13">
        <v>42877.533032407409</v>
      </c>
      <c r="G84" s="7">
        <v>1</v>
      </c>
      <c r="H84" s="21" t="s">
        <v>406</v>
      </c>
      <c r="I84" s="13">
        <v>42877.549421296295</v>
      </c>
      <c r="J84" s="7">
        <v>0</v>
      </c>
      <c r="K84" s="92" t="str">
        <f t="shared" si="35"/>
        <v>4031/4032</v>
      </c>
      <c r="L84" s="21" t="str">
        <f>VLOOKUP(A84,'Trips&amp;Operators'!$C$1:$G$99999,5,FALSE)</f>
        <v>WHITED DUSTIN</v>
      </c>
      <c r="M84" s="6">
        <f t="shared" si="36"/>
        <v>1.6388888885558117E-2</v>
      </c>
      <c r="N84" s="7"/>
      <c r="O84" s="7"/>
      <c r="P84" s="7"/>
      <c r="Q84" s="22"/>
      <c r="R84" s="190"/>
      <c r="S84" s="196"/>
      <c r="T84" s="190" t="str">
        <f t="shared" si="38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3</v>
      </c>
      <c r="V84" s="191" t="str">
        <f t="shared" si="39"/>
        <v>https://d0f6bd738d7f1b3e5a7ca70fe4ff75f0.us-east-1.aws.found.io/app/kibana#/discover/Steve-Slow-Train-Analysis-(2080s-and-2083s)?_g=(refreshInterval:(display:Off,pause:!f,section:0,value:0),time:(from:'2017-05-22T11:46:28-0600',mode:absolute,to:'2017-05-22T14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4" s="192" t="str">
        <f t="shared" si="40"/>
        <v>Y</v>
      </c>
      <c r="X84" s="192">
        <f t="shared" si="33"/>
        <v>0</v>
      </c>
      <c r="Y84" s="192">
        <f t="shared" si="41"/>
        <v>6.4691999999999998</v>
      </c>
      <c r="Z84" s="192">
        <f t="shared" si="42"/>
        <v>23.3293</v>
      </c>
      <c r="AA84" s="192">
        <f t="shared" si="43"/>
        <v>16.860099999999999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4"/>
        <v>0171-22</v>
      </c>
      <c r="AE84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84" s="77" t="str">
        <f t="shared" si="46"/>
        <v>"C:\Program Files (x86)\AstroGrep\AstroGrep.exe" /e /r /s /spath="%USERPROFILE%\AppData\Local\Temp\OnboardLogs" /stypes="app*4032*20170522*" /stext=" 19:.+((SYSTEM_STATE.+slice.+state.+changed )|(ment ac)|(multiple cpu faults)|(system.+state.+changed )|(\[timeout)|(PRM\|1\|D)|(kpr)|(kdp)|(train st.+moving)|(\|lc)|(penalty))"</v>
      </c>
      <c r="AG84" s="1" t="str">
        <f t="shared" si="47"/>
        <v>EC</v>
      </c>
      <c r="AH84" s="81" t="str">
        <f t="shared" si="48"/>
        <v>"%USERPROFILE%\Documents\GitHub\eaglep3\Utilities\RefineRTDCRunTimes.py" --tripid 171-22 --locoid 4032 --swversion DE.1.0.9.0 --startMP 204:64692 --initTime 2017-05-22T12:46:28 --startdatetime 2017-05-22T12:47:34 --delay 1 --endMP 204:233293 --enddatetime 2017-05-22T13:11:10 --enforcementcount 0 &gt;&gt;C:\Users\stu\Documents\GitHub\eaglep3-reporting\EC\2017-05-22-refined-times.txt</v>
      </c>
      <c r="AI84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{"issue":{"subject":"","project_id":79,"tracker_id":40,"status_id":1,"priority_id":2,"assigned_to_id":23,"start_date":"2017-05-22","description":"","custom_fields":[{"id":1,"name":"Subdivision","value":"EC"},{"id":4,"name":"Milepost","value":"23.3293"},{"id":17,"name":"Train ID","value":"171-22"},{"id":16,"name":"Locomotive ID","value":"4032"},{"id":130,"name":"Impact","value":""},{"id":150,"name":"Time of Event (Mountain Time)","value":"13:11:10"},{"id":151,"name":"Denver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50"/>
        <v>start /low /b %USERPROFILE%\Documents\GitHub\eaglep3\Utilities\DownloadLogsFromS3.py --loco 4032 --day 2017-05-22</v>
      </c>
      <c r="AN84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19:11:10"},{"id":29,"name":"Sharepoint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730</v>
      </c>
      <c r="B85" s="7">
        <v>4031</v>
      </c>
      <c r="C85" s="21" t="s">
        <v>206</v>
      </c>
      <c r="D85" s="21" t="s">
        <v>535</v>
      </c>
      <c r="E85" s="13">
        <v>42877.557233796295</v>
      </c>
      <c r="F85" s="13">
        <v>42877.560659722221</v>
      </c>
      <c r="G85" s="7">
        <v>1</v>
      </c>
      <c r="H85" s="21" t="s">
        <v>864</v>
      </c>
      <c r="I85" s="13">
        <v>42877.587650462963</v>
      </c>
      <c r="J85" s="7">
        <v>0</v>
      </c>
      <c r="K85" s="92" t="str">
        <f t="shared" si="35"/>
        <v>4031/4032</v>
      </c>
      <c r="L85" s="21" t="str">
        <f>VLOOKUP(A85,'Trips&amp;Operators'!$C$1:$G$99999,5,FALSE)</f>
        <v>WHITED DUSTIN</v>
      </c>
      <c r="M85" s="6">
        <f t="shared" si="36"/>
        <v>2.6990740741894115E-2</v>
      </c>
      <c r="N85" s="7">
        <f t="shared" ref="N85:N99" si="52">24*60*SUM($M85:$M85)</f>
        <v>38.866666668327525</v>
      </c>
      <c r="O85" s="7"/>
      <c r="P85" s="7"/>
      <c r="Q85" s="22"/>
      <c r="R85" s="190"/>
      <c r="S85" s="196">
        <f t="shared" ref="S85:S99" si="53">SUM(U85:U85)/IF(AG85="EC",12,1)</f>
        <v>1</v>
      </c>
      <c r="T85" s="190" t="str">
        <f t="shared" si="38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9"/>
        <v>https://d0f6bd738d7f1b3e5a7ca70fe4ff75f0.us-east-1.aws.found.io/app/kibana#/discover/Steve-Slow-Train-Analysis-(2080s-and-2083s)?_g=(refreshInterval:(display:Off,pause:!f,section:0,value:0),time:(from:'2017-05-22T12:22:25-0600',mode:absolute,to:'2017-05-22T15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5" s="192" t="str">
        <f t="shared" si="40"/>
        <v>N</v>
      </c>
      <c r="X85" s="192">
        <f t="shared" si="33"/>
        <v>1</v>
      </c>
      <c r="Y85" s="192">
        <f t="shared" si="41"/>
        <v>23.2986</v>
      </c>
      <c r="Z85" s="192">
        <f t="shared" si="42"/>
        <v>1.7999999999999999E-2</v>
      </c>
      <c r="AA85" s="192">
        <f t="shared" si="43"/>
        <v>23.2806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4"/>
        <v>0172-22</v>
      </c>
      <c r="AE85" s="80" t="str">
        <f t="shared" si="45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85" s="77" t="str">
        <f t="shared" si="46"/>
        <v>"C:\Program Files (x86)\AstroGrep\AstroGrep.exe" /e /r /s /spath="%USERPROFILE%\AppData\Local\Temp\OnboardLogs" /stypes="app*4031*20170522*" /stext=" 20:.+((SYSTEM_STATE.+slice.+state.+changed )|(ment ac)|(multiple cpu faults)|(system.+state.+changed )|(\[timeout)|(PRM\|1\|D)|(kpr)|(kdp)|(train st.+moving)|(\|lc)|(penalty))"</v>
      </c>
      <c r="AG85" s="1" t="str">
        <f t="shared" si="47"/>
        <v>EC</v>
      </c>
      <c r="AH85" s="81" t="str">
        <f t="shared" si="48"/>
        <v>"%USERPROFILE%\Documents\GitHub\eaglep3\Utilities\RefineRTDCRunTimes.py" --tripid 172-22 --locoid 4031 --swversion DE.1.0.9.0 --startMP 204:232986 --initTime 2017-05-22T13:22:25 --startdatetime 2017-05-22T13:27:21 --delay 1 --endMP 204:180 --enddatetime 2017-05-22T14:06:13 --enforcementcount 0 &gt;&gt;C:\Users\stu\Documents\GitHub\eaglep3-reporting\EC\2017-05-22-refined-times.txt</v>
      </c>
      <c r="AI85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{"issue":{"subject":"","project_id":79,"tracker_id":40,"status_id":1,"priority_id":2,"assigned_to_id":23,"start_date":"2017-05-22","description":"","custom_fields":[{"id":1,"name":"Subdivision","value":"EC"},{"id":4,"name":"Milepost","value":"0.018"},{"id":17,"name":"Train ID","value":"172-22"},{"id":16,"name":"Locomotive ID","value":"4031"},{"id":130,"name":"Impact","value":""},{"id":150,"name":"Time of Event (Mountain Time)","value":"14:06:13"},{"id":151,"name":"Denver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50"/>
        <v>start /low /b %USERPROFILE%\Documents\GitHub\eaglep3\Utilities\DownloadLogsFromS3.py --loco 4031 --day 2017-05-22</v>
      </c>
      <c r="AN85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722</v>
      </c>
      <c r="B86" s="7">
        <v>4010</v>
      </c>
      <c r="C86" s="21" t="s">
        <v>206</v>
      </c>
      <c r="D86" s="21" t="s">
        <v>347</v>
      </c>
      <c r="E86" s="13">
        <v>42877.527025462965</v>
      </c>
      <c r="F86" s="13">
        <v>42877.531412037039</v>
      </c>
      <c r="G86" s="7">
        <v>1</v>
      </c>
      <c r="H86" s="21" t="s">
        <v>526</v>
      </c>
      <c r="I86" s="13">
        <v>42877.55678240741</v>
      </c>
      <c r="J86" s="7">
        <v>0</v>
      </c>
      <c r="K86" s="92" t="str">
        <f t="shared" si="35"/>
        <v>4009/4010</v>
      </c>
      <c r="L86" s="21" t="str">
        <f>VLOOKUP(A86,'Trips&amp;Operators'!$C$1:$G$99999,5,FALSE)</f>
        <v>MCREYNOLDS KYLE</v>
      </c>
      <c r="M86" s="6">
        <f t="shared" si="36"/>
        <v>2.5370370371092577E-2</v>
      </c>
      <c r="N86" s="7">
        <f t="shared" si="52"/>
        <v>36.53333333437331</v>
      </c>
      <c r="O86" s="7"/>
      <c r="P86" s="7"/>
      <c r="Q86" s="22"/>
      <c r="R86" s="190"/>
      <c r="S86" s="196">
        <f t="shared" si="53"/>
        <v>1</v>
      </c>
      <c r="T86" s="190" t="str">
        <f t="shared" si="38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9"/>
        <v>https://d0f6bd738d7f1b3e5a7ca70fe4ff75f0.us-east-1.aws.found.io/app/kibana#/discover/Steve-Slow-Train-Analysis-(2080s-and-2083s)?_g=(refreshInterval:(display:Off,pause:!f,section:0,value:0),time:(from:'2017-05-22T11:38:55-0600',mode:absolute,to:'2017-05-22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6" s="192" t="str">
        <f t="shared" si="40"/>
        <v>N</v>
      </c>
      <c r="X86" s="192">
        <f t="shared" si="33"/>
        <v>1</v>
      </c>
      <c r="Y86" s="192">
        <f t="shared" si="41"/>
        <v>4.4900000000000002E-2</v>
      </c>
      <c r="Z86" s="192">
        <f t="shared" si="42"/>
        <v>23.3308</v>
      </c>
      <c r="AA86" s="192">
        <f t="shared" si="43"/>
        <v>23.285900000000002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4"/>
        <v>0173-22</v>
      </c>
      <c r="AE86" s="80" t="str">
        <f t="shared" si="45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86" s="77" t="str">
        <f t="shared" si="46"/>
        <v>"C:\Program Files (x86)\AstroGrep\AstroGrep.exe" /e /r /s /spath="%USERPROFILE%\AppData\Local\Temp\OnboardLogs" /stypes="app*4010*20170522*" /stext=" 19:.+((SYSTEM_STATE.+slice.+state.+changed )|(ment ac)|(multiple cpu faults)|(system.+state.+changed )|(\[timeout)|(PRM\|1\|D)|(kpr)|(kdp)|(train st.+moving)|(\|lc)|(penalty))"</v>
      </c>
      <c r="AG86" s="1" t="str">
        <f t="shared" si="47"/>
        <v>EC</v>
      </c>
      <c r="AH86" s="81" t="str">
        <f t="shared" si="48"/>
        <v>"%USERPROFILE%\Documents\GitHub\eaglep3\Utilities\RefineRTDCRunTimes.py" --tripid 173-22 --locoid 4010 --swversion DE.1.0.9.0 --startMP 204:449 --initTime 2017-05-22T12:38:55 --startdatetime 2017-05-22T12:45:14 --delay 1 --endMP 204:233308 --enddatetime 2017-05-22T13:21:46 --enforcementcount 0 &gt;&gt;C:\Users\stu\Documents\GitHub\eaglep3-reporting\EC\2017-05-22-refined-times.txt</v>
      </c>
      <c r="AI86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{"issue":{"subject":"","project_id":79,"tracker_id":40,"status_id":1,"priority_id":2,"assigned_to_id":23,"start_date":"2017-05-22","description":"","custom_fields":[{"id":1,"name":"Subdivision","value":"EC"},{"id":4,"name":"Milepost","value":"23.3308"},{"id":17,"name":"Train ID","value":"173-22"},{"id":16,"name":"Locomotive ID","value":"4010"},{"id":130,"name":"Impact","value":""},{"id":150,"name":"Time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50"/>
        <v>start /low /b %USERPROFILE%\Documents\GitHub\eaglep3\Utilities\DownloadLogsFromS3.py --loco 4010 --day 2017-05-22</v>
      </c>
      <c r="AN86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732</v>
      </c>
      <c r="B87" s="7">
        <v>4009</v>
      </c>
      <c r="C87" s="21" t="s">
        <v>206</v>
      </c>
      <c r="D87" s="21" t="s">
        <v>831</v>
      </c>
      <c r="E87" s="13">
        <v>42877.562916666669</v>
      </c>
      <c r="F87" s="13">
        <v>42877.571006944447</v>
      </c>
      <c r="G87" s="7">
        <v>2</v>
      </c>
      <c r="H87" s="21" t="s">
        <v>369</v>
      </c>
      <c r="I87" s="13">
        <v>42877.600925925923</v>
      </c>
      <c r="J87" s="7">
        <v>0</v>
      </c>
      <c r="K87" s="92" t="str">
        <f t="shared" si="35"/>
        <v>4009/4010</v>
      </c>
      <c r="L87" s="21" t="str">
        <f>VLOOKUP(A87,'Trips&amp;Operators'!$C$1:$G$99999,5,FALSE)</f>
        <v>MCREYNOLDS KYLE</v>
      </c>
      <c r="M87" s="6">
        <f t="shared" si="36"/>
        <v>2.9918981475930195E-2</v>
      </c>
      <c r="N87" s="7">
        <f t="shared" si="52"/>
        <v>43.083333325339481</v>
      </c>
      <c r="O87" s="7"/>
      <c r="P87" s="7"/>
      <c r="Q87" s="22"/>
      <c r="R87" s="190"/>
      <c r="S87" s="196">
        <f t="shared" si="53"/>
        <v>1</v>
      </c>
      <c r="T87" s="190" t="str">
        <f t="shared" si="38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9"/>
        <v>https://d0f6bd738d7f1b3e5a7ca70fe4ff75f0.us-east-1.aws.found.io/app/kibana#/discover/Steve-Slow-Train-Analysis-(2080s-and-2083s)?_g=(refreshInterval:(display:Off,pause:!f,section:0,value:0),time:(from:'2017-05-22T12:30:36-0600',mode:absolute,to:'2017-05-22T15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7" s="192" t="str">
        <f t="shared" si="40"/>
        <v>N</v>
      </c>
      <c r="X87" s="192">
        <f t="shared" si="33"/>
        <v>1</v>
      </c>
      <c r="Y87" s="192">
        <f t="shared" si="41"/>
        <v>23.299099999999999</v>
      </c>
      <c r="Z87" s="192">
        <f t="shared" si="42"/>
        <v>1.47E-2</v>
      </c>
      <c r="AA87" s="192">
        <f t="shared" si="43"/>
        <v>23.284399999999998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4"/>
        <v>0174-22</v>
      </c>
      <c r="AE87" s="80" t="str">
        <f t="shared" si="45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87" s="77" t="str">
        <f t="shared" si="46"/>
        <v>"C:\Program Files (x86)\AstroGrep\AstroGrep.exe" /e /r /s /spath="%USERPROFILE%\AppData\Local\Temp\OnboardLogs" /stypes="app*4009*20170522*" /stext=" 20:.+((SYSTEM_STATE.+slice.+state.+changed )|(ment ac)|(multiple cpu faults)|(system.+state.+changed )|(\[timeout)|(PRM\|1\|D)|(kpr)|(kdp)|(train st.+moving)|(\|lc)|(penalty))"</v>
      </c>
      <c r="AG87" s="1" t="str">
        <f t="shared" si="47"/>
        <v>EC</v>
      </c>
      <c r="AH87" s="81" t="str">
        <f t="shared" si="48"/>
        <v>"%USERPROFILE%\Documents\GitHub\eaglep3\Utilities\RefineRTDCRunTimes.py" --tripid 174-22 --locoid 4009 --swversion DE.1.0.9.0 --startMP 204:232991 --initTime 2017-05-22T13:30:36 --startdatetime 2017-05-22T13:42:15 --delay 2 --endMP 204:147 --enddatetime 2017-05-22T14:25:20 --enforcementcount 0 &gt;&gt;C:\Users\stu\Documents\GitHub\eaglep3-reporting\EC\2017-05-22-refined-times.txt</v>
      </c>
      <c r="AI87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{"issue":{"subject":"","project_id":79,"tracker_id":40,"status_id":1,"priority_id":2,"assigned_to_id":23,"start_date":"2017-05-22","description":"","custom_fields":[{"id":1,"name":"Subdivision","value":"EC"},{"id":4,"name":"Milepost","value":"0.0147"},{"id":17,"name":"Train ID","value":"174-22"},{"id":16,"name":"Locomotive ID","value":"4009"},{"id":130,"name":"Impact","value":""},{"id":150,"name":"Time of Event (Mountain Time)","value":"14:25:20"},{"id":151,"name":"Denver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50"/>
        <v>start /low /b %USERPROFILE%\Documents\GitHub\eaglep3\Utilities\DownloadLogsFromS3.py --loco 4009 --day 2017-05-22</v>
      </c>
      <c r="AN87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595</v>
      </c>
      <c r="B88" s="7">
        <v>4016</v>
      </c>
      <c r="C88" s="21" t="s">
        <v>206</v>
      </c>
      <c r="D88" s="21" t="s">
        <v>202</v>
      </c>
      <c r="E88" s="13">
        <v>42877.538298611114</v>
      </c>
      <c r="F88" s="13">
        <v>42877.541979166665</v>
      </c>
      <c r="G88" s="7">
        <v>1</v>
      </c>
      <c r="H88" s="21" t="s">
        <v>563</v>
      </c>
      <c r="I88" s="13">
        <v>42877.569386574076</v>
      </c>
      <c r="J88" s="7">
        <v>0</v>
      </c>
      <c r="K88" s="92" t="str">
        <f t="shared" si="35"/>
        <v>4015/4016</v>
      </c>
      <c r="L88" s="21" t="str">
        <f>VLOOKUP(A88,'Trips&amp;Operators'!$C$1:$G$99999,5,FALSE)</f>
        <v>DAVIS MICHAEL</v>
      </c>
      <c r="M88" s="6">
        <f t="shared" si="36"/>
        <v>2.7407407411374152E-2</v>
      </c>
      <c r="N88" s="7">
        <f t="shared" si="52"/>
        <v>39.466666672378778</v>
      </c>
      <c r="O88" s="7"/>
      <c r="P88" s="7"/>
      <c r="Q88" s="22"/>
      <c r="R88" s="190" t="s">
        <v>1034</v>
      </c>
      <c r="S88" s="196">
        <f t="shared" si="53"/>
        <v>1</v>
      </c>
      <c r="T88" s="190" t="str">
        <f t="shared" si="38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9"/>
        <v>https://d0f6bd738d7f1b3e5a7ca70fe4ff75f0.us-east-1.aws.found.io/app/kibana#/discover/Steve-Slow-Train-Analysis-(2080s-and-2083s)?_g=(refreshInterval:(display:Off,pause:!f,section:0,value:0),time:(from:'2017-05-22T11:55:09-0600',mode:absolute,to:'2017-05-22T14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92" t="str">
        <f t="shared" si="40"/>
        <v>N</v>
      </c>
      <c r="X88" s="192">
        <f t="shared" si="33"/>
        <v>1</v>
      </c>
      <c r="Y88" s="192">
        <f t="shared" si="41"/>
        <v>4.5699999999999998E-2</v>
      </c>
      <c r="Z88" s="192">
        <f t="shared" si="42"/>
        <v>23.334700000000002</v>
      </c>
      <c r="AA88" s="192">
        <f t="shared" si="43"/>
        <v>23.289000000000001</v>
      </c>
      <c r="AB88" s="57" t="str">
        <f>VLOOKUP(A88,Enforcements!$C$7:$K$13,8,0)</f>
        <v>Bulletin (2)</v>
      </c>
      <c r="AC88" s="53" t="str">
        <f>VLOOKUP(A88,Enforcements!$C$7:$E$13,3,0)</f>
        <v>GRADE CROSSING</v>
      </c>
      <c r="AD88" s="54" t="str">
        <f t="shared" si="44"/>
        <v>0175-22</v>
      </c>
      <c r="AE88" s="80" t="str">
        <f t="shared" si="45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88" s="77" t="str">
        <f t="shared" si="46"/>
        <v>"C:\Program Files (x86)\AstroGrep\AstroGrep.exe" /e /r /s /spath="%USERPROFILE%\AppData\Local\Temp\OnboardLogs" /stypes="app*4016*20170522*" /stext=" 19:.+((SYSTEM_STATE.+slice.+state.+changed )|(ment ac)|(multiple cpu faults)|(system.+state.+changed )|(\[timeout)|(PRM\|1\|D)|(kpr)|(kdp)|(train st.+moving)|(\|lc)|(penalty))"</v>
      </c>
      <c r="AG88" s="1" t="str">
        <f t="shared" si="47"/>
        <v>EC</v>
      </c>
      <c r="AH88" s="81" t="str">
        <f t="shared" si="48"/>
        <v>"%USERPROFILE%\Documents\GitHub\eaglep3\Utilities\RefineRTDCRunTimes.py" --tripid 175-22 --locoid 4016 --swversion DE.1.0.9.0 --startMP 204:457 --initTime 2017-05-22T12:55:09 --startdatetime 2017-05-22T13:00:27 --delay 1 --endMP 204:233347 --enddatetime 2017-05-22T13:39:55 --enforcementcount 0 &gt;&gt;C:\Users\stu\Documents\GitHub\eaglep3-reporting\EC\2017-05-22-refined-times.txt</v>
      </c>
      <c r="AI88" s="99" t="str">
        <f t="shared" si="49"/>
        <v>echo {"issue":{"subject":"Brief Wi-MAX data drop, no enforcement","project_id":79,"tracker_id":40,"status_id":1,"priority_id":2,"assigned_to_id":23,"start_date":"2017-05-22","description":"","custom_fields":[{"id":1,"name":"Subdivision","value":"EC"},{"id":4,"name":"Milepost","value":"23.3347"},{"id":17,"name":"Train ID","value":"175-22"},{"id":16,"name":"Locomotive ID","value":"4016"},{"id":130,"name":"Impact","value":""},{"id":150,"name":"Time of Event (Mountain Time)","value":"13:39:55"},{"id":151,"name":"Denver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50"/>
        <v>start /low /b %USERPROFILE%\Documents\GitHub\eaglep3\Utilities\DownloadLogsFromS3.py --loco 4016 --day 2017-05-22</v>
      </c>
      <c r="AN88" s="154" t="str">
        <f t="shared" si="51"/>
        <v>echo {"issue":{"subject":"Brief Wi-MAX data drop, no enforcement","project_id":30,"tracker_id":4,"status_id":1,"priority_id":1,"assigned_to_id":10,"start_date":"2017-05-22","description":"","custom_fields":[{"id":30,"name":"Category","value":"Issue"},{"id":3,"name":"Functional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734</v>
      </c>
      <c r="B89" s="7">
        <v>4015</v>
      </c>
      <c r="C89" s="21" t="s">
        <v>206</v>
      </c>
      <c r="D89" s="21" t="s">
        <v>531</v>
      </c>
      <c r="E89" s="13">
        <v>42877.580231481479</v>
      </c>
      <c r="F89" s="13">
        <v>42877.581620370373</v>
      </c>
      <c r="G89" s="7">
        <v>1</v>
      </c>
      <c r="H89" s="21" t="s">
        <v>197</v>
      </c>
      <c r="I89" s="13">
        <v>42877.61277777778</v>
      </c>
      <c r="J89" s="7">
        <v>0</v>
      </c>
      <c r="K89" s="92" t="str">
        <f t="shared" si="35"/>
        <v>4015/4016</v>
      </c>
      <c r="L89" s="21" t="str">
        <f>VLOOKUP(A89,'Trips&amp;Operators'!$C$1:$G$99999,5,FALSE)</f>
        <v>DAVIS MICHAEL</v>
      </c>
      <c r="M89" s="6">
        <f t="shared" si="36"/>
        <v>3.1157407407590654E-2</v>
      </c>
      <c r="N89" s="7">
        <f t="shared" si="52"/>
        <v>44.866666666930541</v>
      </c>
      <c r="O89" s="7"/>
      <c r="P89" s="7"/>
      <c r="Q89" s="22"/>
      <c r="R89" s="190"/>
      <c r="S89" s="196">
        <f t="shared" si="53"/>
        <v>1</v>
      </c>
      <c r="T89" s="190" t="str">
        <f t="shared" si="38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9"/>
        <v>https://d0f6bd738d7f1b3e5a7ca70fe4ff75f0.us-east-1.aws.found.io/app/kibana#/discover/Steve-Slow-Train-Analysis-(2080s-and-2083s)?_g=(refreshInterval:(display:Off,pause:!f,section:0,value:0),time:(from:'2017-05-22T12:55:32-0600',mode:absolute,to:'2017-05-22T15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92" t="str">
        <f t="shared" si="40"/>
        <v>N</v>
      </c>
      <c r="X89" s="192">
        <f t="shared" si="33"/>
        <v>1</v>
      </c>
      <c r="Y89" s="192">
        <f t="shared" si="41"/>
        <v>23.299800000000001</v>
      </c>
      <c r="Z89" s="192">
        <f t="shared" si="42"/>
        <v>1.52E-2</v>
      </c>
      <c r="AA89" s="192">
        <f t="shared" si="43"/>
        <v>23.284600000000001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4"/>
        <v>0176-22</v>
      </c>
      <c r="AE89" s="80" t="str">
        <f t="shared" si="45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89" s="77" t="str">
        <f t="shared" si="46"/>
        <v>"C:\Program Files (x86)\AstroGrep\AstroGrep.exe" /e /r /s /spath="%USERPROFILE%\AppData\Local\Temp\OnboardLogs" /stypes="app*4015*20170522*" /stext=" 20:.+((SYSTEM_STATE.+slice.+state.+changed )|(ment ac)|(multiple cpu faults)|(system.+state.+changed )|(\[timeout)|(PRM\|1\|D)|(kpr)|(kdp)|(train st.+moving)|(\|lc)|(penalty))"</v>
      </c>
      <c r="AG89" s="1" t="str">
        <f t="shared" si="47"/>
        <v>EC</v>
      </c>
      <c r="AH89" s="81" t="str">
        <f t="shared" si="48"/>
        <v>"%USERPROFILE%\Documents\GitHub\eaglep3\Utilities\RefineRTDCRunTimes.py" --tripid 176-22 --locoid 4015 --swversion DE.1.0.9.0 --startMP 204:232998 --initTime 2017-05-22T13:55:32 --startdatetime 2017-05-22T13:57:32 --delay 1 --endMP 204:152 --enddatetime 2017-05-22T14:42:24 --enforcementcount 0 &gt;&gt;C:\Users\stu\Documents\GitHub\eaglep3-reporting\EC\2017-05-22-refined-times.txt</v>
      </c>
      <c r="AI89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{"issue":{"subject":"","project_id":79,"tracker_id":40,"status_id":1,"priority_id":2,"assigned_to_id":23,"start_date":"2017-05-22","description":"","custom_fields":[{"id":1,"name":"Subdivision","value":"EC"},{"id":4,"name":"Milepost","value":"0.0152"},{"id":17,"name":"Train ID","value":"176-22"},{"id":16,"name":"Locomotive ID","value":"4015"},{"id":130,"name":"Impact","value":""},{"id":150,"name":"Time of Event (Mountain Time)","value":"14:42:24"},{"id":151,"name":"Denver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50"/>
        <v>start /low /b %USERPROFILE%\Documents\GitHub\eaglep3\Utilities\DownloadLogsFromS3.py --loco 4015 --day 2017-05-22</v>
      </c>
      <c r="AN89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0" spans="1:91" s="20" customFormat="1" x14ac:dyDescent="0.25">
      <c r="A90" s="32" t="s">
        <v>726</v>
      </c>
      <c r="B90" s="7">
        <v>4014</v>
      </c>
      <c r="C90" s="21" t="s">
        <v>206</v>
      </c>
      <c r="D90" s="21" t="s">
        <v>865</v>
      </c>
      <c r="E90" s="13">
        <v>42877.550405092596</v>
      </c>
      <c r="F90" s="13">
        <v>42877.552256944444</v>
      </c>
      <c r="G90" s="7">
        <v>1</v>
      </c>
      <c r="H90" s="21" t="s">
        <v>866</v>
      </c>
      <c r="I90" s="13">
        <v>42877.5784375</v>
      </c>
      <c r="J90" s="7">
        <v>0</v>
      </c>
      <c r="K90" s="92" t="str">
        <f t="shared" si="35"/>
        <v>4013/4014</v>
      </c>
      <c r="L90" s="21" t="str">
        <f>VLOOKUP(A90,'Trips&amp;Operators'!$C$1:$G$99999,5,FALSE)</f>
        <v>CLARK KATHLEEN</v>
      </c>
      <c r="M90" s="6">
        <f t="shared" si="36"/>
        <v>2.6180555556493346E-2</v>
      </c>
      <c r="N90" s="7">
        <f t="shared" si="52"/>
        <v>37.700000001350418</v>
      </c>
      <c r="O90" s="7"/>
      <c r="P90" s="7"/>
      <c r="Q90" s="22"/>
      <c r="R90" s="190"/>
      <c r="S90" s="196">
        <f t="shared" si="53"/>
        <v>1</v>
      </c>
      <c r="T90" s="190" t="str">
        <f t="shared" si="38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9"/>
        <v>https://d0f6bd738d7f1b3e5a7ca70fe4ff75f0.us-east-1.aws.found.io/app/kibana#/discover/Steve-Slow-Train-Analysis-(2080s-and-2083s)?_g=(refreshInterval:(display:Off,pause:!f,section:0,value:0),time:(from:'2017-05-22T12:12:35-0600',mode:absolute,to:'2017-05-22T14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0" s="192" t="str">
        <f t="shared" si="40"/>
        <v>N</v>
      </c>
      <c r="X90" s="192">
        <f t="shared" si="33"/>
        <v>1</v>
      </c>
      <c r="Y90" s="192">
        <f t="shared" si="41"/>
        <v>4.9700000000000001E-2</v>
      </c>
      <c r="Z90" s="192">
        <f t="shared" si="42"/>
        <v>23.33</v>
      </c>
      <c r="AA90" s="192">
        <f t="shared" si="43"/>
        <v>23.280299999999997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4"/>
        <v>0177-22</v>
      </c>
      <c r="AE90" s="80" t="str">
        <f t="shared" si="45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90" s="77" t="str">
        <f t="shared" si="46"/>
        <v>"C:\Program Files (x86)\AstroGrep\AstroGrep.exe" /e /r /s /spath="%USERPROFILE%\AppData\Local\Temp\OnboardLogs" /stypes="app*4014*20170522*" /stext=" 19:.+((SYSTEM_STATE.+slice.+state.+changed )|(ment ac)|(multiple cpu faults)|(system.+state.+changed )|(\[timeout)|(PRM\|1\|D)|(kpr)|(kdp)|(train st.+moving)|(\|lc)|(penalty))"</v>
      </c>
      <c r="AG90" s="1" t="str">
        <f t="shared" si="47"/>
        <v>EC</v>
      </c>
      <c r="AH90" s="81" t="str">
        <f t="shared" si="48"/>
        <v>"%USERPROFILE%\Documents\GitHub\eaglep3\Utilities\RefineRTDCRunTimes.py" --tripid 177-22 --locoid 4014 --swversion DE.1.0.9.0 --startMP 204:497 --initTime 2017-05-22T13:12:35 --startdatetime 2017-05-22T13:15:15 --delay 1 --endMP 204:233300 --enddatetime 2017-05-22T13:52:57 --enforcementcount 0 &gt;&gt;C:\Users\stu\Documents\GitHub\eaglep3-reporting\EC\2017-05-22-refined-times.txt</v>
      </c>
      <c r="AI90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{"issue":{"subject":"","project_id":79,"tracker_id":40,"status_id":1,"priority_id":2,"assigned_to_id":23,"start_date":"2017-05-22","description":"","custom_fields":[{"id":1,"name":"Subdivision","value":"EC"},{"id":4,"name":"Milepost","value":"23.33"},{"id":17,"name":"Train ID","value":"177-22"},{"id":16,"name":"Locomotive ID","value":"4014"},{"id":130,"name":"Impact","value":""},{"id":150,"name":"Time of Event (Mountain Time)","value":"13:52:57"},{"id":151,"name":"Denver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50"/>
        <v>start /low /b %USERPROFILE%\Documents\GitHub\eaglep3\Utilities\DownloadLogsFromS3.py --loco 4014 --day 2017-05-22</v>
      </c>
      <c r="AN90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600</v>
      </c>
      <c r="B91" s="7">
        <v>4013</v>
      </c>
      <c r="C91" s="21" t="s">
        <v>206</v>
      </c>
      <c r="D91" s="21" t="s">
        <v>572</v>
      </c>
      <c r="E91" s="13">
        <v>42877.586481481485</v>
      </c>
      <c r="F91" s="13">
        <v>42877.591840277775</v>
      </c>
      <c r="G91" s="7">
        <v>0</v>
      </c>
      <c r="H91" s="21" t="s">
        <v>867</v>
      </c>
      <c r="I91" s="13">
        <v>42877.623483796298</v>
      </c>
      <c r="J91" s="7">
        <v>0</v>
      </c>
      <c r="K91" s="92" t="str">
        <f t="shared" si="35"/>
        <v>4013/4014</v>
      </c>
      <c r="L91" s="21" t="str">
        <f>VLOOKUP(A91,'Trips&amp;Operators'!$C$1:$G$99999,5,FALSE)</f>
        <v>CLARK KATHLEEN</v>
      </c>
      <c r="M91" s="6">
        <f t="shared" si="36"/>
        <v>3.164351852319669E-2</v>
      </c>
      <c r="N91" s="7">
        <f t="shared" si="52"/>
        <v>45.566666673403233</v>
      </c>
      <c r="O91" s="7"/>
      <c r="P91" s="7"/>
      <c r="Q91" s="22"/>
      <c r="R91" s="190"/>
      <c r="S91" s="196">
        <f t="shared" si="53"/>
        <v>1</v>
      </c>
      <c r="T91" s="190" t="str">
        <f t="shared" si="38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9"/>
        <v>https://d0f6bd738d7f1b3e5a7ca70fe4ff75f0.us-east-1.aws.found.io/app/kibana#/discover/Steve-Slow-Train-Analysis-(2080s-and-2083s)?_g=(refreshInterval:(display:Off,pause:!f,section:0,value:0),time:(from:'2017-05-22T13:04:32-0600',mode:absolute,to:'2017-05-22T15:57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1" s="192" t="str">
        <f t="shared" si="40"/>
        <v>N</v>
      </c>
      <c r="X91" s="192">
        <f t="shared" si="33"/>
        <v>1</v>
      </c>
      <c r="Y91" s="192">
        <f t="shared" si="41"/>
        <v>23.297699999999999</v>
      </c>
      <c r="Z91" s="192">
        <f t="shared" si="42"/>
        <v>2.1600000000000001E-2</v>
      </c>
      <c r="AA91" s="192">
        <f t="shared" si="43"/>
        <v>23.2761</v>
      </c>
      <c r="AB91" s="57" t="str">
        <f>VLOOKUP(A91,Enforcements!$C$7:$K$13,8,0)</f>
        <v>Bulletin (2)</v>
      </c>
      <c r="AC91" s="53" t="str">
        <f>VLOOKUP(A91,Enforcements!$C$7:$E$13,3,0)</f>
        <v>GRADE CROSSING</v>
      </c>
      <c r="AD91" s="54" t="str">
        <f t="shared" si="44"/>
        <v>0178-22</v>
      </c>
      <c r="AE91" s="80" t="str">
        <f t="shared" si="45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91" s="77" t="str">
        <f t="shared" si="46"/>
        <v>"C:\Program Files (x86)\AstroGrep\AstroGrep.exe" /e /r /s /spath="%USERPROFILE%\AppData\Local\Temp\OnboardLogs" /stypes="app*4013*20170522*" /stext=" 20:.+((SYSTEM_STATE.+slice.+state.+changed )|(ment ac)|(multiple cpu faults)|(system.+state.+changed )|(\[timeout)|(PRM\|1\|D)|(kpr)|(kdp)|(train st.+moving)|(\|lc)|(penalty))"</v>
      </c>
      <c r="AG91" s="1" t="str">
        <f t="shared" si="47"/>
        <v>EC</v>
      </c>
      <c r="AH91" s="81" t="str">
        <f t="shared" si="48"/>
        <v>"%USERPROFILE%\Documents\GitHub\eaglep3\Utilities\RefineRTDCRunTimes.py" --tripid 178-22 --locoid 4013 --swversion DE.1.0.9.0 --startMP 204:232977 --initTime 2017-05-22T14:04:32 --startdatetime 2017-05-22T14:12:15 --delay 0 --endMP 204:216 --enddatetime 2017-05-22T14:57:49 --enforcementcount 0 &gt;&gt;C:\Users\stu\Documents\GitHub\eaglep3-reporting\EC\2017-05-22-refined-times.txt</v>
      </c>
      <c r="AI9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{"issue":{"subject":"","project_id":79,"tracker_id":40,"status_id":1,"priority_id":2,"assigned_to_id":23,"start_date":"2017-05-22","description":"","custom_fields":[{"id":1,"name":"Subdivision","value":"EC"},{"id":4,"name":"Milepost","value":"0.0216"},{"id":17,"name":"Train ID","value":"178-22"},{"id":16,"name":"Locomotive ID","value":"4013"},{"id":130,"name":"Impact","value":""},{"id":150,"name":"Time of Event (Mountain Time)","value":"14:57:49"},{"id":151,"name":"Denver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50"/>
        <v>start /low /b %USERPROFILE%\Documents\GitHub\eaglep3\Utilities\DownloadLogsFromS3.py --loco 4013 --day 2017-05-22</v>
      </c>
      <c r="AN91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20:57:49"},{"id":29,"name":"Sharepoint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731</v>
      </c>
      <c r="B92" s="7">
        <v>4026</v>
      </c>
      <c r="C92" s="21" t="s">
        <v>206</v>
      </c>
      <c r="D92" s="21" t="s">
        <v>203</v>
      </c>
      <c r="E92" s="13">
        <v>42877.559259259258</v>
      </c>
      <c r="F92" s="13">
        <v>42877.562789351854</v>
      </c>
      <c r="G92" s="7">
        <v>1</v>
      </c>
      <c r="H92" s="21" t="s">
        <v>547</v>
      </c>
      <c r="I92" s="13">
        <v>42877.588206018518</v>
      </c>
      <c r="J92" s="7">
        <v>0</v>
      </c>
      <c r="K92" s="92" t="str">
        <f t="shared" si="35"/>
        <v>4025/4026</v>
      </c>
      <c r="L92" s="21" t="str">
        <f>VLOOKUP(A92,'Trips&amp;Operators'!$C$1:$G$99999,5,FALSE)</f>
        <v>LEVERE CRAIG</v>
      </c>
      <c r="M92" s="6">
        <f t="shared" si="36"/>
        <v>2.5416666663659271E-2</v>
      </c>
      <c r="N92" s="7">
        <f t="shared" si="52"/>
        <v>36.59999999566935</v>
      </c>
      <c r="O92" s="7"/>
      <c r="P92" s="7"/>
      <c r="Q92" s="22"/>
      <c r="R92" s="190"/>
      <c r="S92" s="196">
        <f t="shared" si="53"/>
        <v>1</v>
      </c>
      <c r="T92" s="190" t="str">
        <f t="shared" si="38"/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9"/>
        <v>https://d0f6bd738d7f1b3e5a7ca70fe4ff75f0.us-east-1.aws.found.io/app/kibana#/discover/Steve-Slow-Train-Analysis-(2080s-and-2083s)?_g=(refreshInterval:(display:Off,pause:!f,section:0,value:0),time:(from:'2017-05-22T12:25:20-0600',mode:absolute,to:'2017-05-22T15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92" t="str">
        <f t="shared" si="40"/>
        <v>N</v>
      </c>
      <c r="X92" s="192">
        <f t="shared" si="33"/>
        <v>1</v>
      </c>
      <c r="Y92" s="192">
        <f t="shared" si="41"/>
        <v>4.5999999999999999E-2</v>
      </c>
      <c r="Z92" s="192">
        <f t="shared" si="42"/>
        <v>23.3276</v>
      </c>
      <c r="AA92" s="192">
        <f t="shared" si="43"/>
        <v>23.281600000000001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4"/>
        <v>0179-22</v>
      </c>
      <c r="AE92" s="80" t="str">
        <f t="shared" si="45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92" s="77" t="str">
        <f t="shared" si="46"/>
        <v>"C:\Program Files (x86)\AstroGrep\AstroGrep.exe" /e /r /s /spath="%USERPROFILE%\AppData\Local\Temp\OnboardLogs" /stypes="app*4026*20170522*" /stext=" 20:.+((SYSTEM_STATE.+slice.+state.+changed )|(ment ac)|(multiple cpu faults)|(system.+state.+changed )|(\[timeout)|(PRM\|1\|D)|(kpr)|(kdp)|(train st.+moving)|(\|lc)|(penalty))"</v>
      </c>
      <c r="AG92" s="1" t="str">
        <f t="shared" si="47"/>
        <v>EC</v>
      </c>
      <c r="AH92" s="81" t="str">
        <f t="shared" si="48"/>
        <v>"%USERPROFILE%\Documents\GitHub\eaglep3\Utilities\RefineRTDCRunTimes.py" --tripid 179-22 --locoid 4026 --swversion DE.1.0.9.0 --startMP 204:460 --initTime 2017-05-22T13:25:20 --startdatetime 2017-05-22T13:30:25 --delay 1 --endMP 204:233276 --enddatetime 2017-05-22T14:07:01 --enforcementcount 0 &gt;&gt;C:\Users\stu\Documents\GitHub\eaglep3-reporting\EC\2017-05-22-refined-times.txt</v>
      </c>
      <c r="AI92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{"issue":{"subject":"","project_id":79,"tracker_id":40,"status_id":1,"priority_id":2,"assigned_to_id":23,"start_date":"2017-05-22","description":"","custom_fields":[{"id":1,"name":"Subdivision","value":"EC"},{"id":4,"name":"Milepost","value":"23.3276"},{"id":17,"name":"Train ID","value":"179-22"},{"id":16,"name":"Locomotive ID","value":"4026"},{"id":130,"name":"Impact","value":""},{"id":150,"name":"Time of Event (Mountain Time)","value":"14:07:01"},{"id":151,"name":"Denver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50"/>
        <v>start /low /b %USERPROFILE%\Documents\GitHub\eaglep3\Utilities\DownloadLogsFromS3.py --loco 4026 --day 2017-05-22</v>
      </c>
      <c r="AN92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736</v>
      </c>
      <c r="B93" s="7">
        <v>4025</v>
      </c>
      <c r="C93" s="21" t="s">
        <v>206</v>
      </c>
      <c r="D93" s="21" t="s">
        <v>856</v>
      </c>
      <c r="E93" s="13">
        <v>42877.595578703702</v>
      </c>
      <c r="F93" s="13">
        <v>42877.602407407408</v>
      </c>
      <c r="G93" s="7">
        <v>1</v>
      </c>
      <c r="H93" s="21" t="s">
        <v>413</v>
      </c>
      <c r="I93" s="13">
        <v>42877.63349537037</v>
      </c>
      <c r="J93" s="7">
        <v>0</v>
      </c>
      <c r="K93" s="92" t="str">
        <f t="shared" si="35"/>
        <v>4025/4026</v>
      </c>
      <c r="L93" s="21" t="str">
        <f>VLOOKUP(A93,'Trips&amp;Operators'!$C$1:$G$99999,5,FALSE)</f>
        <v>LEVERE CRAIG</v>
      </c>
      <c r="M93" s="6">
        <f t="shared" si="36"/>
        <v>3.1087962961464655E-2</v>
      </c>
      <c r="N93" s="7">
        <f t="shared" si="52"/>
        <v>44.766666664509103</v>
      </c>
      <c r="O93" s="7"/>
      <c r="P93" s="7"/>
      <c r="Q93" s="22"/>
      <c r="R93" s="190"/>
      <c r="S93" s="196">
        <f t="shared" si="53"/>
        <v>1</v>
      </c>
      <c r="T93" s="190" t="str">
        <f t="shared" si="38"/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9"/>
        <v>https://d0f6bd738d7f1b3e5a7ca70fe4ff75f0.us-east-1.aws.found.io/app/kibana#/discover/Steve-Slow-Train-Analysis-(2080s-and-2083s)?_g=(refreshInterval:(display:Off,pause:!f,section:0,value:0),time:(from:'2017-05-22T13:17:38-0600',mode:absolute,to:'2017-05-22T16:12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192" t="str">
        <f t="shared" si="40"/>
        <v>N</v>
      </c>
      <c r="X93" s="192">
        <f t="shared" si="33"/>
        <v>1</v>
      </c>
      <c r="Y93" s="192">
        <f t="shared" si="41"/>
        <v>23.296299999999999</v>
      </c>
      <c r="Z93" s="192">
        <f t="shared" si="42"/>
        <v>1.54E-2</v>
      </c>
      <c r="AA93" s="192">
        <f t="shared" si="43"/>
        <v>23.280899999999999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4"/>
        <v>0180-22</v>
      </c>
      <c r="AE93" s="80" t="str">
        <f t="shared" si="45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93" s="77" t="str">
        <f t="shared" si="46"/>
        <v>"C:\Program Files (x86)\AstroGrep\AstroGrep.exe" /e /r /s /spath="%USERPROFILE%\AppData\Local\Temp\OnboardLogs" /stypes="app*4025*20170522*" /stext=" 21:.+((SYSTEM_STATE.+slice.+state.+changed )|(ment ac)|(multiple cpu faults)|(system.+state.+changed )|(\[timeout)|(PRM\|1\|D)|(kpr)|(kdp)|(train st.+moving)|(\|lc)|(penalty))"</v>
      </c>
      <c r="AG93" s="1" t="str">
        <f t="shared" si="47"/>
        <v>EC</v>
      </c>
      <c r="AH93" s="81" t="str">
        <f t="shared" si="48"/>
        <v>"%USERPROFILE%\Documents\GitHub\eaglep3\Utilities\RefineRTDCRunTimes.py" --tripid 180-22 --locoid 4025 --swversion DE.1.0.9.0 --startMP 204:232963 --initTime 2017-05-22T14:17:38 --startdatetime 2017-05-22T14:27:28 --delay 1 --endMP 204:154 --enddatetime 2017-05-22T15:12:14 --enforcementcount 0 &gt;&gt;C:\Users\stu\Documents\GitHub\eaglep3-reporting\EC\2017-05-22-refined-times.txt</v>
      </c>
      <c r="AI93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ID","value":"180-22"},{"id":16,"name":"Locomotive ID","value":"4025"},{"id":130,"name":"Impact","value":""},{"id":150,"name":"Time of Event (Mountain Time)","value":"15:12:14"},{"id":151,"name":"Denver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50"/>
        <v>start /low /b %USERPROFILE%\Documents\GitHub\eaglep3\Utilities\DownloadLogsFromS3.py --loco 4025 --day 2017-05-22</v>
      </c>
      <c r="AN93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21:12:14"},{"id":29,"name":"Sharepoint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733</v>
      </c>
      <c r="B94" s="7">
        <v>4006</v>
      </c>
      <c r="C94" s="21" t="s">
        <v>206</v>
      </c>
      <c r="D94" s="21" t="s">
        <v>425</v>
      </c>
      <c r="E94" s="13">
        <v>42877.569155092591</v>
      </c>
      <c r="F94" s="13">
        <v>42877.573101851849</v>
      </c>
      <c r="G94" s="7">
        <v>1</v>
      </c>
      <c r="H94" s="21" t="s">
        <v>451</v>
      </c>
      <c r="I94" s="13">
        <v>42877.600277777776</v>
      </c>
      <c r="J94" s="7">
        <v>0</v>
      </c>
      <c r="K94" s="92" t="str">
        <f t="shared" si="35"/>
        <v>4005/4006</v>
      </c>
      <c r="L94" s="21" t="str">
        <f>VLOOKUP(A94,'Trips&amp;Operators'!$C$1:$G$99999,5,FALSE)</f>
        <v>BRUDER RICHARD</v>
      </c>
      <c r="M94" s="6">
        <f t="shared" si="36"/>
        <v>2.7175925926712807E-2</v>
      </c>
      <c r="N94" s="7">
        <f t="shared" si="52"/>
        <v>39.133333334466442</v>
      </c>
      <c r="O94" s="7"/>
      <c r="P94" s="7"/>
      <c r="Q94" s="22"/>
      <c r="R94" s="190"/>
      <c r="S94" s="196">
        <f t="shared" si="53"/>
        <v>1</v>
      </c>
      <c r="T94" s="190" t="str">
        <f t="shared" si="38"/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9"/>
        <v>https://d0f6bd738d7f1b3e5a7ca70fe4ff75f0.us-east-1.aws.found.io/app/kibana#/discover/Steve-Slow-Train-Analysis-(2080s-and-2083s)?_g=(refreshInterval:(display:Off,pause:!f,section:0,value:0),time:(from:'2017-05-22T12:39:35-0600',mode:absolute,to:'2017-05-22T15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4" s="192" t="str">
        <f t="shared" si="40"/>
        <v>N</v>
      </c>
      <c r="X94" s="192">
        <f t="shared" si="33"/>
        <v>1</v>
      </c>
      <c r="Y94" s="192">
        <f t="shared" si="41"/>
        <v>4.6899999999999997E-2</v>
      </c>
      <c r="Z94" s="192">
        <f t="shared" si="42"/>
        <v>23.331199999999999</v>
      </c>
      <c r="AA94" s="192">
        <f t="shared" si="43"/>
        <v>23.284299999999998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4"/>
        <v>0181-22</v>
      </c>
      <c r="AE94" s="80" t="str">
        <f t="shared" si="45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94" s="77" t="str">
        <f t="shared" si="46"/>
        <v>"C:\Program Files (x86)\AstroGrep\AstroGrep.exe" /e /r /s /spath="%USERPROFILE%\AppData\Local\Temp\OnboardLogs" /stypes="app*4006*20170522*" /stext=" 20:.+((SYSTEM_STATE.+slice.+state.+changed )|(ment ac)|(multiple cpu faults)|(system.+state.+changed )|(\[timeout)|(PRM\|1\|D)|(kpr)|(kdp)|(train st.+moving)|(\|lc)|(penalty))"</v>
      </c>
      <c r="AG94" s="1" t="str">
        <f t="shared" si="47"/>
        <v>EC</v>
      </c>
      <c r="AH94" s="81" t="str">
        <f t="shared" si="48"/>
        <v>"%USERPROFILE%\Documents\GitHub\eaglep3\Utilities\RefineRTDCRunTimes.py" --tripid 181-22 --locoid 4006 --swversion DE.1.0.9.0 --startMP 204:469 --initTime 2017-05-22T13:39:35 --startdatetime 2017-05-22T13:45:16 --delay 1 --endMP 204:233312 --enddatetime 2017-05-22T14:24:24 --enforcementcount 0 &gt;&gt;C:\Users\stu\Documents\GitHub\eaglep3-reporting\EC\2017-05-22-refined-times.txt</v>
      </c>
      <c r="AI94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{"issue":{"subject":"","project_id":79,"tracker_id":40,"status_id":1,"priority_id":2,"assigned_to_id":23,"start_date":"2017-05-22","description":"","custom_fields":[{"id":1,"name":"Subdivision","value":"EC"},{"id":4,"name":"Milepost","value":"23.3312"},{"id":17,"name":"Train ID","value":"181-22"},{"id":16,"name":"Locomotive ID","value":"4006"},{"id":130,"name":"Impact","value":""},{"id":150,"name":"Time of Event (Mountain Time)","value":"14:24:24"},{"id":151,"name":"Denver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50"/>
        <v>start /low /b %USERPROFILE%\Documents\GitHub\eaglep3\Utilities\DownloadLogsFromS3.py --loco 4006 --day 2017-05-22</v>
      </c>
      <c r="AN94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20" customFormat="1" x14ac:dyDescent="0.25">
      <c r="A95" s="32" t="s">
        <v>739</v>
      </c>
      <c r="B95" s="7">
        <v>4005</v>
      </c>
      <c r="C95" s="21" t="s">
        <v>206</v>
      </c>
      <c r="D95" s="21" t="s">
        <v>868</v>
      </c>
      <c r="E95" s="13">
        <v>42877.608946759261</v>
      </c>
      <c r="F95" s="13">
        <v>42877.612800925926</v>
      </c>
      <c r="G95" s="7">
        <v>1</v>
      </c>
      <c r="H95" s="21" t="s">
        <v>353</v>
      </c>
      <c r="I95" s="13">
        <v>42877.641168981485</v>
      </c>
      <c r="J95" s="7">
        <v>0</v>
      </c>
      <c r="K95" s="92" t="str">
        <f t="shared" si="35"/>
        <v>4005/4006</v>
      </c>
      <c r="L95" s="21" t="str">
        <f>VLOOKUP(A95,'Trips&amp;Operators'!$C$1:$G$99999,5,FALSE)</f>
        <v>BRUDER RICHARD</v>
      </c>
      <c r="M95" s="6">
        <f t="shared" si="36"/>
        <v>2.8368055558530614E-2</v>
      </c>
      <c r="N95" s="7">
        <f t="shared" si="52"/>
        <v>40.850000004284084</v>
      </c>
      <c r="O95" s="7"/>
      <c r="P95" s="7"/>
      <c r="Q95" s="22"/>
      <c r="R95" s="190"/>
      <c r="S95" s="196">
        <f t="shared" si="53"/>
        <v>1</v>
      </c>
      <c r="T95" s="190" t="str">
        <f t="shared" si="38"/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9"/>
        <v>https://d0f6bd738d7f1b3e5a7ca70fe4ff75f0.us-east-1.aws.found.io/app/kibana#/discover/Steve-Slow-Train-Analysis-(2080s-and-2083s)?_g=(refreshInterval:(display:Off,pause:!f,section:0,value:0),time:(from:'2017-05-22T13:36:53-0600',mode:absolute,to:'2017-05-22T16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5" s="192" t="str">
        <f t="shared" si="40"/>
        <v>N</v>
      </c>
      <c r="X95" s="192">
        <f t="shared" si="33"/>
        <v>1</v>
      </c>
      <c r="Y95" s="192">
        <f t="shared" si="41"/>
        <v>23.299600000000002</v>
      </c>
      <c r="Z95" s="192">
        <f t="shared" si="42"/>
        <v>1.6E-2</v>
      </c>
      <c r="AA95" s="192">
        <f t="shared" si="43"/>
        <v>23.283600000000003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4"/>
        <v>0182-22</v>
      </c>
      <c r="AE95" s="80" t="str">
        <f t="shared" si="45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95" s="77" t="str">
        <f t="shared" si="46"/>
        <v>"C:\Program Files (x86)\AstroGrep\AstroGrep.exe" /e /r /s /spath="%USERPROFILE%\AppData\Local\Temp\OnboardLogs" /stypes="app*4005*20170522*" /stext=" 21:.+((SYSTEM_STATE.+slice.+state.+changed )|(ment ac)|(multiple cpu faults)|(system.+state.+changed )|(\[timeout)|(PRM\|1\|D)|(kpr)|(kdp)|(train st.+moving)|(\|lc)|(penalty))"</v>
      </c>
      <c r="AG95" s="1" t="str">
        <f t="shared" si="47"/>
        <v>EC</v>
      </c>
      <c r="AH95" s="81" t="str">
        <f t="shared" si="48"/>
        <v>"%USERPROFILE%\Documents\GitHub\eaglep3\Utilities\RefineRTDCRunTimes.py" --tripid 182-22 --locoid 4005 --swversion DE.1.0.9.0 --startMP 204:232996 --initTime 2017-05-22T14:36:53 --startdatetime 2017-05-22T14:42:26 --delay 1 --endMP 204:160 --enddatetime 2017-05-22T15:23:17 --enforcementcount 0 &gt;&gt;C:\Users\stu\Documents\GitHub\eaglep3-reporting\EC\2017-05-22-refined-times.txt</v>
      </c>
      <c r="AI95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{"issue":{"subject":"","project_id":79,"tracker_id":40,"status_id":1,"priority_id":2,"assigned_to_id":23,"start_date":"2017-05-22","description":"","custom_fields":[{"id":1,"name":"Subdivision","value":"EC"},{"id":4,"name":"Milepost","value":"0.016"},{"id":17,"name":"Train ID","value":"182-22"},{"id":16,"name":"Locomotive ID","value":"4005"},{"id":130,"name":"Impact","value":""},{"id":150,"name":"Time of Event (Mountain Time)","value":"15:23:17"},{"id":151,"name":"Denver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50"/>
        <v>start /low /b %USERPROFILE%\Documents\GitHub\eaglep3\Utilities\DownloadLogsFromS3.py --loco 4005 --day 2017-05-22</v>
      </c>
      <c r="AN95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735</v>
      </c>
      <c r="B96" s="7">
        <v>4008</v>
      </c>
      <c r="C96" s="21" t="s">
        <v>206</v>
      </c>
      <c r="D96" s="21" t="s">
        <v>365</v>
      </c>
      <c r="E96" s="13">
        <v>42877.580092592594</v>
      </c>
      <c r="F96" s="13">
        <v>42877.583634259259</v>
      </c>
      <c r="G96" s="7">
        <v>1</v>
      </c>
      <c r="H96" s="21" t="s">
        <v>462</v>
      </c>
      <c r="I96" s="13">
        <v>42877.61241898148</v>
      </c>
      <c r="J96" s="7">
        <v>0</v>
      </c>
      <c r="K96" s="92" t="str">
        <f t="shared" si="35"/>
        <v>4007/4008</v>
      </c>
      <c r="L96" s="21" t="str">
        <f>VLOOKUP(A96,'Trips&amp;Operators'!$C$1:$G$99999,5,FALSE)</f>
        <v>BRANDNER MELINDA</v>
      </c>
      <c r="M96" s="6">
        <f t="shared" si="36"/>
        <v>2.8784722220734693E-2</v>
      </c>
      <c r="N96" s="7">
        <f t="shared" si="52"/>
        <v>41.449999997857958</v>
      </c>
      <c r="O96" s="7"/>
      <c r="P96" s="7"/>
      <c r="Q96" s="22"/>
      <c r="R96" s="190"/>
      <c r="S96" s="196">
        <f t="shared" si="53"/>
        <v>1</v>
      </c>
      <c r="T96" s="190" t="str">
        <f t="shared" si="38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9"/>
        <v>https://d0f6bd738d7f1b3e5a7ca70fe4ff75f0.us-east-1.aws.found.io/app/kibana#/discover/Steve-Slow-Train-Analysis-(2080s-and-2083s)?_g=(refreshInterval:(display:Off,pause:!f,section:0,value:0),time:(from:'2017-05-22T12:55:20-0600',mode:absolute,to:'2017-05-22T15:41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6" s="192" t="str">
        <f t="shared" si="40"/>
        <v>N</v>
      </c>
      <c r="X96" s="192">
        <f t="shared" si="33"/>
        <v>1</v>
      </c>
      <c r="Y96" s="192">
        <f t="shared" si="41"/>
        <v>4.4699999999999997E-2</v>
      </c>
      <c r="Z96" s="192">
        <f t="shared" si="42"/>
        <v>23.329899999999999</v>
      </c>
      <c r="AA96" s="192">
        <f t="shared" si="43"/>
        <v>23.2852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4"/>
        <v>0183-22</v>
      </c>
      <c r="AE96" s="80" t="str">
        <f t="shared" si="45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96" s="77" t="str">
        <f t="shared" si="46"/>
        <v>"C:\Program Files (x86)\AstroGrep\AstroGrep.exe" /e /r /s /spath="%USERPROFILE%\AppData\Local\Temp\OnboardLogs" /stypes="app*4008*20170522*" /stext=" 20:.+((SYSTEM_STATE.+slice.+state.+changed )|(ment ac)|(multiple cpu faults)|(system.+state.+changed )|(\[timeout)|(PRM\|1\|D)|(kpr)|(kdp)|(train st.+moving)|(\|lc)|(penalty))"</v>
      </c>
      <c r="AG96" s="1" t="str">
        <f t="shared" si="47"/>
        <v>EC</v>
      </c>
      <c r="AH96" s="81" t="str">
        <f t="shared" si="48"/>
        <v>"%USERPROFILE%\Documents\GitHub\eaglep3\Utilities\RefineRTDCRunTimes.py" --tripid 183-22 --locoid 4008 --swversion DE.1.0.9.0 --startMP 204:447 --initTime 2017-05-22T13:55:20 --startdatetime 2017-05-22T14:00:26 --delay 1 --endMP 204:233299 --enddatetime 2017-05-22T14:41:53 --enforcementcount 0 &gt;&gt;C:\Users\stu\Documents\GitHub\eaglep3-reporting\EC\2017-05-22-refined-times.txt</v>
      </c>
      <c r="AI96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{"issue":{"subject":"","project_id":79,"tracker_id":40,"status_id":1,"priority_id":2,"assigned_to_id":23,"start_date":"2017-05-22","description":"","custom_fields":[{"id":1,"name":"Subdivision","value":"EC"},{"id":4,"name":"Milepost","value":"23.3299"},{"id":17,"name":"Train ID","value":"183-22"},{"id":16,"name":"Locomotive ID","value":"4008"},{"id":130,"name":"Impact","value":""},{"id":150,"name":"Time of Event (Mountain Time)","value":"14:41:53"},{"id":151,"name":"Denver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50"/>
        <v>start /low /b %USERPROFILE%\Documents\GitHub\eaglep3\Utilities\DownloadLogsFromS3.py --loco 4008 --day 2017-05-22</v>
      </c>
      <c r="AN96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20:41:53"},{"id":29,"name":"Sharepoint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741</v>
      </c>
      <c r="B97" s="7">
        <v>4007</v>
      </c>
      <c r="C97" s="21" t="s">
        <v>206</v>
      </c>
      <c r="D97" s="21" t="s">
        <v>535</v>
      </c>
      <c r="E97" s="13">
        <v>42877.620393518519</v>
      </c>
      <c r="F97" s="13">
        <v>42877.623113425929</v>
      </c>
      <c r="G97" s="7">
        <v>1</v>
      </c>
      <c r="H97" s="21" t="s">
        <v>357</v>
      </c>
      <c r="I97" s="13">
        <v>42877.654594907406</v>
      </c>
      <c r="J97" s="7">
        <v>0</v>
      </c>
      <c r="K97" s="92" t="str">
        <f t="shared" si="35"/>
        <v>4007/4008</v>
      </c>
      <c r="L97" s="21" t="str">
        <f>VLOOKUP(A97,'Trips&amp;Operators'!$C$1:$G$99999,5,FALSE)</f>
        <v>BRANDNER MELINDA</v>
      </c>
      <c r="M97" s="6">
        <f t="shared" si="36"/>
        <v>3.1481481477385387E-2</v>
      </c>
      <c r="N97" s="7">
        <f t="shared" si="52"/>
        <v>45.333333327434957</v>
      </c>
      <c r="O97" s="7"/>
      <c r="P97" s="7"/>
      <c r="Q97" s="22"/>
      <c r="R97" s="190"/>
      <c r="S97" s="196">
        <f t="shared" si="53"/>
        <v>1</v>
      </c>
      <c r="T97" s="190" t="str">
        <f t="shared" si="38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9"/>
        <v>https://d0f6bd738d7f1b3e5a7ca70fe4ff75f0.us-east-1.aws.found.io/app/kibana#/discover/Steve-Slow-Train-Analysis-(2080s-and-2083s)?_g=(refreshInterval:(display:Off,pause:!f,section:0,value:0),time:(from:'2017-05-22T13:53:22-0600',mode:absolute,to:'2017-05-22T16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7" s="192" t="str">
        <f t="shared" si="40"/>
        <v>N</v>
      </c>
      <c r="X97" s="192">
        <f t="shared" si="33"/>
        <v>1</v>
      </c>
      <c r="Y97" s="192">
        <f t="shared" si="41"/>
        <v>23.2986</v>
      </c>
      <c r="Z97" s="192">
        <f t="shared" si="42"/>
        <v>1.43E-2</v>
      </c>
      <c r="AA97" s="192">
        <f t="shared" si="43"/>
        <v>23.284300000000002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4"/>
        <v>0184-22</v>
      </c>
      <c r="AE97" s="80" t="str">
        <f t="shared" si="45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97" s="77" t="str">
        <f t="shared" si="46"/>
        <v>"C:\Program Files (x86)\AstroGrep\AstroGrep.exe" /e /r /s /spath="%USERPROFILE%\AppData\Local\Temp\OnboardLogs" /stypes="app*4007*20170522*" /stext=" 21:.+((SYSTEM_STATE.+slice.+state.+changed )|(ment ac)|(multiple cpu faults)|(system.+state.+changed )|(\[timeout)|(PRM\|1\|D)|(kpr)|(kdp)|(train st.+moving)|(\|lc)|(penalty))"</v>
      </c>
      <c r="AG97" s="1" t="str">
        <f t="shared" si="47"/>
        <v>EC</v>
      </c>
      <c r="AH97" s="81" t="str">
        <f t="shared" si="48"/>
        <v>"%USERPROFILE%\Documents\GitHub\eaglep3\Utilities\RefineRTDCRunTimes.py" --tripid 184-22 --locoid 4007 --swversion DE.1.0.9.0 --startMP 204:232986 --initTime 2017-05-22T14:53:22 --startdatetime 2017-05-22T14:57:17 --delay 1 --endMP 204:143 --enddatetime 2017-05-22T15:42:37 --enforcementcount 0 &gt;&gt;C:\Users\stu\Documents\GitHub\eaglep3-reporting\EC\2017-05-22-refined-times.txt</v>
      </c>
      <c r="AI97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{"issue":{"subject":"","project_id":79,"tracker_id":40,"status_id":1,"priority_id":2,"assigned_to_id":23,"start_date":"2017-05-22","description":"","custom_fields":[{"id":1,"name":"Subdivision","value":"EC"},{"id":4,"name":"Milepost","value":"0.0143"},{"id":17,"name":"Train ID","value":"184-22"},{"id":16,"name":"Locomotive ID","value":"4007"},{"id":130,"name":"Impact","value":""},{"id":150,"name":"Time of Event (Mountain Time)","value":"15:42:37"},{"id":151,"name":"Denver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50"/>
        <v>start /low /b %USERPROFILE%\Documents\GitHub\eaglep3\Utilities\DownloadLogsFromS3.py --loco 4007 --day 2017-05-22</v>
      </c>
      <c r="AN97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598</v>
      </c>
      <c r="B98" s="7">
        <v>4032</v>
      </c>
      <c r="C98" s="21" t="s">
        <v>206</v>
      </c>
      <c r="D98" s="21" t="s">
        <v>869</v>
      </c>
      <c r="E98" s="13">
        <v>42877.590405092589</v>
      </c>
      <c r="F98" s="13">
        <v>42877.594143518516</v>
      </c>
      <c r="G98" s="7">
        <v>1</v>
      </c>
      <c r="H98" s="21" t="s">
        <v>840</v>
      </c>
      <c r="I98" s="13">
        <v>42877.621770833335</v>
      </c>
      <c r="J98" s="7">
        <v>0</v>
      </c>
      <c r="K98" s="92" t="str">
        <f t="shared" si="35"/>
        <v>4031/4032</v>
      </c>
      <c r="L98" s="21" t="str">
        <f>VLOOKUP(A98,'Trips&amp;Operators'!$C$1:$G$99999,5,FALSE)</f>
        <v>WHITED DUSTIN</v>
      </c>
      <c r="M98" s="6">
        <f t="shared" si="36"/>
        <v>2.7627314819255844E-2</v>
      </c>
      <c r="N98" s="7">
        <f t="shared" si="52"/>
        <v>39.783333339728415</v>
      </c>
      <c r="O98" s="7"/>
      <c r="P98" s="7"/>
      <c r="Q98" s="22"/>
      <c r="R98" s="190"/>
      <c r="S98" s="196">
        <f t="shared" si="53"/>
        <v>1</v>
      </c>
      <c r="T98" s="190" t="str">
        <f t="shared" si="38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9"/>
        <v>https://d0f6bd738d7f1b3e5a7ca70fe4ff75f0.us-east-1.aws.found.io/app/kibana#/discover/Steve-Slow-Train-Analysis-(2080s-and-2083s)?_g=(refreshInterval:(display:Off,pause:!f,section:0,value:0),time:(from:'2017-05-22T13:10:11-0600',mode:absolute,to:'2017-05-22T15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192" t="str">
        <f t="shared" si="40"/>
        <v>N</v>
      </c>
      <c r="X98" s="192">
        <f t="shared" si="33"/>
        <v>1</v>
      </c>
      <c r="Y98" s="192">
        <f t="shared" si="41"/>
        <v>4.9299999999999997E-2</v>
      </c>
      <c r="Z98" s="192">
        <f t="shared" si="42"/>
        <v>23.330400000000001</v>
      </c>
      <c r="AA98" s="192">
        <f t="shared" si="43"/>
        <v>23.281100000000002</v>
      </c>
      <c r="AB98" s="57" t="str">
        <f>VLOOKUP(A98,Enforcements!$C$7:$K$13,8,0)</f>
        <v>Bulletin (2)</v>
      </c>
      <c r="AC98" s="53" t="str">
        <f>VLOOKUP(A98,Enforcements!$C$7:$E$13,3,0)</f>
        <v>GRADE CROSSING</v>
      </c>
      <c r="AD98" s="54" t="str">
        <f t="shared" si="44"/>
        <v>0185-22</v>
      </c>
      <c r="AE98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98" s="77" t="str">
        <f t="shared" si="46"/>
        <v>"C:\Program Files (x86)\AstroGrep\AstroGrep.exe" /e /r /s /spath="%USERPROFILE%\AppData\Local\Temp\OnboardLogs" /stypes="app*4032*20170522*" /stext=" 20:.+((SYSTEM_STATE.+slice.+state.+changed )|(ment ac)|(multiple cpu faults)|(system.+state.+changed )|(\[timeout)|(PRM\|1\|D)|(kpr)|(kdp)|(train st.+moving)|(\|lc)|(penalty))"</v>
      </c>
      <c r="AG98" s="1" t="str">
        <f t="shared" si="47"/>
        <v>EC</v>
      </c>
      <c r="AH98" s="81" t="str">
        <f t="shared" si="48"/>
        <v>"%USERPROFILE%\Documents\GitHub\eaglep3\Utilities\RefineRTDCRunTimes.py" --tripid 185-22 --locoid 4032 --swversion DE.1.0.9.0 --startMP 204:493 --initTime 2017-05-22T14:10:11 --startdatetime 2017-05-22T14:15:34 --delay 1 --endMP 204:233304 --enddatetime 2017-05-22T14:55:21 --enforcementcount 0 &gt;&gt;C:\Users\stu\Documents\GitHub\eaglep3-reporting\EC\2017-05-22-refined-times.txt</v>
      </c>
      <c r="AI98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{"issue":{"subject":"","project_id":79,"tracker_id":40,"status_id":1,"priority_id":2,"assigned_to_id":23,"start_date":"2017-05-22","description":"","custom_fields":[{"id":1,"name":"Subdivision","value":"EC"},{"id":4,"name":"Milepost","value":"23.3304"},{"id":17,"name":"Train ID","value":"185-22"},{"id":16,"name":"Locomotive ID","value":"4032"},{"id":130,"name":"Impact","value":""},{"id":150,"name":"Time of Event (Mountain Time)","value":"14:55:21"},{"id":151,"name":"Denver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50"/>
        <v>start /low /b %USERPROFILE%\Documents\GitHub\eaglep3\Utilities\DownloadLogsFromS3.py --loco 4032 --day 2017-05-22</v>
      </c>
      <c r="AN98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743</v>
      </c>
      <c r="B99" s="7">
        <v>4031</v>
      </c>
      <c r="C99" s="21" t="s">
        <v>206</v>
      </c>
      <c r="D99" s="21" t="s">
        <v>426</v>
      </c>
      <c r="E99" s="13">
        <v>42877.628865740742</v>
      </c>
      <c r="F99" s="13">
        <v>42877.63349537037</v>
      </c>
      <c r="G99" s="7">
        <v>1</v>
      </c>
      <c r="H99" s="21" t="s">
        <v>870</v>
      </c>
      <c r="I99" s="13">
        <v>42877.661273148151</v>
      </c>
      <c r="J99" s="7">
        <v>0</v>
      </c>
      <c r="K99" s="92" t="str">
        <f t="shared" si="35"/>
        <v>4031/4032</v>
      </c>
      <c r="L99" s="21" t="str">
        <f>VLOOKUP(A99,'Trips&amp;Operators'!$C$1:$G$99999,5,FALSE)</f>
        <v>WHITED DUSTIN</v>
      </c>
      <c r="M99" s="6">
        <f t="shared" si="36"/>
        <v>2.7777777781011537E-2</v>
      </c>
      <c r="N99" s="7">
        <f t="shared" si="52"/>
        <v>40.000000004656613</v>
      </c>
      <c r="O99" s="7"/>
      <c r="P99" s="7"/>
      <c r="Q99" s="22"/>
      <c r="R99" s="190"/>
      <c r="S99" s="196">
        <f t="shared" si="53"/>
        <v>1</v>
      </c>
      <c r="T99" s="190" t="str">
        <f t="shared" si="38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9"/>
        <v>https://d0f6bd738d7f1b3e5a7ca70fe4ff75f0.us-east-1.aws.found.io/app/kibana#/discover/Steve-Slow-Train-Analysis-(2080s-and-2083s)?_g=(refreshInterval:(display:Off,pause:!f,section:0,value:0),time:(from:'2017-05-22T14:05:34-0600',mode:absolute,to:'2017-05-22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192" t="str">
        <f t="shared" si="40"/>
        <v>N</v>
      </c>
      <c r="X99" s="192">
        <f t="shared" si="33"/>
        <v>1</v>
      </c>
      <c r="Y99" s="192">
        <f t="shared" si="41"/>
        <v>23.299299999999999</v>
      </c>
      <c r="Z99" s="192">
        <f t="shared" si="42"/>
        <v>1.78E-2</v>
      </c>
      <c r="AA99" s="192">
        <f t="shared" si="43"/>
        <v>23.281499999999998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4"/>
        <v>0186-22</v>
      </c>
      <c r="AE99" s="80" t="str">
        <f t="shared" si="45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99" s="77" t="str">
        <f t="shared" si="46"/>
        <v>"C:\Program Files (x86)\AstroGrep\AstroGrep.exe" /e /r /s /spath="%USERPROFILE%\AppData\Local\Temp\OnboardLogs" /stypes="app*4031*20170522*" /stext=" 21:.+((SYSTEM_STATE.+slice.+state.+changed )|(ment ac)|(multiple cpu faults)|(system.+state.+changed )|(\[timeout)|(PRM\|1\|D)|(kpr)|(kdp)|(train st.+moving)|(\|lc)|(penalty))"</v>
      </c>
      <c r="AG99" s="1" t="str">
        <f t="shared" si="47"/>
        <v>EC</v>
      </c>
      <c r="AH99" s="81" t="str">
        <f t="shared" si="48"/>
        <v>"%USERPROFILE%\Documents\GitHub\eaglep3\Utilities\RefineRTDCRunTimes.py" --tripid 186-22 --locoid 4031 --swversion DE.1.0.9.0 --startMP 204:232993 --initTime 2017-05-22T15:05:34 --startdatetime 2017-05-22T15:12:14 --delay 1 --endMP 204:178 --enddatetime 2017-05-22T15:52:14 --enforcementcount 0 &gt;&gt;C:\Users\stu\Documents\GitHub\eaglep3-reporting\EC\2017-05-22-refined-times.txt</v>
      </c>
      <c r="AI99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{"issue":{"subject":"","project_id":79,"tracker_id":40,"status_id":1,"priority_id":2,"assigned_to_id":23,"start_date":"2017-05-22","description":"","custom_fields":[{"id":1,"name":"Subdivision","value":"EC"},{"id":4,"name":"Milepost","value":"0.0178"},{"id":17,"name":"Train ID","value":"186-22"},{"id":16,"name":"Locomotive ID","value":"4031"},{"id":130,"name":"Impact","value":""},{"id":150,"name":"Time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5" t="str">
        <f t="shared" si="50"/>
        <v>start /low /b %USERPROFILE%\Documents\GitHub\eaglep3\Utilities\DownloadLogsFromS3.py --loco 4031 --day 2017-05-22</v>
      </c>
      <c r="AN99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599</v>
      </c>
      <c r="B100" s="7">
        <v>4010</v>
      </c>
      <c r="C100" s="21" t="s">
        <v>206</v>
      </c>
      <c r="D100" s="21" t="s">
        <v>363</v>
      </c>
      <c r="E100" s="13">
        <v>42877.602719907409</v>
      </c>
      <c r="F100" s="13">
        <v>42877.603379629632</v>
      </c>
      <c r="G100" s="7">
        <v>0</v>
      </c>
      <c r="H100" s="21" t="s">
        <v>871</v>
      </c>
      <c r="I100" s="13">
        <v>42877.61346064815</v>
      </c>
      <c r="J100" s="7">
        <v>1</v>
      </c>
      <c r="K100" s="92" t="str">
        <f t="shared" si="35"/>
        <v>4009/4010</v>
      </c>
      <c r="L100" s="21" t="str">
        <f>VLOOKUP(A100,'Trips&amp;Operators'!$C$1:$G$99999,5,FALSE)</f>
        <v>MCREYNOLDS KYLE</v>
      </c>
      <c r="M100" s="6">
        <f t="shared" si="36"/>
        <v>1.0081018517666962E-2</v>
      </c>
      <c r="N100" s="7"/>
      <c r="O100" s="7"/>
      <c r="P100" s="7">
        <f>24*60*SUM($M100:$M101)</f>
        <v>41.033333328086883</v>
      </c>
      <c r="Q100" s="22"/>
      <c r="R100" s="190" t="s">
        <v>468</v>
      </c>
      <c r="S100" s="196">
        <f>SUM(U100:U101)/IF(AG100="EC",12,1)</f>
        <v>0.83333333333333337</v>
      </c>
      <c r="T100" s="190" t="str">
        <f t="shared" si="38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7</v>
      </c>
      <c r="V100" s="191" t="str">
        <f t="shared" si="39"/>
        <v>https://d0f6bd738d7f1b3e5a7ca70fe4ff75f0.us-east-1.aws.found.io/app/kibana#/discover/Steve-Slow-Train-Analysis-(2080s-and-2083s)?_g=(refreshInterval:(display:Off,pause:!f,section:0,value:0),time:(from:'2017-05-22T13:27:55-0600',mode:absolute,to:'2017-05-22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0" s="192" t="str">
        <f t="shared" si="40"/>
        <v>Y</v>
      </c>
      <c r="X100" s="192">
        <f t="shared" si="33"/>
        <v>1</v>
      </c>
      <c r="Y100" s="192">
        <f t="shared" si="41"/>
        <v>4.53E-2</v>
      </c>
      <c r="Z100" s="192">
        <f t="shared" si="42"/>
        <v>5.8757999999999999</v>
      </c>
      <c r="AA100" s="192">
        <f t="shared" si="43"/>
        <v>5.8304999999999998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4"/>
        <v>0187-22</v>
      </c>
      <c r="AE100" s="80" t="str">
        <f t="shared" si="45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100" s="77" t="str">
        <f t="shared" si="46"/>
        <v>"C:\Program Files (x86)\AstroGrep\AstroGrep.exe" /e /r /s /spath="%USERPROFILE%\AppData\Local\Temp\OnboardLogs" /stypes="app*4010*20170522*" /stext=" 20:.+((SYSTEM_STATE.+slice.+state.+changed )|(ment ac)|(multiple cpu faults)|(system.+state.+changed )|(\[timeout)|(PRM\|1\|D)|(kpr)|(kdp)|(train st.+moving)|(\|lc)|(penalty))"</v>
      </c>
      <c r="AG100" s="1" t="str">
        <f t="shared" si="47"/>
        <v>EC</v>
      </c>
      <c r="AH100" s="81" t="str">
        <f t="shared" si="48"/>
        <v>"%USERPROFILE%\Documents\GitHub\eaglep3\Utilities\RefineRTDCRunTimes.py" --tripid 187-22 --locoid 4010 --swversion DE.1.0.9.0 --startMP 204:453 --initTime 2017-05-22T14:27:55 --startdatetime 2017-05-22T14:28:52 --delay 0 --endMP 204:58758 --enddatetime 2017-05-22T14:43:23 --enforcementcount 1 &gt;&gt;C:\Users\stu\Documents\GitHub\eaglep3-reporting\EC\2017-05-22-refined-times.txt</v>
      </c>
      <c r="AI100" s="99" t="str">
        <f t="shared" si="49"/>
        <v>echo {"issue":{"subject":"Wi-MAX data drop","project_id":79,"tracker_id":40,"status_id":1,"priority_id":2,"assigned_to_id":23,"start_date":"2017-05-22","description":"","custom_fields":[{"id":1,"name":"Subdivision","value":"EC"},{"id":4,"name":"Milepost","value":"5.8758"},{"id":17,"name":"Train ID","value":"187-22"},{"id":16,"name":"Locomotive ID","value":"4010"},{"id":130,"name":"Impact","value":""},{"id":150,"name":"Time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0"/>
        <v>start /low /b %USERPROFILE%\Documents\GitHub\eaglep3\Utilities\DownloadLogsFromS3.py --loco 4010 --day 2017-05-22</v>
      </c>
      <c r="AN100" s="154" t="str">
        <f t="shared" si="51"/>
        <v>echo {"issue":{"subject":"Wi-MAX data drop","project_id":30,"tracker_id":4,"status_id":1,"priority_id":1,"assigned_to_id":10,"start_date":"2017-05-22","description":"","custom_fields":[{"id":30,"name":"Category","value":"Issue"},{"id":3,"name":"Functional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599</v>
      </c>
      <c r="B101" s="7">
        <v>4010</v>
      </c>
      <c r="C101" s="21" t="s">
        <v>206</v>
      </c>
      <c r="D101" s="21" t="s">
        <v>872</v>
      </c>
      <c r="E101" s="13">
        <v>42877.614768518521</v>
      </c>
      <c r="F101" s="13">
        <v>42877.615613425929</v>
      </c>
      <c r="G101" s="7">
        <v>1</v>
      </c>
      <c r="H101" s="21" t="s">
        <v>873</v>
      </c>
      <c r="I101" s="13">
        <v>42877.634027777778</v>
      </c>
      <c r="J101" s="7">
        <v>0</v>
      </c>
      <c r="K101" s="92" t="str">
        <f t="shared" si="35"/>
        <v>4009/4010</v>
      </c>
      <c r="L101" s="21" t="str">
        <f>VLOOKUP(A101,'Trips&amp;Operators'!$C$1:$G$99999,5,FALSE)</f>
        <v>MCREYNOLDS KYLE</v>
      </c>
      <c r="M101" s="6">
        <f t="shared" si="36"/>
        <v>1.841435184906004E-2</v>
      </c>
      <c r="N101" s="7"/>
      <c r="O101" s="7"/>
      <c r="P101" s="7"/>
      <c r="Q101" s="22"/>
      <c r="R101" s="190"/>
      <c r="S101" s="196"/>
      <c r="T101" s="190" t="str">
        <f t="shared" si="38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3</v>
      </c>
      <c r="V101" s="191" t="str">
        <f t="shared" si="39"/>
        <v>https://d0f6bd738d7f1b3e5a7ca70fe4ff75f0.us-east-1.aws.found.io/app/kibana#/discover/Steve-Slow-Train-Analysis-(2080s-and-2083s)?_g=(refreshInterval:(display:Off,pause:!f,section:0,value:0),time:(from:'2017-05-22T13:45:16-0600',mode:absolute,to:'2017-05-22T16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2" t="str">
        <f t="shared" si="40"/>
        <v>Y</v>
      </c>
      <c r="X101" s="192">
        <f t="shared" si="33"/>
        <v>0</v>
      </c>
      <c r="Y101" s="192">
        <f t="shared" si="41"/>
        <v>6.4725999999999999</v>
      </c>
      <c r="Z101" s="192">
        <f t="shared" si="42"/>
        <v>23.331099999999999</v>
      </c>
      <c r="AA101" s="192">
        <f t="shared" si="43"/>
        <v>16.858499999999999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4"/>
        <v>0187-22</v>
      </c>
      <c r="AE101" s="80" t="str">
        <f t="shared" si="45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101" s="77" t="str">
        <f t="shared" si="46"/>
        <v>"C:\Program Files (x86)\AstroGrep\AstroGrep.exe" /e /r /s /spath="%USERPROFILE%\AppData\Local\Temp\OnboardLogs" /stypes="app*4010*20170522*" /stext=" 21:.+((SYSTEM_STATE.+slice.+state.+changed )|(ment ac)|(multiple cpu faults)|(system.+state.+changed )|(\[timeout)|(PRM\|1\|D)|(kpr)|(kdp)|(train st.+moving)|(\|lc)|(penalty))"</v>
      </c>
      <c r="AG101" s="1" t="str">
        <f t="shared" si="47"/>
        <v>EC</v>
      </c>
      <c r="AH101" s="81" t="str">
        <f t="shared" si="48"/>
        <v>"%USERPROFILE%\Documents\GitHub\eaglep3\Utilities\RefineRTDCRunTimes.py" --tripid 187-22 --locoid 4010 --swversion DE.1.0.9.0 --startMP 204:64726 --initTime 2017-05-22T14:45:16 --startdatetime 2017-05-22T14:46:29 --delay 1 --endMP 204:233311 --enddatetime 2017-05-22T15:13:00 --enforcementcount 0 &gt;&gt;C:\Users\stu\Documents\GitHub\eaglep3-reporting\EC\2017-05-22-refined-times.txt</v>
      </c>
      <c r="AI10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{"issue":{"subject":"","project_id":79,"tracker_id":40,"status_id":1,"priority_id":2,"assigned_to_id":23,"start_date":"2017-05-22","description":"","custom_fields":[{"id":1,"name":"Subdivision","value":"EC"},{"id":4,"name":"Milepost","value":"23.3311"},{"id":17,"name":"Train ID","value":"187-22"},{"id":16,"name":"Locomotive ID","value":"4010"},{"id":130,"name":"Impact","value":""},{"id":150,"name":"Time of Event (Mountain Time)","value":"15:13:00"},{"id":151,"name":"Denver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0"/>
        <v>start /low /b %USERPROFILE%\Documents\GitHub\eaglep3\Utilities\DownloadLogsFromS3.py --loco 4010 --day 2017-05-22</v>
      </c>
      <c r="AN101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746</v>
      </c>
      <c r="B102" s="7">
        <v>4009</v>
      </c>
      <c r="C102" s="21" t="s">
        <v>206</v>
      </c>
      <c r="D102" s="21" t="s">
        <v>531</v>
      </c>
      <c r="E102" s="13">
        <v>42877.638171296298</v>
      </c>
      <c r="F102" s="13">
        <v>42877.643993055557</v>
      </c>
      <c r="G102" s="7">
        <v>1</v>
      </c>
      <c r="H102" s="21" t="s">
        <v>355</v>
      </c>
      <c r="I102" s="13">
        <v>42877.671203703707</v>
      </c>
      <c r="J102" s="7">
        <v>0</v>
      </c>
      <c r="K102" s="92" t="str">
        <f t="shared" si="35"/>
        <v>4009/4010</v>
      </c>
      <c r="L102" s="21" t="str">
        <f>VLOOKUP(A102,'Trips&amp;Operators'!$C$1:$G$99999,5,FALSE)</f>
        <v>MCREYNOLDS KYLE</v>
      </c>
      <c r="M102" s="6">
        <f t="shared" si="36"/>
        <v>2.7210648149775807E-2</v>
      </c>
      <c r="N102" s="7">
        <f t="shared" ref="N102:N112" si="54">24*60*SUM($M102:$M102)</f>
        <v>39.183333335677162</v>
      </c>
      <c r="O102" s="7"/>
      <c r="P102" s="7"/>
      <c r="Q102" s="22"/>
      <c r="R102" s="190" t="s">
        <v>1036</v>
      </c>
      <c r="S102" s="196">
        <f t="shared" ref="S102:S112" si="55">SUM(U102:U102)/IF(AG102="EC",12,1)</f>
        <v>1</v>
      </c>
      <c r="T102" s="190" t="str">
        <f t="shared" si="38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9"/>
        <v>https://d0f6bd738d7f1b3e5a7ca70fe4ff75f0.us-east-1.aws.found.io/app/kibana#/discover/Steve-Slow-Train-Analysis-(2080s-and-2083s)?_g=(refreshInterval:(display:Off,pause:!f,section:0,value:0),time:(from:'2017-05-22T14:18:58-0600',mode:absolute,to:'2017-05-22T17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2" t="str">
        <f t="shared" si="40"/>
        <v>N</v>
      </c>
      <c r="X102" s="192">
        <f t="shared" si="33"/>
        <v>1</v>
      </c>
      <c r="Y102" s="192">
        <f t="shared" si="41"/>
        <v>23.299800000000001</v>
      </c>
      <c r="Z102" s="192">
        <f t="shared" si="42"/>
        <v>1.4999999999999999E-2</v>
      </c>
      <c r="AA102" s="192">
        <f t="shared" si="43"/>
        <v>23.284800000000001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4"/>
        <v>0188-22</v>
      </c>
      <c r="AE102" s="80" t="str">
        <f t="shared" si="45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102" s="77" t="str">
        <f t="shared" si="46"/>
        <v>"C:\Program Files (x86)\AstroGrep\AstroGrep.exe" /e /r /s /spath="%USERPROFILE%\AppData\Local\Temp\OnboardLogs" /stypes="app*4009*20170522*" /stext=" 22:.+((SYSTEM_STATE.+slice.+state.+changed )|(ment ac)|(multiple cpu faults)|(system.+state.+changed )|(\[timeout)|(PRM\|1\|D)|(kpr)|(kdp)|(train st.+moving)|(\|lc)|(penalty))"</v>
      </c>
      <c r="AG102" s="1" t="str">
        <f t="shared" si="47"/>
        <v>EC</v>
      </c>
      <c r="AH102" s="81" t="str">
        <f t="shared" si="48"/>
        <v>"%USERPROFILE%\Documents\GitHub\eaglep3\Utilities\RefineRTDCRunTimes.py" --tripid 188-22 --locoid 4009 --swversion DE.1.0.9.0 --startMP 204:232998 --initTime 2017-05-22T15:18:58 --startdatetime 2017-05-22T15:27:21 --delay 1 --endMP 204:150 --enddatetime 2017-05-22T16:06:32 --enforcementcount 0 &gt;&gt;C:\Users\stu\Documents\GitHub\eaglep3-reporting\EC\2017-05-22-refined-times.txt</v>
      </c>
      <c r="AI102" s="99" t="str">
        <f t="shared" si="49"/>
        <v>echo {"issue":{"subject":"Wi-MAX data drop, operator slowed in time, coincided with banner without braking at 15:39:56 ","project_id":79,"tracker_id":40,"status_id":1,"priority_id":2,"assigned_to_id":23,"start_date":"2017-05-22","description":"","custom_fields":[{"id":1,"name":"Subdivision","value":"EC"},{"id":4,"name":"Milepost","value":"0.015"},{"id":17,"name":"Train ID","value":"188-22"},{"id":16,"name":"Locomotive ID","value":"4009"},{"id":130,"name":"Impact","value":""},{"id":150,"name":"Time of Event (Mountain Time)","value":"16:06:32"},{"id":151,"name":"Denver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50"/>
        <v>start /low /b %USERPROFILE%\Documents\GitHub\eaglep3\Utilities\DownloadLogsFromS3.py --loco 4009 --day 2017-05-22</v>
      </c>
      <c r="AN102" s="154" t="str">
        <f t="shared" si="51"/>
        <v>echo {"issue":{"subject":"Wi-MAX data drop, operator slowed in time, coincided with banner without braking at 15:39:56 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740</v>
      </c>
      <c r="B103" s="7">
        <v>4016</v>
      </c>
      <c r="C103" s="21" t="s">
        <v>206</v>
      </c>
      <c r="D103" s="21" t="s">
        <v>405</v>
      </c>
      <c r="E103" s="13">
        <v>42877.613923611112</v>
      </c>
      <c r="F103" s="13">
        <v>42877.615671296298</v>
      </c>
      <c r="G103" s="7">
        <v>1</v>
      </c>
      <c r="H103" s="21" t="s">
        <v>539</v>
      </c>
      <c r="I103" s="13">
        <v>42877.642164351855</v>
      </c>
      <c r="J103" s="7">
        <v>0</v>
      </c>
      <c r="K103" s="92" t="str">
        <f t="shared" si="35"/>
        <v>4015/4016</v>
      </c>
      <c r="L103" s="21" t="str">
        <f>VLOOKUP(A103,'Trips&amp;Operators'!$C$1:$G$99999,5,FALSE)</f>
        <v>DAVIS MICHAEL</v>
      </c>
      <c r="M103" s="6">
        <f t="shared" si="36"/>
        <v>2.6493055556784384E-2</v>
      </c>
      <c r="N103" s="7">
        <f t="shared" si="54"/>
        <v>38.150000001769513</v>
      </c>
      <c r="O103" s="7"/>
      <c r="P103" s="7"/>
      <c r="Q103" s="22"/>
      <c r="R103" s="190"/>
      <c r="S103" s="196">
        <f t="shared" si="55"/>
        <v>1</v>
      </c>
      <c r="T103" s="190" t="str">
        <f t="shared" si="38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9"/>
        <v>https://d0f6bd738d7f1b3e5a7ca70fe4ff75f0.us-east-1.aws.found.io/app/kibana#/discover/Steve-Slow-Train-Analysis-(2080s-and-2083s)?_g=(refreshInterval:(display:Off,pause:!f,section:0,value:0),time:(from:'2017-05-22T13:44:03-0600',mode:absolute,to:'2017-05-22T16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192" t="str">
        <f t="shared" si="40"/>
        <v>N</v>
      </c>
      <c r="X103" s="192">
        <f t="shared" ref="X103:X166" si="56">VALUE(LEFT(AD103,4))-VALUE(LEFT(AD102,4))</f>
        <v>1</v>
      </c>
      <c r="Y103" s="192">
        <f t="shared" si="41"/>
        <v>4.6199999999999998E-2</v>
      </c>
      <c r="Z103" s="192">
        <f t="shared" si="42"/>
        <v>23.333100000000002</v>
      </c>
      <c r="AA103" s="192">
        <f t="shared" si="43"/>
        <v>23.286900000000003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4"/>
        <v>0189-22</v>
      </c>
      <c r="AE103" s="80" t="str">
        <f t="shared" si="45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103" s="77" t="str">
        <f t="shared" si="46"/>
        <v>"C:\Program Files (x86)\AstroGrep\AstroGrep.exe" /e /r /s /spath="%USERPROFILE%\AppData\Local\Temp\OnboardLogs" /stypes="app*4016*20170522*" /stext=" 21:.+((SYSTEM_STATE.+slice.+state.+changed )|(ment ac)|(multiple cpu faults)|(system.+state.+changed )|(\[timeout)|(PRM\|1\|D)|(kpr)|(kdp)|(train st.+moving)|(\|lc)|(penalty))"</v>
      </c>
      <c r="AG103" s="1" t="str">
        <f t="shared" si="47"/>
        <v>EC</v>
      </c>
      <c r="AH103" s="81" t="str">
        <f t="shared" si="48"/>
        <v>"%USERPROFILE%\Documents\GitHub\eaglep3\Utilities\RefineRTDCRunTimes.py" --tripid 189-22 --locoid 4016 --swversion DE.1.0.9.0 --startMP 204:462 --initTime 2017-05-22T14:44:03 --startdatetime 2017-05-22T14:46:34 --delay 1 --endMP 204:233331 --enddatetime 2017-05-22T15:24:43 --enforcementcount 0 &gt;&gt;C:\Users\stu\Documents\GitHub\eaglep3-reporting\EC\2017-05-22-refined-times.txt</v>
      </c>
      <c r="AI103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{"issue":{"subject":"","project_id":79,"tracker_id":40,"status_id":1,"priority_id":2,"assigned_to_id":23,"start_date":"2017-05-22","description":"","custom_fields":[{"id":1,"name":"Subdivision","value":"EC"},{"id":4,"name":"Milepost","value":"23.3331"},{"id":17,"name":"Train ID","value":"189-22"},{"id":16,"name":"Locomotive ID","value":"4016"},{"id":130,"name":"Impact","value":""},{"id":150,"name":"Time of Event (Mountain Time)","value":"15:24:43"},{"id":151,"name":"Denver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0"/>
        <v>start /low /b %USERPROFILE%\Documents\GitHub\eaglep3\Utilities\DownloadLogsFromS3.py --loco 4016 --day 2017-05-22</v>
      </c>
      <c r="AN103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750</v>
      </c>
      <c r="B104" s="7">
        <v>4015</v>
      </c>
      <c r="C104" s="21" t="s">
        <v>206</v>
      </c>
      <c r="D104" s="21" t="s">
        <v>874</v>
      </c>
      <c r="E104" s="13">
        <v>42877.651782407411</v>
      </c>
      <c r="F104" s="13">
        <v>42877.654606481483</v>
      </c>
      <c r="G104" s="7">
        <v>1</v>
      </c>
      <c r="H104" s="21" t="s">
        <v>875</v>
      </c>
      <c r="I104" s="13">
        <v>42877.683159722219</v>
      </c>
      <c r="J104" s="7">
        <v>0</v>
      </c>
      <c r="K104" s="92" t="str">
        <f t="shared" si="35"/>
        <v>4015/4016</v>
      </c>
      <c r="L104" s="21" t="str">
        <f>VLOOKUP(A104,'Trips&amp;Operators'!$C$1:$G$99999,5,FALSE)</f>
        <v>DAVIS MICHAEL</v>
      </c>
      <c r="M104" s="6">
        <f t="shared" si="36"/>
        <v>2.8553240736073349E-2</v>
      </c>
      <c r="N104" s="7">
        <f t="shared" si="54"/>
        <v>41.116666659945622</v>
      </c>
      <c r="O104" s="7"/>
      <c r="P104" s="7"/>
      <c r="Q104" s="22"/>
      <c r="R104" s="190"/>
      <c r="S104" s="196">
        <f t="shared" si="55"/>
        <v>1</v>
      </c>
      <c r="T104" s="190" t="str">
        <f t="shared" si="38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9"/>
        <v>https://d0f6bd738d7f1b3e5a7ca70fe4ff75f0.us-east-1.aws.found.io/app/kibana#/discover/Steve-Slow-Train-Analysis-(2080s-and-2083s)?_g=(refreshInterval:(display:Off,pause:!f,section:0,value:0),time:(from:'2017-05-22T14:38:34-0600',mode:absolute,to:'2017-05-22T17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4" s="192" t="str">
        <f t="shared" si="40"/>
        <v>N</v>
      </c>
      <c r="X104" s="192">
        <f t="shared" si="56"/>
        <v>1</v>
      </c>
      <c r="Y104" s="192">
        <f t="shared" si="41"/>
        <v>23.302700000000002</v>
      </c>
      <c r="Z104" s="192">
        <f t="shared" si="42"/>
        <v>1.6899999999999998E-2</v>
      </c>
      <c r="AA104" s="192">
        <f t="shared" si="43"/>
        <v>23.285800000000002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4"/>
        <v>0190-22</v>
      </c>
      <c r="AE104" s="80" t="str">
        <f t="shared" si="45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104" s="77" t="str">
        <f t="shared" si="46"/>
        <v>"C:\Program Files (x86)\AstroGrep\AstroGrep.exe" /e /r /s /spath="%USERPROFILE%\AppData\Local\Temp\OnboardLogs" /stypes="app*4015*20170522*" /stext=" 22:.+((SYSTEM_STATE.+slice.+state.+changed )|(ment ac)|(multiple cpu faults)|(system.+state.+changed )|(\[timeout)|(PRM\|1\|D)|(kpr)|(kdp)|(train st.+moving)|(\|lc)|(penalty))"</v>
      </c>
      <c r="AG104" s="1" t="str">
        <f t="shared" si="47"/>
        <v>EC</v>
      </c>
      <c r="AH104" s="81" t="str">
        <f t="shared" si="48"/>
        <v>"%USERPROFILE%\Documents\GitHub\eaglep3\Utilities\RefineRTDCRunTimes.py" --tripid 190-22 --locoid 4015 --swversion DE.1.0.9.0 --startMP 204:233027 --initTime 2017-05-22T15:38:34 --startdatetime 2017-05-22T15:42:38 --delay 1 --endMP 204:169 --enddatetime 2017-05-22T16:23:45 --enforcementcount 0 &gt;&gt;C:\Users\stu\Documents\GitHub\eaglep3-reporting\EC\2017-05-22-refined-times.txt</v>
      </c>
      <c r="AI104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{"issue":{"subject":"","project_id":79,"tracker_id":40,"status_id":1,"priority_id":2,"assigned_to_id":23,"start_date":"2017-05-22","description":"","custom_fields":[{"id":1,"name":"Subdivision","value":"EC"},{"id":4,"name":"Milepost","value":"0.0169"},{"id":17,"name":"Train ID","value":"190-22"},{"id":16,"name":"Locomotive ID","value":"4015"},{"id":130,"name":"Impact","value":""},{"id":150,"name":"Time of Event (Mountain Time)","value":"16:23:45"},{"id":151,"name":"Denver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0"/>
        <v>start /low /b %USERPROFILE%\Documents\GitHub\eaglep3\Utilities\DownloadLogsFromS3.py --loco 4015 --day 2017-05-22</v>
      </c>
      <c r="AN104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742</v>
      </c>
      <c r="B105" s="7">
        <v>4014</v>
      </c>
      <c r="C105" s="21" t="s">
        <v>206</v>
      </c>
      <c r="D105" s="21" t="s">
        <v>876</v>
      </c>
      <c r="E105" s="13">
        <v>42877.62431712963</v>
      </c>
      <c r="F105" s="13">
        <v>42877.625740740739</v>
      </c>
      <c r="G105" s="7">
        <v>1</v>
      </c>
      <c r="H105" s="21" t="s">
        <v>877</v>
      </c>
      <c r="I105" s="13">
        <v>42877.652546296296</v>
      </c>
      <c r="J105" s="7">
        <v>0</v>
      </c>
      <c r="K105" s="92" t="str">
        <f t="shared" si="35"/>
        <v>4013/4014</v>
      </c>
      <c r="L105" s="21" t="str">
        <f>VLOOKUP(A105,'Trips&amp;Operators'!$C$1:$G$99999,5,FALSE)</f>
        <v>CLARK KATHLEEN</v>
      </c>
      <c r="M105" s="6">
        <f t="shared" si="36"/>
        <v>2.6805555557075422E-2</v>
      </c>
      <c r="N105" s="7">
        <f t="shared" si="54"/>
        <v>38.600000002188608</v>
      </c>
      <c r="O105" s="7"/>
      <c r="P105" s="7"/>
      <c r="Q105" s="22"/>
      <c r="R105" s="190"/>
      <c r="S105" s="196">
        <f t="shared" si="55"/>
        <v>1</v>
      </c>
      <c r="T105" s="190" t="str">
        <f t="shared" si="38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9"/>
        <v>https://d0f6bd738d7f1b3e5a7ca70fe4ff75f0.us-east-1.aws.found.io/app/kibana#/discover/Steve-Slow-Train-Analysis-(2080s-and-2083s)?_g=(refreshInterval:(display:Off,pause:!f,section:0,value:0),time:(from:'2017-05-22T13:59:01-0600',mode:absolute,to:'2017-05-22T16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92" t="str">
        <f t="shared" si="40"/>
        <v>N</v>
      </c>
      <c r="X105" s="192">
        <f t="shared" si="56"/>
        <v>1</v>
      </c>
      <c r="Y105" s="192">
        <f t="shared" si="41"/>
        <v>5.1499999999999997E-2</v>
      </c>
      <c r="Z105" s="192">
        <f t="shared" si="42"/>
        <v>23.328600000000002</v>
      </c>
      <c r="AA105" s="192">
        <f t="shared" si="43"/>
        <v>23.277100000000001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4"/>
        <v>0191-22</v>
      </c>
      <c r="AE105" s="80" t="str">
        <f t="shared" si="45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105" s="77" t="str">
        <f t="shared" si="46"/>
        <v>"C:\Program Files (x86)\AstroGrep\AstroGrep.exe" /e /r /s /spath="%USERPROFILE%\AppData\Local\Temp\OnboardLogs" /stypes="app*4014*20170522*" /stext=" 21:.+((SYSTEM_STATE.+slice.+state.+changed )|(ment ac)|(multiple cpu faults)|(system.+state.+changed )|(\[timeout)|(PRM\|1\|D)|(kpr)|(kdp)|(train st.+moving)|(\|lc)|(penalty))"</v>
      </c>
      <c r="AG105" s="1" t="str">
        <f t="shared" si="47"/>
        <v>EC</v>
      </c>
      <c r="AH105" s="81" t="str">
        <f t="shared" si="48"/>
        <v>"%USERPROFILE%\Documents\GitHub\eaglep3\Utilities\RefineRTDCRunTimes.py" --tripid 191-22 --locoid 4014 --swversion DE.1.0.9.0 --startMP 204:515 --initTime 2017-05-22T14:59:01 --startdatetime 2017-05-22T15:01:04 --delay 1 --endMP 204:233286 --enddatetime 2017-05-22T15:39:40 --enforcementcount 0 &gt;&gt;C:\Users\stu\Documents\GitHub\eaglep3-reporting\EC\2017-05-22-refined-times.txt</v>
      </c>
      <c r="AI105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{"issue":{"subject":"","project_id":79,"tracker_id":40,"status_id":1,"priority_id":2,"assigned_to_id":23,"start_date":"2017-05-22","description":"","custom_fields":[{"id":1,"name":"Subdivision","value":"EC"},{"id":4,"name":"Milepost","value":"23.3286"},{"id":17,"name":"Train ID","value":"191-22"},{"id":16,"name":"Locomotive ID","value":"4014"},{"id":130,"name":"Impact","value":""},{"id":150,"name":"Time of Event (Mountain Time)","value":"15:39:40"},{"id":151,"name":"Denver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0"/>
        <v>start /low /b %USERPROFILE%\Documents\GitHub\eaglep3\Utilities\DownloadLogsFromS3.py --loco 4014 --day 2017-05-22</v>
      </c>
      <c r="AN105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752</v>
      </c>
      <c r="B106" s="7">
        <v>4013</v>
      </c>
      <c r="C106" s="21" t="s">
        <v>206</v>
      </c>
      <c r="D106" s="21" t="s">
        <v>856</v>
      </c>
      <c r="E106" s="13">
        <v>42877.659791666665</v>
      </c>
      <c r="F106" s="13">
        <v>42877.664768518516</v>
      </c>
      <c r="G106" s="7">
        <v>1</v>
      </c>
      <c r="H106" s="21" t="s">
        <v>875</v>
      </c>
      <c r="I106" s="13">
        <v>42877.693344907406</v>
      </c>
      <c r="J106" s="7">
        <v>0</v>
      </c>
      <c r="K106" s="92" t="str">
        <f t="shared" si="35"/>
        <v>4013/4014</v>
      </c>
      <c r="L106" s="21" t="str">
        <f>VLOOKUP(A106,'Trips&amp;Operators'!$C$1:$G$99999,5,FALSE)</f>
        <v>CLARK KATHLEEN</v>
      </c>
      <c r="M106" s="6">
        <f t="shared" si="36"/>
        <v>2.8576388889632653E-2</v>
      </c>
      <c r="N106" s="7">
        <f t="shared" si="54"/>
        <v>41.150000001071021</v>
      </c>
      <c r="O106" s="7"/>
      <c r="P106" s="7"/>
      <c r="Q106" s="22"/>
      <c r="R106" s="190"/>
      <c r="S106" s="196">
        <f t="shared" si="55"/>
        <v>1</v>
      </c>
      <c r="T106" s="190" t="str">
        <f t="shared" si="38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9"/>
        <v>https://d0f6bd738d7f1b3e5a7ca70fe4ff75f0.us-east-1.aws.found.io/app/kibana#/discover/Steve-Slow-Train-Analysis-(2080s-and-2083s)?_g=(refreshInterval:(display:Off,pause:!f,section:0,value:0),time:(from:'2017-05-22T14:50:06-0600',mode:absolute,to:'2017-05-22T17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92" t="str">
        <f t="shared" si="40"/>
        <v>N</v>
      </c>
      <c r="X106" s="192">
        <f t="shared" si="56"/>
        <v>1</v>
      </c>
      <c r="Y106" s="192">
        <f t="shared" si="41"/>
        <v>23.296299999999999</v>
      </c>
      <c r="Z106" s="192">
        <f t="shared" si="42"/>
        <v>1.6899999999999998E-2</v>
      </c>
      <c r="AA106" s="192">
        <f t="shared" si="43"/>
        <v>23.279399999999999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4"/>
        <v>0192-22</v>
      </c>
      <c r="AE106" s="80" t="str">
        <f t="shared" si="45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106" s="77" t="str">
        <f t="shared" si="46"/>
        <v>"C:\Program Files (x86)\AstroGrep\AstroGrep.exe" /e /r /s /spath="%USERPROFILE%\AppData\Local\Temp\OnboardLogs" /stypes="app*4013*20170522*" /stext=" 22:.+((SYSTEM_STATE.+slice.+state.+changed )|(ment ac)|(multiple cpu faults)|(system.+state.+changed )|(\[timeout)|(PRM\|1\|D)|(kpr)|(kdp)|(train st.+moving)|(\|lc)|(penalty))"</v>
      </c>
      <c r="AG106" s="1" t="str">
        <f t="shared" si="47"/>
        <v>EC</v>
      </c>
      <c r="AH106" s="81" t="str">
        <f t="shared" si="48"/>
        <v>"%USERPROFILE%\Documents\GitHub\eaglep3\Utilities\RefineRTDCRunTimes.py" --tripid 192-22 --locoid 4013 --swversion DE.1.0.9.0 --startMP 204:232963 --initTime 2017-05-22T15:50:06 --startdatetime 2017-05-22T15:57:16 --delay 1 --endMP 204:169 --enddatetime 2017-05-22T16:38:25 --enforcementcount 0 &gt;&gt;C:\Users\stu\Documents\GitHub\eaglep3-reporting\EC\2017-05-22-refined-times.txt</v>
      </c>
      <c r="AI106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{"issue":{"subject":"","project_id":79,"tracker_id":40,"status_id":1,"priority_id":2,"assigned_to_id":23,"start_date":"2017-05-22","description":"","custom_fields":[{"id":1,"name":"Subdivision","value":"EC"},{"id":4,"name":"Milepost","value":"0.0169"},{"id":17,"name":"Train ID","value":"192-22"},{"id":16,"name":"Locomotive ID","value":"4013"},{"id":130,"name":"Impact","value":""},{"id":150,"name":"Time of Event (Mountain Time)","value":"16:38:25"},{"id":151,"name":"Denver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0"/>
        <v>start /low /b %USERPROFILE%\Documents\GitHub\eaglep3\Utilities\DownloadLogsFromS3.py --loco 4013 --day 2017-05-22</v>
      </c>
      <c r="AN106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744</v>
      </c>
      <c r="B107" s="7">
        <v>4026</v>
      </c>
      <c r="C107" s="21" t="s">
        <v>206</v>
      </c>
      <c r="D107" s="21" t="s">
        <v>354</v>
      </c>
      <c r="E107" s="13">
        <v>42877.63449074074</v>
      </c>
      <c r="F107" s="13">
        <v>42877.636122685188</v>
      </c>
      <c r="G107" s="7">
        <v>1</v>
      </c>
      <c r="H107" s="21" t="s">
        <v>571</v>
      </c>
      <c r="I107" s="13">
        <v>42877.662847222222</v>
      </c>
      <c r="J107" s="7">
        <v>0</v>
      </c>
      <c r="K107" s="92" t="str">
        <f t="shared" si="35"/>
        <v>4025/4026</v>
      </c>
      <c r="L107" s="21" t="str">
        <f>VLOOKUP(A107,'Trips&amp;Operators'!$C$1:$G$99999,5,FALSE)</f>
        <v>LEVERE CRAIG</v>
      </c>
      <c r="M107" s="6">
        <f t="shared" si="36"/>
        <v>2.6724537034169771E-2</v>
      </c>
      <c r="N107" s="7">
        <f t="shared" si="54"/>
        <v>38.48333332920447</v>
      </c>
      <c r="O107" s="7"/>
      <c r="P107" s="7"/>
      <c r="Q107" s="22"/>
      <c r="R107" s="190"/>
      <c r="S107" s="196">
        <f t="shared" si="55"/>
        <v>1</v>
      </c>
      <c r="T107" s="190" t="str">
        <f t="shared" si="38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9"/>
        <v>https://d0f6bd738d7f1b3e5a7ca70fe4ff75f0.us-east-1.aws.found.io/app/kibana#/discover/Steve-Slow-Train-Analysis-(2080s-and-2083s)?_g=(refreshInterval:(display:Off,pause:!f,section:0,value:0),time:(from:'2017-05-22T14:13:40-0600',mode:absolute,to:'2017-05-22T16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92" t="str">
        <f t="shared" si="40"/>
        <v>N</v>
      </c>
      <c r="X107" s="192">
        <f t="shared" si="56"/>
        <v>1</v>
      </c>
      <c r="Y107" s="192">
        <f t="shared" si="41"/>
        <v>4.58E-2</v>
      </c>
      <c r="Z107" s="192">
        <f t="shared" si="42"/>
        <v>23.3323</v>
      </c>
      <c r="AA107" s="192">
        <f t="shared" si="43"/>
        <v>23.2865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4"/>
        <v>0193-22</v>
      </c>
      <c r="AE107" s="80" t="str">
        <f t="shared" si="45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107" s="77" t="str">
        <f t="shared" si="46"/>
        <v>"C:\Program Files (x86)\AstroGrep\AstroGrep.exe" /e /r /s /spath="%USERPROFILE%\AppData\Local\Temp\OnboardLogs" /stypes="app*4026*20170522*" /stext=" 21:.+((SYSTEM_STATE.+slice.+state.+changed )|(ment ac)|(multiple cpu faults)|(system.+state.+changed )|(\[timeout)|(PRM\|1\|D)|(kpr)|(kdp)|(train st.+moving)|(\|lc)|(penalty))"</v>
      </c>
      <c r="AG107" s="1" t="str">
        <f t="shared" si="47"/>
        <v>EC</v>
      </c>
      <c r="AH107" s="81" t="str">
        <f t="shared" si="48"/>
        <v>"%USERPROFILE%\Documents\GitHub\eaglep3\Utilities\RefineRTDCRunTimes.py" --tripid 193-22 --locoid 4026 --swversion DE.1.0.9.0 --startMP 204:458 --initTime 2017-05-22T15:13:40 --startdatetime 2017-05-22T15:16:01 --delay 1 --endMP 204:233323 --enddatetime 2017-05-22T15:54:30 --enforcementcount 0 &gt;&gt;C:\Users\stu\Documents\GitHub\eaglep3-reporting\EC\2017-05-22-refined-times.txt</v>
      </c>
      <c r="AI107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{"issue":{"subject":"","project_id":79,"tracker_id":40,"status_id":1,"priority_id":2,"assigned_to_id":23,"start_date":"2017-05-22","description":"","custom_fields":[{"id":1,"name":"Subdivision","value":"EC"},{"id":4,"name":"Milepost","value":"23.3323"},{"id":17,"name":"Train ID","value":"193-22"},{"id":16,"name":"Locomotive ID","value":"4026"},{"id":130,"name":"Impact","value":""},{"id":150,"name":"Time of Event (Mountain Time)","value":"15:54:30"},{"id":151,"name":"Denver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50"/>
        <v>start /low /b %USERPROFILE%\Documents\GitHub\eaglep3\Utilities\DownloadLogsFromS3.py --loco 4026 --day 2017-05-22</v>
      </c>
      <c r="AN107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753</v>
      </c>
      <c r="B108" s="7">
        <v>4025</v>
      </c>
      <c r="C108" s="21" t="s">
        <v>206</v>
      </c>
      <c r="D108" s="21" t="s">
        <v>418</v>
      </c>
      <c r="E108" s="13">
        <v>42877.669930555552</v>
      </c>
      <c r="F108" s="13">
        <v>42877.675486111111</v>
      </c>
      <c r="G108" s="7">
        <v>1</v>
      </c>
      <c r="H108" s="21" t="s">
        <v>828</v>
      </c>
      <c r="I108" s="13">
        <v>42877.706076388888</v>
      </c>
      <c r="J108" s="7">
        <v>0</v>
      </c>
      <c r="K108" s="92" t="str">
        <f t="shared" si="35"/>
        <v>4025/4026</v>
      </c>
      <c r="L108" s="21" t="str">
        <f>VLOOKUP(A108,'Trips&amp;Operators'!$C$1:$G$99999,5,FALSE)</f>
        <v>LEVERE CRAIG</v>
      </c>
      <c r="M108" s="6">
        <f t="shared" si="36"/>
        <v>3.0590277776354924E-2</v>
      </c>
      <c r="N108" s="7">
        <f t="shared" si="54"/>
        <v>44.04999999795109</v>
      </c>
      <c r="O108" s="7"/>
      <c r="P108" s="7"/>
      <c r="Q108" s="22"/>
      <c r="R108" s="190"/>
      <c r="S108" s="196">
        <f t="shared" si="55"/>
        <v>1</v>
      </c>
      <c r="T108" s="190" t="str">
        <f t="shared" si="38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9"/>
        <v>https://d0f6bd738d7f1b3e5a7ca70fe4ff75f0.us-east-1.aws.found.io/app/kibana#/discover/Steve-Slow-Train-Analysis-(2080s-and-2083s)?_g=(refreshInterval:(display:Off,pause:!f,section:0,value:0),time:(from:'2017-05-22T15:04:42-0600',mode:absolute,to:'2017-05-22T17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192" t="str">
        <f t="shared" si="40"/>
        <v>N</v>
      </c>
      <c r="X108" s="192">
        <f t="shared" si="56"/>
        <v>1</v>
      </c>
      <c r="Y108" s="192">
        <f t="shared" si="41"/>
        <v>23.301100000000002</v>
      </c>
      <c r="Z108" s="192">
        <f t="shared" si="42"/>
        <v>1.4500000000000001E-2</v>
      </c>
      <c r="AA108" s="192">
        <f t="shared" si="43"/>
        <v>23.2866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4"/>
        <v>0194-22</v>
      </c>
      <c r="AE108" s="80" t="str">
        <f t="shared" si="45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108" s="77" t="str">
        <f t="shared" si="46"/>
        <v>"C:\Program Files (x86)\AstroGrep\AstroGrep.exe" /e /r /s /spath="%USERPROFILE%\AppData\Local\Temp\OnboardLogs" /stypes="app*4025*20170522*" /stext=" 22:.+((SYSTEM_STATE.+slice.+state.+changed )|(ment ac)|(multiple cpu faults)|(system.+state.+changed )|(\[timeout)|(PRM\|1\|D)|(kpr)|(kdp)|(train st.+moving)|(\|lc)|(penalty))"</v>
      </c>
      <c r="AG108" s="1" t="str">
        <f t="shared" si="47"/>
        <v>EC</v>
      </c>
      <c r="AH108" s="81" t="str">
        <f t="shared" si="48"/>
        <v>"%USERPROFILE%\Documents\GitHub\eaglep3\Utilities\RefineRTDCRunTimes.py" --tripid 194-22 --locoid 4025 --swversion DE.1.0.9.0 --startMP 204:233011 --initTime 2017-05-22T16:04:42 --startdatetime 2017-05-22T16:12:42 --delay 1 --endMP 204:145 --enddatetime 2017-05-22T16:56:45 --enforcementcount 0 &gt;&gt;C:\Users\stu\Documents\GitHub\eaglep3-reporting\EC\2017-05-22-refined-times.txt</v>
      </c>
      <c r="AI108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{"issue":{"subject":"","project_id":79,"tracker_id":40,"status_id":1,"priority_id":2,"assigned_to_id":23,"start_date":"2017-05-22","description":"","custom_fields":[{"id":1,"name":"Subdivision","value":"EC"},{"id":4,"name":"Milepost","value":"0.0145"},{"id":17,"name":"Train ID","value":"194-22"},{"id":16,"name":"Locomotive ID","value":"4025"},{"id":130,"name":"Impact","value":""},{"id":150,"name":"Time of Event (Mountain Time)","value":"16:56:45"},{"id":151,"name":"Denver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50"/>
        <v>start /low /b %USERPROFILE%\Documents\GitHub\eaglep3\Utilities\DownloadLogsFromS3.py --loco 4025 --day 2017-05-22</v>
      </c>
      <c r="AN108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747</v>
      </c>
      <c r="B109" s="7">
        <v>4006</v>
      </c>
      <c r="C109" s="21" t="s">
        <v>206</v>
      </c>
      <c r="D109" s="21" t="s">
        <v>359</v>
      </c>
      <c r="E109" s="13">
        <v>42877.64271990741</v>
      </c>
      <c r="F109" s="13">
        <v>42877.646018518521</v>
      </c>
      <c r="G109" s="7">
        <v>1</v>
      </c>
      <c r="H109" s="21" t="s">
        <v>453</v>
      </c>
      <c r="I109" s="13">
        <v>42877.672152777777</v>
      </c>
      <c r="J109" s="7">
        <v>0</v>
      </c>
      <c r="K109" s="92" t="str">
        <f t="shared" si="35"/>
        <v>4005/4006</v>
      </c>
      <c r="L109" s="21" t="str">
        <f>VLOOKUP(A109,'Trips&amp;Operators'!$C$1:$G$99999,5,FALSE)</f>
        <v>BRUDER RICHARD</v>
      </c>
      <c r="M109" s="6">
        <f t="shared" si="36"/>
        <v>2.6134259256650694E-2</v>
      </c>
      <c r="N109" s="7">
        <f t="shared" si="54"/>
        <v>37.633333329576999</v>
      </c>
      <c r="O109" s="7"/>
      <c r="P109" s="7"/>
      <c r="Q109" s="22"/>
      <c r="R109" s="190"/>
      <c r="S109" s="196">
        <f t="shared" si="55"/>
        <v>1</v>
      </c>
      <c r="T109" s="190" t="str">
        <f t="shared" si="38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9"/>
        <v>https://d0f6bd738d7f1b3e5a7ca70fe4ff75f0.us-east-1.aws.found.io/app/kibana#/discover/Steve-Slow-Train-Analysis-(2080s-and-2083s)?_g=(refreshInterval:(display:Off,pause:!f,section:0,value:0),time:(from:'2017-05-22T14:25:31-0600',mode:absolute,to:'2017-05-22T17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9" s="192" t="str">
        <f t="shared" si="40"/>
        <v>N</v>
      </c>
      <c r="X109" s="192">
        <f t="shared" si="56"/>
        <v>1</v>
      </c>
      <c r="Y109" s="192">
        <f t="shared" si="41"/>
        <v>4.5100000000000001E-2</v>
      </c>
      <c r="Z109" s="192">
        <f t="shared" si="42"/>
        <v>23.330100000000002</v>
      </c>
      <c r="AA109" s="192">
        <f t="shared" si="43"/>
        <v>23.285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4"/>
        <v>0195-22</v>
      </c>
      <c r="AE109" s="80" t="str">
        <f t="shared" si="45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109" s="77" t="str">
        <f t="shared" si="46"/>
        <v>"C:\Program Files (x86)\AstroGrep\AstroGrep.exe" /e /r /s /spath="%USERPROFILE%\AppData\Local\Temp\OnboardLogs" /stypes="app*4006*20170522*" /stext=" 22:.+((SYSTEM_STATE.+slice.+state.+changed )|(ment ac)|(multiple cpu faults)|(system.+state.+changed )|(\[timeout)|(PRM\|1\|D)|(kpr)|(kdp)|(train st.+moving)|(\|lc)|(penalty))"</v>
      </c>
      <c r="AG109" s="1" t="str">
        <f t="shared" si="47"/>
        <v>EC</v>
      </c>
      <c r="AH109" s="81" t="str">
        <f t="shared" si="48"/>
        <v>"%USERPROFILE%\Documents\GitHub\eaglep3\Utilities\RefineRTDCRunTimes.py" --tripid 195-22 --locoid 4006 --swversion DE.1.0.9.0 --startMP 204:451 --initTime 2017-05-22T15:25:31 --startdatetime 2017-05-22T15:30:16 --delay 1 --endMP 204:233301 --enddatetime 2017-05-22T16:07:54 --enforcementcount 0 &gt;&gt;C:\Users\stu\Documents\GitHub\eaglep3-reporting\EC\2017-05-22-refined-times.txt</v>
      </c>
      <c r="AI109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{"issue":{"subject":"","project_id":79,"tracker_id":40,"status_id":1,"priority_id":2,"assigned_to_id":23,"start_date":"2017-05-22","description":"","custom_fields":[{"id":1,"name":"Subdivision","value":"EC"},{"id":4,"name":"Milepost","value":"23.3301"},{"id":17,"name":"Train ID","value":"195-22"},{"id":16,"name":"Locomotive ID","value":"4006"},{"id":130,"name":"Impact","value":""},{"id":150,"name":"Time of Event (Mountain Time)","value":"16:07:54"},{"id":151,"name":"Denver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0"/>
        <v>start /low /b %USERPROFILE%\Documents\GitHub\eaglep3\Utilities\DownloadLogsFromS3.py --loco 4006 --day 2017-05-22</v>
      </c>
      <c r="AN109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756</v>
      </c>
      <c r="B110" s="7">
        <v>4005</v>
      </c>
      <c r="C110" s="21" t="s">
        <v>206</v>
      </c>
      <c r="D110" s="21" t="s">
        <v>566</v>
      </c>
      <c r="E110" s="13">
        <v>42877.680300925924</v>
      </c>
      <c r="F110" s="13">
        <v>42877.685613425929</v>
      </c>
      <c r="G110" s="7">
        <v>1</v>
      </c>
      <c r="H110" s="21" t="s">
        <v>838</v>
      </c>
      <c r="I110" s="13">
        <v>42877.716319444444</v>
      </c>
      <c r="J110" s="7">
        <v>0</v>
      </c>
      <c r="K110" s="92" t="str">
        <f t="shared" si="35"/>
        <v>4005/4006</v>
      </c>
      <c r="L110" s="21" t="str">
        <f>VLOOKUP(A110,'Trips&amp;Operators'!$C$1:$G$99999,5,FALSE)</f>
        <v>BRUDER RICHARD</v>
      </c>
      <c r="M110" s="6">
        <f t="shared" si="36"/>
        <v>3.0706018515047617E-2</v>
      </c>
      <c r="N110" s="7">
        <f t="shared" si="54"/>
        <v>44.216666661668569</v>
      </c>
      <c r="O110" s="7"/>
      <c r="P110" s="7"/>
      <c r="Q110" s="22"/>
      <c r="R110" s="190"/>
      <c r="S110" s="196">
        <f t="shared" si="55"/>
        <v>1</v>
      </c>
      <c r="T110" s="190" t="str">
        <f t="shared" si="38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9"/>
        <v>https://d0f6bd738d7f1b3e5a7ca70fe4ff75f0.us-east-1.aws.found.io/app/kibana#/discover/Steve-Slow-Train-Analysis-(2080s-and-2083s)?_g=(refreshInterval:(display:Off,pause:!f,section:0,value:0),time:(from:'2017-05-22T15:19:38-0600',mode:absolute,to:'2017-05-22T18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0" s="192" t="str">
        <f t="shared" si="40"/>
        <v>N</v>
      </c>
      <c r="X110" s="192">
        <f t="shared" si="56"/>
        <v>1</v>
      </c>
      <c r="Y110" s="192">
        <f t="shared" si="41"/>
        <v>23.296700000000001</v>
      </c>
      <c r="Z110" s="192">
        <f t="shared" si="42"/>
        <v>1.6299999999999999E-2</v>
      </c>
      <c r="AA110" s="192">
        <f t="shared" si="43"/>
        <v>23.2804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4"/>
        <v>0196-22</v>
      </c>
      <c r="AE110" s="80" t="str">
        <f t="shared" si="45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110" s="77" t="str">
        <f t="shared" si="46"/>
        <v>"C:\Program Files (x86)\AstroGrep\AstroGrep.exe" /e /r /s /spath="%USERPROFILE%\AppData\Local\Temp\OnboardLogs" /stypes="app*4005*20170522*" /stext=" 23:.+((SYSTEM_STATE.+slice.+state.+changed )|(ment ac)|(multiple cpu faults)|(system.+state.+changed )|(\[timeout)|(PRM\|1\|D)|(kpr)|(kdp)|(train st.+moving)|(\|lc)|(penalty))"</v>
      </c>
      <c r="AG110" s="1" t="str">
        <f t="shared" si="47"/>
        <v>EC</v>
      </c>
      <c r="AH110" s="81" t="str">
        <f t="shared" si="48"/>
        <v>"%USERPROFILE%\Documents\GitHub\eaglep3\Utilities\RefineRTDCRunTimes.py" --tripid 196-22 --locoid 4005 --swversion DE.1.0.9.0 --startMP 204:232967 --initTime 2017-05-22T16:19:38 --startdatetime 2017-05-22T16:27:17 --delay 1 --endMP 204:163 --enddatetime 2017-05-22T17:11:30 --enforcementcount 0 &gt;&gt;C:\Users\stu\Documents\GitHub\eaglep3-reporting\EC\2017-05-22-refined-times.txt</v>
      </c>
      <c r="AI110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{"issue":{"subject":"","project_id":79,"tracker_id":40,"status_id":1,"priority_id":2,"assigned_to_id":23,"start_date":"2017-05-22","description":"","custom_fields":[{"id":1,"name":"Subdivision","value":"EC"},{"id":4,"name":"Milepost","value":"0.0163"},{"id":17,"name":"Train ID","value":"196-22"},{"id":16,"name":"Locomotive ID","value":"4005"},{"id":130,"name":"Impact","value":""},{"id":150,"name":"Time of Event (Mountain Time)","value":"17:11:30"},{"id":151,"name":"Denver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0"/>
        <v>start /low /b %USERPROFILE%\Documents\GitHub\eaglep3\Utilities\DownloadLogsFromS3.py --loco 4005 --day 2017-05-22</v>
      </c>
      <c r="AN110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751</v>
      </c>
      <c r="B111" s="7">
        <v>4008</v>
      </c>
      <c r="C111" s="21" t="s">
        <v>206</v>
      </c>
      <c r="D111" s="21" t="s">
        <v>354</v>
      </c>
      <c r="E111" s="13">
        <v>42877.657071759262</v>
      </c>
      <c r="F111" s="13">
        <v>42877.658587962964</v>
      </c>
      <c r="G111" s="7">
        <v>1</v>
      </c>
      <c r="H111" s="21" t="s">
        <v>833</v>
      </c>
      <c r="I111" s="13">
        <v>42877.686296296299</v>
      </c>
      <c r="J111" s="7">
        <v>0</v>
      </c>
      <c r="K111" s="92" t="str">
        <f t="shared" si="35"/>
        <v>4007/4008</v>
      </c>
      <c r="L111" s="21" t="str">
        <f>VLOOKUP(A111,'Trips&amp;Operators'!$C$1:$G$99999,5,FALSE)</f>
        <v>BRANDNER MELINDA</v>
      </c>
      <c r="M111" s="6">
        <f t="shared" si="36"/>
        <v>2.7708333334885538E-2</v>
      </c>
      <c r="N111" s="7">
        <f t="shared" si="54"/>
        <v>39.900000002235174</v>
      </c>
      <c r="O111" s="7"/>
      <c r="P111" s="7"/>
      <c r="Q111" s="22"/>
      <c r="R111" s="190"/>
      <c r="S111" s="196">
        <f t="shared" si="55"/>
        <v>1</v>
      </c>
      <c r="T111" s="190" t="str">
        <f t="shared" si="38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9"/>
        <v>https://d0f6bd738d7f1b3e5a7ca70fe4ff75f0.us-east-1.aws.found.io/app/kibana#/discover/Steve-Slow-Train-Analysis-(2080s-and-2083s)?_g=(refreshInterval:(display:Off,pause:!f,section:0,value:0),time:(from:'2017-05-22T14:46:11-0600',mode:absolute,to:'2017-05-22T17:28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1" s="192" t="str">
        <f t="shared" si="40"/>
        <v>N</v>
      </c>
      <c r="X111" s="192">
        <f t="shared" si="56"/>
        <v>1</v>
      </c>
      <c r="Y111" s="192">
        <f t="shared" si="41"/>
        <v>4.58E-2</v>
      </c>
      <c r="Z111" s="192">
        <f t="shared" si="42"/>
        <v>23.333600000000001</v>
      </c>
      <c r="AA111" s="192">
        <f t="shared" si="43"/>
        <v>23.287800000000001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4"/>
        <v>0197-22</v>
      </c>
      <c r="AE111" s="80" t="str">
        <f t="shared" si="45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111" s="77" t="str">
        <f t="shared" si="46"/>
        <v>"C:\Program Files (x86)\AstroGrep\AstroGrep.exe" /e /r /s /spath="%USERPROFILE%\AppData\Local\Temp\OnboardLogs" /stypes="app*4008*20170522*" /stext=" 22:.+((SYSTEM_STATE.+slice.+state.+changed )|(ment ac)|(multiple cpu faults)|(system.+state.+changed )|(\[timeout)|(PRM\|1\|D)|(kpr)|(kdp)|(train st.+moving)|(\|lc)|(penalty))"</v>
      </c>
      <c r="AG111" s="1" t="str">
        <f t="shared" si="47"/>
        <v>EC</v>
      </c>
      <c r="AH111" s="81" t="str">
        <f t="shared" si="48"/>
        <v>"%USERPROFILE%\Documents\GitHub\eaglep3\Utilities\RefineRTDCRunTimes.py" --tripid 197-22 --locoid 4008 --swversion DE.1.0.9.0 --startMP 204:458 --initTime 2017-05-22T15:46:11 --startdatetime 2017-05-22T15:48:22 --delay 1 --endMP 204:233336 --enddatetime 2017-05-22T16:28:16 --enforcementcount 0 &gt;&gt;C:\Users\stu\Documents\GitHub\eaglep3-reporting\EC\2017-05-22-refined-times.txt</v>
      </c>
      <c r="AI11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{"issue":{"subject":"","project_id":79,"tracker_id":40,"status_id":1,"priority_id":2,"assigned_to_id":23,"start_date":"2017-05-22","description":"","custom_fields":[{"id":1,"name":"Subdivision","value":"EC"},{"id":4,"name":"Milepost","value":"23.3336"},{"id":17,"name":"Train ID","value":"197-22"},{"id":16,"name":"Locomotive ID","value":"4008"},{"id":130,"name":"Impact","value":""},{"id":150,"name":"Time of Event (Mountain Time)","value":"16:28:16"},{"id":151,"name":"Denver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0"/>
        <v>start /low /b %USERPROFILE%\Documents\GitHub\eaglep3\Utilities\DownloadLogsFromS3.py --loco 4008 --day 2017-05-22</v>
      </c>
      <c r="AN111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605</v>
      </c>
      <c r="B112" s="7">
        <v>4007</v>
      </c>
      <c r="C112" s="21" t="s">
        <v>206</v>
      </c>
      <c r="D112" s="21" t="s">
        <v>823</v>
      </c>
      <c r="E112" s="13">
        <v>42877.692870370367</v>
      </c>
      <c r="F112" s="13">
        <v>42877.696053240739</v>
      </c>
      <c r="G112" s="7">
        <v>1</v>
      </c>
      <c r="H112" s="21" t="s">
        <v>356</v>
      </c>
      <c r="I112" s="13">
        <v>42877.725671296299</v>
      </c>
      <c r="J112" s="7">
        <v>0</v>
      </c>
      <c r="K112" s="92" t="str">
        <f t="shared" si="35"/>
        <v>4007/4008</v>
      </c>
      <c r="L112" s="21" t="str">
        <f>VLOOKUP(A112,'Trips&amp;Operators'!$C$1:$G$99999,5,FALSE)</f>
        <v>BRANDNER MELINDA</v>
      </c>
      <c r="M112" s="6">
        <f t="shared" si="36"/>
        <v>2.9618055559694767E-2</v>
      </c>
      <c r="N112" s="7">
        <f t="shared" si="54"/>
        <v>42.650000005960464</v>
      </c>
      <c r="O112" s="7"/>
      <c r="P112" s="7"/>
      <c r="Q112" s="22"/>
      <c r="R112" s="190"/>
      <c r="S112" s="196">
        <f t="shared" si="55"/>
        <v>1</v>
      </c>
      <c r="T112" s="190" t="str">
        <f t="shared" si="38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9"/>
        <v>https://d0f6bd738d7f1b3e5a7ca70fe4ff75f0.us-east-1.aws.found.io/app/kibana#/discover/Steve-Slow-Train-Analysis-(2080s-and-2083s)?_g=(refreshInterval:(display:Off,pause:!f,section:0,value:0),time:(from:'2017-05-22T15:37:44-0600',mode:absolute,to:'2017-05-22T18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2" s="192" t="str">
        <f t="shared" si="40"/>
        <v>N</v>
      </c>
      <c r="X112" s="192">
        <f t="shared" si="56"/>
        <v>1</v>
      </c>
      <c r="Y112" s="192">
        <f t="shared" si="41"/>
        <v>23.299399999999999</v>
      </c>
      <c r="Z112" s="192">
        <f t="shared" si="42"/>
        <v>1.49E-2</v>
      </c>
      <c r="AA112" s="192">
        <f t="shared" si="43"/>
        <v>23.284499999999998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4"/>
        <v>0198-22</v>
      </c>
      <c r="AE112" s="80" t="str">
        <f t="shared" si="45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112" s="77" t="str">
        <f t="shared" si="46"/>
        <v>"C:\Program Files (x86)\AstroGrep\AstroGrep.exe" /e /r /s /spath="%USERPROFILE%\AppData\Local\Temp\OnboardLogs" /stypes="app*4007*20170522*" /stext=" 23:.+((SYSTEM_STATE.+slice.+state.+changed )|(ment ac)|(multiple cpu faults)|(system.+state.+changed )|(\[timeout)|(PRM\|1\|D)|(kpr)|(kdp)|(train st.+moving)|(\|lc)|(penalty))"</v>
      </c>
      <c r="AG112" s="1" t="str">
        <f t="shared" si="47"/>
        <v>EC</v>
      </c>
      <c r="AH112" s="81" t="str">
        <f t="shared" si="48"/>
        <v>"%USERPROFILE%\Documents\GitHub\eaglep3\Utilities\RefineRTDCRunTimes.py" --tripid 198-22 --locoid 4007 --swversion DE.1.0.9.0 --startMP 204:232994 --initTime 2017-05-22T16:37:44 --startdatetime 2017-05-22T16:42:19 --delay 1 --endMP 204:149 --enddatetime 2017-05-22T17:24:58 --enforcementcount 0 &gt;&gt;C:\Users\stu\Documents\GitHub\eaglep3-reporting\EC\2017-05-22-refined-times.txt</v>
      </c>
      <c r="AI112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ID","value":"198-22"},{"id":16,"name":"Locomotive ID","value":"4007"},{"id":130,"name":"Impact","value":""},{"id":150,"name":"Time of Event (Mountain Time)","value":"17:24:58"},{"id":151,"name":"Denver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0"/>
        <v>start /low /b %USERPROFILE%\Documents\GitHub\eaglep3\Utilities\DownloadLogsFromS3.py --loco 4007 --day 2017-05-22</v>
      </c>
      <c r="AN112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602</v>
      </c>
      <c r="B113" s="7">
        <v>4032</v>
      </c>
      <c r="C113" s="21" t="s">
        <v>206</v>
      </c>
      <c r="D113" s="21" t="s">
        <v>450</v>
      </c>
      <c r="E113" s="13">
        <v>42877.664039351854</v>
      </c>
      <c r="F113" s="13">
        <v>42877.664918981478</v>
      </c>
      <c r="G113" s="7">
        <v>1</v>
      </c>
      <c r="H113" s="21" t="s">
        <v>878</v>
      </c>
      <c r="I113" s="13">
        <v>42877.676481481481</v>
      </c>
      <c r="J113" s="7">
        <v>1</v>
      </c>
      <c r="K113" s="92" t="str">
        <f t="shared" si="35"/>
        <v>4031/4032</v>
      </c>
      <c r="L113" s="21" t="str">
        <f>VLOOKUP(A113,'Trips&amp;Operators'!$C$1:$G$99999,5,FALSE)</f>
        <v>WHITED DUSTIN</v>
      </c>
      <c r="M113" s="6">
        <f t="shared" si="36"/>
        <v>1.156250000349246E-2</v>
      </c>
      <c r="N113" s="7"/>
      <c r="O113" s="7"/>
      <c r="P113" s="7">
        <f>24*60*SUM($M113:$M114)</f>
        <v>37.600000009406358</v>
      </c>
      <c r="Q113" s="22"/>
      <c r="R113" s="190" t="s">
        <v>468</v>
      </c>
      <c r="S113" s="196">
        <f>SUM(U113:U114)/IF(AG113="EC",12,1)</f>
        <v>0.91666666666666663</v>
      </c>
      <c r="T113" s="190" t="str">
        <f t="shared" si="38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9</v>
      </c>
      <c r="V113" s="191" t="str">
        <f t="shared" si="39"/>
        <v>https://d0f6bd738d7f1b3e5a7ca70fe4ff75f0.us-east-1.aws.found.io/app/kibana#/discover/Steve-Slow-Train-Analysis-(2080s-and-2083s)?_g=(refreshInterval:(display:Off,pause:!f,section:0,value:0),time:(from:'2017-05-22T14:56:13-0600',mode:absolute,to:'2017-05-22T17:14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92" t="str">
        <f t="shared" si="40"/>
        <v>Y</v>
      </c>
      <c r="X113" s="192">
        <f t="shared" si="56"/>
        <v>1</v>
      </c>
      <c r="Y113" s="192">
        <f t="shared" si="41"/>
        <v>4.7100000000000003E-2</v>
      </c>
      <c r="Z113" s="192">
        <f t="shared" si="42"/>
        <v>6.4269999999999996</v>
      </c>
      <c r="AA113" s="192">
        <f t="shared" si="43"/>
        <v>6.3798999999999992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4"/>
        <v>0199-22</v>
      </c>
      <c r="AE113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13" s="77" t="str">
        <f t="shared" si="46"/>
        <v>"C:\Program Files (x86)\AstroGrep\AstroGrep.exe" /e /r /s /spath="%USERPROFILE%\AppData\Local\Temp\OnboardLogs" /stypes="app*4032*20170522*" /stext=" 22:.+((SYSTEM_STATE.+slice.+state.+changed )|(ment ac)|(multiple cpu faults)|(system.+state.+changed )|(\[timeout)|(PRM\|1\|D)|(kpr)|(kdp)|(train st.+moving)|(\|lc)|(penalty))"</v>
      </c>
      <c r="AG113" s="1" t="str">
        <f t="shared" si="47"/>
        <v>EC</v>
      </c>
      <c r="AH113" s="81" t="str">
        <f t="shared" si="48"/>
        <v>"%USERPROFILE%\Documents\GitHub\eaglep3\Utilities\RefineRTDCRunTimes.py" --tripid 199-22 --locoid 4032 --swversion DE.1.0.9.0 --startMP 204:471 --initTime 2017-05-22T15:56:13 --startdatetime 2017-05-22T15:57:29 --delay 1 --endMP 204:64270 --enddatetime 2017-05-22T16:14:08 --enforcementcount 1 &gt;&gt;C:\Users\stu\Documents\GitHub\eaglep3-reporting\EC\2017-05-22-refined-times.txt</v>
      </c>
      <c r="AI113" s="99" t="str">
        <f t="shared" si="49"/>
        <v>echo {"issue":{"subject":"Wi-MAX data drop","project_id":79,"tracker_id":40,"status_id":1,"priority_id":2,"assigned_to_id":23,"start_date":"2017-05-22","description":"","custom_fields":[{"id":1,"name":"Subdivision","value":"EC"},{"id":4,"name":"Milepost","value":"6.427"},{"id":17,"name":"Train ID","value":"199-22"},{"id":16,"name":"Locomotive ID","value":"4032"},{"id":130,"name":"Impact","value":""},{"id":150,"name":"Time of Event (Mountain Time)","value":"16:14:08"},{"id":151,"name":"Denver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0"/>
        <v>start /low /b %USERPROFILE%\Documents\GitHub\eaglep3\Utilities\DownloadLogsFromS3.py --loco 4032 --day 2017-05-22</v>
      </c>
      <c r="AN113" s="154" t="str">
        <f t="shared" si="51"/>
        <v>echo {"issue":{"subject":"Wi-MAX data drop","project_id":30,"tracker_id":4,"status_id":1,"priority_id":1,"assigned_to_id":10,"start_date":"2017-05-22","description":"","custom_fields":[{"id":30,"name":"Category","value":"Issue"},{"id":3,"name":"Functional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22:14:08"},{"id":29,"name":"Sharepoint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602</v>
      </c>
      <c r="B114" s="7">
        <v>4032</v>
      </c>
      <c r="C114" s="21" t="s">
        <v>206</v>
      </c>
      <c r="D114" s="21" t="s">
        <v>879</v>
      </c>
      <c r="E114" s="13">
        <v>42877.683148148149</v>
      </c>
      <c r="F114" s="13">
        <v>42877.68378472222</v>
      </c>
      <c r="G114" s="7">
        <v>0</v>
      </c>
      <c r="H114" s="21" t="s">
        <v>880</v>
      </c>
      <c r="I114" s="13">
        <v>42877.698333333334</v>
      </c>
      <c r="J114" s="7">
        <v>0</v>
      </c>
      <c r="K114" s="92" t="str">
        <f t="shared" si="35"/>
        <v>4031/4032</v>
      </c>
      <c r="L114" s="21" t="str">
        <f>VLOOKUP(A114,'Trips&amp;Operators'!$C$1:$G$99999,5,FALSE)</f>
        <v>WHITED DUSTIN</v>
      </c>
      <c r="M114" s="6">
        <f t="shared" si="36"/>
        <v>1.4548611114150845E-2</v>
      </c>
      <c r="N114" s="7"/>
      <c r="O114" s="7"/>
      <c r="P114" s="7"/>
      <c r="Q114" s="22"/>
      <c r="R114" s="190"/>
      <c r="S114" s="196"/>
      <c r="T114" s="190" t="str">
        <f t="shared" si="38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2</v>
      </c>
      <c r="V114" s="191" t="str">
        <f t="shared" si="39"/>
        <v>https://d0f6bd738d7f1b3e5a7ca70fe4ff75f0.us-east-1.aws.found.io/app/kibana#/discover/Steve-Slow-Train-Analysis-(2080s-and-2083s)?_g=(refreshInterval:(display:Off,pause:!f,section:0,value:0),time:(from:'2017-05-22T15:23:44-0600',mode:absolute,to:'2017-05-22T17:45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92" t="str">
        <f t="shared" si="40"/>
        <v>Y</v>
      </c>
      <c r="X114" s="192">
        <f t="shared" si="56"/>
        <v>0</v>
      </c>
      <c r="Y114" s="192">
        <f t="shared" si="41"/>
        <v>8.6374999999999993</v>
      </c>
      <c r="Z114" s="192">
        <f t="shared" si="42"/>
        <v>23.3264</v>
      </c>
      <c r="AA114" s="192">
        <f t="shared" si="43"/>
        <v>14.6889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4"/>
        <v>0199-22</v>
      </c>
      <c r="AE114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14" s="77" t="str">
        <f t="shared" si="46"/>
        <v>"C:\Program Files (x86)\AstroGrep\AstroGrep.exe" /e /r /s /spath="%USERPROFILE%\AppData\Local\Temp\OnboardLogs" /stypes="app*4032*20170522*" /stext=" 22:.+((SYSTEM_STATE.+slice.+state.+changed )|(ment ac)|(multiple cpu faults)|(system.+state.+changed )|(\[timeout)|(PRM\|1\|D)|(kpr)|(kdp)|(train st.+moving)|(\|lc)|(penalty))"</v>
      </c>
      <c r="AG114" s="1" t="str">
        <f t="shared" si="47"/>
        <v>EC</v>
      </c>
      <c r="AH114" s="81" t="str">
        <f t="shared" si="48"/>
        <v>"%USERPROFILE%\Documents\GitHub\eaglep3\Utilities\RefineRTDCRunTimes.py" --tripid 199-22 --locoid 4032 --swversion DE.1.0.9.0 --startMP 204:86375 --initTime 2017-05-22T16:23:44 --startdatetime 2017-05-22T16:24:39 --delay 0 --endMP 204:233264 --enddatetime 2017-05-22T16:45:36 --enforcementcount 0 &gt;&gt;C:\Users\stu\Documents\GitHub\eaglep3-reporting\EC\2017-05-22-refined-times.txt</v>
      </c>
      <c r="AI114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{"issue":{"subject":"","project_id":79,"tracker_id":40,"status_id":1,"priority_id":2,"assigned_to_id":23,"start_date":"2017-05-22","description":"","custom_fields":[{"id":1,"name":"Subdivision","value":"EC"},{"id":4,"name":"Milepost","value":"23.3264"},{"id":17,"name":"Train ID","value":"199-22"},{"id":16,"name":"Locomotive ID","value":"4032"},{"id":130,"name":"Impact","value":""},{"id":150,"name":"Time of Event (Mountain Time)","value":"16:45:36"},{"id":151,"name":"Denver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0"/>
        <v>start /low /b %USERPROFILE%\Documents\GitHub\eaglep3\Utilities\DownloadLogsFromS3.py --loco 4032 --day 2017-05-22</v>
      </c>
      <c r="AN114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22:45:36"},{"id":29,"name":"Sharepoint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761</v>
      </c>
      <c r="B115" s="7">
        <v>4031</v>
      </c>
      <c r="C115" s="21" t="s">
        <v>206</v>
      </c>
      <c r="D115" s="21" t="s">
        <v>881</v>
      </c>
      <c r="E115" s="13">
        <v>42877.702673611115</v>
      </c>
      <c r="F115" s="13">
        <v>42877.706458333334</v>
      </c>
      <c r="G115" s="7">
        <v>1</v>
      </c>
      <c r="H115" s="21" t="s">
        <v>356</v>
      </c>
      <c r="I115" s="13">
        <v>42877.734884259262</v>
      </c>
      <c r="J115" s="7">
        <v>0</v>
      </c>
      <c r="K115" s="92" t="str">
        <f t="shared" si="35"/>
        <v>4031/4032</v>
      </c>
      <c r="L115" s="21" t="str">
        <f>VLOOKUP(A115,'Trips&amp;Operators'!$C$1:$G$99999,5,FALSE)</f>
        <v>WHITED DUSTIN</v>
      </c>
      <c r="M115" s="6">
        <f t="shared" si="36"/>
        <v>2.842592592787696E-2</v>
      </c>
      <c r="N115" s="7">
        <f t="shared" ref="N115:N158" si="57">24*60*SUM($M115:$M115)</f>
        <v>40.933333336142823</v>
      </c>
      <c r="O115" s="7"/>
      <c r="P115" s="7"/>
      <c r="Q115" s="22"/>
      <c r="R115" s="190"/>
      <c r="S115" s="196">
        <f t="shared" ref="S115:S158" si="58">SUM(U115:U115)/IF(AG115="EC",12,1)</f>
        <v>1</v>
      </c>
      <c r="T115" s="190" t="str">
        <f t="shared" si="38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9"/>
        <v>https://d0f6bd738d7f1b3e5a7ca70fe4ff75f0.us-east-1.aws.found.io/app/kibana#/discover/Steve-Slow-Train-Analysis-(2080s-and-2083s)?_g=(refreshInterval:(display:Off,pause:!f,section:0,value:0),time:(from:'2017-05-22T15:51:51-0600',mode:absolute,to:'2017-05-22T18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92" t="str">
        <f t="shared" si="40"/>
        <v>N</v>
      </c>
      <c r="X115" s="192">
        <f t="shared" si="56"/>
        <v>1</v>
      </c>
      <c r="Y115" s="192">
        <f t="shared" si="41"/>
        <v>23.295000000000002</v>
      </c>
      <c r="Z115" s="192">
        <f t="shared" si="42"/>
        <v>1.49E-2</v>
      </c>
      <c r="AA115" s="192">
        <f t="shared" si="43"/>
        <v>23.280100000000001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4"/>
        <v>0200-22</v>
      </c>
      <c r="AE115" s="80" t="str">
        <f t="shared" si="45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115" s="77" t="str">
        <f t="shared" si="46"/>
        <v>"C:\Program Files (x86)\AstroGrep\AstroGrep.exe" /e /r /s /spath="%USERPROFILE%\AppData\Local\Temp\OnboardLogs" /stypes="app*4031*20170522*" /stext=" 23:.+((SYSTEM_STATE.+slice.+state.+changed )|(ment ac)|(multiple cpu faults)|(system.+state.+changed )|(\[timeout)|(PRM\|1\|D)|(kpr)|(kdp)|(train st.+moving)|(\|lc)|(penalty))"</v>
      </c>
      <c r="AG115" s="1" t="str">
        <f t="shared" si="47"/>
        <v>EC</v>
      </c>
      <c r="AH115" s="81" t="str">
        <f t="shared" si="48"/>
        <v>"%USERPROFILE%\Documents\GitHub\eaglep3\Utilities\RefineRTDCRunTimes.py" --tripid 200-22 --locoid 4031 --swversion DE.1.0.9.0 --startMP 204:232950 --initTime 2017-05-22T16:51:51 --startdatetime 2017-05-22T16:57:18 --delay 1 --endMP 204:149 --enddatetime 2017-05-22T17:38:14 --enforcementcount 0 &gt;&gt;C:\Users\stu\Documents\GitHub\eaglep3-reporting\EC\2017-05-22-refined-times.txt</v>
      </c>
      <c r="AI115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ID","value":"200-22"},{"id":16,"name":"Locomotive ID","value":"4031"},{"id":130,"name":"Impact","value":""},{"id":150,"name":"Time of Event (Mountain Time)","value":"17:38:14"},{"id":151,"name":"Denver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0"/>
        <v>start /low /b %USERPROFILE%\Documents\GitHub\eaglep3\Utilities\DownloadLogsFromS3.py --loco 4031 --day 2017-05-22</v>
      </c>
      <c r="AN115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755</v>
      </c>
      <c r="B116" s="7">
        <v>4010</v>
      </c>
      <c r="C116" s="21" t="s">
        <v>206</v>
      </c>
      <c r="D116" s="21" t="s">
        <v>364</v>
      </c>
      <c r="E116" s="13">
        <v>42877.674444444441</v>
      </c>
      <c r="F116" s="13">
        <v>42877.677233796298</v>
      </c>
      <c r="G116" s="7">
        <v>1</v>
      </c>
      <c r="H116" s="21" t="s">
        <v>846</v>
      </c>
      <c r="I116" s="13">
        <v>42877.704247685186</v>
      </c>
      <c r="J116" s="7">
        <v>0</v>
      </c>
      <c r="K116" s="92" t="str">
        <f t="shared" si="35"/>
        <v>4009/4010</v>
      </c>
      <c r="L116" s="21" t="str">
        <f>VLOOKUP(A116,'Trips&amp;Operators'!$C$1:$G$99999,5,FALSE)</f>
        <v>MCREYNOLDS KYLE</v>
      </c>
      <c r="M116" s="6">
        <f t="shared" si="36"/>
        <v>2.7013888888177462E-2</v>
      </c>
      <c r="N116" s="7">
        <f t="shared" si="57"/>
        <v>38.899999998975545</v>
      </c>
      <c r="O116" s="7"/>
      <c r="P116" s="7"/>
      <c r="Q116" s="22"/>
      <c r="R116" s="190"/>
      <c r="S116" s="196">
        <f t="shared" si="58"/>
        <v>1</v>
      </c>
      <c r="T116" s="190" t="str">
        <f t="shared" si="38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9"/>
        <v>https://d0f6bd738d7f1b3e5a7ca70fe4ff75f0.us-east-1.aws.found.io/app/kibana#/discover/Steve-Slow-Train-Analysis-(2080s-and-2083s)?_g=(refreshInterval:(display:Off,pause:!f,section:0,value:0),time:(from:'2017-05-22T15:11:12-0600',mode:absolute,to:'2017-05-22T17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192" t="str">
        <f t="shared" si="40"/>
        <v>N</v>
      </c>
      <c r="X116" s="192">
        <f t="shared" si="56"/>
        <v>1</v>
      </c>
      <c r="Y116" s="192">
        <f t="shared" si="41"/>
        <v>4.4400000000000002E-2</v>
      </c>
      <c r="Z116" s="192">
        <f t="shared" si="42"/>
        <v>23.328900000000001</v>
      </c>
      <c r="AA116" s="192">
        <f t="shared" si="43"/>
        <v>23.284500000000001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4"/>
        <v>0201-22</v>
      </c>
      <c r="AE116" s="80" t="str">
        <f t="shared" si="45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116" s="77" t="str">
        <f t="shared" si="46"/>
        <v>"C:\Program Files (x86)\AstroGrep\AstroGrep.exe" /e /r /s /spath="%USERPROFILE%\AppData\Local\Temp\OnboardLogs" /stypes="app*4010*20170522*" /stext=" 22:.+((SYSTEM_STATE.+slice.+state.+changed )|(ment ac)|(multiple cpu faults)|(system.+state.+changed )|(\[timeout)|(PRM\|1\|D)|(kpr)|(kdp)|(train st.+moving)|(\|lc)|(penalty))"</v>
      </c>
      <c r="AG116" s="1" t="str">
        <f t="shared" si="47"/>
        <v>EC</v>
      </c>
      <c r="AH116" s="81" t="str">
        <f t="shared" si="48"/>
        <v>"%USERPROFILE%\Documents\GitHub\eaglep3\Utilities\RefineRTDCRunTimes.py" --tripid 201-22 --locoid 4010 --swversion DE.1.0.9.0 --startMP 204:444 --initTime 2017-05-22T16:11:12 --startdatetime 2017-05-22T16:15:13 --delay 1 --endMP 204:233289 --enddatetime 2017-05-22T16:54:07 --enforcementcount 0 &gt;&gt;C:\Users\stu\Documents\GitHub\eaglep3-reporting\EC\2017-05-22-refined-times.txt</v>
      </c>
      <c r="AI116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{"issue":{"subject":"","project_id":79,"tracker_id":40,"status_id":1,"priority_id":2,"assigned_to_id":23,"start_date":"2017-05-22","description":"","custom_fields":[{"id":1,"name":"Subdivision","value":"EC"},{"id":4,"name":"Milepost","value":"23.3289"},{"id":17,"name":"Train ID","value":"201-22"},{"id":16,"name":"Locomotive ID","value":"4010"},{"id":130,"name":"Impact","value":""},{"id":150,"name":"Time of Event (Mountain Time)","value":"16:54:07"},{"id":151,"name":"Denver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0"/>
        <v>start /low /b %USERPROFILE%\Documents\GitHub\eaglep3\Utilities\DownloadLogsFromS3.py --loco 4010 --day 2017-05-22</v>
      </c>
      <c r="AN116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764</v>
      </c>
      <c r="B117" s="7">
        <v>4009</v>
      </c>
      <c r="C117" s="21" t="s">
        <v>206</v>
      </c>
      <c r="D117" s="21" t="s">
        <v>537</v>
      </c>
      <c r="E117" s="13">
        <v>42877.710034722222</v>
      </c>
      <c r="F117" s="13">
        <v>42877.716944444444</v>
      </c>
      <c r="G117" s="7">
        <v>1</v>
      </c>
      <c r="H117" s="21" t="s">
        <v>357</v>
      </c>
      <c r="I117" s="13">
        <v>42877.743194444447</v>
      </c>
      <c r="J117" s="7">
        <v>0</v>
      </c>
      <c r="K117" s="92" t="str">
        <f t="shared" si="35"/>
        <v>4009/4010</v>
      </c>
      <c r="L117" s="21" t="str">
        <f>VLOOKUP(A117,'Trips&amp;Operators'!$C$1:$G$99999,5,FALSE)</f>
        <v>MCREYNOLDS KYLE</v>
      </c>
      <c r="M117" s="6">
        <f t="shared" si="36"/>
        <v>2.6250000002619345E-2</v>
      </c>
      <c r="N117" s="7">
        <f t="shared" si="57"/>
        <v>37.800000003771856</v>
      </c>
      <c r="O117" s="7"/>
      <c r="P117" s="7"/>
      <c r="Q117" s="22"/>
      <c r="R117" s="190"/>
      <c r="S117" s="196">
        <f t="shared" si="58"/>
        <v>1</v>
      </c>
      <c r="T117" s="190" t="str">
        <f t="shared" si="38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9"/>
        <v>https://d0f6bd738d7f1b3e5a7ca70fe4ff75f0.us-east-1.aws.found.io/app/kibana#/discover/Steve-Slow-Train-Analysis-(2080s-and-2083s)?_g=(refreshInterval:(display:Off,pause:!f,section:0,value:0),time:(from:'2017-05-22T16:02:27-0600',mode:absolute,to:'2017-05-22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92" t="str">
        <f t="shared" si="40"/>
        <v>N</v>
      </c>
      <c r="X117" s="192">
        <f t="shared" si="56"/>
        <v>1</v>
      </c>
      <c r="Y117" s="192">
        <f t="shared" si="41"/>
        <v>23.296600000000002</v>
      </c>
      <c r="Z117" s="192">
        <f t="shared" si="42"/>
        <v>1.43E-2</v>
      </c>
      <c r="AA117" s="192">
        <f t="shared" si="43"/>
        <v>23.282300000000003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4"/>
        <v>0202-22</v>
      </c>
      <c r="AE117" s="80" t="str">
        <f t="shared" si="45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117" s="77" t="str">
        <f t="shared" si="46"/>
        <v>"C:\Program Files (x86)\AstroGrep\AstroGrep.exe" /e /r /s /spath="%USERPROFILE%\AppData\Local\Temp\OnboardLogs" /stypes="app*4009*20170522*" /stext=" 23:.+((SYSTEM_STATE.+slice.+state.+changed )|(ment ac)|(multiple cpu faults)|(system.+state.+changed )|(\[timeout)|(PRM\|1\|D)|(kpr)|(kdp)|(train st.+moving)|(\|lc)|(penalty))"</v>
      </c>
      <c r="AG117" s="1" t="str">
        <f t="shared" si="47"/>
        <v>EC</v>
      </c>
      <c r="AH117" s="81" t="str">
        <f t="shared" si="48"/>
        <v>"%USERPROFILE%\Documents\GitHub\eaglep3\Utilities\RefineRTDCRunTimes.py" --tripid 202-22 --locoid 4009 --swversion DE.1.0.9.0 --startMP 204:232966 --initTime 2017-05-22T17:02:27 --startdatetime 2017-05-22T17:12:24 --delay 1 --endMP 204:143 --enddatetime 2017-05-22T17:50:12 --enforcementcount 0 &gt;&gt;C:\Users\stu\Documents\GitHub\eaglep3-reporting\EC\2017-05-22-refined-times.txt</v>
      </c>
      <c r="AI117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{"issue":{"subject":"","project_id":79,"tracker_id":40,"status_id":1,"priority_id":2,"assigned_to_id":23,"start_date":"2017-05-22","description":"","custom_fields":[{"id":1,"name":"Subdivision","value":"EC"},{"id":4,"name":"Milepost","value":"0.0143"},{"id":17,"name":"Train ID","value":"202-22"},{"id":16,"name":"Locomotive ID","value":"4009"},{"id":130,"name":"Impact","value":""},{"id":150,"name":"Time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0"/>
        <v>start /low /b %USERPROFILE%\Documents\GitHub\eaglep3\Utilities\DownloadLogsFromS3.py --loco 4009 --day 2017-05-22</v>
      </c>
      <c r="AN117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757</v>
      </c>
      <c r="B118" s="7">
        <v>4016</v>
      </c>
      <c r="C118" s="21" t="s">
        <v>206</v>
      </c>
      <c r="D118" s="21" t="s">
        <v>203</v>
      </c>
      <c r="E118" s="13">
        <v>42877.685208333336</v>
      </c>
      <c r="F118" s="13">
        <v>42877.687743055554</v>
      </c>
      <c r="G118" s="7">
        <v>1</v>
      </c>
      <c r="H118" s="21" t="s">
        <v>882</v>
      </c>
      <c r="I118" s="13">
        <v>42877.716053240743</v>
      </c>
      <c r="J118" s="7">
        <v>0</v>
      </c>
      <c r="K118" s="92" t="str">
        <f t="shared" si="35"/>
        <v>4015/4016</v>
      </c>
      <c r="L118" s="21" t="str">
        <f>VLOOKUP(A118,'Trips&amp;Operators'!$C$1:$G$99999,5,FALSE)</f>
        <v>DAVIS MICHAEL</v>
      </c>
      <c r="M118" s="6">
        <f t="shared" si="36"/>
        <v>2.8310185189184267E-2</v>
      </c>
      <c r="N118" s="7">
        <f t="shared" si="57"/>
        <v>40.766666672425345</v>
      </c>
      <c r="O118" s="7"/>
      <c r="P118" s="7"/>
      <c r="Q118" s="22"/>
      <c r="R118" s="190"/>
      <c r="S118" s="196">
        <f t="shared" si="58"/>
        <v>1</v>
      </c>
      <c r="T118" s="190" t="str">
        <f t="shared" si="38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9"/>
        <v>https://d0f6bd738d7f1b3e5a7ca70fe4ff75f0.us-east-1.aws.found.io/app/kibana#/discover/Steve-Slow-Train-Analysis-(2080s-and-2083s)?_g=(refreshInterval:(display:Off,pause:!f,section:0,value:0),time:(from:'2017-05-22T15:26:42-0600',mode:absolute,to:'2017-05-22T18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192" t="str">
        <f t="shared" si="40"/>
        <v>N</v>
      </c>
      <c r="X118" s="192">
        <f t="shared" si="56"/>
        <v>1</v>
      </c>
      <c r="Y118" s="192">
        <f t="shared" si="41"/>
        <v>4.5999999999999999E-2</v>
      </c>
      <c r="Z118" s="192">
        <f t="shared" si="42"/>
        <v>23.334900000000001</v>
      </c>
      <c r="AA118" s="192">
        <f t="shared" si="43"/>
        <v>23.288900000000002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4"/>
        <v>0203-22</v>
      </c>
      <c r="AE118" s="80" t="str">
        <f t="shared" si="45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118" s="77" t="str">
        <f t="shared" si="46"/>
        <v>"C:\Program Files (x86)\AstroGrep\AstroGrep.exe" /e /r /s /spath="%USERPROFILE%\AppData\Local\Temp\OnboardLogs" /stypes="app*4016*20170522*" /stext=" 23:.+((SYSTEM_STATE.+slice.+state.+changed )|(ment ac)|(multiple cpu faults)|(system.+state.+changed )|(\[timeout)|(PRM\|1\|D)|(kpr)|(kdp)|(train st.+moving)|(\|lc)|(penalty))"</v>
      </c>
      <c r="AG118" s="1" t="str">
        <f t="shared" si="47"/>
        <v>EC</v>
      </c>
      <c r="AH118" s="81" t="str">
        <f t="shared" si="48"/>
        <v>"%USERPROFILE%\Documents\GitHub\eaglep3\Utilities\RefineRTDCRunTimes.py" --tripid 203-22 --locoid 4016 --swversion DE.1.0.9.0 --startMP 204:460 --initTime 2017-05-22T16:26:42 --startdatetime 2017-05-22T16:30:21 --delay 1 --endMP 204:233349 --enddatetime 2017-05-22T17:11:07 --enforcementcount 0 &gt;&gt;C:\Users\stu\Documents\GitHub\eaglep3-reporting\EC\2017-05-22-refined-times.txt</v>
      </c>
      <c r="AI118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{"issue":{"subject":"","project_id":79,"tracker_id":40,"status_id":1,"priority_id":2,"assigned_to_id":23,"start_date":"2017-05-22","description":"","custom_fields":[{"id":1,"name":"Subdivision","value":"EC"},{"id":4,"name":"Milepost","value":"23.3349"},{"id":17,"name":"Train ID","value":"203-22"},{"id":16,"name":"Locomotive ID","value":"4016"},{"id":130,"name":"Impact","value":""},{"id":150,"name":"Time of Event (Mountain Time)","value":"17:11:07"},{"id":151,"name":"Denver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0"/>
        <v>start /low /b %USERPROFILE%\Documents\GitHub\eaglep3\Utilities\DownloadLogsFromS3.py --loco 4016 --day 2017-05-22</v>
      </c>
      <c r="AN118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23:11:07"},{"id":29,"name":"Sharepoint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767</v>
      </c>
      <c r="B119" s="7">
        <v>4015</v>
      </c>
      <c r="C119" s="21" t="s">
        <v>206</v>
      </c>
      <c r="D119" s="21" t="s">
        <v>568</v>
      </c>
      <c r="E119" s="13">
        <v>42877.724675925929</v>
      </c>
      <c r="F119" s="13">
        <v>42877.727372685185</v>
      </c>
      <c r="G119" s="7">
        <v>1</v>
      </c>
      <c r="H119" s="21" t="s">
        <v>376</v>
      </c>
      <c r="I119" s="13">
        <v>42877.755300925928</v>
      </c>
      <c r="J119" s="7">
        <v>0</v>
      </c>
      <c r="K119" s="92" t="str">
        <f t="shared" si="35"/>
        <v>4015/4016</v>
      </c>
      <c r="L119" s="21" t="str">
        <f>VLOOKUP(A119,'Trips&amp;Operators'!$C$1:$G$99999,5,FALSE)</f>
        <v>DAVIS MICHAEL</v>
      </c>
      <c r="M119" s="6">
        <f t="shared" si="36"/>
        <v>2.792824074276723E-2</v>
      </c>
      <c r="N119" s="7">
        <f t="shared" si="57"/>
        <v>40.216666669584811</v>
      </c>
      <c r="O119" s="7"/>
      <c r="P119" s="7"/>
      <c r="Q119" s="22"/>
      <c r="R119" s="190"/>
      <c r="S119" s="196">
        <f t="shared" si="58"/>
        <v>1</v>
      </c>
      <c r="T119" s="190" t="str">
        <f t="shared" si="38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9"/>
        <v>https://d0f6bd738d7f1b3e5a7ca70fe4ff75f0.us-east-1.aws.found.io/app/kibana#/discover/Steve-Slow-Train-Analysis-(2080s-and-2083s)?_g=(refreshInterval:(display:Off,pause:!f,section:0,value:0),time:(from:'2017-05-22T16:23:32-0600',mode:absolute,to:'2017-05-22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192" t="str">
        <f t="shared" si="40"/>
        <v>N</v>
      </c>
      <c r="X119" s="192">
        <f t="shared" si="56"/>
        <v>1</v>
      </c>
      <c r="Y119" s="192">
        <f t="shared" si="41"/>
        <v>23.298400000000001</v>
      </c>
      <c r="Z119" s="192">
        <f t="shared" si="42"/>
        <v>1.3599999999999999E-2</v>
      </c>
      <c r="AA119" s="192">
        <f t="shared" si="43"/>
        <v>23.284800000000001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4"/>
        <v>0204-22</v>
      </c>
      <c r="AE119" s="80" t="str">
        <f t="shared" si="45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119" s="77" t="str">
        <f t="shared" si="46"/>
        <v>"C:\Program Files (x86)\AstroGrep\AstroGrep.exe" /e /r /s /spath="%USERPROFILE%\AppData\Local\Temp\OnboardLogs" /stypes="app*4015*20170523*" /stext=" 00:.+((SYSTEM_STATE.+slice.+state.+changed )|(ment ac)|(multiple cpu faults)|(system.+state.+changed )|(\[timeout)|(PRM\|1\|D)|(kpr)|(kdp)|(train st.+moving)|(\|lc)|(penalty))"</v>
      </c>
      <c r="AG119" s="1" t="str">
        <f t="shared" si="47"/>
        <v>EC</v>
      </c>
      <c r="AH119" s="81" t="str">
        <f t="shared" si="48"/>
        <v>"%USERPROFILE%\Documents\GitHub\eaglep3\Utilities\RefineRTDCRunTimes.py" --tripid 204-22 --locoid 4015 --swversion DE.1.0.9.0 --startMP 204:232984 --initTime 2017-05-22T17:23:32 --startdatetime 2017-05-22T17:27:25 --delay 1 --endMP 204:136 --enddatetime 2017-05-22T18:07:38 --enforcementcount 0 &gt;&gt;C:\Users\stu\Documents\GitHub\eaglep3-reporting\EC\2017-05-22-refined-times.txt</v>
      </c>
      <c r="AI119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{"issue":{"subject":"","project_id":79,"tracker_id":40,"status_id":1,"priority_id":2,"assigned_to_id":23,"start_date":"2017-05-22","description":"","custom_fields":[{"id":1,"name":"Subdivision","value":"EC"},{"id":4,"name":"Milepost","value":"0.0136"},{"id":17,"name":"Train ID","value":"204-22"},{"id":16,"name":"Locomotive ID","value":"4015"},{"id":130,"name":"Impact","value":""},{"id":150,"name":"Time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0"/>
        <v>start /low /b %USERPROFILE%\Documents\GitHub\eaglep3\Utilities\DownloadLogsFromS3.py --loco 4015 --day 2017-05-22</v>
      </c>
      <c r="AN119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760</v>
      </c>
      <c r="B120" s="7">
        <v>4014</v>
      </c>
      <c r="C120" s="21" t="s">
        <v>206</v>
      </c>
      <c r="D120" s="21" t="s">
        <v>358</v>
      </c>
      <c r="E120" s="13">
        <v>42877.694421296299</v>
      </c>
      <c r="F120" s="13">
        <v>42877.698078703703</v>
      </c>
      <c r="G120" s="7">
        <v>1</v>
      </c>
      <c r="H120" s="21" t="s">
        <v>415</v>
      </c>
      <c r="I120" s="13">
        <v>42877.724537037036</v>
      </c>
      <c r="J120" s="7">
        <v>0</v>
      </c>
      <c r="K120" s="92" t="str">
        <f t="shared" si="35"/>
        <v>4013/4014</v>
      </c>
      <c r="L120" s="21" t="str">
        <f>VLOOKUP(A120,'Trips&amp;Operators'!$C$1:$G$99999,5,FALSE)</f>
        <v>CLARK KATHLEEN</v>
      </c>
      <c r="M120" s="6">
        <f t="shared" si="36"/>
        <v>2.6458333333721384E-2</v>
      </c>
      <c r="N120" s="7">
        <f t="shared" si="57"/>
        <v>38.100000000558794</v>
      </c>
      <c r="O120" s="7"/>
      <c r="P120" s="7"/>
      <c r="Q120" s="22"/>
      <c r="R120" s="190"/>
      <c r="S120" s="196">
        <f t="shared" si="58"/>
        <v>1</v>
      </c>
      <c r="T120" s="190" t="str">
        <f t="shared" si="38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9"/>
        <v>https://d0f6bd738d7f1b3e5a7ca70fe4ff75f0.us-east-1.aws.found.io/app/kibana#/discover/Steve-Slow-Train-Analysis-(2080s-and-2083s)?_g=(refreshInterval:(display:Off,pause:!f,section:0,value:0),time:(from:'2017-05-22T15:39:58-0600',mode:absolute,to:'2017-05-22T18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0" s="192" t="str">
        <f t="shared" si="40"/>
        <v>N</v>
      </c>
      <c r="X120" s="192">
        <f t="shared" si="56"/>
        <v>1</v>
      </c>
      <c r="Y120" s="192">
        <f t="shared" si="41"/>
        <v>4.6600000000000003E-2</v>
      </c>
      <c r="Z120" s="192">
        <f t="shared" si="42"/>
        <v>23.329499999999999</v>
      </c>
      <c r="AA120" s="192">
        <f t="shared" si="43"/>
        <v>23.282899999999998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4"/>
        <v>0205-22</v>
      </c>
      <c r="AE120" s="80" t="str">
        <f t="shared" si="45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120" s="77" t="str">
        <f t="shared" si="46"/>
        <v>"C:\Program Files (x86)\AstroGrep\AstroGrep.exe" /e /r /s /spath="%USERPROFILE%\AppData\Local\Temp\OnboardLogs" /stypes="app*4014*20170522*" /stext=" 23:.+((SYSTEM_STATE.+slice.+state.+changed )|(ment ac)|(multiple cpu faults)|(system.+state.+changed )|(\[timeout)|(PRM\|1\|D)|(kpr)|(kdp)|(train st.+moving)|(\|lc)|(penalty))"</v>
      </c>
      <c r="AG120" s="1" t="str">
        <f t="shared" si="47"/>
        <v>EC</v>
      </c>
      <c r="AH120" s="81" t="str">
        <f t="shared" si="48"/>
        <v>"%USERPROFILE%\Documents\GitHub\eaglep3\Utilities\RefineRTDCRunTimes.py" --tripid 205-22 --locoid 4014 --swversion DE.1.0.9.0 --startMP 204:466 --initTime 2017-05-22T16:39:58 --startdatetime 2017-05-22T16:45:14 --delay 1 --endMP 204:233295 --enddatetime 2017-05-22T17:23:20 --enforcementcount 0 &gt;&gt;C:\Users\stu\Documents\GitHub\eaglep3-reporting\EC\2017-05-22-refined-times.txt</v>
      </c>
      <c r="AI120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{"issue":{"subject":"","project_id":79,"tracker_id":40,"status_id":1,"priority_id":2,"assigned_to_id":23,"start_date":"2017-05-22","description":"","custom_fields":[{"id":1,"name":"Subdivision","value":"EC"},{"id":4,"name":"Milepost","value":"23.3295"},{"id":17,"name":"Train ID","value":"205-22"},{"id":16,"name":"Locomotive ID","value":"4014"},{"id":130,"name":"Impact","value":""},{"id":150,"name":"Time of Event (Mountain Time)","value":"17:23:20"},{"id":151,"name":"Denver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0"/>
        <v>start /low /b %USERPROFILE%\Documents\GitHub\eaglep3\Utilities\DownloadLogsFromS3.py --loco 4014 --day 2017-05-22</v>
      </c>
      <c r="AN120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769</v>
      </c>
      <c r="B121" s="7">
        <v>4013</v>
      </c>
      <c r="C121" s="21" t="s">
        <v>206</v>
      </c>
      <c r="D121" s="21" t="s">
        <v>426</v>
      </c>
      <c r="E121" s="13">
        <v>42877.732152777775</v>
      </c>
      <c r="F121" s="13">
        <v>42877.737685185188</v>
      </c>
      <c r="G121" s="7">
        <v>1</v>
      </c>
      <c r="H121" s="21" t="s">
        <v>864</v>
      </c>
      <c r="I121" s="13">
        <v>42877.765405092592</v>
      </c>
      <c r="J121" s="7">
        <v>0</v>
      </c>
      <c r="K121" s="92" t="str">
        <f t="shared" si="35"/>
        <v>4013/4014</v>
      </c>
      <c r="L121" s="21" t="str">
        <f>VLOOKUP(A121,'Trips&amp;Operators'!$C$1:$G$99999,5,FALSE)</f>
        <v>CLARK KATHLEEN</v>
      </c>
      <c r="M121" s="6">
        <f t="shared" si="36"/>
        <v>2.7719907404389232E-2</v>
      </c>
      <c r="N121" s="7">
        <f t="shared" si="57"/>
        <v>39.916666662320495</v>
      </c>
      <c r="O121" s="7"/>
      <c r="P121" s="7"/>
      <c r="Q121" s="22"/>
      <c r="R121" s="190"/>
      <c r="S121" s="196">
        <f t="shared" si="58"/>
        <v>1</v>
      </c>
      <c r="T121" s="190" t="str">
        <f t="shared" si="38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9"/>
        <v>https://d0f6bd738d7f1b3e5a7ca70fe4ff75f0.us-east-1.aws.found.io/app/kibana#/discover/Steve-Slow-Train-Analysis-(2080s-and-2083s)?_g=(refreshInterval:(display:Off,pause:!f,section:0,value:0),time:(from:'2017-05-22T16:34:18-0600',mode:absolute,to:'2017-05-22T19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1" s="192" t="str">
        <f t="shared" si="40"/>
        <v>N</v>
      </c>
      <c r="X121" s="192">
        <f t="shared" si="56"/>
        <v>1</v>
      </c>
      <c r="Y121" s="192">
        <f t="shared" si="41"/>
        <v>23.299299999999999</v>
      </c>
      <c r="Z121" s="192">
        <f t="shared" si="42"/>
        <v>1.7999999999999999E-2</v>
      </c>
      <c r="AA121" s="192">
        <f t="shared" si="43"/>
        <v>23.281299999999998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4"/>
        <v>0206-22</v>
      </c>
      <c r="AE121" s="80" t="str">
        <f t="shared" si="45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121" s="77" t="str">
        <f t="shared" si="46"/>
        <v>"C:\Program Files (x86)\AstroGrep\AstroGrep.exe" /e /r /s /spath="%USERPROFILE%\AppData\Local\Temp\OnboardLogs" /stypes="app*4013*20170523*" /stext=" 00:.+((SYSTEM_STATE.+slice.+state.+changed )|(ment ac)|(multiple cpu faults)|(system.+state.+changed )|(\[timeout)|(PRM\|1\|D)|(kpr)|(kdp)|(train st.+moving)|(\|lc)|(penalty))"</v>
      </c>
      <c r="AG121" s="1" t="str">
        <f t="shared" si="47"/>
        <v>EC</v>
      </c>
      <c r="AH121" s="81" t="str">
        <f t="shared" si="48"/>
        <v>"%USERPROFILE%\Documents\GitHub\eaglep3\Utilities\RefineRTDCRunTimes.py" --tripid 206-22 --locoid 4013 --swversion DE.1.0.9.0 --startMP 204:232993 --initTime 2017-05-22T17:34:18 --startdatetime 2017-05-22T17:42:16 --delay 1 --endMP 204:180 --enddatetime 2017-05-22T18:22:11 --enforcementcount 0 &gt;&gt;C:\Users\stu\Documents\GitHub\eaglep3-reporting\EC\2017-05-22-refined-times.txt</v>
      </c>
      <c r="AI12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{"issue":{"subject":"","project_id":79,"tracker_id":40,"status_id":1,"priority_id":2,"assigned_to_id":23,"start_date":"2017-05-22","description":"","custom_fields":[{"id":1,"name":"Subdivision","value":"EC"},{"id":4,"name":"Milepost","value":"0.018"},{"id":17,"name":"Train ID","value":"206-22"},{"id":16,"name":"Locomotive ID","value":"4013"},{"id":130,"name":"Impact","value":""},{"id":150,"name":"Time of Event (Mountain Time)","value":"18:22:11"},{"id":151,"name":"Denver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0"/>
        <v>start /low /b %USERPROFILE%\Documents\GitHub\eaglep3\Utilities\DownloadLogsFromS3.py --loco 4013 --day 2017-05-22</v>
      </c>
      <c r="AN121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762</v>
      </c>
      <c r="B122" s="7">
        <v>4026</v>
      </c>
      <c r="C122" s="21" t="s">
        <v>206</v>
      </c>
      <c r="D122" s="21" t="s">
        <v>361</v>
      </c>
      <c r="E122" s="13">
        <v>42877.707141203704</v>
      </c>
      <c r="F122" s="13">
        <v>42877.708854166667</v>
      </c>
      <c r="G122" s="7">
        <v>1</v>
      </c>
      <c r="H122" s="21" t="s">
        <v>883</v>
      </c>
      <c r="I122" s="13">
        <v>42877.735162037039</v>
      </c>
      <c r="J122" s="7">
        <v>0</v>
      </c>
      <c r="K122" s="92" t="str">
        <f t="shared" si="35"/>
        <v>4025/4026</v>
      </c>
      <c r="L122" s="21" t="str">
        <f>VLOOKUP(A122,'Trips&amp;Operators'!$C$1:$G$99999,5,FALSE)</f>
        <v>LEVERE CRAIG</v>
      </c>
      <c r="M122" s="6">
        <f t="shared" si="36"/>
        <v>2.6307870371965691E-2</v>
      </c>
      <c r="N122" s="7">
        <f t="shared" si="57"/>
        <v>37.883333335630596</v>
      </c>
      <c r="O122" s="7"/>
      <c r="P122" s="7"/>
      <c r="Q122" s="22"/>
      <c r="R122" s="190"/>
      <c r="S122" s="196">
        <f t="shared" si="58"/>
        <v>1</v>
      </c>
      <c r="T122" s="190" t="str">
        <f t="shared" si="38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9"/>
        <v>https://d0f6bd738d7f1b3e5a7ca70fe4ff75f0.us-east-1.aws.found.io/app/kibana#/discover/Steve-Slow-Train-Analysis-(2080s-and-2083s)?_g=(refreshInterval:(display:Off,pause:!f,section:0,value:0),time:(from:'2017-05-22T15:58:17-0600',mode:absolute,to:'2017-05-22T18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192" t="str">
        <f t="shared" si="40"/>
        <v>N</v>
      </c>
      <c r="X122" s="192">
        <f t="shared" si="56"/>
        <v>1</v>
      </c>
      <c r="Y122" s="192">
        <f t="shared" si="41"/>
        <v>4.6399999999999997E-2</v>
      </c>
      <c r="Z122" s="192">
        <f t="shared" si="42"/>
        <v>23.3307</v>
      </c>
      <c r="AA122" s="192">
        <f t="shared" si="43"/>
        <v>23.284300000000002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4"/>
        <v>0207-22</v>
      </c>
      <c r="AE122" s="80" t="str">
        <f t="shared" si="45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122" s="77" t="str">
        <f t="shared" si="46"/>
        <v>"C:\Program Files (x86)\AstroGrep\AstroGrep.exe" /e /r /s /spath="%USERPROFILE%\AppData\Local\Temp\OnboardLogs" /stypes="app*4026*20170522*" /stext=" 23:.+((SYSTEM_STATE.+slice.+state.+changed )|(ment ac)|(multiple cpu faults)|(system.+state.+changed )|(\[timeout)|(PRM\|1\|D)|(kpr)|(kdp)|(train st.+moving)|(\|lc)|(penalty))"</v>
      </c>
      <c r="AG122" s="1" t="str">
        <f t="shared" si="47"/>
        <v>EC</v>
      </c>
      <c r="AH122" s="81" t="str">
        <f t="shared" si="48"/>
        <v>"%USERPROFILE%\Documents\GitHub\eaglep3\Utilities\RefineRTDCRunTimes.py" --tripid 207-22 --locoid 4026 --swversion DE.1.0.9.0 --startMP 204:464 --initTime 2017-05-22T16:58:17 --startdatetime 2017-05-22T17:00:45 --delay 1 --endMP 204:233307 --enddatetime 2017-05-22T17:38:38 --enforcementcount 0 &gt;&gt;C:\Users\stu\Documents\GitHub\eaglep3-reporting\EC\2017-05-22-refined-times.txt</v>
      </c>
      <c r="AI122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{"issue":{"subject":"","project_id":79,"tracker_id":40,"status_id":1,"priority_id":2,"assigned_to_id":23,"start_date":"2017-05-22","description":"","custom_fields":[{"id":1,"name":"Subdivision","value":"EC"},{"id":4,"name":"Milepost","value":"23.3307"},{"id":17,"name":"Train ID","value":"207-22"},{"id":16,"name":"Locomotive ID","value":"4026"},{"id":130,"name":"Impact","value":""},{"id":150,"name":"Time of Event (Mountain Time)","value":"17:38:38"},{"id":151,"name":"Denver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0"/>
        <v>start /low /b %USERPROFILE%\Documents\GitHub\eaglep3\Utilities\DownloadLogsFromS3.py --loco 4026 --day 2017-05-22</v>
      </c>
      <c r="AN122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771</v>
      </c>
      <c r="B123" s="7">
        <v>4025</v>
      </c>
      <c r="C123" s="21" t="s">
        <v>206</v>
      </c>
      <c r="D123" s="21" t="s">
        <v>868</v>
      </c>
      <c r="E123" s="13">
        <v>42877.742048611108</v>
      </c>
      <c r="F123" s="13">
        <v>42877.748287037037</v>
      </c>
      <c r="G123" s="7">
        <v>1</v>
      </c>
      <c r="H123" s="21" t="s">
        <v>353</v>
      </c>
      <c r="I123" s="13">
        <v>42877.777141203704</v>
      </c>
      <c r="J123" s="7">
        <v>0</v>
      </c>
      <c r="K123" s="92" t="str">
        <f t="shared" si="35"/>
        <v>4025/4026</v>
      </c>
      <c r="L123" s="21" t="str">
        <f>VLOOKUP(A123,'Trips&amp;Operators'!$C$1:$G$99999,5,FALSE)</f>
        <v>LEVERE CRAIG</v>
      </c>
      <c r="M123" s="6">
        <f t="shared" si="36"/>
        <v>2.8854166666860692E-2</v>
      </c>
      <c r="N123" s="7">
        <f t="shared" si="57"/>
        <v>41.550000000279397</v>
      </c>
      <c r="O123" s="7"/>
      <c r="P123" s="7"/>
      <c r="Q123" s="22"/>
      <c r="R123" s="190"/>
      <c r="S123" s="196">
        <f t="shared" si="58"/>
        <v>1</v>
      </c>
      <c r="T123" s="190" t="str">
        <f t="shared" si="38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9"/>
        <v>https://d0f6bd738d7f1b3e5a7ca70fe4ff75f0.us-east-1.aws.found.io/app/kibana#/discover/Steve-Slow-Train-Analysis-(2080s-and-2083s)?_g=(refreshInterval:(display:Off,pause:!f,section:0,value:0),time:(from:'2017-05-22T16:48:33-0600',mode:absolute,to:'2017-05-22T19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3" s="192" t="str">
        <f t="shared" si="40"/>
        <v>N</v>
      </c>
      <c r="X123" s="192">
        <f t="shared" si="56"/>
        <v>1</v>
      </c>
      <c r="Y123" s="192">
        <f t="shared" si="41"/>
        <v>23.299600000000002</v>
      </c>
      <c r="Z123" s="192">
        <f t="shared" si="42"/>
        <v>1.6E-2</v>
      </c>
      <c r="AA123" s="192">
        <f t="shared" si="43"/>
        <v>23.283600000000003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4"/>
        <v>0208-22</v>
      </c>
      <c r="AE123" s="80" t="str">
        <f t="shared" si="45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123" s="77" t="str">
        <f t="shared" si="46"/>
        <v>"C:\Program Files (x86)\AstroGrep\AstroGrep.exe" /e /r /s /spath="%USERPROFILE%\AppData\Local\Temp\OnboardLogs" /stypes="app*4025*20170523*" /stext=" 00:.+((SYSTEM_STATE.+slice.+state.+changed )|(ment ac)|(multiple cpu faults)|(system.+state.+changed )|(\[timeout)|(PRM\|1\|D)|(kpr)|(kdp)|(train st.+moving)|(\|lc)|(penalty))"</v>
      </c>
      <c r="AG123" s="1" t="str">
        <f t="shared" si="47"/>
        <v>EC</v>
      </c>
      <c r="AH123" s="81" t="str">
        <f t="shared" si="48"/>
        <v>"%USERPROFILE%\Documents\GitHub\eaglep3\Utilities\RefineRTDCRunTimes.py" --tripid 208-22 --locoid 4025 --swversion DE.1.0.9.0 --startMP 204:232996 --initTime 2017-05-22T17:48:33 --startdatetime 2017-05-22T17:57:32 --delay 1 --endMP 204:160 --enddatetime 2017-05-22T18:39:05 --enforcementcount 0 &gt;&gt;C:\Users\stu\Documents\GitHub\eaglep3-reporting\EC\2017-05-22-refined-times.txt</v>
      </c>
      <c r="AI123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{"issue":{"subject":"","project_id":79,"tracker_id":40,"status_id":1,"priority_id":2,"assigned_to_id":23,"start_date":"2017-05-22","description":"","custom_fields":[{"id":1,"name":"Subdivision","value":"EC"},{"id":4,"name":"Milepost","value":"0.016"},{"id":17,"name":"Train ID","value":"208-22"},{"id":16,"name":"Locomotive ID","value":"4025"},{"id":130,"name":"Impact","value":""},{"id":150,"name":"Time of Event (Mountain Time)","value":"18:39:05"},{"id":151,"name":"Denver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0"/>
        <v>start /low /b %USERPROFILE%\Documents\GitHub\eaglep3\Utilities\DownloadLogsFromS3.py --loco 4025 --day 2017-05-22</v>
      </c>
      <c r="AN123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606</v>
      </c>
      <c r="B124" s="7">
        <v>4006</v>
      </c>
      <c r="C124" s="21" t="s">
        <v>206</v>
      </c>
      <c r="D124" s="21" t="s">
        <v>373</v>
      </c>
      <c r="E124" s="13">
        <v>42877.717175925929</v>
      </c>
      <c r="F124" s="13">
        <v>42877.718923611108</v>
      </c>
      <c r="G124" s="7">
        <v>1</v>
      </c>
      <c r="H124" s="21" t="s">
        <v>528</v>
      </c>
      <c r="I124" s="13">
        <v>42877.744606481479</v>
      </c>
      <c r="J124" s="7">
        <v>0</v>
      </c>
      <c r="K124" s="92" t="str">
        <f t="shared" si="35"/>
        <v>4005/4006</v>
      </c>
      <c r="L124" s="21" t="str">
        <f>VLOOKUP(A124,'Trips&amp;Operators'!$C$1:$G$99999,5,FALSE)</f>
        <v>BRUDER RICHARD</v>
      </c>
      <c r="M124" s="6">
        <f t="shared" si="36"/>
        <v>2.5682870371383615E-2</v>
      </c>
      <c r="N124" s="7">
        <f t="shared" si="57"/>
        <v>36.983333334792405</v>
      </c>
      <c r="O124" s="7"/>
      <c r="P124" s="7"/>
      <c r="Q124" s="22"/>
      <c r="R124" s="190"/>
      <c r="S124" s="196">
        <f t="shared" si="58"/>
        <v>1</v>
      </c>
      <c r="T124" s="190" t="str">
        <f t="shared" si="38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9"/>
        <v>https://d0f6bd738d7f1b3e5a7ca70fe4ff75f0.us-east-1.aws.found.io/app/kibana#/discover/Steve-Slow-Train-Analysis-(2080s-and-2083s)?_g=(refreshInterval:(display:Off,pause:!f,section:0,value:0),time:(from:'2017-05-22T16:12:44-0600',mode:absolute,to:'2017-05-22T18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192" t="str">
        <f t="shared" si="40"/>
        <v>N</v>
      </c>
      <c r="X124" s="192">
        <f t="shared" si="56"/>
        <v>1</v>
      </c>
      <c r="Y124" s="192">
        <f t="shared" si="41"/>
        <v>4.5499999999999999E-2</v>
      </c>
      <c r="Z124" s="192">
        <f t="shared" si="42"/>
        <v>23.331</v>
      </c>
      <c r="AA124" s="192">
        <f t="shared" si="43"/>
        <v>23.285499999999999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4"/>
        <v>0209-22</v>
      </c>
      <c r="AE124" s="80" t="str">
        <f t="shared" si="45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124" s="77" t="str">
        <f t="shared" si="46"/>
        <v>"C:\Program Files (x86)\AstroGrep\AstroGrep.exe" /e /r /s /spath="%USERPROFILE%\AppData\Local\Temp\OnboardLogs" /stypes="app*4006*20170522*" /stext=" 23:.+((SYSTEM_STATE.+slice.+state.+changed )|(ment ac)|(multiple cpu faults)|(system.+state.+changed )|(\[timeout)|(PRM\|1\|D)|(kpr)|(kdp)|(train st.+moving)|(\|lc)|(penalty))"</v>
      </c>
      <c r="AG124" s="1" t="str">
        <f t="shared" si="47"/>
        <v>EC</v>
      </c>
      <c r="AH124" s="81" t="str">
        <f t="shared" si="48"/>
        <v>"%USERPROFILE%\Documents\GitHub\eaglep3\Utilities\RefineRTDCRunTimes.py" --tripid 209-22 --locoid 4006 --swversion DE.1.0.9.0 --startMP 204:455 --initTime 2017-05-22T17:12:44 --startdatetime 2017-05-22T17:15:15 --delay 1 --endMP 204:233310 --enddatetime 2017-05-22T17:52:14 --enforcementcount 0 &gt;&gt;C:\Users\stu\Documents\GitHub\eaglep3-reporting\EC\2017-05-22-refined-times.txt</v>
      </c>
      <c r="AI124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{"issue":{"subject":"","project_id":79,"tracker_id":40,"status_id":1,"priority_id":2,"assigned_to_id":23,"start_date":"2017-05-22","description":"","custom_fields":[{"id":1,"name":"Subdivision","value":"EC"},{"id":4,"name":"Milepost","value":"23.331"},{"id":17,"name":"Train ID","value":"209-22"},{"id":16,"name":"Locomotive ID","value":"4006"},{"id":130,"name":"Impact","value":""},{"id":150,"name":"Time of Event (Mountain Time)","value":"17:52:14"},{"id":151,"name":"Denver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0"/>
        <v>start /low /b %USERPROFILE%\Documents\GitHub\eaglep3\Utilities\DownloadLogsFromS3.py --loco 4006 --day 2017-05-22</v>
      </c>
      <c r="AN124" s="154" t="str">
        <f t="shared" si="51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774</v>
      </c>
      <c r="B125" s="7">
        <v>4005</v>
      </c>
      <c r="C125" s="21" t="s">
        <v>206</v>
      </c>
      <c r="D125" s="21" t="s">
        <v>831</v>
      </c>
      <c r="E125" s="13">
        <v>42877.754999999997</v>
      </c>
      <c r="F125" s="13">
        <v>42877.758564814816</v>
      </c>
      <c r="G125" s="7">
        <v>1</v>
      </c>
      <c r="H125" s="21" t="s">
        <v>413</v>
      </c>
      <c r="I125" s="13">
        <v>42877.784421296295</v>
      </c>
      <c r="J125" s="7">
        <v>0</v>
      </c>
      <c r="K125" s="92" t="str">
        <f t="shared" si="35"/>
        <v>4005/4006</v>
      </c>
      <c r="L125" s="21" t="str">
        <f>VLOOKUP(A125,'Trips&amp;Operators'!$C$1:$G$99999,5,FALSE)</f>
        <v>BRUDER RICHARD</v>
      </c>
      <c r="M125" s="6">
        <f t="shared" si="36"/>
        <v>2.5856481479422655E-2</v>
      </c>
      <c r="N125" s="7">
        <f t="shared" si="57"/>
        <v>37.233333330368623</v>
      </c>
      <c r="O125" s="7"/>
      <c r="P125" s="7"/>
      <c r="Q125" s="22"/>
      <c r="R125" s="190"/>
      <c r="S125" s="196">
        <f t="shared" si="58"/>
        <v>1</v>
      </c>
      <c r="T125" s="190" t="str">
        <f t="shared" si="38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9"/>
        <v>https://d0f6bd738d7f1b3e5a7ca70fe4ff75f0.us-east-1.aws.found.io/app/kibana#/discover/Steve-Slow-Train-Analysis-(2080s-and-2083s)?_g=(refreshInterval:(display:Off,pause:!f,section:0,value:0),time:(from:'2017-05-22T17:07:12-0600',mode:absolute,to:'2017-05-22T19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192" t="str">
        <f t="shared" si="40"/>
        <v>N</v>
      </c>
      <c r="X125" s="192">
        <f t="shared" si="56"/>
        <v>1</v>
      </c>
      <c r="Y125" s="192">
        <f t="shared" si="41"/>
        <v>23.299099999999999</v>
      </c>
      <c r="Z125" s="192">
        <f t="shared" si="42"/>
        <v>1.54E-2</v>
      </c>
      <c r="AA125" s="192">
        <f t="shared" si="43"/>
        <v>23.2837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4"/>
        <v>0210-22</v>
      </c>
      <c r="AE125" s="80" t="str">
        <f t="shared" si="45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125" s="77" t="str">
        <f t="shared" si="46"/>
        <v>"C:\Program Files (x86)\AstroGrep\AstroGrep.exe" /e /r /s /spath="%USERPROFILE%\AppData\Local\Temp\OnboardLogs" /stypes="app*4005*20170523*" /stext=" 00:.+((SYSTEM_STATE.+slice.+state.+changed )|(ment ac)|(multiple cpu faults)|(system.+state.+changed )|(\[timeout)|(PRM\|1\|D)|(kpr)|(kdp)|(train st.+moving)|(\|lc)|(penalty))"</v>
      </c>
      <c r="AG125" s="1" t="str">
        <f t="shared" si="47"/>
        <v>EC</v>
      </c>
      <c r="AH125" s="81" t="str">
        <f t="shared" si="48"/>
        <v>"%USERPROFILE%\Documents\GitHub\eaglep3\Utilities\RefineRTDCRunTimes.py" --tripid 210-22 --locoid 4005 --swversion DE.1.0.9.0 --startMP 204:232991 --initTime 2017-05-22T18:07:12 --startdatetime 2017-05-22T18:12:20 --delay 1 --endMP 204:154 --enddatetime 2017-05-22T18:49:34 --enforcementcount 0 &gt;&gt;C:\Users\stu\Documents\GitHub\eaglep3-reporting\EC\2017-05-22-refined-times.txt</v>
      </c>
      <c r="AI125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ID","value":"210-22"},{"id":16,"name":"Locomotive ID","value":"4005"},{"id":130,"name":"Impact","value":""},{"id":150,"name":"Time of Event (Mountain Time)","value":"18:49:34"},{"id":151,"name":"Denver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0"/>
        <v>start /low /b %USERPROFILE%\Documents\GitHub\eaglep3\Utilities\DownloadLogsFromS3.py --loco 4005 --day 2017-05-22</v>
      </c>
      <c r="AN125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768</v>
      </c>
      <c r="B126" s="7">
        <v>4008</v>
      </c>
      <c r="C126" s="21" t="s">
        <v>206</v>
      </c>
      <c r="D126" s="21" t="s">
        <v>203</v>
      </c>
      <c r="E126" s="13">
        <v>42877.72755787037</v>
      </c>
      <c r="F126" s="13">
        <v>42877.729444444441</v>
      </c>
      <c r="G126" s="7">
        <v>1</v>
      </c>
      <c r="H126" s="21" t="s">
        <v>849</v>
      </c>
      <c r="I126" s="13">
        <v>42877.75675925926</v>
      </c>
      <c r="J126" s="7">
        <v>0</v>
      </c>
      <c r="K126" s="92" t="str">
        <f t="shared" si="35"/>
        <v>4007/4008</v>
      </c>
      <c r="L126" s="21" t="str">
        <f>VLOOKUP(A126,'Trips&amp;Operators'!$C$1:$G$99999,5,FALSE)</f>
        <v>BRANDNER MELINDA</v>
      </c>
      <c r="M126" s="6">
        <f t="shared" si="36"/>
        <v>2.7314814818964805E-2</v>
      </c>
      <c r="N126" s="7">
        <f t="shared" si="57"/>
        <v>39.33333333930932</v>
      </c>
      <c r="O126" s="7"/>
      <c r="P126" s="7"/>
      <c r="Q126" s="22"/>
      <c r="R126" s="190"/>
      <c r="S126" s="196">
        <f t="shared" si="58"/>
        <v>1</v>
      </c>
      <c r="T126" s="190" t="str">
        <f t="shared" si="38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9"/>
        <v>https://d0f6bd738d7f1b3e5a7ca70fe4ff75f0.us-east-1.aws.found.io/app/kibana#/discover/Steve-Slow-Train-Analysis-(2080s-and-2083s)?_g=(refreshInterval:(display:Off,pause:!f,section:0,value:0),time:(from:'2017-05-22T16:27:41-0600',mode:absolute,to:'2017-05-22T19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192" t="str">
        <f t="shared" si="40"/>
        <v>N</v>
      </c>
      <c r="X126" s="192">
        <f t="shared" si="56"/>
        <v>1</v>
      </c>
      <c r="Y126" s="192">
        <f t="shared" si="41"/>
        <v>4.5999999999999999E-2</v>
      </c>
      <c r="Z126" s="192">
        <f t="shared" si="42"/>
        <v>23.337599999999998</v>
      </c>
      <c r="AA126" s="192">
        <f t="shared" si="43"/>
        <v>23.291599999999999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4"/>
        <v>0211-22</v>
      </c>
      <c r="AE126" s="80" t="str">
        <f t="shared" si="45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126" s="77" t="str">
        <f t="shared" si="46"/>
        <v>"C:\Program Files (x86)\AstroGrep\AstroGrep.exe" /e /r /s /spath="%USERPROFILE%\AppData\Local\Temp\OnboardLogs" /stypes="app*4008*20170523*" /stext=" 00:.+((SYSTEM_STATE.+slice.+state.+changed )|(ment ac)|(multiple cpu faults)|(system.+state.+changed )|(\[timeout)|(PRM\|1\|D)|(kpr)|(kdp)|(train st.+moving)|(\|lc)|(penalty))"</v>
      </c>
      <c r="AG126" s="1" t="str">
        <f t="shared" si="47"/>
        <v>EC</v>
      </c>
      <c r="AH126" s="81" t="str">
        <f t="shared" si="48"/>
        <v>"%USERPROFILE%\Documents\GitHub\eaglep3\Utilities\RefineRTDCRunTimes.py" --tripid 211-22 --locoid 4008 --swversion DE.1.0.9.0 --startMP 204:460 --initTime 2017-05-22T17:27:41 --startdatetime 2017-05-22T17:30:24 --delay 1 --endMP 204:233376 --enddatetime 2017-05-22T18:09:44 --enforcementcount 0 &gt;&gt;C:\Users\stu\Documents\GitHub\eaglep3-reporting\EC\2017-05-22-refined-times.txt</v>
      </c>
      <c r="AI126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{"issue":{"subject":"","project_id":79,"tracker_id":40,"status_id":1,"priority_id":2,"assigned_to_id":23,"start_date":"2017-05-22","description":"","custom_fields":[{"id":1,"name":"Subdivision","value":"EC"},{"id":4,"name":"Milepost","value":"23.3376"},{"id":17,"name":"Train ID","value":"211-22"},{"id":16,"name":"Locomotive ID","value":"4008"},{"id":130,"name":"Impact","value":""},{"id":150,"name":"Time of Event (Mountain Time)","value":"18:09:44"},{"id":151,"name":"Denver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0"/>
        <v>start /low /b %USERPROFILE%\Documents\GitHub\eaglep3\Utilities\DownloadLogsFromS3.py --loco 4008 --day 2017-05-22</v>
      </c>
      <c r="AN126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610</v>
      </c>
      <c r="B127" s="7">
        <v>4007</v>
      </c>
      <c r="C127" s="21" t="s">
        <v>206</v>
      </c>
      <c r="D127" s="21" t="s">
        <v>567</v>
      </c>
      <c r="E127" s="13">
        <v>42877.765092592592</v>
      </c>
      <c r="F127" s="13">
        <v>42877.768969907411</v>
      </c>
      <c r="G127" s="7">
        <v>1</v>
      </c>
      <c r="H127" s="21" t="s">
        <v>413</v>
      </c>
      <c r="I127" s="13">
        <v>42877.796759259261</v>
      </c>
      <c r="J127" s="7">
        <v>0</v>
      </c>
      <c r="K127" s="92" t="str">
        <f t="shared" si="35"/>
        <v>4007/4008</v>
      </c>
      <c r="L127" s="21" t="str">
        <f>VLOOKUP(A127,'Trips&amp;Operators'!$C$1:$G$99999,5,FALSE)</f>
        <v>BRANDNER MELINDA</v>
      </c>
      <c r="M127" s="6">
        <f t="shared" si="36"/>
        <v>2.7789351850515231E-2</v>
      </c>
      <c r="N127" s="7">
        <f t="shared" si="57"/>
        <v>40.016666664741933</v>
      </c>
      <c r="O127" s="7"/>
      <c r="P127" s="7"/>
      <c r="Q127" s="22"/>
      <c r="R127" s="190"/>
      <c r="S127" s="196">
        <f t="shared" si="58"/>
        <v>1</v>
      </c>
      <c r="T127" s="190" t="str">
        <f t="shared" si="38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9"/>
        <v>https://d0f6bd738d7f1b3e5a7ca70fe4ff75f0.us-east-1.aws.found.io/app/kibana#/discover/Steve-Slow-Train-Analysis-(2080s-and-2083s)?_g=(refreshInterval:(display:Off,pause:!f,section:0,value:0),time:(from:'2017-05-22T17:21:44-0600',mode:absolute,to:'2017-05-22T20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192" t="str">
        <f t="shared" si="40"/>
        <v>N</v>
      </c>
      <c r="X127" s="192">
        <f t="shared" si="56"/>
        <v>1</v>
      </c>
      <c r="Y127" s="192">
        <f t="shared" si="41"/>
        <v>23.3048</v>
      </c>
      <c r="Z127" s="192">
        <f t="shared" si="42"/>
        <v>1.54E-2</v>
      </c>
      <c r="AA127" s="192">
        <f t="shared" si="43"/>
        <v>23.289400000000001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4"/>
        <v>0212-22</v>
      </c>
      <c r="AE127" s="80" t="str">
        <f t="shared" si="45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127" s="77" t="str">
        <f t="shared" si="46"/>
        <v>"C:\Program Files (x86)\AstroGrep\AstroGrep.exe" /e /r /s /spath="%USERPROFILE%\AppData\Local\Temp\OnboardLogs" /stypes="app*4007*20170523*" /stext=" 01:.+((SYSTEM_STATE.+slice.+state.+changed )|(ment ac)|(multiple cpu faults)|(system.+state.+changed )|(\[timeout)|(PRM\|1\|D)|(kpr)|(kdp)|(train st.+moving)|(\|lc)|(penalty))"</v>
      </c>
      <c r="AG127" s="1" t="str">
        <f t="shared" si="47"/>
        <v>EC</v>
      </c>
      <c r="AH127" s="81" t="str">
        <f t="shared" si="48"/>
        <v>"%USERPROFILE%\Documents\GitHub\eaglep3\Utilities\RefineRTDCRunTimes.py" --tripid 212-22 --locoid 4007 --swversion DE.1.0.9.0 --startMP 204:233048 --initTime 2017-05-22T18:21:44 --startdatetime 2017-05-22T18:27:19 --delay 1 --endMP 204:154 --enddatetime 2017-05-22T19:07:20 --enforcementcount 0 &gt;&gt;C:\Users\stu\Documents\GitHub\eaglep3-reporting\EC\2017-05-22-refined-times.txt</v>
      </c>
      <c r="AI127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ID","value":"212-22"},{"id":16,"name":"Locomotive ID","value":"4007"},{"id":130,"name":"Impact","value":""},{"id":150,"name":"Time of Event (Mountain Time)","value":"19:07:20"},{"id":151,"name":"Denver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0"/>
        <v>start /low /b %USERPROFILE%\Documents\GitHub\eaglep3\Utilities\DownloadLogsFromS3.py --loco 4007 --day 2017-05-22</v>
      </c>
      <c r="AN127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770</v>
      </c>
      <c r="B128" s="7">
        <v>4032</v>
      </c>
      <c r="C128" s="21" t="s">
        <v>206</v>
      </c>
      <c r="D128" s="21" t="s">
        <v>202</v>
      </c>
      <c r="E128" s="13">
        <v>42877.737766203703</v>
      </c>
      <c r="F128" s="13">
        <v>42877.739803240744</v>
      </c>
      <c r="G128" s="7">
        <v>1</v>
      </c>
      <c r="H128" s="21" t="s">
        <v>485</v>
      </c>
      <c r="I128" s="13">
        <v>42877.764953703707</v>
      </c>
      <c r="J128" s="7">
        <v>0</v>
      </c>
      <c r="K128" s="92" t="str">
        <f t="shared" si="35"/>
        <v>4031/4032</v>
      </c>
      <c r="L128" s="21" t="str">
        <f>VLOOKUP(A128,'Trips&amp;Operators'!$C$1:$G$99999,5,FALSE)</f>
        <v>SMITH MICHAEL</v>
      </c>
      <c r="M128" s="6">
        <f t="shared" si="36"/>
        <v>2.5150462963210884E-2</v>
      </c>
      <c r="N128" s="7">
        <f t="shared" si="57"/>
        <v>36.216666667023674</v>
      </c>
      <c r="O128" s="7"/>
      <c r="P128" s="7"/>
      <c r="Q128" s="22"/>
      <c r="R128" s="190"/>
      <c r="S128" s="196">
        <f t="shared" si="58"/>
        <v>1</v>
      </c>
      <c r="T128" s="190" t="str">
        <f t="shared" si="38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9"/>
        <v>https://d0f6bd738d7f1b3e5a7ca70fe4ff75f0.us-east-1.aws.found.io/app/kibana#/discover/Steve-Slow-Train-Analysis-(2080s-and-2083s)?_g=(refreshInterval:(display:Off,pause:!f,section:0,value:0),time:(from:'2017-05-22T16:42:23-0600',mode:absolute,to:'2017-05-22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92" t="str">
        <f t="shared" si="40"/>
        <v>N</v>
      </c>
      <c r="X128" s="192">
        <f t="shared" si="56"/>
        <v>1</v>
      </c>
      <c r="Y128" s="192">
        <f t="shared" si="41"/>
        <v>4.5699999999999998E-2</v>
      </c>
      <c r="Z128" s="192">
        <f t="shared" si="42"/>
        <v>23.330200000000001</v>
      </c>
      <c r="AA128" s="192">
        <f t="shared" si="43"/>
        <v>23.284500000000001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4"/>
        <v>0213-22</v>
      </c>
      <c r="AE128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28" s="77" t="str">
        <f t="shared" si="46"/>
        <v>"C:\Program Files (x86)\AstroGrep\AstroGrep.exe" /e /r /s /spath="%USERPROFILE%\AppData\Local\Temp\OnboardLogs" /stypes="app*4032*20170523*" /stext=" 00:.+((SYSTEM_STATE.+slice.+state.+changed )|(ment ac)|(multiple cpu faults)|(system.+state.+changed )|(\[timeout)|(PRM\|1\|D)|(kpr)|(kdp)|(train st.+moving)|(\|lc)|(penalty))"</v>
      </c>
      <c r="AG128" s="1" t="str">
        <f t="shared" si="47"/>
        <v>EC</v>
      </c>
      <c r="AH128" s="81" t="str">
        <f t="shared" si="48"/>
        <v>"%USERPROFILE%\Documents\GitHub\eaglep3\Utilities\RefineRTDCRunTimes.py" --tripid 213-22 --locoid 4032 --swversion DE.1.0.9.0 --startMP 204:457 --initTime 2017-05-22T17:42:23 --startdatetime 2017-05-22T17:45:19 --delay 1 --endMP 204:233302 --enddatetime 2017-05-22T18:21:32 --enforcementcount 0 &gt;&gt;C:\Users\stu\Documents\GitHub\eaglep3-reporting\EC\2017-05-22-refined-times.txt</v>
      </c>
      <c r="AI128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{"issue":{"subject":"","project_id":79,"tracker_id":40,"status_id":1,"priority_id":2,"assigned_to_id":23,"start_date":"2017-05-22","description":"","custom_fields":[{"id":1,"name":"Subdivision","value":"EC"},{"id":4,"name":"Milepost","value":"23.3302"},{"id":17,"name":"Train ID","value":"213-22"},{"id":16,"name":"Locomotive ID","value":"4032"},{"id":130,"name":"Impact","value":""},{"id":150,"name":"Time of Event (Mountain Time)","value":"18:21:32"},{"id":151,"name":"Denver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0"/>
        <v>start /low /b %USERPROFILE%\Documents\GitHub\eaglep3\Utilities\DownloadLogsFromS3.py --loco 4032 --day 2017-05-22</v>
      </c>
      <c r="AN128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778</v>
      </c>
      <c r="B129" s="7">
        <v>4031</v>
      </c>
      <c r="C129" s="21" t="s">
        <v>206</v>
      </c>
      <c r="D129" s="21" t="s">
        <v>572</v>
      </c>
      <c r="E129" s="13">
        <v>42877.773946759262</v>
      </c>
      <c r="F129" s="13">
        <v>42877.779351851852</v>
      </c>
      <c r="G129" s="7">
        <v>1</v>
      </c>
      <c r="H129" s="21" t="s">
        <v>198</v>
      </c>
      <c r="I129" s="13">
        <v>42877.805972222224</v>
      </c>
      <c r="J129" s="7">
        <v>0</v>
      </c>
      <c r="K129" s="92" t="str">
        <f t="shared" si="35"/>
        <v>4031/4032</v>
      </c>
      <c r="L129" s="21" t="str">
        <f>VLOOKUP(A129,'Trips&amp;Operators'!$C$1:$G$99999,5,FALSE)</f>
        <v>SMITH MICHAEL</v>
      </c>
      <c r="M129" s="6">
        <f t="shared" si="36"/>
        <v>2.662037037225673E-2</v>
      </c>
      <c r="N129" s="7">
        <f t="shared" si="57"/>
        <v>38.333333336049691</v>
      </c>
      <c r="O129" s="7"/>
      <c r="P129" s="7"/>
      <c r="Q129" s="22"/>
      <c r="R129" s="190"/>
      <c r="S129" s="196">
        <f t="shared" si="58"/>
        <v>1</v>
      </c>
      <c r="T129" s="190" t="str">
        <f t="shared" si="38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9"/>
        <v>https://d0f6bd738d7f1b3e5a7ca70fe4ff75f0.us-east-1.aws.found.io/app/kibana#/discover/Steve-Slow-Train-Analysis-(2080s-and-2083s)?_g=(refreshInterval:(display:Off,pause:!f,section:0,value:0),time:(from:'2017-05-22T17:34:29-0600',mode:absolute,to:'2017-05-22T20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92" t="str">
        <f t="shared" si="40"/>
        <v>N</v>
      </c>
      <c r="X129" s="192">
        <f t="shared" si="56"/>
        <v>1</v>
      </c>
      <c r="Y129" s="192">
        <f t="shared" si="41"/>
        <v>23.297699999999999</v>
      </c>
      <c r="Z129" s="192">
        <f t="shared" si="42"/>
        <v>1.5800000000000002E-2</v>
      </c>
      <c r="AA129" s="192">
        <f t="shared" si="43"/>
        <v>23.2819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4"/>
        <v>0214-22</v>
      </c>
      <c r="AE129" s="80" t="str">
        <f t="shared" si="45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129" s="77" t="str">
        <f t="shared" si="46"/>
        <v>"C:\Program Files (x86)\AstroGrep\AstroGrep.exe" /e /r /s /spath="%USERPROFILE%\AppData\Local\Temp\OnboardLogs" /stypes="app*4031*20170523*" /stext=" 01:.+((SYSTEM_STATE.+slice.+state.+changed )|(ment ac)|(multiple cpu faults)|(system.+state.+changed )|(\[timeout)|(PRM\|1\|D)|(kpr)|(kdp)|(train st.+moving)|(\|lc)|(penalty))"</v>
      </c>
      <c r="AG129" s="1" t="str">
        <f t="shared" si="47"/>
        <v>EC</v>
      </c>
      <c r="AH129" s="81" t="str">
        <f t="shared" si="48"/>
        <v>"%USERPROFILE%\Documents\GitHub\eaglep3\Utilities\RefineRTDCRunTimes.py" --tripid 214-22 --locoid 4031 --swversion DE.1.0.9.0 --startMP 204:232977 --initTime 2017-05-22T18:34:29 --startdatetime 2017-05-22T18:42:16 --delay 1 --endMP 204:158 --enddatetime 2017-05-22T19:20:36 --enforcementcount 0 &gt;&gt;C:\Users\stu\Documents\GitHub\eaglep3-reporting\EC\2017-05-22-refined-times.txt</v>
      </c>
      <c r="AI129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{"issue":{"subject":"","project_id":79,"tracker_id":40,"status_id":1,"priority_id":2,"assigned_to_id":23,"start_date":"2017-05-22","description":"","custom_fields":[{"id":1,"name":"Subdivision","value":"EC"},{"id":4,"name":"Milepost","value":"0.0158"},{"id":17,"name":"Train ID","value":"214-22"},{"id":16,"name":"Locomotive ID","value":"4031"},{"id":130,"name":"Impact","value":""},{"id":150,"name":"Time of Event (Mountain Time)","value":"19:20:36"},{"id":151,"name":"Denver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0"/>
        <v>start /low /b %USERPROFILE%\Documents\GitHub\eaglep3\Utilities\DownloadLogsFromS3.py --loco 4031 --day 2017-05-22</v>
      </c>
      <c r="AN129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772</v>
      </c>
      <c r="B130" s="7">
        <v>4010</v>
      </c>
      <c r="C130" s="21" t="s">
        <v>206</v>
      </c>
      <c r="D130" s="21" t="s">
        <v>529</v>
      </c>
      <c r="E130" s="13">
        <v>42877.744826388887</v>
      </c>
      <c r="F130" s="13">
        <v>42877.750150462962</v>
      </c>
      <c r="G130" s="7">
        <v>1</v>
      </c>
      <c r="H130" s="21" t="s">
        <v>884</v>
      </c>
      <c r="I130" s="13">
        <v>42877.775740740741</v>
      </c>
      <c r="J130" s="7">
        <v>0</v>
      </c>
      <c r="K130" s="92" t="str">
        <f t="shared" si="35"/>
        <v>4009/4010</v>
      </c>
      <c r="L130" s="21" t="str">
        <f>VLOOKUP(A130,'Trips&amp;Operators'!$C$1:$G$99999,5,FALSE)</f>
        <v>MCREYNOLDS KYLE</v>
      </c>
      <c r="M130" s="6">
        <f t="shared" si="36"/>
        <v>2.5590277778974269E-2</v>
      </c>
      <c r="N130" s="7">
        <f t="shared" si="57"/>
        <v>36.850000001722947</v>
      </c>
      <c r="O130" s="7"/>
      <c r="P130" s="7"/>
      <c r="Q130" s="22"/>
      <c r="R130" s="190"/>
      <c r="S130" s="196">
        <f t="shared" si="58"/>
        <v>1</v>
      </c>
      <c r="T130" s="190" t="str">
        <f t="shared" si="38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9"/>
        <v>https://d0f6bd738d7f1b3e5a7ca70fe4ff75f0.us-east-1.aws.found.io/app/kibana#/discover/Steve-Slow-Train-Analysis-(2080s-and-2083s)?_g=(refreshInterval:(display:Off,pause:!f,section:0,value:0),time:(from:'2017-05-22T16:52:33-0600',mode:absolute,to:'2017-05-22T19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92" t="str">
        <f t="shared" si="40"/>
        <v>N</v>
      </c>
      <c r="X130" s="192">
        <f t="shared" si="56"/>
        <v>1</v>
      </c>
      <c r="Y130" s="192">
        <f t="shared" si="41"/>
        <v>4.6699999999999998E-2</v>
      </c>
      <c r="Z130" s="192">
        <f t="shared" si="42"/>
        <v>23.337</v>
      </c>
      <c r="AA130" s="192">
        <f t="shared" si="43"/>
        <v>23.290299999999998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4"/>
        <v>0215-22</v>
      </c>
      <c r="AE130" s="80" t="str">
        <f t="shared" si="45"/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AF130" s="77" t="str">
        <f t="shared" si="46"/>
        <v>"C:\Program Files (x86)\AstroGrep\AstroGrep.exe" /e /r /s /spath="%USERPROFILE%\AppData\Local\Temp\OnboardLogs" /stypes="app*4010*20170523*" /stext=" 00:.+((SYSTEM_STATE.+slice.+state.+changed )|(ment ac)|(multiple cpu faults)|(system.+state.+changed )|(\[timeout)|(PRM\|1\|D)|(kpr)|(kdp)|(train st.+moving)|(\|lc)|(penalty))"</v>
      </c>
      <c r="AG130" s="1" t="str">
        <f t="shared" si="47"/>
        <v>EC</v>
      </c>
      <c r="AH130" s="81" t="str">
        <f t="shared" si="48"/>
        <v>"%USERPROFILE%\Documents\GitHub\eaglep3\Utilities\RefineRTDCRunTimes.py" --tripid 215-22 --locoid 4010 --swversion DE.1.0.9.0 --startMP 204:467 --initTime 2017-05-22T17:52:33 --startdatetime 2017-05-22T18:00:13 --delay 1 --endMP 204:233370 --enddatetime 2017-05-22T18:37:04 --enforcementcount 0 &gt;&gt;C:\Users\stu\Documents\GitHub\eaglep3-reporting\EC\2017-05-22-refined-times.txt</v>
      </c>
      <c r="AI130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{"issue":{"subject":"","project_id":79,"tracker_id":40,"status_id":1,"priority_id":2,"assigned_to_id":23,"start_date":"2017-05-22","description":"","custom_fields":[{"id":1,"name":"Subdivision","value":"EC"},{"id":4,"name":"Milepost","value":"23.337"},{"id":17,"name":"Train ID","value":"215-22"},{"id":16,"name":"Locomotive ID","value":"4010"},{"id":130,"name":"Impact","value":""},{"id":150,"name":"Time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0"/>
        <v>start /low /b %USERPROFILE%\Documents\GitHub\eaglep3\Utilities\DownloadLogsFromS3.py --loco 4010 --day 2017-05-22</v>
      </c>
      <c r="AN130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611</v>
      </c>
      <c r="B131" s="7">
        <v>4009</v>
      </c>
      <c r="C131" s="21" t="s">
        <v>206</v>
      </c>
      <c r="D131" s="21" t="s">
        <v>540</v>
      </c>
      <c r="E131" s="13">
        <v>42877.781678240739</v>
      </c>
      <c r="F131" s="13">
        <v>42877.789895833332</v>
      </c>
      <c r="G131" s="7">
        <v>1</v>
      </c>
      <c r="H131" s="21" t="s">
        <v>413</v>
      </c>
      <c r="I131" s="13">
        <v>42877.816238425927</v>
      </c>
      <c r="J131" s="7">
        <v>0</v>
      </c>
      <c r="K131" s="92" t="str">
        <f t="shared" si="35"/>
        <v>4009/4010</v>
      </c>
      <c r="L131" s="21" t="str">
        <f>VLOOKUP(A131,'Trips&amp;Operators'!$C$1:$G$99999,5,FALSE)</f>
        <v>MCREYNOLDS KYLE</v>
      </c>
      <c r="M131" s="6">
        <f t="shared" si="36"/>
        <v>2.6342592595028691E-2</v>
      </c>
      <c r="N131" s="7">
        <f t="shared" si="57"/>
        <v>37.933333336841315</v>
      </c>
      <c r="O131" s="7"/>
      <c r="P131" s="7"/>
      <c r="Q131" s="22"/>
      <c r="R131" s="190"/>
      <c r="S131" s="196">
        <f t="shared" si="58"/>
        <v>1</v>
      </c>
      <c r="T131" s="190" t="str">
        <f t="shared" si="38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9"/>
        <v>https://d0f6bd738d7f1b3e5a7ca70fe4ff75f0.us-east-1.aws.found.io/app/kibana#/discover/Steve-Slow-Train-Analysis-(2080s-and-2083s)?_g=(refreshInterval:(display:Off,pause:!f,section:0,value:0),time:(from:'2017-05-22T17:45:37-0600',mode:absolute,to:'2017-05-22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92" t="str">
        <f t="shared" si="40"/>
        <v>N</v>
      </c>
      <c r="X131" s="192">
        <f t="shared" si="56"/>
        <v>1</v>
      </c>
      <c r="Y131" s="192">
        <f t="shared" si="41"/>
        <v>23.304200000000002</v>
      </c>
      <c r="Z131" s="192">
        <f t="shared" si="42"/>
        <v>1.54E-2</v>
      </c>
      <c r="AA131" s="192">
        <f t="shared" si="43"/>
        <v>23.288800000000002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4"/>
        <v>0216-22</v>
      </c>
      <c r="AE131" s="80" t="str">
        <f t="shared" si="45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131" s="77" t="str">
        <f t="shared" si="46"/>
        <v>"C:\Program Files (x86)\AstroGrep\AstroGrep.exe" /e /r /s /spath="%USERPROFILE%\AppData\Local\Temp\OnboardLogs" /stypes="app*4009*20170523*" /stext=" 01:.+((SYSTEM_STATE.+slice.+state.+changed )|(ment ac)|(multiple cpu faults)|(system.+state.+changed )|(\[timeout)|(PRM\|1\|D)|(kpr)|(kdp)|(train st.+moving)|(\|lc)|(penalty))"</v>
      </c>
      <c r="AG131" s="1" t="str">
        <f t="shared" si="47"/>
        <v>EC</v>
      </c>
      <c r="AH131" s="81" t="str">
        <f t="shared" si="48"/>
        <v>"%USERPROFILE%\Documents\GitHub\eaglep3\Utilities\RefineRTDCRunTimes.py" --tripid 216-22 --locoid 4009 --swversion DE.1.0.9.0 --startMP 204:233042 --initTime 2017-05-22T18:45:37 --startdatetime 2017-05-22T18:57:27 --delay 1 --endMP 204:154 --enddatetime 2017-05-22T19:35:23 --enforcementcount 0 &gt;&gt;C:\Users\stu\Documents\GitHub\eaglep3-reporting\EC\2017-05-22-refined-times.txt</v>
      </c>
      <c r="AI13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{"issue":{"subject":"","project_id":79,"tracker_id":40,"status_id":1,"priority_id":2,"assigned_to_id":23,"start_date":"2017-05-22","description":"","custom_fields":[{"id":1,"name":"Subdivision","value":"EC"},{"id":4,"name":"Milepost","value":"0.0154"},{"id":17,"name":"Train ID","value":"216-22"},{"id":16,"name":"Locomotive ID","value":"4009"},{"id":130,"name":"Impact","value":""},{"id":150,"name":"Time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0"/>
        <v>start /low /b %USERPROFILE%\Documents\GitHub\eaglep3\Utilities\DownloadLogsFromS3.py --loco 4009 --day 2017-05-22</v>
      </c>
      <c r="AN131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775</v>
      </c>
      <c r="B132" s="7">
        <v>4016</v>
      </c>
      <c r="C132" s="21" t="s">
        <v>206</v>
      </c>
      <c r="D132" s="21" t="s">
        <v>365</v>
      </c>
      <c r="E132" s="13">
        <v>42877.757743055554</v>
      </c>
      <c r="F132" s="13">
        <v>42877.760671296295</v>
      </c>
      <c r="G132" s="7">
        <v>1</v>
      </c>
      <c r="H132" s="21" t="s">
        <v>885</v>
      </c>
      <c r="I132" s="13">
        <v>42877.785682870373</v>
      </c>
      <c r="J132" s="7">
        <v>0</v>
      </c>
      <c r="K132" s="92" t="str">
        <f t="shared" si="35"/>
        <v>4015/4016</v>
      </c>
      <c r="L132" s="21" t="str">
        <f>VLOOKUP(A132,'Trips&amp;Operators'!$C$1:$G$99999,5,FALSE)</f>
        <v>MAGEE KENYA</v>
      </c>
      <c r="M132" s="6">
        <f t="shared" si="36"/>
        <v>2.5011574078234844E-2</v>
      </c>
      <c r="N132" s="7">
        <f t="shared" si="57"/>
        <v>36.016666672658175</v>
      </c>
      <c r="O132" s="7"/>
      <c r="P132" s="7"/>
      <c r="Q132" s="22"/>
      <c r="R132" s="190"/>
      <c r="S132" s="196">
        <f t="shared" si="58"/>
        <v>1</v>
      </c>
      <c r="T132" s="190" t="str">
        <f t="shared" si="38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9"/>
        <v>https://d0f6bd738d7f1b3e5a7ca70fe4ff75f0.us-east-1.aws.found.io/app/kibana#/discover/Steve-Slow-Train-Analysis-(2080s-and-2083s)?_g=(refreshInterval:(display:Off,pause:!f,section:0,value:0),time:(from:'2017-05-22T17:11:09-0600',mode:absolute,to:'2017-05-22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192" t="str">
        <f t="shared" si="40"/>
        <v>N</v>
      </c>
      <c r="X132" s="192">
        <f t="shared" si="56"/>
        <v>1</v>
      </c>
      <c r="Y132" s="192">
        <f t="shared" si="41"/>
        <v>4.4699999999999997E-2</v>
      </c>
      <c r="Z132" s="192">
        <f t="shared" si="42"/>
        <v>23.340399999999999</v>
      </c>
      <c r="AA132" s="192">
        <f t="shared" si="43"/>
        <v>23.2957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4"/>
        <v>0217-22</v>
      </c>
      <c r="AE132" s="80" t="str">
        <f t="shared" si="45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132" s="77" t="str">
        <f t="shared" si="46"/>
        <v>"C:\Program Files (x86)\AstroGrep\AstroGrep.exe" /e /r /s /spath="%USERPROFILE%\AppData\Local\Temp\OnboardLogs" /stypes="app*4016*20170523*" /stext=" 00:.+((SYSTEM_STATE.+slice.+state.+changed )|(ment ac)|(multiple cpu faults)|(system.+state.+changed )|(\[timeout)|(PRM\|1\|D)|(kpr)|(kdp)|(train st.+moving)|(\|lc)|(penalty))"</v>
      </c>
      <c r="AG132" s="1" t="str">
        <f t="shared" si="47"/>
        <v>EC</v>
      </c>
      <c r="AH132" s="81" t="str">
        <f t="shared" si="48"/>
        <v>"%USERPROFILE%\Documents\GitHub\eaglep3\Utilities\RefineRTDCRunTimes.py" --tripid 217-22 --locoid 4016 --swversion DE.1.0.9.0 --startMP 204:447 --initTime 2017-05-22T18:11:09 --startdatetime 2017-05-22T18:15:22 --delay 1 --endMP 204:233404 --enddatetime 2017-05-22T18:51:23 --enforcementcount 0 &gt;&gt;C:\Users\stu\Documents\GitHub\eaglep3-reporting\EC\2017-05-22-refined-times.txt</v>
      </c>
      <c r="AI132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{"issue":{"subject":"","project_id":79,"tracker_id":40,"status_id":1,"priority_id":2,"assigned_to_id":23,"start_date":"2017-05-22","description":"","custom_fields":[{"id":1,"name":"Subdivision","value":"EC"},{"id":4,"name":"Milepost","value":"23.3404"},{"id":17,"name":"Train ID","value":"217-22"},{"id":16,"name":"Locomotive ID","value":"4016"},{"id":130,"name":"Impact","value":""},{"id":150,"name":"Time of Event (Mountain Time)","value":"18:51:23"},{"id":151,"name":"Denver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0"/>
        <v>start /low /b %USERPROFILE%\Documents\GitHub\eaglep3\Utilities\DownloadLogsFromS3.py --loco 4016 --day 2017-05-22</v>
      </c>
      <c r="AN132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614</v>
      </c>
      <c r="B133" s="7">
        <v>4015</v>
      </c>
      <c r="C133" s="21" t="s">
        <v>206</v>
      </c>
      <c r="D133" s="21" t="s">
        <v>542</v>
      </c>
      <c r="E133" s="13">
        <v>42877.7968287037</v>
      </c>
      <c r="F133" s="13">
        <v>42877.800254629627</v>
      </c>
      <c r="G133" s="7">
        <v>1</v>
      </c>
      <c r="H133" s="21" t="s">
        <v>368</v>
      </c>
      <c r="I133" s="13">
        <v>42877.827974537038</v>
      </c>
      <c r="J133" s="7">
        <v>0</v>
      </c>
      <c r="K133" s="92" t="str">
        <f t="shared" si="35"/>
        <v>4015/4016</v>
      </c>
      <c r="L133" s="21" t="str">
        <f>VLOOKUP(A133,'Trips&amp;Operators'!$C$1:$G$99999,5,FALSE)</f>
        <v>MAGEE KENYA</v>
      </c>
      <c r="M133" s="6">
        <f t="shared" si="36"/>
        <v>2.771990741166519E-2</v>
      </c>
      <c r="N133" s="7">
        <f t="shared" si="57"/>
        <v>39.916666672797874</v>
      </c>
      <c r="O133" s="7"/>
      <c r="P133" s="7"/>
      <c r="Q133" s="22"/>
      <c r="R133" s="190"/>
      <c r="S133" s="196">
        <f t="shared" si="58"/>
        <v>1</v>
      </c>
      <c r="T133" s="190" t="str">
        <f t="shared" si="38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9"/>
        <v>https://d0f6bd738d7f1b3e5a7ca70fe4ff75f0.us-east-1.aws.found.io/app/kibana#/discover/Steve-Slow-Train-Analysis-(2080s-and-2083s)?_g=(refreshInterval:(display:Off,pause:!f,section:0,value:0),time:(from:'2017-05-22T18:07:26-0600',mode:absolute,to:'2017-05-22T20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192" t="str">
        <f t="shared" si="40"/>
        <v>N</v>
      </c>
      <c r="X133" s="192">
        <f t="shared" si="56"/>
        <v>1</v>
      </c>
      <c r="Y133" s="192">
        <f t="shared" si="41"/>
        <v>23.305499999999999</v>
      </c>
      <c r="Z133" s="192">
        <f t="shared" si="42"/>
        <v>1.41E-2</v>
      </c>
      <c r="AA133" s="192">
        <f t="shared" si="43"/>
        <v>23.291399999999999</v>
      </c>
      <c r="AB133" s="57" t="str">
        <f>VLOOKUP(A133,Enforcements!$C$7:$K$13,8,0)</f>
        <v>Bulletin (2)</v>
      </c>
      <c r="AC133" s="53" t="str">
        <f>VLOOKUP(A133,Enforcements!$C$7:$E$13,3,0)</f>
        <v>GRADE CROSSING</v>
      </c>
      <c r="AD133" s="54" t="str">
        <f t="shared" si="44"/>
        <v>0218-22</v>
      </c>
      <c r="AE133" s="80" t="str">
        <f t="shared" si="45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133" s="77" t="str">
        <f t="shared" si="46"/>
        <v>"C:\Program Files (x86)\AstroGrep\AstroGrep.exe" /e /r /s /spath="%USERPROFILE%\AppData\Local\Temp\OnboardLogs" /stypes="app*4015*20170523*" /stext=" 01:.+((SYSTEM_STATE.+slice.+state.+changed )|(ment ac)|(multiple cpu faults)|(system.+state.+changed )|(\[timeout)|(PRM\|1\|D)|(kpr)|(kdp)|(train st.+moving)|(\|lc)|(penalty))"</v>
      </c>
      <c r="AG133" s="1" t="str">
        <f t="shared" si="47"/>
        <v>EC</v>
      </c>
      <c r="AH133" s="81" t="str">
        <f t="shared" si="48"/>
        <v>"%USERPROFILE%\Documents\GitHub\eaglep3\Utilities\RefineRTDCRunTimes.py" --tripid 218-22 --locoid 4015 --swversion DE.1.0.9.0 --startMP 204:233055 --initTime 2017-05-22T19:07:26 --startdatetime 2017-05-22T19:12:22 --delay 1 --endMP 204:141 --enddatetime 2017-05-22T19:52:17 --enforcementcount 0 &gt;&gt;C:\Users\stu\Documents\GitHub\eaglep3-reporting\EC\2017-05-22-refined-times.txt</v>
      </c>
      <c r="AI133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{"issue":{"subject":"","project_id":79,"tracker_id":40,"status_id":1,"priority_id":2,"assigned_to_id":23,"start_date":"2017-05-22","description":"","custom_fields":[{"id":1,"name":"Subdivision","value":"EC"},{"id":4,"name":"Milepost","value":"0.0141"},{"id":17,"name":"Train ID","value":"218-22"},{"id":16,"name":"Locomotive ID","value":"4015"},{"id":130,"name":"Impact","value":""},{"id":150,"name":"Time of Event (Mountain Time)","value":"19:52:17"},{"id":151,"name":"Denver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0"/>
        <v>start /low /b %USERPROFILE%\Documents\GitHub\eaglep3\Utilities\DownloadLogsFromS3.py --loco 4015 --day 2017-05-22</v>
      </c>
      <c r="AN133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777</v>
      </c>
      <c r="B134" s="7">
        <v>4014</v>
      </c>
      <c r="C134" s="21" t="s">
        <v>206</v>
      </c>
      <c r="D134" s="21" t="s">
        <v>865</v>
      </c>
      <c r="E134" s="13">
        <v>42877.766875000001</v>
      </c>
      <c r="F134" s="13">
        <v>42877.77107638889</v>
      </c>
      <c r="G134" s="7">
        <v>1</v>
      </c>
      <c r="H134" s="21" t="s">
        <v>406</v>
      </c>
      <c r="I134" s="13">
        <v>42877.797430555554</v>
      </c>
      <c r="J134" s="7">
        <v>0</v>
      </c>
      <c r="K134" s="92" t="str">
        <f t="shared" si="35"/>
        <v>4013/4014</v>
      </c>
      <c r="L134" s="21" t="str">
        <f>VLOOKUP(A134,'Trips&amp;Operators'!$C$1:$G$99999,5,FALSE)</f>
        <v>GUZMAN DANNY</v>
      </c>
      <c r="M134" s="6">
        <f t="shared" si="36"/>
        <v>2.6354166664532386E-2</v>
      </c>
      <c r="N134" s="7">
        <f t="shared" si="57"/>
        <v>37.949999996926636</v>
      </c>
      <c r="O134" s="7"/>
      <c r="P134" s="7"/>
      <c r="Q134" s="22"/>
      <c r="R134" s="190"/>
      <c r="S134" s="196">
        <f t="shared" si="58"/>
        <v>1</v>
      </c>
      <c r="T134" s="190" t="str">
        <f t="shared" si="38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9"/>
        <v>https://d0f6bd738d7f1b3e5a7ca70fe4ff75f0.us-east-1.aws.found.io/app/kibana#/discover/Steve-Slow-Train-Analysis-(2080s-and-2083s)?_g=(refreshInterval:(display:Off,pause:!f,section:0,value:0),time:(from:'2017-05-22T17:24:18-0600',mode:absolute,to:'2017-05-22T20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192" t="str">
        <f t="shared" si="40"/>
        <v>N</v>
      </c>
      <c r="X134" s="192">
        <f t="shared" si="56"/>
        <v>1</v>
      </c>
      <c r="Y134" s="192">
        <f t="shared" si="41"/>
        <v>4.9700000000000001E-2</v>
      </c>
      <c r="Z134" s="192">
        <f t="shared" si="42"/>
        <v>23.3293</v>
      </c>
      <c r="AA134" s="192">
        <f t="shared" si="43"/>
        <v>23.279599999999999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4"/>
        <v>0219-22</v>
      </c>
      <c r="AE134" s="80" t="str">
        <f t="shared" si="45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134" s="77" t="str">
        <f t="shared" si="46"/>
        <v>"C:\Program Files (x86)\AstroGrep\AstroGrep.exe" /e /r /s /spath="%USERPROFILE%\AppData\Local\Temp\OnboardLogs" /stypes="app*4014*20170523*" /stext=" 01:.+((SYSTEM_STATE.+slice.+state.+changed )|(ment ac)|(multiple cpu faults)|(system.+state.+changed )|(\[timeout)|(PRM\|1\|D)|(kpr)|(kdp)|(train st.+moving)|(\|lc)|(penalty))"</v>
      </c>
      <c r="AG134" s="1" t="str">
        <f t="shared" si="47"/>
        <v>EC</v>
      </c>
      <c r="AH134" s="81" t="str">
        <f t="shared" si="48"/>
        <v>"%USERPROFILE%\Documents\GitHub\eaglep3\Utilities\RefineRTDCRunTimes.py" --tripid 219-22 --locoid 4014 --swversion DE.1.0.9.0 --startMP 204:497 --initTime 2017-05-22T18:24:18 --startdatetime 2017-05-22T18:30:21 --delay 1 --endMP 204:233293 --enddatetime 2017-05-22T19:08:18 --enforcementcount 0 &gt;&gt;C:\Users\stu\Documents\GitHub\eaglep3-reporting\EC\2017-05-22-refined-times.txt</v>
      </c>
      <c r="AI134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{"issue":{"subject":"","project_id":79,"tracker_id":40,"status_id":1,"priority_id":2,"assigned_to_id":23,"start_date":"2017-05-22","description":"","custom_fields":[{"id":1,"name":"Subdivision","value":"EC"},{"id":4,"name":"Milepost","value":"23.3293"},{"id":17,"name":"Train ID","value":"219-22"},{"id":16,"name":"Locomotive ID","value":"4014"},{"id":130,"name":"Impact","value":""},{"id":150,"name":"Time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0"/>
        <v>start /low /b %USERPROFILE%\Documents\GitHub\eaglep3\Utilities\DownloadLogsFromS3.py --loco 4014 --day 2017-05-22</v>
      </c>
      <c r="AN134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784</v>
      </c>
      <c r="B135" s="7">
        <v>4013</v>
      </c>
      <c r="C135" s="21" t="s">
        <v>206</v>
      </c>
      <c r="D135" s="21" t="s">
        <v>886</v>
      </c>
      <c r="E135" s="13">
        <v>42877.801793981482</v>
      </c>
      <c r="F135" s="13">
        <v>42877.810601851852</v>
      </c>
      <c r="G135" s="7">
        <v>1</v>
      </c>
      <c r="H135" s="21" t="s">
        <v>362</v>
      </c>
      <c r="I135" s="13">
        <v>42877.837627314817</v>
      </c>
      <c r="J135" s="7">
        <v>0</v>
      </c>
      <c r="K135" s="92" t="str">
        <f t="shared" si="35"/>
        <v>4013/4014</v>
      </c>
      <c r="L135" s="21" t="str">
        <f>VLOOKUP(A135,'Trips&amp;Operators'!$C$1:$G$99999,5,FALSE)</f>
        <v>GUZMAN DANNY</v>
      </c>
      <c r="M135" s="6">
        <f t="shared" si="36"/>
        <v>2.7025462964957114E-2</v>
      </c>
      <c r="N135" s="7">
        <f t="shared" si="57"/>
        <v>38.916666669538245</v>
      </c>
      <c r="O135" s="7"/>
      <c r="P135" s="7"/>
      <c r="Q135" s="22"/>
      <c r="R135" s="190"/>
      <c r="S135" s="196">
        <f t="shared" si="58"/>
        <v>1</v>
      </c>
      <c r="T135" s="190" t="str">
        <f t="shared" si="38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9"/>
        <v>https://d0f6bd738d7f1b3e5a7ca70fe4ff75f0.us-east-1.aws.found.io/app/kibana#/discover/Steve-Slow-Train-Analysis-(2080s-and-2083s)?_g=(refreshInterval:(display:Off,pause:!f,section:0,value:0),time:(from:'2017-05-22T18:14:35-0600',mode:absolute,to:'2017-05-22T21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192" t="str">
        <f t="shared" si="40"/>
        <v>N</v>
      </c>
      <c r="X135" s="192">
        <f t="shared" si="56"/>
        <v>1</v>
      </c>
      <c r="Y135" s="192">
        <f t="shared" si="41"/>
        <v>23.298999999999999</v>
      </c>
      <c r="Z135" s="192">
        <f t="shared" si="42"/>
        <v>1.5599999999999999E-2</v>
      </c>
      <c r="AA135" s="192">
        <f t="shared" si="43"/>
        <v>23.2834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4"/>
        <v>0220-22</v>
      </c>
      <c r="AE135" s="80" t="str">
        <f t="shared" si="45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135" s="77" t="str">
        <f t="shared" si="46"/>
        <v>"C:\Program Files (x86)\AstroGrep\AstroGrep.exe" /e /r /s /spath="%USERPROFILE%\AppData\Local\Temp\OnboardLogs" /stypes="app*4013*20170523*" /stext=" 02:.+((SYSTEM_STATE.+slice.+state.+changed )|(ment ac)|(multiple cpu faults)|(system.+state.+changed )|(\[timeout)|(PRM\|1\|D)|(kpr)|(kdp)|(train st.+moving)|(\|lc)|(penalty))"</v>
      </c>
      <c r="AG135" s="1" t="str">
        <f t="shared" si="47"/>
        <v>EC</v>
      </c>
      <c r="AH135" s="81" t="str">
        <f t="shared" si="48"/>
        <v>"%USERPROFILE%\Documents\GitHub\eaglep3\Utilities\RefineRTDCRunTimes.py" --tripid 220-22 --locoid 4013 --swversion DE.1.0.9.0 --startMP 204:232990 --initTime 2017-05-22T19:14:35 --startdatetime 2017-05-22T19:27:16 --delay 1 --endMP 204:156 --enddatetime 2017-05-22T20:06:11 --enforcementcount 0 &gt;&gt;C:\Users\stu\Documents\GitHub\eaglep3-reporting\EC\2017-05-22-refined-times.txt</v>
      </c>
      <c r="AI135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{"issue":{"subject":"","project_id":79,"tracker_id":40,"status_id":1,"priority_id":2,"assigned_to_id":23,"start_date":"2017-05-22","description":"","custom_fields":[{"id":1,"name":"Subdivision","value":"EC"},{"id":4,"name":"Milepost","value":"0.0156"},{"id":17,"name":"Train ID","value":"220-22"},{"id":16,"name":"Locomotive ID","value":"4013"},{"id":130,"name":"Impact","value":""},{"id":150,"name":"Time of Event (Mountain Time)","value":"20:06:11"},{"id":151,"name":"Denver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0"/>
        <v>start /low /b %USERPROFILE%\Documents\GitHub\eaglep3\Utilities\DownloadLogsFromS3.py --loco 4013 --day 2017-05-22</v>
      </c>
      <c r="AN135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02:06:11"},{"id":29,"name":"Sharepoint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781</v>
      </c>
      <c r="B136" s="7">
        <v>4006</v>
      </c>
      <c r="C136" s="21" t="s">
        <v>206</v>
      </c>
      <c r="D136" s="21" t="s">
        <v>354</v>
      </c>
      <c r="E136" s="13">
        <v>42877.786203703705</v>
      </c>
      <c r="F136" s="13">
        <v>42877.791909722226</v>
      </c>
      <c r="G136" s="7">
        <v>1</v>
      </c>
      <c r="H136" s="21" t="s">
        <v>887</v>
      </c>
      <c r="I136" s="13">
        <v>42877.817719907405</v>
      </c>
      <c r="J136" s="7">
        <v>0</v>
      </c>
      <c r="K136" s="92" t="str">
        <f t="shared" si="35"/>
        <v>4005/4006</v>
      </c>
      <c r="L136" s="21" t="str">
        <f>VLOOKUP(A136,'Trips&amp;Operators'!$C$1:$G$99999,5,FALSE)</f>
        <v>PERKINS DARREN</v>
      </c>
      <c r="M136" s="6">
        <f t="shared" si="36"/>
        <v>2.5810185179580003E-2</v>
      </c>
      <c r="N136" s="7">
        <f t="shared" si="57"/>
        <v>37.166666658595204</v>
      </c>
      <c r="O136" s="7"/>
      <c r="P136" s="7"/>
      <c r="Q136" s="22"/>
      <c r="R136" s="190"/>
      <c r="S136" s="196">
        <f t="shared" si="58"/>
        <v>1</v>
      </c>
      <c r="T136" s="190" t="str">
        <f t="shared" si="38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9"/>
        <v>https://d0f6bd738d7f1b3e5a7ca70fe4ff75f0.us-east-1.aws.found.io/app/kibana#/discover/Steve-Slow-Train-Analysis-(2080s-and-2083s)?_g=(refreshInterval:(display:Off,pause:!f,section:0,value:0),time:(from:'2017-05-22T17:52:08-0600',mode:absolute,to:'2017-05-22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6" s="192" t="str">
        <f t="shared" si="40"/>
        <v>N</v>
      </c>
      <c r="X136" s="192">
        <f t="shared" si="56"/>
        <v>1</v>
      </c>
      <c r="Y136" s="192">
        <f t="shared" si="41"/>
        <v>4.58E-2</v>
      </c>
      <c r="Z136" s="192">
        <f t="shared" si="42"/>
        <v>23.334099999999999</v>
      </c>
      <c r="AA136" s="192">
        <f t="shared" si="43"/>
        <v>23.2883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4"/>
        <v>0221-22</v>
      </c>
      <c r="AE136" s="80" t="str">
        <f t="shared" si="45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136" s="77" t="str">
        <f t="shared" si="46"/>
        <v>"C:\Program Files (x86)\AstroGrep\AstroGrep.exe" /e /r /s /spath="%USERPROFILE%\AppData\Local\Temp\OnboardLogs" /stypes="app*4006*20170523*" /stext=" 01:.+((SYSTEM_STATE.+slice.+state.+changed )|(ment ac)|(multiple cpu faults)|(system.+state.+changed )|(\[timeout)|(PRM\|1\|D)|(kpr)|(kdp)|(train st.+moving)|(\|lc)|(penalty))"</v>
      </c>
      <c r="AG136" s="1" t="str">
        <f t="shared" si="47"/>
        <v>EC</v>
      </c>
      <c r="AH136" s="81" t="str">
        <f t="shared" si="48"/>
        <v>"%USERPROFILE%\Documents\GitHub\eaglep3\Utilities\RefineRTDCRunTimes.py" --tripid 221-22 --locoid 4006 --swversion DE.1.0.9.0 --startMP 204:458 --initTime 2017-05-22T18:52:08 --startdatetime 2017-05-22T19:00:21 --delay 1 --endMP 204:233341 --enddatetime 2017-05-22T19:37:31 --enforcementcount 0 &gt;&gt;C:\Users\stu\Documents\GitHub\eaglep3-reporting\EC\2017-05-22-refined-times.txt</v>
      </c>
      <c r="AI136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{"issue":{"subject":"","project_id":79,"tracker_id":40,"status_id":1,"priority_id":2,"assigned_to_id":23,"start_date":"2017-05-22","description":"","custom_fields":[{"id":1,"name":"Subdivision","value":"EC"},{"id":4,"name":"Milepost","value":"23.3341"},{"id":17,"name":"Train ID","value":"221-22"},{"id":16,"name":"Locomotive ID","value":"4006"},{"id":130,"name":"Impact","value":""},{"id":150,"name":"Time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0"/>
        <v>start /low /b %USERPROFILE%\Documents\GitHub\eaglep3\Utilities\DownloadLogsFromS3.py --loco 4006 --day 2017-05-22</v>
      </c>
      <c r="AN136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788</v>
      </c>
      <c r="B137" s="7">
        <v>4005</v>
      </c>
      <c r="C137" s="21" t="s">
        <v>206</v>
      </c>
      <c r="D137" s="21" t="s">
        <v>888</v>
      </c>
      <c r="E137" s="13">
        <v>42877.824444444443</v>
      </c>
      <c r="F137" s="13">
        <v>42877.831423611111</v>
      </c>
      <c r="G137" s="7">
        <v>1</v>
      </c>
      <c r="H137" s="21" t="s">
        <v>544</v>
      </c>
      <c r="I137" s="13">
        <v>42877.85765046296</v>
      </c>
      <c r="J137" s="7">
        <v>0</v>
      </c>
      <c r="K137" s="92" t="str">
        <f t="shared" si="35"/>
        <v>4005/4006</v>
      </c>
      <c r="L137" s="21" t="str">
        <f>VLOOKUP(A137,'Trips&amp;Operators'!$C$1:$G$99999,5,FALSE)</f>
        <v>PERKINS DARREN</v>
      </c>
      <c r="M137" s="6">
        <f t="shared" si="36"/>
        <v>2.622685184906004E-2</v>
      </c>
      <c r="N137" s="7">
        <f t="shared" si="57"/>
        <v>37.766666662646458</v>
      </c>
      <c r="O137" s="7"/>
      <c r="P137" s="7"/>
      <c r="Q137" s="22"/>
      <c r="R137" s="190"/>
      <c r="S137" s="196">
        <f t="shared" si="58"/>
        <v>1</v>
      </c>
      <c r="T137" s="190" t="str">
        <f t="shared" si="38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9"/>
        <v>https://d0f6bd738d7f1b3e5a7ca70fe4ff75f0.us-east-1.aws.found.io/app/kibana#/discover/Steve-Slow-Train-Analysis-(2080s-and-2083s)?_g=(refreshInterval:(display:Off,pause:!f,section:0,value:0),time:(from:'2017-05-22T18:47:12-0600',mode:absolute,to:'2017-05-22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7" s="192" t="str">
        <f t="shared" si="40"/>
        <v>N</v>
      </c>
      <c r="X137" s="192">
        <f t="shared" si="56"/>
        <v>1</v>
      </c>
      <c r="Y137" s="192">
        <f t="shared" si="41"/>
        <v>23.299199999999999</v>
      </c>
      <c r="Z137" s="192">
        <f t="shared" si="42"/>
        <v>1.34E-2</v>
      </c>
      <c r="AA137" s="192">
        <f t="shared" si="43"/>
        <v>23.285799999999998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4"/>
        <v>0222-22</v>
      </c>
      <c r="AE137" s="80" t="str">
        <f t="shared" si="45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137" s="77" t="str">
        <f t="shared" si="46"/>
        <v>"C:\Program Files (x86)\AstroGrep\AstroGrep.exe" /e /r /s /spath="%USERPROFILE%\AppData\Local\Temp\OnboardLogs" /stypes="app*4005*20170523*" /stext=" 02:.+((SYSTEM_STATE.+slice.+state.+changed )|(ment ac)|(multiple cpu faults)|(system.+state.+changed )|(\[timeout)|(PRM\|1\|D)|(kpr)|(kdp)|(train st.+moving)|(\|lc)|(penalty))"</v>
      </c>
      <c r="AG137" s="1" t="str">
        <f t="shared" si="47"/>
        <v>EC</v>
      </c>
      <c r="AH137" s="81" t="str">
        <f t="shared" si="48"/>
        <v>"%USERPROFILE%\Documents\GitHub\eaglep3\Utilities\RefineRTDCRunTimes.py" --tripid 222-22 --locoid 4005 --swversion DE.1.0.9.0 --startMP 204:232992 --initTime 2017-05-22T19:47:12 --startdatetime 2017-05-22T19:57:15 --delay 1 --endMP 204:134 --enddatetime 2017-05-22T20:35:01 --enforcementcount 0 &gt;&gt;C:\Users\stu\Documents\GitHub\eaglep3-reporting\EC\2017-05-22-refined-times.txt</v>
      </c>
      <c r="AI137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{"issue":{"subject":"","project_id":79,"tracker_id":40,"status_id":1,"priority_id":2,"assigned_to_id":23,"start_date":"2017-05-22","description":"","custom_fields":[{"id":1,"name":"Subdivision","value":"EC"},{"id":4,"name":"Milepost","value":"0.0134"},{"id":17,"name":"Train ID","value":"222-22"},{"id":16,"name":"Locomotive ID","value":"4005"},{"id":130,"name":"Impact","value":""},{"id":150,"name":"Time of Event (Mountain Time)","value":"20:35:01"},{"id":151,"name":"Denver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0"/>
        <v>start /low /b %USERPROFILE%\Documents\GitHub\eaglep3\Utilities\DownloadLogsFromS3.py --loco 4005 --day 2017-05-22</v>
      </c>
      <c r="AN137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785</v>
      </c>
      <c r="B138" s="7">
        <v>4032</v>
      </c>
      <c r="C138" s="21" t="s">
        <v>206</v>
      </c>
      <c r="D138" s="21" t="s">
        <v>359</v>
      </c>
      <c r="E138" s="13">
        <v>42877.808206018519</v>
      </c>
      <c r="F138" s="13">
        <v>42877.812708333331</v>
      </c>
      <c r="G138" s="7">
        <v>1</v>
      </c>
      <c r="H138" s="21" t="s">
        <v>889</v>
      </c>
      <c r="I138" s="13">
        <v>42877.838541666664</v>
      </c>
      <c r="J138" s="7">
        <v>0</v>
      </c>
      <c r="K138" s="92" t="str">
        <f t="shared" si="35"/>
        <v>4031/4032</v>
      </c>
      <c r="L138" s="21" t="str">
        <f>VLOOKUP(A138,'Trips&amp;Operators'!$C$1:$G$99999,5,FALSE)</f>
        <v>SMITH MICHAEL</v>
      </c>
      <c r="M138" s="6">
        <f t="shared" si="36"/>
        <v>2.5833333333139308E-2</v>
      </c>
      <c r="N138" s="7">
        <f t="shared" si="57"/>
        <v>37.199999999720603</v>
      </c>
      <c r="O138" s="7"/>
      <c r="P138" s="7"/>
      <c r="Q138" s="22"/>
      <c r="R138" s="190"/>
      <c r="S138" s="196">
        <f t="shared" si="58"/>
        <v>1</v>
      </c>
      <c r="T138" s="190" t="str">
        <f t="shared" si="38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9"/>
        <v>https://d0f6bd738d7f1b3e5a7ca70fe4ff75f0.us-east-1.aws.found.io/app/kibana#/discover/Steve-Slow-Train-Analysis-(2080s-and-2083s)?_g=(refreshInterval:(display:Off,pause:!f,section:0,value:0),time:(from:'2017-05-22T18:23:49-0600',mode:absolute,to:'2017-05-22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8" s="192" t="str">
        <f t="shared" si="40"/>
        <v>N</v>
      </c>
      <c r="X138" s="192">
        <f t="shared" si="56"/>
        <v>1</v>
      </c>
      <c r="Y138" s="192">
        <f t="shared" si="41"/>
        <v>4.5100000000000001E-2</v>
      </c>
      <c r="Z138" s="192">
        <f t="shared" si="42"/>
        <v>23.326599999999999</v>
      </c>
      <c r="AA138" s="192">
        <f t="shared" si="43"/>
        <v>23.281499999999998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4"/>
        <v>0223-22</v>
      </c>
      <c r="AE138" s="80" t="str">
        <f t="shared" si="45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38" s="77" t="str">
        <f t="shared" si="46"/>
        <v>"C:\Program Files (x86)\AstroGrep\AstroGrep.exe" /e /r /s /spath="%USERPROFILE%\AppData\Local\Temp\OnboardLogs" /stypes="app*4032*20170523*" /stext=" 02:.+((SYSTEM_STATE.+slice.+state.+changed )|(ment ac)|(multiple cpu faults)|(system.+state.+changed )|(\[timeout)|(PRM\|1\|D)|(kpr)|(kdp)|(train st.+moving)|(\|lc)|(penalty))"</v>
      </c>
      <c r="AG138" s="1" t="str">
        <f t="shared" si="47"/>
        <v>EC</v>
      </c>
      <c r="AH138" s="81" t="str">
        <f t="shared" si="48"/>
        <v>"%USERPROFILE%\Documents\GitHub\eaglep3\Utilities\RefineRTDCRunTimes.py" --tripid 223-22 --locoid 4032 --swversion DE.1.0.9.0 --startMP 204:451 --initTime 2017-05-22T19:23:49 --startdatetime 2017-05-22T19:30:18 --delay 1 --endMP 204:233266 --enddatetime 2017-05-22T20:07:30 --enforcementcount 0 &gt;&gt;C:\Users\stu\Documents\GitHub\eaglep3-reporting\EC\2017-05-22-refined-times.txt</v>
      </c>
      <c r="AI138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{"issue":{"subject":"","project_id":79,"tracker_id":40,"status_id":1,"priority_id":2,"assigned_to_id":23,"start_date":"2017-05-22","description":"","custom_fields":[{"id":1,"name":"Subdivision","value":"EC"},{"id":4,"name":"Milepost","value":"23.3266"},{"id":17,"name":"Train ID","value":"223-22"},{"id":16,"name":"Locomotive ID","value":"4032"},{"id":130,"name":"Impact","value":""},{"id":150,"name":"Time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0"/>
        <v>start /low /b %USERPROFILE%\Documents\GitHub\eaglep3\Utilities\DownloadLogsFromS3.py --loco 4032 --day 2017-05-22</v>
      </c>
      <c r="AN138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793</v>
      </c>
      <c r="B139" s="7">
        <v>4031</v>
      </c>
      <c r="C139" s="21" t="s">
        <v>206</v>
      </c>
      <c r="D139" s="21" t="s">
        <v>566</v>
      </c>
      <c r="E139" s="13">
        <v>42877.844340277778</v>
      </c>
      <c r="F139" s="13">
        <v>42877.852256944447</v>
      </c>
      <c r="G139" s="7">
        <v>1</v>
      </c>
      <c r="H139" s="21" t="s">
        <v>198</v>
      </c>
      <c r="I139" s="13">
        <v>42877.880486111113</v>
      </c>
      <c r="J139" s="7">
        <v>0</v>
      </c>
      <c r="K139" s="92" t="str">
        <f t="shared" si="35"/>
        <v>4031/4032</v>
      </c>
      <c r="L139" s="21" t="str">
        <f>VLOOKUP(A139,'Trips&amp;Operators'!$C$1:$G$99999,5,FALSE)</f>
        <v>SMITH MICHAEL</v>
      </c>
      <c r="M139" s="6">
        <f t="shared" si="36"/>
        <v>2.8229166666278616E-2</v>
      </c>
      <c r="N139" s="7">
        <f t="shared" si="57"/>
        <v>40.649999999441206</v>
      </c>
      <c r="O139" s="7"/>
      <c r="P139" s="7"/>
      <c r="Q139" s="22"/>
      <c r="R139" s="190"/>
      <c r="S139" s="196">
        <f t="shared" si="58"/>
        <v>1</v>
      </c>
      <c r="T139" s="190" t="str">
        <f t="shared" si="38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9"/>
        <v>https://d0f6bd738d7f1b3e5a7ca70fe4ff75f0.us-east-1.aws.found.io/app/kibana#/discover/Steve-Slow-Train-Analysis-(2080s-and-2083s)?_g=(refreshInterval:(display:Off,pause:!f,section:0,value:0),time:(from:'2017-05-22T19:15:51-0600',mode:absolute,to:'2017-05-22T22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192" t="str">
        <f t="shared" si="40"/>
        <v>N</v>
      </c>
      <c r="X139" s="192">
        <f t="shared" si="56"/>
        <v>1</v>
      </c>
      <c r="Y139" s="192">
        <f t="shared" si="41"/>
        <v>23.296700000000001</v>
      </c>
      <c r="Z139" s="192">
        <f t="shared" si="42"/>
        <v>1.5800000000000002E-2</v>
      </c>
      <c r="AA139" s="192">
        <f t="shared" si="43"/>
        <v>23.280900000000003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4"/>
        <v>0224-22</v>
      </c>
      <c r="AE139" s="80" t="str">
        <f t="shared" si="45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139" s="77" t="str">
        <f t="shared" si="46"/>
        <v>"C:\Program Files (x86)\AstroGrep\AstroGrep.exe" /e /r /s /spath="%USERPROFILE%\AppData\Local\Temp\OnboardLogs" /stypes="app*4031*20170523*" /stext=" 03:.+((SYSTEM_STATE.+slice.+state.+changed )|(ment ac)|(multiple cpu faults)|(system.+state.+changed )|(\[timeout)|(PRM\|1\|D)|(kpr)|(kdp)|(train st.+moving)|(\|lc)|(penalty))"</v>
      </c>
      <c r="AG139" s="1" t="str">
        <f t="shared" si="47"/>
        <v>EC</v>
      </c>
      <c r="AH139" s="81" t="str">
        <f t="shared" si="48"/>
        <v>"%USERPROFILE%\Documents\GitHub\eaglep3\Utilities\RefineRTDCRunTimes.py" --tripid 224-22 --locoid 4031 --swversion DE.1.0.9.0 --startMP 204:232967 --initTime 2017-05-22T20:15:51 --startdatetime 2017-05-22T20:27:15 --delay 1 --endMP 204:158 --enddatetime 2017-05-22T21:07:54 --enforcementcount 0 &gt;&gt;C:\Users\stu\Documents\GitHub\eaglep3-reporting\EC\2017-05-22-refined-times.txt</v>
      </c>
      <c r="AI139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{"issue":{"subject":"","project_id":79,"tracker_id":40,"status_id":1,"priority_id":2,"assigned_to_id":23,"start_date":"2017-05-22","description":"","custom_fields":[{"id":1,"name":"Subdivision","value":"EC"},{"id":4,"name":"Milepost","value":"0.0158"},{"id":17,"name":"Train ID","value":"224-22"},{"id":16,"name":"Locomotive ID","value":"4031"},{"id":130,"name":"Impact","value":""},{"id":150,"name":"Time of Event (Mountain Time)","value":"21:07:54"},{"id":151,"name":"Denver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0"/>
        <v>start /low /b %USERPROFILE%\Documents\GitHub\eaglep3\Utilities\DownloadLogsFromS3.py --loco 4031 --day 2017-05-22</v>
      </c>
      <c r="AN139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789</v>
      </c>
      <c r="B140" s="7">
        <v>4016</v>
      </c>
      <c r="C140" s="21" t="s">
        <v>206</v>
      </c>
      <c r="D140" s="21" t="s">
        <v>450</v>
      </c>
      <c r="E140" s="13">
        <v>42877.830023148148</v>
      </c>
      <c r="F140" s="13">
        <v>42877.83357638889</v>
      </c>
      <c r="G140" s="7">
        <v>1</v>
      </c>
      <c r="H140" s="21" t="s">
        <v>524</v>
      </c>
      <c r="I140" s="13">
        <v>42877.859074074076</v>
      </c>
      <c r="J140" s="7">
        <v>0</v>
      </c>
      <c r="K140" s="92" t="str">
        <f t="shared" si="35"/>
        <v>4015/4016</v>
      </c>
      <c r="L140" s="21" t="str">
        <f>VLOOKUP(A140,'Trips&amp;Operators'!$C$1:$G$99999,5,FALSE)</f>
        <v>MAGEE KENYA</v>
      </c>
      <c r="M140" s="6">
        <f t="shared" si="36"/>
        <v>2.5497685186564922E-2</v>
      </c>
      <c r="N140" s="7">
        <f t="shared" si="57"/>
        <v>36.716666668653488</v>
      </c>
      <c r="O140" s="7"/>
      <c r="P140" s="7"/>
      <c r="Q140" s="22"/>
      <c r="R140" s="190"/>
      <c r="S140" s="196">
        <f t="shared" si="58"/>
        <v>1</v>
      </c>
      <c r="T140" s="190" t="str">
        <f t="shared" si="38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9"/>
        <v>https://d0f6bd738d7f1b3e5a7ca70fe4ff75f0.us-east-1.aws.found.io/app/kibana#/discover/Steve-Slow-Train-Analysis-(2080s-and-2083s)?_g=(refreshInterval:(display:Off,pause:!f,section:0,value:0),time:(from:'2017-05-22T18:55:14-0600',mode:absolute,to:'2017-05-22T21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192" t="str">
        <f t="shared" si="40"/>
        <v>N</v>
      </c>
      <c r="X140" s="192">
        <f t="shared" si="56"/>
        <v>1</v>
      </c>
      <c r="Y140" s="192">
        <f t="shared" si="41"/>
        <v>4.7100000000000003E-2</v>
      </c>
      <c r="Z140" s="192">
        <f t="shared" si="42"/>
        <v>23.3368</v>
      </c>
      <c r="AA140" s="192">
        <f t="shared" si="43"/>
        <v>23.2897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4"/>
        <v>0225-22</v>
      </c>
      <c r="AE140" s="80" t="str">
        <f t="shared" si="45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140" s="77" t="str">
        <f t="shared" si="46"/>
        <v>"C:\Program Files (x86)\AstroGrep\AstroGrep.exe" /e /r /s /spath="%USERPROFILE%\AppData\Local\Temp\OnboardLogs" /stypes="app*4016*20170523*" /stext=" 02:.+((SYSTEM_STATE.+slice.+state.+changed )|(ment ac)|(multiple cpu faults)|(system.+state.+changed )|(\[timeout)|(PRM\|1\|D)|(kpr)|(kdp)|(train st.+moving)|(\|lc)|(penalty))"</v>
      </c>
      <c r="AG140" s="1" t="str">
        <f t="shared" si="47"/>
        <v>EC</v>
      </c>
      <c r="AH140" s="81" t="str">
        <f t="shared" si="48"/>
        <v>"%USERPROFILE%\Documents\GitHub\eaglep3\Utilities\RefineRTDCRunTimes.py" --tripid 225-22 --locoid 4016 --swversion DE.1.0.9.0 --startMP 204:471 --initTime 2017-05-22T19:55:14 --startdatetime 2017-05-22T20:00:21 --delay 1 --endMP 204:233368 --enddatetime 2017-05-22T20:37:04 --enforcementcount 0 &gt;&gt;C:\Users\stu\Documents\GitHub\eaglep3-reporting\EC\2017-05-22-refined-times.txt</v>
      </c>
      <c r="AI140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{"issue":{"subject":"","project_id":79,"tracker_id":40,"status_id":1,"priority_id":2,"assigned_to_id":23,"start_date":"2017-05-22","description":"","custom_fields":[{"id":1,"name":"Subdivision","value":"EC"},{"id":4,"name":"Milepost","value":"23.3368"},{"id":17,"name":"Train ID","value":"225-22"},{"id":16,"name":"Locomotive ID","value":"4016"},{"id":130,"name":"Impact","value":""},{"id":150,"name":"Time of Event (Mountain Time)","value":"20:37:04"},{"id":151,"name":"Denver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50"/>
        <v>start /low /b %USERPROFILE%\Documents\GitHub\eaglep3\Utilities\DownloadLogsFromS3.py --loco 4016 --day 2017-05-22</v>
      </c>
      <c r="AN140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02:37:04"},{"id":29,"name":"Sharepoint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2" t="s">
        <v>795</v>
      </c>
      <c r="B141" s="7">
        <v>4015</v>
      </c>
      <c r="C141" s="21" t="s">
        <v>206</v>
      </c>
      <c r="D141" s="21" t="s">
        <v>890</v>
      </c>
      <c r="E141" s="13">
        <v>42877.870208333334</v>
      </c>
      <c r="F141" s="13">
        <v>42877.873449074075</v>
      </c>
      <c r="G141" s="7">
        <v>1</v>
      </c>
      <c r="H141" s="21" t="s">
        <v>356</v>
      </c>
      <c r="I141" s="13">
        <v>42877.901018518518</v>
      </c>
      <c r="J141" s="7">
        <v>0</v>
      </c>
      <c r="K141" s="92" t="str">
        <f t="shared" ref="K141:K204" si="59">IF(ISEVEN(B141),(B141-1)&amp;"/"&amp;B141,B141&amp;"/"&amp;(B141+1))</f>
        <v>4015/4016</v>
      </c>
      <c r="L141" s="21" t="str">
        <f>VLOOKUP(A141,'Trips&amp;Operators'!$C$1:$G$99999,5,FALSE)</f>
        <v>MAGEE KENYA</v>
      </c>
      <c r="M141" s="6">
        <f t="shared" ref="M141:M204" si="60">I141-F141</f>
        <v>2.7569444442633539E-2</v>
      </c>
      <c r="N141" s="7">
        <f t="shared" si="57"/>
        <v>39.699999997392297</v>
      </c>
      <c r="O141" s="7"/>
      <c r="P141" s="7"/>
      <c r="Q141" s="22"/>
      <c r="R141" s="190"/>
      <c r="S141" s="196">
        <f t="shared" si="58"/>
        <v>1</v>
      </c>
      <c r="T141" s="190" t="str">
        <f t="shared" ref="T141:T204" si="61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-22T19:53:06-0600',mode:absolute,to:'2017-05-22T22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1" s="192" t="str">
        <f t="shared" ref="W141:W204" si="63">IF(AA141&lt;IF(AG141="EC",23,5.65),"Y","N")</f>
        <v>N</v>
      </c>
      <c r="X141" s="192">
        <f t="shared" si="56"/>
        <v>1</v>
      </c>
      <c r="Y141" s="192">
        <f t="shared" ref="Y141:Y204" si="64">RIGHT(D141,LEN(D141)-4)/10000</f>
        <v>23.308599999999998</v>
      </c>
      <c r="Z141" s="192">
        <f t="shared" ref="Z141:Z204" si="65">RIGHT(H141,LEN(H141)-4)/10000</f>
        <v>1.49E-2</v>
      </c>
      <c r="AA141" s="192">
        <f t="shared" ref="AA141:AA204" si="66">ABS(Z141-Y141)</f>
        <v>23.293699999999998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7">IF(LEN(A141)=6,"0"&amp;A141,A141)</f>
        <v>0226-22</v>
      </c>
      <c r="AE141" s="80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141" s="77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/stypes="app*4015*20170523*"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70">IFERROR(IF(VALUE(LEFT(AD141,2))&lt;=2,"EC",IF(OR(VALUE(LEFT(AD141,2))=8,VALUE(LEFT(AD141,2))=18),"NW","Other")),"Other")</f>
        <v>EC</v>
      </c>
      <c r="AH141" s="81" t="str">
        <f t="shared" si="48"/>
        <v>"%USERPROFILE%\Documents\GitHub\eaglep3\Utilities\RefineRTDCRunTimes.py" --tripid 226-22 --locoid 4015 --swversion DE.1.0.9.0 --startMP 204:233086 --initTime 2017-05-22T20:53:06 --startdatetime 2017-05-22T20:57:46 --delay 1 --endMP 204:149 --enddatetime 2017-05-22T21:37:28 --enforcementcount 0 &gt;&gt;C:\Users\stu\Documents\GitHub\eaglep3-reporting\EC\2017-05-22-refined-times.txt</v>
      </c>
      <c r="AI141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ID","value":"226-22"},{"id":16,"name":"Locomotive ID","value":"4015"},{"id":130,"name":"Impact","value":""},{"id":150,"name":"Time of Event (Mountain Time)","value":"21:37:28"},{"id":151,"name":"Denver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20"/>
      <c r="AK141" s="47"/>
      <c r="AL141" s="47"/>
      <c r="AM141" s="145" t="str">
        <f t="shared" si="50"/>
        <v>start /low /b %USERPROFILE%\Documents\GitHub\eaglep3\Utilities\DownloadLogsFromS3.py --loco 4015 --day 2017-05-22</v>
      </c>
      <c r="AN141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2" t="s">
        <v>792</v>
      </c>
      <c r="B142" s="7">
        <v>4014</v>
      </c>
      <c r="C142" s="21" t="s">
        <v>206</v>
      </c>
      <c r="D142" s="21" t="s">
        <v>202</v>
      </c>
      <c r="E142" s="13">
        <v>42877.842222222222</v>
      </c>
      <c r="F142" s="13">
        <v>42877.854421296295</v>
      </c>
      <c r="G142" s="7">
        <v>1</v>
      </c>
      <c r="H142" s="21" t="s">
        <v>891</v>
      </c>
      <c r="I142" s="13">
        <v>42877.881018518521</v>
      </c>
      <c r="J142" s="7">
        <v>0</v>
      </c>
      <c r="K142" s="92" t="str">
        <f t="shared" si="59"/>
        <v>4013/4014</v>
      </c>
      <c r="L142" s="21" t="str">
        <f>VLOOKUP(A142,'Trips&amp;Operators'!$C$1:$G$99999,5,FALSE)</f>
        <v>GUZMAN DANNY</v>
      </c>
      <c r="M142" s="6">
        <f t="shared" si="60"/>
        <v>2.6597222225973383E-2</v>
      </c>
      <c r="N142" s="7">
        <f t="shared" si="57"/>
        <v>38.300000005401671</v>
      </c>
      <c r="O142" s="7"/>
      <c r="P142" s="7"/>
      <c r="Q142" s="22"/>
      <c r="R142" s="190"/>
      <c r="S142" s="196">
        <f t="shared" si="58"/>
        <v>1</v>
      </c>
      <c r="T142" s="190" t="str">
        <f t="shared" si="61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62"/>
        <v>https://d0f6bd738d7f1b3e5a7ca70fe4ff75f0.us-east-1.aws.found.io/app/kibana#/discover/Steve-Slow-Train-Analysis-(2080s-and-2083s)?_g=(refreshInterval:(display:Off,pause:!f,section:0,value:0),time:(from:'2017-05-22T19:12:48-0600',mode:absolute,to:'2017-05-22T22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92" t="str">
        <f t="shared" si="63"/>
        <v>N</v>
      </c>
      <c r="X142" s="192">
        <f t="shared" si="56"/>
        <v>1</v>
      </c>
      <c r="Y142" s="192">
        <f t="shared" si="64"/>
        <v>4.5699999999999998E-2</v>
      </c>
      <c r="Z142" s="192">
        <f t="shared" si="65"/>
        <v>23.331800000000001</v>
      </c>
      <c r="AA142" s="192">
        <f t="shared" si="66"/>
        <v>23.286100000000001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7"/>
        <v>0227-22</v>
      </c>
      <c r="AE142" s="80" t="str">
        <f t="shared" si="68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142" s="77" t="str">
        <f t="shared" si="69"/>
        <v>"C:\Program Files (x86)\AstroGrep\AstroGrep.exe" /e /r /s /spath="%USERPROFILE%\AppData\Local\Temp\OnboardLogs" /stypes="app*4014*20170523*" /stext=" 03:.+((SYSTEM_STATE.+slice.+state.+changed )|(ment ac)|(multiple cpu faults)|(system.+state.+changed )|(\[timeout)|(PRM\|1\|D)|(kpr)|(kdp)|(train st.+moving)|(\|lc)|(penalty))"</v>
      </c>
      <c r="AG142" s="1" t="str">
        <f t="shared" si="70"/>
        <v>EC</v>
      </c>
      <c r="AH142" s="81" t="str">
        <f t="shared" si="48"/>
        <v>"%USERPROFILE%\Documents\GitHub\eaglep3\Utilities\RefineRTDCRunTimes.py" --tripid 227-22 --locoid 4014 --swversion DE.1.0.9.0 --startMP 204:457 --initTime 2017-05-22T20:12:48 --startdatetime 2017-05-22T20:30:22 --delay 1 --endMP 204:233318 --enddatetime 2017-05-22T21:08:40 --enforcementcount 0 &gt;&gt;C:\Users\stu\Documents\GitHub\eaglep3-reporting\EC\2017-05-22-refined-times.txt</v>
      </c>
      <c r="AI142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{"issue":{"subject":"","project_id":79,"tracker_id":40,"status_id":1,"priority_id":2,"assigned_to_id":23,"start_date":"2017-05-22","description":"","custom_fields":[{"id":1,"name":"Subdivision","value":"EC"},{"id":4,"name":"Milepost","value":"23.3318"},{"id":17,"name":"Train ID","value":"227-22"},{"id":16,"name":"Locomotive ID","value":"4014"},{"id":130,"name":"Impact","value":""},{"id":150,"name":"Time of Event (Mountain Time)","value":"21:08:40"},{"id":151,"name":"Denver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0"/>
        <v>start /low /b %USERPROFILE%\Documents\GitHub\eaglep3\Utilities\DownloadLogsFromS3.py --loco 4014 --day 2017-05-22</v>
      </c>
      <c r="AN142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797</v>
      </c>
      <c r="B143" s="7">
        <v>4013</v>
      </c>
      <c r="C143" s="21" t="s">
        <v>206</v>
      </c>
      <c r="D143" s="21" t="s">
        <v>452</v>
      </c>
      <c r="E143" s="13">
        <v>42877.883275462962</v>
      </c>
      <c r="F143" s="13">
        <v>42877.894050925926</v>
      </c>
      <c r="G143" s="7">
        <v>1</v>
      </c>
      <c r="H143" s="21" t="s">
        <v>366</v>
      </c>
      <c r="I143" s="13">
        <v>42877.927268518521</v>
      </c>
      <c r="J143" s="7">
        <v>0</v>
      </c>
      <c r="K143" s="92" t="str">
        <f t="shared" si="59"/>
        <v>4013/4014</v>
      </c>
      <c r="L143" s="21" t="str">
        <f>VLOOKUP(A143,'Trips&amp;Operators'!$C$1:$G$99999,5,FALSE)</f>
        <v>GUZMAN DANNY</v>
      </c>
      <c r="M143" s="6">
        <f t="shared" si="60"/>
        <v>3.3217592594155576E-2</v>
      </c>
      <c r="N143" s="7">
        <f t="shared" si="57"/>
        <v>47.83333333558403</v>
      </c>
      <c r="O143" s="7"/>
      <c r="P143" s="7"/>
      <c r="Q143" s="22"/>
      <c r="R143" s="190"/>
      <c r="S143" s="196">
        <f t="shared" si="58"/>
        <v>1</v>
      </c>
      <c r="T143" s="190" t="str">
        <f t="shared" si="61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62"/>
        <v>https://d0f6bd738d7f1b3e5a7ca70fe4ff75f0.us-east-1.aws.found.io/app/kibana#/discover/Steve-Slow-Train-Analysis-(2080s-and-2083s)?_g=(refreshInterval:(display:Off,pause:!f,section:0,value:0),time:(from:'2017-05-22T20:11:55-0600',mode:absolute,to:'2017-05-22T23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92" t="str">
        <f t="shared" si="63"/>
        <v>N</v>
      </c>
      <c r="X143" s="192">
        <f t="shared" si="56"/>
        <v>1</v>
      </c>
      <c r="Y143" s="192">
        <f t="shared" si="64"/>
        <v>23.3</v>
      </c>
      <c r="Z143" s="192">
        <f t="shared" si="65"/>
        <v>1.3899999999999999E-2</v>
      </c>
      <c r="AA143" s="192">
        <f t="shared" si="66"/>
        <v>23.286100000000001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7"/>
        <v>0228-22</v>
      </c>
      <c r="AE143" s="80" t="str">
        <f t="shared" si="68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143" s="77" t="str">
        <f t="shared" si="69"/>
        <v>"C:\Program Files (x86)\AstroGrep\AstroGrep.exe" /e /r /s /spath="%USERPROFILE%\AppData\Local\Temp\OnboardLogs" /stypes="app*4013*20170523*" /stext=" 04:.+((SYSTEM_STATE.+slice.+state.+changed )|(ment ac)|(multiple cpu faults)|(system.+state.+changed )|(\[timeout)|(PRM\|1\|D)|(kpr)|(kdp)|(train st.+moving)|(\|lc)|(penalty))"</v>
      </c>
      <c r="AG143" s="1" t="str">
        <f t="shared" si="70"/>
        <v>EC</v>
      </c>
      <c r="AH143" s="81" t="str">
        <f t="shared" si="48"/>
        <v>"%USERPROFILE%\Documents\GitHub\eaglep3\Utilities\RefineRTDCRunTimes.py" --tripid 228-22 --locoid 4013 --swversion DE.1.0.9.0 --startMP 204:233000 --initTime 2017-05-22T21:11:55 --startdatetime 2017-05-22T21:27:26 --delay 1 --endMP 204:139 --enddatetime 2017-05-22T22:15:16 --enforcementcount 0 &gt;&gt;C:\Users\stu\Documents\GitHub\eaglep3-reporting\EC\2017-05-22-refined-times.txt</v>
      </c>
      <c r="AI143" s="99" t="str">
        <f t="shared" si="49"/>
        <v>echo {"issue":{"subject":"","project_id":79,"tracker_id":40,"status_id":1,"priority_id":2,"assigned_to_id":23,"start_date":"2017-05-22","description":"","custom_fields":[{"id":1,"name":"Subdivision","value":"EC"},{"id":4,"name":"Milepost","value":"0.0139"},{"id":17,"name":"Train ID","value":"228-22"},{"id":16,"name":"Locomotive ID","value":"4013"},{"id":130,"name":"Impact","value":""},{"id":150,"name":"Time of Event (Mountain Time)","value":"22:15:16"},{"id":151,"name":"Denver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0"/>
        <v>start /low /b %USERPROFILE%\Documents\GitHub\eaglep3\Utilities\DownloadLogsFromS3.py --loco 4013 --day 2017-05-22</v>
      </c>
      <c r="AN143" s="154" t="str">
        <f t="shared" si="51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615</v>
      </c>
      <c r="B144" s="7">
        <v>4006</v>
      </c>
      <c r="C144" s="21" t="s">
        <v>206</v>
      </c>
      <c r="D144" s="21" t="s">
        <v>364</v>
      </c>
      <c r="E144" s="13">
        <v>42877.868148148147</v>
      </c>
      <c r="F144" s="13">
        <v>42877.87537037037</v>
      </c>
      <c r="G144" s="7">
        <v>1</v>
      </c>
      <c r="H144" s="21" t="s">
        <v>873</v>
      </c>
      <c r="I144" s="13">
        <v>42877.907002314816</v>
      </c>
      <c r="J144" s="7">
        <v>0</v>
      </c>
      <c r="K144" s="92" t="str">
        <f t="shared" si="59"/>
        <v>4005/4006</v>
      </c>
      <c r="L144" s="21" t="str">
        <f>VLOOKUP(A144,'Trips&amp;Operators'!$C$1:$G$99999,5,FALSE)</f>
        <v>PERKINS DARREN</v>
      </c>
      <c r="M144" s="6">
        <f t="shared" si="60"/>
        <v>3.1631944446417037E-2</v>
      </c>
      <c r="N144" s="7">
        <f t="shared" si="57"/>
        <v>45.550000002840534</v>
      </c>
      <c r="O144" s="7"/>
      <c r="P144" s="7"/>
      <c r="Q144" s="22"/>
      <c r="R144" s="190"/>
      <c r="S144" s="196">
        <f t="shared" si="58"/>
        <v>1</v>
      </c>
      <c r="T144" s="190" t="str">
        <f t="shared" si="61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62"/>
        <v>https://d0f6bd738d7f1b3e5a7ca70fe4ff75f0.us-east-1.aws.found.io/app/kibana#/discover/Steve-Slow-Train-Analysis-(2080s-and-2083s)?_g=(refreshInterval:(display:Off,pause:!f,section:0,value:0),time:(from:'2017-05-22T19:50:08-0600',mode:absolute,to:'2017-05-22T22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192" t="str">
        <f t="shared" si="63"/>
        <v>N</v>
      </c>
      <c r="X144" s="192">
        <f t="shared" si="56"/>
        <v>1</v>
      </c>
      <c r="Y144" s="192">
        <f t="shared" si="64"/>
        <v>4.4400000000000002E-2</v>
      </c>
      <c r="Z144" s="192">
        <f t="shared" si="65"/>
        <v>23.331099999999999</v>
      </c>
      <c r="AA144" s="192">
        <f t="shared" si="66"/>
        <v>23.2867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7"/>
        <v>0229-22</v>
      </c>
      <c r="AE144" s="80" t="str">
        <f t="shared" si="68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144" s="77" t="str">
        <f t="shared" si="69"/>
        <v>"C:\Program Files (x86)\AstroGrep\AstroGrep.exe" /e /r /s /spath="%USERPROFILE%\AppData\Local\Temp\OnboardLogs" /stypes="app*4006*20170523*" /stext=" 03:.+((SYSTEM_STATE.+slice.+state.+changed )|(ment ac)|(multiple cpu faults)|(system.+state.+changed )|(\[timeout)|(PRM\|1\|D)|(kpr)|(kdp)|(train st.+moving)|(\|lc)|(penalty))"</v>
      </c>
      <c r="AG144" s="1" t="str">
        <f t="shared" si="70"/>
        <v>EC</v>
      </c>
      <c r="AH144" s="81" t="str">
        <f t="shared" ref="AH144:AH207" si="71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229-22 --locoid 4006 --swversion DE.1.0.9.0 --startMP 204:444 --initTime 2017-05-22T20:50:08 --startdatetime 2017-05-22T21:00:32 --delay 1 --endMP 204:233311 --enddatetime 2017-05-22T21:46:05 --enforcementcount 0 &gt;&gt;C:\Users\stu\Documents\GitHub\eaglep3-reporting\EC\2017-05-22-refined-times.txt</v>
      </c>
      <c r="AI144" s="99" t="str">
        <f t="shared" ref="AI144:AI207" si="72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{"issue":{"subject":"","project_id":79,"tracker_id":40,"status_id":1,"priority_id":2,"assigned_to_id":23,"start_date":"2017-05-22","description":"","custom_fields":[{"id":1,"name":"Subdivision","value":"EC"},{"id":4,"name":"Milepost","value":"23.3311"},{"id":17,"name":"Train ID","value":"229-22"},{"id":16,"name":"Locomotive ID","value":"4006"},{"id":130,"name":"Impact","value":""},{"id":150,"name":"Time of Event (Mountain Time)","value":"21:46:05"},{"id":151,"name":"Denver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ref="AM144:AM207" si="73">"start /low /b "&amp;dls3logs&amp;" --loco "&amp;B144&amp;" --day "&amp;TEXT(F144,"YYYY-MM-DD")</f>
        <v>start /low /b %USERPROFILE%\Documents\GitHub\eaglep3\Utilities\DownloadLogsFromS3.py --loco 4006 --day 2017-05-22</v>
      </c>
      <c r="AN144" s="154" t="str">
        <f t="shared" ref="AN144:AN207" si="74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03:46:05"},{"id":29,"name":"Sharepoint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800</v>
      </c>
      <c r="B145" s="7">
        <v>4005</v>
      </c>
      <c r="C145" s="21" t="s">
        <v>206</v>
      </c>
      <c r="D145" s="21" t="s">
        <v>892</v>
      </c>
      <c r="E145" s="13">
        <v>42877.909155092595</v>
      </c>
      <c r="F145" s="13">
        <v>42877.914814814816</v>
      </c>
      <c r="G145" s="7">
        <v>0</v>
      </c>
      <c r="H145" s="21" t="s">
        <v>376</v>
      </c>
      <c r="I145" s="13">
        <v>42877.943333333336</v>
      </c>
      <c r="J145" s="7">
        <v>0</v>
      </c>
      <c r="K145" s="92" t="str">
        <f t="shared" si="59"/>
        <v>4005/4006</v>
      </c>
      <c r="L145" s="21" t="str">
        <f>VLOOKUP(A145,'Trips&amp;Operators'!$C$1:$G$99999,5,FALSE)</f>
        <v>PERKINS DARREN</v>
      </c>
      <c r="M145" s="6">
        <f t="shared" si="60"/>
        <v>2.8518518520286307E-2</v>
      </c>
      <c r="N145" s="7">
        <f t="shared" si="57"/>
        <v>41.066666669212282</v>
      </c>
      <c r="O145" s="7"/>
      <c r="P145" s="7"/>
      <c r="Q145" s="22"/>
      <c r="R145" s="190"/>
      <c r="S145" s="196">
        <f t="shared" si="58"/>
        <v>1</v>
      </c>
      <c r="T145" s="190" t="str">
        <f t="shared" si="61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62"/>
        <v>https://d0f6bd738d7f1b3e5a7ca70fe4ff75f0.us-east-1.aws.found.io/app/kibana#/discover/Steve-Slow-Train-Analysis-(2080s-and-2083s)?_g=(refreshInterval:(display:Off,pause:!f,section:0,value:0),time:(from:'2017-05-22T20:49:11-0600',mode:absolute,to:'2017-05-22T23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192" t="str">
        <f t="shared" si="63"/>
        <v>N</v>
      </c>
      <c r="X145" s="192">
        <f t="shared" si="56"/>
        <v>1</v>
      </c>
      <c r="Y145" s="192">
        <f t="shared" si="64"/>
        <v>23.2988</v>
      </c>
      <c r="Z145" s="192">
        <f t="shared" si="65"/>
        <v>1.3599999999999999E-2</v>
      </c>
      <c r="AA145" s="192">
        <f t="shared" si="66"/>
        <v>23.2852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7"/>
        <v>0230-22</v>
      </c>
      <c r="AE145" s="80" t="str">
        <f t="shared" si="68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145" s="77" t="str">
        <f t="shared" si="69"/>
        <v>"C:\Program Files (x86)\AstroGrep\AstroGrep.exe" /e /r /s /spath="%USERPROFILE%\AppData\Local\Temp\OnboardLogs" /stypes="app*4005*20170523*" /stext=" 04:.+((SYSTEM_STATE.+slice.+state.+changed )|(ment ac)|(multiple cpu faults)|(system.+state.+changed )|(\[timeout)|(PRM\|1\|D)|(kpr)|(kdp)|(train st.+moving)|(\|lc)|(penalty))"</v>
      </c>
      <c r="AG145" s="1" t="str">
        <f t="shared" si="70"/>
        <v>EC</v>
      </c>
      <c r="AH145" s="81" t="str">
        <f t="shared" si="71"/>
        <v>"%USERPROFILE%\Documents\GitHub\eaglep3\Utilities\RefineRTDCRunTimes.py" --tripid 230-22 --locoid 4005 --swversion DE.1.0.9.0 --startMP 204:232988 --initTime 2017-05-22T21:49:11 --startdatetime 2017-05-22T21:57:20 --delay 0 --endMP 204:136 --enddatetime 2017-05-22T22:38:24 --enforcementcount 0 &gt;&gt;C:\Users\stu\Documents\GitHub\eaglep3-reporting\EC\2017-05-22-refined-times.txt</v>
      </c>
      <c r="AI145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{"issue":{"subject":"","project_id":79,"tracker_id":40,"status_id":1,"priority_id":2,"assigned_to_id":23,"start_date":"2017-05-22","description":"","custom_fields":[{"id":1,"name":"Subdivision","value":"EC"},{"id":4,"name":"Milepost","value":"0.0136"},{"id":17,"name":"Train ID","value":"230-22"},{"id":16,"name":"Locomotive ID","value":"4005"},{"id":130,"name":"Impact","value":""},{"id":150,"name":"Time of Event (Mountain Time)","value":"22:38:24"},{"id":151,"name":"Denver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3"/>
        <v>start /low /b %USERPROFILE%\Documents\GitHub\eaglep3\Utilities\DownloadLogsFromS3.py --loco 4005 --day 2017-05-22</v>
      </c>
      <c r="AN145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798</v>
      </c>
      <c r="B146" s="7">
        <v>4032</v>
      </c>
      <c r="C146" s="21" t="s">
        <v>206</v>
      </c>
      <c r="D146" s="21" t="s">
        <v>359</v>
      </c>
      <c r="E146" s="13">
        <v>42877.883657407408</v>
      </c>
      <c r="F146" s="13">
        <v>42877.896018518521</v>
      </c>
      <c r="G146" s="7">
        <v>1</v>
      </c>
      <c r="H146" s="21" t="s">
        <v>880</v>
      </c>
      <c r="I146" s="13">
        <v>42877.924409722225</v>
      </c>
      <c r="J146" s="7">
        <v>0</v>
      </c>
      <c r="K146" s="92" t="str">
        <f t="shared" si="59"/>
        <v>4031/4032</v>
      </c>
      <c r="L146" s="21" t="str">
        <f>VLOOKUP(A146,'Trips&amp;Operators'!$C$1:$G$99999,5,FALSE)</f>
        <v>SMITH MICHAEL</v>
      </c>
      <c r="M146" s="6">
        <f t="shared" si="60"/>
        <v>2.8391203704813961E-2</v>
      </c>
      <c r="N146" s="7">
        <f t="shared" si="57"/>
        <v>40.883333334932104</v>
      </c>
      <c r="O146" s="7"/>
      <c r="P146" s="7"/>
      <c r="Q146" s="22"/>
      <c r="R146" s="190"/>
      <c r="S146" s="196">
        <f t="shared" si="58"/>
        <v>1</v>
      </c>
      <c r="T146" s="190" t="str">
        <f t="shared" si="61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62"/>
        <v>https://d0f6bd738d7f1b3e5a7ca70fe4ff75f0.us-east-1.aws.found.io/app/kibana#/discover/Steve-Slow-Train-Analysis-(2080s-and-2083s)?_g=(refreshInterval:(display:Off,pause:!f,section:0,value:0),time:(from:'2017-05-22T20:12:28-0600',mode:absolute,to:'2017-05-22T23:11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6" s="192" t="str">
        <f t="shared" si="63"/>
        <v>N</v>
      </c>
      <c r="X146" s="192">
        <f t="shared" si="56"/>
        <v>1</v>
      </c>
      <c r="Y146" s="192">
        <f t="shared" si="64"/>
        <v>4.5100000000000001E-2</v>
      </c>
      <c r="Z146" s="192">
        <f t="shared" si="65"/>
        <v>23.3264</v>
      </c>
      <c r="AA146" s="192">
        <f t="shared" si="66"/>
        <v>23.281299999999998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7"/>
        <v>0231-22</v>
      </c>
      <c r="AE146" s="80" t="str">
        <f t="shared" si="68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46" s="77" t="str">
        <f t="shared" si="69"/>
        <v>"C:\Program Files (x86)\AstroGrep\AstroGrep.exe" /e /r /s /spath="%USERPROFILE%\AppData\Local\Temp\OnboardLogs" /stypes="app*4032*20170523*" /stext=" 04:.+((SYSTEM_STATE.+slice.+state.+changed )|(ment ac)|(multiple cpu faults)|(system.+state.+changed )|(\[timeout)|(PRM\|1\|D)|(kpr)|(kdp)|(train st.+moving)|(\|lc)|(penalty))"</v>
      </c>
      <c r="AG146" s="1" t="str">
        <f t="shared" si="70"/>
        <v>EC</v>
      </c>
      <c r="AH146" s="81" t="str">
        <f t="shared" si="71"/>
        <v>"%USERPROFILE%\Documents\GitHub\eaglep3\Utilities\RefineRTDCRunTimes.py" --tripid 231-22 --locoid 4032 --swversion DE.1.0.9.0 --startMP 204:451 --initTime 2017-05-22T21:12:28 --startdatetime 2017-05-22T21:30:16 --delay 1 --endMP 204:233264 --enddatetime 2017-05-22T22:11:09 --enforcementcount 0 &gt;&gt;C:\Users\stu\Documents\GitHub\eaglep3-reporting\EC\2017-05-22-refined-times.txt</v>
      </c>
      <c r="AI146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{"issue":{"subject":"","project_id":79,"tracker_id":40,"status_id":1,"priority_id":2,"assigned_to_id":23,"start_date":"2017-05-22","description":"","custom_fields":[{"id":1,"name":"Subdivision","value":"EC"},{"id":4,"name":"Milepost","value":"23.3264"},{"id":17,"name":"Train ID","value":"231-22"},{"id":16,"name":"Locomotive ID","value":"4032"},{"id":130,"name":"Impact","value":""},{"id":150,"name":"Time of Event (Mountain Time)","value":"22:11:09"},{"id":151,"name":"Denver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3"/>
        <v>start /low /b %USERPROFILE%\Documents\GitHub\eaglep3\Utilities\DownloadLogsFromS3.py --loco 4032 --day 2017-05-22</v>
      </c>
      <c r="AN146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04:11:09"},{"id":29,"name":"Sharepoint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804</v>
      </c>
      <c r="B147" s="7">
        <v>4031</v>
      </c>
      <c r="C147" s="21" t="s">
        <v>206</v>
      </c>
      <c r="D147" s="21" t="s">
        <v>538</v>
      </c>
      <c r="E147" s="13">
        <v>42877.9296875</v>
      </c>
      <c r="F147" s="13">
        <v>42877.935590277775</v>
      </c>
      <c r="G147" s="7">
        <v>1</v>
      </c>
      <c r="H147" s="21" t="s">
        <v>356</v>
      </c>
      <c r="I147" s="13">
        <v>42877.962847222225</v>
      </c>
      <c r="J147" s="7">
        <v>0</v>
      </c>
      <c r="K147" s="92" t="str">
        <f t="shared" si="59"/>
        <v>4031/4032</v>
      </c>
      <c r="L147" s="21" t="str">
        <f>VLOOKUP(A147,'Trips&amp;Operators'!$C$1:$G$99999,5,FALSE)</f>
        <v>SMITH MICHAEL</v>
      </c>
      <c r="M147" s="6">
        <f t="shared" si="60"/>
        <v>2.7256944449618459E-2</v>
      </c>
      <c r="N147" s="7">
        <f t="shared" si="57"/>
        <v>39.250000007450581</v>
      </c>
      <c r="O147" s="7"/>
      <c r="P147" s="7"/>
      <c r="Q147" s="22"/>
      <c r="R147" s="190"/>
      <c r="S147" s="196">
        <f t="shared" si="58"/>
        <v>1</v>
      </c>
      <c r="T147" s="190" t="str">
        <f t="shared" si="61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62"/>
        <v>https://d0f6bd738d7f1b3e5a7ca70fe4ff75f0.us-east-1.aws.found.io/app/kibana#/discover/Steve-Slow-Train-Analysis-(2080s-and-2083s)?_g=(refreshInterval:(display:Off,pause:!f,section:0,value:0),time:(from:'2017-05-22T21:18:45-0600',mode:absolute,to:'2017-05-23T00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192" t="str">
        <f t="shared" si="63"/>
        <v>N</v>
      </c>
      <c r="X147" s="192">
        <f t="shared" si="56"/>
        <v>1</v>
      </c>
      <c r="Y147" s="192">
        <f t="shared" si="64"/>
        <v>23.2971</v>
      </c>
      <c r="Z147" s="192">
        <f t="shared" si="65"/>
        <v>1.49E-2</v>
      </c>
      <c r="AA147" s="192">
        <f t="shared" si="66"/>
        <v>23.2822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7"/>
        <v>0232-22</v>
      </c>
      <c r="AE147" s="80" t="str">
        <f t="shared" si="68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147" s="77" t="str">
        <f t="shared" si="69"/>
        <v>"C:\Program Files (x86)\AstroGrep\AstroGrep.exe" /e /r /s /spath="%USERPROFILE%\AppData\Local\Temp\OnboardLogs" /stypes="app*4031*20170523*" /stext=" 05:.+((SYSTEM_STATE.+slice.+state.+changed )|(ment ac)|(multiple cpu faults)|(system.+state.+changed )|(\[timeout)|(PRM\|1\|D)|(kpr)|(kdp)|(train st.+moving)|(\|lc)|(penalty))"</v>
      </c>
      <c r="AG147" s="1" t="str">
        <f t="shared" si="70"/>
        <v>EC</v>
      </c>
      <c r="AH147" s="81" t="str">
        <f t="shared" si="71"/>
        <v>"%USERPROFILE%\Documents\GitHub\eaglep3\Utilities\RefineRTDCRunTimes.py" --tripid 232-22 --locoid 4031 --swversion DE.1.0.9.0 --startMP 204:232971 --initTime 2017-05-22T22:18:45 --startdatetime 2017-05-22T22:27:15 --delay 1 --endMP 204:149 --enddatetime 2017-05-22T23:06:30 --enforcementcount 0 &gt;&gt;C:\Users\stu\Documents\GitHub\eaglep3-reporting\EC\2017-05-22-refined-times.txt</v>
      </c>
      <c r="AI147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{"issue":{"subject":"","project_id":79,"tracker_id":40,"status_id":1,"priority_id":2,"assigned_to_id":23,"start_date":"2017-05-22","description":"","custom_fields":[{"id":1,"name":"Subdivision","value":"EC"},{"id":4,"name":"Milepost","value":"0.0149"},{"id":17,"name":"Train ID","value":"232-22"},{"id":16,"name":"Locomotive ID","value":"4031"},{"id":130,"name":"Impact","value":""},{"id":150,"name":"Time of Event (Mountain Time)","value":"23:06:30"},{"id":151,"name":"Denver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3"/>
        <v>start /low /b %USERPROFILE%\Documents\GitHub\eaglep3\Utilities\DownloadLogsFromS3.py --loco 4031 --day 2017-05-22</v>
      </c>
      <c r="AN147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801</v>
      </c>
      <c r="B148" s="7">
        <v>4016</v>
      </c>
      <c r="C148" s="21" t="s">
        <v>206</v>
      </c>
      <c r="D148" s="21" t="s">
        <v>419</v>
      </c>
      <c r="E148" s="13">
        <v>42877.91028935185</v>
      </c>
      <c r="F148" s="13">
        <v>42877.916979166665</v>
      </c>
      <c r="G148" s="7">
        <v>1</v>
      </c>
      <c r="H148" s="21" t="s">
        <v>485</v>
      </c>
      <c r="I148" s="13">
        <v>42877.942604166667</v>
      </c>
      <c r="J148" s="7">
        <v>0</v>
      </c>
      <c r="K148" s="92" t="str">
        <f t="shared" si="59"/>
        <v>4015/4016</v>
      </c>
      <c r="L148" s="21" t="str">
        <f>VLOOKUP(A148,'Trips&amp;Operators'!$C$1:$G$99999,5,FALSE)</f>
        <v>MAGEE KENYA</v>
      </c>
      <c r="M148" s="6">
        <f t="shared" si="60"/>
        <v>2.5625000002037268E-2</v>
      </c>
      <c r="N148" s="7">
        <f t="shared" si="57"/>
        <v>36.900000002933666</v>
      </c>
      <c r="O148" s="7"/>
      <c r="P148" s="7"/>
      <c r="Q148" s="22"/>
      <c r="R148" s="190"/>
      <c r="S148" s="196">
        <f t="shared" si="58"/>
        <v>1</v>
      </c>
      <c r="T148" s="190" t="str">
        <f t="shared" si="61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62"/>
        <v>https://d0f6bd738d7f1b3e5a7ca70fe4ff75f0.us-east-1.aws.found.io/app/kibana#/discover/Steve-Slow-Train-Analysis-(2080s-and-2083s)?_g=(refreshInterval:(display:Off,pause:!f,section:0,value:0),time:(from:'2017-05-22T20:50:49-0600',mode:absolute,to:'2017-05-22T23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192" t="str">
        <f t="shared" si="63"/>
        <v>N</v>
      </c>
      <c r="X148" s="192">
        <f t="shared" si="56"/>
        <v>1</v>
      </c>
      <c r="Y148" s="192">
        <f t="shared" si="64"/>
        <v>4.7300000000000002E-2</v>
      </c>
      <c r="Z148" s="192">
        <f t="shared" si="65"/>
        <v>23.330200000000001</v>
      </c>
      <c r="AA148" s="192">
        <f t="shared" si="66"/>
        <v>23.282900000000001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7"/>
        <v>0233-22</v>
      </c>
      <c r="AE148" s="80" t="str">
        <f t="shared" si="68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148" s="77" t="str">
        <f t="shared" si="69"/>
        <v>"C:\Program Files (x86)\AstroGrep\AstroGrep.exe" /e /r /s /spath="%USERPROFILE%\AppData\Local\Temp\OnboardLogs" /stypes="app*4016*20170523*" /stext=" 04:.+((SYSTEM_STATE.+slice.+state.+changed )|(ment ac)|(multiple cpu faults)|(system.+state.+changed )|(\[timeout)|(PRM\|1\|D)|(kpr)|(kdp)|(train st.+moving)|(\|lc)|(penalty))"</v>
      </c>
      <c r="AG148" s="1" t="str">
        <f t="shared" si="70"/>
        <v>EC</v>
      </c>
      <c r="AH148" s="81" t="str">
        <f t="shared" si="71"/>
        <v>"%USERPROFILE%\Documents\GitHub\eaglep3\Utilities\RefineRTDCRunTimes.py" --tripid 233-22 --locoid 4016 --swversion DE.1.0.9.0 --startMP 204:473 --initTime 2017-05-22T21:50:49 --startdatetime 2017-05-22T22:00:27 --delay 1 --endMP 204:233302 --enddatetime 2017-05-22T22:37:21 --enforcementcount 0 &gt;&gt;C:\Users\stu\Documents\GitHub\eaglep3-reporting\EC\2017-05-22-refined-times.txt</v>
      </c>
      <c r="AI148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{"issue":{"subject":"","project_id":79,"tracker_id":40,"status_id":1,"priority_id":2,"assigned_to_id":23,"start_date":"2017-05-22","description":"","custom_fields":[{"id":1,"name":"Subdivision","value":"EC"},{"id":4,"name":"Milepost","value":"23.3302"},{"id":17,"name":"Train ID","value":"233-22"},{"id":16,"name":"Locomotive ID","value":"4016"},{"id":130,"name":"Impact","value":""},{"id":150,"name":"Time of Event (Mountain Time)","value":"22:37:21"},{"id":151,"name":"Denver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3"/>
        <v>start /low /b %USERPROFILE%\Documents\GitHub\eaglep3\Utilities\DownloadLogsFromS3.py --loco 4016 --day 2017-05-22</v>
      </c>
      <c r="AN148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805</v>
      </c>
      <c r="B149" s="7">
        <v>4015</v>
      </c>
      <c r="C149" s="21" t="s">
        <v>206</v>
      </c>
      <c r="D149" s="21" t="s">
        <v>465</v>
      </c>
      <c r="E149" s="13">
        <v>42877.949803240743</v>
      </c>
      <c r="F149" s="13">
        <v>42877.956516203703</v>
      </c>
      <c r="G149" s="7">
        <v>1</v>
      </c>
      <c r="H149" s="21" t="s">
        <v>482</v>
      </c>
      <c r="I149" s="13">
        <v>42877.983344907407</v>
      </c>
      <c r="J149" s="7">
        <v>0</v>
      </c>
      <c r="K149" s="92" t="str">
        <f t="shared" si="59"/>
        <v>4015/4016</v>
      </c>
      <c r="L149" s="21" t="str">
        <f>VLOOKUP(A149,'Trips&amp;Operators'!$C$1:$G$99999,5,FALSE)</f>
        <v>MAGEE KENYA</v>
      </c>
      <c r="M149" s="6">
        <f t="shared" si="60"/>
        <v>2.6828703703358769E-2</v>
      </c>
      <c r="N149" s="7">
        <f t="shared" si="57"/>
        <v>38.633333332836628</v>
      </c>
      <c r="O149" s="7"/>
      <c r="P149" s="7"/>
      <c r="Q149" s="22"/>
      <c r="R149" s="190"/>
      <c r="S149" s="196">
        <f t="shared" si="58"/>
        <v>1</v>
      </c>
      <c r="T149" s="190" t="str">
        <f t="shared" si="61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62"/>
        <v>https://d0f6bd738d7f1b3e5a7ca70fe4ff75f0.us-east-1.aws.found.io/app/kibana#/discover/Steve-Slow-Train-Analysis-(2080s-and-2083s)?_g=(refreshInterval:(display:Off,pause:!f,section:0,value:0),time:(from:'2017-05-22T21:47:43-0600',mode:absolute,to:'2017-05-23T00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192" t="str">
        <f t="shared" si="63"/>
        <v>N</v>
      </c>
      <c r="X149" s="192">
        <f t="shared" si="56"/>
        <v>1</v>
      </c>
      <c r="Y149" s="192">
        <f t="shared" si="64"/>
        <v>23.302099999999999</v>
      </c>
      <c r="Z149" s="192">
        <f t="shared" si="65"/>
        <v>1.6500000000000001E-2</v>
      </c>
      <c r="AA149" s="192">
        <f t="shared" si="66"/>
        <v>23.285599999999999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7"/>
        <v>0234-22</v>
      </c>
      <c r="AE149" s="80" t="str">
        <f t="shared" si="68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149" s="77" t="str">
        <f t="shared" si="69"/>
        <v>"C:\Program Files (x86)\AstroGrep\AstroGrep.exe" /e /r /s /spath="%USERPROFILE%\AppData\Local\Temp\OnboardLogs" /stypes="app*4015*20170523*" /stext=" 05:.+((SYSTEM_STATE.+slice.+state.+changed )|(ment ac)|(multiple cpu faults)|(system.+state.+changed )|(\[timeout)|(PRM\|1\|D)|(kpr)|(kdp)|(train st.+moving)|(\|lc)|(penalty))"</v>
      </c>
      <c r="AG149" s="1" t="str">
        <f t="shared" si="70"/>
        <v>EC</v>
      </c>
      <c r="AH149" s="81" t="str">
        <f t="shared" si="71"/>
        <v>"%USERPROFILE%\Documents\GitHub\eaglep3\Utilities\RefineRTDCRunTimes.py" --tripid 234-22 --locoid 4015 --swversion DE.1.0.9.0 --startMP 204:233021 --initTime 2017-05-22T22:47:43 --startdatetime 2017-05-22T22:57:23 --delay 1 --endMP 204:165 --enddatetime 2017-05-22T23:36:01 --enforcementcount 0 &gt;&gt;C:\Users\stu\Documents\GitHub\eaglep3-reporting\EC\2017-05-22-refined-times.txt</v>
      </c>
      <c r="AI149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{"issue":{"subject":"","project_id":79,"tracker_id":40,"status_id":1,"priority_id":2,"assigned_to_id":23,"start_date":"2017-05-22","description":"","custom_fields":[{"id":1,"name":"Subdivision","value":"EC"},{"id":4,"name":"Milepost","value":"0.0165"},{"id":17,"name":"Train ID","value":"234-22"},{"id":16,"name":"Locomotive ID","value":"4015"},{"id":130,"name":"Impact","value":""},{"id":150,"name":"Time of Event (Mountain Time)","value":"23:36:01"},{"id":151,"name":"Denver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3"/>
        <v>start /low /b %USERPROFILE%\Documents\GitHub\eaglep3\Utilities\DownloadLogsFromS3.py --loco 4015 --day 2017-05-22</v>
      </c>
      <c r="AN149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803</v>
      </c>
      <c r="B150" s="7">
        <v>4014</v>
      </c>
      <c r="C150" s="21" t="s">
        <v>206</v>
      </c>
      <c r="D150" s="21" t="s">
        <v>363</v>
      </c>
      <c r="E150" s="13">
        <v>42877.929050925923</v>
      </c>
      <c r="F150" s="13">
        <v>42877.937673611108</v>
      </c>
      <c r="G150" s="7">
        <v>1</v>
      </c>
      <c r="H150" s="21" t="s">
        <v>532</v>
      </c>
      <c r="I150" s="13">
        <v>42877.96361111111</v>
      </c>
      <c r="J150" s="7">
        <v>0</v>
      </c>
      <c r="K150" s="92" t="str">
        <f t="shared" si="59"/>
        <v>4013/4014</v>
      </c>
      <c r="L150" s="21" t="str">
        <f>VLOOKUP(A150,'Trips&amp;Operators'!$C$1:$G$99999,5,FALSE)</f>
        <v>GUZMAN DANNY</v>
      </c>
      <c r="M150" s="6">
        <f t="shared" si="60"/>
        <v>2.5937500002328306E-2</v>
      </c>
      <c r="N150" s="7">
        <f t="shared" si="57"/>
        <v>37.350000003352761</v>
      </c>
      <c r="O150" s="7"/>
      <c r="P150" s="7"/>
      <c r="Q150" s="22"/>
      <c r="R150" s="190"/>
      <c r="S150" s="196">
        <f t="shared" si="58"/>
        <v>1</v>
      </c>
      <c r="T150" s="190" t="str">
        <f t="shared" si="61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62"/>
        <v>https://d0f6bd738d7f1b3e5a7ca70fe4ff75f0.us-east-1.aws.found.io/app/kibana#/discover/Steve-Slow-Train-Analysis-(2080s-and-2083s)?_g=(refreshInterval:(display:Off,pause:!f,section:0,value:0),time:(from:'2017-05-22T21:17:50-0600',mode:absolute,to:'2017-05-23T00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92" t="str">
        <f t="shared" si="63"/>
        <v>N</v>
      </c>
      <c r="X150" s="192">
        <f t="shared" si="56"/>
        <v>1</v>
      </c>
      <c r="Y150" s="192">
        <f t="shared" si="64"/>
        <v>4.53E-2</v>
      </c>
      <c r="Z150" s="192">
        <f t="shared" si="65"/>
        <v>23.338899999999999</v>
      </c>
      <c r="AA150" s="192">
        <f t="shared" si="66"/>
        <v>23.293599999999998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7"/>
        <v>0235-22</v>
      </c>
      <c r="AE150" s="80" t="str">
        <f t="shared" si="68"/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AF150" s="77" t="str">
        <f t="shared" si="69"/>
        <v>"C:\Program Files (x86)\AstroGrep\AstroGrep.exe" /e /r /s /spath="%USERPROFILE%\AppData\Local\Temp\OnboardLogs" /stypes="app*4014*20170523*" /stext=" 05:.+((SYSTEM_STATE.+slice.+state.+changed )|(ment ac)|(multiple cpu faults)|(system.+state.+changed )|(\[timeout)|(PRM\|1\|D)|(kpr)|(kdp)|(train st.+moving)|(\|lc)|(penalty))"</v>
      </c>
      <c r="AG150" s="1" t="str">
        <f t="shared" si="70"/>
        <v>EC</v>
      </c>
      <c r="AH150" s="81" t="str">
        <f t="shared" si="71"/>
        <v>"%USERPROFILE%\Documents\GitHub\eaglep3\Utilities\RefineRTDCRunTimes.py" --tripid 235-22 --locoid 4014 --swversion DE.1.0.9.0 --startMP 204:453 --initTime 2017-05-22T22:17:50 --startdatetime 2017-05-22T22:30:15 --delay 1 --endMP 204:233389 --enddatetime 2017-05-22T23:07:36 --enforcementcount 0 &gt;&gt;C:\Users\stu\Documents\GitHub\eaglep3-reporting\EC\2017-05-22-refined-times.txt</v>
      </c>
      <c r="AI150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{"issue":{"subject":"","project_id":79,"tracker_id":40,"status_id":1,"priority_id":2,"assigned_to_id":23,"start_date":"2017-05-22","description":"","custom_fields":[{"id":1,"name":"Subdivision","value":"EC"},{"id":4,"name":"Milepost","value":"23.3389"},{"id":17,"name":"Train ID","value":"235-22"},{"id":16,"name":"Locomotive ID","value":"4014"},{"id":130,"name":"Impact","value":""},{"id":150,"name":"Time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73"/>
        <v>start /low /b %USERPROFILE%\Documents\GitHub\eaglep3\Utilities\DownloadLogsFromS3.py --loco 4014 --day 2017-05-22</v>
      </c>
      <c r="AN150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2" t="s">
        <v>808</v>
      </c>
      <c r="B151" s="7">
        <v>4013</v>
      </c>
      <c r="C151" s="21" t="s">
        <v>206</v>
      </c>
      <c r="D151" s="21" t="s">
        <v>541</v>
      </c>
      <c r="E151" s="13">
        <v>42877.966458333336</v>
      </c>
      <c r="F151" s="13">
        <v>42877.977430555555</v>
      </c>
      <c r="G151" s="7">
        <v>1</v>
      </c>
      <c r="H151" s="21" t="s">
        <v>413</v>
      </c>
      <c r="I151" s="13">
        <v>42878.005289351851</v>
      </c>
      <c r="J151" s="7">
        <v>0</v>
      </c>
      <c r="K151" s="92" t="str">
        <f t="shared" si="59"/>
        <v>4013/4014</v>
      </c>
      <c r="L151" s="21" t="str">
        <f>VLOOKUP(A151,'Trips&amp;Operators'!$C$1:$G$99999,5,FALSE)</f>
        <v>GUZMAN DANNY</v>
      </c>
      <c r="M151" s="6">
        <f t="shared" si="60"/>
        <v>2.7858796296641231E-2</v>
      </c>
      <c r="N151" s="7">
        <f t="shared" si="57"/>
        <v>40.116666667163372</v>
      </c>
      <c r="O151" s="7"/>
      <c r="P151" s="7"/>
      <c r="Q151" s="22"/>
      <c r="R151" s="190"/>
      <c r="S151" s="196">
        <f t="shared" si="58"/>
        <v>1</v>
      </c>
      <c r="T151" s="190" t="str">
        <f t="shared" si="61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62"/>
        <v>https://d0f6bd738d7f1b3e5a7ca70fe4ff75f0.us-east-1.aws.found.io/app/kibana#/discover/Steve-Slow-Train-Analysis-(2080s-and-2083s)?_g=(refreshInterval:(display:Off,pause:!f,section:0,value:0),time:(from:'2017-05-22T22:11:42-0600',mode:absolute,to:'2017-05-23T01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92" t="str">
        <f t="shared" si="63"/>
        <v>N</v>
      </c>
      <c r="X151" s="192">
        <f t="shared" si="56"/>
        <v>1</v>
      </c>
      <c r="Y151" s="192">
        <f t="shared" si="64"/>
        <v>23.305900000000001</v>
      </c>
      <c r="Z151" s="192">
        <f t="shared" si="65"/>
        <v>1.54E-2</v>
      </c>
      <c r="AA151" s="192">
        <f t="shared" si="66"/>
        <v>23.290500000000002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7"/>
        <v>0236-22</v>
      </c>
      <c r="AE151" s="80" t="str">
        <f t="shared" si="68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151" s="77" t="str">
        <f t="shared" si="69"/>
        <v>"C:\Program Files (x86)\AstroGrep\AstroGrep.exe" /e /r /s /spath="%USERPROFILE%\AppData\Local\Temp\OnboardLogs" /stypes="app*4013*20170523*" /stext=" 06:.+((SYSTEM_STATE.+slice.+state.+changed )|(ment ac)|(multiple cpu faults)|(system.+state.+changed )|(\[timeout)|(PRM\|1\|D)|(kpr)|(kdp)|(train st.+moving)|(\|lc)|(penalty))"</v>
      </c>
      <c r="AG151" s="1" t="str">
        <f t="shared" si="70"/>
        <v>EC</v>
      </c>
      <c r="AH151" s="81" t="str">
        <f t="shared" si="71"/>
        <v>"%USERPROFILE%\Documents\GitHub\eaglep3\Utilities\RefineRTDCRunTimes.py" --tripid 236-22 --locoid 4013 --swversion DE.1.0.9.0 --startMP 204:233059 --initTime 2017-05-22T23:11:42 --startdatetime 2017-05-22T23:27:30 --delay 1 --endMP 204:154 --enddatetime 2017-05-23T00:07:37 --enforcementcount 0 &gt;&gt;C:\Users\stu\Documents\GitHub\eaglep3-reporting\EC\2017-05-22-refined-times.txt</v>
      </c>
      <c r="AI151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{"issue":{"subject":"","project_id":79,"tracker_id":40,"status_id":1,"priority_id":2,"assigned_to_id":23,"start_date":"2017-05-23","description":"","custom_fields":[{"id":1,"name":"Subdivision","value":"EC"},{"id":4,"name":"Milepost","value":"0.0154"},{"id":17,"name":"Train ID","value":"236-22"},{"id":16,"name":"Locomotive ID","value":"4013"},{"id":130,"name":"Impact","value":""},{"id":150,"name":"Time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3"/>
        <v>start /low /b %USERPROFILE%\Documents\GitHub\eaglep3\Utilities\DownloadLogsFromS3.py --loco 4013 --day 2017-05-22</v>
      </c>
      <c r="AN151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806</v>
      </c>
      <c r="B152" s="7">
        <v>4006</v>
      </c>
      <c r="C152" s="21" t="s">
        <v>206</v>
      </c>
      <c r="D152" s="21" t="s">
        <v>464</v>
      </c>
      <c r="E152" s="13">
        <v>42877.954398148147</v>
      </c>
      <c r="F152" s="13">
        <v>42877.958692129629</v>
      </c>
      <c r="G152" s="7">
        <v>1</v>
      </c>
      <c r="H152" s="21" t="s">
        <v>415</v>
      </c>
      <c r="I152" s="13">
        <v>42877.984837962962</v>
      </c>
      <c r="J152" s="7">
        <v>0</v>
      </c>
      <c r="K152" s="92" t="str">
        <f t="shared" si="59"/>
        <v>4005/4006</v>
      </c>
      <c r="L152" s="21" t="str">
        <f>VLOOKUP(A152,'Trips&amp;Operators'!$C$1:$G$99999,5,FALSE)</f>
        <v>PERKINS DARREN</v>
      </c>
      <c r="M152" s="6">
        <f t="shared" si="60"/>
        <v>2.6145833333430346E-2</v>
      </c>
      <c r="N152" s="7">
        <f t="shared" si="57"/>
        <v>37.650000000139698</v>
      </c>
      <c r="O152" s="7"/>
      <c r="P152" s="7"/>
      <c r="Q152" s="22"/>
      <c r="R152" s="190"/>
      <c r="S152" s="196">
        <f t="shared" si="58"/>
        <v>1</v>
      </c>
      <c r="T152" s="190" t="str">
        <f t="shared" si="61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62"/>
        <v>https://d0f6bd738d7f1b3e5a7ca70fe4ff75f0.us-east-1.aws.found.io/app/kibana#/discover/Steve-Slow-Train-Analysis-(2080s-and-2083s)?_g=(refreshInterval:(display:Off,pause:!f,section:0,value:0),time:(from:'2017-05-22T21:54:20-0600',mode:absolute,to:'2017-05-23T00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192" t="str">
        <f t="shared" si="63"/>
        <v>N</v>
      </c>
      <c r="X152" s="192">
        <f t="shared" si="56"/>
        <v>1</v>
      </c>
      <c r="Y152" s="192">
        <f t="shared" si="64"/>
        <v>4.3799999999999999E-2</v>
      </c>
      <c r="Z152" s="192">
        <f t="shared" si="65"/>
        <v>23.329499999999999</v>
      </c>
      <c r="AA152" s="192">
        <f t="shared" si="66"/>
        <v>23.285699999999999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7"/>
        <v>0237-22</v>
      </c>
      <c r="AE152" s="80" t="str">
        <f t="shared" si="68"/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AF152" s="77" t="str">
        <f t="shared" si="69"/>
        <v>"C:\Program Files (x86)\AstroGrep\AstroGrep.exe" /e /r /s /spath="%USERPROFILE%\AppData\Local\Temp\OnboardLogs" /stypes="app*4006*20170523*" /stext=" 05:.+((SYSTEM_STATE.+slice.+state.+changed )|(ment ac)|(multiple cpu faults)|(system.+state.+changed )|(\[timeout)|(PRM\|1\|D)|(kpr)|(kdp)|(train st.+moving)|(\|lc)|(penalty))"</v>
      </c>
      <c r="AG152" s="1" t="str">
        <f t="shared" si="70"/>
        <v>EC</v>
      </c>
      <c r="AH152" s="81" t="str">
        <f t="shared" si="71"/>
        <v>"%USERPROFILE%\Documents\GitHub\eaglep3\Utilities\RefineRTDCRunTimes.py" --tripid 237-22 --locoid 4006 --swversion DE.1.0.9.0 --startMP 204:438 --initTime 2017-05-22T22:54:20 --startdatetime 2017-05-22T23:00:31 --delay 1 --endMP 204:233295 --enddatetime 2017-05-22T23:38:10 --enforcementcount 0 &gt;&gt;C:\Users\stu\Documents\GitHub\eaglep3-reporting\EC\2017-05-22-refined-times.txt</v>
      </c>
      <c r="AI152" s="99" t="str">
        <f t="shared" si="72"/>
        <v>echo {"issue":{"subject":"","project_id":79,"tracker_id":40,"status_id":1,"priority_id":2,"assigned_to_id":23,"start_date":"2017-05-22","description":"","custom_fields":[{"id":1,"name":"Subdivision","value":"EC"},{"id":4,"name":"Milepost","value":"23.3295"},{"id":17,"name":"Train ID","value":"237-22"},{"id":16,"name":"Locomotive ID","value":"4006"},{"id":130,"name":"Impact","value":""},{"id":150,"name":"Time of Event (Mountain Time)","value":"23:38:10"},{"id":151,"name":"Denver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3"/>
        <v>start /low /b %USERPROFILE%\Documents\GitHub\eaglep3\Utilities\DownloadLogsFromS3.py --loco 4006 --day 2017-05-22</v>
      </c>
      <c r="AN152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620</v>
      </c>
      <c r="B153" s="7">
        <v>4005</v>
      </c>
      <c r="C153" s="21" t="s">
        <v>206</v>
      </c>
      <c r="D153" s="21" t="s">
        <v>861</v>
      </c>
      <c r="E153" s="13">
        <v>42877.990902777776</v>
      </c>
      <c r="F153" s="13">
        <v>42877.998159722221</v>
      </c>
      <c r="G153" s="7">
        <v>1</v>
      </c>
      <c r="H153" s="21" t="s">
        <v>197</v>
      </c>
      <c r="I153" s="13">
        <v>42878.025567129633</v>
      </c>
      <c r="J153" s="7">
        <v>0</v>
      </c>
      <c r="K153" s="92" t="str">
        <f t="shared" si="59"/>
        <v>4005/4006</v>
      </c>
      <c r="L153" s="21" t="str">
        <f>VLOOKUP(A153,'Trips&amp;Operators'!$C$1:$G$99999,5,FALSE)</f>
        <v>PERKINS DARREN</v>
      </c>
      <c r="M153" s="6">
        <f t="shared" si="60"/>
        <v>2.7407407411374152E-2</v>
      </c>
      <c r="N153" s="7">
        <f t="shared" si="57"/>
        <v>39.466666672378778</v>
      </c>
      <c r="O153" s="7"/>
      <c r="P153" s="7"/>
      <c r="Q153" s="22"/>
      <c r="R153" s="190"/>
      <c r="S153" s="196">
        <f t="shared" si="58"/>
        <v>1</v>
      </c>
      <c r="T153" s="190" t="str">
        <f t="shared" si="61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62"/>
        <v>https://d0f6bd738d7f1b3e5a7ca70fe4ff75f0.us-east-1.aws.found.io/app/kibana#/discover/Steve-Slow-Train-Analysis-(2080s-and-2083s)?_g=(refreshInterval:(display:Off,pause:!f,section:0,value:0),time:(from:'2017-05-22T22:46:54-0600',mode:absolute,to:'2017-05-23T01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192" t="str">
        <f t="shared" si="63"/>
        <v>N</v>
      </c>
      <c r="X153" s="192">
        <f t="shared" si="56"/>
        <v>1</v>
      </c>
      <c r="Y153" s="192">
        <f t="shared" si="64"/>
        <v>23.297899999999998</v>
      </c>
      <c r="Z153" s="192">
        <f t="shared" si="65"/>
        <v>1.52E-2</v>
      </c>
      <c r="AA153" s="192">
        <f t="shared" si="66"/>
        <v>23.282699999999998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7"/>
        <v>0238-22</v>
      </c>
      <c r="AE153" s="80" t="str">
        <f t="shared" si="68"/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AF153" s="77" t="str">
        <f t="shared" si="69"/>
        <v>"C:\Program Files (x86)\AstroGrep\AstroGrep.exe" /e /r /s /spath="%USERPROFILE%\AppData\Local\Temp\OnboardLogs" /stypes="app*4005*20170523*" /stext=" 06:.+((SYSTEM_STATE.+slice.+state.+changed )|(ment ac)|(multiple cpu faults)|(system.+state.+changed )|(\[timeout)|(PRM\|1\|D)|(kpr)|(kdp)|(train st.+moving)|(\|lc)|(penalty))"</v>
      </c>
      <c r="AG153" s="1" t="str">
        <f t="shared" si="70"/>
        <v>EC</v>
      </c>
      <c r="AH153" s="81" t="str">
        <f t="shared" si="71"/>
        <v>"%USERPROFILE%\Documents\GitHub\eaglep3\Utilities\RefineRTDCRunTimes.py" --tripid 238-22 --locoid 4005 --swversion DE.1.0.9.0 --startMP 204:232979 --initTime 2017-05-22T23:46:54 --startdatetime 2017-05-22T23:57:21 --delay 1 --endMP 204:152 --enddatetime 2017-05-23T00:36:49 --enforcementcount 0 &gt;&gt;C:\Users\stu\Documents\GitHub\eaglep3-reporting\EC\2017-05-22-refined-times.txt</v>
      </c>
      <c r="AI153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{"issue":{"subject":"","project_id":79,"tracker_id":40,"status_id":1,"priority_id":2,"assigned_to_id":23,"start_date":"2017-05-23","description":"","custom_fields":[{"id":1,"name":"Subdivision","value":"EC"},{"id":4,"name":"Milepost","value":"0.0152"},{"id":17,"name":"Train ID","value":"238-22"},{"id":16,"name":"Locomotive ID","value":"4005"},{"id":130,"name":"Impact","value":""},{"id":150,"name":"Time of Event (Mountain Time)","value":"00:36:49"},{"id":151,"name":"Denver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3"/>
        <v>start /low /b %USERPROFILE%\Documents\GitHub\eaglep3\Utilities\DownloadLogsFromS3.py --loco 4005 --day 2017-05-22</v>
      </c>
      <c r="AN153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06:36:49"},{"id":29,"name":"Sharepoint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807</v>
      </c>
      <c r="B154" s="7">
        <v>4032</v>
      </c>
      <c r="C154" s="21" t="s">
        <v>206</v>
      </c>
      <c r="D154" s="21" t="s">
        <v>419</v>
      </c>
      <c r="E154" s="13">
        <v>42877.964803240742</v>
      </c>
      <c r="F154" s="13">
        <v>42877.979537037034</v>
      </c>
      <c r="G154" s="7">
        <v>1</v>
      </c>
      <c r="H154" s="21" t="s">
        <v>893</v>
      </c>
      <c r="I154" s="13">
        <v>42878.005057870374</v>
      </c>
      <c r="J154" s="7">
        <v>0</v>
      </c>
      <c r="K154" s="92" t="str">
        <f t="shared" si="59"/>
        <v>4031/4032</v>
      </c>
      <c r="L154" s="21" t="str">
        <f>VLOOKUP(A154,'Trips&amp;Operators'!$C$1:$G$99999,5,FALSE)</f>
        <v>SMITH MICHAEL</v>
      </c>
      <c r="M154" s="6">
        <f t="shared" si="60"/>
        <v>2.5520833340124227E-2</v>
      </c>
      <c r="N154" s="7">
        <f t="shared" si="57"/>
        <v>36.750000009778887</v>
      </c>
      <c r="O154" s="7"/>
      <c r="P154" s="7"/>
      <c r="Q154" s="22"/>
      <c r="R154" s="190"/>
      <c r="S154" s="196">
        <f t="shared" si="58"/>
        <v>1</v>
      </c>
      <c r="T154" s="190" t="str">
        <f t="shared" si="61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62"/>
        <v>https://d0f6bd738d7f1b3e5a7ca70fe4ff75f0.us-east-1.aws.found.io/app/kibana#/discover/Steve-Slow-Train-Analysis-(2080s-and-2083s)?_g=(refreshInterval:(display:Off,pause:!f,section:0,value:0),time:(from:'2017-05-22T22:09:19-0600',mode:absolute,to:'2017-05-23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4" s="192" t="str">
        <f t="shared" si="63"/>
        <v>N</v>
      </c>
      <c r="X154" s="192">
        <f t="shared" si="56"/>
        <v>1</v>
      </c>
      <c r="Y154" s="192">
        <f t="shared" si="64"/>
        <v>4.7300000000000002E-2</v>
      </c>
      <c r="Z154" s="192">
        <f t="shared" si="65"/>
        <v>23.324000000000002</v>
      </c>
      <c r="AA154" s="192">
        <f t="shared" si="66"/>
        <v>23.276700000000002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7"/>
        <v>0239-22</v>
      </c>
      <c r="AE154" s="80" t="str">
        <f t="shared" si="68"/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AF154" s="77" t="str">
        <f t="shared" si="69"/>
        <v>"C:\Program Files (x86)\AstroGrep\AstroGrep.exe" /e /r /s /spath="%USERPROFILE%\AppData\Local\Temp\OnboardLogs" /stypes="app*4032*20170523*" /stext=" 06:.+((SYSTEM_STATE.+slice.+state.+changed )|(ment ac)|(multiple cpu faults)|(system.+state.+changed )|(\[timeout)|(PRM\|1\|D)|(kpr)|(kdp)|(train st.+moving)|(\|lc)|(penalty))"</v>
      </c>
      <c r="AG154" s="1" t="str">
        <f t="shared" si="70"/>
        <v>EC</v>
      </c>
      <c r="AH154" s="81" t="str">
        <f t="shared" si="71"/>
        <v>"%USERPROFILE%\Documents\GitHub\eaglep3\Utilities\RefineRTDCRunTimes.py" --tripid 239-22 --locoid 4032 --swversion DE.1.0.9.0 --startMP 204:473 --initTime 2017-05-22T23:09:19 --startdatetime 2017-05-22T23:30:32 --delay 1 --endMP 204:233240 --enddatetime 2017-05-23T00:07:17 --enforcementcount 0 &gt;&gt;C:\Users\stu\Documents\GitHub\eaglep3-reporting\EC\2017-05-22-refined-times.txt</v>
      </c>
      <c r="AI154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{"issue":{"subject":"","project_id":79,"tracker_id":40,"status_id":1,"priority_id":2,"assigned_to_id":23,"start_date":"2017-05-23","description":"","custom_fields":[{"id":1,"name":"Subdivision","value":"EC"},{"id":4,"name":"Milepost","value":"23.324"},{"id":17,"name":"Train ID","value":"239-22"},{"id":16,"name":"Locomotive ID","value":"4032"},{"id":130,"name":"Impact","value":""},{"id":150,"name":"Time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3"/>
        <v>start /low /b %USERPROFILE%\Documents\GitHub\eaglep3\Utilities\DownloadLogsFromS3.py --loco 4032 --day 2017-05-22</v>
      </c>
      <c r="AN154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811</v>
      </c>
      <c r="B155" s="7">
        <v>4031</v>
      </c>
      <c r="C155" s="21" t="s">
        <v>206</v>
      </c>
      <c r="D155" s="21" t="s">
        <v>829</v>
      </c>
      <c r="E155" s="13">
        <v>42878.009189814817</v>
      </c>
      <c r="F155" s="13">
        <v>42878.018923611111</v>
      </c>
      <c r="G155" s="7">
        <v>1</v>
      </c>
      <c r="H155" s="21" t="s">
        <v>197</v>
      </c>
      <c r="I155" s="13">
        <v>42878.045601851853</v>
      </c>
      <c r="J155" s="7">
        <v>0</v>
      </c>
      <c r="K155" s="92" t="str">
        <f t="shared" si="59"/>
        <v>4031/4032</v>
      </c>
      <c r="L155" s="21" t="str">
        <f>VLOOKUP(A155,'Trips&amp;Operators'!$C$1:$G$99999,5,FALSE)</f>
        <v>SMITH MICHAEL</v>
      </c>
      <c r="M155" s="6">
        <f t="shared" si="60"/>
        <v>2.6678240741603076E-2</v>
      </c>
      <c r="N155" s="7">
        <f t="shared" si="57"/>
        <v>38.41666666790843</v>
      </c>
      <c r="O155" s="7"/>
      <c r="P155" s="7"/>
      <c r="Q155" s="22"/>
      <c r="R155" s="190"/>
      <c r="S155" s="196">
        <f t="shared" si="58"/>
        <v>1</v>
      </c>
      <c r="T155" s="190" t="str">
        <f t="shared" si="61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62"/>
        <v>https://d0f6bd738d7f1b3e5a7ca70fe4ff75f0.us-east-1.aws.found.io/app/kibana#/discover/Steve-Slow-Train-Analysis-(2080s-and-2083s)?_g=(refreshInterval:(display:Off,pause:!f,section:0,value:0),time:(from:'2017-05-22T23:13:14-0600',mode:absolute,to:'2017-05-23T02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192" t="str">
        <f t="shared" si="63"/>
        <v>N</v>
      </c>
      <c r="X155" s="192">
        <f t="shared" si="56"/>
        <v>1</v>
      </c>
      <c r="Y155" s="192">
        <f t="shared" si="64"/>
        <v>23.2989</v>
      </c>
      <c r="Z155" s="192">
        <f t="shared" si="65"/>
        <v>1.52E-2</v>
      </c>
      <c r="AA155" s="192">
        <f t="shared" si="66"/>
        <v>23.2837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7"/>
        <v>0240-22</v>
      </c>
      <c r="AE155" s="80" t="str">
        <f t="shared" si="68"/>
        <v>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 &amp; 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</v>
      </c>
      <c r="AF155" s="77" t="str">
        <f t="shared" si="69"/>
        <v>"C:\Program Files (x86)\AstroGrep\AstroGrep.exe" /e /r /s /spath="%USERPROFILE%\AppData\Local\Temp\OnboardLogs" /stypes="app*4031*20170523*" /stext=" 07:.+((SYSTEM_STATE.+slice.+state.+changed )|(ment ac)|(multiple cpu faults)|(system.+state.+changed )|(\[timeout)|(PRM\|1\|D)|(kpr)|(kdp)|(train st.+moving)|(\|lc)|(penalty))"</v>
      </c>
      <c r="AG155" s="1" t="str">
        <f t="shared" si="70"/>
        <v>EC</v>
      </c>
      <c r="AH155" s="81" t="str">
        <f t="shared" si="71"/>
        <v>"%USERPROFILE%\Documents\GitHub\eaglep3\Utilities\RefineRTDCRunTimes.py" --tripid 240-22 --locoid 4031 --swversion DE.1.0.9.0 --startMP 204:232989 --initTime 2017-05-23T00:13:14 --startdatetime 2017-05-23T00:27:15 --delay 1 --endMP 204:152 --enddatetime 2017-05-23T01:05:40 --enforcementcount 0 &gt;&gt;C:\Users\stu\Documents\GitHub\eaglep3-reporting\EC\2017-05-22-refined-times.txt</v>
      </c>
      <c r="AI155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{"issue":{"subject":"","project_id":79,"tracker_id":40,"status_id":1,"priority_id":2,"assigned_to_id":23,"start_date":"2017-05-23","description":"","custom_fields":[{"id":1,"name":"Subdivision","value":"EC"},{"id":4,"name":"Milepost","value":"0.0152"},{"id":17,"name":"Train ID","value":"240-22"},{"id":16,"name":"Locomotive ID","value":"4031"},{"id":130,"name":"Impact","value":""},{"id":150,"name":"Time of Event (Mountain Time)","value":"01:05:40"},{"id":151,"name":"Denver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3"/>
        <v>start /low /b %USERPROFILE%\Documents\GitHub\eaglep3\Utilities\DownloadLogsFromS3.py --loco 4031 --day 2017-05-23</v>
      </c>
      <c r="AN155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809</v>
      </c>
      <c r="B156" s="7">
        <v>4016</v>
      </c>
      <c r="C156" s="21" t="s">
        <v>206</v>
      </c>
      <c r="D156" s="21" t="s">
        <v>363</v>
      </c>
      <c r="E156" s="13">
        <v>42877.997048611112</v>
      </c>
      <c r="F156" s="13">
        <v>42878.000162037039</v>
      </c>
      <c r="G156" s="7">
        <v>1</v>
      </c>
      <c r="H156" s="21" t="s">
        <v>569</v>
      </c>
      <c r="I156" s="13">
        <v>42878.025034722225</v>
      </c>
      <c r="J156" s="7">
        <v>0</v>
      </c>
      <c r="K156" s="92" t="str">
        <f t="shared" si="59"/>
        <v>4015/4016</v>
      </c>
      <c r="L156" s="21" t="str">
        <f>VLOOKUP(A156,'Trips&amp;Operators'!$C$1:$G$99999,5,FALSE)</f>
        <v>MAGEE KENYA</v>
      </c>
      <c r="M156" s="6">
        <f t="shared" si="60"/>
        <v>2.4872685185982846E-2</v>
      </c>
      <c r="N156" s="7">
        <f t="shared" si="57"/>
        <v>35.816666667815298</v>
      </c>
      <c r="O156" s="7"/>
      <c r="P156" s="7"/>
      <c r="Q156" s="22"/>
      <c r="R156" s="190"/>
      <c r="S156" s="196">
        <f t="shared" si="58"/>
        <v>1</v>
      </c>
      <c r="T156" s="190" t="str">
        <f t="shared" si="61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62"/>
        <v>https://d0f6bd738d7f1b3e5a7ca70fe4ff75f0.us-east-1.aws.found.io/app/kibana#/discover/Steve-Slow-Train-Analysis-(2080s-and-2083s)?_g=(refreshInterval:(display:Off,pause:!f,section:0,value:0),time:(from:'2017-05-22T22:55:45-0600',mode:absolute,to:'2017-05-23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192" t="str">
        <f t="shared" si="63"/>
        <v>N</v>
      </c>
      <c r="X156" s="192">
        <f t="shared" si="56"/>
        <v>1</v>
      </c>
      <c r="Y156" s="192">
        <f t="shared" si="64"/>
        <v>4.53E-2</v>
      </c>
      <c r="Z156" s="192">
        <f t="shared" si="65"/>
        <v>23.3431</v>
      </c>
      <c r="AA156" s="192">
        <f t="shared" si="66"/>
        <v>23.297799999999999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7"/>
        <v>0241-22</v>
      </c>
      <c r="AE156" s="80" t="str">
        <f t="shared" si="68"/>
        <v>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 &amp; 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</v>
      </c>
      <c r="AF156" s="77" t="str">
        <f t="shared" si="69"/>
        <v>"C:\Program Files (x86)\AstroGrep\AstroGrep.exe" /e /r /s /spath="%USERPROFILE%\AppData\Local\Temp\OnboardLogs" /stypes="app*4016*20170523*" /stext=" 06:.+((SYSTEM_STATE.+slice.+state.+changed )|(ment ac)|(multiple cpu faults)|(system.+state.+changed )|(\[timeout)|(PRM\|1\|D)|(kpr)|(kdp)|(train st.+moving)|(\|lc)|(penalty))"</v>
      </c>
      <c r="AG156" s="1" t="str">
        <f t="shared" si="70"/>
        <v>EC</v>
      </c>
      <c r="AH156" s="81" t="str">
        <f t="shared" si="71"/>
        <v>"%USERPROFILE%\Documents\GitHub\eaglep3\Utilities\RefineRTDCRunTimes.py" --tripid 241-22 --locoid 4016 --swversion DE.1.0.9.0 --startMP 204:453 --initTime 2017-05-22T23:55:45 --startdatetime 2017-05-23T00:00:14 --delay 1 --endMP 204:233431 --enddatetime 2017-05-23T00:36:03 --enforcementcount 0 &gt;&gt;C:\Users\stu\Documents\GitHub\eaglep3-reporting\EC\2017-05-22-refined-times.txt</v>
      </c>
      <c r="AI156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{"issue":{"subject":"","project_id":79,"tracker_id":40,"status_id":1,"priority_id":2,"assigned_to_id":23,"start_date":"2017-05-23","description":"","custom_fields":[{"id":1,"name":"Subdivision","value":"EC"},{"id":4,"name":"Milepost","value":"23.3431"},{"id":17,"name":"Train ID","value":"241-22"},{"id":16,"name":"Locomotive ID","value":"4016"},{"id":130,"name":"Impact","value":""},{"id":150,"name":"Time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3"/>
        <v>start /low /b %USERPROFILE%\Documents\GitHub\eaglep3\Utilities\DownloadLogsFromS3.py --loco 4016 --day 2017-05-23</v>
      </c>
      <c r="AN156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813</v>
      </c>
      <c r="B157" s="7">
        <v>4015</v>
      </c>
      <c r="C157" s="21" t="s">
        <v>206</v>
      </c>
      <c r="D157" s="21" t="s">
        <v>894</v>
      </c>
      <c r="E157" s="13">
        <v>42878.037106481483</v>
      </c>
      <c r="F157" s="13">
        <v>42878.039826388886</v>
      </c>
      <c r="G157" s="7">
        <v>1</v>
      </c>
      <c r="H157" s="21" t="s">
        <v>198</v>
      </c>
      <c r="I157" s="13">
        <v>42878.066423611112</v>
      </c>
      <c r="J157" s="7">
        <v>0</v>
      </c>
      <c r="K157" s="92" t="str">
        <f t="shared" si="59"/>
        <v>4015/4016</v>
      </c>
      <c r="L157" s="21" t="str">
        <f>VLOOKUP(A157,'Trips&amp;Operators'!$C$1:$G$99999,5,FALSE)</f>
        <v>MAGEE KENYA</v>
      </c>
      <c r="M157" s="6">
        <f t="shared" si="60"/>
        <v>2.6597222225973383E-2</v>
      </c>
      <c r="N157" s="7">
        <f t="shared" si="57"/>
        <v>38.300000005401671</v>
      </c>
      <c r="O157" s="7"/>
      <c r="P157" s="7"/>
      <c r="Q157" s="22"/>
      <c r="R157" s="190"/>
      <c r="S157" s="196">
        <f t="shared" si="58"/>
        <v>1</v>
      </c>
      <c r="T157" s="190" t="str">
        <f t="shared" si="61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62"/>
        <v>https://d0f6bd738d7f1b3e5a7ca70fe4ff75f0.us-east-1.aws.found.io/app/kibana#/discover/Steve-Slow-Train-Analysis-(2080s-and-2083s)?_g=(refreshInterval:(display:Off,pause:!f,section:0,value:0),time:(from:'2017-05-22T23:53:26-0600',mode:absolute,to:'2017-05-23T02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192" t="str">
        <f t="shared" si="63"/>
        <v>N</v>
      </c>
      <c r="X157" s="192">
        <f t="shared" si="56"/>
        <v>1</v>
      </c>
      <c r="Y157" s="192">
        <f t="shared" si="64"/>
        <v>23.304300000000001</v>
      </c>
      <c r="Z157" s="192">
        <f t="shared" si="65"/>
        <v>1.5800000000000002E-2</v>
      </c>
      <c r="AA157" s="192">
        <f t="shared" si="66"/>
        <v>23.288500000000003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7"/>
        <v>0242-22</v>
      </c>
      <c r="AE157" s="80" t="str">
        <f t="shared" si="68"/>
        <v>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 &amp; 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</v>
      </c>
      <c r="AF157" s="77" t="str">
        <f t="shared" si="69"/>
        <v>"C:\Program Files (x86)\AstroGrep\AstroGrep.exe" /e /r /s /spath="%USERPROFILE%\AppData\Local\Temp\OnboardLogs" /stypes="app*4015*20170523*" /stext=" 07:.+((SYSTEM_STATE.+slice.+state.+changed )|(ment ac)|(multiple cpu faults)|(system.+state.+changed )|(\[timeout)|(PRM\|1\|D)|(kpr)|(kdp)|(train st.+moving)|(\|lc)|(penalty))"</v>
      </c>
      <c r="AG157" s="1" t="str">
        <f t="shared" si="70"/>
        <v>EC</v>
      </c>
      <c r="AH157" s="81" t="str">
        <f t="shared" si="71"/>
        <v>"%USERPROFILE%\Documents\GitHub\eaglep3\Utilities\RefineRTDCRunTimes.py" --tripid 242-22 --locoid 4015 --swversion DE.1.0.9.0 --startMP 204:233043 --initTime 2017-05-23T00:53:26 --startdatetime 2017-05-23T00:57:21 --delay 1 --endMP 204:158 --enddatetime 2017-05-23T01:35:39 --enforcementcount 0 &gt;&gt;C:\Users\stu\Documents\GitHub\eaglep3-reporting\EC\2017-05-22-refined-times.txt</v>
      </c>
      <c r="AI157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{"issue":{"subject":"","project_id":79,"tracker_id":40,"status_id":1,"priority_id":2,"assigned_to_id":23,"start_date":"2017-05-23","description":"","custom_fields":[{"id":1,"name":"Subdivision","value":"EC"},{"id":4,"name":"Milepost","value":"0.0158"},{"id":17,"name":"Train ID","value":"242-22"},{"id":16,"name":"Locomotive ID","value":"4015"},{"id":130,"name":"Impact","value":""},{"id":150,"name":"Time of Event (Mountain Time)","value":"01:35:39"},{"id":151,"name":"Denver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3"/>
        <v>start /low /b %USERPROFILE%\Documents\GitHub\eaglep3\Utilities\DownloadLogsFromS3.py --loco 4015 --day 2017-05-23</v>
      </c>
      <c r="AN157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810</v>
      </c>
      <c r="B158" s="7">
        <v>4014</v>
      </c>
      <c r="C158" s="21" t="s">
        <v>206</v>
      </c>
      <c r="D158" s="21" t="s">
        <v>407</v>
      </c>
      <c r="E158" s="13">
        <v>42878.007384259261</v>
      </c>
      <c r="F158" s="13">
        <v>42878.02103009259</v>
      </c>
      <c r="G158" s="7">
        <v>1</v>
      </c>
      <c r="H158" s="21" t="s">
        <v>560</v>
      </c>
      <c r="I158" s="13">
        <v>42878.046793981484</v>
      </c>
      <c r="J158" s="7">
        <v>0</v>
      </c>
      <c r="K158" s="92" t="str">
        <f t="shared" si="59"/>
        <v>4013/4014</v>
      </c>
      <c r="L158" s="21" t="str">
        <f>VLOOKUP(A158,'Trips&amp;Operators'!$C$1:$G$99999,5,FALSE)</f>
        <v>GUZMAN DANNY</v>
      </c>
      <c r="M158" s="6">
        <f t="shared" si="60"/>
        <v>2.5763888894289266E-2</v>
      </c>
      <c r="N158" s="7">
        <f t="shared" si="57"/>
        <v>37.100000007776543</v>
      </c>
      <c r="O158" s="7"/>
      <c r="P158" s="7"/>
      <c r="Q158" s="22"/>
      <c r="R158" s="190"/>
      <c r="S158" s="196">
        <f t="shared" si="58"/>
        <v>1</v>
      </c>
      <c r="T158" s="190" t="str">
        <f t="shared" si="61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62"/>
        <v>https://d0f6bd738d7f1b3e5a7ca70fe4ff75f0.us-east-1.aws.found.io/app/kibana#/discover/Steve-Slow-Train-Analysis-(2080s-and-2083s)?_g=(refreshInterval:(display:Off,pause:!f,section:0,value:0),time:(from:'2017-05-22T23:10:38-0600',mode:absolute,to:'2017-05-23T02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8" s="192" t="str">
        <f t="shared" si="63"/>
        <v>N</v>
      </c>
      <c r="X158" s="192">
        <f t="shared" si="56"/>
        <v>1</v>
      </c>
      <c r="Y158" s="192">
        <f t="shared" si="64"/>
        <v>4.7699999999999999E-2</v>
      </c>
      <c r="Z158" s="192">
        <f t="shared" si="65"/>
        <v>23.344899999999999</v>
      </c>
      <c r="AA158" s="192">
        <f t="shared" si="66"/>
        <v>23.2972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7"/>
        <v>0243-22</v>
      </c>
      <c r="AE158" s="80" t="str">
        <f t="shared" si="68"/>
        <v>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 &amp; aws s3 cp s3://rtdc.mdm.uploadarchive.raw/RTDC4014/ "%USERPROFILE%\AppData\Local\Temp\OnboardLogs"\RTDC4014\2017-05-24 --exclude "*" --recursive --include "*20170524*" &amp; "%USERPROFILE%\Documents\GitHub\mrs-test-scripts\Headless Mode &amp; Sideloading\WalkAndUnGZ.bat" "%USERPROFILE%\AppData\Local\Temp\OnboardLogs"\RTDC4014\2017-05-24</v>
      </c>
      <c r="AF158" s="77" t="str">
        <f t="shared" si="69"/>
        <v>"C:\Program Files (x86)\AstroGrep\AstroGrep.exe" /e /r /s /spath="%USERPROFILE%\AppData\Local\Temp\OnboardLogs" /stypes="app*4014*20170523*" /stext=" 07:.+((SYSTEM_STATE.+slice.+state.+changed )|(ment ac)|(multiple cpu faults)|(system.+state.+changed )|(\[timeout)|(PRM\|1\|D)|(kpr)|(kdp)|(train st.+moving)|(\|lc)|(penalty))"</v>
      </c>
      <c r="AG158" s="1" t="str">
        <f t="shared" si="70"/>
        <v>EC</v>
      </c>
      <c r="AH158" s="81" t="str">
        <f t="shared" si="71"/>
        <v>"%USERPROFILE%\Documents\GitHub\eaglep3\Utilities\RefineRTDCRunTimes.py" --tripid 243-22 --locoid 4014 --swversion DE.1.0.9.0 --startMP 204:477 --initTime 2017-05-23T00:10:38 --startdatetime 2017-05-23T00:30:17 --delay 1 --endMP 204:233449 --enddatetime 2017-05-23T01:07:23 --enforcementcount 0 &gt;&gt;C:\Users\stu\Documents\GitHub\eaglep3-reporting\EC\2017-05-22-refined-times.txt</v>
      </c>
      <c r="AI158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{"issue":{"subject":"","project_id":79,"tracker_id":40,"status_id":1,"priority_id":2,"assigned_to_id":23,"start_date":"2017-05-23","description":"","custom_fields":[{"id":1,"name":"Subdivision","value":"EC"},{"id":4,"name":"Milepost","value":"23.3449"},{"id":17,"name":"Train ID","value":"243-22"},{"id":16,"name":"Locomotive ID","value":"4014"},{"id":130,"name":"Impact","value":""},{"id":150,"name":"Time of Event (Mountain Time)","value":"01:07:23"},{"id":151,"name":"Denver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73"/>
        <v>start /low /b %USERPROFILE%\Documents\GitHub\eaglep3\Utilities\DownloadLogsFromS3.py --loco 4014 --day 2017-05-23</v>
      </c>
      <c r="AN158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07:07:23"},{"id":29,"name":"Sharepoint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816</v>
      </c>
      <c r="B159" s="7">
        <v>4013</v>
      </c>
      <c r="C159" s="21" t="s">
        <v>206</v>
      </c>
      <c r="D159" s="21" t="s">
        <v>895</v>
      </c>
      <c r="E159" s="13">
        <v>42878.084768518522</v>
      </c>
      <c r="F159" s="13">
        <v>42878.085509259261</v>
      </c>
      <c r="G159" s="7">
        <v>1</v>
      </c>
      <c r="H159" s="21" t="s">
        <v>838</v>
      </c>
      <c r="I159" s="13">
        <v>42878.090138888889</v>
      </c>
      <c r="J159" s="7">
        <v>0</v>
      </c>
      <c r="K159" s="92" t="str">
        <f t="shared" si="59"/>
        <v>4013/4014</v>
      </c>
      <c r="L159" s="21" t="str">
        <f>VLOOKUP(A159,'Trips&amp;Operators'!$C$1:$G$99999,5,FALSE)</f>
        <v>GUZMAN DANNY</v>
      </c>
      <c r="M159" s="6">
        <f t="shared" si="60"/>
        <v>4.6296296277432702E-3</v>
      </c>
      <c r="N159" s="7"/>
      <c r="O159" s="7"/>
      <c r="P159" s="7">
        <f>24*60*SUM($M159:$M160)</f>
        <v>49.633333326783031</v>
      </c>
      <c r="Q159" s="22"/>
      <c r="R159" s="190" t="s">
        <v>457</v>
      </c>
      <c r="S159" s="196">
        <f>SUM(U159:U160)/IF(AG159="EC",12,1)</f>
        <v>0.75</v>
      </c>
      <c r="T159" s="190" t="str">
        <f t="shared" si="61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91" t="str">
        <f t="shared" si="62"/>
        <v>https://d0f6bd738d7f1b3e5a7ca70fe4ff75f0.us-east-1.aws.found.io/app/kibana#/discover/Steve-Slow-Train-Analysis-(2080s-and-2083s)?_g=(refreshInterval:(display:Off,pause:!f,section:0,value:0),time:(from:'2017-05-23T01:02:04-0600',mode:absolute,to:'2017-05-23T03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92" t="str">
        <f t="shared" si="63"/>
        <v>Y</v>
      </c>
      <c r="X159" s="192">
        <f t="shared" si="56"/>
        <v>1</v>
      </c>
      <c r="Y159" s="192">
        <f t="shared" si="64"/>
        <v>1.8779999999999999</v>
      </c>
      <c r="Z159" s="192">
        <f t="shared" si="65"/>
        <v>1.6299999999999999E-2</v>
      </c>
      <c r="AA159" s="192">
        <f t="shared" si="66"/>
        <v>1.8616999999999999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7"/>
        <v>0244-22</v>
      </c>
      <c r="AE159" s="80" t="str">
        <f t="shared" si="68"/>
        <v>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 &amp; aws s3 cp s3://rtdc.mdm.uploadarchive.raw/RTDC4013/ "%USERPROFILE%\AppData\Local\Temp\OnboardLogs"\RTDC4013\2017-05-24 --exclude "*" --recursive --include "*20170524*" &amp; "%USERPROFILE%\Documents\GitHub\mrs-test-scripts\Headless Mode &amp; Sideloading\WalkAndUnGZ.bat" "%USERPROFILE%\AppData\Local\Temp\OnboardLogs"\RTDC4013\2017-05-24</v>
      </c>
      <c r="AF159" s="77" t="str">
        <f t="shared" si="69"/>
        <v>"C:\Program Files (x86)\AstroGrep\AstroGrep.exe" /e /r /s /spath="%USERPROFILE%\AppData\Local\Temp\OnboardLogs" /stypes="app*4013*20170523*" /stext=" 08:.+((SYSTEM_STATE.+slice.+state.+changed )|(ment ac)|(multiple cpu faults)|(system.+state.+changed )|(\[timeout)|(PRM\|1\|D)|(kpr)|(kdp)|(train st.+moving)|(\|lc)|(penalty))"</v>
      </c>
      <c r="AG159" s="1" t="str">
        <f t="shared" si="70"/>
        <v>EC</v>
      </c>
      <c r="AH159" s="81" t="str">
        <f t="shared" si="71"/>
        <v>"%USERPROFILE%\Documents\GitHub\eaglep3\Utilities\RefineRTDCRunTimes.py" --tripid 244-22 --locoid 4013 --swversion DE.1.0.9.0 --startMP 204:18780 --initTime 2017-05-23T02:02:04 --startdatetime 2017-05-23T02:03:08 --delay 1 --endMP 204:163 --enddatetime 2017-05-23T02:09:48 --enforcementcount 0 &gt;&gt;C:\Users\stu\Documents\GitHub\eaglep3-reporting\EC\2017-05-22-refined-times.txt</v>
      </c>
      <c r="AI159" s="99" t="str">
        <f t="shared" si="72"/>
        <v>echo {"issue":{"subject":"Onboard in-route failure","project_id":79,"tracker_id":40,"status_id":1,"priority_id":2,"assigned_to_id":23,"start_date":"2017-05-23","description":"","custom_fields":[{"id":1,"name":"Subdivision","value":"EC"},{"id":4,"name":"Milepost","value":"0.0163"},{"id":17,"name":"Train ID","value":"244-22"},{"id":16,"name":"Locomotive ID","value":"4013"},{"id":130,"name":"Impact","value":""},{"id":150,"name":"Time of Event (Mountain Time)","value":"02:09:48"},{"id":151,"name":"Denver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73"/>
        <v>start /low /b %USERPROFILE%\Documents\GitHub\eaglep3\Utilities\DownloadLogsFromS3.py --loco 4013 --day 2017-05-23</v>
      </c>
      <c r="AN159" s="154" t="str">
        <f t="shared" si="74"/>
        <v>echo {"issue":{"subject":"Onboard in-route failure","project_id":30,"tracker_id":4,"status_id":1,"priority_id":1,"assigned_to_id":10,"start_date":"2017-05-23","description":"","custom_fields":[{"id":30,"name":"Category","value":"Issue"},{"id":3,"name":"Functional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08:09:48"},{"id":29,"name":"Sharepoint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816</v>
      </c>
      <c r="B160" s="7">
        <v>4013</v>
      </c>
      <c r="C160" s="21" t="s">
        <v>206</v>
      </c>
      <c r="D160" s="21" t="s">
        <v>896</v>
      </c>
      <c r="E160" s="13">
        <v>42878.050428240742</v>
      </c>
      <c r="F160" s="13">
        <v>42878.051400462966</v>
      </c>
      <c r="G160" s="7">
        <v>1</v>
      </c>
      <c r="H160" s="21" t="s">
        <v>897</v>
      </c>
      <c r="I160" s="13">
        <v>42878.081238425926</v>
      </c>
      <c r="J160" s="7">
        <v>0</v>
      </c>
      <c r="K160" s="92" t="str">
        <f t="shared" si="59"/>
        <v>4013/4014</v>
      </c>
      <c r="L160" s="21" t="str">
        <f>VLOOKUP(A160,'Trips&amp;Operators'!$C$1:$G$99999,5,FALSE)</f>
        <v>GUZMAN DANNY</v>
      </c>
      <c r="M160" s="6">
        <f t="shared" si="60"/>
        <v>2.9837962960300501E-2</v>
      </c>
      <c r="N160" s="7"/>
      <c r="O160" s="7"/>
      <c r="P160" s="7"/>
      <c r="Q160" s="22"/>
      <c r="R160" s="190"/>
      <c r="S160" s="196"/>
      <c r="T160" s="190" t="str">
        <f t="shared" si="61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9</v>
      </c>
      <c r="V160" s="191" t="str">
        <f t="shared" si="62"/>
        <v>https://d0f6bd738d7f1b3e5a7ca70fe4ff75f0.us-east-1.aws.found.io/app/kibana#/discover/Steve-Slow-Train-Analysis-(2080s-and-2083s)?_g=(refreshInterval:(display:Off,pause:!f,section:0,value:0),time:(from:'2017-05-23T00:12:37-0600',mode:absolute,to:'2017-05-23T02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92" t="str">
        <f t="shared" si="63"/>
        <v>Y</v>
      </c>
      <c r="X160" s="192">
        <f t="shared" si="56"/>
        <v>0</v>
      </c>
      <c r="Y160" s="192">
        <f t="shared" si="64"/>
        <v>23.3049</v>
      </c>
      <c r="Z160" s="192">
        <f t="shared" si="65"/>
        <v>3.6770999999999998</v>
      </c>
      <c r="AA160" s="192">
        <f t="shared" si="66"/>
        <v>19.627800000000001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7"/>
        <v>0244-22</v>
      </c>
      <c r="AE160" s="80" t="str">
        <f t="shared" si="68"/>
        <v>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 &amp; aws s3 cp s3://rtdc.mdm.uploadarchive.raw/RTDC4013/ "%USERPROFILE%\AppData\Local\Temp\OnboardLogs"\RTDC4013\2017-05-24 --exclude "*" --recursive --include "*20170524*" &amp; "%USERPROFILE%\Documents\GitHub\mrs-test-scripts\Headless Mode &amp; Sideloading\WalkAndUnGZ.bat" "%USERPROFILE%\AppData\Local\Temp\OnboardLogs"\RTDC4013\2017-05-24</v>
      </c>
      <c r="AF160" s="77" t="str">
        <f t="shared" si="69"/>
        <v>"C:\Program Files (x86)\AstroGrep\AstroGrep.exe" /e /r /s /spath="%USERPROFILE%\AppData\Local\Temp\OnboardLogs" /stypes="app*4013*20170523*" /stext=" 07:.+((SYSTEM_STATE.+slice.+state.+changed )|(ment ac)|(multiple cpu faults)|(system.+state.+changed )|(\[timeout)|(PRM\|1\|D)|(kpr)|(kdp)|(train st.+moving)|(\|lc)|(penalty))"</v>
      </c>
      <c r="AG160" s="1" t="str">
        <f t="shared" si="70"/>
        <v>EC</v>
      </c>
      <c r="AH160" s="81" t="str">
        <f t="shared" si="71"/>
        <v>"%USERPROFILE%\Documents\GitHub\eaglep3\Utilities\RefineRTDCRunTimes.py" --tripid 244-22 --locoid 4013 --swversion DE.1.0.9.0 --startMP 204:233049 --initTime 2017-05-23T01:12:37 --startdatetime 2017-05-23T01:14:01 --delay 1 --endMP 204:36771 --enddatetime 2017-05-23T01:56:59 --enforcementcount 0 &gt;&gt;C:\Users\stu\Documents\GitHub\eaglep3-reporting\EC\2017-05-22-refined-times.txt</v>
      </c>
      <c r="AI160" s="99" t="str">
        <f t="shared" si="72"/>
        <v>echo {"issue":{"subject":"","project_id":79,"tracker_id":40,"status_id":1,"priority_id":2,"assigned_to_id":23,"start_date":"2017-05-23","description":"","custom_fields":[{"id":1,"name":"Subdivision","value":"EC"},{"id":4,"name":"Milepost","value":"3.6771"},{"id":17,"name":"Train ID","value":"244-22"},{"id":16,"name":"Locomotive ID","value":"4013"},{"id":130,"name":"Impact","value":""},{"id":150,"name":"Time of Event (Mountain Time)","value":"01:56:59"},{"id":151,"name":"Denver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3"/>
        <v>start /low /b %USERPROFILE%\Documents\GitHub\eaglep3\Utilities\DownloadLogsFromS3.py --loco 4013 --day 2017-05-23</v>
      </c>
      <c r="AN160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07:56:59"},{"id":29,"name":"Sharepoint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645</v>
      </c>
      <c r="B161" s="7">
        <v>4029</v>
      </c>
      <c r="C161" s="21" t="s">
        <v>206</v>
      </c>
      <c r="D161" s="21" t="s">
        <v>940</v>
      </c>
      <c r="E161" s="13">
        <v>42877.211168981485</v>
      </c>
      <c r="F161" s="13">
        <v>42877.213194444441</v>
      </c>
      <c r="G161" s="7">
        <v>1</v>
      </c>
      <c r="H161" s="21" t="s">
        <v>941</v>
      </c>
      <c r="I161" s="13">
        <v>42877.226319444446</v>
      </c>
      <c r="J161" s="7">
        <v>0</v>
      </c>
      <c r="K161" s="92" t="str">
        <f t="shared" si="59"/>
        <v>4029/4030</v>
      </c>
      <c r="L161" s="21" t="str">
        <f>VLOOKUP(A161,'Trips&amp;Operators'!$C$1:$G$99999,5,FALSE)</f>
        <v>DAVIDSON DAVID</v>
      </c>
      <c r="M161" s="6">
        <f t="shared" si="60"/>
        <v>1.3125000004947651E-2</v>
      </c>
      <c r="N161" s="7">
        <f t="shared" ref="N161:N179" si="75">24*60*SUM($M161:$M161)</f>
        <v>18.900000007124618</v>
      </c>
      <c r="O161" s="7"/>
      <c r="P161" s="7"/>
      <c r="Q161" s="22"/>
      <c r="R161" s="190"/>
      <c r="S161" s="196">
        <f t="shared" ref="S161:S180" si="76">SUM(U161:U161)/IF(AG161="EC",12,1)</f>
        <v>1</v>
      </c>
      <c r="T161" s="190" t="str">
        <f t="shared" si="61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62"/>
        <v>https://d0f6bd738d7f1b3e5a7ca70fe4ff75f0.us-east-1.aws.found.io/app/kibana#/discover/Steve-Slow-Train-Analysis-(2080s-and-2083s)?_g=(refreshInterval:(display:Off,pause:!f,section:0,value:0),time:(from:'2017-05-22T04:04:05-0600',mode:absolute,to:'2017-05-22T06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92" t="str">
        <f t="shared" si="63"/>
        <v>N</v>
      </c>
      <c r="X161" s="192">
        <f t="shared" si="56"/>
        <v>556</v>
      </c>
      <c r="Y161" s="192">
        <f t="shared" si="64"/>
        <v>5.8605999999999998</v>
      </c>
      <c r="Z161" s="192">
        <f t="shared" si="65"/>
        <v>6.9800000000000001E-2</v>
      </c>
      <c r="AA161" s="192">
        <f t="shared" si="66"/>
        <v>5.7907999999999999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7"/>
        <v>0800-22</v>
      </c>
      <c r="AE161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61" s="77" t="str">
        <f t="shared" si="69"/>
        <v>"C:\Program Files (x86)\AstroGrep\AstroGrep.exe" /e /r /s /spath="%USERPROFILE%\AppData\Local\Temp\OnboardLogs" /stypes="app*4029*20170522*" /stext=" 11:.+((SYSTEM_STATE.+slice.+state.+changed )|(ment ac)|(multiple cpu faults)|(system.+state.+changed )|(\[timeout)|(PRM\|1\|D)|(kpr)|(kdp)|(train st.+moving)|(\|lc)|(penalty))"</v>
      </c>
      <c r="AG161" s="1" t="str">
        <f t="shared" si="70"/>
        <v>NW</v>
      </c>
      <c r="AH161" s="81" t="str">
        <f t="shared" si="71"/>
        <v>"%USERPROFILE%\Documents\GitHub\eaglep3\Utilities\RefineRTDCRunTimes.py" --tripid 800-22 --locoid 4029 --swversion DE.1.0.9.0 --startMP 300:58606 --initTime 2017-05-22T05:04:05 --startdatetime 2017-05-22T05:07:00 --delay 1 --endMP 204:698 --enddatetime 2017-05-22T05:25:54 --enforcementcount 0 &gt;&gt;C:\Users\stu\Documents\GitHub\eaglep3-reporting\EC\2017-05-22-refined-times.txt</v>
      </c>
      <c r="AI161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{"issue":{"subject":"","project_id":79,"tracker_id":40,"status_id":1,"priority_id":2,"assigned_to_id":23,"start_date":"2017-05-22","description":"","custom_fields":[{"id":1,"name":"Subdivision","value":"NW"},{"id":4,"name":"Milepost","value":"0.0698"},{"id":17,"name":"Train ID","value":"800-22"},{"id":16,"name":"Locomotive ID","value":"4029"},{"id":130,"name":"Impact","value":""},{"id":150,"name":"Time of Event (Mountain Time)","value":"05:25:54"},{"id":151,"name":"Denver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3"/>
        <v>start /low /b %USERPROFILE%\Documents\GitHub\eaglep3\Utilities\DownloadLogsFromS3.py --loco 4029 --day 2017-05-22</v>
      </c>
      <c r="AN161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652</v>
      </c>
      <c r="B162" s="7">
        <v>4030</v>
      </c>
      <c r="C162" s="21" t="s">
        <v>206</v>
      </c>
      <c r="D162" s="21" t="s">
        <v>942</v>
      </c>
      <c r="E162" s="13">
        <v>42877.229594907411</v>
      </c>
      <c r="F162" s="13">
        <v>42877.243981481479</v>
      </c>
      <c r="G162" s="7">
        <v>1</v>
      </c>
      <c r="H162" s="21" t="s">
        <v>943</v>
      </c>
      <c r="I162" s="13">
        <v>42877.253807870373</v>
      </c>
      <c r="J162" s="7">
        <v>0</v>
      </c>
      <c r="K162" s="92" t="str">
        <f t="shared" si="59"/>
        <v>4029/4030</v>
      </c>
      <c r="L162" s="21" t="str">
        <f>VLOOKUP(A162,'Trips&amp;Operators'!$C$1:$G$99999,5,FALSE)</f>
        <v>DAVIDSON DAVID</v>
      </c>
      <c r="M162" s="6">
        <f t="shared" si="60"/>
        <v>9.826388893998228E-3</v>
      </c>
      <c r="N162" s="7">
        <f t="shared" si="75"/>
        <v>14.150000007357448</v>
      </c>
      <c r="O162" s="7"/>
      <c r="P162" s="7"/>
      <c r="Q162" s="22"/>
      <c r="R162" s="190"/>
      <c r="S162" s="196">
        <f t="shared" si="76"/>
        <v>1</v>
      </c>
      <c r="T162" s="190" t="str">
        <f t="shared" si="61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62"/>
        <v>https://d0f6bd738d7f1b3e5a7ca70fe4ff75f0.us-east-1.aws.found.io/app/kibana#/discover/Steve-Slow-Train-Analysis-(2080s-and-2083s)?_g=(refreshInterval:(display:Off,pause:!f,section:0,value:0),time:(from:'2017-05-22T04:30:37-0600',mode:absolute,to:'2017-05-22T07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192" t="str">
        <f t="shared" si="63"/>
        <v>N</v>
      </c>
      <c r="X162" s="192">
        <f t="shared" si="56"/>
        <v>1</v>
      </c>
      <c r="Y162" s="192">
        <f t="shared" si="64"/>
        <v>9.7799999999999998E-2</v>
      </c>
      <c r="Z162" s="192">
        <f t="shared" si="65"/>
        <v>5.8914</v>
      </c>
      <c r="AA162" s="192">
        <f t="shared" si="66"/>
        <v>5.7935999999999996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7"/>
        <v>0801-22</v>
      </c>
      <c r="AE162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162" s="77" t="str">
        <f t="shared" si="69"/>
        <v>"C:\Program Files (x86)\AstroGrep\AstroGrep.exe" /e /r /s /spath="%USERPROFILE%\AppData\Local\Temp\OnboardLogs" /stypes="app*4030*20170522*" /stext=" 12:.+((SYSTEM_STATE.+slice.+state.+changed )|(ment ac)|(multiple cpu faults)|(system.+state.+changed )|(\[timeout)|(PRM\|1\|D)|(kpr)|(kdp)|(train st.+moving)|(\|lc)|(penalty))"</v>
      </c>
      <c r="AG162" s="1" t="str">
        <f t="shared" si="70"/>
        <v>NW</v>
      </c>
      <c r="AH162" s="81" t="str">
        <f t="shared" si="71"/>
        <v>"%USERPROFILE%\Documents\GitHub\eaglep3\Utilities\RefineRTDCRunTimes.py" --tripid 801-22 --locoid 4030 --swversion DE.1.0.9.0 --startMP 204:978 --initTime 2017-05-22T05:30:37 --startdatetime 2017-05-22T05:51:20 --delay 1 --endMP 300:58914 --enddatetime 2017-05-22T06:05:29 --enforcementcount 0 &gt;&gt;C:\Users\stu\Documents\GitHub\eaglep3-reporting\EC\2017-05-22-refined-times.txt</v>
      </c>
      <c r="AI162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{"issue":{"subject":"","project_id":79,"tracker_id":40,"status_id":1,"priority_id":2,"assigned_to_id":23,"start_date":"2017-05-22","description":"","custom_fields":[{"id":1,"name":"Subdivision","value":"NW"},{"id":4,"name":"Milepost","value":"5.8914"},{"id":17,"name":"Train ID","value":"801-22"},{"id":16,"name":"Locomotive ID","value":"4030"},{"id":130,"name":"Impact","value":""},{"id":150,"name":"Time of Event (Mountain Time)","value":"06:05:29"},{"id":151,"name":"Denver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3"/>
        <v>start /low /b %USERPROFILE%\Documents\GitHub\eaglep3\Utilities\DownloadLogsFromS3.py --loco 4030 --day 2017-05-22</v>
      </c>
      <c r="AN162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658</v>
      </c>
      <c r="B163" s="7">
        <v>4029</v>
      </c>
      <c r="C163" s="21" t="s">
        <v>206</v>
      </c>
      <c r="D163" s="21" t="s">
        <v>557</v>
      </c>
      <c r="E163" s="13">
        <v>42877.254675925928</v>
      </c>
      <c r="F163" s="13">
        <v>42877.25644675926</v>
      </c>
      <c r="G163" s="7">
        <v>1</v>
      </c>
      <c r="H163" s="21" t="s">
        <v>944</v>
      </c>
      <c r="I163" s="13">
        <v>42877.269537037035</v>
      </c>
      <c r="J163" s="7">
        <v>0</v>
      </c>
      <c r="K163" s="92" t="str">
        <f t="shared" si="59"/>
        <v>4029/4030</v>
      </c>
      <c r="L163" s="21" t="str">
        <f>VLOOKUP(A163,'Trips&amp;Operators'!$C$1:$G$99999,5,FALSE)</f>
        <v>DAVIDSON DAVID</v>
      </c>
      <c r="M163" s="6">
        <f t="shared" si="60"/>
        <v>1.3090277774608694E-2</v>
      </c>
      <c r="N163" s="7">
        <f t="shared" si="75"/>
        <v>18.849999995436519</v>
      </c>
      <c r="O163" s="7"/>
      <c r="P163" s="7"/>
      <c r="Q163" s="22"/>
      <c r="R163" s="190"/>
      <c r="S163" s="196">
        <f t="shared" si="76"/>
        <v>1</v>
      </c>
      <c r="T163" s="190" t="str">
        <f t="shared" si="61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62"/>
        <v>https://d0f6bd738d7f1b3e5a7ca70fe4ff75f0.us-east-1.aws.found.io/app/kibana#/discover/Steve-Slow-Train-Analysis-(2080s-and-2083s)?_g=(refreshInterval:(display:Off,pause:!f,section:0,value:0),time:(from:'2017-05-22T05:06:44-0600',mode:absolute,to:'2017-05-22T07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192" t="str">
        <f t="shared" si="63"/>
        <v>N</v>
      </c>
      <c r="X163" s="192">
        <f t="shared" si="56"/>
        <v>1</v>
      </c>
      <c r="Y163" s="192">
        <f t="shared" si="64"/>
        <v>5.86</v>
      </c>
      <c r="Z163" s="192">
        <f t="shared" si="65"/>
        <v>6.7299999999999999E-2</v>
      </c>
      <c r="AA163" s="192">
        <f t="shared" si="66"/>
        <v>5.7927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7"/>
        <v>0802-22</v>
      </c>
      <c r="AE163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63" s="77" t="str">
        <f t="shared" si="69"/>
        <v>"C:\Program Files (x86)\AstroGrep\AstroGrep.exe" /e /r /s /spath="%USERPROFILE%\AppData\Local\Temp\OnboardLogs" /stypes="app*4029*20170522*" /stext=" 12:.+((SYSTEM_STATE.+slice.+state.+changed )|(ment ac)|(multiple cpu faults)|(system.+state.+changed )|(\[timeout)|(PRM\|1\|D)|(kpr)|(kdp)|(train st.+moving)|(\|lc)|(penalty))"</v>
      </c>
      <c r="AG163" s="1" t="str">
        <f t="shared" si="70"/>
        <v>NW</v>
      </c>
      <c r="AH163" s="81" t="str">
        <f t="shared" si="71"/>
        <v>"%USERPROFILE%\Documents\GitHub\eaglep3\Utilities\RefineRTDCRunTimes.py" --tripid 802-22 --locoid 4029 --swversion DE.1.0.9.0 --startMP 300:58600 --initTime 2017-05-22T06:06:44 --startdatetime 2017-05-22T06:09:17 --delay 1 --endMP 204:673 --enddatetime 2017-05-22T06:28:08 --enforcementcount 0 &gt;&gt;C:\Users\stu\Documents\GitHub\eaglep3-reporting\EC\2017-05-22-refined-times.txt</v>
      </c>
      <c r="AI163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{"issue":{"subject":"","project_id":79,"tracker_id":40,"status_id":1,"priority_id":2,"assigned_to_id":23,"start_date":"2017-05-22","description":"","custom_fields":[{"id":1,"name":"Subdivision","value":"NW"},{"id":4,"name":"Milepost","value":"0.0673"},{"id":17,"name":"Train ID","value":"802-22"},{"id":16,"name":"Locomotive ID","value":"4029"},{"id":130,"name":"Impact","value":""},{"id":150,"name":"Time of Event (Mountain Time)","value":"06:28:08"},{"id":151,"name":"Denver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3"/>
        <v>start /low /b %USERPROFILE%\Documents\GitHub\eaglep3\Utilities\DownloadLogsFromS3.py --loco 4029 --day 2017-05-22</v>
      </c>
      <c r="AN163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660</v>
      </c>
      <c r="B164" s="7">
        <v>4018</v>
      </c>
      <c r="C164" s="21" t="s">
        <v>206</v>
      </c>
      <c r="D164" s="21" t="s">
        <v>490</v>
      </c>
      <c r="E164" s="13">
        <v>42877.255729166667</v>
      </c>
      <c r="F164" s="13">
        <v>42877.257210648146</v>
      </c>
      <c r="G164" s="7">
        <v>1</v>
      </c>
      <c r="H164" s="21" t="s">
        <v>467</v>
      </c>
      <c r="I164" s="13">
        <v>42877.268923611111</v>
      </c>
      <c r="J164" s="7">
        <v>0</v>
      </c>
      <c r="K164" s="92" t="str">
        <f t="shared" si="59"/>
        <v>4017/4018</v>
      </c>
      <c r="L164" s="21" t="str">
        <f>VLOOKUP(A164,'Trips&amp;Operators'!$C$1:$G$99999,5,FALSE)</f>
        <v>LOZA FIDEL</v>
      </c>
      <c r="M164" s="6">
        <f t="shared" si="60"/>
        <v>1.1712962965248153E-2</v>
      </c>
      <c r="N164" s="7">
        <f t="shared" si="75"/>
        <v>16.86666666995734</v>
      </c>
      <c r="O164" s="7"/>
      <c r="P164" s="7"/>
      <c r="Q164" s="22"/>
      <c r="R164" s="190"/>
      <c r="S164" s="196">
        <f t="shared" si="76"/>
        <v>1</v>
      </c>
      <c r="T164" s="190" t="str">
        <f t="shared" si="61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62"/>
        <v>https://d0f6bd738d7f1b3e5a7ca70fe4ff75f0.us-east-1.aws.found.io/app/kibana#/discover/Steve-Slow-Train-Analysis-(2080s-and-2083s)?_g=(refreshInterval:(display:Off,pause:!f,section:0,value:0),time:(from:'2017-05-22T05:08:15-0600',mode:absolute,to:'2017-05-22T07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92" t="str">
        <f t="shared" si="63"/>
        <v>N</v>
      </c>
      <c r="X164" s="192">
        <f t="shared" si="56"/>
        <v>1</v>
      </c>
      <c r="Y164" s="192">
        <f t="shared" si="64"/>
        <v>9.7199999999999995E-2</v>
      </c>
      <c r="Z164" s="192">
        <f t="shared" si="65"/>
        <v>5.8936999999999999</v>
      </c>
      <c r="AA164" s="192">
        <f t="shared" si="66"/>
        <v>5.7965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7"/>
        <v>0803-22</v>
      </c>
      <c r="AE164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64" s="77" t="str">
        <f t="shared" si="69"/>
        <v>"C:\Program Files (x86)\AstroGrep\AstroGrep.exe" /e /r /s /spath="%USERPROFILE%\AppData\Local\Temp\OnboardLogs" /stypes="app*4018*20170522*" /stext=" 12:.+((SYSTEM_STATE.+slice.+state.+changed )|(ment ac)|(multiple cpu faults)|(system.+state.+changed )|(\[timeout)|(PRM\|1\|D)|(kpr)|(kdp)|(train st.+moving)|(\|lc)|(penalty))"</v>
      </c>
      <c r="AG164" s="1" t="str">
        <f t="shared" si="70"/>
        <v>NW</v>
      </c>
      <c r="AH164" s="81" t="str">
        <f t="shared" si="71"/>
        <v>"%USERPROFILE%\Documents\GitHub\eaglep3\Utilities\RefineRTDCRunTimes.py" --tripid 803-22 --locoid 4018 --swversion DE.1.0.9.0 --startMP 204:972 --initTime 2017-05-22T06:08:15 --startdatetime 2017-05-22T06:10:23 --delay 1 --endMP 300:58937 --enddatetime 2017-05-22T06:27:15 --enforcementcount 0 &gt;&gt;C:\Users\stu\Documents\GitHub\eaglep3-reporting\EC\2017-05-22-refined-times.txt</v>
      </c>
      <c r="AI164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{"issue":{"subject":"","project_id":79,"tracker_id":40,"status_id":1,"priority_id":2,"assigned_to_id":23,"start_date":"2017-05-22","description":"","custom_fields":[{"id":1,"name":"Subdivision","value":"NW"},{"id":4,"name":"Milepost","value":"5.8937"},{"id":17,"name":"Train ID","value":"803-22"},{"id":16,"name":"Locomotive ID","value":"4018"},{"id":130,"name":"Impact","value":""},{"id":150,"name":"Time of Event (Mountain Time)","value":"06:27:15"},{"id":151,"name":"Denver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3"/>
        <v>start /low /b %USERPROFILE%\Documents\GitHub\eaglep3\Utilities\DownloadLogsFromS3.py --loco 4018 --day 2017-05-22</v>
      </c>
      <c r="AN164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663</v>
      </c>
      <c r="B165" s="7">
        <v>4017</v>
      </c>
      <c r="C165" s="21" t="s">
        <v>206</v>
      </c>
      <c r="D165" s="21" t="s">
        <v>945</v>
      </c>
      <c r="E165" s="13">
        <v>42877.272615740738</v>
      </c>
      <c r="F165" s="13">
        <v>42877.277604166666</v>
      </c>
      <c r="G165" s="7">
        <v>1</v>
      </c>
      <c r="H165" s="21" t="s">
        <v>946</v>
      </c>
      <c r="I165" s="13">
        <v>42877.288414351853</v>
      </c>
      <c r="J165" s="7">
        <v>0</v>
      </c>
      <c r="K165" s="92" t="str">
        <f t="shared" si="59"/>
        <v>4017/4018</v>
      </c>
      <c r="L165" s="21" t="str">
        <f>VLOOKUP(A165,'Trips&amp;Operators'!$C$1:$G$99999,5,FALSE)</f>
        <v>LOZA FIDEL</v>
      </c>
      <c r="M165" s="6">
        <f t="shared" si="60"/>
        <v>1.0810185187438037E-2</v>
      </c>
      <c r="N165" s="7">
        <f t="shared" si="75"/>
        <v>15.566666669910774</v>
      </c>
      <c r="O165" s="7"/>
      <c r="P165" s="7"/>
      <c r="Q165" s="22"/>
      <c r="R165" s="190"/>
      <c r="S165" s="196">
        <f t="shared" si="76"/>
        <v>1</v>
      </c>
      <c r="T165" s="190" t="str">
        <f t="shared" si="61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62"/>
        <v>https://d0f6bd738d7f1b3e5a7ca70fe4ff75f0.us-east-1.aws.found.io/app/kibana#/discover/Steve-Slow-Train-Analysis-(2080s-and-2083s)?_g=(refreshInterval:(display:Off,pause:!f,section:0,value:0),time:(from:'2017-05-22T05:32:34-0600',mode:absolute,to:'2017-05-22T07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92" t="str">
        <f t="shared" si="63"/>
        <v>N</v>
      </c>
      <c r="X165" s="192">
        <f t="shared" si="56"/>
        <v>1</v>
      </c>
      <c r="Y165" s="192">
        <f t="shared" si="64"/>
        <v>5.8619000000000003</v>
      </c>
      <c r="Z165" s="192">
        <f t="shared" si="65"/>
        <v>6.6600000000000006E-2</v>
      </c>
      <c r="AA165" s="192">
        <f t="shared" si="66"/>
        <v>5.7953000000000001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7"/>
        <v>0804-22</v>
      </c>
      <c r="AE165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65" s="77" t="str">
        <f t="shared" si="69"/>
        <v>"C:\Program Files (x86)\AstroGrep\AstroGrep.exe" /e /r /s /spath="%USERPROFILE%\AppData\Local\Temp\OnboardLogs" /stypes="app*4017*20170522*" /stext=" 12:.+((SYSTEM_STATE.+slice.+state.+changed )|(ment ac)|(multiple cpu faults)|(system.+state.+changed )|(\[timeout)|(PRM\|1\|D)|(kpr)|(kdp)|(train st.+moving)|(\|lc)|(penalty))"</v>
      </c>
      <c r="AG165" s="1" t="str">
        <f t="shared" si="70"/>
        <v>NW</v>
      </c>
      <c r="AH165" s="81" t="str">
        <f t="shared" si="71"/>
        <v>"%USERPROFILE%\Documents\GitHub\eaglep3\Utilities\RefineRTDCRunTimes.py" --tripid 804-22 --locoid 4017 --swversion DE.1.0.9.0 --startMP 300:58619 --initTime 2017-05-22T06:32:34 --startdatetime 2017-05-22T06:39:45 --delay 1 --endMP 204:666 --enddatetime 2017-05-22T06:55:19 --enforcementcount 0 &gt;&gt;C:\Users\stu\Documents\GitHub\eaglep3-reporting\EC\2017-05-22-refined-times.txt</v>
      </c>
      <c r="AI165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{"issue":{"subject":"","project_id":79,"tracker_id":40,"status_id":1,"priority_id":2,"assigned_to_id":23,"start_date":"2017-05-22","description":"","custom_fields":[{"id":1,"name":"Subdivision","value":"NW"},{"id":4,"name":"Milepost","value":"0.0666"},{"id":17,"name":"Train ID","value":"804-22"},{"id":16,"name":"Locomotive ID","value":"4017"},{"id":130,"name":"Impact","value":""},{"id":150,"name":"Time of Event (Mountain Time)","value":"06:55:19"},{"id":151,"name":"Denver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3"/>
        <v>start /low /b %USERPROFILE%\Documents\GitHub\eaglep3\Utilities\DownloadLogsFromS3.py --loco 4017 --day 2017-05-22</v>
      </c>
      <c r="AN165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578</v>
      </c>
      <c r="B166" s="7">
        <v>4030</v>
      </c>
      <c r="C166" s="21" t="s">
        <v>206</v>
      </c>
      <c r="D166" s="21" t="s">
        <v>947</v>
      </c>
      <c r="E166" s="13">
        <v>42877.27175925926</v>
      </c>
      <c r="F166" s="13">
        <v>42877.285636574074</v>
      </c>
      <c r="G166" s="7">
        <v>1</v>
      </c>
      <c r="H166" s="21" t="s">
        <v>948</v>
      </c>
      <c r="I166" s="13">
        <v>42877.295983796299</v>
      </c>
      <c r="J166" s="7">
        <v>0</v>
      </c>
      <c r="K166" s="92" t="str">
        <f t="shared" si="59"/>
        <v>4029/4030</v>
      </c>
      <c r="L166" s="21" t="str">
        <f>VLOOKUP(A166,'Trips&amp;Operators'!$C$1:$G$99999,5,FALSE)</f>
        <v>DAVIDSON DAVID</v>
      </c>
      <c r="M166" s="6">
        <f t="shared" si="60"/>
        <v>1.0347222225391306E-2</v>
      </c>
      <c r="N166" s="7">
        <f t="shared" si="75"/>
        <v>14.900000004563481</v>
      </c>
      <c r="O166" s="7"/>
      <c r="P166" s="7"/>
      <c r="Q166" s="22"/>
      <c r="R166" s="190"/>
      <c r="S166" s="196">
        <f t="shared" si="76"/>
        <v>1</v>
      </c>
      <c r="T166" s="190" t="str">
        <f t="shared" si="61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62"/>
        <v>https://d0f6bd738d7f1b3e5a7ca70fe4ff75f0.us-east-1.aws.found.io/app/kibana#/discover/Steve-Slow-Train-Analysis-(2080s-and-2083s)?_g=(refreshInterval:(display:Off,pause:!f,section:0,value:0),time:(from:'2017-05-22T05:31:20-0600',mode:absolute,to:'2017-05-22T08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192" t="str">
        <f t="shared" si="63"/>
        <v>N</v>
      </c>
      <c r="X166" s="192">
        <f t="shared" si="56"/>
        <v>1</v>
      </c>
      <c r="Y166" s="192">
        <f t="shared" si="64"/>
        <v>9.69E-2</v>
      </c>
      <c r="Z166" s="192">
        <f t="shared" si="65"/>
        <v>5.8912000000000004</v>
      </c>
      <c r="AA166" s="192">
        <f t="shared" si="66"/>
        <v>5.7943000000000007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7"/>
        <v>0805-22</v>
      </c>
      <c r="AE166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166" s="77" t="str">
        <f t="shared" si="69"/>
        <v>"C:\Program Files (x86)\AstroGrep\AstroGrep.exe" /e /r /s /spath="%USERPROFILE%\AppData\Local\Temp\OnboardLogs" /stypes="app*4030*20170522*" /stext=" 13:.+((SYSTEM_STATE.+slice.+state.+changed )|(ment ac)|(multiple cpu faults)|(system.+state.+changed )|(\[timeout)|(PRM\|1\|D)|(kpr)|(kdp)|(train st.+moving)|(\|lc)|(penalty))"</v>
      </c>
      <c r="AG166" s="1" t="str">
        <f t="shared" si="70"/>
        <v>NW</v>
      </c>
      <c r="AH166" s="81" t="str">
        <f t="shared" si="71"/>
        <v>"%USERPROFILE%\Documents\GitHub\eaglep3\Utilities\RefineRTDCRunTimes.py" --tripid 805-22 --locoid 4030 --swversion DE.1.0.9.0 --startMP 204:969 --initTime 2017-05-22T06:31:20 --startdatetime 2017-05-22T06:51:19 --delay 1 --endMP 300:58912 --enddatetime 2017-05-22T07:06:13 --enforcementcount 0 &gt;&gt;C:\Users\stu\Documents\GitHub\eaglep3-reporting\EC\2017-05-22-refined-times.txt</v>
      </c>
      <c r="AI166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{"issue":{"subject":"","project_id":79,"tracker_id":40,"status_id":1,"priority_id":2,"assigned_to_id":23,"start_date":"2017-05-22","description":"","custom_fields":[{"id":1,"name":"Subdivision","value":"NW"},{"id":4,"name":"Milepost","value":"5.8912"},{"id":17,"name":"Train ID","value":"805-22"},{"id":16,"name":"Locomotive ID","value":"4030"},{"id":130,"name":"Impact","value":""},{"id":150,"name":"Time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73"/>
        <v>start /low /b %USERPROFILE%\Documents\GitHub\eaglep3\Utilities\DownloadLogsFromS3.py --loco 4030 --day 2017-05-22</v>
      </c>
      <c r="AN166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668</v>
      </c>
      <c r="B167" s="7">
        <v>4029</v>
      </c>
      <c r="C167" s="21" t="s">
        <v>206</v>
      </c>
      <c r="D167" s="21" t="s">
        <v>949</v>
      </c>
      <c r="E167" s="13">
        <v>42877.297523148147</v>
      </c>
      <c r="F167" s="13">
        <v>42877.301087962966</v>
      </c>
      <c r="G167" s="7">
        <v>4</v>
      </c>
      <c r="H167" s="21" t="s">
        <v>559</v>
      </c>
      <c r="I167" s="13">
        <v>42877.312835648147</v>
      </c>
      <c r="J167" s="7">
        <v>0</v>
      </c>
      <c r="K167" s="92" t="str">
        <f t="shared" si="59"/>
        <v>4029/4030</v>
      </c>
      <c r="L167" s="21" t="str">
        <f>VLOOKUP(A167,'Trips&amp;Operators'!$C$1:$G$99999,5,FALSE)</f>
        <v>DAVIDSON DAVID</v>
      </c>
      <c r="M167" s="6">
        <f t="shared" si="60"/>
        <v>1.1747685181035195E-2</v>
      </c>
      <c r="N167" s="7">
        <f t="shared" si="75"/>
        <v>16.91666666069068</v>
      </c>
      <c r="O167" s="7"/>
      <c r="P167" s="7"/>
      <c r="Q167" s="22"/>
      <c r="R167" s="190" t="s">
        <v>1034</v>
      </c>
      <c r="S167" s="196">
        <f t="shared" si="76"/>
        <v>1</v>
      </c>
      <c r="T167" s="190" t="str">
        <f t="shared" si="61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62"/>
        <v>https://d0f6bd738d7f1b3e5a7ca70fe4ff75f0.us-east-1.aws.found.io/app/kibana#/discover/Steve-Slow-Train-Analysis-(2080s-and-2083s)?_g=(refreshInterval:(display:Off,pause:!f,section:0,value:0),time:(from:'2017-05-22T06:08:26-0600',mode:absolute,to:'2017-05-22T08:30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192" t="str">
        <f t="shared" si="63"/>
        <v>N</v>
      </c>
      <c r="X167" s="192">
        <f t="shared" ref="X167:X230" si="77">VALUE(LEFT(AD167,4))-VALUE(LEFT(AD166,4))</f>
        <v>1</v>
      </c>
      <c r="Y167" s="192">
        <f t="shared" si="64"/>
        <v>5.8592000000000004</v>
      </c>
      <c r="Z167" s="192">
        <f t="shared" si="65"/>
        <v>6.8500000000000005E-2</v>
      </c>
      <c r="AA167" s="192">
        <f t="shared" si="66"/>
        <v>5.7907000000000002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7"/>
        <v>0806-22</v>
      </c>
      <c r="AE167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67" s="77" t="str">
        <f t="shared" si="69"/>
        <v>"C:\Program Files (x86)\AstroGrep\AstroGrep.exe" /e /r /s /spath="%USERPROFILE%\AppData\Local\Temp\OnboardLogs" /stypes="app*4029*20170522*" /stext=" 13:.+((SYSTEM_STATE.+slice.+state.+changed )|(ment ac)|(multiple cpu faults)|(system.+state.+changed )|(\[timeout)|(PRM\|1\|D)|(kpr)|(kdp)|(train st.+moving)|(\|lc)|(penalty))"</v>
      </c>
      <c r="AG167" s="1" t="str">
        <f t="shared" si="70"/>
        <v>NW</v>
      </c>
      <c r="AH167" s="81" t="str">
        <f t="shared" si="71"/>
        <v>"%USERPROFILE%\Documents\GitHub\eaglep3\Utilities\RefineRTDCRunTimes.py" --tripid 806-22 --locoid 4029 --swversion DE.1.0.9.0 --startMP 300:58592 --initTime 2017-05-22T07:08:26 --startdatetime 2017-05-22T07:13:34 --delay 4 --endMP 204:685 --enddatetime 2017-05-22T07:30:29 --enforcementcount 0 &gt;&gt;C:\Users\stu\Documents\GitHub\eaglep3-reporting\EC\2017-05-22-refined-times.txt</v>
      </c>
      <c r="AI167" s="99" t="str">
        <f t="shared" si="72"/>
        <v>echo {"issue":{"subject":"Brief Wi-MAX data drop, no enforcement","project_id":79,"tracker_id":40,"status_id":1,"priority_id":2,"assigned_to_id":23,"start_date":"2017-05-22","description":"","custom_fields":[{"id":1,"name":"Subdivision","value":"NW"},{"id":4,"name":"Milepost","value":"0.0685"},{"id":17,"name":"Train ID","value":"806-22"},{"id":16,"name":"Locomotive ID","value":"4029"},{"id":130,"name":"Impact","value":""},{"id":150,"name":"Time of Event (Mountain Time)","value":"07:30:29"},{"id":151,"name":"Denver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3"/>
        <v>start /low /b %USERPROFILE%\Documents\GitHub\eaglep3\Utilities\DownloadLogsFromS3.py --loco 4029 --day 2017-05-22</v>
      </c>
      <c r="AN167" s="154" t="str">
        <f t="shared" si="74"/>
        <v>echo {"issue":{"subject":"Brief Wi-MAX data drop, no enforcement","project_id":30,"tracker_id":4,"status_id":1,"priority_id":1,"assigned_to_id":10,"start_date":"2017-05-22","description":"","custom_fields":[{"id":30,"name":"Category","value":"Issue"},{"id":3,"name":"Functional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669</v>
      </c>
      <c r="B168" s="7">
        <v>4018</v>
      </c>
      <c r="C168" s="21" t="s">
        <v>206</v>
      </c>
      <c r="D168" s="21" t="s">
        <v>950</v>
      </c>
      <c r="E168" s="13">
        <v>42877.303217592591</v>
      </c>
      <c r="F168" s="13">
        <v>42877.306435185186</v>
      </c>
      <c r="G168" s="7">
        <v>1</v>
      </c>
      <c r="H168" s="21" t="s">
        <v>493</v>
      </c>
      <c r="I168" s="13">
        <v>42877.315717592595</v>
      </c>
      <c r="J168" s="7">
        <v>0</v>
      </c>
      <c r="K168" s="92" t="str">
        <f t="shared" si="59"/>
        <v>4017/4018</v>
      </c>
      <c r="L168" s="21" t="str">
        <f>VLOOKUP(A168,'Trips&amp;Operators'!$C$1:$G$99999,5,FALSE)</f>
        <v>LOZA FIDEL</v>
      </c>
      <c r="M168" s="6">
        <f t="shared" si="60"/>
        <v>9.2824074090458453E-3</v>
      </c>
      <c r="N168" s="7">
        <f t="shared" si="75"/>
        <v>13.366666669026017</v>
      </c>
      <c r="O168" s="7"/>
      <c r="P168" s="7"/>
      <c r="Q168" s="22"/>
      <c r="R168" s="190"/>
      <c r="S168" s="196">
        <f t="shared" si="76"/>
        <v>1</v>
      </c>
      <c r="T168" s="190" t="str">
        <f t="shared" si="61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62"/>
        <v>https://d0f6bd738d7f1b3e5a7ca70fe4ff75f0.us-east-1.aws.found.io/app/kibana#/discover/Steve-Slow-Train-Analysis-(2080s-and-2083s)?_g=(refreshInterval:(display:Off,pause:!f,section:0,value:0),time:(from:'2017-05-22T06:16:38-0600',mode:absolute,to:'2017-05-22T08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92" t="str">
        <f t="shared" si="63"/>
        <v>N</v>
      </c>
      <c r="X168" s="192">
        <f t="shared" si="77"/>
        <v>1</v>
      </c>
      <c r="Y168" s="192">
        <f t="shared" si="64"/>
        <v>9.64E-2</v>
      </c>
      <c r="Z168" s="192">
        <f t="shared" si="65"/>
        <v>5.8949999999999996</v>
      </c>
      <c r="AA168" s="192">
        <f t="shared" si="66"/>
        <v>5.7985999999999995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7"/>
        <v>0807-22</v>
      </c>
      <c r="AE168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68" s="77" t="str">
        <f t="shared" si="69"/>
        <v>"C:\Program Files (x86)\AstroGrep\AstroGrep.exe" /e /r /s /spath="%USERPROFILE%\AppData\Local\Temp\OnboardLogs" /stypes="app*4018*20170522*" /stext=" 13:.+((SYSTEM_STATE.+slice.+state.+changed )|(ment ac)|(multiple cpu faults)|(system.+state.+changed )|(\[timeout)|(PRM\|1\|D)|(kpr)|(kdp)|(train st.+moving)|(\|lc)|(penalty))"</v>
      </c>
      <c r="AG168" s="1" t="str">
        <f t="shared" si="70"/>
        <v>NW</v>
      </c>
      <c r="AH168" s="81" t="str">
        <f t="shared" si="71"/>
        <v>"%USERPROFILE%\Documents\GitHub\eaglep3\Utilities\RefineRTDCRunTimes.py" --tripid 807-22 --locoid 4018 --swversion DE.1.0.9.0 --startMP 204:964 --initTime 2017-05-22T07:16:38 --startdatetime 2017-05-22T07:21:16 --delay 1 --endMP 300:58950 --enddatetime 2017-05-22T07:34:38 --enforcementcount 0 &gt;&gt;C:\Users\stu\Documents\GitHub\eaglep3-reporting\EC\2017-05-22-refined-times.txt</v>
      </c>
      <c r="AI168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{"issue":{"subject":"","project_id":79,"tracker_id":40,"status_id":1,"priority_id":2,"assigned_to_id":23,"start_date":"2017-05-22","description":"","custom_fields":[{"id":1,"name":"Subdivision","value":"NW"},{"id":4,"name":"Milepost","value":"5.895"},{"id":17,"name":"Train ID","value":"807-22"},{"id":16,"name":"Locomotive ID","value":"4018"},{"id":130,"name":"Impact","value":""},{"id":150,"name":"Time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3"/>
        <v>start /low /b %USERPROFILE%\Documents\GitHub\eaglep3\Utilities\DownloadLogsFromS3.py --loco 4018 --day 2017-05-22</v>
      </c>
      <c r="AN168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675</v>
      </c>
      <c r="B169" s="7">
        <v>4017</v>
      </c>
      <c r="C169" s="21" t="s">
        <v>206</v>
      </c>
      <c r="D169" s="21" t="s">
        <v>951</v>
      </c>
      <c r="E169" s="13">
        <v>42877.317118055558</v>
      </c>
      <c r="F169" s="13">
        <v>42877.319548611114</v>
      </c>
      <c r="G169" s="7">
        <v>2</v>
      </c>
      <c r="H169" s="21" t="s">
        <v>562</v>
      </c>
      <c r="I169" s="13">
        <v>42877.330324074072</v>
      </c>
      <c r="J169" s="7">
        <v>0</v>
      </c>
      <c r="K169" s="92" t="str">
        <f t="shared" si="59"/>
        <v>4017/4018</v>
      </c>
      <c r="L169" s="21" t="str">
        <f>VLOOKUP(A169,'Trips&amp;Operators'!$C$1:$G$99999,5,FALSE)</f>
        <v>LOZA FIDEL</v>
      </c>
      <c r="M169" s="6">
        <f t="shared" si="60"/>
        <v>1.077546295709908E-2</v>
      </c>
      <c r="N169" s="7">
        <f t="shared" si="75"/>
        <v>15.516666658222675</v>
      </c>
      <c r="O169" s="7"/>
      <c r="P169" s="7"/>
      <c r="Q169" s="22"/>
      <c r="R169" s="190"/>
      <c r="S169" s="196">
        <f t="shared" si="76"/>
        <v>1</v>
      </c>
      <c r="T169" s="190" t="str">
        <f t="shared" si="61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62"/>
        <v>https://d0f6bd738d7f1b3e5a7ca70fe4ff75f0.us-east-1.aws.found.io/app/kibana#/discover/Steve-Slow-Train-Analysis-(2080s-and-2083s)?_g=(refreshInterval:(display:Off,pause:!f,section:0,value:0),time:(from:'2017-05-22T06:36:39-0600',mode:absolute,to:'2017-05-22T08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92" t="str">
        <f t="shared" si="63"/>
        <v>N</v>
      </c>
      <c r="X169" s="192">
        <f t="shared" si="77"/>
        <v>1</v>
      </c>
      <c r="Y169" s="192">
        <f t="shared" si="64"/>
        <v>5.8628</v>
      </c>
      <c r="Z169" s="192">
        <f t="shared" si="65"/>
        <v>6.7699999999999996E-2</v>
      </c>
      <c r="AA169" s="192">
        <f t="shared" si="66"/>
        <v>5.7950999999999997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7"/>
        <v>0808-22</v>
      </c>
      <c r="AE169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69" s="77" t="str">
        <f t="shared" si="69"/>
        <v>"C:\Program Files (x86)\AstroGrep\AstroGrep.exe" /e /r /s /spath="%USERPROFILE%\AppData\Local\Temp\OnboardLogs" /stypes="app*4017*20170522*" /stext=" 13:.+((SYSTEM_STATE.+slice.+state.+changed )|(ment ac)|(multiple cpu faults)|(system.+state.+changed )|(\[timeout)|(PRM\|1\|D)|(kpr)|(kdp)|(train st.+moving)|(\|lc)|(penalty))"</v>
      </c>
      <c r="AG169" s="1" t="str">
        <f t="shared" si="70"/>
        <v>NW</v>
      </c>
      <c r="AH169" s="81" t="str">
        <f t="shared" si="71"/>
        <v>"%USERPROFILE%\Documents\GitHub\eaglep3\Utilities\RefineRTDCRunTimes.py" --tripid 808-22 --locoid 4017 --swversion DE.1.0.9.0 --startMP 300:58628 --initTime 2017-05-22T07:36:39 --startdatetime 2017-05-22T07:40:09 --delay 2 --endMP 204:677 --enddatetime 2017-05-22T07:55:40 --enforcementcount 0 &gt;&gt;C:\Users\stu\Documents\GitHub\eaglep3-reporting\EC\2017-05-22-refined-times.txt</v>
      </c>
      <c r="AI169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{"issue":{"subject":"","project_id":79,"tracker_id":40,"status_id":1,"priority_id":2,"assigned_to_id":23,"start_date":"2017-05-22","description":"","custom_fields":[{"id":1,"name":"Subdivision","value":"NW"},{"id":4,"name":"Milepost","value":"0.0677"},{"id":17,"name":"Train ID","value":"808-22"},{"id":16,"name":"Locomotive ID","value":"4017"},{"id":130,"name":"Impact","value":""},{"id":150,"name":"Time of Event (Mountain Time)","value":"07:55:40"},{"id":151,"name":"Denver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3"/>
        <v>start /low /b %USERPROFILE%\Documents\GitHub\eaglep3\Utilities\DownloadLogsFromS3.py --loco 4017 --day 2017-05-22</v>
      </c>
      <c r="AN169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674</v>
      </c>
      <c r="B170" s="7">
        <v>4030</v>
      </c>
      <c r="C170" s="21" t="s">
        <v>206</v>
      </c>
      <c r="D170" s="21" t="s">
        <v>554</v>
      </c>
      <c r="E170" s="13">
        <v>42877.314791666664</v>
      </c>
      <c r="F170" s="13">
        <v>42877.327291666668</v>
      </c>
      <c r="G170" s="7">
        <v>1</v>
      </c>
      <c r="H170" s="21" t="s">
        <v>492</v>
      </c>
      <c r="I170" s="13">
        <v>42877.337233796294</v>
      </c>
      <c r="J170" s="7">
        <v>0</v>
      </c>
      <c r="K170" s="92" t="str">
        <f t="shared" si="59"/>
        <v>4029/4030</v>
      </c>
      <c r="L170" s="21" t="str">
        <f>VLOOKUP(A170,'Trips&amp;Operators'!$C$1:$G$99999,5,FALSE)</f>
        <v>DAVIDSON DAVID</v>
      </c>
      <c r="M170" s="6">
        <f t="shared" si="60"/>
        <v>9.9421296254149638E-3</v>
      </c>
      <c r="N170" s="7">
        <f t="shared" si="75"/>
        <v>14.316666660597548</v>
      </c>
      <c r="O170" s="7"/>
      <c r="P170" s="7"/>
      <c r="Q170" s="22"/>
      <c r="R170" s="190"/>
      <c r="S170" s="196">
        <f t="shared" si="76"/>
        <v>1</v>
      </c>
      <c r="T170" s="190" t="str">
        <f t="shared" si="61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62"/>
        <v>https://d0f6bd738d7f1b3e5a7ca70fe4ff75f0.us-east-1.aws.found.io/app/kibana#/discover/Steve-Slow-Train-Analysis-(2080s-and-2083s)?_g=(refreshInterval:(display:Off,pause:!f,section:0,value:0),time:(from:'2017-05-22T06:33:18-0600',mode:absolute,to:'2017-05-22T09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192" t="str">
        <f t="shared" si="63"/>
        <v>N</v>
      </c>
      <c r="X170" s="192">
        <f t="shared" si="77"/>
        <v>1</v>
      </c>
      <c r="Y170" s="192">
        <f t="shared" si="64"/>
        <v>9.8500000000000004E-2</v>
      </c>
      <c r="Z170" s="192">
        <f t="shared" si="65"/>
        <v>5.8968999999999996</v>
      </c>
      <c r="AA170" s="192">
        <f t="shared" si="66"/>
        <v>5.7984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7"/>
        <v>0809-22</v>
      </c>
      <c r="AE170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170" s="77" t="str">
        <f t="shared" si="69"/>
        <v>"C:\Program Files (x86)\AstroGrep\AstroGrep.exe" /e /r /s /spath="%USERPROFILE%\AppData\Local\Temp\OnboardLogs" /stypes="app*4030*20170522*" /stext=" 14:.+((SYSTEM_STATE.+slice.+state.+changed )|(ment ac)|(multiple cpu faults)|(system.+state.+changed )|(\[timeout)|(PRM\|1\|D)|(kpr)|(kdp)|(train st.+moving)|(\|lc)|(penalty))"</v>
      </c>
      <c r="AG170" s="1" t="str">
        <f t="shared" si="70"/>
        <v>NW</v>
      </c>
      <c r="AH170" s="81" t="str">
        <f t="shared" si="71"/>
        <v>"%USERPROFILE%\Documents\GitHub\eaglep3\Utilities\RefineRTDCRunTimes.py" --tripid 809-22 --locoid 4030 --swversion DE.1.0.9.0 --startMP 204:985 --initTime 2017-05-22T07:33:18 --startdatetime 2017-05-22T07:51:18 --delay 1 --endMP 300:58969 --enddatetime 2017-05-22T08:05:37 --enforcementcount 0 &gt;&gt;C:\Users\stu\Documents\GitHub\eaglep3-reporting\EC\2017-05-22-refined-times.txt</v>
      </c>
      <c r="AI170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{"issue":{"subject":"","project_id":79,"tracker_id":40,"status_id":1,"priority_id":2,"assigned_to_id":23,"start_date":"2017-05-22","description":"","custom_fields":[{"id":1,"name":"Subdivision","value":"NW"},{"id":4,"name":"Milepost","value":"5.8969"},{"id":17,"name":"Train ID","value":"809-22"},{"id":16,"name":"Locomotive ID","value":"4030"},{"id":130,"name":"Impact","value":""},{"id":150,"name":"Time of Event (Mountain Time)","value":"08:05:37"},{"id":151,"name":"Denver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3"/>
        <v>start /low /b %USERPROFILE%\Documents\GitHub\eaglep3\Utilities\DownloadLogsFromS3.py --loco 4030 --day 2017-05-22</v>
      </c>
      <c r="AN170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679</v>
      </c>
      <c r="B171" s="7">
        <v>4029</v>
      </c>
      <c r="C171" s="21" t="s">
        <v>206</v>
      </c>
      <c r="D171" s="21" t="s">
        <v>952</v>
      </c>
      <c r="E171" s="13">
        <v>42877.338356481479</v>
      </c>
      <c r="F171" s="13">
        <v>42877.339849537035</v>
      </c>
      <c r="G171" s="7">
        <v>1</v>
      </c>
      <c r="H171" s="21" t="s">
        <v>551</v>
      </c>
      <c r="I171" s="13">
        <v>42877.351759259262</v>
      </c>
      <c r="J171" s="7">
        <v>0</v>
      </c>
      <c r="K171" s="92" t="str">
        <f t="shared" si="59"/>
        <v>4029/4030</v>
      </c>
      <c r="L171" s="21" t="str">
        <f>VLOOKUP(A171,'Trips&amp;Operators'!$C$1:$G$99999,5,FALSE)</f>
        <v>DAVIDSON DAVID</v>
      </c>
      <c r="M171" s="6">
        <f t="shared" si="60"/>
        <v>1.1909722226846498E-2</v>
      </c>
      <c r="N171" s="7">
        <f t="shared" si="75"/>
        <v>17.150000006658956</v>
      </c>
      <c r="O171" s="7"/>
      <c r="P171" s="7"/>
      <c r="Q171" s="22"/>
      <c r="R171" s="190"/>
      <c r="S171" s="196">
        <f t="shared" si="76"/>
        <v>1</v>
      </c>
      <c r="T171" s="190" t="str">
        <f t="shared" si="61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62"/>
        <v>https://d0f6bd738d7f1b3e5a7ca70fe4ff75f0.us-east-1.aws.found.io/app/kibana#/discover/Steve-Slow-Train-Analysis-(2080s-and-2083s)?_g=(refreshInterval:(display:Off,pause:!f,section:0,value:0),time:(from:'2017-05-22T07:07:14-0600',mode:absolute,to:'2017-05-22T09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192" t="str">
        <f t="shared" si="63"/>
        <v>N</v>
      </c>
      <c r="X171" s="192">
        <f t="shared" si="77"/>
        <v>1</v>
      </c>
      <c r="Y171" s="192">
        <f t="shared" si="64"/>
        <v>5.8653000000000004</v>
      </c>
      <c r="Z171" s="192">
        <f t="shared" si="65"/>
        <v>6.8400000000000002E-2</v>
      </c>
      <c r="AA171" s="192">
        <f t="shared" si="66"/>
        <v>5.7969000000000008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7"/>
        <v>0810-22</v>
      </c>
      <c r="AE171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71" s="77" t="str">
        <f t="shared" si="69"/>
        <v>"C:\Program Files (x86)\AstroGrep\AstroGrep.exe" /e /r /s /spath="%USERPROFILE%\AppData\Local\Temp\OnboardLogs" /stypes="app*4029*20170522*" /stext=" 14:.+((SYSTEM_STATE.+slice.+state.+changed )|(ment ac)|(multiple cpu faults)|(system.+state.+changed )|(\[timeout)|(PRM\|1\|D)|(kpr)|(kdp)|(train st.+moving)|(\|lc)|(penalty))"</v>
      </c>
      <c r="AG171" s="1" t="str">
        <f t="shared" si="70"/>
        <v>NW</v>
      </c>
      <c r="AH171" s="81" t="str">
        <f t="shared" si="71"/>
        <v>"%USERPROFILE%\Documents\GitHub\eaglep3\Utilities\RefineRTDCRunTimes.py" --tripid 810-22 --locoid 4029 --swversion DE.1.0.9.0 --startMP 300:58653 --initTime 2017-05-22T08:07:14 --startdatetime 2017-05-22T08:09:23 --delay 1 --endMP 204:684 --enddatetime 2017-05-22T08:26:32 --enforcementcount 0 &gt;&gt;C:\Users\stu\Documents\GitHub\eaglep3-reporting\EC\2017-05-22-refined-times.txt</v>
      </c>
      <c r="AI171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{"issue":{"subject":"","project_id":79,"tracker_id":40,"status_id":1,"priority_id":2,"assigned_to_id":23,"start_date":"2017-05-22","description":"","custom_fields":[{"id":1,"name":"Subdivision","value":"NW"},{"id":4,"name":"Milepost","value":"0.0684"},{"id":17,"name":"Train ID","value":"810-22"},{"id":16,"name":"Locomotive ID","value":"4029"},{"id":130,"name":"Impact","value":""},{"id":150,"name":"Time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3"/>
        <v>start /low /b %USERPROFILE%\Documents\GitHub\eaglep3\Utilities\DownloadLogsFromS3.py --loco 4029 --day 2017-05-22</v>
      </c>
      <c r="AN171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681</v>
      </c>
      <c r="B172" s="7">
        <v>4018</v>
      </c>
      <c r="C172" s="21" t="s">
        <v>206</v>
      </c>
      <c r="D172" s="21" t="s">
        <v>953</v>
      </c>
      <c r="E172" s="13">
        <v>42877.345995370371</v>
      </c>
      <c r="F172" s="13">
        <v>42877.34815972222</v>
      </c>
      <c r="G172" s="7">
        <v>1</v>
      </c>
      <c r="H172" s="21" t="s">
        <v>954</v>
      </c>
      <c r="I172" s="13">
        <v>42877.357916666668</v>
      </c>
      <c r="J172" s="7">
        <v>0</v>
      </c>
      <c r="K172" s="92" t="str">
        <f t="shared" si="59"/>
        <v>4017/4018</v>
      </c>
      <c r="L172" s="21" t="str">
        <f>VLOOKUP(A172,'Trips&amp;Operators'!$C$1:$G$99999,5,FALSE)</f>
        <v>LOZA FIDEL</v>
      </c>
      <c r="M172" s="6">
        <f t="shared" si="60"/>
        <v>9.7569444478722289E-3</v>
      </c>
      <c r="N172" s="7">
        <f t="shared" si="75"/>
        <v>14.05000000493601</v>
      </c>
      <c r="O172" s="7"/>
      <c r="P172" s="7"/>
      <c r="Q172" s="22"/>
      <c r="R172" s="190"/>
      <c r="S172" s="196">
        <f t="shared" si="76"/>
        <v>1</v>
      </c>
      <c r="T172" s="190" t="str">
        <f t="shared" si="61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62"/>
        <v>https://d0f6bd738d7f1b3e5a7ca70fe4ff75f0.us-east-1.aws.found.io/app/kibana#/discover/Steve-Slow-Train-Analysis-(2080s-and-2083s)?_g=(refreshInterval:(display:Off,pause:!f,section:0,value:0),time:(from:'2017-05-22T07:18:14-0600',mode:absolute,to:'2017-05-22T09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92" t="str">
        <f t="shared" si="63"/>
        <v>N</v>
      </c>
      <c r="X172" s="192">
        <f t="shared" si="77"/>
        <v>1</v>
      </c>
      <c r="Y172" s="192">
        <f t="shared" si="64"/>
        <v>9.74E-2</v>
      </c>
      <c r="Z172" s="192">
        <f t="shared" si="65"/>
        <v>5.8944000000000001</v>
      </c>
      <c r="AA172" s="192">
        <f t="shared" si="66"/>
        <v>5.7969999999999997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7"/>
        <v>0811-22</v>
      </c>
      <c r="AE172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72" s="77" t="str">
        <f t="shared" si="69"/>
        <v>"C:\Program Files (x86)\AstroGrep\AstroGrep.exe" /e /r /s /spath="%USERPROFILE%\AppData\Local\Temp\OnboardLogs" /stypes="app*4018*20170522*" /stext=" 14:.+((SYSTEM_STATE.+slice.+state.+changed )|(ment ac)|(multiple cpu faults)|(system.+state.+changed )|(\[timeout)|(PRM\|1\|D)|(kpr)|(kdp)|(train st.+moving)|(\|lc)|(penalty))"</v>
      </c>
      <c r="AG172" s="1" t="str">
        <f t="shared" si="70"/>
        <v>NW</v>
      </c>
      <c r="AH172" s="81" t="str">
        <f t="shared" si="71"/>
        <v>"%USERPROFILE%\Documents\GitHub\eaglep3\Utilities\RefineRTDCRunTimes.py" --tripid 811-22 --locoid 4018 --swversion DE.1.0.9.0 --startMP 204:974 --initTime 2017-05-22T08:18:14 --startdatetime 2017-05-22T08:21:21 --delay 1 --endMP 300:58944 --enddatetime 2017-05-22T08:35:24 --enforcementcount 0 &gt;&gt;C:\Users\stu\Documents\GitHub\eaglep3-reporting\EC\2017-05-22-refined-times.txt</v>
      </c>
      <c r="AI172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{"issue":{"subject":"","project_id":79,"tracker_id":40,"status_id":1,"priority_id":2,"assigned_to_id":23,"start_date":"2017-05-22","description":"","custom_fields":[{"id":1,"name":"Subdivision","value":"NW"},{"id":4,"name":"Milepost","value":"5.8944"},{"id":17,"name":"Train ID","value":"811-22"},{"id":16,"name":"Locomotive ID","value":"4018"},{"id":130,"name":"Impact","value":""},{"id":150,"name":"Time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3"/>
        <v>start /low /b %USERPROFILE%\Documents\GitHub\eaglep3\Utilities\DownloadLogsFromS3.py --loco 4018 --day 2017-05-22</v>
      </c>
      <c r="AN172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685</v>
      </c>
      <c r="B173" s="7">
        <v>4017</v>
      </c>
      <c r="C173" s="21" t="s">
        <v>206</v>
      </c>
      <c r="D173" s="21" t="s">
        <v>955</v>
      </c>
      <c r="E173" s="13">
        <v>42877.359814814816</v>
      </c>
      <c r="F173" s="13">
        <v>42877.361504629633</v>
      </c>
      <c r="G173" s="7">
        <v>1</v>
      </c>
      <c r="H173" s="21" t="s">
        <v>956</v>
      </c>
      <c r="I173" s="13">
        <v>42877.371331018519</v>
      </c>
      <c r="J173" s="7">
        <v>0</v>
      </c>
      <c r="K173" s="92" t="str">
        <f t="shared" si="59"/>
        <v>4017/4018</v>
      </c>
      <c r="L173" s="21" t="str">
        <f>VLOOKUP(A173,'Trips&amp;Operators'!$C$1:$G$99999,5,FALSE)</f>
        <v>LOZA FIDEL</v>
      </c>
      <c r="M173" s="6">
        <f t="shared" si="60"/>
        <v>9.8263888867222704E-3</v>
      </c>
      <c r="N173" s="7">
        <f t="shared" si="75"/>
        <v>14.149999996880069</v>
      </c>
      <c r="O173" s="7"/>
      <c r="P173" s="7"/>
      <c r="Q173" s="22"/>
      <c r="R173" s="190"/>
      <c r="S173" s="196">
        <f t="shared" si="76"/>
        <v>1</v>
      </c>
      <c r="T173" s="190" t="str">
        <f t="shared" si="61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62"/>
        <v>https://d0f6bd738d7f1b3e5a7ca70fe4ff75f0.us-east-1.aws.found.io/app/kibana#/discover/Steve-Slow-Train-Analysis-(2080s-and-2083s)?_g=(refreshInterval:(display:Off,pause:!f,section:0,value:0),time:(from:'2017-05-22T07:38:08-0600',mode:absolute,to:'2017-05-22T09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92" t="str">
        <f t="shared" si="63"/>
        <v>N</v>
      </c>
      <c r="X173" s="192">
        <f t="shared" si="77"/>
        <v>1</v>
      </c>
      <c r="Y173" s="192">
        <f t="shared" si="64"/>
        <v>5.8632</v>
      </c>
      <c r="Z173" s="192">
        <f t="shared" si="65"/>
        <v>6.8199999999999997E-2</v>
      </c>
      <c r="AA173" s="192">
        <f t="shared" si="66"/>
        <v>5.7949999999999999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7"/>
        <v>0812-22</v>
      </c>
      <c r="AE173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73" s="77" t="str">
        <f t="shared" si="69"/>
        <v>"C:\Program Files (x86)\AstroGrep\AstroGrep.exe" /e /r /s /spath="%USERPROFILE%\AppData\Local\Temp\OnboardLogs" /stypes="app*4017*20170522*" /stext=" 14:.+((SYSTEM_STATE.+slice.+state.+changed )|(ment ac)|(multiple cpu faults)|(system.+state.+changed )|(\[timeout)|(PRM\|1\|D)|(kpr)|(kdp)|(train st.+moving)|(\|lc)|(penalty))"</v>
      </c>
      <c r="AG173" s="1" t="str">
        <f t="shared" si="70"/>
        <v>NW</v>
      </c>
      <c r="AH173" s="81" t="str">
        <f t="shared" si="71"/>
        <v>"%USERPROFILE%\Documents\GitHub\eaglep3\Utilities\RefineRTDCRunTimes.py" --tripid 812-22 --locoid 4017 --swversion DE.1.0.9.0 --startMP 300:58632 --initTime 2017-05-22T08:38:08 --startdatetime 2017-05-22T08:40:34 --delay 1 --endMP 204:682 --enddatetime 2017-05-22T08:54:43 --enforcementcount 0 &gt;&gt;C:\Users\stu\Documents\GitHub\eaglep3-reporting\EC\2017-05-22-refined-times.txt</v>
      </c>
      <c r="AI173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{"issue":{"subject":"","project_id":79,"tracker_id":40,"status_id":1,"priority_id":2,"assigned_to_id":23,"start_date":"2017-05-22","description":"","custom_fields":[{"id":1,"name":"Subdivision","value":"NW"},{"id":4,"name":"Milepost","value":"0.0682"},{"id":17,"name":"Train ID","value":"812-22"},{"id":16,"name":"Locomotive ID","value":"4017"},{"id":130,"name":"Impact","value":""},{"id":150,"name":"Time of Event (Mountain Time)","value":"08:54:43"},{"id":151,"name":"Denver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3"/>
        <v>start /low /b %USERPROFILE%\Documents\GitHub\eaglep3\Utilities\DownloadLogsFromS3.py --loco 4017 --day 2017-05-22</v>
      </c>
      <c r="AN173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690</v>
      </c>
      <c r="B174" s="7">
        <v>4018</v>
      </c>
      <c r="C174" s="21" t="s">
        <v>206</v>
      </c>
      <c r="D174" s="21" t="s">
        <v>953</v>
      </c>
      <c r="E174" s="13">
        <v>42877.387094907404</v>
      </c>
      <c r="F174" s="13">
        <v>42877.389780092592</v>
      </c>
      <c r="G174" s="7">
        <v>1</v>
      </c>
      <c r="H174" s="21" t="s">
        <v>957</v>
      </c>
      <c r="I174" s="13">
        <v>42877.399189814816</v>
      </c>
      <c r="J174" s="7">
        <v>0</v>
      </c>
      <c r="K174" s="92" t="str">
        <f t="shared" si="59"/>
        <v>4017/4018</v>
      </c>
      <c r="L174" s="21" t="str">
        <f>VLOOKUP(A174,'Trips&amp;Operators'!$C$1:$G$99999,5,FALSE)</f>
        <v>LOZA FIDEL</v>
      </c>
      <c r="M174" s="6">
        <f t="shared" si="60"/>
        <v>9.4097222245181911E-3</v>
      </c>
      <c r="N174" s="7">
        <f t="shared" si="75"/>
        <v>13.550000003306195</v>
      </c>
      <c r="O174" s="7"/>
      <c r="P174" s="7"/>
      <c r="Q174" s="22"/>
      <c r="R174" s="190"/>
      <c r="S174" s="196">
        <f t="shared" si="76"/>
        <v>1</v>
      </c>
      <c r="T174" s="190" t="str">
        <f t="shared" si="61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62"/>
        <v>https://d0f6bd738d7f1b3e5a7ca70fe4ff75f0.us-east-1.aws.found.io/app/kibana#/discover/Steve-Slow-Train-Analysis-(2080s-and-2083s)?_g=(refreshInterval:(display:Off,pause:!f,section:0,value:0),time:(from:'2017-05-22T08:17:25-0600',mode:absolute,to:'2017-05-22T10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192" t="str">
        <f t="shared" si="63"/>
        <v>N</v>
      </c>
      <c r="X174" s="192">
        <f t="shared" si="77"/>
        <v>1</v>
      </c>
      <c r="Y174" s="192">
        <f t="shared" si="64"/>
        <v>9.74E-2</v>
      </c>
      <c r="Z174" s="192">
        <f t="shared" si="65"/>
        <v>5.8939000000000004</v>
      </c>
      <c r="AA174" s="192">
        <f t="shared" si="66"/>
        <v>5.7965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7"/>
        <v>0813-22</v>
      </c>
      <c r="AE174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74" s="77" t="str">
        <f t="shared" si="69"/>
        <v>"C:\Program Files (x86)\AstroGrep\AstroGrep.exe" /e /r /s /spath="%USERPROFILE%\AppData\Local\Temp\OnboardLogs" /stypes="app*4018*20170522*" /stext=" 15:.+((SYSTEM_STATE.+slice.+state.+changed )|(ment ac)|(multiple cpu faults)|(system.+state.+changed )|(\[timeout)|(PRM\|1\|D)|(kpr)|(kdp)|(train st.+moving)|(\|lc)|(penalty))"</v>
      </c>
      <c r="AG174" s="1" t="str">
        <f t="shared" si="70"/>
        <v>NW</v>
      </c>
      <c r="AH174" s="81" t="str">
        <f t="shared" si="71"/>
        <v>"%USERPROFILE%\Documents\GitHub\eaglep3\Utilities\RefineRTDCRunTimes.py" --tripid 813-22 --locoid 4018 --swversion DE.1.0.9.0 --startMP 204:974 --initTime 2017-05-22T09:17:25 --startdatetime 2017-05-22T09:21:17 --delay 1 --endMP 300:58939 --enddatetime 2017-05-22T09:34:50 --enforcementcount 0 &gt;&gt;C:\Users\stu\Documents\GitHub\eaglep3-reporting\EC\2017-05-22-refined-times.txt</v>
      </c>
      <c r="AI174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{"issue":{"subject":"","project_id":79,"tracker_id":40,"status_id":1,"priority_id":2,"assigned_to_id":23,"start_date":"2017-05-22","description":"","custom_fields":[{"id":1,"name":"Subdivision","value":"NW"},{"id":4,"name":"Milepost","value":"5.8939"},{"id":17,"name":"Train ID","value":"813-22"},{"id":16,"name":"Locomotive ID","value":"4018"},{"id":130,"name":"Impact","value":""},{"id":150,"name":"Time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73"/>
        <v>start /low /b %USERPROFILE%\Documents\GitHub\eaglep3\Utilities\DownloadLogsFromS3.py --loco 4018 --day 2017-05-22</v>
      </c>
      <c r="AN174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693</v>
      </c>
      <c r="B175" s="7">
        <v>4017</v>
      </c>
      <c r="C175" s="21" t="s">
        <v>206</v>
      </c>
      <c r="D175" s="21" t="s">
        <v>491</v>
      </c>
      <c r="E175" s="13">
        <v>42877.400937500002</v>
      </c>
      <c r="F175" s="13">
        <v>42877.402488425927</v>
      </c>
      <c r="G175" s="7">
        <v>1</v>
      </c>
      <c r="H175" s="21" t="s">
        <v>561</v>
      </c>
      <c r="I175" s="13">
        <v>42877.412812499999</v>
      </c>
      <c r="J175" s="7">
        <v>0</v>
      </c>
      <c r="K175" s="92" t="str">
        <f t="shared" si="59"/>
        <v>4017/4018</v>
      </c>
      <c r="L175" s="21" t="str">
        <f>VLOOKUP(A175,'Trips&amp;Operators'!$C$1:$G$99999,5,FALSE)</f>
        <v>LOZA FIDEL</v>
      </c>
      <c r="M175" s="6">
        <f t="shared" si="60"/>
        <v>1.0324074071832001E-2</v>
      </c>
      <c r="N175" s="7">
        <f t="shared" si="75"/>
        <v>14.866666663438082</v>
      </c>
      <c r="O175" s="7"/>
      <c r="P175" s="7"/>
      <c r="Q175" s="22"/>
      <c r="R175" s="190"/>
      <c r="S175" s="196">
        <f t="shared" si="76"/>
        <v>1</v>
      </c>
      <c r="T175" s="190" t="str">
        <f t="shared" si="61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62"/>
        <v>https://d0f6bd738d7f1b3e5a7ca70fe4ff75f0.us-east-1.aws.found.io/app/kibana#/discover/Steve-Slow-Train-Analysis-(2080s-and-2083s)?_g=(refreshInterval:(display:Off,pause:!f,section:0,value:0),time:(from:'2017-05-22T08:37:21-0600',mode:absolute,to:'2017-05-22T10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192" t="str">
        <f t="shared" si="63"/>
        <v>N</v>
      </c>
      <c r="X175" s="192">
        <f t="shared" si="77"/>
        <v>1</v>
      </c>
      <c r="Y175" s="192">
        <f t="shared" si="64"/>
        <v>5.8630000000000004</v>
      </c>
      <c r="Z175" s="192">
        <f t="shared" si="65"/>
        <v>6.7799999999999999E-2</v>
      </c>
      <c r="AA175" s="192">
        <f t="shared" si="66"/>
        <v>5.7952000000000004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7"/>
        <v>0814-22</v>
      </c>
      <c r="AE175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75" s="77" t="str">
        <f t="shared" si="69"/>
        <v>"C:\Program Files (x86)\AstroGrep\AstroGrep.exe" /e /r /s /spath="%USERPROFILE%\AppData\Local\Temp\OnboardLogs" /stypes="app*4017*20170522*" /stext=" 15:.+((SYSTEM_STATE.+slice.+state.+changed )|(ment ac)|(multiple cpu faults)|(system.+state.+changed )|(\[timeout)|(PRM\|1\|D)|(kpr)|(kdp)|(train st.+moving)|(\|lc)|(penalty))"</v>
      </c>
      <c r="AG175" s="1" t="str">
        <f t="shared" si="70"/>
        <v>NW</v>
      </c>
      <c r="AH175" s="81" t="str">
        <f t="shared" si="71"/>
        <v>"%USERPROFILE%\Documents\GitHub\eaglep3\Utilities\RefineRTDCRunTimes.py" --tripid 814-22 --locoid 4017 --swversion DE.1.0.9.0 --startMP 300:58630 --initTime 2017-05-22T09:37:21 --startdatetime 2017-05-22T09:39:35 --delay 1 --endMP 204:678 --enddatetime 2017-05-22T09:54:27 --enforcementcount 0 &gt;&gt;C:\Users\stu\Documents\GitHub\eaglep3-reporting\EC\2017-05-22-refined-times.txt</v>
      </c>
      <c r="AI175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{"issue":{"subject":"","project_id":79,"tracker_id":40,"status_id":1,"priority_id":2,"assigned_to_id":23,"start_date":"2017-05-22","description":"","custom_fields":[{"id":1,"name":"Subdivision","value":"NW"},{"id":4,"name":"Milepost","value":"0.0678"},{"id":17,"name":"Train ID","value":"814-22"},{"id":16,"name":"Locomotive ID","value":"4017"},{"id":130,"name":"Impact","value":""},{"id":150,"name":"Time of Event (Mountain Time)","value":"09:54:27"},{"id":151,"name":"Denver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73"/>
        <v>start /low /b %USERPROFILE%\Documents\GitHub\eaglep3\Utilities\DownloadLogsFromS3.py --loco 4017 --day 2017-05-22</v>
      </c>
      <c r="AN175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15:54:27"},{"id":29,"name":"Sharepoint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2" t="s">
        <v>699</v>
      </c>
      <c r="B176" s="7">
        <v>4018</v>
      </c>
      <c r="C176" s="21" t="s">
        <v>206</v>
      </c>
      <c r="D176" s="21" t="s">
        <v>558</v>
      </c>
      <c r="E176" s="13">
        <v>42877.430104166669</v>
      </c>
      <c r="F176" s="13">
        <v>42877.431493055556</v>
      </c>
      <c r="G176" s="7">
        <v>1</v>
      </c>
      <c r="H176" s="21" t="s">
        <v>455</v>
      </c>
      <c r="I176" s="13">
        <v>42877.440752314818</v>
      </c>
      <c r="J176" s="7">
        <v>0</v>
      </c>
      <c r="K176" s="92" t="str">
        <f t="shared" si="59"/>
        <v>4017/4018</v>
      </c>
      <c r="L176" s="21" t="str">
        <f>VLOOKUP(A176,'Trips&amp;Operators'!$C$1:$G$99999,5,FALSE)</f>
        <v>LOZA FIDEL</v>
      </c>
      <c r="M176" s="6">
        <f t="shared" si="60"/>
        <v>9.2592592627624981E-3</v>
      </c>
      <c r="N176" s="7">
        <f t="shared" si="75"/>
        <v>13.333333338377997</v>
      </c>
      <c r="O176" s="7"/>
      <c r="P176" s="7"/>
      <c r="Q176" s="22"/>
      <c r="R176" s="190"/>
      <c r="S176" s="196">
        <f t="shared" si="76"/>
        <v>1</v>
      </c>
      <c r="T176" s="190" t="str">
        <f t="shared" si="61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62"/>
        <v>https://d0f6bd738d7f1b3e5a7ca70fe4ff75f0.us-east-1.aws.found.io/app/kibana#/discover/Steve-Slow-Train-Analysis-(2080s-and-2083s)?_g=(refreshInterval:(display:Off,pause:!f,section:0,value:0),time:(from:'2017-05-22T09:19:21-0600',mode:absolute,to:'2017-05-22T11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192" t="str">
        <f t="shared" si="63"/>
        <v>N</v>
      </c>
      <c r="X176" s="192">
        <f t="shared" si="77"/>
        <v>1</v>
      </c>
      <c r="Y176" s="192">
        <f t="shared" si="64"/>
        <v>9.6699999999999994E-2</v>
      </c>
      <c r="Z176" s="192">
        <f t="shared" si="65"/>
        <v>5.8940999999999999</v>
      </c>
      <c r="AA176" s="192">
        <f t="shared" si="66"/>
        <v>5.7973999999999997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7"/>
        <v>0815-22</v>
      </c>
      <c r="AE176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76" s="77" t="str">
        <f t="shared" si="69"/>
        <v>"C:\Program Files (x86)\AstroGrep\AstroGrep.exe" /e /r /s /spath="%USERPROFILE%\AppData\Local\Temp\OnboardLogs" /stypes="app*4018*20170522*" /stext=" 16:.+((SYSTEM_STATE.+slice.+state.+changed )|(ment ac)|(multiple cpu faults)|(system.+state.+changed )|(\[timeout)|(PRM\|1\|D)|(kpr)|(kdp)|(train st.+moving)|(\|lc)|(penalty))"</v>
      </c>
      <c r="AG176" s="1" t="str">
        <f t="shared" si="70"/>
        <v>NW</v>
      </c>
      <c r="AH176" s="81" t="str">
        <f t="shared" si="71"/>
        <v>"%USERPROFILE%\Documents\GitHub\eaglep3\Utilities\RefineRTDCRunTimes.py" --tripid 815-22 --locoid 4018 --swversion DE.1.0.9.0 --startMP 204:967 --initTime 2017-05-22T10:19:21 --startdatetime 2017-05-22T10:21:21 --delay 1 --endMP 300:58941 --enddatetime 2017-05-22T10:34:41 --enforcementcount 0 &gt;&gt;C:\Users\stu\Documents\GitHub\eaglep3-reporting\EC\2017-05-22-refined-times.txt</v>
      </c>
      <c r="AI176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{"issue":{"subject":"","project_id":79,"tracker_id":40,"status_id":1,"priority_id":2,"assigned_to_id":23,"start_date":"2017-05-22","description":"","custom_fields":[{"id":1,"name":"Subdivision","value":"NW"},{"id":4,"name":"Milepost","value":"5.8941"},{"id":17,"name":"Train ID","value":"815-22"},{"id":16,"name":"Locomotive ID","value":"4018"},{"id":130,"name":"Impact","value":""},{"id":150,"name":"Time of Event (Mountain Time)","value":"10:34:41"},{"id":151,"name":"Denver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73"/>
        <v>start /low /b %USERPROFILE%\Documents\GitHub\eaglep3\Utilities\DownloadLogsFromS3.py --loco 4018 --day 2017-05-22</v>
      </c>
      <c r="AN176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702</v>
      </c>
      <c r="B177" s="7">
        <v>4017</v>
      </c>
      <c r="C177" s="21" t="s">
        <v>206</v>
      </c>
      <c r="D177" s="21" t="s">
        <v>955</v>
      </c>
      <c r="E177" s="13">
        <v>42877.443749999999</v>
      </c>
      <c r="F177" s="13">
        <v>42877.445393518516</v>
      </c>
      <c r="G177" s="7">
        <v>1</v>
      </c>
      <c r="H177" s="21" t="s">
        <v>553</v>
      </c>
      <c r="I177" s="13">
        <v>42877.45484953704</v>
      </c>
      <c r="J177" s="7">
        <v>0</v>
      </c>
      <c r="K177" s="92" t="str">
        <f t="shared" si="59"/>
        <v>4017/4018</v>
      </c>
      <c r="L177" s="21" t="str">
        <f>VLOOKUP(A177,'Trips&amp;Operators'!$C$1:$G$99999,5,FALSE)</f>
        <v>LOZA FIDEL</v>
      </c>
      <c r="M177" s="6">
        <f t="shared" si="60"/>
        <v>9.456018524360843E-3</v>
      </c>
      <c r="N177" s="7">
        <f t="shared" si="75"/>
        <v>13.616666675079614</v>
      </c>
      <c r="O177" s="7"/>
      <c r="P177" s="7"/>
      <c r="Q177" s="22"/>
      <c r="R177" s="190"/>
      <c r="S177" s="196">
        <f t="shared" si="76"/>
        <v>1</v>
      </c>
      <c r="T177" s="190" t="str">
        <f t="shared" si="61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62"/>
        <v>https://d0f6bd738d7f1b3e5a7ca70fe4ff75f0.us-east-1.aws.found.io/app/kibana#/discover/Steve-Slow-Train-Analysis-(2080s-and-2083s)?_g=(refreshInterval:(display:Off,pause:!f,section:0,value:0),time:(from:'2017-05-22T09:39:00-0600',mode:absolute,to:'2017-05-22T11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192" t="str">
        <f t="shared" si="63"/>
        <v>N</v>
      </c>
      <c r="X177" s="192">
        <f t="shared" si="77"/>
        <v>1</v>
      </c>
      <c r="Y177" s="192">
        <f t="shared" si="64"/>
        <v>5.8632</v>
      </c>
      <c r="Z177" s="192">
        <f t="shared" si="65"/>
        <v>6.9099999999999995E-2</v>
      </c>
      <c r="AA177" s="192">
        <f t="shared" si="66"/>
        <v>5.7941000000000003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7"/>
        <v>0816-22</v>
      </c>
      <c r="AE177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77" s="77" t="str">
        <f t="shared" si="69"/>
        <v>"C:\Program Files (x86)\AstroGrep\AstroGrep.exe" /e /r /s /spath="%USERPROFILE%\AppData\Local\Temp\OnboardLogs" /stypes="app*4017*20170522*" /stext=" 16:.+((SYSTEM_STATE.+slice.+state.+changed )|(ment ac)|(multiple cpu faults)|(system.+state.+changed )|(\[timeout)|(PRM\|1\|D)|(kpr)|(kdp)|(train st.+moving)|(\|lc)|(penalty))"</v>
      </c>
      <c r="AG177" s="1" t="str">
        <f t="shared" si="70"/>
        <v>NW</v>
      </c>
      <c r="AH177" s="81" t="str">
        <f t="shared" si="71"/>
        <v>"%USERPROFILE%\Documents\GitHub\eaglep3\Utilities\RefineRTDCRunTimes.py" --tripid 816-22 --locoid 4017 --swversion DE.1.0.9.0 --startMP 300:58632 --initTime 2017-05-22T10:39:00 --startdatetime 2017-05-22T10:41:22 --delay 1 --endMP 204:691 --enddatetime 2017-05-22T10:54:59 --enforcementcount 0 &gt;&gt;C:\Users\stu\Documents\GitHub\eaglep3-reporting\EC\2017-05-22-refined-times.txt</v>
      </c>
      <c r="AI177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{"issue":{"subject":"","project_id":79,"tracker_id":40,"status_id":1,"priority_id":2,"assigned_to_id":23,"start_date":"2017-05-22","description":"","custom_fields":[{"id":1,"name":"Subdivision","value":"NW"},{"id":4,"name":"Milepost","value":"0.0691"},{"id":17,"name":"Train ID","value":"816-22"},{"id":16,"name":"Locomotive ID","value":"4017"},{"id":130,"name":"Impact","value":""},{"id":150,"name":"Time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73"/>
        <v>start /low /b %USERPROFILE%\Documents\GitHub\eaglep3\Utilities\DownloadLogsFromS3.py --loco 4017 --day 2017-05-22</v>
      </c>
      <c r="AN177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590</v>
      </c>
      <c r="B178" s="7">
        <v>4018</v>
      </c>
      <c r="C178" s="21" t="s">
        <v>206</v>
      </c>
      <c r="D178" s="21" t="s">
        <v>953</v>
      </c>
      <c r="E178" s="13">
        <v>42877.470289351855</v>
      </c>
      <c r="F178" s="13">
        <v>42877.473101851851</v>
      </c>
      <c r="G178" s="7">
        <v>1</v>
      </c>
      <c r="H178" s="21" t="s">
        <v>456</v>
      </c>
      <c r="I178" s="13">
        <v>42877.483622685184</v>
      </c>
      <c r="J178" s="7">
        <v>0</v>
      </c>
      <c r="K178" s="92" t="str">
        <f t="shared" si="59"/>
        <v>4017/4018</v>
      </c>
      <c r="L178" s="21" t="str">
        <f>VLOOKUP(A178,'Trips&amp;Operators'!$C$1:$G$99999,5,FALSE)</f>
        <v>LOZA FIDEL</v>
      </c>
      <c r="M178" s="6">
        <f t="shared" si="60"/>
        <v>1.0520833333430346E-2</v>
      </c>
      <c r="N178" s="7">
        <f t="shared" si="75"/>
        <v>15.150000000139698</v>
      </c>
      <c r="O178" s="7"/>
      <c r="P178" s="7"/>
      <c r="Q178" s="22"/>
      <c r="R178" s="190"/>
      <c r="S178" s="196">
        <f t="shared" si="76"/>
        <v>1</v>
      </c>
      <c r="T178" s="190" t="str">
        <f t="shared" si="61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62"/>
        <v>https://d0f6bd738d7f1b3e5a7ca70fe4ff75f0.us-east-1.aws.found.io/app/kibana#/discover/Steve-Slow-Train-Analysis-(2080s-and-2083s)?_g=(refreshInterval:(display:Off,pause:!f,section:0,value:0),time:(from:'2017-05-22T10:17:13-0600',mode:absolute,to:'2017-05-22T12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192" t="str">
        <f t="shared" si="63"/>
        <v>N</v>
      </c>
      <c r="X178" s="192">
        <f t="shared" si="77"/>
        <v>1</v>
      </c>
      <c r="Y178" s="192">
        <f t="shared" si="64"/>
        <v>9.74E-2</v>
      </c>
      <c r="Z178" s="192">
        <f t="shared" si="65"/>
        <v>5.8943000000000003</v>
      </c>
      <c r="AA178" s="192">
        <f t="shared" si="66"/>
        <v>5.7968999999999999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7"/>
        <v>0817-22</v>
      </c>
      <c r="AE178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78" s="77" t="str">
        <f t="shared" si="69"/>
        <v>"C:\Program Files (x86)\AstroGrep\AstroGrep.exe" /e /r /s /spath="%USERPROFILE%\AppData\Local\Temp\OnboardLogs" /stypes="app*4018*20170522*" /stext=" 17:.+((SYSTEM_STATE.+slice.+state.+changed )|(ment ac)|(multiple cpu faults)|(system.+state.+changed )|(\[timeout)|(PRM\|1\|D)|(kpr)|(kdp)|(train st.+moving)|(\|lc)|(penalty))"</v>
      </c>
      <c r="AG178" s="1" t="str">
        <f t="shared" si="70"/>
        <v>NW</v>
      </c>
      <c r="AH178" s="81" t="str">
        <f t="shared" si="71"/>
        <v>"%USERPROFILE%\Documents\GitHub\eaglep3\Utilities\RefineRTDCRunTimes.py" --tripid 817-22 --locoid 4018 --swversion DE.1.0.9.0 --startMP 204:974 --initTime 2017-05-22T11:17:13 --startdatetime 2017-05-22T11:21:16 --delay 1 --endMP 300:58943 --enddatetime 2017-05-22T11:36:25 --enforcementcount 0 &gt;&gt;C:\Users\stu\Documents\GitHub\eaglep3-reporting\EC\2017-05-22-refined-times.txt</v>
      </c>
      <c r="AI178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{"issue":{"subject":"","project_id":79,"tracker_id":40,"status_id":1,"priority_id":2,"assigned_to_id":23,"start_date":"2017-05-22","description":"","custom_fields":[{"id":1,"name":"Subdivision","value":"NW"},{"id":4,"name":"Milepost","value":"5.8943"},{"id":17,"name":"Train ID","value":"817-22"},{"id":16,"name":"Locomotive ID","value":"4018"},{"id":130,"name":"Impact","value":""},{"id":150,"name":"Time of Event (Mountain Time)","value":"11:36:25"},{"id":151,"name":"Denver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3"/>
        <v>start /low /b %USERPROFILE%\Documents\GitHub\eaglep3\Utilities\DownloadLogsFromS3.py --loco 4018 --day 2017-05-22</v>
      </c>
      <c r="AN178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709</v>
      </c>
      <c r="B179" s="7">
        <v>4017</v>
      </c>
      <c r="C179" s="21" t="s">
        <v>206</v>
      </c>
      <c r="D179" s="21" t="s">
        <v>491</v>
      </c>
      <c r="E179" s="13">
        <v>42877.484965277778</v>
      </c>
      <c r="F179" s="13">
        <v>42877.486863425926</v>
      </c>
      <c r="G179" s="7">
        <v>1</v>
      </c>
      <c r="H179" s="21" t="s">
        <v>559</v>
      </c>
      <c r="I179" s="13">
        <v>42877.496342592596</v>
      </c>
      <c r="J179" s="7">
        <v>0</v>
      </c>
      <c r="K179" s="92" t="str">
        <f t="shared" si="59"/>
        <v>4017/4018</v>
      </c>
      <c r="L179" s="21" t="str">
        <f>VLOOKUP(A179,'Trips&amp;Operators'!$C$1:$G$99999,5,FALSE)</f>
        <v>LOZA FIDEL</v>
      </c>
      <c r="M179" s="6">
        <f t="shared" si="60"/>
        <v>9.4791666706441902E-3</v>
      </c>
      <c r="N179" s="7">
        <f t="shared" si="75"/>
        <v>13.650000005727634</v>
      </c>
      <c r="O179" s="7"/>
      <c r="P179" s="7"/>
      <c r="Q179" s="22"/>
      <c r="R179" s="190"/>
      <c r="S179" s="196">
        <f t="shared" si="76"/>
        <v>1</v>
      </c>
      <c r="T179" s="190" t="str">
        <f t="shared" si="61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62"/>
        <v>https://d0f6bd738d7f1b3e5a7ca70fe4ff75f0.us-east-1.aws.found.io/app/kibana#/discover/Steve-Slow-Train-Analysis-(2080s-and-2083s)?_g=(refreshInterval:(display:Off,pause:!f,section:0,value:0),time:(from:'2017-05-22T10:38:21-0600',mode:absolute,to:'2017-05-22T12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192" t="str">
        <f t="shared" si="63"/>
        <v>N</v>
      </c>
      <c r="X179" s="192">
        <f t="shared" si="77"/>
        <v>1</v>
      </c>
      <c r="Y179" s="192">
        <f t="shared" si="64"/>
        <v>5.8630000000000004</v>
      </c>
      <c r="Z179" s="192">
        <f t="shared" si="65"/>
        <v>6.8500000000000005E-2</v>
      </c>
      <c r="AA179" s="192">
        <f t="shared" si="66"/>
        <v>5.7945000000000002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7"/>
        <v>0818-22</v>
      </c>
      <c r="AE179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79" s="77" t="str">
        <f t="shared" si="69"/>
        <v>"C:\Program Files (x86)\AstroGrep\AstroGrep.exe" /e /r /s /spath="%USERPROFILE%\AppData\Local\Temp\OnboardLogs" /stypes="app*4017*20170522*" /stext=" 17:.+((SYSTEM_STATE.+slice.+state.+changed )|(ment ac)|(multiple cpu faults)|(system.+state.+changed )|(\[timeout)|(PRM\|1\|D)|(kpr)|(kdp)|(train st.+moving)|(\|lc)|(penalty))"</v>
      </c>
      <c r="AG179" s="1" t="str">
        <f t="shared" si="70"/>
        <v>NW</v>
      </c>
      <c r="AH179" s="81" t="str">
        <f t="shared" si="71"/>
        <v>"%USERPROFILE%\Documents\GitHub\eaglep3\Utilities\RefineRTDCRunTimes.py" --tripid 818-22 --locoid 4017 --swversion DE.1.0.9.0 --startMP 300:58630 --initTime 2017-05-22T11:38:21 --startdatetime 2017-05-22T11:41:05 --delay 1 --endMP 204:685 --enddatetime 2017-05-22T11:54:44 --enforcementcount 0 &gt;&gt;C:\Users\stu\Documents\GitHub\eaglep3-reporting\EC\2017-05-22-refined-times.txt</v>
      </c>
      <c r="AI179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{"issue":{"subject":"","project_id":79,"tracker_id":40,"status_id":1,"priority_id":2,"assigned_to_id":23,"start_date":"2017-05-22","description":"","custom_fields":[{"id":1,"name":"Subdivision","value":"NW"},{"id":4,"name":"Milepost","value":"0.0685"},{"id":17,"name":"Train ID","value":"818-22"},{"id":16,"name":"Locomotive ID","value":"4017"},{"id":130,"name":"Impact","value":""},{"id":150,"name":"Time of Event (Mountain Time)","value":"11:54:44"},{"id":151,"name":"Denver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73"/>
        <v>start /low /b %USERPROFILE%\Documents\GitHub\eaglep3\Utilities\DownloadLogsFromS3.py --loco 4017 --day 2017-05-22</v>
      </c>
      <c r="AN179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593</v>
      </c>
      <c r="B180" s="7">
        <v>4018</v>
      </c>
      <c r="C180" s="21" t="s">
        <v>206</v>
      </c>
      <c r="D180" s="21" t="s">
        <v>552</v>
      </c>
      <c r="E180" s="13">
        <v>42877.512743055559</v>
      </c>
      <c r="F180" s="13">
        <v>42877.519849537035</v>
      </c>
      <c r="G180" s="7">
        <v>1</v>
      </c>
      <c r="H180" s="21" t="s">
        <v>958</v>
      </c>
      <c r="I180" s="13">
        <v>42877.527048611111</v>
      </c>
      <c r="J180" s="7">
        <v>0</v>
      </c>
      <c r="K180" s="92" t="str">
        <f t="shared" si="59"/>
        <v>4017/4018</v>
      </c>
      <c r="L180" s="21" t="str">
        <f>VLOOKUP(A180,'Trips&amp;Operators'!$C$1:$G$99999,5,FALSE)</f>
        <v>LOZA FIDEL</v>
      </c>
      <c r="M180" s="6">
        <f t="shared" si="60"/>
        <v>7.1990740761975758E-3</v>
      </c>
      <c r="N180" s="7"/>
      <c r="O180" s="7"/>
      <c r="P180" s="7">
        <f>24*60*SUM($M180:$M180)</f>
        <v>10.366666669724509</v>
      </c>
      <c r="Q180" s="22"/>
      <c r="R180" s="190" t="s">
        <v>468</v>
      </c>
      <c r="S180" s="196">
        <f t="shared" si="76"/>
        <v>1</v>
      </c>
      <c r="T180" s="190" t="str">
        <f t="shared" si="61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62"/>
        <v>https://d0f6bd738d7f1b3e5a7ca70fe4ff75f0.us-east-1.aws.found.io/app/kibana#/discover/Steve-Slow-Train-Analysis-(2080s-and-2083s)?_g=(refreshInterval:(display:Off,pause:!f,section:0,value:0),time:(from:'2017-05-22T11:18:21-0600',mode:absolute,to:'2017-05-22T13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192" t="str">
        <f t="shared" si="63"/>
        <v>Y</v>
      </c>
      <c r="X180" s="192">
        <f t="shared" si="77"/>
        <v>1</v>
      </c>
      <c r="Y180" s="192">
        <f t="shared" si="64"/>
        <v>9.6500000000000002E-2</v>
      </c>
      <c r="Z180" s="192">
        <f t="shared" si="65"/>
        <v>1.4826999999999999</v>
      </c>
      <c r="AA180" s="192">
        <f t="shared" si="66"/>
        <v>1.3861999999999999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7"/>
        <v>0819-22</v>
      </c>
      <c r="AE180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80" s="77" t="str">
        <f t="shared" si="69"/>
        <v>"C:\Program Files (x86)\AstroGrep\AstroGrep.exe" /e /r /s /spath="%USERPROFILE%\AppData\Local\Temp\OnboardLogs" /stypes="app*4018*20170522*" /stext=" 18:.+((SYSTEM_STATE.+slice.+state.+changed )|(ment ac)|(multiple cpu faults)|(system.+state.+changed )|(\[timeout)|(PRM\|1\|D)|(kpr)|(kdp)|(train st.+moving)|(\|lc)|(penalty))"</v>
      </c>
      <c r="AG180" s="1" t="str">
        <f t="shared" si="70"/>
        <v>NW</v>
      </c>
      <c r="AH180" s="81" t="str">
        <f t="shared" si="71"/>
        <v>"%USERPROFILE%\Documents\GitHub\eaglep3\Utilities\RefineRTDCRunTimes.py" --tripid 819-22 --locoid 4018 --swversion DE.1.0.9.0 --startMP 204:965 --initTime 2017-05-22T12:18:21 --startdatetime 2017-05-22T12:28:35 --delay 1 --endMP 300:14827 --enddatetime 2017-05-22T12:38:57 --enforcementcount 0 &gt;&gt;C:\Users\stu\Documents\GitHub\eaglep3-reporting\EC\2017-05-22-refined-times.txt</v>
      </c>
      <c r="AI180" s="99" t="str">
        <f t="shared" si="72"/>
        <v>echo {"issue":{"subject":"Wi-MAX data drop","project_id":79,"tracker_id":40,"status_id":1,"priority_id":2,"assigned_to_id":23,"start_date":"2017-05-22","description":"","custom_fields":[{"id":1,"name":"Subdivision","value":"NW"},{"id":4,"name":"Milepost","value":"1.4827"},{"id":17,"name":"Train ID","value":"819-22"},{"id":16,"name":"Locomotive ID","value":"4018"},{"id":130,"name":"Impact","value":""},{"id":150,"name":"Time of Event (Mountain Time)","value":"12:38:57"},{"id":151,"name":"Denver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3"/>
        <v>start /low /b %USERPROFILE%\Documents\GitHub\eaglep3\Utilities\DownloadLogsFromS3.py --loco 4018 --day 2017-05-22</v>
      </c>
      <c r="AN180" s="154" t="str">
        <f t="shared" si="74"/>
        <v>echo {"issue":{"subject":"Wi-MAX data drop","project_id":30,"tracker_id":4,"status_id":1,"priority_id":1,"assigned_to_id":10,"start_date":"2017-05-22","description":"","custom_fields":[{"id":30,"name":"Category","value":"Issue"},{"id":3,"name":"Functional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593</v>
      </c>
      <c r="B181" s="7">
        <v>4018</v>
      </c>
      <c r="C181" s="21" t="s">
        <v>206</v>
      </c>
      <c r="D181" s="21" t="s">
        <v>959</v>
      </c>
      <c r="E181" s="13">
        <v>42877.518888888888</v>
      </c>
      <c r="F181" s="13">
        <v>42877.519849537035</v>
      </c>
      <c r="G181" s="7">
        <v>1</v>
      </c>
      <c r="H181" s="21" t="s">
        <v>960</v>
      </c>
      <c r="I181" s="13">
        <v>42877.527048611111</v>
      </c>
      <c r="J181" s="7">
        <v>0</v>
      </c>
      <c r="K181" s="92" t="str">
        <f t="shared" si="59"/>
        <v>4017/4018</v>
      </c>
      <c r="L181" s="21" t="str">
        <f>VLOOKUP(A181,'Trips&amp;Operators'!$C$1:$G$99999,5,FALSE)</f>
        <v>LOZA FIDEL</v>
      </c>
      <c r="M181" s="6">
        <f t="shared" si="60"/>
        <v>7.1990740761975758E-3</v>
      </c>
      <c r="N181" s="7"/>
      <c r="O181" s="7"/>
      <c r="P181" s="7"/>
      <c r="Q181" s="22"/>
      <c r="R181" s="190"/>
      <c r="S181" s="196"/>
      <c r="T181" s="190" t="str">
        <f t="shared" si="61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191" t="str">
        <f t="shared" si="62"/>
        <v>https://d0f6bd738d7f1b3e5a7ca70fe4ff75f0.us-east-1.aws.found.io/app/kibana#/discover/Steve-Slow-Train-Analysis-(2080s-and-2083s)?_g=(refreshInterval:(display:Off,pause:!f,section:0,value:0),time:(from:'2017-05-22T11:27:12-0600',mode:absolute,to:'2017-05-22T13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1" s="192" t="str">
        <f t="shared" si="63"/>
        <v>Y</v>
      </c>
      <c r="X181" s="192">
        <f t="shared" si="77"/>
        <v>0</v>
      </c>
      <c r="Y181" s="192">
        <f t="shared" si="64"/>
        <v>1.4815</v>
      </c>
      <c r="Z181" s="192">
        <f t="shared" si="65"/>
        <v>5.8933</v>
      </c>
      <c r="AA181" s="192">
        <f t="shared" si="66"/>
        <v>4.4117999999999995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7"/>
        <v>0819-22</v>
      </c>
      <c r="AE181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81" s="77" t="str">
        <f t="shared" si="69"/>
        <v>"C:\Program Files (x86)\AstroGrep\AstroGrep.exe" /e /r /s /spath="%USERPROFILE%\AppData\Local\Temp\OnboardLogs" /stypes="app*4018*20170522*" /stext=" 18:.+((SYSTEM_STATE.+slice.+state.+changed )|(ment ac)|(multiple cpu faults)|(system.+state.+changed )|(\[timeout)|(PRM\|1\|D)|(kpr)|(kdp)|(train st.+moving)|(\|lc)|(penalty))"</v>
      </c>
      <c r="AG181" s="1" t="str">
        <f t="shared" si="70"/>
        <v>NW</v>
      </c>
      <c r="AH181" s="81" t="str">
        <f t="shared" si="71"/>
        <v>"%USERPROFILE%\Documents\GitHub\eaglep3\Utilities\RefineRTDCRunTimes.py" --tripid 819-22 --locoid 4018 --swversion DE.1.0.9.0 --startMP 300:14815 --initTime 2017-05-22T12:27:12 --startdatetime 2017-05-22T12:28:35 --delay 1 --endMP 300:58933 --enddatetime 2017-05-22T12:38:57 --enforcementcount 0 &gt;&gt;C:\Users\stu\Documents\GitHub\eaglep3-reporting\EC\2017-05-22-refined-times.txt</v>
      </c>
      <c r="AI181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{"issue":{"subject":"","project_id":79,"tracker_id":40,"status_id":1,"priority_id":2,"assigned_to_id":23,"start_date":"2017-05-22","description":"","custom_fields":[{"id":1,"name":"Subdivision","value":"NW"},{"id":4,"name":"Milepost","value":"5.8933"},{"id":17,"name":"Train ID","value":"819-22"},{"id":16,"name":"Locomotive ID","value":"4018"},{"id":130,"name":"Impact","value":""},{"id":150,"name":"Time of Event (Mountain Time)","value":"12:38:57"},{"id":151,"name":"Denver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3"/>
        <v>start /low /b %USERPROFILE%\Documents\GitHub\eaglep3\Utilities\DownloadLogsFromS3.py --loco 4018 --day 2017-05-22</v>
      </c>
      <c r="AN181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723</v>
      </c>
      <c r="B182" s="7">
        <v>4017</v>
      </c>
      <c r="C182" s="21" t="s">
        <v>206</v>
      </c>
      <c r="D182" s="21" t="s">
        <v>550</v>
      </c>
      <c r="E182" s="13">
        <v>42877.527951388889</v>
      </c>
      <c r="F182" s="13">
        <v>42877.529328703706</v>
      </c>
      <c r="G182" s="7">
        <v>0</v>
      </c>
      <c r="H182" s="21" t="s">
        <v>946</v>
      </c>
      <c r="I182" s="13">
        <v>42877.53800925926</v>
      </c>
      <c r="J182" s="7">
        <v>0</v>
      </c>
      <c r="K182" s="92" t="str">
        <f t="shared" si="59"/>
        <v>4017/4018</v>
      </c>
      <c r="L182" s="21" t="str">
        <f>VLOOKUP(A182,'Trips&amp;Operators'!$C$1:$G$99999,5,FALSE)</f>
        <v>LOZA FIDEL</v>
      </c>
      <c r="M182" s="6">
        <f t="shared" si="60"/>
        <v>8.6805555547471158E-3</v>
      </c>
      <c r="N182" s="7">
        <f t="shared" ref="N182:N213" si="78">24*60*SUM($M182:$M182)</f>
        <v>12.499999998835847</v>
      </c>
      <c r="O182" s="7"/>
      <c r="P182" s="7"/>
      <c r="Q182" s="22"/>
      <c r="R182" s="190"/>
      <c r="S182" s="196">
        <f t="shared" ref="S182:S213" si="79">SUM(U182:U182)/IF(AG182="EC",12,1)</f>
        <v>1</v>
      </c>
      <c r="T182" s="190" t="str">
        <f t="shared" si="61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62"/>
        <v>https://d0f6bd738d7f1b3e5a7ca70fe4ff75f0.us-east-1.aws.found.io/app/kibana#/discover/Steve-Slow-Train-Analysis-(2080s-and-2083s)?_g=(refreshInterval:(display:Off,pause:!f,section:0,value:0),time:(from:'2017-05-22T11:40:15-0600',mode:absolute,to:'2017-05-22T13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2" s="192" t="str">
        <f t="shared" si="63"/>
        <v>N</v>
      </c>
      <c r="X182" s="192">
        <f t="shared" si="77"/>
        <v>1</v>
      </c>
      <c r="Y182" s="192">
        <f t="shared" si="64"/>
        <v>5.8613</v>
      </c>
      <c r="Z182" s="192">
        <f t="shared" si="65"/>
        <v>6.6600000000000006E-2</v>
      </c>
      <c r="AA182" s="192">
        <f t="shared" si="66"/>
        <v>5.7946999999999997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7"/>
        <v>0820-22</v>
      </c>
      <c r="AE182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82" s="77" t="str">
        <f t="shared" si="69"/>
        <v>"C:\Program Files (x86)\AstroGrep\AstroGrep.exe" /e /r /s /spath="%USERPROFILE%\AppData\Local\Temp\OnboardLogs" /stypes="app*4017*20170522*" /stext=" 18:.+((SYSTEM_STATE.+slice.+state.+changed )|(ment ac)|(multiple cpu faults)|(system.+state.+changed )|(\[timeout)|(PRM\|1\|D)|(kpr)|(kdp)|(train st.+moving)|(\|lc)|(penalty))"</v>
      </c>
      <c r="AG182" s="1" t="str">
        <f t="shared" si="70"/>
        <v>NW</v>
      </c>
      <c r="AH182" s="81" t="str">
        <f t="shared" si="71"/>
        <v>"%USERPROFILE%\Documents\GitHub\eaglep3\Utilities\RefineRTDCRunTimes.py" --tripid 820-22 --locoid 4017 --swversion DE.1.0.9.0 --startMP 300:58613 --initTime 2017-05-22T12:40:15 --startdatetime 2017-05-22T12:42:14 --delay 0 --endMP 204:666 --enddatetime 2017-05-22T12:54:44 --enforcementcount 0 &gt;&gt;C:\Users\stu\Documents\GitHub\eaglep3-reporting\EC\2017-05-22-refined-times.txt</v>
      </c>
      <c r="AI182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{"issue":{"subject":"","project_id":79,"tracker_id":40,"status_id":1,"priority_id":2,"assigned_to_id":23,"start_date":"2017-05-22","description":"","custom_fields":[{"id":1,"name":"Subdivision","value":"NW"},{"id":4,"name":"Milepost","value":"0.0666"},{"id":17,"name":"Train ID","value":"820-22"},{"id":16,"name":"Locomotive ID","value":"4017"},{"id":130,"name":"Impact","value":""},{"id":150,"name":"Time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3"/>
        <v>start /low /b %USERPROFILE%\Documents\GitHub\eaglep3\Utilities\DownloadLogsFromS3.py --loco 4017 --day 2017-05-22</v>
      </c>
      <c r="AN182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727</v>
      </c>
      <c r="B183" s="7">
        <v>4018</v>
      </c>
      <c r="C183" s="21" t="s">
        <v>206</v>
      </c>
      <c r="D183" s="21" t="s">
        <v>556</v>
      </c>
      <c r="E183" s="13">
        <v>42877.55395833333</v>
      </c>
      <c r="F183" s="13">
        <v>42877.556435185186</v>
      </c>
      <c r="G183" s="7">
        <v>1</v>
      </c>
      <c r="H183" s="21" t="s">
        <v>455</v>
      </c>
      <c r="I183" s="13">
        <v>42877.565798611111</v>
      </c>
      <c r="J183" s="7">
        <v>0</v>
      </c>
      <c r="K183" s="92" t="str">
        <f t="shared" si="59"/>
        <v>4017/4018</v>
      </c>
      <c r="L183" s="21" t="str">
        <f>VLOOKUP(A183,'Trips&amp;Operators'!$C$1:$G$99999,5,FALSE)</f>
        <v>LEVIN SCOTT</v>
      </c>
      <c r="M183" s="6">
        <f t="shared" si="60"/>
        <v>9.3634259246755391E-3</v>
      </c>
      <c r="N183" s="7">
        <f t="shared" si="78"/>
        <v>13.483333331532776</v>
      </c>
      <c r="O183" s="7"/>
      <c r="P183" s="7"/>
      <c r="Q183" s="22"/>
      <c r="R183" s="190"/>
      <c r="S183" s="196">
        <f t="shared" si="79"/>
        <v>1</v>
      </c>
      <c r="T183" s="190" t="str">
        <f t="shared" si="61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62"/>
        <v>https://d0f6bd738d7f1b3e5a7ca70fe4ff75f0.us-east-1.aws.found.io/app/kibana#/discover/Steve-Slow-Train-Analysis-(2080s-and-2083s)?_g=(refreshInterval:(display:Off,pause:!f,section:0,value:0),time:(from:'2017-05-22T12:17:42-0600',mode:absolute,to:'2017-05-22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3" s="192" t="str">
        <f t="shared" si="63"/>
        <v>N</v>
      </c>
      <c r="X183" s="192">
        <f t="shared" si="77"/>
        <v>1</v>
      </c>
      <c r="Y183" s="192">
        <f t="shared" si="64"/>
        <v>9.7600000000000006E-2</v>
      </c>
      <c r="Z183" s="192">
        <f t="shared" si="65"/>
        <v>5.8940999999999999</v>
      </c>
      <c r="AA183" s="192">
        <f t="shared" si="66"/>
        <v>5.7965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7"/>
        <v>0821-22</v>
      </c>
      <c r="AE183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83" s="77" t="str">
        <f t="shared" si="69"/>
        <v>"C:\Program Files (x86)\AstroGrep\AstroGrep.exe" /e /r /s /spath="%USERPROFILE%\AppData\Local\Temp\OnboardLogs" /stypes="app*4018*20170522*" /stext=" 19:.+((SYSTEM_STATE.+slice.+state.+changed )|(ment ac)|(multiple cpu faults)|(system.+state.+changed )|(\[timeout)|(PRM\|1\|D)|(kpr)|(kdp)|(train st.+moving)|(\|lc)|(penalty))"</v>
      </c>
      <c r="AG183" s="1" t="str">
        <f t="shared" si="70"/>
        <v>NW</v>
      </c>
      <c r="AH183" s="81" t="str">
        <f t="shared" si="71"/>
        <v>"%USERPROFILE%\Documents\GitHub\eaglep3\Utilities\RefineRTDCRunTimes.py" --tripid 821-22 --locoid 4018 --swversion DE.1.0.9.0 --startMP 204:976 --initTime 2017-05-22T13:17:42 --startdatetime 2017-05-22T13:21:16 --delay 1 --endMP 300:58941 --enddatetime 2017-05-22T13:34:45 --enforcementcount 0 &gt;&gt;C:\Users\stu\Documents\GitHub\eaglep3-reporting\EC\2017-05-22-refined-times.txt</v>
      </c>
      <c r="AI183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{"issue":{"subject":"","project_id":79,"tracker_id":40,"status_id":1,"priority_id":2,"assigned_to_id":23,"start_date":"2017-05-22","description":"","custom_fields":[{"id":1,"name":"Subdivision","value":"NW"},{"id":4,"name":"Milepost","value":"5.8941"},{"id":17,"name":"Train ID","value":"821-22"},{"id":16,"name":"Locomotive ID","value":"4018"},{"id":130,"name":"Impact","value":""},{"id":150,"name":"Time of Event (Mountain Time)","value":"13:34:45"},{"id":151,"name":"Denver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3"/>
        <v>start /low /b %USERPROFILE%\Documents\GitHub\eaglep3\Utilities\DownloadLogsFromS3.py --loco 4018 --day 2017-05-22</v>
      </c>
      <c r="AN183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597</v>
      </c>
      <c r="B184" s="7">
        <v>4017</v>
      </c>
      <c r="C184" s="21" t="s">
        <v>206</v>
      </c>
      <c r="D184" s="21" t="s">
        <v>955</v>
      </c>
      <c r="E184" s="13">
        <v>42877.567141203705</v>
      </c>
      <c r="F184" s="13">
        <v>42877.569004629629</v>
      </c>
      <c r="G184" s="7">
        <v>1</v>
      </c>
      <c r="H184" s="21" t="s">
        <v>961</v>
      </c>
      <c r="I184" s="13">
        <v>42877.579629629632</v>
      </c>
      <c r="J184" s="7">
        <v>0</v>
      </c>
      <c r="K184" s="92" t="str">
        <f t="shared" si="59"/>
        <v>4017/4018</v>
      </c>
      <c r="L184" s="21" t="str">
        <f>VLOOKUP(A184,'Trips&amp;Operators'!$C$1:$G$99999,5,FALSE)</f>
        <v>LEVIN SCOTT</v>
      </c>
      <c r="M184" s="6">
        <f t="shared" si="60"/>
        <v>1.0625000002619345E-2</v>
      </c>
      <c r="N184" s="7">
        <f t="shared" si="78"/>
        <v>15.300000003771856</v>
      </c>
      <c r="O184" s="7"/>
      <c r="P184" s="7"/>
      <c r="Q184" s="22"/>
      <c r="R184" s="190"/>
      <c r="S184" s="196">
        <f t="shared" si="79"/>
        <v>1</v>
      </c>
      <c r="T184" s="190" t="str">
        <f t="shared" si="61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62"/>
        <v>https://d0f6bd738d7f1b3e5a7ca70fe4ff75f0.us-east-1.aws.found.io/app/kibana#/discover/Steve-Slow-Train-Analysis-(2080s-and-2083s)?_g=(refreshInterval:(display:Off,pause:!f,section:0,value:0),time:(from:'2017-05-22T12:36:41-0600',mode:absolute,to:'2017-05-22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4" s="192" t="str">
        <f t="shared" si="63"/>
        <v>N</v>
      </c>
      <c r="X184" s="192">
        <f t="shared" si="77"/>
        <v>1</v>
      </c>
      <c r="Y184" s="192">
        <f t="shared" si="64"/>
        <v>5.8632</v>
      </c>
      <c r="Z184" s="192">
        <f t="shared" si="65"/>
        <v>6.1699999999999998E-2</v>
      </c>
      <c r="AA184" s="192">
        <f t="shared" si="66"/>
        <v>5.8014999999999999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7"/>
        <v>0822-22</v>
      </c>
      <c r="AE184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84" s="77" t="str">
        <f t="shared" si="69"/>
        <v>"C:\Program Files (x86)\AstroGrep\AstroGrep.exe" /e /r /s /spath="%USERPROFILE%\AppData\Local\Temp\OnboardLogs" /stypes="app*4017*20170522*" /stext=" 19:.+((SYSTEM_STATE.+slice.+state.+changed )|(ment ac)|(multiple cpu faults)|(system.+state.+changed )|(\[timeout)|(PRM\|1\|D)|(kpr)|(kdp)|(train st.+moving)|(\|lc)|(penalty))"</v>
      </c>
      <c r="AG184" s="1" t="str">
        <f t="shared" si="70"/>
        <v>NW</v>
      </c>
      <c r="AH184" s="81" t="str">
        <f t="shared" si="71"/>
        <v>"%USERPROFILE%\Documents\GitHub\eaglep3\Utilities\RefineRTDCRunTimes.py" --tripid 822-22 --locoid 4017 --swversion DE.1.0.9.0 --startMP 300:58632 --initTime 2017-05-22T13:36:41 --startdatetime 2017-05-22T13:39:22 --delay 1 --endMP 204:617 --enddatetime 2017-05-22T13:54:40 --enforcementcount 0 &gt;&gt;C:\Users\stu\Documents\GitHub\eaglep3-reporting\EC\2017-05-22-refined-times.txt</v>
      </c>
      <c r="AI184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{"issue":{"subject":"","project_id":79,"tracker_id":40,"status_id":1,"priority_id":2,"assigned_to_id":23,"start_date":"2017-05-22","description":"","custom_fields":[{"id":1,"name":"Subdivision","value":"NW"},{"id":4,"name":"Milepost","value":"0.0617"},{"id":17,"name":"Train ID","value":"822-22"},{"id":16,"name":"Locomotive ID","value":"4017"},{"id":130,"name":"Impact","value":""},{"id":150,"name":"Time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3"/>
        <v>start /low /b %USERPROFILE%\Documents\GitHub\eaglep3\Utilities\DownloadLogsFromS3.py --loco 4017 --day 2017-05-22</v>
      </c>
      <c r="AN184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737</v>
      </c>
      <c r="B185" s="7">
        <v>4018</v>
      </c>
      <c r="C185" s="21" t="s">
        <v>206</v>
      </c>
      <c r="D185" s="21" t="s">
        <v>962</v>
      </c>
      <c r="E185" s="13">
        <v>42877.595995370371</v>
      </c>
      <c r="F185" s="13">
        <v>42877.598090277781</v>
      </c>
      <c r="G185" s="7">
        <v>1</v>
      </c>
      <c r="H185" s="21" t="s">
        <v>963</v>
      </c>
      <c r="I185" s="13">
        <v>42877.607476851852</v>
      </c>
      <c r="J185" s="7">
        <v>0</v>
      </c>
      <c r="K185" s="92" t="str">
        <f t="shared" si="59"/>
        <v>4017/4018</v>
      </c>
      <c r="L185" s="21" t="str">
        <f>VLOOKUP(A185,'Trips&amp;Operators'!$C$1:$G$99999,5,FALSE)</f>
        <v>LEVIN SCOTT</v>
      </c>
      <c r="M185" s="6">
        <f t="shared" si="60"/>
        <v>9.3865740709588863E-3</v>
      </c>
      <c r="N185" s="7">
        <f t="shared" si="78"/>
        <v>13.516666662180796</v>
      </c>
      <c r="O185" s="7"/>
      <c r="P185" s="7"/>
      <c r="Q185" s="22"/>
      <c r="R185" s="190"/>
      <c r="S185" s="196">
        <f t="shared" si="79"/>
        <v>1</v>
      </c>
      <c r="T185" s="190" t="str">
        <f t="shared" si="61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62"/>
        <v>https://d0f6bd738d7f1b3e5a7ca70fe4ff75f0.us-east-1.aws.found.io/app/kibana#/discover/Steve-Slow-Train-Analysis-(2080s-and-2083s)?_g=(refreshInterval:(display:Off,pause:!f,section:0,value:0),time:(from:'2017-05-22T13:18:14-0600',mode:absolute,to:'2017-05-22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92" t="str">
        <f t="shared" si="63"/>
        <v>N</v>
      </c>
      <c r="X185" s="192">
        <f t="shared" si="77"/>
        <v>1</v>
      </c>
      <c r="Y185" s="192">
        <f t="shared" si="64"/>
        <v>9.2999999999999999E-2</v>
      </c>
      <c r="Z185" s="192">
        <f t="shared" si="65"/>
        <v>5.8930999999999996</v>
      </c>
      <c r="AA185" s="192">
        <f t="shared" si="66"/>
        <v>5.8000999999999996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7"/>
        <v>0823-22</v>
      </c>
      <c r="AE185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85" s="77" t="str">
        <f t="shared" si="69"/>
        <v>"C:\Program Files (x86)\AstroGrep\AstroGrep.exe" /e /r /s /spath="%USERPROFILE%\AppData\Local\Temp\OnboardLogs" /stypes="app*4018*20170522*" /stext=" 20:.+((SYSTEM_STATE.+slice.+state.+changed )|(ment ac)|(multiple cpu faults)|(system.+state.+changed )|(\[timeout)|(PRM\|1\|D)|(kpr)|(kdp)|(train st.+moving)|(\|lc)|(penalty))"</v>
      </c>
      <c r="AG185" s="1" t="str">
        <f t="shared" si="70"/>
        <v>NW</v>
      </c>
      <c r="AH185" s="81" t="str">
        <f t="shared" si="71"/>
        <v>"%USERPROFILE%\Documents\GitHub\eaglep3\Utilities\RefineRTDCRunTimes.py" --tripid 823-22 --locoid 4018 --swversion DE.1.0.9.0 --startMP 204:930 --initTime 2017-05-22T14:18:14 --startdatetime 2017-05-22T14:21:15 --delay 1 --endMP 300:58931 --enddatetime 2017-05-22T14:34:46 --enforcementcount 0 &gt;&gt;C:\Users\stu\Documents\GitHub\eaglep3-reporting\EC\2017-05-22-refined-times.txt</v>
      </c>
      <c r="AI185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{"issue":{"subject":"","project_id":79,"tracker_id":40,"status_id":1,"priority_id":2,"assigned_to_id":23,"start_date":"2017-05-22","description":"","custom_fields":[{"id":1,"name":"Subdivision","value":"NW"},{"id":4,"name":"Milepost","value":"5.8931"},{"id":17,"name":"Train ID","value":"823-22"},{"id":16,"name":"Locomotive ID","value":"4018"},{"id":130,"name":"Impact","value":""},{"id":150,"name":"Time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3"/>
        <v>start /low /b %USERPROFILE%\Documents\GitHub\eaglep3\Utilities\DownloadLogsFromS3.py --loco 4018 --day 2017-05-22</v>
      </c>
      <c r="AN185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738</v>
      </c>
      <c r="B186" s="7">
        <v>4017</v>
      </c>
      <c r="C186" s="21" t="s">
        <v>206</v>
      </c>
      <c r="D186" s="21" t="s">
        <v>408</v>
      </c>
      <c r="E186" s="13">
        <v>42877.608877314815</v>
      </c>
      <c r="F186" s="13">
        <v>42877.610034722224</v>
      </c>
      <c r="G186" s="7">
        <v>1</v>
      </c>
      <c r="H186" s="21" t="s">
        <v>964</v>
      </c>
      <c r="I186" s="13">
        <v>42877.621388888889</v>
      </c>
      <c r="J186" s="7">
        <v>0</v>
      </c>
      <c r="K186" s="92" t="str">
        <f t="shared" si="59"/>
        <v>4017/4018</v>
      </c>
      <c r="L186" s="21" t="str">
        <f>VLOOKUP(A186,'Trips&amp;Operators'!$C$1:$G$99999,5,FALSE)</f>
        <v>LEVIN SCOTT</v>
      </c>
      <c r="M186" s="6">
        <f t="shared" si="60"/>
        <v>1.1354166665114462E-2</v>
      </c>
      <c r="N186" s="7">
        <f t="shared" si="78"/>
        <v>16.349999997764826</v>
      </c>
      <c r="O186" s="7"/>
      <c r="P186" s="7"/>
      <c r="Q186" s="22"/>
      <c r="R186" s="190"/>
      <c r="S186" s="196">
        <f t="shared" si="79"/>
        <v>1</v>
      </c>
      <c r="T186" s="190" t="str">
        <f t="shared" si="61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62"/>
        <v>https://d0f6bd738d7f1b3e5a7ca70fe4ff75f0.us-east-1.aws.found.io/app/kibana#/discover/Steve-Slow-Train-Analysis-(2080s-and-2083s)?_g=(refreshInterval:(display:Off,pause:!f,section:0,value:0),time:(from:'2017-05-22T13:36:47-0600',mode:absolute,to:'2017-05-22T15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92" t="str">
        <f t="shared" si="63"/>
        <v>N</v>
      </c>
      <c r="X186" s="192">
        <f t="shared" si="77"/>
        <v>1</v>
      </c>
      <c r="Y186" s="192">
        <f t="shared" si="64"/>
        <v>5.8616999999999999</v>
      </c>
      <c r="Z186" s="192">
        <f t="shared" si="65"/>
        <v>6.3299999999999995E-2</v>
      </c>
      <c r="AA186" s="192">
        <f t="shared" si="66"/>
        <v>5.7984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7"/>
        <v>0824-22</v>
      </c>
      <c r="AE186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86" s="77" t="str">
        <f t="shared" si="69"/>
        <v>"C:\Program Files (x86)\AstroGrep\AstroGrep.exe" /e /r /s /spath="%USERPROFILE%\AppData\Local\Temp\OnboardLogs" /stypes="app*4017*20170522*" /stext=" 20:.+((SYSTEM_STATE.+slice.+state.+changed )|(ment ac)|(multiple cpu faults)|(system.+state.+changed )|(\[timeout)|(PRM\|1\|D)|(kpr)|(kdp)|(train st.+moving)|(\|lc)|(penalty))"</v>
      </c>
      <c r="AG186" s="1" t="str">
        <f t="shared" si="70"/>
        <v>NW</v>
      </c>
      <c r="AH186" s="81" t="str">
        <f t="shared" si="71"/>
        <v>"%USERPROFILE%\Documents\GitHub\eaglep3\Utilities\RefineRTDCRunTimes.py" --tripid 824-22 --locoid 4017 --swversion DE.1.0.9.0 --startMP 300:58617 --initTime 2017-05-22T14:36:47 --startdatetime 2017-05-22T14:38:27 --delay 1 --endMP 204:633 --enddatetime 2017-05-22T14:54:48 --enforcementcount 0 &gt;&gt;C:\Users\stu\Documents\GitHub\eaglep3-reporting\EC\2017-05-22-refined-times.txt</v>
      </c>
      <c r="AI186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{"issue":{"subject":"","project_id":79,"tracker_id":40,"status_id":1,"priority_id":2,"assigned_to_id":23,"start_date":"2017-05-22","description":"","custom_fields":[{"id":1,"name":"Subdivision","value":"NW"},{"id":4,"name":"Milepost","value":"0.0633"},{"id":17,"name":"Train ID","value":"824-22"},{"id":16,"name":"Locomotive ID","value":"4017"},{"id":130,"name":"Impact","value":""},{"id":150,"name":"Time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3"/>
        <v>start /low /b %USERPROFILE%\Documents\GitHub\eaglep3\Utilities\DownloadLogsFromS3.py --loco 4017 --day 2017-05-22</v>
      </c>
      <c r="AN186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20:54:48"},{"id":29,"name":"Sharepoint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s="20" customFormat="1" x14ac:dyDescent="0.25">
      <c r="A187" s="32" t="s">
        <v>745</v>
      </c>
      <c r="B187" s="7">
        <v>4018</v>
      </c>
      <c r="C187" s="21" t="s">
        <v>206</v>
      </c>
      <c r="D187" s="21" t="s">
        <v>962</v>
      </c>
      <c r="E187" s="13">
        <v>42877.637395833335</v>
      </c>
      <c r="F187" s="13">
        <v>42877.639872685184</v>
      </c>
      <c r="G187" s="7">
        <v>1</v>
      </c>
      <c r="H187" s="21" t="s">
        <v>960</v>
      </c>
      <c r="I187" s="13">
        <v>42877.649375000001</v>
      </c>
      <c r="J187" s="7">
        <v>0</v>
      </c>
      <c r="K187" s="92" t="str">
        <f t="shared" si="59"/>
        <v>4017/4018</v>
      </c>
      <c r="L187" s="21" t="str">
        <f>VLOOKUP(A187,'Trips&amp;Operators'!$C$1:$G$99999,5,FALSE)</f>
        <v>LEVIN SCOTT</v>
      </c>
      <c r="M187" s="6">
        <f t="shared" si="60"/>
        <v>9.5023148169275373E-3</v>
      </c>
      <c r="N187" s="7">
        <f t="shared" si="78"/>
        <v>13.683333336375654</v>
      </c>
      <c r="O187" s="7"/>
      <c r="P187" s="7"/>
      <c r="Q187" s="22"/>
      <c r="R187" s="190"/>
      <c r="S187" s="196">
        <f t="shared" si="79"/>
        <v>1</v>
      </c>
      <c r="T187" s="190" t="str">
        <f t="shared" si="61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62"/>
        <v>https://d0f6bd738d7f1b3e5a7ca70fe4ff75f0.us-east-1.aws.found.io/app/kibana#/discover/Steve-Slow-Train-Analysis-(2080s-and-2083s)?_g=(refreshInterval:(display:Off,pause:!f,section:0,value:0),time:(from:'2017-05-22T14:17:51-0600',mode:absolute,to:'2017-05-22T16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7" s="192" t="str">
        <f t="shared" si="63"/>
        <v>N</v>
      </c>
      <c r="X187" s="192">
        <f t="shared" si="77"/>
        <v>1</v>
      </c>
      <c r="Y187" s="192">
        <f t="shared" si="64"/>
        <v>9.2999999999999999E-2</v>
      </c>
      <c r="Z187" s="192">
        <f t="shared" si="65"/>
        <v>5.8933</v>
      </c>
      <c r="AA187" s="192">
        <f t="shared" si="66"/>
        <v>5.8003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7"/>
        <v>0825-22</v>
      </c>
      <c r="AE187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87" s="77" t="str">
        <f t="shared" si="69"/>
        <v>"C:\Program Files (x86)\AstroGrep\AstroGrep.exe" /e /r /s /spath="%USERPROFILE%\AppData\Local\Temp\OnboardLogs" /stypes="app*4018*20170522*" /stext=" 21:.+((SYSTEM_STATE.+slice.+state.+changed )|(ment ac)|(multiple cpu faults)|(system.+state.+changed )|(\[timeout)|(PRM\|1\|D)|(kpr)|(kdp)|(train st.+moving)|(\|lc)|(penalty))"</v>
      </c>
      <c r="AG187" s="1" t="str">
        <f t="shared" si="70"/>
        <v>NW</v>
      </c>
      <c r="AH187" s="81" t="str">
        <f t="shared" si="71"/>
        <v>"%USERPROFILE%\Documents\GitHub\eaglep3\Utilities\RefineRTDCRunTimes.py" --tripid 825-22 --locoid 4018 --swversion DE.1.0.9.0 --startMP 204:930 --initTime 2017-05-22T15:17:51 --startdatetime 2017-05-22T15:21:25 --delay 1 --endMP 300:58933 --enddatetime 2017-05-22T15:35:06 --enforcementcount 0 &gt;&gt;C:\Users\stu\Documents\GitHub\eaglep3-reporting\EC\2017-05-22-refined-times.txt</v>
      </c>
      <c r="AI187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{"issue":{"subject":"","project_id":79,"tracker_id":40,"status_id":1,"priority_id":2,"assigned_to_id":23,"start_date":"2017-05-22","description":"","custom_fields":[{"id":1,"name":"Subdivision","value":"NW"},{"id":4,"name":"Milepost","value":"5.8933"},{"id":17,"name":"Train ID","value":"825-22"},{"id":16,"name":"Locomotive ID","value":"4018"},{"id":130,"name":"Impact","value":""},{"id":150,"name":"Time of Event (Mountain Time)","value":"15:35:06"},{"id":151,"name":"Denver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73"/>
        <v>start /low /b %USERPROFILE%\Documents\GitHub\eaglep3\Utilities\DownloadLogsFromS3.py --loco 4018 --day 2017-05-22</v>
      </c>
      <c r="AN187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748</v>
      </c>
      <c r="B188" s="7">
        <v>4017</v>
      </c>
      <c r="C188" s="21" t="s">
        <v>206</v>
      </c>
      <c r="D188" s="21" t="s">
        <v>408</v>
      </c>
      <c r="E188" s="13">
        <v>42877.650462962964</v>
      </c>
      <c r="F188" s="13">
        <v>42877.652025462965</v>
      </c>
      <c r="G188" s="7">
        <v>1</v>
      </c>
      <c r="H188" s="21" t="s">
        <v>965</v>
      </c>
      <c r="I188" s="13">
        <v>42877.663703703707</v>
      </c>
      <c r="J188" s="7">
        <v>0</v>
      </c>
      <c r="K188" s="92" t="str">
        <f t="shared" si="59"/>
        <v>4017/4018</v>
      </c>
      <c r="L188" s="21" t="str">
        <f>VLOOKUP(A188,'Trips&amp;Operators'!$C$1:$G$99999,5,FALSE)</f>
        <v>LEVIN SCOTT</v>
      </c>
      <c r="M188" s="6">
        <f t="shared" si="60"/>
        <v>1.1678240742185153E-2</v>
      </c>
      <c r="N188" s="7">
        <f t="shared" si="78"/>
        <v>16.81666666874662</v>
      </c>
      <c r="O188" s="7"/>
      <c r="P188" s="7"/>
      <c r="Q188" s="22"/>
      <c r="R188" s="190"/>
      <c r="S188" s="196">
        <f t="shared" si="79"/>
        <v>1</v>
      </c>
      <c r="T188" s="190" t="str">
        <f t="shared" si="61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62"/>
        <v>https://d0f6bd738d7f1b3e5a7ca70fe4ff75f0.us-east-1.aws.found.io/app/kibana#/discover/Steve-Slow-Train-Analysis-(2080s-and-2083s)?_g=(refreshInterval:(display:Off,pause:!f,section:0,value:0),time:(from:'2017-05-22T14:36:40-0600',mode:absolute,to:'2017-05-22T16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8" s="192" t="str">
        <f t="shared" si="63"/>
        <v>N</v>
      </c>
      <c r="X188" s="192">
        <f t="shared" si="77"/>
        <v>1</v>
      </c>
      <c r="Y188" s="192">
        <f t="shared" si="64"/>
        <v>5.8616999999999999</v>
      </c>
      <c r="Z188" s="192">
        <f t="shared" si="65"/>
        <v>6.2199999999999998E-2</v>
      </c>
      <c r="AA188" s="192">
        <f t="shared" si="66"/>
        <v>5.7995000000000001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7"/>
        <v>0826-22</v>
      </c>
      <c r="AE188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88" s="77" t="str">
        <f t="shared" si="69"/>
        <v>"C:\Program Files (x86)\AstroGrep\AstroGrep.exe" /e /r /s /spath="%USERPROFILE%\AppData\Local\Temp\OnboardLogs" /stypes="app*4017*20170522*" /stext=" 21:.+((SYSTEM_STATE.+slice.+state.+changed )|(ment ac)|(multiple cpu faults)|(system.+state.+changed )|(\[timeout)|(PRM\|1\|D)|(kpr)|(kdp)|(train st.+moving)|(\|lc)|(penalty))"</v>
      </c>
      <c r="AG188" s="1" t="str">
        <f t="shared" si="70"/>
        <v>NW</v>
      </c>
      <c r="AH188" s="81" t="str">
        <f t="shared" si="71"/>
        <v>"%USERPROFILE%\Documents\GitHub\eaglep3\Utilities\RefineRTDCRunTimes.py" --tripid 826-22 --locoid 4017 --swversion DE.1.0.9.0 --startMP 300:58617 --initTime 2017-05-22T15:36:40 --startdatetime 2017-05-22T15:38:55 --delay 1 --endMP 204:622 --enddatetime 2017-05-22T15:55:44 --enforcementcount 0 &gt;&gt;C:\Users\stu\Documents\GitHub\eaglep3-reporting\EC\2017-05-22-refined-times.txt</v>
      </c>
      <c r="AI188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{"issue":{"subject":"","project_id":79,"tracker_id":40,"status_id":1,"priority_id":2,"assigned_to_id":23,"start_date":"2017-05-22","description":"","custom_fields":[{"id":1,"name":"Subdivision","value":"NW"},{"id":4,"name":"Milepost","value":"0.0622"},{"id":17,"name":"Train ID","value":"826-22"},{"id":16,"name":"Locomotive ID","value":"4017"},{"id":130,"name":"Impact","value":""},{"id":150,"name":"Time of Event (Mountain Time)","value":"15:55:44"},{"id":151,"name":"Denver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3"/>
        <v>start /low /b %USERPROFILE%\Documents\GitHub\eaglep3\Utilities\DownloadLogsFromS3.py --loco 4017 --day 2017-05-22</v>
      </c>
      <c r="AN188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749</v>
      </c>
      <c r="B189" s="7">
        <v>4030</v>
      </c>
      <c r="C189" s="21" t="s">
        <v>206</v>
      </c>
      <c r="D189" s="21" t="s">
        <v>966</v>
      </c>
      <c r="E189" s="13">
        <v>42877.650173611109</v>
      </c>
      <c r="F189" s="13">
        <v>42877.660925925928</v>
      </c>
      <c r="G189" s="7">
        <v>3</v>
      </c>
      <c r="H189" s="21" t="s">
        <v>967</v>
      </c>
      <c r="I189" s="13">
        <v>42877.670266203706</v>
      </c>
      <c r="J189" s="7">
        <v>0</v>
      </c>
      <c r="K189" s="92" t="str">
        <f t="shared" si="59"/>
        <v>4029/4030</v>
      </c>
      <c r="L189" s="21" t="str">
        <f>VLOOKUP(A189,'Trips&amp;Operators'!$C$1:$G$99999,5,FALSE)</f>
        <v>STAMBAUGH JAMES</v>
      </c>
      <c r="M189" s="6">
        <f t="shared" si="60"/>
        <v>9.340277778392192E-3</v>
      </c>
      <c r="N189" s="7">
        <f t="shared" si="78"/>
        <v>13.450000000884756</v>
      </c>
      <c r="O189" s="7"/>
      <c r="P189" s="7"/>
      <c r="Q189" s="22"/>
      <c r="R189" s="190"/>
      <c r="S189" s="196">
        <f t="shared" si="79"/>
        <v>1</v>
      </c>
      <c r="T189" s="190" t="str">
        <f t="shared" si="61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62"/>
        <v>https://d0f6bd738d7f1b3e5a7ca70fe4ff75f0.us-east-1.aws.found.io/app/kibana#/discover/Steve-Slow-Train-Analysis-(2080s-and-2083s)?_g=(refreshInterval:(display:Off,pause:!f,section:0,value:0),time:(from:'2017-05-22T14:36:15-0600',mode:absolute,to:'2017-05-22T17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192" t="str">
        <f t="shared" si="63"/>
        <v>N</v>
      </c>
      <c r="X189" s="192">
        <f t="shared" si="77"/>
        <v>1</v>
      </c>
      <c r="Y189" s="192">
        <f t="shared" si="64"/>
        <v>9.9000000000000005E-2</v>
      </c>
      <c r="Z189" s="192">
        <f t="shared" si="65"/>
        <v>5.8920000000000003</v>
      </c>
      <c r="AA189" s="192">
        <f t="shared" si="66"/>
        <v>5.7930000000000001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7"/>
        <v>0827-22</v>
      </c>
      <c r="AE189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189" s="77" t="str">
        <f t="shared" si="69"/>
        <v>"C:\Program Files (x86)\AstroGrep\AstroGrep.exe" /e /r /s /spath="%USERPROFILE%\AppData\Local\Temp\OnboardLogs" /stypes="app*4030*20170522*" /stext=" 22:.+((SYSTEM_STATE.+slice.+state.+changed )|(ment ac)|(multiple cpu faults)|(system.+state.+changed )|(\[timeout)|(PRM\|1\|D)|(kpr)|(kdp)|(train st.+moving)|(\|lc)|(penalty))"</v>
      </c>
      <c r="AG189" s="1" t="str">
        <f t="shared" si="70"/>
        <v>NW</v>
      </c>
      <c r="AH189" s="81" t="str">
        <f t="shared" si="71"/>
        <v>"%USERPROFILE%\Documents\GitHub\eaglep3\Utilities\RefineRTDCRunTimes.py" --tripid 827-22 --locoid 4030 --swversion DE.1.0.9.0 --startMP 204:990 --initTime 2017-05-22T15:36:15 --startdatetime 2017-05-22T15:51:44 --delay 3 --endMP 300:58920 --enddatetime 2017-05-22T16:05:11 --enforcementcount 0 &gt;&gt;C:\Users\stu\Documents\GitHub\eaglep3-reporting\EC\2017-05-22-refined-times.txt</v>
      </c>
      <c r="AI189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{"issue":{"subject":"","project_id":79,"tracker_id":40,"status_id":1,"priority_id":2,"assigned_to_id":23,"start_date":"2017-05-22","description":"","custom_fields":[{"id":1,"name":"Subdivision","value":"NW"},{"id":4,"name":"Milepost","value":"5.892"},{"id":17,"name":"Train ID","value":"827-22"},{"id":16,"name":"Locomotive ID","value":"4030"},{"id":130,"name":"Impact","value":""},{"id":150,"name":"Time of Event (Mountain Time)","value":"16:05:11"},{"id":151,"name":"Denver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3"/>
        <v>start /low /b %USERPROFILE%\Documents\GitHub\eaglep3\Utilities\DownloadLogsFromS3.py --loco 4030 --day 2017-05-22</v>
      </c>
      <c r="AN189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754</v>
      </c>
      <c r="B190" s="7">
        <v>4029</v>
      </c>
      <c r="C190" s="21" t="s">
        <v>206</v>
      </c>
      <c r="D190" s="21" t="s">
        <v>940</v>
      </c>
      <c r="E190" s="13">
        <v>42877.67119212963</v>
      </c>
      <c r="F190" s="13">
        <v>42877.672615740739</v>
      </c>
      <c r="G190" s="7">
        <v>1</v>
      </c>
      <c r="H190" s="21" t="s">
        <v>968</v>
      </c>
      <c r="I190" s="13">
        <v>42877.68440972222</v>
      </c>
      <c r="J190" s="7">
        <v>0</v>
      </c>
      <c r="K190" s="92" t="str">
        <f t="shared" si="59"/>
        <v>4029/4030</v>
      </c>
      <c r="L190" s="21" t="str">
        <f>VLOOKUP(A190,'Trips&amp;Operators'!$C$1:$G$99999,5,FALSE)</f>
        <v>STAMBAUGH JAMES</v>
      </c>
      <c r="M190" s="6">
        <f t="shared" si="60"/>
        <v>1.1793981480877846E-2</v>
      </c>
      <c r="N190" s="7">
        <f t="shared" si="78"/>
        <v>16.983333332464099</v>
      </c>
      <c r="O190" s="7"/>
      <c r="P190" s="7"/>
      <c r="Q190" s="22"/>
      <c r="R190" s="190"/>
      <c r="S190" s="196">
        <f t="shared" si="79"/>
        <v>1</v>
      </c>
      <c r="T190" s="190" t="str">
        <f t="shared" si="61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62"/>
        <v>https://d0f6bd738d7f1b3e5a7ca70fe4ff75f0.us-east-1.aws.found.io/app/kibana#/discover/Steve-Slow-Train-Analysis-(2080s-and-2083s)?_g=(refreshInterval:(display:Off,pause:!f,section:0,value:0),time:(from:'2017-05-22T15:06:31-0600',mode:absolute,to:'2017-05-22T17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192" t="str">
        <f t="shared" si="63"/>
        <v>N</v>
      </c>
      <c r="X190" s="192">
        <f t="shared" si="77"/>
        <v>1</v>
      </c>
      <c r="Y190" s="192">
        <f t="shared" si="64"/>
        <v>5.8605999999999998</v>
      </c>
      <c r="Z190" s="192">
        <f t="shared" si="65"/>
        <v>6.4500000000000002E-2</v>
      </c>
      <c r="AA190" s="192">
        <f t="shared" si="66"/>
        <v>5.7961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7"/>
        <v>0828-22</v>
      </c>
      <c r="AE190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90" s="77" t="str">
        <f t="shared" si="69"/>
        <v>"C:\Program Files (x86)\AstroGrep\AstroGrep.exe" /e /r /s /spath="%USERPROFILE%\AppData\Local\Temp\OnboardLogs" /stypes="app*4029*20170522*" /stext=" 22:.+((SYSTEM_STATE.+slice.+state.+changed )|(ment ac)|(multiple cpu faults)|(system.+state.+changed )|(\[timeout)|(PRM\|1\|D)|(kpr)|(kdp)|(train st.+moving)|(\|lc)|(penalty))"</v>
      </c>
      <c r="AG190" s="1" t="str">
        <f t="shared" si="70"/>
        <v>NW</v>
      </c>
      <c r="AH190" s="81" t="str">
        <f t="shared" si="71"/>
        <v>"%USERPROFILE%\Documents\GitHub\eaglep3\Utilities\RefineRTDCRunTimes.py" --tripid 828-22 --locoid 4029 --swversion DE.1.0.9.0 --startMP 300:58606 --initTime 2017-05-22T16:06:31 --startdatetime 2017-05-22T16:08:34 --delay 1 --endMP 204:645 --enddatetime 2017-05-22T16:25:33 --enforcementcount 0 &gt;&gt;C:\Users\stu\Documents\GitHub\eaglep3-reporting\EC\2017-05-22-refined-times.txt</v>
      </c>
      <c r="AI190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{"issue":{"subject":"","project_id":79,"tracker_id":40,"status_id":1,"priority_id":2,"assigned_to_id":23,"start_date":"2017-05-22","description":"","custom_fields":[{"id":1,"name":"Subdivision","value":"NW"},{"id":4,"name":"Milepost","value":"0.0645"},{"id":17,"name":"Train ID","value":"828-22"},{"id":16,"name":"Locomotive ID","value":"4029"},{"id":130,"name":"Impact","value":""},{"id":150,"name":"Time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3"/>
        <v>start /low /b %USERPROFILE%\Documents\GitHub\eaglep3\Utilities\DownloadLogsFromS3.py --loco 4029 --day 2017-05-22</v>
      </c>
      <c r="AN190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603</v>
      </c>
      <c r="B191" s="7">
        <v>4018</v>
      </c>
      <c r="C191" s="21" t="s">
        <v>206</v>
      </c>
      <c r="D191" s="21" t="s">
        <v>969</v>
      </c>
      <c r="E191" s="13">
        <v>42877.678749999999</v>
      </c>
      <c r="F191" s="13">
        <v>42877.681423611109</v>
      </c>
      <c r="G191" s="7">
        <v>1</v>
      </c>
      <c r="H191" s="21" t="s">
        <v>957</v>
      </c>
      <c r="I191" s="13">
        <v>42877.691527777781</v>
      </c>
      <c r="J191" s="7">
        <v>0</v>
      </c>
      <c r="K191" s="92" t="str">
        <f t="shared" si="59"/>
        <v>4017/4018</v>
      </c>
      <c r="L191" s="21" t="str">
        <f>VLOOKUP(A191,'Trips&amp;Operators'!$C$1:$G$99999,5,FALSE)</f>
        <v>LEVIN SCOTT</v>
      </c>
      <c r="M191" s="6">
        <f t="shared" si="60"/>
        <v>1.0104166671226267E-2</v>
      </c>
      <c r="N191" s="7">
        <f t="shared" si="78"/>
        <v>14.550000006565824</v>
      </c>
      <c r="O191" s="7"/>
      <c r="P191" s="7"/>
      <c r="Q191" s="22"/>
      <c r="R191" s="190"/>
      <c r="S191" s="196">
        <f t="shared" si="79"/>
        <v>1</v>
      </c>
      <c r="T191" s="190" t="str">
        <f t="shared" si="61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62"/>
        <v>https://d0f6bd738d7f1b3e5a7ca70fe4ff75f0.us-east-1.aws.found.io/app/kibana#/discover/Steve-Slow-Train-Analysis-(2080s-and-2083s)?_g=(refreshInterval:(display:Off,pause:!f,section:0,value:0),time:(from:'2017-05-22T15:17:24-0600',mode:absolute,to:'2017-05-22T17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1" s="192" t="str">
        <f t="shared" si="63"/>
        <v>N</v>
      </c>
      <c r="X191" s="192">
        <f t="shared" si="77"/>
        <v>1</v>
      </c>
      <c r="Y191" s="192">
        <f t="shared" si="64"/>
        <v>9.1800000000000007E-2</v>
      </c>
      <c r="Z191" s="192">
        <f t="shared" si="65"/>
        <v>5.8939000000000004</v>
      </c>
      <c r="AA191" s="192">
        <f t="shared" si="66"/>
        <v>5.8021000000000003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7"/>
        <v>0829-22</v>
      </c>
      <c r="AE191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91" s="77" t="str">
        <f t="shared" si="69"/>
        <v>"C:\Program Files (x86)\AstroGrep\AstroGrep.exe" /e /r /s /spath="%USERPROFILE%\AppData\Local\Temp\OnboardLogs" /stypes="app*4018*20170522*" /stext=" 22:.+((SYSTEM_STATE.+slice.+state.+changed )|(ment ac)|(multiple cpu faults)|(system.+state.+changed )|(\[timeout)|(PRM\|1\|D)|(kpr)|(kdp)|(train st.+moving)|(\|lc)|(penalty))"</v>
      </c>
      <c r="AG191" s="1" t="str">
        <f t="shared" si="70"/>
        <v>NW</v>
      </c>
      <c r="AH191" s="81" t="str">
        <f t="shared" si="71"/>
        <v>"%USERPROFILE%\Documents\GitHub\eaglep3\Utilities\RefineRTDCRunTimes.py" --tripid 829-22 --locoid 4018 --swversion DE.1.0.9.0 --startMP 204:918 --initTime 2017-05-22T16:17:24 --startdatetime 2017-05-22T16:21:15 --delay 1 --endMP 300:58939 --enddatetime 2017-05-22T16:35:48 --enforcementcount 0 &gt;&gt;C:\Users\stu\Documents\GitHub\eaglep3-reporting\EC\2017-05-22-refined-times.txt</v>
      </c>
      <c r="AI191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{"issue":{"subject":"","project_id":79,"tracker_id":40,"status_id":1,"priority_id":2,"assigned_to_id":23,"start_date":"2017-05-22","description":"","custom_fields":[{"id":1,"name":"Subdivision","value":"NW"},{"id":4,"name":"Milepost","value":"5.8939"},{"id":17,"name":"Train ID","value":"829-22"},{"id":16,"name":"Locomotive ID","value":"4018"},{"id":130,"name":"Impact","value":""},{"id":150,"name":"Time of Event (Mountain Time)","value":"16:35:48"},{"id":151,"name":"Denver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3"/>
        <v>start /low /b %USERPROFILE%\Documents\GitHub\eaglep3\Utilities\DownloadLogsFromS3.py --loco 4018 --day 2017-05-22</v>
      </c>
      <c r="AN191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759</v>
      </c>
      <c r="B192" s="7">
        <v>4017</v>
      </c>
      <c r="C192" s="21" t="s">
        <v>206</v>
      </c>
      <c r="D192" s="21" t="s">
        <v>951</v>
      </c>
      <c r="E192" s="13">
        <v>42877.692800925928</v>
      </c>
      <c r="F192" s="13">
        <v>42877.694143518522</v>
      </c>
      <c r="G192" s="7">
        <v>1</v>
      </c>
      <c r="H192" s="21" t="s">
        <v>970</v>
      </c>
      <c r="I192" s="13">
        <v>42877.705706018518</v>
      </c>
      <c r="J192" s="7">
        <v>0</v>
      </c>
      <c r="K192" s="92" t="str">
        <f t="shared" si="59"/>
        <v>4017/4018</v>
      </c>
      <c r="L192" s="21" t="str">
        <f>VLOOKUP(A192,'Trips&amp;Operators'!$C$1:$G$99999,5,FALSE)</f>
        <v>LEVIN SCOTT</v>
      </c>
      <c r="M192" s="6">
        <f t="shared" si="60"/>
        <v>1.1562499996216502E-2</v>
      </c>
      <c r="N192" s="7">
        <f t="shared" si="78"/>
        <v>16.649999994551763</v>
      </c>
      <c r="O192" s="7"/>
      <c r="P192" s="7"/>
      <c r="Q192" s="22"/>
      <c r="R192" s="190"/>
      <c r="S192" s="196">
        <f t="shared" si="79"/>
        <v>1</v>
      </c>
      <c r="T192" s="190" t="str">
        <f t="shared" si="61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62"/>
        <v>https://d0f6bd738d7f1b3e5a7ca70fe4ff75f0.us-east-1.aws.found.io/app/kibana#/discover/Steve-Slow-Train-Analysis-(2080s-and-2083s)?_g=(refreshInterval:(display:Off,pause:!f,section:0,value:0),time:(from:'2017-05-22T15:37:38-0600',mode:absolute,to:'2017-05-22T17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2" s="192" t="str">
        <f t="shared" si="63"/>
        <v>N</v>
      </c>
      <c r="X192" s="192">
        <f t="shared" si="77"/>
        <v>1</v>
      </c>
      <c r="Y192" s="192">
        <f t="shared" si="64"/>
        <v>5.8628</v>
      </c>
      <c r="Z192" s="192">
        <f t="shared" si="65"/>
        <v>6.1499999999999999E-2</v>
      </c>
      <c r="AA192" s="192">
        <f t="shared" si="66"/>
        <v>5.8013000000000003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7"/>
        <v>0830-22</v>
      </c>
      <c r="AE192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92" s="77" t="str">
        <f t="shared" si="69"/>
        <v>"C:\Program Files (x86)\AstroGrep\AstroGrep.exe" /e /r /s /spath="%USERPROFILE%\AppData\Local\Temp\OnboardLogs" /stypes="app*4017*20170522*" /stext=" 22:.+((SYSTEM_STATE.+slice.+state.+changed )|(ment ac)|(multiple cpu faults)|(system.+state.+changed )|(\[timeout)|(PRM\|1\|D)|(kpr)|(kdp)|(train st.+moving)|(\|lc)|(penalty))"</v>
      </c>
      <c r="AG192" s="1" t="str">
        <f t="shared" si="70"/>
        <v>NW</v>
      </c>
      <c r="AH192" s="81" t="str">
        <f t="shared" si="71"/>
        <v>"%USERPROFILE%\Documents\GitHub\eaglep3\Utilities\RefineRTDCRunTimes.py" --tripid 830-22 --locoid 4017 --swversion DE.1.0.9.0 --startMP 300:58628 --initTime 2017-05-22T16:37:38 --startdatetime 2017-05-22T16:39:34 --delay 1 --endMP 204:615 --enddatetime 2017-05-22T16:56:13 --enforcementcount 0 &gt;&gt;C:\Users\stu\Documents\GitHub\eaglep3-reporting\EC\2017-05-22-refined-times.txt</v>
      </c>
      <c r="AI192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{"issue":{"subject":"","project_id":79,"tracker_id":40,"status_id":1,"priority_id":2,"assigned_to_id":23,"start_date":"2017-05-22","description":"","custom_fields":[{"id":1,"name":"Subdivision","value":"NW"},{"id":4,"name":"Milepost","value":"0.0615"},{"id":17,"name":"Train ID","value":"830-22"},{"id":16,"name":"Locomotive ID","value":"4017"},{"id":130,"name":"Impact","value":""},{"id":150,"name":"Time of Event (Mountain Time)","value":"16:56:13"},{"id":151,"name":"Denver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3"/>
        <v>start /low /b %USERPROFILE%\Documents\GitHub\eaglep3\Utilities\DownloadLogsFromS3.py --loco 4017 --day 2017-05-22</v>
      </c>
      <c r="AN192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22:56:13"},{"id":29,"name":"Sharepoint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758</v>
      </c>
      <c r="B193" s="7">
        <v>4030</v>
      </c>
      <c r="C193" s="21" t="s">
        <v>206</v>
      </c>
      <c r="D193" s="21" t="s">
        <v>971</v>
      </c>
      <c r="E193" s="13">
        <v>42877.685208333336</v>
      </c>
      <c r="F193" s="13">
        <v>42877.702708333331</v>
      </c>
      <c r="G193" s="7">
        <v>1</v>
      </c>
      <c r="H193" s="21" t="s">
        <v>960</v>
      </c>
      <c r="I193" s="13">
        <v>42877.712719907409</v>
      </c>
      <c r="J193" s="7">
        <v>0</v>
      </c>
      <c r="K193" s="92" t="str">
        <f t="shared" si="59"/>
        <v>4029/4030</v>
      </c>
      <c r="L193" s="21" t="str">
        <f>VLOOKUP(A193,'Trips&amp;Operators'!$C$1:$G$99999,5,FALSE)</f>
        <v>STAMBAUGH JAMES</v>
      </c>
      <c r="M193" s="6">
        <f t="shared" si="60"/>
        <v>1.0011574078816921E-2</v>
      </c>
      <c r="N193" s="7">
        <f t="shared" si="78"/>
        <v>14.416666673496366</v>
      </c>
      <c r="O193" s="7"/>
      <c r="P193" s="7"/>
      <c r="Q193" s="22"/>
      <c r="R193" s="190"/>
      <c r="S193" s="196">
        <f t="shared" si="79"/>
        <v>1</v>
      </c>
      <c r="T193" s="190" t="str">
        <f t="shared" si="61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62"/>
        <v>https://d0f6bd738d7f1b3e5a7ca70fe4ff75f0.us-east-1.aws.found.io/app/kibana#/discover/Steve-Slow-Train-Analysis-(2080s-and-2083s)?_g=(refreshInterval:(display:Off,pause:!f,section:0,value:0),time:(from:'2017-05-22T15:26:42-0600',mode:absolute,to:'2017-05-22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192" t="str">
        <f t="shared" si="63"/>
        <v>N</v>
      </c>
      <c r="X193" s="192">
        <f t="shared" si="77"/>
        <v>1</v>
      </c>
      <c r="Y193" s="192">
        <f t="shared" si="64"/>
        <v>9.4299999999999995E-2</v>
      </c>
      <c r="Z193" s="192">
        <f t="shared" si="65"/>
        <v>5.8933</v>
      </c>
      <c r="AA193" s="192">
        <f t="shared" si="66"/>
        <v>5.7990000000000004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7"/>
        <v>0831-22</v>
      </c>
      <c r="AE193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193" s="77" t="str">
        <f t="shared" si="69"/>
        <v>"C:\Program Files (x86)\AstroGrep\AstroGrep.exe" /e /r /s /spath="%USERPROFILE%\AppData\Local\Temp\OnboardLogs" /stypes="app*4030*20170522*" /stext=" 23:.+((SYSTEM_STATE.+slice.+state.+changed )|(ment ac)|(multiple cpu faults)|(system.+state.+changed )|(\[timeout)|(PRM\|1\|D)|(kpr)|(kdp)|(train st.+moving)|(\|lc)|(penalty))"</v>
      </c>
      <c r="AG193" s="1" t="str">
        <f t="shared" si="70"/>
        <v>NW</v>
      </c>
      <c r="AH193" s="81" t="str">
        <f t="shared" si="71"/>
        <v>"%USERPROFILE%\Documents\GitHub\eaglep3\Utilities\RefineRTDCRunTimes.py" --tripid 831-22 --locoid 4030 --swversion DE.1.0.9.0 --startMP 204:943 --initTime 2017-05-22T16:26:42 --startdatetime 2017-05-22T16:51:54 --delay 1 --endMP 300:58933 --enddatetime 2017-05-22T17:06:19 --enforcementcount 0 &gt;&gt;C:\Users\stu\Documents\GitHub\eaglep3-reporting\EC\2017-05-22-refined-times.txt</v>
      </c>
      <c r="AI193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{"issue":{"subject":"","project_id":79,"tracker_id":40,"status_id":1,"priority_id":2,"assigned_to_id":23,"start_date":"2017-05-22","description":"","custom_fields":[{"id":1,"name":"Subdivision","value":"NW"},{"id":4,"name":"Milepost","value":"5.8933"},{"id":17,"name":"Train ID","value":"831-22"},{"id":16,"name":"Locomotive ID","value":"4030"},{"id":130,"name":"Impact","value":""},{"id":150,"name":"Time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3"/>
        <v>start /low /b %USERPROFILE%\Documents\GitHub\eaglep3\Utilities\DownloadLogsFromS3.py --loco 4030 --day 2017-05-22</v>
      </c>
      <c r="AN193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604</v>
      </c>
      <c r="B194" s="7">
        <v>4029</v>
      </c>
      <c r="C194" s="21" t="s">
        <v>206</v>
      </c>
      <c r="D194" s="21" t="s">
        <v>548</v>
      </c>
      <c r="E194" s="13">
        <v>42877.714421296296</v>
      </c>
      <c r="F194" s="13">
        <v>42877.715891203705</v>
      </c>
      <c r="G194" s="7">
        <v>1</v>
      </c>
      <c r="H194" s="21" t="s">
        <v>972</v>
      </c>
      <c r="I194" s="13">
        <v>42877.725949074076</v>
      </c>
      <c r="J194" s="7">
        <v>0</v>
      </c>
      <c r="K194" s="92" t="str">
        <f t="shared" si="59"/>
        <v>4029/4030</v>
      </c>
      <c r="L194" s="21" t="str">
        <f>VLOOKUP(A194,'Trips&amp;Operators'!$C$1:$G$99999,5,FALSE)</f>
        <v>STAMBAUGH JAMES</v>
      </c>
      <c r="M194" s="6">
        <f t="shared" si="60"/>
        <v>1.0057870371383615E-2</v>
      </c>
      <c r="N194" s="7">
        <f t="shared" si="78"/>
        <v>14.483333334792405</v>
      </c>
      <c r="O194" s="7"/>
      <c r="P194" s="7"/>
      <c r="Q194" s="22"/>
      <c r="R194" s="190"/>
      <c r="S194" s="196">
        <f t="shared" si="79"/>
        <v>1</v>
      </c>
      <c r="T194" s="190" t="str">
        <f t="shared" si="61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62"/>
        <v>https://d0f6bd738d7f1b3e5a7ca70fe4ff75f0.us-east-1.aws.found.io/app/kibana#/discover/Steve-Slow-Train-Analysis-(2080s-and-2083s)?_g=(refreshInterval:(display:Off,pause:!f,section:0,value:0),time:(from:'2017-05-22T16:08:46-0600',mode:absolute,to:'2017-05-22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92" t="str">
        <f t="shared" si="63"/>
        <v>N</v>
      </c>
      <c r="X194" s="192">
        <f t="shared" si="77"/>
        <v>1</v>
      </c>
      <c r="Y194" s="192">
        <f t="shared" si="64"/>
        <v>5.8615000000000004</v>
      </c>
      <c r="Z194" s="192">
        <f t="shared" si="65"/>
        <v>6.6400000000000001E-2</v>
      </c>
      <c r="AA194" s="192">
        <f t="shared" si="66"/>
        <v>5.7951000000000006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7"/>
        <v>0832-22</v>
      </c>
      <c r="AE194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94" s="77" t="str">
        <f t="shared" si="69"/>
        <v>"C:\Program Files (x86)\AstroGrep\AstroGrep.exe" /e /r /s /spath="%USERPROFILE%\AppData\Local\Temp\OnboardLogs" /stypes="app*4029*20170522*" /stext=" 23:.+((SYSTEM_STATE.+slice.+state.+changed )|(ment ac)|(multiple cpu faults)|(system.+state.+changed )|(\[timeout)|(PRM\|1\|D)|(kpr)|(kdp)|(train st.+moving)|(\|lc)|(penalty))"</v>
      </c>
      <c r="AG194" s="1" t="str">
        <f t="shared" si="70"/>
        <v>NW</v>
      </c>
      <c r="AH194" s="81" t="str">
        <f t="shared" si="71"/>
        <v>"%USERPROFILE%\Documents\GitHub\eaglep3\Utilities\RefineRTDCRunTimes.py" --tripid 832-22 --locoid 4029 --swversion DE.1.0.9.0 --startMP 300:58615 --initTime 2017-05-22T17:08:46 --startdatetime 2017-05-22T17:10:53 --delay 1 --endMP 204:664 --enddatetime 2017-05-22T17:25:22 --enforcementcount 0 &gt;&gt;C:\Users\stu\Documents\GitHub\eaglep3-reporting\EC\2017-05-22-refined-times.txt</v>
      </c>
      <c r="AI194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{"issue":{"subject":"","project_id":79,"tracker_id":40,"status_id":1,"priority_id":2,"assigned_to_id":23,"start_date":"2017-05-22","description":"","custom_fields":[{"id":1,"name":"Subdivision","value":"NW"},{"id":4,"name":"Milepost","value":"0.0664"},{"id":17,"name":"Train ID","value":"832-22"},{"id":16,"name":"Locomotive ID","value":"4029"},{"id":130,"name":"Impact","value":""},{"id":150,"name":"Time of Event (Mountain Time)","value":"17:25:22"},{"id":151,"name":"Denver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73"/>
        <v>start /low /b %USERPROFILE%\Documents\GitHub\eaglep3\Utilities\DownloadLogsFromS3.py --loco 4029 --day 2017-05-22</v>
      </c>
      <c r="AN194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765</v>
      </c>
      <c r="B195" s="7">
        <v>4018</v>
      </c>
      <c r="C195" s="21" t="s">
        <v>206</v>
      </c>
      <c r="D195" s="21" t="s">
        <v>973</v>
      </c>
      <c r="E195" s="13">
        <v>42877.720601851855</v>
      </c>
      <c r="F195" s="13">
        <v>42877.723113425927</v>
      </c>
      <c r="G195" s="7">
        <v>1</v>
      </c>
      <c r="H195" s="21" t="s">
        <v>455</v>
      </c>
      <c r="I195" s="13">
        <v>42877.732615740744</v>
      </c>
      <c r="J195" s="7">
        <v>0</v>
      </c>
      <c r="K195" s="92" t="str">
        <f t="shared" si="59"/>
        <v>4017/4018</v>
      </c>
      <c r="L195" s="21" t="str">
        <f>VLOOKUP(A195,'Trips&amp;Operators'!$C$1:$G$99999,5,FALSE)</f>
        <v>LEVIN SCOTT</v>
      </c>
      <c r="M195" s="6">
        <f t="shared" si="60"/>
        <v>9.5023148169275373E-3</v>
      </c>
      <c r="N195" s="7">
        <f t="shared" si="78"/>
        <v>13.683333336375654</v>
      </c>
      <c r="O195" s="7"/>
      <c r="P195" s="7"/>
      <c r="Q195" s="22"/>
      <c r="R195" s="190"/>
      <c r="S195" s="196">
        <f t="shared" si="79"/>
        <v>1</v>
      </c>
      <c r="T195" s="190" t="str">
        <f t="shared" si="61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62"/>
        <v>https://d0f6bd738d7f1b3e5a7ca70fe4ff75f0.us-east-1.aws.found.io/app/kibana#/discover/Steve-Slow-Train-Analysis-(2080s-and-2083s)?_g=(refreshInterval:(display:Off,pause:!f,section:0,value:0),time:(from:'2017-05-22T16:17:40-0600',mode:absolute,to:'2017-05-22T18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5" s="192" t="str">
        <f t="shared" si="63"/>
        <v>N</v>
      </c>
      <c r="X195" s="192">
        <f t="shared" si="77"/>
        <v>1</v>
      </c>
      <c r="Y195" s="192">
        <f t="shared" si="64"/>
        <v>9.1999999999999998E-2</v>
      </c>
      <c r="Z195" s="192">
        <f t="shared" si="65"/>
        <v>5.8940999999999999</v>
      </c>
      <c r="AA195" s="192">
        <f t="shared" si="66"/>
        <v>5.8021000000000003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7"/>
        <v>0833-22</v>
      </c>
      <c r="AE195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95" s="77" t="str">
        <f t="shared" si="69"/>
        <v>"C:\Program Files (x86)\AstroGrep\AstroGrep.exe" /e /r /s /spath="%USERPROFILE%\AppData\Local\Temp\OnboardLogs" /stypes="app*4018*20170522*" /stext=" 23:.+((SYSTEM_STATE.+slice.+state.+changed )|(ment ac)|(multiple cpu faults)|(system.+state.+changed )|(\[timeout)|(PRM\|1\|D)|(kpr)|(kdp)|(train st.+moving)|(\|lc)|(penalty))"</v>
      </c>
      <c r="AG195" s="1" t="str">
        <f t="shared" si="70"/>
        <v>NW</v>
      </c>
      <c r="AH195" s="81" t="str">
        <f t="shared" si="71"/>
        <v>"%USERPROFILE%\Documents\GitHub\eaglep3\Utilities\RefineRTDCRunTimes.py" --tripid 833-22 --locoid 4018 --swversion DE.1.0.9.0 --startMP 204:920 --initTime 2017-05-22T17:17:40 --startdatetime 2017-05-22T17:21:17 --delay 1 --endMP 300:58941 --enddatetime 2017-05-22T17:34:58 --enforcementcount 0 &gt;&gt;C:\Users\stu\Documents\GitHub\eaglep3-reporting\EC\2017-05-22-refined-times.txt</v>
      </c>
      <c r="AI195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{"issue":{"subject":"","project_id":79,"tracker_id":40,"status_id":1,"priority_id":2,"assigned_to_id":23,"start_date":"2017-05-22","description":"","custom_fields":[{"id":1,"name":"Subdivision","value":"NW"},{"id":4,"name":"Milepost","value":"5.8941"},{"id":17,"name":"Train ID","value":"833-22"},{"id":16,"name":"Locomotive ID","value":"4018"},{"id":130,"name":"Impact","value":""},{"id":150,"name":"Time of Event (Mountain Time)","value":"17:34:58"},{"id":151,"name":"Denver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3"/>
        <v>start /low /b %USERPROFILE%\Documents\GitHub\eaglep3\Utilities\DownloadLogsFromS3.py --loco 4018 --day 2017-05-22</v>
      </c>
      <c r="AN195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608</v>
      </c>
      <c r="B196" s="7">
        <v>4017</v>
      </c>
      <c r="C196" s="21" t="s">
        <v>206</v>
      </c>
      <c r="D196" s="21" t="s">
        <v>951</v>
      </c>
      <c r="E196" s="13">
        <v>42877.733796296299</v>
      </c>
      <c r="F196" s="13">
        <v>42877.735150462962</v>
      </c>
      <c r="G196" s="7">
        <v>1</v>
      </c>
      <c r="H196" s="21" t="s">
        <v>974</v>
      </c>
      <c r="I196" s="13">
        <v>42877.746724537035</v>
      </c>
      <c r="J196" s="7">
        <v>0</v>
      </c>
      <c r="K196" s="92" t="str">
        <f t="shared" si="59"/>
        <v>4017/4018</v>
      </c>
      <c r="L196" s="21" t="str">
        <f>VLOOKUP(A196,'Trips&amp;Operators'!$C$1:$G$99999,5,FALSE)</f>
        <v>LEVIN SCOTT</v>
      </c>
      <c r="M196" s="6">
        <f t="shared" si="60"/>
        <v>1.1574074072996154E-2</v>
      </c>
      <c r="N196" s="7">
        <f t="shared" si="78"/>
        <v>16.666666665114462</v>
      </c>
      <c r="O196" s="7"/>
      <c r="P196" s="7"/>
      <c r="Q196" s="22"/>
      <c r="R196" s="190"/>
      <c r="S196" s="196">
        <f t="shared" si="79"/>
        <v>1</v>
      </c>
      <c r="T196" s="190" t="str">
        <f t="shared" si="61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62"/>
        <v>https://d0f6bd738d7f1b3e5a7ca70fe4ff75f0.us-east-1.aws.found.io/app/kibana#/discover/Steve-Slow-Train-Analysis-(2080s-and-2083s)?_g=(refreshInterval:(display:Off,pause:!f,section:0,value:0),time:(from:'2017-05-22T16:36:40-0600',mode:absolute,to:'2017-05-22T18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6" s="192" t="str">
        <f t="shared" si="63"/>
        <v>N</v>
      </c>
      <c r="X196" s="192">
        <f t="shared" si="77"/>
        <v>1</v>
      </c>
      <c r="Y196" s="192">
        <f t="shared" si="64"/>
        <v>5.8628</v>
      </c>
      <c r="Z196" s="192">
        <f t="shared" si="65"/>
        <v>7.1900000000000006E-2</v>
      </c>
      <c r="AA196" s="192">
        <f t="shared" si="66"/>
        <v>5.7908999999999997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7"/>
        <v>0834-22</v>
      </c>
      <c r="AE196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196" s="77" t="str">
        <f t="shared" si="69"/>
        <v>"C:\Program Files (x86)\AstroGrep\AstroGrep.exe" /e /r /s /spath="%USERPROFILE%\AppData\Local\Temp\OnboardLogs" /stypes="app*4017*20170522*" /stext=" 23:.+((SYSTEM_STATE.+slice.+state.+changed )|(ment ac)|(multiple cpu faults)|(system.+state.+changed )|(\[timeout)|(PRM\|1\|D)|(kpr)|(kdp)|(train st.+moving)|(\|lc)|(penalty))"</v>
      </c>
      <c r="AG196" s="1" t="str">
        <f t="shared" si="70"/>
        <v>NW</v>
      </c>
      <c r="AH196" s="81" t="str">
        <f t="shared" si="71"/>
        <v>"%USERPROFILE%\Documents\GitHub\eaglep3\Utilities\RefineRTDCRunTimes.py" --tripid 834-22 --locoid 4017 --swversion DE.1.0.9.0 --startMP 300:58628 --initTime 2017-05-22T17:36:40 --startdatetime 2017-05-22T17:38:37 --delay 1 --endMP 204:719 --enddatetime 2017-05-22T17:55:17 --enforcementcount 0 &gt;&gt;C:\Users\stu\Documents\GitHub\eaglep3-reporting\EC\2017-05-22-refined-times.txt</v>
      </c>
      <c r="AI196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{"issue":{"subject":"","project_id":79,"tracker_id":40,"status_id":1,"priority_id":2,"assigned_to_id":23,"start_date":"2017-05-22","description":"","custom_fields":[{"id":1,"name":"Subdivision","value":"NW"},{"id":4,"name":"Milepost","value":"0.0719"},{"id":17,"name":"Train ID","value":"834-22"},{"id":16,"name":"Locomotive ID","value":"4017"},{"id":130,"name":"Impact","value":""},{"id":150,"name":"Time of Event (Mountain Time)","value":"17:55:17"},{"id":151,"name":"Denver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3"/>
        <v>start /low /b %USERPROFILE%\Documents\GitHub\eaglep3\Utilities\DownloadLogsFromS3.py --loco 4017 --day 2017-05-22</v>
      </c>
      <c r="AN196" s="154" t="str">
        <f t="shared" si="74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607</v>
      </c>
      <c r="B197" s="7">
        <v>4030</v>
      </c>
      <c r="C197" s="21" t="s">
        <v>206</v>
      </c>
      <c r="D197" s="21" t="s">
        <v>971</v>
      </c>
      <c r="E197" s="13">
        <v>42877.727881944447</v>
      </c>
      <c r="F197" s="13">
        <v>42877.744166666664</v>
      </c>
      <c r="G197" s="7">
        <v>2</v>
      </c>
      <c r="H197" s="21" t="s">
        <v>975</v>
      </c>
      <c r="I197" s="13">
        <v>42877.754108796296</v>
      </c>
      <c r="J197" s="7">
        <v>0</v>
      </c>
      <c r="K197" s="92" t="str">
        <f t="shared" si="59"/>
        <v>4029/4030</v>
      </c>
      <c r="L197" s="21" t="str">
        <f>VLOOKUP(A197,'Trips&amp;Operators'!$C$1:$G$99999,5,FALSE)</f>
        <v>STAMBAUGH JAMES</v>
      </c>
      <c r="M197" s="6">
        <f t="shared" si="60"/>
        <v>9.9421296326909214E-3</v>
      </c>
      <c r="N197" s="7">
        <f t="shared" si="78"/>
        <v>14.316666671074927</v>
      </c>
      <c r="O197" s="7"/>
      <c r="P197" s="7"/>
      <c r="Q197" s="22"/>
      <c r="R197" s="190"/>
      <c r="S197" s="196">
        <f t="shared" si="79"/>
        <v>1</v>
      </c>
      <c r="T197" s="190" t="str">
        <f t="shared" si="61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62"/>
        <v>https://d0f6bd738d7f1b3e5a7ca70fe4ff75f0.us-east-1.aws.found.io/app/kibana#/discover/Steve-Slow-Train-Analysis-(2080s-and-2083s)?_g=(refreshInterval:(display:Off,pause:!f,section:0,value:0),time:(from:'2017-05-22T16:28:09-0600',mode:absolute,to:'2017-05-22T19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92" t="str">
        <f t="shared" si="63"/>
        <v>N</v>
      </c>
      <c r="X197" s="192">
        <f t="shared" si="77"/>
        <v>1</v>
      </c>
      <c r="Y197" s="192">
        <f t="shared" si="64"/>
        <v>9.4299999999999995E-2</v>
      </c>
      <c r="Z197" s="192">
        <f t="shared" si="65"/>
        <v>5.8921999999999999</v>
      </c>
      <c r="AA197" s="192">
        <f t="shared" si="66"/>
        <v>5.7979000000000003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7"/>
        <v>0835-22</v>
      </c>
      <c r="AE197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197" s="77" t="str">
        <f t="shared" si="69"/>
        <v>"C:\Program Files (x86)\AstroGrep\AstroGrep.exe" /e /r /s /spath="%USERPROFILE%\AppData\Local\Temp\OnboardLogs" /stypes="app*4030*20170523*" /stext=" 00:.+((SYSTEM_STATE.+slice.+state.+changed )|(ment ac)|(multiple cpu faults)|(system.+state.+changed )|(\[timeout)|(PRM\|1\|D)|(kpr)|(kdp)|(train st.+moving)|(\|lc)|(penalty))"</v>
      </c>
      <c r="AG197" s="1" t="str">
        <f t="shared" si="70"/>
        <v>NW</v>
      </c>
      <c r="AH197" s="81" t="str">
        <f t="shared" si="71"/>
        <v>"%USERPROFILE%\Documents\GitHub\eaglep3\Utilities\RefineRTDCRunTimes.py" --tripid 835-22 --locoid 4030 --swversion DE.1.0.9.0 --startMP 204:943 --initTime 2017-05-22T17:28:09 --startdatetime 2017-05-22T17:51:36 --delay 2 --endMP 300:58922 --enddatetime 2017-05-22T18:05:55 --enforcementcount 0 &gt;&gt;C:\Users\stu\Documents\GitHub\eaglep3-reporting\EC\2017-05-22-refined-times.txt</v>
      </c>
      <c r="AI197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{"issue":{"subject":"","project_id":79,"tracker_id":40,"status_id":1,"priority_id":2,"assigned_to_id":23,"start_date":"2017-05-22","description":"","custom_fields":[{"id":1,"name":"Subdivision","value":"NW"},{"id":4,"name":"Milepost","value":"5.8922"},{"id":17,"name":"Train ID","value":"835-22"},{"id":16,"name":"Locomotive ID","value":"4030"},{"id":130,"name":"Impact","value":""},{"id":150,"name":"Time of Event (Mountain Time)","value":"18:05:55"},{"id":151,"name":"Denver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73"/>
        <v>start /low /b %USERPROFILE%\Documents\GitHub\eaglep3\Utilities\DownloadLogsFromS3.py --loco 4030 --day 2017-05-22</v>
      </c>
      <c r="AN197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609</v>
      </c>
      <c r="B198" s="7">
        <v>4029</v>
      </c>
      <c r="C198" s="21" t="s">
        <v>206</v>
      </c>
      <c r="D198" s="21" t="s">
        <v>976</v>
      </c>
      <c r="E198" s="13">
        <v>42877.755358796298</v>
      </c>
      <c r="F198" s="13">
        <v>42877.756643518522</v>
      </c>
      <c r="G198" s="7">
        <v>1</v>
      </c>
      <c r="H198" s="21" t="s">
        <v>977</v>
      </c>
      <c r="I198" s="13">
        <v>42877.767696759256</v>
      </c>
      <c r="J198" s="7">
        <v>0</v>
      </c>
      <c r="K198" s="92" t="str">
        <f t="shared" si="59"/>
        <v>4029/4030</v>
      </c>
      <c r="L198" s="21" t="str">
        <f>VLOOKUP(A198,'Trips&amp;Operators'!$C$1:$G$99999,5,FALSE)</f>
        <v>STAMBAUGH JAMES</v>
      </c>
      <c r="M198" s="6">
        <f t="shared" si="60"/>
        <v>1.1053240734327119E-2</v>
      </c>
      <c r="N198" s="7">
        <f t="shared" si="78"/>
        <v>15.916666657431051</v>
      </c>
      <c r="O198" s="7"/>
      <c r="P198" s="7"/>
      <c r="Q198" s="22"/>
      <c r="R198" s="190"/>
      <c r="S198" s="196">
        <f t="shared" si="79"/>
        <v>1</v>
      </c>
      <c r="T198" s="190" t="str">
        <f t="shared" si="61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62"/>
        <v>https://d0f6bd738d7f1b3e5a7ca70fe4ff75f0.us-east-1.aws.found.io/app/kibana#/discover/Steve-Slow-Train-Analysis-(2080s-and-2083s)?_g=(refreshInterval:(display:Off,pause:!f,section:0,value:0),time:(from:'2017-05-22T17:07:43-0600',mode:absolute,to:'2017-05-22T19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92" t="str">
        <f t="shared" si="63"/>
        <v>N</v>
      </c>
      <c r="X198" s="192">
        <f t="shared" si="77"/>
        <v>1</v>
      </c>
      <c r="Y198" s="192">
        <f t="shared" si="64"/>
        <v>5.8596000000000004</v>
      </c>
      <c r="Z198" s="192">
        <f t="shared" si="65"/>
        <v>6.5199999999999994E-2</v>
      </c>
      <c r="AA198" s="192">
        <f t="shared" si="66"/>
        <v>5.7944000000000004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7"/>
        <v>0836-22</v>
      </c>
      <c r="AE198" s="80" t="str">
        <f t="shared" si="68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198" s="77" t="str">
        <f t="shared" si="69"/>
        <v>"C:\Program Files (x86)\AstroGrep\AstroGrep.exe" /e /r /s /spath="%USERPROFILE%\AppData\Local\Temp\OnboardLogs" /stypes="app*4029*20170523*" /stext=" 00:.+((SYSTEM_STATE.+slice.+state.+changed )|(ment ac)|(multiple cpu faults)|(system.+state.+changed )|(\[timeout)|(PRM\|1\|D)|(kpr)|(kdp)|(train st.+moving)|(\|lc)|(penalty))"</v>
      </c>
      <c r="AG198" s="1" t="str">
        <f t="shared" si="70"/>
        <v>NW</v>
      </c>
      <c r="AH198" s="81" t="str">
        <f t="shared" si="71"/>
        <v>"%USERPROFILE%\Documents\GitHub\eaglep3\Utilities\RefineRTDCRunTimes.py" --tripid 836-22 --locoid 4029 --swversion DE.1.0.9.0 --startMP 300:58596 --initTime 2017-05-22T18:07:43 --startdatetime 2017-05-22T18:09:34 --delay 1 --endMP 204:652 --enddatetime 2017-05-22T18:25:29 --enforcementcount 0 &gt;&gt;C:\Users\stu\Documents\GitHub\eaglep3-reporting\EC\2017-05-22-refined-times.txt</v>
      </c>
      <c r="AI198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{"issue":{"subject":"","project_id":79,"tracker_id":40,"status_id":1,"priority_id":2,"assigned_to_id":23,"start_date":"2017-05-22","description":"","custom_fields":[{"id":1,"name":"Subdivision","value":"NW"},{"id":4,"name":"Milepost","value":"0.0652"},{"id":17,"name":"Train ID","value":"836-22"},{"id":16,"name":"Locomotive ID","value":"4029"},{"id":130,"name":"Impact","value":""},{"id":150,"name":"Time of Event (Mountain Time)","value":"18:25:29"},{"id":151,"name":"Denver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3"/>
        <v>start /low /b %USERPROFILE%\Documents\GitHub\eaglep3\Utilities\DownloadLogsFromS3.py --loco 4029 --day 2017-05-22</v>
      </c>
      <c r="AN198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776</v>
      </c>
      <c r="B199" s="7">
        <v>4018</v>
      </c>
      <c r="C199" s="21" t="s">
        <v>206</v>
      </c>
      <c r="D199" s="21" t="s">
        <v>978</v>
      </c>
      <c r="E199" s="13">
        <v>42877.762372685182</v>
      </c>
      <c r="F199" s="13">
        <v>42877.764791666668</v>
      </c>
      <c r="G199" s="7">
        <v>1</v>
      </c>
      <c r="H199" s="21" t="s">
        <v>954</v>
      </c>
      <c r="I199" s="13">
        <v>42877.774062500001</v>
      </c>
      <c r="J199" s="7">
        <v>0</v>
      </c>
      <c r="K199" s="92" t="str">
        <f t="shared" si="59"/>
        <v>4017/4018</v>
      </c>
      <c r="L199" s="21" t="str">
        <f>VLOOKUP(A199,'Trips&amp;Operators'!$C$1:$G$99999,5,FALSE)</f>
        <v>LEVIN SCOTT</v>
      </c>
      <c r="M199" s="6">
        <f t="shared" si="60"/>
        <v>9.2708333322661929E-3</v>
      </c>
      <c r="N199" s="7">
        <f t="shared" si="78"/>
        <v>13.349999998463318</v>
      </c>
      <c r="O199" s="7"/>
      <c r="P199" s="7"/>
      <c r="Q199" s="22"/>
      <c r="R199" s="190"/>
      <c r="S199" s="196">
        <f t="shared" si="79"/>
        <v>1</v>
      </c>
      <c r="T199" s="190" t="str">
        <f t="shared" si="61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62"/>
        <v>https://d0f6bd738d7f1b3e5a7ca70fe4ff75f0.us-east-1.aws.found.io/app/kibana#/discover/Steve-Slow-Train-Analysis-(2080s-and-2083s)?_g=(refreshInterval:(display:Off,pause:!f,section:0,value:0),time:(from:'2017-05-22T17:17:49-0600',mode:absolute,to:'2017-05-22T19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9" s="192" t="str">
        <f t="shared" si="63"/>
        <v>N</v>
      </c>
      <c r="X199" s="192">
        <f t="shared" si="77"/>
        <v>1</v>
      </c>
      <c r="Y199" s="192">
        <f t="shared" si="64"/>
        <v>0.1023</v>
      </c>
      <c r="Z199" s="192">
        <f t="shared" si="65"/>
        <v>5.8944000000000001</v>
      </c>
      <c r="AA199" s="192">
        <f t="shared" si="66"/>
        <v>5.7921000000000005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7"/>
        <v>0837-22</v>
      </c>
      <c r="AE199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199" s="77" t="str">
        <f t="shared" si="69"/>
        <v>"C:\Program Files (x86)\AstroGrep\AstroGrep.exe" /e /r /s /spath="%USERPROFILE%\AppData\Local\Temp\OnboardLogs" /stypes="app*4018*20170523*" /stext=" 00:.+((SYSTEM_STATE.+slice.+state.+changed )|(ment ac)|(multiple cpu faults)|(system.+state.+changed )|(\[timeout)|(PRM\|1\|D)|(kpr)|(kdp)|(train st.+moving)|(\|lc)|(penalty))"</v>
      </c>
      <c r="AG199" s="1" t="str">
        <f t="shared" si="70"/>
        <v>NW</v>
      </c>
      <c r="AH199" s="81" t="str">
        <f t="shared" si="71"/>
        <v>"%USERPROFILE%\Documents\GitHub\eaglep3\Utilities\RefineRTDCRunTimes.py" --tripid 837-22 --locoid 4018 --swversion DE.1.0.9.0 --startMP 204:1023 --initTime 2017-05-22T18:17:49 --startdatetime 2017-05-22T18:21:18 --delay 1 --endMP 300:58944 --enddatetime 2017-05-22T18:34:39 --enforcementcount 0 &gt;&gt;C:\Users\stu\Documents\GitHub\eaglep3-reporting\EC\2017-05-22-refined-times.txt</v>
      </c>
      <c r="AI199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{"issue":{"subject":"","project_id":79,"tracker_id":40,"status_id":1,"priority_id":2,"assigned_to_id":23,"start_date":"2017-05-22","description":"","custom_fields":[{"id":1,"name":"Subdivision","value":"NW"},{"id":4,"name":"Milepost","value":"5.8944"},{"id":17,"name":"Train ID","value":"837-22"},{"id":16,"name":"Locomotive ID","value":"4018"},{"id":130,"name":"Impact","value":""},{"id":150,"name":"Time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3"/>
        <v>start /low /b %USERPROFILE%\Documents\GitHub\eaglep3\Utilities\DownloadLogsFromS3.py --loco 4018 --day 2017-05-22</v>
      </c>
      <c r="AN199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779</v>
      </c>
      <c r="B200" s="7">
        <v>4017</v>
      </c>
      <c r="C200" s="21" t="s">
        <v>206</v>
      </c>
      <c r="D200" s="21" t="s">
        <v>955</v>
      </c>
      <c r="E200" s="13">
        <v>42877.776006944441</v>
      </c>
      <c r="F200" s="13">
        <v>42877.777511574073</v>
      </c>
      <c r="G200" s="7">
        <v>1</v>
      </c>
      <c r="H200" s="21" t="s">
        <v>979</v>
      </c>
      <c r="I200" s="13">
        <v>42877.788564814815</v>
      </c>
      <c r="J200" s="7">
        <v>0</v>
      </c>
      <c r="K200" s="92" t="str">
        <f t="shared" si="59"/>
        <v>4017/4018</v>
      </c>
      <c r="L200" s="21" t="str">
        <f>VLOOKUP(A200,'Trips&amp;Operators'!$C$1:$G$99999,5,FALSE)</f>
        <v>LEVIN SCOTT</v>
      </c>
      <c r="M200" s="6">
        <f t="shared" si="60"/>
        <v>1.1053240741603076E-2</v>
      </c>
      <c r="N200" s="7">
        <f t="shared" si="78"/>
        <v>15.91666666790843</v>
      </c>
      <c r="O200" s="7"/>
      <c r="P200" s="7"/>
      <c r="Q200" s="22"/>
      <c r="R200" s="190"/>
      <c r="S200" s="196">
        <f t="shared" si="79"/>
        <v>1</v>
      </c>
      <c r="T200" s="190" t="str">
        <f t="shared" si="61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62"/>
        <v>https://d0f6bd738d7f1b3e5a7ca70fe4ff75f0.us-east-1.aws.found.io/app/kibana#/discover/Steve-Slow-Train-Analysis-(2080s-and-2083s)?_g=(refreshInterval:(display:Off,pause:!f,section:0,value:0),time:(from:'2017-05-22T17:37:27-0600',mode:absolute,to:'2017-05-22T19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92" t="str">
        <f t="shared" si="63"/>
        <v>N</v>
      </c>
      <c r="X200" s="192">
        <f t="shared" si="77"/>
        <v>1</v>
      </c>
      <c r="Y200" s="192">
        <f t="shared" si="64"/>
        <v>5.8632</v>
      </c>
      <c r="Z200" s="192">
        <f t="shared" si="65"/>
        <v>6.3799999999999996E-2</v>
      </c>
      <c r="AA200" s="192">
        <f t="shared" si="66"/>
        <v>5.7994000000000003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7"/>
        <v>0838-22</v>
      </c>
      <c r="AE200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00" s="77" t="str">
        <f t="shared" si="69"/>
        <v>"C:\Program Files (x86)\AstroGrep\AstroGrep.exe" /e /r /s /spath="%USERPROFILE%\AppData\Local\Temp\OnboardLogs" /stypes="app*4017*20170523*" /stext=" 00:.+((SYSTEM_STATE.+slice.+state.+changed )|(ment ac)|(multiple cpu faults)|(system.+state.+changed )|(\[timeout)|(PRM\|1\|D)|(kpr)|(kdp)|(train st.+moving)|(\|lc)|(penalty))"</v>
      </c>
      <c r="AG200" s="1" t="str">
        <f t="shared" si="70"/>
        <v>NW</v>
      </c>
      <c r="AH200" s="81" t="str">
        <f t="shared" si="71"/>
        <v>"%USERPROFILE%\Documents\GitHub\eaglep3\Utilities\RefineRTDCRunTimes.py" --tripid 838-22 --locoid 4017 --swversion DE.1.0.9.0 --startMP 300:58632 --initTime 2017-05-22T18:37:27 --startdatetime 2017-05-22T18:39:37 --delay 1 --endMP 204:638 --enddatetime 2017-05-22T18:55:32 --enforcementcount 0 &gt;&gt;C:\Users\stu\Documents\GitHub\eaglep3-reporting\EC\2017-05-22-refined-times.txt</v>
      </c>
      <c r="AI200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{"issue":{"subject":"","project_id":79,"tracker_id":40,"status_id":1,"priority_id":2,"assigned_to_id":23,"start_date":"2017-05-22","description":"","custom_fields":[{"id":1,"name":"Subdivision","value":"NW"},{"id":4,"name":"Milepost","value":"0.0638"},{"id":17,"name":"Train ID","value":"838-22"},{"id":16,"name":"Locomotive ID","value":"4017"},{"id":130,"name":"Impact","value":""},{"id":150,"name":"Time of Event (Mountain Time)","value":"18:55:32"},{"id":151,"name":"Denver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3"/>
        <v>start /low /b %USERPROFILE%\Documents\GitHub\eaglep3\Utilities\DownloadLogsFromS3.py --loco 4017 --day 2017-05-22</v>
      </c>
      <c r="AN200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612</v>
      </c>
      <c r="B201" s="7">
        <v>4030</v>
      </c>
      <c r="C201" s="21" t="s">
        <v>206</v>
      </c>
      <c r="D201" s="21" t="s">
        <v>971</v>
      </c>
      <c r="E201" s="13">
        <v>42877.768946759257</v>
      </c>
      <c r="F201" s="13">
        <v>42877.785613425927</v>
      </c>
      <c r="G201" s="7">
        <v>1</v>
      </c>
      <c r="H201" s="21" t="s">
        <v>980</v>
      </c>
      <c r="I201" s="13">
        <v>42877.795416666668</v>
      </c>
      <c r="J201" s="7">
        <v>0</v>
      </c>
      <c r="K201" s="92" t="str">
        <f t="shared" si="59"/>
        <v>4029/4030</v>
      </c>
      <c r="L201" s="21" t="str">
        <f>VLOOKUP(A201,'Trips&amp;Operators'!$C$1:$G$99999,5,FALSE)</f>
        <v>STAMBAUGH JAMES</v>
      </c>
      <c r="M201" s="6">
        <f t="shared" si="60"/>
        <v>9.8032407404389232E-3</v>
      </c>
      <c r="N201" s="7">
        <f t="shared" si="78"/>
        <v>14.116666666232049</v>
      </c>
      <c r="O201" s="7"/>
      <c r="P201" s="7"/>
      <c r="Q201" s="22"/>
      <c r="R201" s="190"/>
      <c r="S201" s="196">
        <f t="shared" si="79"/>
        <v>1</v>
      </c>
      <c r="T201" s="190" t="str">
        <f t="shared" si="61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62"/>
        <v>https://d0f6bd738d7f1b3e5a7ca70fe4ff75f0.us-east-1.aws.found.io/app/kibana#/discover/Steve-Slow-Train-Analysis-(2080s-and-2083s)?_g=(refreshInterval:(display:Off,pause:!f,section:0,value:0),time:(from:'2017-05-22T17:27:17-0600',mode:absolute,to:'2017-05-22T20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2" t="str">
        <f t="shared" si="63"/>
        <v>N</v>
      </c>
      <c r="X201" s="192">
        <f t="shared" si="77"/>
        <v>1</v>
      </c>
      <c r="Y201" s="192">
        <f t="shared" si="64"/>
        <v>9.4299999999999995E-2</v>
      </c>
      <c r="Z201" s="192">
        <f t="shared" si="65"/>
        <v>5.8891999999999998</v>
      </c>
      <c r="AA201" s="192">
        <f t="shared" si="66"/>
        <v>5.7949000000000002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7"/>
        <v>0839-22</v>
      </c>
      <c r="AE201" s="80" t="str">
        <f t="shared" si="68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201" s="77" t="str">
        <f t="shared" si="69"/>
        <v>"C:\Program Files (x86)\AstroGrep\AstroGrep.exe" /e /r /s /spath="%USERPROFILE%\AppData\Local\Temp\OnboardLogs" /stypes="app*4030*20170523*" /stext=" 01:.+((SYSTEM_STATE.+slice.+state.+changed )|(ment ac)|(multiple cpu faults)|(system.+state.+changed )|(\[timeout)|(PRM\|1\|D)|(kpr)|(kdp)|(train st.+moving)|(\|lc)|(penalty))"</v>
      </c>
      <c r="AG201" s="1" t="str">
        <f t="shared" si="70"/>
        <v>NW</v>
      </c>
      <c r="AH201" s="81" t="str">
        <f t="shared" si="71"/>
        <v>"%USERPROFILE%\Documents\GitHub\eaglep3\Utilities\RefineRTDCRunTimes.py" --tripid 839-22 --locoid 4030 --swversion DE.1.0.9.0 --startMP 204:943 --initTime 2017-05-22T18:27:17 --startdatetime 2017-05-22T18:51:17 --delay 1 --endMP 300:58892 --enddatetime 2017-05-22T19:05:24 --enforcementcount 0 &gt;&gt;C:\Users\stu\Documents\GitHub\eaglep3-reporting\EC\2017-05-22-refined-times.txt</v>
      </c>
      <c r="AI201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{"issue":{"subject":"","project_id":79,"tracker_id":40,"status_id":1,"priority_id":2,"assigned_to_id":23,"start_date":"2017-05-22","description":"","custom_fields":[{"id":1,"name":"Subdivision","value":"NW"},{"id":4,"name":"Milepost","value":"5.8892"},{"id":17,"name":"Train ID","value":"839-22"},{"id":16,"name":"Locomotive ID","value":"4030"},{"id":130,"name":"Impact","value":""},{"id":150,"name":"Time of Event (Mountain Time)","value":"19:05:24"},{"id":151,"name":"Denver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3"/>
        <v>start /low /b %USERPROFILE%\Documents\GitHub\eaglep3\Utilities\DownloadLogsFromS3.py --loco 4030 --day 2017-05-22</v>
      </c>
      <c r="AN201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786</v>
      </c>
      <c r="B202" s="7">
        <v>4017</v>
      </c>
      <c r="C202" s="21" t="s">
        <v>206</v>
      </c>
      <c r="D202" s="21" t="s">
        <v>981</v>
      </c>
      <c r="E202" s="13">
        <v>42877.816666666666</v>
      </c>
      <c r="F202" s="13">
        <v>42877.817916666667</v>
      </c>
      <c r="G202" s="7">
        <v>1</v>
      </c>
      <c r="H202" s="21" t="s">
        <v>982</v>
      </c>
      <c r="I202" s="13">
        <v>42877.831122685187</v>
      </c>
      <c r="J202" s="7">
        <v>0</v>
      </c>
      <c r="K202" s="92" t="str">
        <f t="shared" si="59"/>
        <v>4017/4018</v>
      </c>
      <c r="L202" s="21" t="str">
        <f>VLOOKUP(A202,'Trips&amp;Operators'!$C$1:$G$99999,5,FALSE)</f>
        <v>LEVIN SCOTT</v>
      </c>
      <c r="M202" s="6">
        <f t="shared" si="60"/>
        <v>1.3206018520577345E-2</v>
      </c>
      <c r="N202" s="7">
        <f t="shared" si="78"/>
        <v>19.016666669631377</v>
      </c>
      <c r="O202" s="7"/>
      <c r="P202" s="7"/>
      <c r="Q202" s="22"/>
      <c r="R202" s="190"/>
      <c r="S202" s="196">
        <f t="shared" si="79"/>
        <v>1</v>
      </c>
      <c r="T202" s="190" t="str">
        <f t="shared" si="61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62"/>
        <v>https://d0f6bd738d7f1b3e5a7ca70fe4ff75f0.us-east-1.aws.found.io/app/kibana#/discover/Steve-Slow-Train-Analysis-(2080s-and-2083s)?_g=(refreshInterval:(display:Off,pause:!f,section:0,value:0),time:(from:'2017-05-22T18:36:00-0600',mode:absolute,to:'2017-05-22T20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2" s="192" t="str">
        <f t="shared" si="63"/>
        <v>N</v>
      </c>
      <c r="X202" s="192">
        <f t="shared" si="77"/>
        <v>1</v>
      </c>
      <c r="Y202" s="192">
        <f t="shared" si="64"/>
        <v>5.8704999999999998</v>
      </c>
      <c r="Z202" s="192">
        <f t="shared" si="65"/>
        <v>6.3100000000000003E-2</v>
      </c>
      <c r="AA202" s="192">
        <f t="shared" si="66"/>
        <v>5.8073999999999995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7"/>
        <v>0840-22</v>
      </c>
      <c r="AE202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02" s="77" t="str">
        <f t="shared" si="69"/>
        <v>"C:\Program Files (x86)\AstroGrep\AstroGrep.exe" /e /r /s /spath="%USERPROFILE%\AppData\Local\Temp\OnboardLogs" /stypes="app*4017*20170523*" /stext=" 01:.+((SYSTEM_STATE.+slice.+state.+changed )|(ment ac)|(multiple cpu faults)|(system.+state.+changed )|(\[timeout)|(PRM\|1\|D)|(kpr)|(kdp)|(train st.+moving)|(\|lc)|(penalty))"</v>
      </c>
      <c r="AG202" s="1" t="str">
        <f t="shared" si="70"/>
        <v>NW</v>
      </c>
      <c r="AH202" s="81" t="str">
        <f t="shared" si="71"/>
        <v>"%USERPROFILE%\Documents\GitHub\eaglep3\Utilities\RefineRTDCRunTimes.py" --tripid 840-22 --locoid 4017 --swversion DE.1.0.9.0 --startMP 300:58705 --initTime 2017-05-22T19:36:00 --startdatetime 2017-05-22T19:37:48 --delay 1 --endMP 204:631 --enddatetime 2017-05-22T19:56:49 --enforcementcount 0 &gt;&gt;C:\Users\stu\Documents\GitHub\eaglep3-reporting\EC\2017-05-22-refined-times.txt</v>
      </c>
      <c r="AI202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{"issue":{"subject":"","project_id":79,"tracker_id":40,"status_id":1,"priority_id":2,"assigned_to_id":23,"start_date":"2017-05-22","description":"","custom_fields":[{"id":1,"name":"Subdivision","value":"NW"},{"id":4,"name":"Milepost","value":"0.0631"},{"id":17,"name":"Train ID","value":"840-22"},{"id":16,"name":"Locomotive ID","value":"4017"},{"id":130,"name":"Impact","value":""},{"id":150,"name":"Time of Event (Mountain Time)","value":"19:56:49"},{"id":151,"name":"Denver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3"/>
        <v>start /low /b %USERPROFILE%\Documents\GitHub\eaglep3\Utilities\DownloadLogsFromS3.py --loco 4017 --day 2017-05-22</v>
      </c>
      <c r="AN202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613</v>
      </c>
      <c r="B203" s="7">
        <v>4018</v>
      </c>
      <c r="C203" s="21" t="s">
        <v>206</v>
      </c>
      <c r="D203" s="21" t="s">
        <v>983</v>
      </c>
      <c r="E203" s="13">
        <v>42877.803854166668</v>
      </c>
      <c r="F203" s="13">
        <v>42877.806423611109</v>
      </c>
      <c r="G203" s="7">
        <v>1</v>
      </c>
      <c r="H203" s="21" t="s">
        <v>984</v>
      </c>
      <c r="I203" s="13">
        <v>42877.815416666665</v>
      </c>
      <c r="J203" s="7">
        <v>0</v>
      </c>
      <c r="K203" s="92" t="str">
        <f t="shared" si="59"/>
        <v>4017/4018</v>
      </c>
      <c r="L203" s="21" t="str">
        <f>VLOOKUP(A203,'Trips&amp;Operators'!$C$1:$G$99999,5,FALSE)</f>
        <v>LEVIN SCOTT</v>
      </c>
      <c r="M203" s="6">
        <f t="shared" si="60"/>
        <v>8.9930555550381541E-3</v>
      </c>
      <c r="N203" s="7">
        <f t="shared" si="78"/>
        <v>12.949999999254942</v>
      </c>
      <c r="O203" s="7"/>
      <c r="P203" s="7"/>
      <c r="Q203" s="22"/>
      <c r="R203" s="190"/>
      <c r="S203" s="196">
        <f t="shared" si="79"/>
        <v>1</v>
      </c>
      <c r="T203" s="190" t="str">
        <f t="shared" si="61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62"/>
        <v>https://d0f6bd738d7f1b3e5a7ca70fe4ff75f0.us-east-1.aws.found.io/app/kibana#/discover/Steve-Slow-Train-Analysis-(2080s-and-2083s)?_g=(refreshInterval:(display:Off,pause:!f,section:0,value:0),time:(from:'2017-05-22T18:17:33-0600',mode:absolute,to:'2017-05-22T20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2" t="str">
        <f t="shared" si="63"/>
        <v>N</v>
      </c>
      <c r="X203" s="192">
        <f t="shared" si="77"/>
        <v>1</v>
      </c>
      <c r="Y203" s="192">
        <f t="shared" si="64"/>
        <v>9.3899999999999997E-2</v>
      </c>
      <c r="Z203" s="192">
        <f t="shared" si="65"/>
        <v>5.8331</v>
      </c>
      <c r="AA203" s="192">
        <f t="shared" si="66"/>
        <v>5.7392000000000003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7"/>
        <v>0841-22</v>
      </c>
      <c r="AE203" s="80" t="str">
        <f t="shared" si="68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203" s="77" t="str">
        <f t="shared" si="69"/>
        <v>"C:\Program Files (x86)\AstroGrep\AstroGrep.exe" /e /r /s /spath="%USERPROFILE%\AppData\Local\Temp\OnboardLogs" /stypes="app*4018*20170523*" /stext=" 01:.+((SYSTEM_STATE.+slice.+state.+changed )|(ment ac)|(multiple cpu faults)|(system.+state.+changed )|(\[timeout)|(PRM\|1\|D)|(kpr)|(kdp)|(train st.+moving)|(\|lc)|(penalty))"</v>
      </c>
      <c r="AG203" s="1" t="str">
        <f t="shared" si="70"/>
        <v>NW</v>
      </c>
      <c r="AH203" s="81" t="str">
        <f t="shared" si="71"/>
        <v>"%USERPROFILE%\Documents\GitHub\eaglep3\Utilities\RefineRTDCRunTimes.py" --tripid 841-22 --locoid 4018 --swversion DE.1.0.9.0 --startMP 204:939 --initTime 2017-05-22T19:17:33 --startdatetime 2017-05-22T19:21:15 --delay 1 --endMP 300:58331 --enddatetime 2017-05-22T19:34:12 --enforcementcount 0 &gt;&gt;C:\Users\stu\Documents\GitHub\eaglep3-reporting\EC\2017-05-22-refined-times.txt</v>
      </c>
      <c r="AI203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{"issue":{"subject":"","project_id":79,"tracker_id":40,"status_id":1,"priority_id":2,"assigned_to_id":23,"start_date":"2017-05-22","description":"","custom_fields":[{"id":1,"name":"Subdivision","value":"NW"},{"id":4,"name":"Milepost","value":"5.8331"},{"id":17,"name":"Train ID","value":"841-22"},{"id":16,"name":"Locomotive ID","value":"4018"},{"id":130,"name":"Impact","value":""},{"id":150,"name":"Time of Event (Mountain Time)","value":"19:34:12"},{"id":151,"name":"Denver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3"/>
        <v>start /low /b %USERPROFILE%\Documents\GitHub\eaglep3\Utilities\DownloadLogsFromS3.py --loco 4018 --day 2017-05-22</v>
      </c>
      <c r="AN203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794</v>
      </c>
      <c r="B204" s="7">
        <v>4017</v>
      </c>
      <c r="C204" s="21" t="s">
        <v>206</v>
      </c>
      <c r="D204" s="21" t="s">
        <v>985</v>
      </c>
      <c r="E204" s="13">
        <v>42877.858611111114</v>
      </c>
      <c r="F204" s="13">
        <v>42877.859803240739</v>
      </c>
      <c r="G204" s="7">
        <v>1</v>
      </c>
      <c r="H204" s="21" t="s">
        <v>986</v>
      </c>
      <c r="I204" s="13">
        <v>42877.871261574073</v>
      </c>
      <c r="J204" s="7">
        <v>0</v>
      </c>
      <c r="K204" s="92" t="str">
        <f t="shared" si="59"/>
        <v>4017/4018</v>
      </c>
      <c r="L204" s="21" t="str">
        <f>VLOOKUP(A204,'Trips&amp;Operators'!$C$1:$G$99999,5,FALSE)</f>
        <v>LEVIN SCOTT</v>
      </c>
      <c r="M204" s="6">
        <f t="shared" si="60"/>
        <v>1.1458333334303461E-2</v>
      </c>
      <c r="N204" s="7">
        <f t="shared" si="78"/>
        <v>16.500000001396984</v>
      </c>
      <c r="O204" s="7"/>
      <c r="P204" s="7"/>
      <c r="Q204" s="22"/>
      <c r="R204" s="190"/>
      <c r="S204" s="196">
        <f t="shared" si="79"/>
        <v>1</v>
      </c>
      <c r="T204" s="190" t="str">
        <f t="shared" si="61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62"/>
        <v>https://d0f6bd738d7f1b3e5a7ca70fe4ff75f0.us-east-1.aws.found.io/app/kibana#/discover/Steve-Slow-Train-Analysis-(2080s-and-2083s)?_g=(refreshInterval:(display:Off,pause:!f,section:0,value:0),time:(from:'2017-05-22T19:36:24-0600',mode:absolute,to:'2017-05-22T21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92" t="str">
        <f t="shared" si="63"/>
        <v>N</v>
      </c>
      <c r="X204" s="192">
        <f t="shared" si="77"/>
        <v>1</v>
      </c>
      <c r="Y204" s="192">
        <f t="shared" si="64"/>
        <v>5.8647</v>
      </c>
      <c r="Z204" s="192">
        <f t="shared" si="65"/>
        <v>6.4000000000000001E-2</v>
      </c>
      <c r="AA204" s="192">
        <f t="shared" si="66"/>
        <v>5.8007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7"/>
        <v>0842-22</v>
      </c>
      <c r="AE204" s="80" t="str">
        <f t="shared" si="68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04" s="77" t="str">
        <f t="shared" si="69"/>
        <v>"C:\Program Files (x86)\AstroGrep\AstroGrep.exe" /e /r /s /spath="%USERPROFILE%\AppData\Local\Temp\OnboardLogs" /stypes="app*4017*20170523*" /stext=" 02:.+((SYSTEM_STATE.+slice.+state.+changed )|(ment ac)|(multiple cpu faults)|(system.+state.+changed )|(\[timeout)|(PRM\|1\|D)|(kpr)|(kdp)|(train st.+moving)|(\|lc)|(penalty))"</v>
      </c>
      <c r="AG204" s="1" t="str">
        <f t="shared" si="70"/>
        <v>NW</v>
      </c>
      <c r="AH204" s="81" t="str">
        <f t="shared" si="71"/>
        <v>"%USERPROFILE%\Documents\GitHub\eaglep3\Utilities\RefineRTDCRunTimes.py" --tripid 842-22 --locoid 4017 --swversion DE.1.0.9.0 --startMP 300:58647 --initTime 2017-05-22T20:36:24 --startdatetime 2017-05-22T20:38:07 --delay 1 --endMP 204:640 --enddatetime 2017-05-22T20:54:37 --enforcementcount 0 &gt;&gt;C:\Users\stu\Documents\GitHub\eaglep3-reporting\EC\2017-05-22-refined-times.txt</v>
      </c>
      <c r="AI204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{"issue":{"subject":"","project_id":79,"tracker_id":40,"status_id":1,"priority_id":2,"assigned_to_id":23,"start_date":"2017-05-22","description":"","custom_fields":[{"id":1,"name":"Subdivision","value":"NW"},{"id":4,"name":"Milepost","value":"0.064"},{"id":17,"name":"Train ID","value":"842-22"},{"id":16,"name":"Locomotive ID","value":"4017"},{"id":130,"name":"Impact","value":""},{"id":150,"name":"Time of Event (Mountain Time)","value":"20:54:37"},{"id":151,"name":"Denver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3"/>
        <v>start /low /b %USERPROFILE%\Documents\GitHub\eaglep3\Utilities\DownloadLogsFromS3.py --loco 4017 --day 2017-05-22</v>
      </c>
      <c r="AN204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791</v>
      </c>
      <c r="B205" s="7">
        <v>4018</v>
      </c>
      <c r="C205" s="21" t="s">
        <v>206</v>
      </c>
      <c r="D205" s="21" t="s">
        <v>962</v>
      </c>
      <c r="E205" s="13">
        <v>42877.84170138889</v>
      </c>
      <c r="F205" s="13">
        <v>42877.848275462966</v>
      </c>
      <c r="G205" s="7">
        <v>1</v>
      </c>
      <c r="H205" s="21" t="s">
        <v>987</v>
      </c>
      <c r="I205" s="13">
        <v>42877.857615740744</v>
      </c>
      <c r="J205" s="7">
        <v>0</v>
      </c>
      <c r="K205" s="92" t="str">
        <f t="shared" ref="K205:K252" si="80">IF(ISEVEN(B205),(B205-1)&amp;"/"&amp;B205,B205&amp;"/"&amp;(B205+1))</f>
        <v>4017/4018</v>
      </c>
      <c r="L205" s="21" t="str">
        <f>VLOOKUP(A205,'Trips&amp;Operators'!$C$1:$G$99999,5,FALSE)</f>
        <v>LEVIN SCOTT</v>
      </c>
      <c r="M205" s="6">
        <f t="shared" ref="M205:M252" si="81">I205-F205</f>
        <v>9.340277778392192E-3</v>
      </c>
      <c r="N205" s="7">
        <f t="shared" si="78"/>
        <v>13.450000000884756</v>
      </c>
      <c r="O205" s="7"/>
      <c r="P205" s="7"/>
      <c r="Q205" s="22"/>
      <c r="R205" s="190"/>
      <c r="S205" s="196">
        <f t="shared" si="79"/>
        <v>1</v>
      </c>
      <c r="T205" s="190" t="str">
        <f t="shared" ref="T205:T252" si="82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52" si="8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-22T19:12:03-0600',mode:absolute,to:'2017-05-22T21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192" t="str">
        <f t="shared" ref="W205:W252" si="84">IF(AA205&lt;IF(AG205="EC",23,5.65),"Y","N")</f>
        <v>N</v>
      </c>
      <c r="X205" s="192">
        <f t="shared" si="77"/>
        <v>1</v>
      </c>
      <c r="Y205" s="192">
        <f t="shared" ref="Y205:Y252" si="85">RIGHT(D205,LEN(D205)-4)/10000</f>
        <v>9.2999999999999999E-2</v>
      </c>
      <c r="Z205" s="192">
        <f t="shared" ref="Z205:Z252" si="86">RIGHT(H205,LEN(H205)-4)/10000</f>
        <v>5.8945999999999996</v>
      </c>
      <c r="AA205" s="192">
        <f t="shared" ref="AA205:AA252" si="87">ABS(Z205-Y205)</f>
        <v>5.8015999999999996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52" si="88">IF(LEN(A205)=6,"0"&amp;A205,A205)</f>
        <v>0843-22</v>
      </c>
      <c r="AE205" s="80" t="str">
        <f t="shared" ref="AE205:AE252" si="8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205" s="77" t="str">
        <f t="shared" ref="AF205:AF252" si="9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/stypes="app*4018*20170523*" /stext=" 02:.+((SYSTEM_STATE.+slice.+state.+changed )|(ment ac)|(multiple cpu faults)|(system.+state.+changed )|(\[timeout)|(PRM\|1\|D)|(kpr)|(kdp)|(train st.+moving)|(\|lc)|(penalty))"</v>
      </c>
      <c r="AG205" s="1" t="str">
        <f t="shared" ref="AG205:AG252" si="91">IFERROR(IF(VALUE(LEFT(AD205,2))&lt;=2,"EC",IF(OR(VALUE(LEFT(AD205,2))=8,VALUE(LEFT(AD205,2))=18),"NW","Other")),"Other")</f>
        <v>NW</v>
      </c>
      <c r="AH205" s="81" t="str">
        <f t="shared" si="71"/>
        <v>"%USERPROFILE%\Documents\GitHub\eaglep3\Utilities\RefineRTDCRunTimes.py" --tripid 843-22 --locoid 4018 --swversion DE.1.0.9.0 --startMP 204:930 --initTime 2017-05-22T20:12:03 --startdatetime 2017-05-22T20:21:31 --delay 1 --endMP 300:58946 --enddatetime 2017-05-22T20:34:58 --enforcementcount 0 &gt;&gt;C:\Users\stu\Documents\GitHub\eaglep3-reporting\EC\2017-05-22-refined-times.txt</v>
      </c>
      <c r="AI205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{"issue":{"subject":"","project_id":79,"tracker_id":40,"status_id":1,"priority_id":2,"assigned_to_id":23,"start_date":"2017-05-22","description":"","custom_fields":[{"id":1,"name":"Subdivision","value":"NW"},{"id":4,"name":"Milepost","value":"5.8946"},{"id":17,"name":"Train ID","value":"843-22"},{"id":16,"name":"Locomotive ID","value":"4018"},{"id":130,"name":"Impact","value":""},{"id":150,"name":"Time of Event (Mountain Time)","value":"20:34:58"},{"id":151,"name":"Denver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3"/>
        <v>start /low /b %USERPROFILE%\Documents\GitHub\eaglep3\Utilities\DownloadLogsFromS3.py --loco 4018 --day 2017-05-22</v>
      </c>
      <c r="AN205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799</v>
      </c>
      <c r="B206" s="7">
        <v>4017</v>
      </c>
      <c r="C206" s="21" t="s">
        <v>206</v>
      </c>
      <c r="D206" s="21" t="s">
        <v>988</v>
      </c>
      <c r="E206" s="13">
        <v>42877.90079861111</v>
      </c>
      <c r="F206" s="13">
        <v>42877.902488425927</v>
      </c>
      <c r="G206" s="7">
        <v>1</v>
      </c>
      <c r="H206" s="21" t="s">
        <v>979</v>
      </c>
      <c r="I206" s="13">
        <v>42877.913472222222</v>
      </c>
      <c r="J206" s="7">
        <v>0</v>
      </c>
      <c r="K206" s="92" t="str">
        <f t="shared" si="80"/>
        <v>4017/4018</v>
      </c>
      <c r="L206" s="21" t="str">
        <f>VLOOKUP(A206,'Trips&amp;Operators'!$C$1:$G$99999,5,FALSE)</f>
        <v>STAMBAUGH JAMES</v>
      </c>
      <c r="M206" s="6">
        <f t="shared" si="81"/>
        <v>1.0983796295477077E-2</v>
      </c>
      <c r="N206" s="7">
        <f t="shared" si="78"/>
        <v>15.816666665486991</v>
      </c>
      <c r="O206" s="7"/>
      <c r="P206" s="7"/>
      <c r="Q206" s="22"/>
      <c r="R206" s="190"/>
      <c r="S206" s="196">
        <f t="shared" si="79"/>
        <v>1</v>
      </c>
      <c r="T206" s="190" t="str">
        <f t="shared" si="82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3"/>
        <v>https://d0f6bd738d7f1b3e5a7ca70fe4ff75f0.us-east-1.aws.found.io/app/kibana#/discover/Steve-Slow-Train-Analysis-(2080s-and-2083s)?_g=(refreshInterval:(display:Off,pause:!f,section:0,value:0),time:(from:'2017-05-22T20:37:09-0600',mode:absolute,to:'2017-05-22T22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6" s="192" t="str">
        <f t="shared" si="84"/>
        <v>N</v>
      </c>
      <c r="X206" s="192">
        <f t="shared" si="77"/>
        <v>1</v>
      </c>
      <c r="Y206" s="192">
        <f t="shared" si="85"/>
        <v>5.8608000000000002</v>
      </c>
      <c r="Z206" s="192">
        <f t="shared" si="86"/>
        <v>6.3799999999999996E-2</v>
      </c>
      <c r="AA206" s="192">
        <f t="shared" si="87"/>
        <v>5.7970000000000006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8"/>
        <v>0844-22</v>
      </c>
      <c r="AE206" s="80" t="str">
        <f t="shared" si="89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06" s="77" t="str">
        <f t="shared" si="90"/>
        <v>"C:\Program Files (x86)\AstroGrep\AstroGrep.exe" /e /r /s /spath="%USERPROFILE%\AppData\Local\Temp\OnboardLogs" /stypes="app*4017*20170523*" /stext=" 03:.+((SYSTEM_STATE.+slice.+state.+changed )|(ment ac)|(multiple cpu faults)|(system.+state.+changed )|(\[timeout)|(PRM\|1\|D)|(kpr)|(kdp)|(train st.+moving)|(\|lc)|(penalty))"</v>
      </c>
      <c r="AG206" s="1" t="str">
        <f t="shared" si="91"/>
        <v>NW</v>
      </c>
      <c r="AH206" s="81" t="str">
        <f t="shared" si="71"/>
        <v>"%USERPROFILE%\Documents\GitHub\eaglep3\Utilities\RefineRTDCRunTimes.py" --tripid 844-22 --locoid 4017 --swversion DE.1.0.9.0 --startMP 300:58608 --initTime 2017-05-22T21:37:09 --startdatetime 2017-05-22T21:39:35 --delay 1 --endMP 204:638 --enddatetime 2017-05-22T21:55:24 --enforcementcount 0 &gt;&gt;C:\Users\stu\Documents\GitHub\eaglep3-reporting\EC\2017-05-22-refined-times.txt</v>
      </c>
      <c r="AI206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{"issue":{"subject":"","project_id":79,"tracker_id":40,"status_id":1,"priority_id":2,"assigned_to_id":23,"start_date":"2017-05-22","description":"","custom_fields":[{"id":1,"name":"Subdivision","value":"NW"},{"id":4,"name":"Milepost","value":"0.0638"},{"id":17,"name":"Train ID","value":"844-22"},{"id":16,"name":"Locomotive ID","value":"4017"},{"id":130,"name":"Impact","value":""},{"id":150,"name":"Time of Event (Mountain Time)","value":"21:55:24"},{"id":151,"name":"Denver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3"/>
        <v>start /low /b %USERPROFILE%\Documents\GitHub\eaglep3\Utilities\DownloadLogsFromS3.py --loco 4017 --day 2017-05-22</v>
      </c>
      <c r="AN206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796</v>
      </c>
      <c r="B207" s="7">
        <v>4018</v>
      </c>
      <c r="C207" s="21" t="s">
        <v>206</v>
      </c>
      <c r="D207" s="21" t="s">
        <v>989</v>
      </c>
      <c r="E207" s="13">
        <v>42877.8747337963</v>
      </c>
      <c r="F207" s="13">
        <v>42877.890231481484</v>
      </c>
      <c r="G207" s="7">
        <v>1</v>
      </c>
      <c r="H207" s="21" t="s">
        <v>555</v>
      </c>
      <c r="I207" s="13">
        <v>42877.899386574078</v>
      </c>
      <c r="J207" s="7">
        <v>0</v>
      </c>
      <c r="K207" s="92" t="str">
        <f t="shared" si="80"/>
        <v>4017/4018</v>
      </c>
      <c r="L207" s="21" t="str">
        <f>VLOOKUP(A207,'Trips&amp;Operators'!$C$1:$G$99999,5,FALSE)</f>
        <v>STAMBAUGH JAMES</v>
      </c>
      <c r="M207" s="6">
        <f t="shared" si="81"/>
        <v>9.1550925935734995E-3</v>
      </c>
      <c r="N207" s="7">
        <f t="shared" si="78"/>
        <v>13.183333334745839</v>
      </c>
      <c r="O207" s="7"/>
      <c r="P207" s="7"/>
      <c r="Q207" s="22"/>
      <c r="R207" s="190"/>
      <c r="S207" s="196">
        <f t="shared" si="79"/>
        <v>1</v>
      </c>
      <c r="T207" s="190" t="str">
        <f t="shared" si="82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3"/>
        <v>https://d0f6bd738d7f1b3e5a7ca70fe4ff75f0.us-east-1.aws.found.io/app/kibana#/discover/Steve-Slow-Train-Analysis-(2080s-and-2083s)?_g=(refreshInterval:(display:Off,pause:!f,section:0,value:0),time:(from:'2017-05-22T19:59:37-0600',mode:absolute,to:'2017-05-22T22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192" t="str">
        <f t="shared" si="84"/>
        <v>N</v>
      </c>
      <c r="X207" s="192">
        <f t="shared" si="77"/>
        <v>1</v>
      </c>
      <c r="Y207" s="192">
        <f t="shared" si="85"/>
        <v>9.2899999999999996E-2</v>
      </c>
      <c r="Z207" s="192">
        <f t="shared" si="86"/>
        <v>5.8917999999999999</v>
      </c>
      <c r="AA207" s="192">
        <f t="shared" si="87"/>
        <v>5.7988999999999997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8"/>
        <v>0845-22</v>
      </c>
      <c r="AE207" s="80" t="str">
        <f t="shared" si="89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207" s="77" t="str">
        <f t="shared" si="90"/>
        <v>"C:\Program Files (x86)\AstroGrep\AstroGrep.exe" /e /r /s /spath="%USERPROFILE%\AppData\Local\Temp\OnboardLogs" /stypes="app*4018*20170523*" /stext=" 03:.+((SYSTEM_STATE.+slice.+state.+changed )|(ment ac)|(multiple cpu faults)|(system.+state.+changed )|(\[timeout)|(PRM\|1\|D)|(kpr)|(kdp)|(train st.+moving)|(\|lc)|(penalty))"</v>
      </c>
      <c r="AG207" s="1" t="str">
        <f t="shared" si="91"/>
        <v>NW</v>
      </c>
      <c r="AH207" s="81" t="str">
        <f t="shared" si="71"/>
        <v>"%USERPROFILE%\Documents\GitHub\eaglep3\Utilities\RefineRTDCRunTimes.py" --tripid 845-22 --locoid 4018 --swversion DE.1.0.9.0 --startMP 204:929 --initTime 2017-05-22T20:59:37 --startdatetime 2017-05-22T21:21:56 --delay 1 --endMP 300:58918 --enddatetime 2017-05-22T21:35:07 --enforcementcount 0 &gt;&gt;C:\Users\stu\Documents\GitHub\eaglep3-reporting\EC\2017-05-22-refined-times.txt</v>
      </c>
      <c r="AI207" s="99" t="str">
        <f t="shared" si="72"/>
        <v>echo {"issue":{"subject":"","project_id":79,"tracker_id":40,"status_id":1,"priority_id":2,"assigned_to_id":23,"start_date":"2017-05-22","description":"","custom_fields":[{"id":1,"name":"Subdivision","value":"NW"},{"id":4,"name":"Milepost","value":"5.8918"},{"id":17,"name":"Train ID","value":"845-22"},{"id":16,"name":"Locomotive ID","value":"4018"},{"id":130,"name":"Impact","value":""},{"id":150,"name":"Time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3"/>
        <v>start /low /b %USERPROFILE%\Documents\GitHub\eaglep3\Utilities\DownloadLogsFromS3.py --loco 4018 --day 2017-05-22</v>
      </c>
      <c r="AN207" s="154" t="str">
        <f t="shared" si="74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617</v>
      </c>
      <c r="B208" s="7">
        <v>4017</v>
      </c>
      <c r="C208" s="21" t="s">
        <v>206</v>
      </c>
      <c r="D208" s="21" t="s">
        <v>557</v>
      </c>
      <c r="E208" s="13">
        <v>42877.942789351851</v>
      </c>
      <c r="F208" s="13">
        <v>42877.944513888891</v>
      </c>
      <c r="G208" s="7">
        <v>1</v>
      </c>
      <c r="H208" s="21" t="s">
        <v>990</v>
      </c>
      <c r="I208" s="13">
        <v>42877.954861111109</v>
      </c>
      <c r="J208" s="7">
        <v>0</v>
      </c>
      <c r="K208" s="92" t="str">
        <f t="shared" si="80"/>
        <v>4017/4018</v>
      </c>
      <c r="L208" s="21" t="str">
        <f>VLOOKUP(A208,'Trips&amp;Operators'!$C$1:$G$99999,5,FALSE)</f>
        <v>STAMBAUGH JAMES</v>
      </c>
      <c r="M208" s="6">
        <f t="shared" si="81"/>
        <v>1.0347222218115348E-2</v>
      </c>
      <c r="N208" s="7">
        <f t="shared" si="78"/>
        <v>14.899999994086102</v>
      </c>
      <c r="O208" s="7"/>
      <c r="P208" s="7"/>
      <c r="Q208" s="22"/>
      <c r="R208" s="190"/>
      <c r="S208" s="196">
        <f t="shared" si="79"/>
        <v>1</v>
      </c>
      <c r="T208" s="190" t="str">
        <f t="shared" si="82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3"/>
        <v>https://d0f6bd738d7f1b3e5a7ca70fe4ff75f0.us-east-1.aws.found.io/app/kibana#/discover/Steve-Slow-Train-Analysis-(2080s-and-2083s)?_g=(refreshInterval:(display:Off,pause:!f,section:0,value:0),time:(from:'2017-05-22T21:37:37-0600',mode:absolute,to:'2017-05-22T23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92" t="str">
        <f t="shared" si="84"/>
        <v>N</v>
      </c>
      <c r="X208" s="192">
        <f t="shared" si="77"/>
        <v>1</v>
      </c>
      <c r="Y208" s="192">
        <f t="shared" si="85"/>
        <v>5.86</v>
      </c>
      <c r="Z208" s="192">
        <f t="shared" si="86"/>
        <v>6.0999999999999999E-2</v>
      </c>
      <c r="AA208" s="192">
        <f t="shared" si="87"/>
        <v>5.7990000000000004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8"/>
        <v>0846-22</v>
      </c>
      <c r="AE208" s="80" t="str">
        <f t="shared" si="89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08" s="77" t="str">
        <f t="shared" si="90"/>
        <v>"C:\Program Files (x86)\AstroGrep\AstroGrep.exe" /e /r /s /spath="%USERPROFILE%\AppData\Local\Temp\OnboardLogs" /stypes="app*4017*20170523*" /stext=" 04:.+((SYSTEM_STATE.+slice.+state.+changed )|(ment ac)|(multiple cpu faults)|(system.+state.+changed )|(\[timeout)|(PRM\|1\|D)|(kpr)|(kdp)|(train st.+moving)|(\|lc)|(penalty))"</v>
      </c>
      <c r="AG208" s="1" t="str">
        <f t="shared" si="91"/>
        <v>NW</v>
      </c>
      <c r="AH208" s="81" t="str">
        <f t="shared" ref="AH208:AH252" si="9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846-22 --locoid 4017 --swversion DE.1.0.9.0 --startMP 300:58600 --initTime 2017-05-22T22:37:37 --startdatetime 2017-05-22T22:40:06 --delay 1 --endMP 204:610 --enddatetime 2017-05-22T22:55:00 --enforcementcount 0 &gt;&gt;C:\Users\stu\Documents\GitHub\eaglep3-reporting\EC\2017-05-22-refined-times.txt</v>
      </c>
      <c r="AI208" s="99" t="str">
        <f t="shared" ref="AI208:AI252" si="9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{"issue":{"subject":"","project_id":79,"tracker_id":40,"status_id":1,"priority_id":2,"assigned_to_id":23,"start_date":"2017-05-22","description":"","custom_fields":[{"id":1,"name":"Subdivision","value":"NW"},{"id":4,"name":"Milepost","value":"0.061"},{"id":17,"name":"Train ID","value":"846-22"},{"id":16,"name":"Locomotive ID","value":"4017"},{"id":130,"name":"Impact","value":""},{"id":150,"name":"Time of Event (Mountain Time)","value":"22:55:00"},{"id":151,"name":"Denver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ref="AM208:AM252" si="94">"start /low /b "&amp;dls3logs&amp;" --loco "&amp;B208&amp;" --day "&amp;TEXT(F208,"YYYY-MM-DD")</f>
        <v>start /low /b %USERPROFILE%\Documents\GitHub\eaglep3\Utilities\DownloadLogsFromS3.py --loco 4017 --day 2017-05-22</v>
      </c>
      <c r="AN208" s="154" t="str">
        <f t="shared" ref="AN208:AN252" si="95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802</v>
      </c>
      <c r="B209" s="7">
        <v>4018</v>
      </c>
      <c r="C209" s="21" t="s">
        <v>206</v>
      </c>
      <c r="D209" s="21" t="s">
        <v>991</v>
      </c>
      <c r="E209" s="13">
        <v>42877.91474537037</v>
      </c>
      <c r="F209" s="13">
        <v>42877.944513888891</v>
      </c>
      <c r="G209" s="7">
        <v>2</v>
      </c>
      <c r="H209" s="21" t="s">
        <v>549</v>
      </c>
      <c r="I209" s="13">
        <v>42877.954861111109</v>
      </c>
      <c r="J209" s="7">
        <v>0</v>
      </c>
      <c r="K209" s="92" t="str">
        <f t="shared" si="80"/>
        <v>4017/4018</v>
      </c>
      <c r="L209" s="21" t="str">
        <f>VLOOKUP(A209,'Trips&amp;Operators'!$C$1:$G$99999,5,FALSE)</f>
        <v>STAMBAUGH JAMES</v>
      </c>
      <c r="M209" s="6">
        <f t="shared" si="81"/>
        <v>1.0347222218115348E-2</v>
      </c>
      <c r="N209" s="7">
        <f t="shared" si="78"/>
        <v>14.899999994086102</v>
      </c>
      <c r="O209" s="7"/>
      <c r="P209" s="7"/>
      <c r="Q209" s="22"/>
      <c r="R209" s="190"/>
      <c r="S209" s="196">
        <f t="shared" si="79"/>
        <v>1</v>
      </c>
      <c r="T209" s="190" t="str">
        <f t="shared" si="82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3"/>
        <v>https://d0f6bd738d7f1b3e5a7ca70fe4ff75f0.us-east-1.aws.found.io/app/kibana#/discover/Steve-Slow-Train-Analysis-(2080s-and-2083s)?_g=(refreshInterval:(display:Off,pause:!f,section:0,value:0),time:(from:'2017-05-22T20:57:14-0600',mode:absolute,to:'2017-05-22T23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192" t="str">
        <f t="shared" si="84"/>
        <v>N</v>
      </c>
      <c r="X209" s="192">
        <f t="shared" si="77"/>
        <v>1</v>
      </c>
      <c r="Y209" s="192">
        <f t="shared" si="85"/>
        <v>9.2499999999999999E-2</v>
      </c>
      <c r="Z209" s="192">
        <f t="shared" si="86"/>
        <v>5.8924000000000003</v>
      </c>
      <c r="AA209" s="192">
        <f t="shared" si="87"/>
        <v>5.7999000000000001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8"/>
        <v>0847-22</v>
      </c>
      <c r="AE209" s="80" t="str">
        <f t="shared" si="89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209" s="77" t="str">
        <f t="shared" si="90"/>
        <v>"C:\Program Files (x86)\AstroGrep\AstroGrep.exe" /e /r /s /spath="%USERPROFILE%\AppData\Local\Temp\OnboardLogs" /stypes="app*4018*20170523*" /stext=" 04:.+((SYSTEM_STATE.+slice.+state.+changed )|(ment ac)|(multiple cpu faults)|(system.+state.+changed )|(\[timeout)|(PRM\|1\|D)|(kpr)|(kdp)|(train st.+moving)|(\|lc)|(penalty))"</v>
      </c>
      <c r="AG209" s="1" t="str">
        <f t="shared" si="91"/>
        <v>NW</v>
      </c>
      <c r="AH209" s="81" t="str">
        <f t="shared" si="92"/>
        <v>"%USERPROFILE%\Documents\GitHub\eaglep3\Utilities\RefineRTDCRunTimes.py" --tripid 847-22 --locoid 4018 --swversion DE.1.0.9.0 --startMP 204:925 --initTime 2017-05-22T21:57:14 --startdatetime 2017-05-22T22:40:06 --delay 2 --endMP 300:58924 --enddatetime 2017-05-22T22:55:00 --enforcementcount 0 &gt;&gt;C:\Users\stu\Documents\GitHub\eaglep3-reporting\EC\2017-05-22-refined-times.txt</v>
      </c>
      <c r="AI209" s="99" t="str">
        <f t="shared" si="93"/>
        <v>echo {"issue":{"subject":"","project_id":79,"tracker_id":40,"status_id":1,"priority_id":2,"assigned_to_id":23,"start_date":"2017-05-22","description":"","custom_fields":[{"id":1,"name":"Subdivision","value":"NW"},{"id":4,"name":"Milepost","value":"5.8924"},{"id":17,"name":"Train ID","value":"847-22"},{"id":16,"name":"Locomotive ID","value":"4018"},{"id":130,"name":"Impact","value":""},{"id":150,"name":"Time of Event (Mountain Time)","value":"22:55:00"},{"id":151,"name":"Denver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4"/>
        <v>start /low /b %USERPROFILE%\Documents\GitHub\eaglep3\Utilities\DownloadLogsFromS3.py --loco 4018 --day 2017-05-22</v>
      </c>
      <c r="AN209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618</v>
      </c>
      <c r="B210" s="7">
        <v>4018</v>
      </c>
      <c r="C210" s="21" t="s">
        <v>206</v>
      </c>
      <c r="D210" s="21" t="s">
        <v>992</v>
      </c>
      <c r="E210" s="13">
        <v>42877.956192129626</v>
      </c>
      <c r="F210" s="13">
        <v>42877.973368055558</v>
      </c>
      <c r="G210" s="7">
        <v>1</v>
      </c>
      <c r="H210" s="21" t="s">
        <v>980</v>
      </c>
      <c r="I210" s="13">
        <v>42877.982291666667</v>
      </c>
      <c r="J210" s="7">
        <v>0</v>
      </c>
      <c r="K210" s="92" t="str">
        <f t="shared" si="80"/>
        <v>4017/4018</v>
      </c>
      <c r="L210" s="21" t="str">
        <f>VLOOKUP(A210,'Trips&amp;Operators'!$C$1:$G$99999,5,FALSE)</f>
        <v>STAMBAUGH JAMES</v>
      </c>
      <c r="M210" s="6">
        <f t="shared" si="81"/>
        <v>8.923611108912155E-3</v>
      </c>
      <c r="N210" s="7">
        <f t="shared" si="78"/>
        <v>12.849999996833503</v>
      </c>
      <c r="O210" s="7"/>
      <c r="P210" s="7"/>
      <c r="Q210" s="22"/>
      <c r="R210" s="190"/>
      <c r="S210" s="196">
        <f t="shared" si="79"/>
        <v>1</v>
      </c>
      <c r="T210" s="190" t="str">
        <f t="shared" si="82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3"/>
        <v>https://d0f6bd738d7f1b3e5a7ca70fe4ff75f0.us-east-1.aws.found.io/app/kibana#/discover/Steve-Slow-Train-Analysis-(2080s-and-2083s)?_g=(refreshInterval:(display:Off,pause:!f,section:0,value:0),time:(from:'2017-05-22T21:56:55-0600',mode:absolute,to:'2017-05-23T00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92" t="str">
        <f t="shared" si="84"/>
        <v>N</v>
      </c>
      <c r="X210" s="192">
        <f t="shared" si="77"/>
        <v>2</v>
      </c>
      <c r="Y210" s="192">
        <f t="shared" si="85"/>
        <v>9.0399999999999994E-2</v>
      </c>
      <c r="Z210" s="192">
        <f t="shared" si="86"/>
        <v>5.8891999999999998</v>
      </c>
      <c r="AA210" s="192">
        <f t="shared" si="87"/>
        <v>5.7988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8"/>
        <v>0849-22</v>
      </c>
      <c r="AE210" s="80" t="str">
        <f t="shared" si="89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210" s="77" t="str">
        <f t="shared" si="90"/>
        <v>"C:\Program Files (x86)\AstroGrep\AstroGrep.exe" /e /r /s /spath="%USERPROFILE%\AppData\Local\Temp\OnboardLogs" /stypes="app*4018*20170523*" /stext=" 05:.+((SYSTEM_STATE.+slice.+state.+changed )|(ment ac)|(multiple cpu faults)|(system.+state.+changed )|(\[timeout)|(PRM\|1\|D)|(kpr)|(kdp)|(train st.+moving)|(\|lc)|(penalty))"</v>
      </c>
      <c r="AG210" s="1" t="str">
        <f t="shared" si="91"/>
        <v>NW</v>
      </c>
      <c r="AH210" s="81" t="str">
        <f t="shared" si="92"/>
        <v>"%USERPROFILE%\Documents\GitHub\eaglep3\Utilities\RefineRTDCRunTimes.py" --tripid 849-22 --locoid 4018 --swversion DE.1.0.9.0 --startMP 204:904 --initTime 2017-05-22T22:56:55 --startdatetime 2017-05-22T23:21:39 --delay 1 --endMP 300:58892 --enddatetime 2017-05-22T23:34:30 --enforcementcount 0 &gt;&gt;C:\Users\stu\Documents\GitHub\eaglep3-reporting\EC\2017-05-22-refined-times.txt</v>
      </c>
      <c r="AI210" s="99" t="str">
        <f t="shared" si="93"/>
        <v>echo {"issue":{"subject":"","project_id":79,"tracker_id":40,"status_id":1,"priority_id":2,"assigned_to_id":23,"start_date":"2017-05-22","description":"","custom_fields":[{"id":1,"name":"Subdivision","value":"NW"},{"id":4,"name":"Milepost","value":"5.8892"},{"id":17,"name":"Train ID","value":"849-22"},{"id":16,"name":"Locomotive ID","value":"4018"},{"id":130,"name":"Impact","value":""},{"id":150,"name":"Time of Event (Mountain Time)","value":"23:34:30"},{"id":151,"name":"Denver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4"/>
        <v>start /low /b %USERPROFILE%\Documents\GitHub\eaglep3\Utilities\DownloadLogsFromS3.py --loco 4018 --day 2017-05-22</v>
      </c>
      <c r="AN210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621</v>
      </c>
      <c r="B211" s="7">
        <v>4021</v>
      </c>
      <c r="C211" s="21" t="s">
        <v>206</v>
      </c>
      <c r="D211" s="21" t="s">
        <v>898</v>
      </c>
      <c r="E211" s="13">
        <v>42877.116481481484</v>
      </c>
      <c r="F211" s="13">
        <v>42877.118900462963</v>
      </c>
      <c r="G211" s="7">
        <v>3</v>
      </c>
      <c r="H211" s="21" t="s">
        <v>828</v>
      </c>
      <c r="I211" s="13">
        <v>42877.124837962961</v>
      </c>
      <c r="J211" s="7">
        <v>0</v>
      </c>
      <c r="K211" s="92" t="str">
        <f t="shared" si="80"/>
        <v>4021/4022</v>
      </c>
      <c r="L211" s="21" t="str">
        <f>VLOOKUP(A211,'Trips&amp;Operators'!$C$1:$G$99999,5,FALSE)</f>
        <v>MAELZER KURT</v>
      </c>
      <c r="M211" s="6">
        <f t="shared" si="81"/>
        <v>5.9374999982537702E-3</v>
      </c>
      <c r="N211" s="7">
        <f t="shared" si="78"/>
        <v>8.549999997485429</v>
      </c>
      <c r="O211" s="7"/>
      <c r="P211" s="7"/>
      <c r="Q211" s="22"/>
      <c r="R211" s="190"/>
      <c r="S211" s="196">
        <f t="shared" si="79"/>
        <v>1</v>
      </c>
      <c r="T211" s="190" t="str">
        <f t="shared" si="82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3"/>
        <v>https://d0f6bd738d7f1b3e5a7ca70fe4ff75f0.us-east-1.aws.found.io/app/kibana#/discover/Steve-Slow-Train-Analysis-(2080s-and-2083s)?_g=(refreshInterval:(display:Off,pause:!f,section:0,value:0),time:(from:'2017-05-22T01:47:44-0600',mode:absolute,to:'2017-05-22T03:59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1" s="192" t="str">
        <f t="shared" si="84"/>
        <v>Y</v>
      </c>
      <c r="X211" s="192">
        <f t="shared" si="77"/>
        <v>-549</v>
      </c>
      <c r="Y211" s="192">
        <f t="shared" si="85"/>
        <v>2.3708999999999998</v>
      </c>
      <c r="Z211" s="192">
        <f t="shared" si="86"/>
        <v>1.4500000000000001E-2</v>
      </c>
      <c r="AA211" s="192">
        <f t="shared" si="87"/>
        <v>2.3563999999999998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8"/>
        <v>0300-22</v>
      </c>
      <c r="AE211" s="80" t="str">
        <f t="shared" si="89"/>
        <v>aws s3 cp s3://rtdc.mdm.uploadarchive.raw/RTDC4021/ "%USERPROFILE%\AppData\Local\Temp\OnboardLogs"\RTDC4021\2017-05-22 --exclude "*" --recursive --include "*20170522*" &amp; "%USERPROFILE%\Documents\GitHub\mrs-test-scripts\Headless Mode &amp; Sideloading\WalkAndUnGZ.bat" "%USERPROFILE%\AppData\Local\Temp\OnboardLogs"\RTDC4021\2017-05-22 &amp; 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</v>
      </c>
      <c r="AF211" s="77" t="str">
        <f t="shared" si="90"/>
        <v>"C:\Program Files (x86)\AstroGrep\AstroGrep.exe" /e /r /s /spath="%USERPROFILE%\AppData\Local\Temp\OnboardLogs" /stypes="app*4021*20170522*" /stext=" 08:.+((SYSTEM_STATE.+slice.+state.+changed )|(ment ac)|(multiple cpu faults)|(system.+state.+changed )|(\[timeout)|(PRM\|1\|D)|(kpr)|(kdp)|(train st.+moving)|(\|lc)|(penalty))"</v>
      </c>
      <c r="AG211" s="1" t="str">
        <f t="shared" si="91"/>
        <v>Other</v>
      </c>
      <c r="AH211" s="81" t="str">
        <f t="shared" si="92"/>
        <v>"%USERPROFILE%\Documents\GitHub\eaglep3\Utilities\RefineRTDCRunTimes.py" --tripid 300-22 --locoid 4021 --swversion DE.1.0.9.0 --startMP 300:23709 --initTime 2017-05-22T02:47:44 --startdatetime 2017-05-22T02:51:13 --delay 3 --endMP 204:145 --enddatetime 2017-05-22T02:59:46 --enforcementcount 0 &gt;&gt;C:\Users\stu\Documents\GitHub\eaglep3-reporting\EC\2017-05-22-refined-times.txt</v>
      </c>
      <c r="AI211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{"issue":{"subject":"","project_id":79,"tracker_id":40,"status_id":1,"priority_id":2,"assigned_to_id":23,"start_date":"2017-05-22","description":"","custom_fields":[{"id":1,"name":"Subdivision","value":"Other"},{"id":4,"name":"Milepost","value":"0.0145"},{"id":17,"name":"Train ID","value":"300-22"},{"id":16,"name":"Locomotive ID","value":"4021"},{"id":130,"name":"Impact","value":""},{"id":150,"name":"Time of Event (Mountain Time)","value":"02:59:46"},{"id":151,"name":"Denver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4"/>
        <v>start /low /b %USERPROFILE%\Documents\GitHub\eaglep3\Utilities\DownloadLogsFromS3.py --loco 4021 --day 2017-05-22</v>
      </c>
      <c r="AN211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08:59:46"},{"id":29,"name":"Sharepoint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780</v>
      </c>
      <c r="B212" s="7">
        <v>4026</v>
      </c>
      <c r="C212" s="21" t="s">
        <v>206</v>
      </c>
      <c r="D212" s="21" t="s">
        <v>836</v>
      </c>
      <c r="E212" s="13">
        <v>42877.780486111114</v>
      </c>
      <c r="F212" s="13">
        <v>42877.788587962961</v>
      </c>
      <c r="G212" s="7">
        <v>1</v>
      </c>
      <c r="H212" s="21" t="s">
        <v>899</v>
      </c>
      <c r="I212" s="13">
        <v>42877.796886574077</v>
      </c>
      <c r="J212" s="7">
        <v>0</v>
      </c>
      <c r="K212" s="92" t="str">
        <f t="shared" si="80"/>
        <v>4025/4026</v>
      </c>
      <c r="L212" s="21" t="str">
        <f>VLOOKUP(A212,'Trips&amp;Operators'!$C$1:$G$99999,5,FALSE)</f>
        <v>LEVERE CRAIG</v>
      </c>
      <c r="M212" s="6">
        <f t="shared" si="81"/>
        <v>8.298611115606036E-3</v>
      </c>
      <c r="N212" s="7">
        <f t="shared" si="78"/>
        <v>11.950000006472692</v>
      </c>
      <c r="O212" s="7"/>
      <c r="P212" s="7"/>
      <c r="Q212" s="22"/>
      <c r="R212" s="190"/>
      <c r="S212" s="196">
        <f t="shared" si="79"/>
        <v>1</v>
      </c>
      <c r="T212" s="190" t="str">
        <f t="shared" si="82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3"/>
        <v>https://d0f6bd738d7f1b3e5a7ca70fe4ff75f0.us-east-1.aws.found.io/app/kibana#/discover/Steve-Slow-Train-Analysis-(2080s-and-2083s)?_g=(refreshInterval:(display:Off,pause:!f,section:0,value:0),time:(from:'2017-05-22T17:43:54-0600',mode:absolute,to:'2017-05-22T20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192" t="str">
        <f t="shared" si="84"/>
        <v>Y</v>
      </c>
      <c r="X212" s="192">
        <f t="shared" si="77"/>
        <v>1</v>
      </c>
      <c r="Y212" s="192">
        <f t="shared" si="85"/>
        <v>4.3299999999999998E-2</v>
      </c>
      <c r="Z212" s="192">
        <f t="shared" si="86"/>
        <v>2.3306</v>
      </c>
      <c r="AA212" s="192">
        <f t="shared" si="87"/>
        <v>2.2873000000000001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8"/>
        <v>0301-22</v>
      </c>
      <c r="AE212" s="80" t="str">
        <f t="shared" si="89"/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AF212" s="77" t="str">
        <f t="shared" si="90"/>
        <v>"C:\Program Files (x86)\AstroGrep\AstroGrep.exe" /e /r /s /spath="%USERPROFILE%\AppData\Local\Temp\OnboardLogs" /stypes="app*4026*20170523*" /stext=" 01:.+((SYSTEM_STATE.+slice.+state.+changed )|(ment ac)|(multiple cpu faults)|(system.+state.+changed )|(\[timeout)|(PRM\|1\|D)|(kpr)|(kdp)|(train st.+moving)|(\|lc)|(penalty))"</v>
      </c>
      <c r="AG212" s="1" t="str">
        <f t="shared" si="91"/>
        <v>Other</v>
      </c>
      <c r="AH212" s="81" t="str">
        <f t="shared" si="92"/>
        <v>"%USERPROFILE%\Documents\GitHub\eaglep3\Utilities\RefineRTDCRunTimes.py" --tripid 301-22 --locoid 4026 --swversion DE.1.0.9.0 --startMP 204:433 --initTime 2017-05-22T18:43:54 --startdatetime 2017-05-22T18:55:34 --delay 1 --endMP 300:23306 --enddatetime 2017-05-22T19:07:31 --enforcementcount 0 &gt;&gt;C:\Users\stu\Documents\GitHub\eaglep3-reporting\EC\2017-05-22-refined-times.txt</v>
      </c>
      <c r="AI212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{"issue":{"subject":"","project_id":79,"tracker_id":40,"status_id":1,"priority_id":2,"assigned_to_id":23,"start_date":"2017-05-22","description":"","custom_fields":[{"id":1,"name":"Subdivision","value":"Other"},{"id":4,"name":"Milepost","value":"2.3306"},{"id":17,"name":"Train ID","value":"301-22"},{"id":16,"name":"Locomotive ID","value":"4026"},{"id":130,"name":"Impact","value":""},{"id":150,"name":"Time of Event (Mountain Time)","value":"19:07:31"},{"id":151,"name":"Denver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4"/>
        <v>start /low /b %USERPROFILE%\Documents\GitHub\eaglep3\Utilities\DownloadLogsFromS3.py --loco 4026 --day 2017-05-22</v>
      </c>
      <c r="AN212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626</v>
      </c>
      <c r="B213" s="7">
        <v>4031</v>
      </c>
      <c r="C213" s="21" t="s">
        <v>206</v>
      </c>
      <c r="D213" s="21" t="s">
        <v>900</v>
      </c>
      <c r="E213" s="13">
        <v>42877.136122685188</v>
      </c>
      <c r="F213" s="13">
        <v>42877.139618055553</v>
      </c>
      <c r="G213" s="7">
        <v>4</v>
      </c>
      <c r="H213" s="21" t="s">
        <v>413</v>
      </c>
      <c r="I213" s="13">
        <v>42877.145532407405</v>
      </c>
      <c r="J213" s="7">
        <v>0</v>
      </c>
      <c r="K213" s="92" t="str">
        <f t="shared" si="80"/>
        <v>4031/4032</v>
      </c>
      <c r="L213" s="21" t="str">
        <f>VLOOKUP(A213,'Trips&amp;Operators'!$C$1:$G$99999,5,FALSE)</f>
        <v>BONDS REYNALDO</v>
      </c>
      <c r="M213" s="6">
        <f t="shared" si="81"/>
        <v>5.914351851970423E-3</v>
      </c>
      <c r="N213" s="7">
        <f t="shared" si="78"/>
        <v>8.5166666668374091</v>
      </c>
      <c r="O213" s="7"/>
      <c r="P213" s="7"/>
      <c r="Q213" s="22"/>
      <c r="R213" s="190"/>
      <c r="S213" s="196">
        <f t="shared" si="79"/>
        <v>1</v>
      </c>
      <c r="T213" s="190" t="str">
        <f t="shared" si="82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3"/>
        <v>https://d0f6bd738d7f1b3e5a7ca70fe4ff75f0.us-east-1.aws.found.io/app/kibana#/discover/Steve-Slow-Train-Analysis-(2080s-and-2083s)?_g=(refreshInterval:(display:Off,pause:!f,section:0,value:0),time:(from:'2017-05-22T02:16:01-0600',mode:absolute,to:'2017-05-22T04:29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2" t="str">
        <f t="shared" si="84"/>
        <v>Y</v>
      </c>
      <c r="X213" s="192">
        <f t="shared" si="77"/>
        <v>1</v>
      </c>
      <c r="Y213" s="192">
        <f t="shared" si="85"/>
        <v>2.3372000000000002</v>
      </c>
      <c r="Z213" s="192">
        <f t="shared" si="86"/>
        <v>1.54E-2</v>
      </c>
      <c r="AA213" s="192">
        <f t="shared" si="87"/>
        <v>2.3218000000000001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8"/>
        <v>0302-22</v>
      </c>
      <c r="AE213" s="80" t="str">
        <f t="shared" si="89"/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AF213" s="77" t="str">
        <f t="shared" si="90"/>
        <v>"C:\Program Files (x86)\AstroGrep\AstroGrep.exe" /e /r /s /spath="%USERPROFILE%\AppData\Local\Temp\OnboardLogs" /stypes="app*4031*20170522*" /stext=" 09:.+((SYSTEM_STATE.+slice.+state.+changed )|(ment ac)|(multiple cpu faults)|(system.+state.+changed )|(\[timeout)|(PRM\|1\|D)|(kpr)|(kdp)|(train st.+moving)|(\|lc)|(penalty))"</v>
      </c>
      <c r="AG213" s="1" t="str">
        <f t="shared" si="91"/>
        <v>Other</v>
      </c>
      <c r="AH213" s="81" t="str">
        <f t="shared" si="92"/>
        <v>"%USERPROFILE%\Documents\GitHub\eaglep3\Utilities\RefineRTDCRunTimes.py" --tripid 302-22 --locoid 4031 --swversion DE.1.0.9.0 --startMP 300:23372 --initTime 2017-05-22T03:16:01 --startdatetime 2017-05-22T03:21:03 --delay 4 --endMP 204:154 --enddatetime 2017-05-22T03:29:34 --enforcementcount 0 &gt;&gt;C:\Users\stu\Documents\GitHub\eaglep3-reporting\EC\2017-05-22-refined-times.txt</v>
      </c>
      <c r="AI213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{"issue":{"subject":"","project_id":79,"tracker_id":40,"status_id":1,"priority_id":2,"assigned_to_id":23,"start_date":"2017-05-22","description":"","custom_fields":[{"id":1,"name":"Subdivision","value":"Other"},{"id":4,"name":"Milepost","value":"0.0154"},{"id":17,"name":"Train ID","value":"302-22"},{"id":16,"name":"Locomotive ID","value":"4031"},{"id":130,"name":"Impact","value":""},{"id":150,"name":"Time of Event (Mountain Time)","value":"03:29:34"},{"id":151,"name":"Denver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4"/>
        <v>start /low /b %USERPROFILE%\Documents\GitHub\eaglep3\Utilities\DownloadLogsFromS3.py --loco 4031 --day 2017-05-22</v>
      </c>
      <c r="AN213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09:29:34"},{"id":29,"name":"Sharepoint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783</v>
      </c>
      <c r="B214" s="7">
        <v>4008</v>
      </c>
      <c r="C214" s="21" t="s">
        <v>206</v>
      </c>
      <c r="D214" s="21" t="s">
        <v>425</v>
      </c>
      <c r="E214" s="13">
        <v>42877.79923611111</v>
      </c>
      <c r="F214" s="13">
        <v>42877.800636574073</v>
      </c>
      <c r="G214" s="7">
        <v>1</v>
      </c>
      <c r="H214" s="21" t="s">
        <v>901</v>
      </c>
      <c r="I214" s="13">
        <v>42877.806307870371</v>
      </c>
      <c r="J214" s="7">
        <v>0</v>
      </c>
      <c r="K214" s="92" t="str">
        <f t="shared" si="80"/>
        <v>4007/4008</v>
      </c>
      <c r="L214" s="21" t="str">
        <f>VLOOKUP(A214,'Trips&amp;Operators'!$C$1:$G$99999,5,FALSE)</f>
        <v>BRANDNER MELINDA</v>
      </c>
      <c r="M214" s="6">
        <f t="shared" si="81"/>
        <v>5.6712962978053838E-3</v>
      </c>
      <c r="N214" s="7">
        <f t="shared" ref="N214:N245" si="96">24*60*SUM($M214:$M214)</f>
        <v>8.1666666688397527</v>
      </c>
      <c r="O214" s="7"/>
      <c r="P214" s="7"/>
      <c r="Q214" s="22"/>
      <c r="R214" s="190"/>
      <c r="S214" s="196">
        <f t="shared" ref="S214:S245" si="97">SUM(U214:U214)/IF(AG214="EC",12,1)</f>
        <v>1</v>
      </c>
      <c r="T214" s="190" t="str">
        <f t="shared" si="82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3"/>
        <v>https://d0f6bd738d7f1b3e5a7ca70fe4ff75f0.us-east-1.aws.found.io/app/kibana#/discover/Steve-Slow-Train-Analysis-(2080s-and-2083s)?_g=(refreshInterval:(display:Off,pause:!f,section:0,value:0),time:(from:'2017-05-22T18:10:54-0600',mode:absolute,to:'2017-05-22T20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192" t="str">
        <f t="shared" si="84"/>
        <v>Y</v>
      </c>
      <c r="X214" s="192">
        <f t="shared" si="77"/>
        <v>1</v>
      </c>
      <c r="Y214" s="192">
        <f t="shared" si="85"/>
        <v>4.6899999999999997E-2</v>
      </c>
      <c r="Z214" s="192">
        <f t="shared" si="86"/>
        <v>2.3028</v>
      </c>
      <c r="AA214" s="192">
        <f t="shared" si="87"/>
        <v>2.2559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8"/>
        <v>0303-22</v>
      </c>
      <c r="AE214" s="80" t="str">
        <f t="shared" si="89"/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AF214" s="77" t="str">
        <f t="shared" si="90"/>
        <v>"C:\Program Files (x86)\AstroGrep\AstroGrep.exe" /e /r /s /spath="%USERPROFILE%\AppData\Local\Temp\OnboardLogs" /stypes="app*4008*20170523*" /stext=" 01:.+((SYSTEM_STATE.+slice.+state.+changed )|(ment ac)|(multiple cpu faults)|(system.+state.+changed )|(\[timeout)|(PRM\|1\|D)|(kpr)|(kdp)|(train st.+moving)|(\|lc)|(penalty))"</v>
      </c>
      <c r="AG214" s="1" t="str">
        <f t="shared" si="91"/>
        <v>Other</v>
      </c>
      <c r="AH214" s="81" t="str">
        <f t="shared" si="92"/>
        <v>"%USERPROFILE%\Documents\GitHub\eaglep3\Utilities\RefineRTDCRunTimes.py" --tripid 303-22 --locoid 4008 --swversion DE.1.0.9.0 --startMP 204:469 --initTime 2017-05-22T19:10:54 --startdatetime 2017-05-22T19:12:55 --delay 1 --endMP 300:23028 --enddatetime 2017-05-22T19:21:05 --enforcementcount 0 &gt;&gt;C:\Users\stu\Documents\GitHub\eaglep3-reporting\EC\2017-05-22-refined-times.txt</v>
      </c>
      <c r="AI214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{"issue":{"subject":"","project_id":79,"tracker_id":40,"status_id":1,"priority_id":2,"assigned_to_id":23,"start_date":"2017-05-22","description":"","custom_fields":[{"id":1,"name":"Subdivision","value":"Other"},{"id":4,"name":"Milepost","value":"2.3028"},{"id":17,"name":"Train ID","value":"303-22"},{"id":16,"name":"Locomotive ID","value":"4008"},{"id":130,"name":"Impact","value":""},{"id":150,"name":"Time of Event (Mountain Time)","value":"19:21:05"},{"id":151,"name":"Denver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4"/>
        <v>start /low /b %USERPROFILE%\Documents\GitHub\eaglep3\Utilities\DownloadLogsFromS3.py --loco 4008 --day 2017-05-22</v>
      </c>
      <c r="AN214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630</v>
      </c>
      <c r="B215" s="7">
        <v>4015</v>
      </c>
      <c r="C215" s="21" t="s">
        <v>206</v>
      </c>
      <c r="D215" s="21" t="s">
        <v>902</v>
      </c>
      <c r="E215" s="13">
        <v>42877.161006944443</v>
      </c>
      <c r="F215" s="13">
        <v>42877.164652777778</v>
      </c>
      <c r="G215" s="7">
        <v>4</v>
      </c>
      <c r="H215" s="21" t="s">
        <v>198</v>
      </c>
      <c r="I215" s="13">
        <v>42877.170902777776</v>
      </c>
      <c r="J215" s="7">
        <v>0</v>
      </c>
      <c r="K215" s="92" t="str">
        <f t="shared" si="80"/>
        <v>4015/4016</v>
      </c>
      <c r="L215" s="21" t="str">
        <f>VLOOKUP(A215,'Trips&amp;Operators'!$C$1:$G$99999,5,FALSE)</f>
        <v>STARKS ANGELINA</v>
      </c>
      <c r="M215" s="6">
        <f t="shared" si="81"/>
        <v>6.2499999985448085E-3</v>
      </c>
      <c r="N215" s="7">
        <f t="shared" si="96"/>
        <v>8.9999999979045242</v>
      </c>
      <c r="O215" s="7"/>
      <c r="P215" s="7"/>
      <c r="Q215" s="22"/>
      <c r="R215" s="190"/>
      <c r="S215" s="196">
        <f t="shared" si="97"/>
        <v>1</v>
      </c>
      <c r="T215" s="190" t="str">
        <f t="shared" si="82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3"/>
        <v>https://d0f6bd738d7f1b3e5a7ca70fe4ff75f0.us-east-1.aws.found.io/app/kibana#/discover/Steve-Slow-Train-Analysis-(2080s-and-2083s)?_g=(refreshInterval:(display:Off,pause:!f,section:0,value:0),time:(from:'2017-05-22T02:51:51-0600',mode:absolute,to:'2017-05-22T05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192" t="str">
        <f t="shared" si="84"/>
        <v>Y</v>
      </c>
      <c r="X215" s="192">
        <f t="shared" si="77"/>
        <v>1</v>
      </c>
      <c r="Y215" s="192">
        <f t="shared" si="85"/>
        <v>2.3018999999999998</v>
      </c>
      <c r="Z215" s="192">
        <f t="shared" si="86"/>
        <v>1.5800000000000002E-2</v>
      </c>
      <c r="AA215" s="192">
        <f t="shared" si="87"/>
        <v>2.2860999999999998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8"/>
        <v>0304-22</v>
      </c>
      <c r="AE215" s="80" t="str">
        <f t="shared" si="89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215" s="77" t="str">
        <f t="shared" si="90"/>
        <v>"C:\Program Files (x86)\AstroGrep\AstroGrep.exe" /e /r /s /spath="%USERPROFILE%\AppData\Local\Temp\OnboardLogs" /stypes="app*4015*20170522*" /stext=" 10:.+((SYSTEM_STATE.+slice.+state.+changed )|(ment ac)|(multiple cpu faults)|(system.+state.+changed )|(\[timeout)|(PRM\|1\|D)|(kpr)|(kdp)|(train st.+moving)|(\|lc)|(penalty))"</v>
      </c>
      <c r="AG215" s="1" t="str">
        <f t="shared" si="91"/>
        <v>Other</v>
      </c>
      <c r="AH215" s="81" t="str">
        <f t="shared" si="92"/>
        <v>"%USERPROFILE%\Documents\GitHub\eaglep3\Utilities\RefineRTDCRunTimes.py" --tripid 304-22 --locoid 4015 --swversion DE.1.0.9.0 --startMP 300:23019 --initTime 2017-05-22T03:51:51 --startdatetime 2017-05-22T03:57:06 --delay 4 --endMP 204:158 --enddatetime 2017-05-22T04:06:06 --enforcementcount 0 &gt;&gt;C:\Users\stu\Documents\GitHub\eaglep3-reporting\EC\2017-05-22-refined-times.txt</v>
      </c>
      <c r="AI215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{"issue":{"subject":"","project_id":79,"tracker_id":40,"status_id":1,"priority_id":2,"assigned_to_id":23,"start_date":"2017-05-22","description":"","custom_fields":[{"id":1,"name":"Subdivision","value":"Other"},{"id":4,"name":"Milepost","value":"0.0158"},{"id":17,"name":"Train ID","value":"304-22"},{"id":16,"name":"Locomotive ID","value":"4015"},{"id":130,"name":"Impact","value":""},{"id":150,"name":"Time of Event (Mountain Time)","value":"04:06:06"},{"id":151,"name":"Denver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4"/>
        <v>start /low /b %USERPROFILE%\Documents\GitHub\eaglep3\Utilities\DownloadLogsFromS3.py --loco 4015 --day 2017-05-22</v>
      </c>
      <c r="AN215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s="20" customFormat="1" x14ac:dyDescent="0.25">
      <c r="A216" s="32" t="s">
        <v>634</v>
      </c>
      <c r="B216" s="7">
        <v>4013</v>
      </c>
      <c r="C216" s="21" t="s">
        <v>206</v>
      </c>
      <c r="D216" s="21" t="s">
        <v>903</v>
      </c>
      <c r="E216" s="13">
        <v>42877.171689814815</v>
      </c>
      <c r="F216" s="13">
        <v>42877.173946759256</v>
      </c>
      <c r="G216" s="7">
        <v>3</v>
      </c>
      <c r="H216" s="21" t="s">
        <v>362</v>
      </c>
      <c r="I216" s="13">
        <v>42877.179224537038</v>
      </c>
      <c r="J216" s="7">
        <v>0</v>
      </c>
      <c r="K216" s="92" t="str">
        <f t="shared" si="80"/>
        <v>4013/4014</v>
      </c>
      <c r="L216" s="21" t="str">
        <f>VLOOKUP(A216,'Trips&amp;Operators'!$C$1:$G$99999,5,FALSE)</f>
        <v>LALONDE GREGORY</v>
      </c>
      <c r="M216" s="6">
        <f t="shared" si="81"/>
        <v>5.2777777818846516E-3</v>
      </c>
      <c r="N216" s="7">
        <f t="shared" si="96"/>
        <v>7.6000000059138983</v>
      </c>
      <c r="O216" s="7"/>
      <c r="P216" s="7"/>
      <c r="Q216" s="22"/>
      <c r="R216" s="190"/>
      <c r="S216" s="196">
        <f t="shared" si="97"/>
        <v>1</v>
      </c>
      <c r="T216" s="190" t="str">
        <f t="shared" si="82"/>
        <v>Southbound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3"/>
        <v>https://d0f6bd738d7f1b3e5a7ca70fe4ff75f0.us-east-1.aws.found.io/app/kibana#/discover/Steve-Slow-Train-Analysis-(2080s-and-2083s)?_g=(refreshInterval:(display:Off,pause:!f,section:0,value:0),time:(from:'2017-05-22T03:07:14-0600',mode:absolute,to:'2017-05-22T05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192" t="str">
        <f t="shared" si="84"/>
        <v>Y</v>
      </c>
      <c r="X216" s="192">
        <f t="shared" si="77"/>
        <v>2</v>
      </c>
      <c r="Y216" s="192">
        <f t="shared" si="85"/>
        <v>2.3468</v>
      </c>
      <c r="Z216" s="192">
        <f t="shared" si="86"/>
        <v>1.5599999999999999E-2</v>
      </c>
      <c r="AA216" s="192">
        <f t="shared" si="87"/>
        <v>2.3311999999999999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8"/>
        <v>0306-22</v>
      </c>
      <c r="AE216" s="80" t="str">
        <f t="shared" si="89"/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AF216" s="77" t="str">
        <f t="shared" si="90"/>
        <v>"C:\Program Files (x86)\AstroGrep\AstroGrep.exe" /e /r /s /spath="%USERPROFILE%\AppData\Local\Temp\OnboardLogs" /stypes="app*4013*20170522*" /stext=" 10:.+((SYSTEM_STATE.+slice.+state.+changed )|(ment ac)|(multiple cpu faults)|(system.+state.+changed )|(\[timeout)|(PRM\|1\|D)|(kpr)|(kdp)|(train st.+moving)|(\|lc)|(penalty))"</v>
      </c>
      <c r="AG216" s="1" t="str">
        <f t="shared" si="91"/>
        <v>Other</v>
      </c>
      <c r="AH216" s="81" t="str">
        <f t="shared" si="92"/>
        <v>"%USERPROFILE%\Documents\GitHub\eaglep3\Utilities\RefineRTDCRunTimes.py" --tripid 306-22 --locoid 4013 --swversion DE.1.0.9.0 --startMP 300:23468 --initTime 2017-05-22T04:07:14 --startdatetime 2017-05-22T04:10:29 --delay 3 --endMP 204:156 --enddatetime 2017-05-22T04:18:05 --enforcementcount 0 &gt;&gt;C:\Users\stu\Documents\GitHub\eaglep3-reporting\EC\2017-05-22-refined-times.txt</v>
      </c>
      <c r="AI216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{"issue":{"subject":"","project_id":79,"tracker_id":40,"status_id":1,"priority_id":2,"assigned_to_id":23,"start_date":"2017-05-22","description":"","custom_fields":[{"id":1,"name":"Subdivision","value":"Other"},{"id":4,"name":"Milepost","value":"0.0156"},{"id":17,"name":"Train ID","value":"306-22"},{"id":16,"name":"Locomotive ID","value":"4013"},{"id":130,"name":"Impact","value":""},{"id":150,"name":"Time of Event (Mountain Time)","value":"04:18:05"},{"id":151,"name":"Denver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5" t="str">
        <f t="shared" si="94"/>
        <v>start /low /b %USERPROFILE%\Documents\GitHub\eaglep3\Utilities\DownloadLogsFromS3.py --loco 4013 --day 2017-05-22</v>
      </c>
      <c r="AN216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10:18:05"},{"id":29,"name":"Sharepoint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812</v>
      </c>
      <c r="B217" s="7">
        <v>4006</v>
      </c>
      <c r="C217" s="21" t="s">
        <v>206</v>
      </c>
      <c r="D217" s="21" t="s">
        <v>365</v>
      </c>
      <c r="E217" s="13">
        <v>42878.028379629628</v>
      </c>
      <c r="F217" s="13">
        <v>42878.030069444445</v>
      </c>
      <c r="G217" s="7">
        <v>1</v>
      </c>
      <c r="H217" s="21" t="s">
        <v>904</v>
      </c>
      <c r="I217" s="13">
        <v>42878.033333333333</v>
      </c>
      <c r="J217" s="7">
        <v>0</v>
      </c>
      <c r="K217" s="92" t="str">
        <f t="shared" si="80"/>
        <v>4005/4006</v>
      </c>
      <c r="L217" s="21" t="str">
        <f>VLOOKUP(A217,'Trips&amp;Operators'!$C$1:$G$99999,5,FALSE)</f>
        <v>PERKINS DARREN</v>
      </c>
      <c r="M217" s="6">
        <f t="shared" si="81"/>
        <v>3.2638888878864236E-3</v>
      </c>
      <c r="N217" s="7">
        <f t="shared" si="96"/>
        <v>4.69999999855645</v>
      </c>
      <c r="O217" s="7"/>
      <c r="P217" s="7"/>
      <c r="Q217" s="22"/>
      <c r="R217" s="190"/>
      <c r="S217" s="196">
        <f t="shared" si="97"/>
        <v>1</v>
      </c>
      <c r="T217" s="190" t="str">
        <f t="shared" si="82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3"/>
        <v>https://d0f6bd738d7f1b3e5a7ca70fe4ff75f0.us-east-1.aws.found.io/app/kibana#/discover/Steve-Slow-Train-Analysis-(2080s-and-2083s)?_g=(refreshInterval:(display:Off,pause:!f,section:0,value:0),time:(from:'2017-05-22T23:40:52-0600',mode:absolute,to:'2017-05-23T01:48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192" t="str">
        <f t="shared" si="84"/>
        <v>Y</v>
      </c>
      <c r="X217" s="192">
        <f t="shared" si="77"/>
        <v>1</v>
      </c>
      <c r="Y217" s="192">
        <f t="shared" si="85"/>
        <v>4.4699999999999997E-2</v>
      </c>
      <c r="Z217" s="192">
        <f t="shared" si="86"/>
        <v>2.3302</v>
      </c>
      <c r="AA217" s="192">
        <f t="shared" si="87"/>
        <v>2.2854999999999999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8"/>
        <v>0307-22</v>
      </c>
      <c r="AE217" s="80" t="str">
        <f t="shared" si="89"/>
        <v>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 &amp; 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</v>
      </c>
      <c r="AF217" s="77" t="str">
        <f t="shared" si="90"/>
        <v>"C:\Program Files (x86)\AstroGrep\AstroGrep.exe" /e /r /s /spath="%USERPROFILE%\AppData\Local\Temp\OnboardLogs" /stypes="app*4006*20170523*" /stext=" 06:.+((SYSTEM_STATE.+slice.+state.+changed )|(ment ac)|(multiple cpu faults)|(system.+state.+changed )|(\[timeout)|(PRM\|1\|D)|(kpr)|(kdp)|(train st.+moving)|(\|lc)|(penalty))"</v>
      </c>
      <c r="AG217" s="1" t="str">
        <f t="shared" si="91"/>
        <v>Other</v>
      </c>
      <c r="AH217" s="81" t="str">
        <f t="shared" si="92"/>
        <v>"%USERPROFILE%\Documents\GitHub\eaglep3\Utilities\RefineRTDCRunTimes.py" --tripid 307-22 --locoid 4006 --swversion DE.1.0.9.0 --startMP 204:447 --initTime 2017-05-23T00:40:52 --startdatetime 2017-05-23T00:43:18 --delay 1 --endMP 300:23302 --enddatetime 2017-05-23T00:48:00 --enforcementcount 0 &gt;&gt;C:\Users\stu\Documents\GitHub\eaglep3-reporting\EC\2017-05-22-refined-times.txt</v>
      </c>
      <c r="AI217" s="99" t="str">
        <f t="shared" si="93"/>
        <v>echo {"issue":{"subject":"","project_id":79,"tracker_id":40,"status_id":1,"priority_id":2,"assigned_to_id":23,"start_date":"2017-05-23","description":"","custom_fields":[{"id":1,"name":"Subdivision","value":"Other"},{"id":4,"name":"Milepost","value":"2.3302"},{"id":17,"name":"Train ID","value":"307-22"},{"id":16,"name":"Locomotive ID","value":"4006"},{"id":130,"name":"Impact","value":""},{"id":150,"name":"Time of Event (Mountain Time)","value":"00:48:00"},{"id":151,"name":"Denver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4"/>
        <v>start /low /b %USERPROFILE%\Documents\GitHub\eaglep3\Utilities\DownloadLogsFromS3.py --loco 4006 --day 2017-05-23</v>
      </c>
      <c r="AN217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06:48:00"},{"id":29,"name":"Sharepoint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636</v>
      </c>
      <c r="B218" s="7">
        <v>4025</v>
      </c>
      <c r="C218" s="21" t="s">
        <v>206</v>
      </c>
      <c r="D218" s="21" t="s">
        <v>905</v>
      </c>
      <c r="E218" s="13">
        <v>42877.179918981485</v>
      </c>
      <c r="F218" s="13">
        <v>42877.183391203704</v>
      </c>
      <c r="G218" s="7">
        <v>4</v>
      </c>
      <c r="H218" s="21" t="s">
        <v>353</v>
      </c>
      <c r="I218" s="13">
        <v>42877.190810185188</v>
      </c>
      <c r="J218" s="7">
        <v>0</v>
      </c>
      <c r="K218" s="92" t="str">
        <f t="shared" si="80"/>
        <v>4025/4026</v>
      </c>
      <c r="L218" s="21" t="str">
        <f>VLOOKUP(A218,'Trips&amp;Operators'!$C$1:$G$99999,5,FALSE)</f>
        <v>WILLIAMS DONTE</v>
      </c>
      <c r="M218" s="6">
        <f t="shared" si="81"/>
        <v>7.4189814840792678E-3</v>
      </c>
      <c r="N218" s="7">
        <f t="shared" si="96"/>
        <v>10.683333337074146</v>
      </c>
      <c r="O218" s="7"/>
      <c r="P218" s="7"/>
      <c r="Q218" s="22"/>
      <c r="R218" s="190"/>
      <c r="S218" s="196">
        <f t="shared" si="97"/>
        <v>1</v>
      </c>
      <c r="T218" s="190" t="str">
        <f t="shared" si="82"/>
        <v>Southbound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3"/>
        <v>https://d0f6bd738d7f1b3e5a7ca70fe4ff75f0.us-east-1.aws.found.io/app/kibana#/discover/Steve-Slow-Train-Analysis-(2080s-and-2083s)?_g=(refreshInterval:(display:Off,pause:!f,section:0,value:0),time:(from:'2017-05-22T03:19:05-0600',mode:absolute,to:'2017-05-22T05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92" t="str">
        <f t="shared" si="84"/>
        <v>Y</v>
      </c>
      <c r="X218" s="192">
        <f t="shared" si="77"/>
        <v>1</v>
      </c>
      <c r="Y218" s="192">
        <f t="shared" si="85"/>
        <v>2.2682000000000002</v>
      </c>
      <c r="Z218" s="192">
        <f t="shared" si="86"/>
        <v>1.6E-2</v>
      </c>
      <c r="AA218" s="192">
        <f t="shared" si="87"/>
        <v>2.2522000000000002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8"/>
        <v>0308-22</v>
      </c>
      <c r="AE218" s="80" t="str">
        <f t="shared" si="89"/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AF218" s="77" t="str">
        <f t="shared" si="90"/>
        <v>"C:\Program Files (x86)\AstroGrep\AstroGrep.exe" /e /r /s /spath="%USERPROFILE%\AppData\Local\Temp\OnboardLogs" /stypes="app*4025*20170522*" /stext=" 10:.+((SYSTEM_STATE.+slice.+state.+changed )|(ment ac)|(multiple cpu faults)|(system.+state.+changed )|(\[timeout)|(PRM\|1\|D)|(kpr)|(kdp)|(train st.+moving)|(\|lc)|(penalty))"</v>
      </c>
      <c r="AG218" s="1" t="str">
        <f t="shared" si="91"/>
        <v>Other</v>
      </c>
      <c r="AH218" s="81" t="str">
        <f t="shared" si="92"/>
        <v>"%USERPROFILE%\Documents\GitHub\eaglep3\Utilities\RefineRTDCRunTimes.py" --tripid 308-22 --locoid 4025 --swversion DE.1.0.9.0 --startMP 300:22682 --initTime 2017-05-22T04:19:05 --startdatetime 2017-05-22T04:24:05 --delay 4 --endMP 204:160 --enddatetime 2017-05-22T04:34:46 --enforcementcount 0 &gt;&gt;C:\Users\stu\Documents\GitHub\eaglep3-reporting\EC\2017-05-22-refined-times.txt</v>
      </c>
      <c r="AI218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{"issue":{"subject":"","project_id":79,"tracker_id":40,"status_id":1,"priority_id":2,"assigned_to_id":23,"start_date":"2017-05-22","description":"","custom_fields":[{"id":1,"name":"Subdivision","value":"Other"},{"id":4,"name":"Milepost","value":"0.016"},{"id":17,"name":"Train ID","value":"308-22"},{"id":16,"name":"Locomotive ID","value":"4025"},{"id":130,"name":"Impact","value":""},{"id":150,"name":"Time of Event (Mountain Time)","value":"04:34:46"},{"id":151,"name":"Denver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4"/>
        <v>start /low /b %USERPROFILE%\Documents\GitHub\eaglep3\Utilities\DownloadLogsFromS3.py --loco 4025 --day 2017-05-22</v>
      </c>
      <c r="AN218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815</v>
      </c>
      <c r="B219" s="7">
        <v>4032</v>
      </c>
      <c r="C219" s="21" t="s">
        <v>206</v>
      </c>
      <c r="D219" s="21" t="s">
        <v>358</v>
      </c>
      <c r="E219" s="13">
        <v>42878.047673611109</v>
      </c>
      <c r="F219" s="13">
        <v>42878.049097222225</v>
      </c>
      <c r="G219" s="7">
        <v>1</v>
      </c>
      <c r="H219" s="21" t="s">
        <v>454</v>
      </c>
      <c r="I219" s="13">
        <v>42878.057650462964</v>
      </c>
      <c r="J219" s="7">
        <v>0</v>
      </c>
      <c r="K219" s="92" t="str">
        <f t="shared" si="80"/>
        <v>4031/4032</v>
      </c>
      <c r="L219" s="21" t="str">
        <f>VLOOKUP(A219,'Trips&amp;Operators'!$C$1:$G$99999,5,FALSE)</f>
        <v>SMITH MICHAEL</v>
      </c>
      <c r="M219" s="6">
        <f t="shared" si="81"/>
        <v>8.55324073927477E-3</v>
      </c>
      <c r="N219" s="7">
        <f t="shared" si="96"/>
        <v>12.316666664555669</v>
      </c>
      <c r="O219" s="7"/>
      <c r="P219" s="7"/>
      <c r="Q219" s="22"/>
      <c r="R219" s="190"/>
      <c r="S219" s="196">
        <f t="shared" si="97"/>
        <v>1</v>
      </c>
      <c r="T219" s="190" t="str">
        <f t="shared" si="82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3"/>
        <v>https://d0f6bd738d7f1b3e5a7ca70fe4ff75f0.us-east-1.aws.found.io/app/kibana#/discover/Steve-Slow-Train-Analysis-(2080s-and-2083s)?_g=(refreshInterval:(display:Off,pause:!f,section:0,value:0),time:(from:'2017-05-23T00:08:39-0600',mode:absolute,to:'2017-05-23T02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9" s="192" t="str">
        <f t="shared" si="84"/>
        <v>Y</v>
      </c>
      <c r="X219" s="192">
        <f t="shared" si="77"/>
        <v>1</v>
      </c>
      <c r="Y219" s="192">
        <f t="shared" si="85"/>
        <v>4.6600000000000003E-2</v>
      </c>
      <c r="Z219" s="192">
        <f t="shared" si="86"/>
        <v>2.3308</v>
      </c>
      <c r="AA219" s="192">
        <f t="shared" si="87"/>
        <v>2.2841999999999998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8"/>
        <v>0309-22</v>
      </c>
      <c r="AE219" s="80" t="str">
        <f t="shared" si="89"/>
        <v>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 &amp; 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</v>
      </c>
      <c r="AF219" s="77" t="str">
        <f t="shared" si="90"/>
        <v>"C:\Program Files (x86)\AstroGrep\AstroGrep.exe" /e /r /s /spath="%USERPROFILE%\AppData\Local\Temp\OnboardLogs" /stypes="app*4032*20170523*" /stext=" 07:.+((SYSTEM_STATE.+slice.+state.+changed )|(ment ac)|(multiple cpu faults)|(system.+state.+changed )|(\[timeout)|(PRM\|1\|D)|(kpr)|(kdp)|(train st.+moving)|(\|lc)|(penalty))"</v>
      </c>
      <c r="AG219" s="1" t="str">
        <f t="shared" si="91"/>
        <v>Other</v>
      </c>
      <c r="AH219" s="81" t="str">
        <f t="shared" si="92"/>
        <v>"%USERPROFILE%\Documents\GitHub\eaglep3\Utilities\RefineRTDCRunTimes.py" --tripid 309-22 --locoid 4032 --swversion DE.1.0.9.0 --startMP 204:466 --initTime 2017-05-23T01:08:39 --startdatetime 2017-05-23T01:10:42 --delay 1 --endMP 300:23308 --enddatetime 2017-05-23T01:23:01 --enforcementcount 0 &gt;&gt;C:\Users\stu\Documents\GitHub\eaglep3-reporting\EC\2017-05-22-refined-times.txt</v>
      </c>
      <c r="AI219" s="99" t="str">
        <f t="shared" si="93"/>
        <v>echo {"issue":{"subject":"","project_id":79,"tracker_id":40,"status_id":1,"priority_id":2,"assigned_to_id":23,"start_date":"2017-05-23","description":"","custom_fields":[{"id":1,"name":"Subdivision","value":"Other"},{"id":4,"name":"Milepost","value":"2.3308"},{"id":17,"name":"Train ID","value":"309-22"},{"id":16,"name":"Locomotive ID","value":"4032"},{"id":130,"name":"Impact","value":""},{"id":150,"name":"Time of Event (Mountain Time)","value":"01:23:01"},{"id":151,"name":"Denver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4"/>
        <v>start /low /b %USERPROFILE%\Documents\GitHub\eaglep3\Utilities\DownloadLogsFromS3.py --loco 4032 --day 2017-05-23</v>
      </c>
      <c r="AN219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07:23:01"},{"id":29,"name":"Sharepoint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573</v>
      </c>
      <c r="B220" s="7">
        <v>4007</v>
      </c>
      <c r="C220" s="21" t="s">
        <v>206</v>
      </c>
      <c r="D220" s="21" t="s">
        <v>906</v>
      </c>
      <c r="E220" s="13">
        <v>42877.194918981484</v>
      </c>
      <c r="F220" s="13">
        <v>42877.197569444441</v>
      </c>
      <c r="G220" s="7">
        <v>3</v>
      </c>
      <c r="H220" s="21" t="s">
        <v>907</v>
      </c>
      <c r="I220" s="13">
        <v>42877.19771990741</v>
      </c>
      <c r="J220" s="7">
        <v>0</v>
      </c>
      <c r="K220" s="92" t="str">
        <f t="shared" si="80"/>
        <v>4007/4008</v>
      </c>
      <c r="L220" s="21" t="str">
        <f>VLOOKUP(A220,'Trips&amp;Operators'!$C$1:$G$99999,5,FALSE)</f>
        <v>HELVIE ADAM</v>
      </c>
      <c r="M220" s="6">
        <f t="shared" si="81"/>
        <v>1.5046296903165057E-4</v>
      </c>
      <c r="N220" s="7">
        <f t="shared" si="96"/>
        <v>0.21666667540557683</v>
      </c>
      <c r="O220" s="7"/>
      <c r="P220" s="7"/>
      <c r="Q220" s="22"/>
      <c r="R220" s="190"/>
      <c r="S220" s="196">
        <f t="shared" si="97"/>
        <v>0</v>
      </c>
      <c r="T220" s="190" t="str">
        <f t="shared" si="82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83"/>
        <v>https://d0f6bd738d7f1b3e5a7ca70fe4ff75f0.us-east-1.aws.found.io/app/kibana#/discover/Steve-Slow-Train-Analysis-(2080s-and-2083s)?_g=(refreshInterval:(display:Off,pause:!f,section:0,value:0),time:(from:'2017-05-22T03:40:41-0600',mode:absolute,to:'2017-05-22T05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192" t="str">
        <f t="shared" si="84"/>
        <v>Y</v>
      </c>
      <c r="X220" s="192">
        <f t="shared" si="77"/>
        <v>1</v>
      </c>
      <c r="Y220" s="192">
        <f t="shared" si="85"/>
        <v>2.3757999999999999</v>
      </c>
      <c r="Z220" s="192">
        <f t="shared" si="86"/>
        <v>2.3111999999999999</v>
      </c>
      <c r="AA220" s="192">
        <f t="shared" si="87"/>
        <v>6.4599999999999991E-2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8"/>
        <v>0310-22</v>
      </c>
      <c r="AE220" s="80" t="str">
        <f t="shared" si="89"/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AF220" s="77" t="str">
        <f t="shared" si="90"/>
        <v>"C:\Program Files (x86)\AstroGrep\AstroGrep.exe" /e /r /s /spath="%USERPROFILE%\AppData\Local\Temp\OnboardLogs" /stypes="app*4007*20170522*" /stext=" 10:.+((SYSTEM_STATE.+slice.+state.+changed )|(ment ac)|(multiple cpu faults)|(system.+state.+changed )|(\[timeout)|(PRM\|1\|D)|(kpr)|(kdp)|(train st.+moving)|(\|lc)|(penalty))"</v>
      </c>
      <c r="AG220" s="1" t="str">
        <f t="shared" si="91"/>
        <v>Other</v>
      </c>
      <c r="AH220" s="81" t="str">
        <f t="shared" si="92"/>
        <v>"%USERPROFILE%\Documents\GitHub\eaglep3\Utilities\RefineRTDCRunTimes.py" --tripid 310-22 --locoid 4007 --swversion DE.1.0.9.0 --startMP 300:23758 --initTime 2017-05-22T04:40:41 --startdatetime 2017-05-22T04:44:30 --delay 3 --endMP 300:23112 --enddatetime 2017-05-22T04:44:43 --enforcementcount 0 &gt;&gt;C:\Users\stu\Documents\GitHub\eaglep3-reporting\EC\2017-05-22-refined-times.txt</v>
      </c>
      <c r="AI220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{"issue":{"subject":"","project_id":79,"tracker_id":40,"status_id":1,"priority_id":2,"assigned_to_id":23,"start_date":"2017-05-22","description":"","custom_fields":[{"id":1,"name":"Subdivision","value":"Other"},{"id":4,"name":"Milepost","value":"2.3112"},{"id":17,"name":"Train ID","value":"310-22"},{"id":16,"name":"Locomotive ID","value":"4007"},{"id":130,"name":"Impact","value":""},{"id":150,"name":"Time of Event (Mountain Time)","value":"04:44:43"},{"id":151,"name":"Denver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4"/>
        <v>start /low /b %USERPROFILE%\Documents\GitHub\eaglep3\Utilities\DownloadLogsFromS3.py --loco 4007 --day 2017-05-22</v>
      </c>
      <c r="AN220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10:44:43"},{"id":29,"name":"Sharepoint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649</v>
      </c>
      <c r="B221" s="7">
        <v>4009</v>
      </c>
      <c r="C221" s="21" t="s">
        <v>206</v>
      </c>
      <c r="D221" s="21" t="s">
        <v>908</v>
      </c>
      <c r="E221" s="13">
        <v>42877.222060185188</v>
      </c>
      <c r="F221" s="13">
        <v>42877.227175925924</v>
      </c>
      <c r="G221" s="7">
        <v>7</v>
      </c>
      <c r="H221" s="21" t="s">
        <v>353</v>
      </c>
      <c r="I221" s="13">
        <v>42877.233275462961</v>
      </c>
      <c r="J221" s="7">
        <v>0</v>
      </c>
      <c r="K221" s="92" t="str">
        <f t="shared" si="80"/>
        <v>4009/4010</v>
      </c>
      <c r="L221" s="21" t="str">
        <f>VLOOKUP(A221,'Trips&amp;Operators'!$C$1:$G$99999,5,FALSE)</f>
        <v>MACDONALD THOMAS</v>
      </c>
      <c r="M221" s="6">
        <f t="shared" si="81"/>
        <v>6.0995370367891155E-3</v>
      </c>
      <c r="N221" s="7">
        <f t="shared" si="96"/>
        <v>8.7833333329763263</v>
      </c>
      <c r="O221" s="7"/>
      <c r="P221" s="7"/>
      <c r="Q221" s="22"/>
      <c r="R221" s="190"/>
      <c r="S221" s="196">
        <f t="shared" si="97"/>
        <v>1</v>
      </c>
      <c r="T221" s="190" t="str">
        <f t="shared" si="82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83"/>
        <v>https://d0f6bd738d7f1b3e5a7ca70fe4ff75f0.us-east-1.aws.found.io/app/kibana#/discover/Steve-Slow-Train-Analysis-(2080s-and-2083s)?_g=(refreshInterval:(display:Off,pause:!f,section:0,value:0),time:(from:'2017-05-22T04:19:46-0600',mode:absolute,to:'2017-05-22T06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1" s="192" t="str">
        <f t="shared" si="84"/>
        <v>Y</v>
      </c>
      <c r="X221" s="192">
        <f t="shared" si="77"/>
        <v>2</v>
      </c>
      <c r="Y221" s="192">
        <f t="shared" si="85"/>
        <v>2.3639000000000001</v>
      </c>
      <c r="Z221" s="192">
        <f t="shared" si="86"/>
        <v>1.6E-2</v>
      </c>
      <c r="AA221" s="192">
        <f t="shared" si="87"/>
        <v>2.3479000000000001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8"/>
        <v>0312-22</v>
      </c>
      <c r="AE221" s="80" t="str">
        <f t="shared" si="89"/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AF221" s="77" t="str">
        <f t="shared" si="90"/>
        <v>"C:\Program Files (x86)\AstroGrep\AstroGrep.exe" /e /r /s /spath="%USERPROFILE%\AppData\Local\Temp\OnboardLogs" /stypes="app*4009*20170522*" /stext=" 11:.+((SYSTEM_STATE.+slice.+state.+changed )|(ment ac)|(multiple cpu faults)|(system.+state.+changed )|(\[timeout)|(PRM\|1\|D)|(kpr)|(kdp)|(train st.+moving)|(\|lc)|(penalty))"</v>
      </c>
      <c r="AG221" s="1" t="str">
        <f t="shared" si="91"/>
        <v>Other</v>
      </c>
      <c r="AH221" s="81" t="str">
        <f t="shared" si="92"/>
        <v>"%USERPROFILE%\Documents\GitHub\eaglep3\Utilities\RefineRTDCRunTimes.py" --tripid 312-22 --locoid 4009 --swversion DE.1.0.9.0 --startMP 300:23639 --initTime 2017-05-22T05:19:46 --startdatetime 2017-05-22T05:27:08 --delay 7 --endMP 204:160 --enddatetime 2017-05-22T05:35:55 --enforcementcount 0 &gt;&gt;C:\Users\stu\Documents\GitHub\eaglep3-reporting\EC\2017-05-22-refined-times.txt</v>
      </c>
      <c r="AI221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{"issue":{"subject":"","project_id":79,"tracker_id":40,"status_id":1,"priority_id":2,"assigned_to_id":23,"start_date":"2017-05-22","description":"","custom_fields":[{"id":1,"name":"Subdivision","value":"Other"},{"id":4,"name":"Milepost","value":"0.016"},{"id":17,"name":"Train ID","value":"312-22"},{"id":16,"name":"Locomotive ID","value":"4009"},{"id":130,"name":"Impact","value":""},{"id":150,"name":"Time of Event (Mountain Time)","value":"05:35:55"},{"id":151,"name":"Denver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4"/>
        <v>start /low /b %USERPROFILE%\Documents\GitHub\eaglep3\Utilities\DownloadLogsFromS3.py --loco 4009 --day 2017-05-22</v>
      </c>
      <c r="AN221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518</v>
      </c>
      <c r="B222" s="7">
        <v>4042</v>
      </c>
      <c r="C222" s="21" t="s">
        <v>206</v>
      </c>
      <c r="D222" s="21" t="s">
        <v>354</v>
      </c>
      <c r="E222" s="13">
        <v>42877.089953703704</v>
      </c>
      <c r="F222" s="13">
        <v>42877.091157407405</v>
      </c>
      <c r="G222" s="7">
        <v>1</v>
      </c>
      <c r="H222" s="21" t="s">
        <v>360</v>
      </c>
      <c r="I222" s="13">
        <v>42877.099340277775</v>
      </c>
      <c r="J222" s="7">
        <v>0</v>
      </c>
      <c r="K222" s="92" t="str">
        <f t="shared" si="80"/>
        <v>4041/4042</v>
      </c>
      <c r="L222" s="21" t="str">
        <f>VLOOKUP(A222,'Trips&amp;Operators'!$C$1:$G$99999,5,FALSE)</f>
        <v>MAGEE KENYA</v>
      </c>
      <c r="M222" s="6">
        <f t="shared" si="81"/>
        <v>8.182870369637385E-3</v>
      </c>
      <c r="N222" s="7">
        <f t="shared" si="96"/>
        <v>11.783333332277834</v>
      </c>
      <c r="O222" s="7"/>
      <c r="P222" s="7"/>
      <c r="Q222" s="22"/>
      <c r="R222" s="190"/>
      <c r="S222" s="196">
        <f t="shared" si="97"/>
        <v>1</v>
      </c>
      <c r="T222" s="190" t="str">
        <f t="shared" si="82"/>
        <v>NorthBound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83"/>
        <v>https://d0f6bd738d7f1b3e5a7ca70fe4ff75f0.us-east-1.aws.found.io/app/kibana#/discover/Steve-Slow-Train-Analysis-(2080s-and-2083s)?_g=(refreshInterval:(display:Off,pause:!f,section:0,value:0),time:(from:'2017-05-22T01:09:32-0600',mode:absolute,to:'2017-05-22T03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2" s="192" t="str">
        <f t="shared" si="84"/>
        <v>Y</v>
      </c>
      <c r="X222" s="192">
        <f t="shared" si="77"/>
        <v>1</v>
      </c>
      <c r="Y222" s="192">
        <f t="shared" si="85"/>
        <v>4.58E-2</v>
      </c>
      <c r="Z222" s="192">
        <f t="shared" si="86"/>
        <v>2.3346</v>
      </c>
      <c r="AA222" s="192">
        <f t="shared" si="87"/>
        <v>2.2888000000000002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8"/>
        <v>0313-21</v>
      </c>
      <c r="AE222" s="80" t="str">
        <f t="shared" si="89"/>
        <v>aws s3 cp s3://rtdc.mdm.uploadarchive.raw/RTDC4042/ "%USERPROFILE%\AppData\Local\Temp\OnboardLogs"\RTDC4042\2017-05-22 --exclude "*" --recursive --include "*20170522*" &amp; "%USERPROFILE%\Documents\GitHub\mrs-test-scripts\Headless Mode &amp; Sideloading\WalkAndUnGZ.bat" "%USERPROFILE%\AppData\Local\Temp\OnboardLogs"\RTDC4042\2017-05-22 &amp; 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</v>
      </c>
      <c r="AF222" s="77" t="str">
        <f t="shared" si="90"/>
        <v>"C:\Program Files (x86)\AstroGrep\AstroGrep.exe" /e /r /s /spath="%USERPROFILE%\AppData\Local\Temp\OnboardLogs" /stypes="app*4042*20170522*" /stext=" 08:.+((SYSTEM_STATE.+slice.+state.+changed )|(ment ac)|(multiple cpu faults)|(system.+state.+changed )|(\[timeout)|(PRM\|1\|D)|(kpr)|(kdp)|(train st.+moving)|(\|lc)|(penalty))"</v>
      </c>
      <c r="AG222" s="1" t="str">
        <f t="shared" si="91"/>
        <v>Other</v>
      </c>
      <c r="AH222" s="81" t="str">
        <f t="shared" si="92"/>
        <v>"%USERPROFILE%\Documents\GitHub\eaglep3\Utilities\RefineRTDCRunTimes.py" --tripid 313-21 --locoid 4042 --swversion DE.1.0.9.0 --startMP 204:458 --initTime 2017-05-22T02:09:32 --startdatetime 2017-05-22T02:11:16 --delay 1 --endMP 300:23346 --enddatetime 2017-05-22T02:23:03 --enforcementcount 0 &gt;&gt;C:\Users\stu\Documents\GitHub\eaglep3-reporting\EC\2017-05-22-refined-times.txt</v>
      </c>
      <c r="AI222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{"issue":{"subject":"","project_id":79,"tracker_id":40,"status_id":1,"priority_id":2,"assigned_to_id":23,"start_date":"2017-05-22","description":"","custom_fields":[{"id":1,"name":"Subdivision","value":"Other"},{"id":4,"name":"Milepost","value":"2.3346"},{"id":17,"name":"Train ID","value":"313-21"},{"id":16,"name":"Locomotive ID","value":"4042"},{"id":130,"name":"Impact","value":""},{"id":150,"name":"Time of Event (Mountain Time)","value":"02:23:03"},{"id":151,"name":"Denver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4"/>
        <v>start /low /b %USERPROFILE%\Documents\GitHub\eaglep3\Utilities\DownloadLogsFromS3.py --loco 4042 --day 2017-05-22</v>
      </c>
      <c r="AN222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08:23:03"},{"id":29,"name":"Sharepoint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818</v>
      </c>
      <c r="B223" s="7">
        <v>4014</v>
      </c>
      <c r="C223" s="21" t="s">
        <v>206</v>
      </c>
      <c r="D223" s="21" t="s">
        <v>529</v>
      </c>
      <c r="E223" s="13">
        <v>42878.091863425929</v>
      </c>
      <c r="F223" s="13">
        <v>42878.093784722223</v>
      </c>
      <c r="G223" s="7">
        <v>1</v>
      </c>
      <c r="H223" s="21" t="s">
        <v>454</v>
      </c>
      <c r="I223" s="13">
        <v>42878.100752314815</v>
      </c>
      <c r="J223" s="7">
        <v>0</v>
      </c>
      <c r="K223" s="92" t="str">
        <f t="shared" si="80"/>
        <v>4013/4014</v>
      </c>
      <c r="L223" s="21" t="str">
        <f>VLOOKUP(A223,'Trips&amp;Operators'!$C$1:$G$99999,5,FALSE)</f>
        <v>GUZMAN DANNY</v>
      </c>
      <c r="M223" s="6">
        <f t="shared" si="81"/>
        <v>6.9675925915362313E-3</v>
      </c>
      <c r="N223" s="7">
        <f t="shared" si="96"/>
        <v>10.033333331812173</v>
      </c>
      <c r="O223" s="7"/>
      <c r="P223" s="7"/>
      <c r="Q223" s="22"/>
      <c r="R223" s="190"/>
      <c r="S223" s="196">
        <f t="shared" si="97"/>
        <v>1</v>
      </c>
      <c r="T223" s="190" t="str">
        <f t="shared" si="82"/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 t="shared" si="83"/>
        <v>https://d0f6bd738d7f1b3e5a7ca70fe4ff75f0.us-east-1.aws.found.io/app/kibana#/discover/Steve-Slow-Train-Analysis-(2080s-and-2083s)?_g=(refreshInterval:(display:Off,pause:!f,section:0,value:0),time:(from:'2017-05-23T01:12:17-0600',mode:absolute,to:'2017-05-23T03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3" s="192" t="str">
        <f t="shared" si="84"/>
        <v>Y</v>
      </c>
      <c r="X223" s="192">
        <f t="shared" si="77"/>
        <v>0</v>
      </c>
      <c r="Y223" s="192">
        <f t="shared" si="85"/>
        <v>4.6699999999999998E-2</v>
      </c>
      <c r="Z223" s="192">
        <f t="shared" si="86"/>
        <v>2.3308</v>
      </c>
      <c r="AA223" s="192">
        <f t="shared" si="87"/>
        <v>2.2841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8"/>
        <v>0313-22</v>
      </c>
      <c r="AE223" s="80" t="str">
        <f t="shared" si="89"/>
        <v>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 &amp; aws s3 cp s3://rtdc.mdm.uploadarchive.raw/RTDC4014/ "%USERPROFILE%\AppData\Local\Temp\OnboardLogs"\RTDC4014\2017-05-24 --exclude "*" --recursive --include "*20170524*" &amp; "%USERPROFILE%\Documents\GitHub\mrs-test-scripts\Headless Mode &amp; Sideloading\WalkAndUnGZ.bat" "%USERPROFILE%\AppData\Local\Temp\OnboardLogs"\RTDC4014\2017-05-24</v>
      </c>
      <c r="AF223" s="77" t="str">
        <f t="shared" si="90"/>
        <v>"C:\Program Files (x86)\AstroGrep\AstroGrep.exe" /e /r /s /spath="%USERPROFILE%\AppData\Local\Temp\OnboardLogs" /stypes="app*4014*20170523*" /stext=" 08:.+((SYSTEM_STATE.+slice.+state.+changed )|(ment ac)|(multiple cpu faults)|(system.+state.+changed )|(\[timeout)|(PRM\|1\|D)|(kpr)|(kdp)|(train st.+moving)|(\|lc)|(penalty))"</v>
      </c>
      <c r="AG223" s="1" t="str">
        <f t="shared" si="91"/>
        <v>Other</v>
      </c>
      <c r="AH223" s="81" t="str">
        <f t="shared" si="92"/>
        <v>"%USERPROFILE%\Documents\GitHub\eaglep3\Utilities\RefineRTDCRunTimes.py" --tripid 313-22 --locoid 4014 --swversion DE.1.0.9.0 --startMP 204:467 --initTime 2017-05-23T02:12:17 --startdatetime 2017-05-23T02:15:03 --delay 1 --endMP 300:23308 --enddatetime 2017-05-23T02:25:05 --enforcementcount 0 &gt;&gt;C:\Users\stu\Documents\GitHub\eaglep3-reporting\EC\2017-05-22-refined-times.txt</v>
      </c>
      <c r="AI223" s="99" t="str">
        <f t="shared" si="93"/>
        <v>echo {"issue":{"subject":"","project_id":79,"tracker_id":40,"status_id":1,"priority_id":2,"assigned_to_id":23,"start_date":"2017-05-23","description":"","custom_fields":[{"id":1,"name":"Subdivision","value":"Other"},{"id":4,"name":"Milepost","value":"2.3308"},{"id":17,"name":"Train ID","value":"313-22"},{"id":16,"name":"Locomotive ID","value":"4014"},{"id":130,"name":"Impact","value":""},{"id":150,"name":"Time of Event (Mountain Time)","value":"02:25:05"},{"id":151,"name":"Denver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4"/>
        <v>start /low /b %USERPROFILE%\Documents\GitHub\eaglep3\Utilities\DownloadLogsFromS3.py --loco 4014 --day 2017-05-23</v>
      </c>
      <c r="AN223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08:25:05"},{"id":29,"name":"Sharepoint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655</v>
      </c>
      <c r="B224" s="7">
        <v>4017</v>
      </c>
      <c r="C224" s="21" t="s">
        <v>206</v>
      </c>
      <c r="D224" s="21" t="s">
        <v>993</v>
      </c>
      <c r="E224" s="13">
        <v>42877.246851851851</v>
      </c>
      <c r="F224" s="13">
        <v>42877.249374999999</v>
      </c>
      <c r="G224" s="7">
        <v>3</v>
      </c>
      <c r="H224" s="21" t="s">
        <v>551</v>
      </c>
      <c r="I224" s="13">
        <v>42877.254953703705</v>
      </c>
      <c r="J224" s="7">
        <v>0</v>
      </c>
      <c r="K224" s="92" t="str">
        <f t="shared" si="80"/>
        <v>4017/4018</v>
      </c>
      <c r="L224" s="21" t="str">
        <f>VLOOKUP(A224,'Trips&amp;Operators'!$C$1:$G$99999,5,FALSE)</f>
        <v>LOZA FIDEL</v>
      </c>
      <c r="M224" s="6">
        <f t="shared" si="81"/>
        <v>5.5787037053960375E-3</v>
      </c>
      <c r="N224" s="7">
        <f t="shared" si="96"/>
        <v>8.0333333357702941</v>
      </c>
      <c r="O224" s="7"/>
      <c r="P224" s="7"/>
      <c r="Q224" s="22"/>
      <c r="R224" s="190"/>
      <c r="S224" s="196">
        <f t="shared" si="97"/>
        <v>1</v>
      </c>
      <c r="T224" s="190" t="str">
        <f t="shared" si="82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1" t="str">
        <f t="shared" si="83"/>
        <v>https://d0f6bd738d7f1b3e5a7ca70fe4ff75f0.us-east-1.aws.found.io/app/kibana#/discover/Steve-Slow-Train-Analysis-(2080s-and-2083s)?_g=(refreshInterval:(display:Off,pause:!f,section:0,value:0),time:(from:'2017-05-22T04:55:28-0600',mode:absolute,to:'2017-05-22T07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4" s="192" t="str">
        <f t="shared" si="84"/>
        <v>Y</v>
      </c>
      <c r="X224" s="192">
        <f t="shared" si="77"/>
        <v>589</v>
      </c>
      <c r="Y224" s="192">
        <f t="shared" si="85"/>
        <v>2.3414999999999999</v>
      </c>
      <c r="Z224" s="192">
        <f t="shared" si="86"/>
        <v>6.8400000000000002E-2</v>
      </c>
      <c r="AA224" s="192">
        <f t="shared" si="87"/>
        <v>2.2730999999999999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8"/>
        <v>0902-22</v>
      </c>
      <c r="AE224" s="80" t="str">
        <f t="shared" si="89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24" s="77" t="str">
        <f t="shared" si="90"/>
        <v>"C:\Program Files (x86)\AstroGrep\AstroGrep.exe" /e /r /s /spath="%USERPROFILE%\AppData\Local\Temp\OnboardLogs" /stypes="app*4017*20170522*" /stext=" 12:.+((SYSTEM_STATE.+slice.+state.+changed )|(ment ac)|(multiple cpu faults)|(system.+state.+changed )|(\[timeout)|(PRM\|1\|D)|(kpr)|(kdp)|(train st.+moving)|(\|lc)|(penalty))"</v>
      </c>
      <c r="AG224" s="1" t="str">
        <f t="shared" si="91"/>
        <v>Other</v>
      </c>
      <c r="AH224" s="81" t="str">
        <f t="shared" si="92"/>
        <v>"%USERPROFILE%\Documents\GitHub\eaglep3\Utilities\RefineRTDCRunTimes.py" --tripid 902-22 --locoid 4017 --swversion DE.1.0.9.0 --startMP 300:23415 --initTime 2017-05-22T05:55:28 --startdatetime 2017-05-22T05:59:06 --delay 3 --endMP 204:684 --enddatetime 2017-05-22T06:07:08 --enforcementcount 0 &gt;&gt;C:\Users\stu\Documents\GitHub\eaglep3-reporting\EC\2017-05-22-refined-times.txt</v>
      </c>
      <c r="AI224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{"issue":{"subject":"","project_id":79,"tracker_id":40,"status_id":1,"priority_id":2,"assigned_to_id":23,"start_date":"2017-05-22","description":"","custom_fields":[{"id":1,"name":"Subdivision","value":"Other"},{"id":4,"name":"Milepost","value":"0.0684"},{"id":17,"name":"Train ID","value":"902-22"},{"id":16,"name":"Locomotive ID","value":"4017"},{"id":130,"name":"Impact","value":""},{"id":150,"name":"Time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4"/>
        <v>start /low /b %USERPROFILE%\Documents\GitHub\eaglep3\Utilities\DownloadLogsFromS3.py --loco 4017 --day 2017-05-22</v>
      </c>
      <c r="AN224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684</v>
      </c>
      <c r="B225" s="7">
        <v>4030</v>
      </c>
      <c r="C225" s="21" t="s">
        <v>206</v>
      </c>
      <c r="D225" s="21" t="s">
        <v>552</v>
      </c>
      <c r="E225" s="13">
        <v>42877.35328703704</v>
      </c>
      <c r="F225" s="13">
        <v>42877.355520833335</v>
      </c>
      <c r="G225" s="7">
        <v>1</v>
      </c>
      <c r="H225" s="21" t="s">
        <v>994</v>
      </c>
      <c r="I225" s="13">
        <v>42877.361087962963</v>
      </c>
      <c r="J225" s="7">
        <v>0</v>
      </c>
      <c r="K225" s="92" t="str">
        <f t="shared" si="80"/>
        <v>4029/4030</v>
      </c>
      <c r="L225" s="21" t="str">
        <f>VLOOKUP(A225,'Trips&amp;Operators'!$C$1:$G$99999,5,FALSE)</f>
        <v>DAVIDSON DAVID</v>
      </c>
      <c r="M225" s="6">
        <f t="shared" si="81"/>
        <v>5.5671296286163852E-3</v>
      </c>
      <c r="N225" s="7">
        <f t="shared" si="96"/>
        <v>8.0166666652075946</v>
      </c>
      <c r="O225" s="7"/>
      <c r="P225" s="7"/>
      <c r="Q225" s="22"/>
      <c r="R225" s="190"/>
      <c r="S225" s="196">
        <f t="shared" si="97"/>
        <v>1</v>
      </c>
      <c r="T225" s="190" t="str">
        <f t="shared" si="82"/>
        <v>NorthBound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1" t="str">
        <f t="shared" si="83"/>
        <v>https://d0f6bd738d7f1b3e5a7ca70fe4ff75f0.us-east-1.aws.found.io/app/kibana#/discover/Steve-Slow-Train-Analysis-(2080s-and-2083s)?_g=(refreshInterval:(display:Off,pause:!f,section:0,value:0),time:(from:'2017-05-22T07:28:44-0600',mode:absolute,to:'2017-05-22T09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5" s="192" t="str">
        <f t="shared" si="84"/>
        <v>Y</v>
      </c>
      <c r="X225" s="192">
        <f t="shared" si="77"/>
        <v>1</v>
      </c>
      <c r="Y225" s="192">
        <f t="shared" si="85"/>
        <v>9.6500000000000002E-2</v>
      </c>
      <c r="Z225" s="192">
        <f t="shared" si="86"/>
        <v>2.4218000000000002</v>
      </c>
      <c r="AA225" s="192">
        <f t="shared" si="87"/>
        <v>2.3253000000000004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8"/>
        <v>0903-22</v>
      </c>
      <c r="AE225" s="80" t="str">
        <f t="shared" si="89"/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AF225" s="77" t="str">
        <f t="shared" si="90"/>
        <v>"C:\Program Files (x86)\AstroGrep\AstroGrep.exe" /e /r /s /spath="%USERPROFILE%\AppData\Local\Temp\OnboardLogs" /stypes="app*4030*20170522*" /stext=" 14:.+((SYSTEM_STATE.+slice.+state.+changed )|(ment ac)|(multiple cpu faults)|(system.+state.+changed )|(\[timeout)|(PRM\|1\|D)|(kpr)|(kdp)|(train st.+moving)|(\|lc)|(penalty))"</v>
      </c>
      <c r="AG225" s="1" t="str">
        <f t="shared" si="91"/>
        <v>Other</v>
      </c>
      <c r="AH225" s="81" t="str">
        <f t="shared" si="92"/>
        <v>"%USERPROFILE%\Documents\GitHub\eaglep3\Utilities\RefineRTDCRunTimes.py" --tripid 903-22 --locoid 4030 --swversion DE.1.0.9.0 --startMP 204:965 --initTime 2017-05-22T08:28:44 --startdatetime 2017-05-22T08:31:57 --delay 1 --endMP 300:24218 --enddatetime 2017-05-22T08:39:58 --enforcementcount 0 &gt;&gt;C:\Users\stu\Documents\GitHub\eaglep3-reporting\EC\2017-05-22-refined-times.txt</v>
      </c>
      <c r="AI225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{"issue":{"subject":"","project_id":79,"tracker_id":40,"status_id":1,"priority_id":2,"assigned_to_id":23,"start_date":"2017-05-22","description":"","custom_fields":[{"id":1,"name":"Subdivision","value":"Other"},{"id":4,"name":"Milepost","value":"2.4218"},{"id":17,"name":"Train ID","value":"903-22"},{"id":16,"name":"Locomotive ID","value":"4030"},{"id":130,"name":"Impact","value":""},{"id":150,"name":"Time of Event (Mountain Time)","value":"08:39:58"},{"id":151,"name":"Denver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4"/>
        <v>start /low /b %USERPROFILE%\Documents\GitHub\eaglep3\Utilities\DownloadLogsFromS3.py --loco 4030 --day 2017-05-22</v>
      </c>
      <c r="AN225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14:39:58"},{"id":29,"name":"Sharepoint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601</v>
      </c>
      <c r="B226" s="7">
        <v>4029</v>
      </c>
      <c r="C226" s="21" t="s">
        <v>206</v>
      </c>
      <c r="D226" s="21" t="s">
        <v>995</v>
      </c>
      <c r="E226" s="13">
        <v>42877.6406712963</v>
      </c>
      <c r="F226" s="13">
        <v>42877.641585648147</v>
      </c>
      <c r="G226" s="7">
        <v>0</v>
      </c>
      <c r="H226" s="21" t="s">
        <v>941</v>
      </c>
      <c r="I226" s="13">
        <v>42877.646354166667</v>
      </c>
      <c r="J226" s="7">
        <v>0</v>
      </c>
      <c r="K226" s="92" t="str">
        <f t="shared" si="80"/>
        <v>4029/4030</v>
      </c>
      <c r="L226" s="21" t="str">
        <f>VLOOKUP(A226,'Trips&amp;Operators'!$C$1:$G$99999,5,FALSE)</f>
        <v>STAMBAUGH JAMES</v>
      </c>
      <c r="M226" s="6">
        <f t="shared" si="81"/>
        <v>4.7685185199952684E-3</v>
      </c>
      <c r="N226" s="7">
        <f t="shared" si="96"/>
        <v>6.8666666687931865</v>
      </c>
      <c r="O226" s="7"/>
      <c r="P226" s="7"/>
      <c r="Q226" s="22"/>
      <c r="R226" s="190"/>
      <c r="S226" s="196">
        <f t="shared" si="97"/>
        <v>1</v>
      </c>
      <c r="T226" s="190" t="str">
        <f t="shared" si="82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1" t="str">
        <f t="shared" si="83"/>
        <v>https://d0f6bd738d7f1b3e5a7ca70fe4ff75f0.us-east-1.aws.found.io/app/kibana#/discover/Steve-Slow-Train-Analysis-(2080s-and-2083s)?_g=(refreshInterval:(display:Off,pause:!f,section:0,value:0),time:(from:'2017-05-22T14:22:34-0600',mode:absolute,to:'2017-05-22T16:30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192" t="str">
        <f t="shared" si="84"/>
        <v>Y</v>
      </c>
      <c r="X226" s="192">
        <f t="shared" si="77"/>
        <v>1</v>
      </c>
      <c r="Y226" s="192">
        <f t="shared" si="85"/>
        <v>2.3506</v>
      </c>
      <c r="Z226" s="192">
        <f t="shared" si="86"/>
        <v>6.9800000000000001E-2</v>
      </c>
      <c r="AA226" s="192">
        <f t="shared" si="87"/>
        <v>2.2808000000000002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8"/>
        <v>0904-22</v>
      </c>
      <c r="AE226" s="80" t="str">
        <f t="shared" si="89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226" s="77" t="str">
        <f t="shared" si="90"/>
        <v>"C:\Program Files (x86)\AstroGrep\AstroGrep.exe" /e /r /s /spath="%USERPROFILE%\AppData\Local\Temp\OnboardLogs" /stypes="app*4029*20170522*" /stext=" 21:.+((SYSTEM_STATE.+slice.+state.+changed )|(ment ac)|(multiple cpu faults)|(system.+state.+changed )|(\[timeout)|(PRM\|1\|D)|(kpr)|(kdp)|(train st.+moving)|(\|lc)|(penalty))"</v>
      </c>
      <c r="AG226" s="1" t="str">
        <f t="shared" si="91"/>
        <v>Other</v>
      </c>
      <c r="AH226" s="81" t="str">
        <f t="shared" si="92"/>
        <v>"%USERPROFILE%\Documents\GitHub\eaglep3\Utilities\RefineRTDCRunTimes.py" --tripid 904-22 --locoid 4029 --swversion DE.1.0.9.0 --startMP 300:23506 --initTime 2017-05-22T15:22:34 --startdatetime 2017-05-22T15:23:53 --delay 0 --endMP 204:698 --enddatetime 2017-05-22T15:30:45 --enforcementcount 0 &gt;&gt;C:\Users\stu\Documents\GitHub\eaglep3-reporting\EC\2017-05-22-refined-times.txt</v>
      </c>
      <c r="AI226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{"issue":{"subject":"","project_id":79,"tracker_id":40,"status_id":1,"priority_id":2,"assigned_to_id":23,"start_date":"2017-05-22","description":"","custom_fields":[{"id":1,"name":"Subdivision","value":"Other"},{"id":4,"name":"Milepost","value":"0.0698"},{"id":17,"name":"Train ID","value":"904-22"},{"id":16,"name":"Locomotive ID","value":"4029"},{"id":130,"name":"Impact","value":""},{"id":150,"name":"Time of Event (Mountain Time)","value":"15:30:45"},{"id":151,"name":"Denver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4"/>
        <v>start /low /b %USERPROFILE%\Documents\GitHub\eaglep3\Utilities\DownloadLogsFromS3.py --loco 4029 --day 2017-05-22</v>
      </c>
      <c r="AN226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21:30:45"},{"id":29,"name":"Sharepoint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782</v>
      </c>
      <c r="B227" s="7">
        <v>4029</v>
      </c>
      <c r="C227" s="21" t="s">
        <v>206</v>
      </c>
      <c r="D227" s="21" t="s">
        <v>996</v>
      </c>
      <c r="E227" s="13">
        <v>42877.796724537038</v>
      </c>
      <c r="F227" s="13">
        <v>42877.798032407409</v>
      </c>
      <c r="G227" s="7">
        <v>1</v>
      </c>
      <c r="H227" s="21" t="s">
        <v>997</v>
      </c>
      <c r="I227" s="13">
        <v>42877.805254629631</v>
      </c>
      <c r="J227" s="7">
        <v>0</v>
      </c>
      <c r="K227" s="92" t="str">
        <f t="shared" si="80"/>
        <v>4029/4030</v>
      </c>
      <c r="L227" s="21" t="str">
        <f>VLOOKUP(A227,'Trips&amp;Operators'!$C$1:$G$99999,5,FALSE)</f>
        <v>STAMBAUGH JAMES</v>
      </c>
      <c r="M227" s="6">
        <f t="shared" si="81"/>
        <v>7.2222222224809229E-3</v>
      </c>
      <c r="N227" s="7">
        <f t="shared" si="96"/>
        <v>10.400000000372529</v>
      </c>
      <c r="O227" s="7"/>
      <c r="P227" s="7"/>
      <c r="Q227" s="22"/>
      <c r="R227" s="190"/>
      <c r="S227" s="196">
        <f t="shared" si="97"/>
        <v>0</v>
      </c>
      <c r="T227" s="190" t="str">
        <f t="shared" si="82"/>
        <v>Southbound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3"/>
        <v>https://d0f6bd738d7f1b3e5a7ca70fe4ff75f0.us-east-1.aws.found.io/app/kibana#/discover/Steve-Slow-Train-Analysis-(2080s-and-2083s)?_g=(refreshInterval:(display:Off,pause:!f,section:0,value:0),time:(from:'2017-05-22T18:07:17-0600',mode:absolute,to:'2017-05-22T20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192" t="str">
        <f t="shared" si="84"/>
        <v>Y</v>
      </c>
      <c r="X227" s="192">
        <f t="shared" si="77"/>
        <v>2</v>
      </c>
      <c r="Y227" s="192">
        <f t="shared" si="85"/>
        <v>5.8566000000000003</v>
      </c>
      <c r="Z227" s="192">
        <f t="shared" si="86"/>
        <v>2.8797000000000001</v>
      </c>
      <c r="AA227" s="192">
        <f t="shared" si="87"/>
        <v>2.9769000000000001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8"/>
        <v>0906-22</v>
      </c>
      <c r="AE227" s="80" t="str">
        <f t="shared" si="89"/>
        <v>aws s3 cp s3://rtdc.mdm.uploadarchive.raw/RTDC4029/ "%USERPROFILE%\AppData\Local\Temp\OnboardLogs"\RTDC4029\2017-05-22 --exclude "*" --recursive --include "*20170522*" &amp; "%USERPROFILE%\Documents\GitHub\mrs-test-scripts\Headless Mode &amp; Sideloading\WalkAndUnGZ.bat" "%USERPROFILE%\AppData\Local\Temp\OnboardLogs"\RTDC4029\2017-05-22 &amp; aws s3 cp s3://rtdc.mdm.uploadarchive.raw/RTDC4029/ "%USERPROFILE%\AppData\Local\Temp\OnboardLogs"\RTDC4029\2017-05-23 --exclude "*" --recursive --include "*20170523*" &amp; "%USERPROFILE%\Documents\GitHub\mrs-test-scripts\Headless Mode &amp; Sideloading\WalkAndUnGZ.bat" "%USERPROFILE%\AppData\Local\Temp\OnboardLogs"\RTDC4029\2017-05-23</v>
      </c>
      <c r="AF227" s="77" t="str">
        <f t="shared" si="90"/>
        <v>"C:\Program Files (x86)\AstroGrep\AstroGrep.exe" /e /r /s /spath="%USERPROFILE%\AppData\Local\Temp\OnboardLogs" /stypes="app*4029*20170523*" /stext=" 01:.+((SYSTEM_STATE.+slice.+state.+changed )|(ment ac)|(multiple cpu faults)|(system.+state.+changed )|(\[timeout)|(PRM\|1\|D)|(kpr)|(kdp)|(train st.+moving)|(\|lc)|(penalty))"</v>
      </c>
      <c r="AG227" s="1" t="str">
        <f t="shared" si="91"/>
        <v>Other</v>
      </c>
      <c r="AH227" s="81" t="str">
        <f t="shared" si="92"/>
        <v>"%USERPROFILE%\Documents\GitHub\eaglep3\Utilities\RefineRTDCRunTimes.py" --tripid 906-22 --locoid 4029 --swversion DE.1.0.9.0 --startMP 300:58566 --initTime 2017-05-22T19:07:17 --startdatetime 2017-05-22T19:09:10 --delay 1 --endMP 300:28797 --enddatetime 2017-05-22T19:19:34 --enforcementcount 0 &gt;&gt;C:\Users\stu\Documents\GitHub\eaglep3-reporting\EC\2017-05-22-refined-times.txt</v>
      </c>
      <c r="AI227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{"issue":{"subject":"","project_id":79,"tracker_id":40,"status_id":1,"priority_id":2,"assigned_to_id":23,"start_date":"2017-05-22","description":"","custom_fields":[{"id":1,"name":"Subdivision","value":"Other"},{"id":4,"name":"Milepost","value":"2.8797"},{"id":17,"name":"Train ID","value":"906-22"},{"id":16,"name":"Locomotive ID","value":"4029"},{"id":130,"name":"Impact","value":""},{"id":150,"name":"Time of Event (Mountain Time)","value":"19:19:34"},{"id":151,"name":"Denver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4"/>
        <v>start /low /b %USERPROFILE%\Documents\GitHub\eaglep3\Utilities\DownloadLogsFromS3.py --loco 4029 --day 2017-05-22</v>
      </c>
      <c r="AN227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01:19:34"},{"id":29,"name":"Sharepoint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619</v>
      </c>
      <c r="B228" s="7">
        <v>4017</v>
      </c>
      <c r="C228" s="21" t="s">
        <v>206</v>
      </c>
      <c r="D228" s="21" t="s">
        <v>998</v>
      </c>
      <c r="E228" s="13">
        <v>42877.983402777776</v>
      </c>
      <c r="F228" s="13">
        <v>42877.99728009259</v>
      </c>
      <c r="G228" s="7">
        <v>1</v>
      </c>
      <c r="H228" s="21" t="s">
        <v>999</v>
      </c>
      <c r="I228" s="13">
        <v>42877.997430555559</v>
      </c>
      <c r="J228" s="7">
        <v>0</v>
      </c>
      <c r="K228" s="92" t="str">
        <f t="shared" si="80"/>
        <v>4017/4018</v>
      </c>
      <c r="L228" s="21" t="str">
        <f>VLOOKUP(A228,'Trips&amp;Operators'!$C$1:$G$99999,5,FALSE)</f>
        <v>STAMBAUGH JAMES</v>
      </c>
      <c r="M228" s="6">
        <f t="shared" si="81"/>
        <v>1.5046296903165057E-4</v>
      </c>
      <c r="N228" s="7">
        <f t="shared" si="96"/>
        <v>0.21666667540557683</v>
      </c>
      <c r="O228" s="7"/>
      <c r="P228" s="7"/>
      <c r="Q228" s="22"/>
      <c r="R228" s="190"/>
      <c r="S228" s="196">
        <f t="shared" si="97"/>
        <v>0</v>
      </c>
      <c r="T228" s="190" t="str">
        <f t="shared" si="82"/>
        <v>Southbound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3"/>
        <v>https://d0f6bd738d7f1b3e5a7ca70fe4ff75f0.us-east-1.aws.found.io/app/kibana#/discover/Steve-Slow-Train-Analysis-(2080s-and-2083s)?_g=(refreshInterval:(display:Off,pause:!f,section:0,value:0),time:(from:'2017-05-22T22:36:06-0600',mode:absolute,to:'2017-05-23T00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8" s="192" t="str">
        <f t="shared" si="84"/>
        <v>Y</v>
      </c>
      <c r="X228" s="192">
        <f t="shared" si="77"/>
        <v>2</v>
      </c>
      <c r="Y228" s="192">
        <f t="shared" si="85"/>
        <v>5.8574000000000002</v>
      </c>
      <c r="Z228" s="192">
        <f t="shared" si="86"/>
        <v>1.3021</v>
      </c>
      <c r="AA228" s="192">
        <f t="shared" si="87"/>
        <v>4.5552999999999999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8"/>
        <v>0908-22</v>
      </c>
      <c r="AE228" s="80" t="str">
        <f t="shared" si="89"/>
        <v>aws s3 cp s3://rtdc.mdm.uploadarchive.raw/RTDC4017/ "%USERPROFILE%\AppData\Local\Temp\OnboardLogs"\RTDC4017\2017-05-22 --exclude "*" --recursive --include "*20170522*" &amp; "%USERPROFILE%\Documents\GitHub\mrs-test-scripts\Headless Mode &amp; Sideloading\WalkAndUnGZ.bat" "%USERPROFILE%\AppData\Local\Temp\OnboardLogs"\RTDC4017\2017-05-22 &amp; aws s3 cp s3://rtdc.mdm.uploadarchive.raw/RTDC4017/ "%USERPROFILE%\AppData\Local\Temp\OnboardLogs"\RTDC4017\2017-05-23 --exclude "*" --recursive --include "*20170523*" &amp; "%USERPROFILE%\Documents\GitHub\mrs-test-scripts\Headless Mode &amp; Sideloading\WalkAndUnGZ.bat" "%USERPROFILE%\AppData\Local\Temp\OnboardLogs"\RTDC4017\2017-05-23</v>
      </c>
      <c r="AF228" s="77" t="str">
        <f t="shared" si="90"/>
        <v>"C:\Program Files (x86)\AstroGrep\AstroGrep.exe" /e /r /s /spath="%USERPROFILE%\AppData\Local\Temp\OnboardLogs" /stypes="app*4017*20170523*" /stext=" 05:.+((SYSTEM_STATE.+slice.+state.+changed )|(ment ac)|(multiple cpu faults)|(system.+state.+changed )|(\[timeout)|(PRM\|1\|D)|(kpr)|(kdp)|(train st.+moving)|(\|lc)|(penalty))"</v>
      </c>
      <c r="AG228" s="1" t="str">
        <f t="shared" si="91"/>
        <v>Other</v>
      </c>
      <c r="AH228" s="81" t="str">
        <f t="shared" si="92"/>
        <v>"%USERPROFILE%\Documents\GitHub\eaglep3\Utilities\RefineRTDCRunTimes.py" --tripid 908-22 --locoid 4017 --swversion DE.1.0.9.0 --startMP 300:58574 --initTime 2017-05-22T23:36:06 --startdatetime 2017-05-22T23:56:05 --delay 1 --endMP 300:13021 --enddatetime 2017-05-22T23:56:18 --enforcementcount 0 &gt;&gt;C:\Users\stu\Documents\GitHub\eaglep3-reporting\EC\2017-05-22-refined-times.txt</v>
      </c>
      <c r="AI228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{"issue":{"subject":"","project_id":79,"tracker_id":40,"status_id":1,"priority_id":2,"assigned_to_id":23,"start_date":"2017-05-22","description":"","custom_fields":[{"id":1,"name":"Subdivision","value":"Other"},{"id":4,"name":"Milepost","value":"1.3021"},{"id":17,"name":"Train ID","value":"908-22"},{"id":16,"name":"Locomotive ID","value":"4017"},{"id":130,"name":"Impact","value":""},{"id":150,"name":"Time of Event (Mountain Time)","value":"23:56:18"},{"id":151,"name":"Denver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4"/>
        <v>start /low /b %USERPROFILE%\Documents\GitHub\eaglep3\Utilities\DownloadLogsFromS3.py --loco 4017 --day 2017-05-22</v>
      </c>
      <c r="AN228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s="20" customFormat="1" x14ac:dyDescent="0.25">
      <c r="A229" s="32" t="s">
        <v>619</v>
      </c>
      <c r="B229" s="7">
        <v>4018</v>
      </c>
      <c r="C229" s="21" t="s">
        <v>206</v>
      </c>
      <c r="D229" s="21" t="s">
        <v>1000</v>
      </c>
      <c r="E229" s="13">
        <v>42877.995891203704</v>
      </c>
      <c r="F229" s="13">
        <v>42877.99728009259</v>
      </c>
      <c r="G229" s="7">
        <v>1</v>
      </c>
      <c r="H229" s="21" t="s">
        <v>1001</v>
      </c>
      <c r="I229" s="13">
        <v>42877.997430555559</v>
      </c>
      <c r="J229" s="7">
        <v>0</v>
      </c>
      <c r="K229" s="92" t="str">
        <f t="shared" si="80"/>
        <v>4017/4018</v>
      </c>
      <c r="L229" s="21" t="str">
        <f>VLOOKUP(A229,'Trips&amp;Operators'!$C$1:$G$99999,5,FALSE)</f>
        <v>STAMBAUGH JAMES</v>
      </c>
      <c r="M229" s="6">
        <f t="shared" si="81"/>
        <v>1.5046296903165057E-4</v>
      </c>
      <c r="N229" s="7">
        <f t="shared" si="96"/>
        <v>0.21666667540557683</v>
      </c>
      <c r="O229" s="7"/>
      <c r="P229" s="7"/>
      <c r="Q229" s="22"/>
      <c r="R229" s="190"/>
      <c r="S229" s="196">
        <f t="shared" si="97"/>
        <v>0</v>
      </c>
      <c r="T229" s="190" t="str">
        <f t="shared" si="82"/>
        <v>Southbound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3"/>
        <v>https://d0f6bd738d7f1b3e5a7ca70fe4ff75f0.us-east-1.aws.found.io/app/kibana#/discover/Steve-Slow-Train-Analysis-(2080s-and-2083s)?_g=(refreshInterval:(display:Off,pause:!f,section:0,value:0),time:(from:'2017-05-22T22:54:05-0600',mode:absolute,to:'2017-05-23T00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192" t="str">
        <f t="shared" si="84"/>
        <v>Y</v>
      </c>
      <c r="X229" s="192">
        <f t="shared" si="77"/>
        <v>0</v>
      </c>
      <c r="Y229" s="192">
        <f t="shared" si="85"/>
        <v>1.3347</v>
      </c>
      <c r="Z229" s="192">
        <f t="shared" si="86"/>
        <v>1.4017999999999999</v>
      </c>
      <c r="AA229" s="192">
        <f t="shared" si="87"/>
        <v>6.7099999999999937E-2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8"/>
        <v>0908-22</v>
      </c>
      <c r="AE229" s="80" t="str">
        <f t="shared" si="89"/>
        <v>aws s3 cp s3://rtdc.mdm.uploadarchive.raw/RTDC4018/ "%USERPROFILE%\AppData\Local\Temp\OnboardLogs"\RTDC4018\2017-05-22 --exclude "*" --recursive --include "*20170522*" &amp; "%USERPROFILE%\Documents\GitHub\mrs-test-scripts\Headless Mode &amp; Sideloading\WalkAndUnGZ.bat" "%USERPROFILE%\AppData\Local\Temp\OnboardLogs"\RTDC4018\2017-05-22 &amp; aws s3 cp s3://rtdc.mdm.uploadarchive.raw/RTDC4018/ "%USERPROFILE%\AppData\Local\Temp\OnboardLogs"\RTDC4018\2017-05-23 --exclude "*" --recursive --include "*20170523*" &amp; "%USERPROFILE%\Documents\GitHub\mrs-test-scripts\Headless Mode &amp; Sideloading\WalkAndUnGZ.bat" "%USERPROFILE%\AppData\Local\Temp\OnboardLogs"\RTDC4018\2017-05-23</v>
      </c>
      <c r="AF229" s="77" t="str">
        <f t="shared" si="90"/>
        <v>"C:\Program Files (x86)\AstroGrep\AstroGrep.exe" /e /r /s /spath="%USERPROFILE%\AppData\Local\Temp\OnboardLogs" /stypes="app*4018*20170523*" /stext=" 05:.+((SYSTEM_STATE.+slice.+state.+changed )|(ment ac)|(multiple cpu faults)|(system.+state.+changed )|(\[timeout)|(PRM\|1\|D)|(kpr)|(kdp)|(train st.+moving)|(\|lc)|(penalty))"</v>
      </c>
      <c r="AG229" s="1" t="str">
        <f t="shared" si="91"/>
        <v>Other</v>
      </c>
      <c r="AH229" s="81" t="str">
        <f t="shared" si="92"/>
        <v>"%USERPROFILE%\Documents\GitHub\eaglep3\Utilities\RefineRTDCRunTimes.py" --tripid 908-22 --locoid 4018 --swversion DE.1.0.9.0 --startMP 300:13347 --initTime 2017-05-22T23:54:05 --startdatetime 2017-05-22T23:56:05 --delay 1 --endMP 300:14018 --enddatetime 2017-05-22T23:56:18 --enforcementcount 0 &gt;&gt;C:\Users\stu\Documents\GitHub\eaglep3-reporting\EC\2017-05-22-refined-times.txt</v>
      </c>
      <c r="AI229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{"issue":{"subject":"","project_id":79,"tracker_id":40,"status_id":1,"priority_id":2,"assigned_to_id":23,"start_date":"2017-05-22","description":"","custom_fields":[{"id":1,"name":"Subdivision","value":"Other"},{"id":4,"name":"Milepost","value":"1.4018"},{"id":17,"name":"Train ID","value":"908-22"},{"id":16,"name":"Locomotive ID","value":"4018"},{"id":130,"name":"Impact","value":""},{"id":150,"name":"Time of Event (Mountain Time)","value":"23:56:18"},{"id":151,"name":"Denver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5" t="str">
        <f t="shared" si="94"/>
        <v>start /low /b %USERPROFILE%\Documents\GitHub\eaglep3\Utilities\DownloadLogsFromS3.py --loco 4018 --day 2017-05-22</v>
      </c>
      <c r="AN229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622</v>
      </c>
      <c r="B230" s="7">
        <v>4021</v>
      </c>
      <c r="C230" s="21" t="s">
        <v>206</v>
      </c>
      <c r="D230" s="21" t="s">
        <v>909</v>
      </c>
      <c r="E230" s="13">
        <v>42877.139930555553</v>
      </c>
      <c r="F230" s="13">
        <v>42877.141863425924</v>
      </c>
      <c r="G230" s="7">
        <v>1</v>
      </c>
      <c r="H230" s="21" t="s">
        <v>910</v>
      </c>
      <c r="I230" s="13">
        <v>42877.143113425926</v>
      </c>
      <c r="J230" s="7">
        <v>0</v>
      </c>
      <c r="K230" s="92" t="str">
        <f t="shared" si="80"/>
        <v>4021/4022</v>
      </c>
      <c r="L230" s="21" t="str">
        <f>VLOOKUP(A230,'Trips&amp;Operators'!$C$1:$G$99999,5,FALSE)</f>
        <v>MAYBERRY BILL</v>
      </c>
      <c r="M230" s="6">
        <f t="shared" si="81"/>
        <v>1.2500000011641532E-3</v>
      </c>
      <c r="N230" s="7">
        <f t="shared" si="96"/>
        <v>1.8000000016763806</v>
      </c>
      <c r="O230" s="7"/>
      <c r="P230" s="7"/>
      <c r="Q230" s="22"/>
      <c r="R230" s="190"/>
      <c r="S230" s="196">
        <f t="shared" si="97"/>
        <v>0</v>
      </c>
      <c r="T230" s="190" t="e">
        <f t="shared" si="82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3"/>
        <v>https://d0f6bd738d7f1b3e5a7ca70fe4ff75f0.us-east-1.aws.found.io/app/kibana#/discover/Steve-Slow-Train-Analysis-(2080s-and-2083s)?_g=(refreshInterval:(display:Off,pause:!f,section:0,value:0),time:(from:'2017-05-22T02:21:30-0600',mode:absolute,to:'2017-05-22T04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0" s="192" t="str">
        <f t="shared" si="84"/>
        <v>Y</v>
      </c>
      <c r="X230" s="192" t="e">
        <f t="shared" si="77"/>
        <v>#VALUE!</v>
      </c>
      <c r="Y230" s="192">
        <f t="shared" si="85"/>
        <v>0.29470000000000002</v>
      </c>
      <c r="Z230" s="192">
        <f t="shared" si="86"/>
        <v>0.1162</v>
      </c>
      <c r="AA230" s="192">
        <f t="shared" si="87"/>
        <v>0.17850000000000002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8"/>
        <v>50-22</v>
      </c>
      <c r="AE230" s="80" t="str">
        <f t="shared" si="89"/>
        <v>aws s3 cp s3://rtdc.mdm.uploadarchive.raw/RTDC4021/ "%USERPROFILE%\AppData\Local\Temp\OnboardLogs"\RTDC4021\2017-05-22 --exclude "*" --recursive --include "*20170522*" &amp; "%USERPROFILE%\Documents\GitHub\mrs-test-scripts\Headless Mode &amp; Sideloading\WalkAndUnGZ.bat" "%USERPROFILE%\AppData\Local\Temp\OnboardLogs"\RTDC4021\2017-05-22 &amp; 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</v>
      </c>
      <c r="AF230" s="77" t="str">
        <f t="shared" si="90"/>
        <v>"C:\Program Files (x86)\AstroGrep\AstroGrep.exe" /e /r /s /spath="%USERPROFILE%\AppData\Local\Temp\OnboardLogs" /stypes="app*4021*20170522*" /stext=" 09:.+((SYSTEM_STATE.+slice.+state.+changed )|(ment ac)|(multiple cpu faults)|(system.+state.+changed )|(\[timeout)|(PRM\|1\|D)|(kpr)|(kdp)|(train st.+moving)|(\|lc)|(penalty))"</v>
      </c>
      <c r="AG230" s="1" t="str">
        <f t="shared" si="91"/>
        <v>Other</v>
      </c>
      <c r="AH230" s="81" t="str">
        <f t="shared" si="92"/>
        <v>"%USERPROFILE%\Documents\GitHub\eaglep3\Utilities\RefineRTDCRunTimes.py" --tripid 50-22 --locoid 4021 --swversion DE.1.0.9.0 --startMP 204:2947 --initTime 2017-05-22T03:21:30 --startdatetime 2017-05-22T03:24:17 --delay 1 --endMP 204:1162 --enddatetime 2017-05-22T03:26:05 --enforcementcount 0 &gt;&gt;C:\Users\stu\Documents\GitHub\eaglep3-reporting\EC\2017-05-22-refined-times.txt</v>
      </c>
      <c r="AI230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{"issue":{"subject":"","project_id":79,"tracker_id":40,"status_id":1,"priority_id":2,"assigned_to_id":23,"start_date":"2017-05-22","description":"","custom_fields":[{"id":1,"name":"Subdivision","value":"Other"},{"id":4,"name":"Milepost","value":"0.1162"},{"id":17,"name":"Train ID","value":"50-22"},{"id":16,"name":"Locomotive ID","value":"4021"},{"id":130,"name":"Impact","value":""},{"id":150,"name":"Time of Event (Mountain Time)","value":"03:26:05"},{"id":151,"name":"Denver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4"/>
        <v>start /low /b %USERPROFILE%\Documents\GitHub\eaglep3\Utilities\DownloadLogsFromS3.py --loco 4021 --day 2017-05-22</v>
      </c>
      <c r="AN230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09:26:05"},{"id":29,"name":"Sharepoint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622</v>
      </c>
      <c r="B231" s="7">
        <v>4022</v>
      </c>
      <c r="C231" s="21" t="s">
        <v>206</v>
      </c>
      <c r="D231" s="21" t="s">
        <v>851</v>
      </c>
      <c r="E231" s="13">
        <v>42877.127314814818</v>
      </c>
      <c r="F231" s="13">
        <v>42877.141863425924</v>
      </c>
      <c r="G231" s="7">
        <v>5</v>
      </c>
      <c r="H231" s="21" t="s">
        <v>911</v>
      </c>
      <c r="I231" s="13">
        <v>42877.143113425926</v>
      </c>
      <c r="J231" s="7">
        <v>0</v>
      </c>
      <c r="K231" s="92" t="str">
        <f t="shared" si="80"/>
        <v>4021/4022</v>
      </c>
      <c r="L231" s="21" t="str">
        <f>VLOOKUP(A231,'Trips&amp;Operators'!$C$1:$G$99999,5,FALSE)</f>
        <v>MAYBERRY BILL</v>
      </c>
      <c r="M231" s="6">
        <f t="shared" si="81"/>
        <v>1.2500000011641532E-3</v>
      </c>
      <c r="N231" s="7">
        <f t="shared" si="96"/>
        <v>1.8000000016763806</v>
      </c>
      <c r="O231" s="7"/>
      <c r="P231" s="7"/>
      <c r="Q231" s="22"/>
      <c r="R231" s="190"/>
      <c r="S231" s="196">
        <f t="shared" si="97"/>
        <v>0</v>
      </c>
      <c r="T231" s="190" t="e">
        <f t="shared" si="82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3"/>
        <v>https://d0f6bd738d7f1b3e5a7ca70fe4ff75f0.us-east-1.aws.found.io/app/kibana#/discover/Steve-Slow-Train-Analysis-(2080s-and-2083s)?_g=(refreshInterval:(display:Off,pause:!f,section:0,value:0),time:(from:'2017-05-22T02:03:20-0600',mode:absolute,to:'2017-05-22T04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1" s="192" t="str">
        <f t="shared" si="84"/>
        <v>Y</v>
      </c>
      <c r="X231" s="192" t="e">
        <f t="shared" ref="X231:X252" si="98">VALUE(LEFT(AD231,4))-VALUE(LEFT(AD230,4))</f>
        <v>#VALUE!</v>
      </c>
      <c r="Y231" s="192">
        <f t="shared" si="85"/>
        <v>4.3499999999999997E-2</v>
      </c>
      <c r="Z231" s="192">
        <f t="shared" si="86"/>
        <v>0.32800000000000001</v>
      </c>
      <c r="AA231" s="192">
        <f t="shared" si="87"/>
        <v>0.28450000000000003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8"/>
        <v>50-22</v>
      </c>
      <c r="AE231" s="80" t="str">
        <f t="shared" si="89"/>
        <v>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 &amp; 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</v>
      </c>
      <c r="AF231" s="77" t="str">
        <f t="shared" si="90"/>
        <v>"C:\Program Files (x86)\AstroGrep\AstroGrep.exe" /e /r /s /spath="%USERPROFILE%\AppData\Local\Temp\OnboardLogs" /stypes="app*4022*20170522*" /stext=" 09:.+((SYSTEM_STATE.+slice.+state.+changed )|(ment ac)|(multiple cpu faults)|(system.+state.+changed )|(\[timeout)|(PRM\|1\|D)|(kpr)|(kdp)|(train st.+moving)|(\|lc)|(penalty))"</v>
      </c>
      <c r="AG231" s="1" t="str">
        <f t="shared" si="91"/>
        <v>Other</v>
      </c>
      <c r="AH231" s="81" t="str">
        <f t="shared" si="92"/>
        <v>"%USERPROFILE%\Documents\GitHub\eaglep3\Utilities\RefineRTDCRunTimes.py" --tripid 50-22 --locoid 4022 --swversion DE.1.0.9.0 --startMP 204:435 --initTime 2017-05-22T03:03:20 --startdatetime 2017-05-22T03:24:17 --delay 5 --endMP 204:3280 --enddatetime 2017-05-22T03:26:05 --enforcementcount 0 &gt;&gt;C:\Users\stu\Documents\GitHub\eaglep3-reporting\EC\2017-05-22-refined-times.txt</v>
      </c>
      <c r="AI231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{"issue":{"subject":"","project_id":79,"tracker_id":40,"status_id":1,"priority_id":2,"assigned_to_id":23,"start_date":"2017-05-22","description":"","custom_fields":[{"id":1,"name":"Subdivision","value":"Other"},{"id":4,"name":"Milepost","value":"0.328"},{"id":17,"name":"Train ID","value":"50-22"},{"id":16,"name":"Locomotive ID","value":"4022"},{"id":130,"name":"Impact","value":""},{"id":150,"name":"Time of Event (Mountain Time)","value":"03:26:05"},{"id":151,"name":"Denver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4"/>
        <v>start /low /b %USERPROFILE%\Documents\GitHub\eaglep3\Utilities\DownloadLogsFromS3.py --loco 4022 --day 2017-05-22</v>
      </c>
      <c r="AN231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09:26:05"},{"id":29,"name":"Sharepoint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790</v>
      </c>
      <c r="B232" s="7">
        <v>4050</v>
      </c>
      <c r="C232" s="21" t="s">
        <v>206</v>
      </c>
      <c r="D232" s="21" t="s">
        <v>912</v>
      </c>
      <c r="E232" s="13">
        <v>42877.966400462959</v>
      </c>
      <c r="F232" s="13">
        <v>42877.968425925923</v>
      </c>
      <c r="G232" s="7">
        <v>0</v>
      </c>
      <c r="H232" s="21" t="s">
        <v>913</v>
      </c>
      <c r="I232" s="13">
        <v>42877.979421296295</v>
      </c>
      <c r="J232" s="7">
        <v>0</v>
      </c>
      <c r="K232" s="92" t="str">
        <f t="shared" si="80"/>
        <v>4049/4050</v>
      </c>
      <c r="L232" s="21" t="str">
        <f>VLOOKUP(A232,'Trips&amp;Operators'!$C$1:$G$99999,5,FALSE)</f>
        <v>SULLIVAN BRANDON</v>
      </c>
      <c r="M232" s="6">
        <f t="shared" si="81"/>
        <v>1.099537037225673E-2</v>
      </c>
      <c r="N232" s="7">
        <f t="shared" si="96"/>
        <v>15.833333336049691</v>
      </c>
      <c r="O232" s="7"/>
      <c r="P232" s="7"/>
      <c r="Q232" s="22"/>
      <c r="R232" s="190"/>
      <c r="S232" s="196">
        <f t="shared" si="97"/>
        <v>0</v>
      </c>
      <c r="T232" s="190" t="e">
        <f t="shared" si="82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3"/>
        <v>https://d0f6bd738d7f1b3e5a7ca70fe4ff75f0.us-east-1.aws.found.io/app/kibana#/discover/Steve-Slow-Train-Analysis-(2080s-and-2083s)?_g=(refreshInterval:(display:Off,pause:!f,section:0,value:0),time:(from:'2017-05-22T22:11:37-0600',mode:absolute,to:'2017-05-23T00:30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2" s="192" t="str">
        <f t="shared" si="84"/>
        <v>Y</v>
      </c>
      <c r="X232" s="192" t="e">
        <f t="shared" si="98"/>
        <v>#VALUE!</v>
      </c>
      <c r="Y232" s="192">
        <f t="shared" si="85"/>
        <v>15.424899999999999</v>
      </c>
      <c r="Z232" s="192">
        <f t="shared" si="86"/>
        <v>15.6656</v>
      </c>
      <c r="AA232" s="192">
        <f t="shared" si="87"/>
        <v>0.24070000000000036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8"/>
        <v>51-22</v>
      </c>
      <c r="AE232" s="80" t="str">
        <f t="shared" si="89"/>
        <v>aws s3 cp s3://rtdc.mdm.uploadarchive.raw/RTDC4050/ "%USERPROFILE%\AppData\Local\Temp\OnboardLogs"\RTDC4050\2017-05-22 --exclude "*" --recursive --include "*20170522*" &amp; "%USERPROFILE%\Documents\GitHub\mrs-test-scripts\Headless Mode &amp; Sideloading\WalkAndUnGZ.bat" "%USERPROFILE%\AppData\Local\Temp\OnboardLogs"\RTDC4050\2017-05-22 &amp; 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</v>
      </c>
      <c r="AF232" s="77" t="str">
        <f t="shared" si="90"/>
        <v>"C:\Program Files (x86)\AstroGrep\AstroGrep.exe" /e /r /s /spath="%USERPROFILE%\AppData\Local\Temp\OnboardLogs" /stypes="app*4050*20170523*" /stext=" 05:.+((SYSTEM_STATE.+slice.+state.+changed )|(ment ac)|(multiple cpu faults)|(system.+state.+changed )|(\[timeout)|(PRM\|1\|D)|(kpr)|(kdp)|(train st.+moving)|(\|lc)|(penalty))"</v>
      </c>
      <c r="AG232" s="1" t="str">
        <f t="shared" si="91"/>
        <v>Other</v>
      </c>
      <c r="AH232" s="81" t="str">
        <f t="shared" si="92"/>
        <v>"%USERPROFILE%\Documents\GitHub\eaglep3\Utilities\RefineRTDCRunTimes.py" --tripid 51-22 --locoid 4050 --swversion DE.1.0.9.0 --startMP 204:154249 --initTime 2017-05-22T23:11:37 --startdatetime 2017-05-22T23:14:32 --delay 0 --endMP 204:156656 --enddatetime 2017-05-22T23:30:22 --enforcementcount 0 &gt;&gt;C:\Users\stu\Documents\GitHub\eaglep3-reporting\EC\2017-05-22-refined-times.txt</v>
      </c>
      <c r="AI232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{"issue":{"subject":"","project_id":79,"tracker_id":40,"status_id":1,"priority_id":2,"assigned_to_id":23,"start_date":"2017-05-22","description":"","custom_fields":[{"id":1,"name":"Subdivision","value":"Other"},{"id":4,"name":"Milepost","value":"15.6656"},{"id":17,"name":"Train ID","value":"51-22"},{"id":16,"name":"Locomotive ID","value":"4050"},{"id":130,"name":"Impact","value":""},{"id":150,"name":"Time of Event (Mountain Time)","value":"23:30:22"},{"id":151,"name":"Denver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4"/>
        <v>start /low /b %USERPROFILE%\Documents\GitHub\eaglep3\Utilities\DownloadLogsFromS3.py --loco 4050 --day 2017-05-22</v>
      </c>
      <c r="AN232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05:30:22"},{"id":29,"name":"Sharepoint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790</v>
      </c>
      <c r="B233" s="7">
        <v>4050</v>
      </c>
      <c r="C233" s="21" t="s">
        <v>206</v>
      </c>
      <c r="D233" s="21" t="s">
        <v>914</v>
      </c>
      <c r="E233" s="13">
        <v>42877.932638888888</v>
      </c>
      <c r="F233" s="13">
        <v>42877.968425925923</v>
      </c>
      <c r="G233" s="7">
        <v>1</v>
      </c>
      <c r="H233" s="21" t="s">
        <v>564</v>
      </c>
      <c r="I233" s="13">
        <v>42877.979421296295</v>
      </c>
      <c r="J233" s="7">
        <v>0</v>
      </c>
      <c r="K233" s="92" t="str">
        <f t="shared" si="80"/>
        <v>4049/4050</v>
      </c>
      <c r="L233" s="21" t="str">
        <f>VLOOKUP(A233,'Trips&amp;Operators'!$C$1:$G$99999,5,FALSE)</f>
        <v>SULLIVAN BRANDON</v>
      </c>
      <c r="M233" s="6">
        <f t="shared" si="81"/>
        <v>1.099537037225673E-2</v>
      </c>
      <c r="N233" s="7">
        <f t="shared" si="96"/>
        <v>15.833333336049691</v>
      </c>
      <c r="O233" s="7"/>
      <c r="P233" s="7"/>
      <c r="Q233" s="22"/>
      <c r="R233" s="190"/>
      <c r="S233" s="196">
        <f t="shared" si="97"/>
        <v>0</v>
      </c>
      <c r="T233" s="190" t="e">
        <f t="shared" si="82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3"/>
        <v>https://d0f6bd738d7f1b3e5a7ca70fe4ff75f0.us-east-1.aws.found.io/app/kibana#/discover/Steve-Slow-Train-Analysis-(2080s-and-2083s)?_g=(refreshInterval:(display:Off,pause:!f,section:0,value:0),time:(from:'2017-05-22T21:23:00-0600',mode:absolute,to:'2017-05-23T00:30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192" t="str">
        <f t="shared" si="84"/>
        <v>N</v>
      </c>
      <c r="X233" s="192" t="e">
        <f t="shared" si="98"/>
        <v>#VALUE!</v>
      </c>
      <c r="Y233" s="192">
        <f t="shared" si="85"/>
        <v>15.4255</v>
      </c>
      <c r="Z233" s="192">
        <f t="shared" si="86"/>
        <v>23.330500000000001</v>
      </c>
      <c r="AA233" s="192">
        <f t="shared" si="87"/>
        <v>7.9050000000000011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8"/>
        <v>51-22</v>
      </c>
      <c r="AE233" s="80" t="str">
        <f t="shared" si="89"/>
        <v>aws s3 cp s3://rtdc.mdm.uploadarchive.raw/RTDC4050/ "%USERPROFILE%\AppData\Local\Temp\OnboardLogs"\RTDC4050\2017-05-22 --exclude "*" --recursive --include "*20170522*" &amp; "%USERPROFILE%\Documents\GitHub\mrs-test-scripts\Headless Mode &amp; Sideloading\WalkAndUnGZ.bat" "%USERPROFILE%\AppData\Local\Temp\OnboardLogs"\RTDC4050\2017-05-22 &amp; 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</v>
      </c>
      <c r="AF233" s="77" t="str">
        <f t="shared" si="90"/>
        <v>"C:\Program Files (x86)\AstroGrep\AstroGrep.exe" /e /r /s /spath="%USERPROFILE%\AppData\Local\Temp\OnboardLogs" /stypes="app*4050*20170523*" /stext=" 05:.+((SYSTEM_STATE.+slice.+state.+changed )|(ment ac)|(multiple cpu faults)|(system.+state.+changed )|(\[timeout)|(PRM\|1\|D)|(kpr)|(kdp)|(train st.+moving)|(\|lc)|(penalty))"</v>
      </c>
      <c r="AG233" s="1" t="str">
        <f t="shared" si="91"/>
        <v>Other</v>
      </c>
      <c r="AH233" s="81" t="str">
        <f t="shared" si="92"/>
        <v>"%USERPROFILE%\Documents\GitHub\eaglep3\Utilities\RefineRTDCRunTimes.py" --tripid 51-22 --locoid 4050 --swversion DE.1.0.9.0 --startMP 204:154255 --initTime 2017-05-22T22:23:00 --startdatetime 2017-05-22T23:14:32 --delay 1 --endMP 204:233305 --enddatetime 2017-05-22T23:30:22 --enforcementcount 0 &gt;&gt;C:\Users\stu\Documents\GitHub\eaglep3-reporting\EC\2017-05-22-refined-times.txt</v>
      </c>
      <c r="AI233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{"issue":{"subject":"","project_id":79,"tracker_id":40,"status_id":1,"priority_id":2,"assigned_to_id":23,"start_date":"2017-05-22","description":"","custom_fields":[{"id":1,"name":"Subdivision","value":"Other"},{"id":4,"name":"Milepost","value":"23.3305"},{"id":17,"name":"Train ID","value":"51-22"},{"id":16,"name":"Locomotive ID","value":"4050"},{"id":130,"name":"Impact","value":""},{"id":150,"name":"Time of Event (Mountain Time)","value":"23:30:22"},{"id":151,"name":"Denver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4"/>
        <v>start /low /b %USERPROFILE%\Documents\GitHub\eaglep3\Utilities\DownloadLogsFromS3.py --loco 4050 --day 2017-05-22</v>
      </c>
      <c r="AN233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05:30:22"},{"id":29,"name":"Sharepoint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790</v>
      </c>
      <c r="B234" s="7">
        <v>4050</v>
      </c>
      <c r="C234" s="21" t="s">
        <v>206</v>
      </c>
      <c r="D234" s="21" t="s">
        <v>915</v>
      </c>
      <c r="E234" s="13">
        <v>42877.992962962962</v>
      </c>
      <c r="F234" s="13">
        <v>42877.998576388891</v>
      </c>
      <c r="G234" s="7">
        <v>1</v>
      </c>
      <c r="H234" s="21" t="s">
        <v>877</v>
      </c>
      <c r="I234" s="13">
        <v>42878.010474537034</v>
      </c>
      <c r="J234" s="7">
        <v>0</v>
      </c>
      <c r="K234" s="92" t="str">
        <f t="shared" si="80"/>
        <v>4049/4050</v>
      </c>
      <c r="L234" s="21" t="str">
        <f>VLOOKUP(A234,'Trips&amp;Operators'!$C$1:$G$99999,5,FALSE)</f>
        <v>SULLIVAN BRANDON</v>
      </c>
      <c r="M234" s="6">
        <f t="shared" si="81"/>
        <v>1.1898148142790888E-2</v>
      </c>
      <c r="N234" s="7">
        <f t="shared" si="96"/>
        <v>17.133333325618878</v>
      </c>
      <c r="O234" s="7"/>
      <c r="P234" s="7"/>
      <c r="Q234" s="22"/>
      <c r="R234" s="190"/>
      <c r="S234" s="196">
        <f t="shared" si="97"/>
        <v>0</v>
      </c>
      <c r="T234" s="190" t="e">
        <f t="shared" si="82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3"/>
        <v>https://d0f6bd738d7f1b3e5a7ca70fe4ff75f0.us-east-1.aws.found.io/app/kibana#/discover/Steve-Slow-Train-Analysis-(2080s-and-2083s)?_g=(refreshInterval:(display:Off,pause:!f,section:0,value:0),time:(from:'2017-05-22T22:49:52-0600',mode:absolute,to:'2017-05-23T01:15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92" t="str">
        <f t="shared" si="84"/>
        <v>N</v>
      </c>
      <c r="X234" s="192" t="e">
        <f t="shared" si="98"/>
        <v>#VALUE!</v>
      </c>
      <c r="Y234" s="192">
        <f t="shared" si="85"/>
        <v>15.4261</v>
      </c>
      <c r="Z234" s="192">
        <f t="shared" si="86"/>
        <v>23.328600000000002</v>
      </c>
      <c r="AA234" s="192">
        <f t="shared" si="87"/>
        <v>7.9025000000000016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8"/>
        <v>51-22</v>
      </c>
      <c r="AE234" s="80" t="str">
        <f t="shared" si="89"/>
        <v>aws s3 cp s3://rtdc.mdm.uploadarchive.raw/RTDC4050/ "%USERPROFILE%\AppData\Local\Temp\OnboardLogs"\RTDC4050\2017-05-22 --exclude "*" --recursive --include "*20170522*" &amp; "%USERPROFILE%\Documents\GitHub\mrs-test-scripts\Headless Mode &amp; Sideloading\WalkAndUnGZ.bat" "%USERPROFILE%\AppData\Local\Temp\OnboardLogs"\RTDC4050\2017-05-22 &amp; 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</v>
      </c>
      <c r="AF234" s="77" t="str">
        <f t="shared" si="90"/>
        <v>"C:\Program Files (x86)\AstroGrep\AstroGrep.exe" /e /r /s /spath="%USERPROFILE%\AppData\Local\Temp\OnboardLogs" /stypes="app*4050*20170523*" /stext=" 06:.+((SYSTEM_STATE.+slice.+state.+changed )|(ment ac)|(multiple cpu faults)|(system.+state.+changed )|(\[timeout)|(PRM\|1\|D)|(kpr)|(kdp)|(train st.+moving)|(\|lc)|(penalty))"</v>
      </c>
      <c r="AG234" s="1" t="str">
        <f t="shared" si="91"/>
        <v>Other</v>
      </c>
      <c r="AH234" s="81" t="str">
        <f t="shared" si="92"/>
        <v>"%USERPROFILE%\Documents\GitHub\eaglep3\Utilities\RefineRTDCRunTimes.py" --tripid 51-22 --locoid 4050 --swversion DE.1.0.9.0 --startMP 204:154261 --initTime 2017-05-22T23:49:52 --startdatetime 2017-05-22T23:57:57 --delay 1 --endMP 204:233286 --enddatetime 2017-05-23T00:15:05 --enforcementcount 0 &gt;&gt;C:\Users\stu\Documents\GitHub\eaglep3-reporting\EC\2017-05-22-refined-times.txt</v>
      </c>
      <c r="AI234" s="99" t="str">
        <f t="shared" si="93"/>
        <v>echo {"issue":{"subject":"","project_id":79,"tracker_id":40,"status_id":1,"priority_id":2,"assigned_to_id":23,"start_date":"2017-05-23","description":"","custom_fields":[{"id":1,"name":"Subdivision","value":"Other"},{"id":4,"name":"Milepost","value":"23.3286"},{"id":17,"name":"Train ID","value":"51-22"},{"id":16,"name":"Locomotive ID","value":"4050"},{"id":130,"name":"Impact","value":""},{"id":150,"name":"Time of Event (Mountain Time)","value":"00:15:05"},{"id":151,"name":"Denver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4"/>
        <v>start /low /b %USERPROFILE%\Documents\GitHub\eaglep3\Utilities\DownloadLogsFromS3.py --loco 4050 --day 2017-05-22</v>
      </c>
      <c r="AN234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06:15:05"},{"id":29,"name":"Sharepoint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790</v>
      </c>
      <c r="B235" s="7">
        <v>4050</v>
      </c>
      <c r="C235" s="21" t="s">
        <v>206</v>
      </c>
      <c r="D235" s="21" t="s">
        <v>916</v>
      </c>
      <c r="E235" s="13">
        <v>42877.891655092593</v>
      </c>
      <c r="F235" s="13">
        <v>42877.893541666665</v>
      </c>
      <c r="G235" s="7">
        <v>1</v>
      </c>
      <c r="H235" s="21" t="s">
        <v>917</v>
      </c>
      <c r="I235" s="13">
        <v>42877.898553240739</v>
      </c>
      <c r="J235" s="7">
        <v>0</v>
      </c>
      <c r="K235" s="92" t="str">
        <f t="shared" si="80"/>
        <v>4049/4050</v>
      </c>
      <c r="L235" s="21" t="str">
        <f>VLOOKUP(A235,'Trips&amp;Operators'!$C$1:$G$99999,5,FALSE)</f>
        <v>SULLIVAN BRANDON</v>
      </c>
      <c r="M235" s="6">
        <f t="shared" si="81"/>
        <v>5.0115740741603076E-3</v>
      </c>
      <c r="N235" s="7">
        <f t="shared" si="96"/>
        <v>7.216666666790843</v>
      </c>
      <c r="O235" s="7"/>
      <c r="P235" s="7"/>
      <c r="Q235" s="22"/>
      <c r="R235" s="190"/>
      <c r="S235" s="196">
        <f t="shared" si="97"/>
        <v>0</v>
      </c>
      <c r="T235" s="190" t="e">
        <f t="shared" si="82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3"/>
        <v>https://d0f6bd738d7f1b3e5a7ca70fe4ff75f0.us-east-1.aws.found.io/app/kibana#/discover/Steve-Slow-Train-Analysis-(2080s-and-2083s)?_g=(refreshInterval:(display:Off,pause:!f,section:0,value:0),time:(from:'2017-05-22T20:23:59-0600',mode:absolute,to:'2017-05-22T22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92" t="str">
        <f t="shared" si="84"/>
        <v>Y</v>
      </c>
      <c r="X235" s="192" t="e">
        <f t="shared" si="98"/>
        <v>#VALUE!</v>
      </c>
      <c r="Y235" s="192">
        <f t="shared" si="85"/>
        <v>19.547899999999998</v>
      </c>
      <c r="Z235" s="192">
        <f t="shared" si="86"/>
        <v>20.593699999999998</v>
      </c>
      <c r="AA235" s="192">
        <f t="shared" si="87"/>
        <v>1.0457999999999998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8"/>
        <v>51-22</v>
      </c>
      <c r="AE235" s="80" t="str">
        <f t="shared" si="89"/>
        <v>aws s3 cp s3://rtdc.mdm.uploadarchive.raw/RTDC4050/ "%USERPROFILE%\AppData\Local\Temp\OnboardLogs"\RTDC4050\2017-05-22 --exclude "*" --recursive --include "*20170522*" &amp; "%USERPROFILE%\Documents\GitHub\mrs-test-scripts\Headless Mode &amp; Sideloading\WalkAndUnGZ.bat" "%USERPROFILE%\AppData\Local\Temp\OnboardLogs"\RTDC4050\2017-05-22 &amp; 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</v>
      </c>
      <c r="AF235" s="77" t="str">
        <f t="shared" si="90"/>
        <v>"C:\Program Files (x86)\AstroGrep\AstroGrep.exe" /e /r /s /spath="%USERPROFILE%\AppData\Local\Temp\OnboardLogs" /stypes="app*4050*20170523*" /stext=" 03:.+((SYSTEM_STATE.+slice.+state.+changed )|(ment ac)|(multiple cpu faults)|(system.+state.+changed )|(\[timeout)|(PRM\|1\|D)|(kpr)|(kdp)|(train st.+moving)|(\|lc)|(penalty))"</v>
      </c>
      <c r="AG235" s="1" t="str">
        <f t="shared" si="91"/>
        <v>Other</v>
      </c>
      <c r="AH235" s="81" t="str">
        <f t="shared" si="92"/>
        <v>"%USERPROFILE%\Documents\GitHub\eaglep3\Utilities\RefineRTDCRunTimes.py" --tripid 51-22 --locoid 4050 --swversion DE.1.0.9.0 --startMP 204:195479 --initTime 2017-05-22T21:23:59 --startdatetime 2017-05-22T21:26:42 --delay 1 --endMP 204:205937 --enddatetime 2017-05-22T21:33:55 --enforcementcount 0 &gt;&gt;C:\Users\stu\Documents\GitHub\eaglep3-reporting\EC\2017-05-22-refined-times.txt</v>
      </c>
      <c r="AI235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{"issue":{"subject":"","project_id":79,"tracker_id":40,"status_id":1,"priority_id":2,"assigned_to_id":23,"start_date":"2017-05-22","description":"","custom_fields":[{"id":1,"name":"Subdivision","value":"Other"},{"id":4,"name":"Milepost","value":"20.5937"},{"id":17,"name":"Train ID","value":"51-22"},{"id":16,"name":"Locomotive ID","value":"4050"},{"id":130,"name":"Impact","value":""},{"id":150,"name":"Time of Event (Mountain Time)","value":"21:33:55"},{"id":151,"name":"Denver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4"/>
        <v>start /low /b %USERPROFILE%\Documents\GitHub\eaglep3\Utilities\DownloadLogsFromS3.py --loco 4050 --day 2017-05-22</v>
      </c>
      <c r="AN235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790</v>
      </c>
      <c r="B236" s="7">
        <v>4050</v>
      </c>
      <c r="C236" s="21" t="s">
        <v>206</v>
      </c>
      <c r="D236" s="21" t="s">
        <v>851</v>
      </c>
      <c r="E236" s="13">
        <v>42877.841944444444</v>
      </c>
      <c r="F236" s="13">
        <v>42877.893541666665</v>
      </c>
      <c r="G236" s="7">
        <v>1</v>
      </c>
      <c r="H236" s="21" t="s">
        <v>539</v>
      </c>
      <c r="I236" s="13">
        <v>42877.898553240739</v>
      </c>
      <c r="J236" s="7">
        <v>0</v>
      </c>
      <c r="K236" s="92" t="str">
        <f t="shared" si="80"/>
        <v>4049/4050</v>
      </c>
      <c r="L236" s="21" t="str">
        <f>VLOOKUP(A236,'Trips&amp;Operators'!$C$1:$G$99999,5,FALSE)</f>
        <v>SULLIVAN BRANDON</v>
      </c>
      <c r="M236" s="6">
        <f t="shared" si="81"/>
        <v>5.0115740741603076E-3</v>
      </c>
      <c r="N236" s="7">
        <f t="shared" si="96"/>
        <v>7.216666666790843</v>
      </c>
      <c r="O236" s="7"/>
      <c r="P236" s="7"/>
      <c r="Q236" s="22"/>
      <c r="R236" s="190"/>
      <c r="S236" s="196">
        <f t="shared" si="97"/>
        <v>0</v>
      </c>
      <c r="T236" s="190" t="e">
        <f t="shared" si="82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3"/>
        <v>https://d0f6bd738d7f1b3e5a7ca70fe4ff75f0.us-east-1.aws.found.io/app/kibana#/discover/Steve-Slow-Train-Analysis-(2080s-and-2083s)?_g=(refreshInterval:(display:Off,pause:!f,section:0,value:0),time:(from:'2017-05-22T19:12:24-0600',mode:absolute,to:'2017-05-22T22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92" t="str">
        <f t="shared" si="84"/>
        <v>N</v>
      </c>
      <c r="X236" s="192" t="e">
        <f t="shared" si="98"/>
        <v>#VALUE!</v>
      </c>
      <c r="Y236" s="192">
        <f t="shared" si="85"/>
        <v>4.3499999999999997E-2</v>
      </c>
      <c r="Z236" s="192">
        <f t="shared" si="86"/>
        <v>23.333100000000002</v>
      </c>
      <c r="AA236" s="192">
        <f t="shared" si="87"/>
        <v>23.2896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8"/>
        <v>51-22</v>
      </c>
      <c r="AE236" s="80" t="str">
        <f t="shared" si="89"/>
        <v>aws s3 cp s3://rtdc.mdm.uploadarchive.raw/RTDC4050/ "%USERPROFILE%\AppData\Local\Temp\OnboardLogs"\RTDC4050\2017-05-22 --exclude "*" --recursive --include "*20170522*" &amp; "%USERPROFILE%\Documents\GitHub\mrs-test-scripts\Headless Mode &amp; Sideloading\WalkAndUnGZ.bat" "%USERPROFILE%\AppData\Local\Temp\OnboardLogs"\RTDC4050\2017-05-22 &amp; 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</v>
      </c>
      <c r="AF236" s="77" t="str">
        <f t="shared" si="90"/>
        <v>"C:\Program Files (x86)\AstroGrep\AstroGrep.exe" /e /r /s /spath="%USERPROFILE%\AppData\Local\Temp\OnboardLogs" /stypes="app*4050*20170523*" /stext=" 03:.+((SYSTEM_STATE.+slice.+state.+changed )|(ment ac)|(multiple cpu faults)|(system.+state.+changed )|(\[timeout)|(PRM\|1\|D)|(kpr)|(kdp)|(train st.+moving)|(\|lc)|(penalty))"</v>
      </c>
      <c r="AG236" s="1" t="str">
        <f t="shared" si="91"/>
        <v>Other</v>
      </c>
      <c r="AH236" s="81" t="str">
        <f t="shared" si="92"/>
        <v>"%USERPROFILE%\Documents\GitHub\eaglep3\Utilities\RefineRTDCRunTimes.py" --tripid 51-22 --locoid 4050 --swversion DE.1.0.9.0 --startMP 204:435 --initTime 2017-05-22T20:12:24 --startdatetime 2017-05-22T21:26:42 --delay 1 --endMP 204:233331 --enddatetime 2017-05-22T21:33:55 --enforcementcount 0 &gt;&gt;C:\Users\stu\Documents\GitHub\eaglep3-reporting\EC\2017-05-22-refined-times.txt</v>
      </c>
      <c r="AI236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{"issue":{"subject":"","project_id":79,"tracker_id":40,"status_id":1,"priority_id":2,"assigned_to_id":23,"start_date":"2017-05-22","description":"","custom_fields":[{"id":1,"name":"Subdivision","value":"Other"},{"id":4,"name":"Milepost","value":"23.3331"},{"id":17,"name":"Train ID","value":"51-22"},{"id":16,"name":"Locomotive ID","value":"4050"},{"id":130,"name":"Impact","value":""},{"id":150,"name":"Time of Event (Mountain Time)","value":"21:33:55"},{"id":151,"name":"Denver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4"/>
        <v>start /low /b %USERPROFILE%\Documents\GitHub\eaglep3\Utilities\DownloadLogsFromS3.py --loco 4050 --day 2017-05-22</v>
      </c>
      <c r="AN236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587</v>
      </c>
      <c r="B237" s="7">
        <v>4055</v>
      </c>
      <c r="C237" s="21" t="s">
        <v>206</v>
      </c>
      <c r="D237" s="21" t="s">
        <v>918</v>
      </c>
      <c r="E237" s="13">
        <v>42877.454398148147</v>
      </c>
      <c r="F237" s="13">
        <v>42877.455254629633</v>
      </c>
      <c r="G237" s="7">
        <v>0</v>
      </c>
      <c r="H237" s="21" t="s">
        <v>919</v>
      </c>
      <c r="I237" s="13">
        <v>42877.461215277777</v>
      </c>
      <c r="J237" s="7">
        <v>0</v>
      </c>
      <c r="K237" s="92" t="str">
        <f t="shared" si="80"/>
        <v>4055/4056</v>
      </c>
      <c r="L237" s="21" t="str">
        <f>VLOOKUP(A237,'Trips&amp;Operators'!$C$1:$G$99999,5,FALSE)</f>
        <v>DAVIS MICHAEL</v>
      </c>
      <c r="M237" s="6">
        <f t="shared" si="81"/>
        <v>5.9606481445371173E-3</v>
      </c>
      <c r="N237" s="7">
        <f t="shared" si="96"/>
        <v>8.583333328133449</v>
      </c>
      <c r="O237" s="7"/>
      <c r="P237" s="7"/>
      <c r="Q237" s="22"/>
      <c r="R237" s="190"/>
      <c r="S237" s="196">
        <f t="shared" si="97"/>
        <v>0</v>
      </c>
      <c r="T237" s="190" t="e">
        <f t="shared" si="82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3"/>
        <v>https://d0f6bd738d7f1b3e5a7ca70fe4ff75f0.us-east-1.aws.found.io/app/kibana#/discover/Steve-Slow-Train-Analysis-(2080s-and-2083s)?_g=(refreshInterval:(display:Off,pause:!f,section:0,value:0),time:(from:'2017-05-22T09:54:20-0600',mode:absolute,to:'2017-05-22T12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7" s="192" t="str">
        <f t="shared" si="84"/>
        <v>Y</v>
      </c>
      <c r="X237" s="192" t="e">
        <f t="shared" si="98"/>
        <v>#VALUE!</v>
      </c>
      <c r="Y237" s="192">
        <f t="shared" si="85"/>
        <v>2.2252000000000001</v>
      </c>
      <c r="Z237" s="192">
        <f t="shared" si="86"/>
        <v>8.6499999999999994E-2</v>
      </c>
      <c r="AA237" s="192">
        <f t="shared" si="87"/>
        <v>2.1387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8"/>
        <v>52-22</v>
      </c>
      <c r="AE237" s="80" t="str">
        <f t="shared" si="89"/>
        <v>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 &amp; aws s3 cp s3://rtdc.mdm.uploadarchive.raw/RTDC4055/ "%USERPROFILE%\AppData\Local\Temp\OnboardLogs"\RTDC4055\2017-05-23 --exclude "*" --recursive --include "*20170523*" &amp; "%USERPROFILE%\Documents\GitHub\mrs-test-scripts\Headless Mode &amp; Sideloading\WalkAndUnGZ.bat" "%USERPROFILE%\AppData\Local\Temp\OnboardLogs"\RTDC4055\2017-05-23</v>
      </c>
      <c r="AF237" s="77" t="str">
        <f t="shared" si="90"/>
        <v>"C:\Program Files (x86)\AstroGrep\AstroGrep.exe" /e /r /s /spath="%USERPROFILE%\AppData\Local\Temp\OnboardLogs" /stypes="app*4055*20170522*" /stext=" 17:.+((SYSTEM_STATE.+slice.+state.+changed )|(ment ac)|(multiple cpu faults)|(system.+state.+changed )|(\[timeout)|(PRM\|1\|D)|(kpr)|(kdp)|(train st.+moving)|(\|lc)|(penalty))"</v>
      </c>
      <c r="AG237" s="1" t="str">
        <f t="shared" si="91"/>
        <v>Other</v>
      </c>
      <c r="AH237" s="81" t="str">
        <f t="shared" si="92"/>
        <v>"%USERPROFILE%\Documents\GitHub\eaglep3\Utilities\RefineRTDCRunTimes.py" --tripid 52-22 --locoid 4055 --swversion DE.1.0.9.0 --startMP 300:22252 --initTime 2017-05-22T10:54:20 --startdatetime 2017-05-22T10:55:34 --delay 0 --endMP 204:865 --enddatetime 2017-05-22T11:04:09 --enforcementcount 0 &gt;&gt;C:\Users\stu\Documents\GitHub\eaglep3-reporting\EC\2017-05-22-refined-times.txt</v>
      </c>
      <c r="AI237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{"issue":{"subject":"","project_id":79,"tracker_id":40,"status_id":1,"priority_id":2,"assigned_to_id":23,"start_date":"2017-05-22","description":"","custom_fields":[{"id":1,"name":"Subdivision","value":"Other"},{"id":4,"name":"Milepost","value":"0.0865"},{"id":17,"name":"Train ID","value":"52-22"},{"id":16,"name":"Locomotive ID","value":"4055"},{"id":130,"name":"Impact","value":""},{"id":150,"name":"Time of Event (Mountain Time)","value":"11:04:09"},{"id":151,"name":"Denver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4"/>
        <v>start /low /b %USERPROFILE%\Documents\GitHub\eaglep3\Utilities\DownloadLogsFromS3.py --loco 4055 --day 2017-05-22</v>
      </c>
      <c r="AN237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587</v>
      </c>
      <c r="B238" s="7">
        <v>4055</v>
      </c>
      <c r="C238" s="21" t="s">
        <v>206</v>
      </c>
      <c r="D238" s="21" t="s">
        <v>920</v>
      </c>
      <c r="E238" s="13">
        <v>42877.444571759261</v>
      </c>
      <c r="F238" s="13">
        <v>42877.455254629633</v>
      </c>
      <c r="G238" s="7">
        <v>6</v>
      </c>
      <c r="H238" s="21" t="s">
        <v>921</v>
      </c>
      <c r="I238" s="13">
        <v>42877.461215277777</v>
      </c>
      <c r="J238" s="7">
        <v>0</v>
      </c>
      <c r="K238" s="92" t="str">
        <f t="shared" si="80"/>
        <v>4055/4056</v>
      </c>
      <c r="L238" s="21" t="str">
        <f>VLOOKUP(A238,'Trips&amp;Operators'!$C$1:$G$99999,5,FALSE)</f>
        <v>DAVIS MICHAEL</v>
      </c>
      <c r="M238" s="6">
        <f t="shared" si="81"/>
        <v>5.9606481445371173E-3</v>
      </c>
      <c r="N238" s="7">
        <f t="shared" si="96"/>
        <v>8.583333328133449</v>
      </c>
      <c r="O238" s="7"/>
      <c r="P238" s="7"/>
      <c r="Q238" s="22"/>
      <c r="R238" s="190"/>
      <c r="S238" s="196">
        <f t="shared" si="97"/>
        <v>0</v>
      </c>
      <c r="T238" s="190" t="e">
        <f t="shared" si="82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3"/>
        <v>https://d0f6bd738d7f1b3e5a7ca70fe4ff75f0.us-east-1.aws.found.io/app/kibana#/discover/Steve-Slow-Train-Analysis-(2080s-and-2083s)?_g=(refreshInterval:(display:Off,pause:!f,section:0,value:0),time:(from:'2017-05-22T09:40:11-0600',mode:absolute,to:'2017-05-22T12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8" s="192" t="str">
        <f t="shared" si="84"/>
        <v>Y</v>
      </c>
      <c r="X238" s="192" t="e">
        <f t="shared" si="98"/>
        <v>#VALUE!</v>
      </c>
      <c r="Y238" s="192">
        <f t="shared" si="85"/>
        <v>2.4613999999999998</v>
      </c>
      <c r="Z238" s="192">
        <f t="shared" si="86"/>
        <v>2.4327999999999999</v>
      </c>
      <c r="AA238" s="192">
        <f t="shared" si="87"/>
        <v>2.8599999999999959E-2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8"/>
        <v>52-22</v>
      </c>
      <c r="AE238" s="80" t="str">
        <f t="shared" si="89"/>
        <v>aws s3 cp s3://rtdc.mdm.uploadarchive.raw/RTDC4055/ "%USERPROFILE%\AppData\Local\Temp\OnboardLogs"\RTDC4055\2017-05-22 --exclude "*" --recursive --include "*20170522*" &amp; "%USERPROFILE%\Documents\GitHub\mrs-test-scripts\Headless Mode &amp; Sideloading\WalkAndUnGZ.bat" "%USERPROFILE%\AppData\Local\Temp\OnboardLogs"\RTDC4055\2017-05-22 &amp; aws s3 cp s3://rtdc.mdm.uploadarchive.raw/RTDC4055/ "%USERPROFILE%\AppData\Local\Temp\OnboardLogs"\RTDC4055\2017-05-23 --exclude "*" --recursive --include "*20170523*" &amp; "%USERPROFILE%\Documents\GitHub\mrs-test-scripts\Headless Mode &amp; Sideloading\WalkAndUnGZ.bat" "%USERPROFILE%\AppData\Local\Temp\OnboardLogs"\RTDC4055\2017-05-23</v>
      </c>
      <c r="AF238" s="77" t="str">
        <f t="shared" si="90"/>
        <v>"C:\Program Files (x86)\AstroGrep\AstroGrep.exe" /e /r /s /spath="%USERPROFILE%\AppData\Local\Temp\OnboardLogs" /stypes="app*4055*20170522*" /stext=" 17:.+((SYSTEM_STATE.+slice.+state.+changed )|(ment ac)|(multiple cpu faults)|(system.+state.+changed )|(\[timeout)|(PRM\|1\|D)|(kpr)|(kdp)|(train st.+moving)|(\|lc)|(penalty))"</v>
      </c>
      <c r="AG238" s="1" t="str">
        <f t="shared" si="91"/>
        <v>Other</v>
      </c>
      <c r="AH238" s="81" t="str">
        <f t="shared" si="92"/>
        <v>"%USERPROFILE%\Documents\GitHub\eaglep3\Utilities\RefineRTDCRunTimes.py" --tripid 52-22 --locoid 4055 --swversion DE.1.0.9.0 --startMP 300:24614 --initTime 2017-05-22T10:40:11 --startdatetime 2017-05-22T10:55:34 --delay 6 --endMP 300:24328 --enddatetime 2017-05-22T11:04:09 --enforcementcount 0 &gt;&gt;C:\Users\stu\Documents\GitHub\eaglep3-reporting\EC\2017-05-22-refined-times.txt</v>
      </c>
      <c r="AI238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{"issue":{"subject":"","project_id":79,"tracker_id":40,"status_id":1,"priority_id":2,"assigned_to_id":23,"start_date":"2017-05-22","description":"","custom_fields":[{"id":1,"name":"Subdivision","value":"Other"},{"id":4,"name":"Milepost","value":"2.4328"},{"id":17,"name":"Train ID","value":"52-22"},{"id":16,"name":"Locomotive ID","value":"4055"},{"id":130,"name":"Impact","value":""},{"id":150,"name":"Time of Event (Mountain Time)","value":"11:04:09"},{"id":151,"name":"Denver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4"/>
        <v>start /low /b %USERPROFILE%\Documents\GitHub\eaglep3\Utilities\DownloadLogsFromS3.py --loco 4055 --day 2017-05-22</v>
      </c>
      <c r="AN238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17:04:09"},{"id":29,"name":"Sharepoint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672</v>
      </c>
      <c r="B239" s="7">
        <v>4021</v>
      </c>
      <c r="C239" s="21" t="s">
        <v>206</v>
      </c>
      <c r="D239" s="21" t="s">
        <v>922</v>
      </c>
      <c r="E239" s="13">
        <v>42877.317384259259</v>
      </c>
      <c r="F239" s="13">
        <v>42877.318865740737</v>
      </c>
      <c r="G239" s="7">
        <v>1</v>
      </c>
      <c r="H239" s="21" t="s">
        <v>357</v>
      </c>
      <c r="I239" s="13">
        <v>42877.319988425923</v>
      </c>
      <c r="J239" s="7">
        <v>0</v>
      </c>
      <c r="K239" s="92" t="str">
        <f t="shared" si="80"/>
        <v>4021/4022</v>
      </c>
      <c r="L239" s="21" t="str">
        <f>VLOOKUP(A239,'Trips&amp;Operators'!$C$1:$G$99999,5,FALSE)</f>
        <v>MAYBERRY BILL</v>
      </c>
      <c r="M239" s="6">
        <f t="shared" si="81"/>
        <v>1.1226851856918074E-3</v>
      </c>
      <c r="N239" s="7">
        <f t="shared" si="96"/>
        <v>1.6166666673962027</v>
      </c>
      <c r="O239" s="7"/>
      <c r="P239" s="7"/>
      <c r="Q239" s="22"/>
      <c r="R239" s="190"/>
      <c r="S239" s="196">
        <f t="shared" si="97"/>
        <v>0</v>
      </c>
      <c r="T239" s="190" t="e">
        <f t="shared" si="82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3"/>
        <v>https://d0f6bd738d7f1b3e5a7ca70fe4ff75f0.us-east-1.aws.found.io/app/kibana#/discover/Steve-Slow-Train-Analysis-(2080s-and-2083s)?_g=(refreshInterval:(display:Off,pause:!f,section:0,value:0),time:(from:'2017-05-22T06:37:02-0600',mode:absolute,to:'2017-05-22T08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9" s="192" t="str">
        <f t="shared" si="84"/>
        <v>Y</v>
      </c>
      <c r="X239" s="192" t="e">
        <f t="shared" si="98"/>
        <v>#VALUE!</v>
      </c>
      <c r="Y239" s="192">
        <f t="shared" si="85"/>
        <v>0.29609999999999997</v>
      </c>
      <c r="Z239" s="192">
        <f t="shared" si="86"/>
        <v>1.43E-2</v>
      </c>
      <c r="AA239" s="192">
        <f t="shared" si="87"/>
        <v>0.28179999999999999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8"/>
        <v>53-22</v>
      </c>
      <c r="AE239" s="80" t="str">
        <f t="shared" si="89"/>
        <v>aws s3 cp s3://rtdc.mdm.uploadarchive.raw/RTDC4021/ "%USERPROFILE%\AppData\Local\Temp\OnboardLogs"\RTDC4021\2017-05-22 --exclude "*" --recursive --include "*20170522*" &amp; "%USERPROFILE%\Documents\GitHub\mrs-test-scripts\Headless Mode &amp; Sideloading\WalkAndUnGZ.bat" "%USERPROFILE%\AppData\Local\Temp\OnboardLogs"\RTDC4021\2017-05-22 &amp; 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</v>
      </c>
      <c r="AF239" s="77" t="str">
        <f t="shared" si="90"/>
        <v>"C:\Program Files (x86)\AstroGrep\AstroGrep.exe" /e /r /s /spath="%USERPROFILE%\AppData\Local\Temp\OnboardLogs" /stypes="app*4021*20170522*" /stext=" 13:.+((SYSTEM_STATE.+slice.+state.+changed )|(ment ac)|(multiple cpu faults)|(system.+state.+changed )|(\[timeout)|(PRM\|1\|D)|(kpr)|(kdp)|(train st.+moving)|(\|lc)|(penalty))"</v>
      </c>
      <c r="AG239" s="1" t="str">
        <f t="shared" si="91"/>
        <v>Other</v>
      </c>
      <c r="AH239" s="81" t="str">
        <f t="shared" si="92"/>
        <v>"%USERPROFILE%\Documents\GitHub\eaglep3\Utilities\RefineRTDCRunTimes.py" --tripid 53-22 --locoid 4021 --swversion DE.1.0.9.0 --startMP 204:2961 --initTime 2017-05-22T07:37:02 --startdatetime 2017-05-22T07:39:10 --delay 1 --endMP 204:143 --enddatetime 2017-05-22T07:40:47 --enforcementcount 0 &gt;&gt;C:\Users\stu\Documents\GitHub\eaglep3-reporting\EC\2017-05-22-refined-times.txt</v>
      </c>
      <c r="AI239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{"issue":{"subject":"","project_id":79,"tracker_id":40,"status_id":1,"priority_id":2,"assigned_to_id":23,"start_date":"2017-05-22","description":"","custom_fields":[{"id":1,"name":"Subdivision","value":"Other"},{"id":4,"name":"Milepost","value":"0.0143"},{"id":17,"name":"Train ID","value":"53-22"},{"id":16,"name":"Locomotive ID","value":"4021"},{"id":130,"name":"Impact","value":""},{"id":150,"name":"Time of Event (Mountain Time)","value":"07:40:47"},{"id":151,"name":"Denver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4"/>
        <v>start /low /b %USERPROFILE%\Documents\GitHub\eaglep3\Utilities\DownloadLogsFromS3.py --loco 4021 --day 2017-05-22</v>
      </c>
      <c r="AN239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672</v>
      </c>
      <c r="B240" s="7">
        <v>4022</v>
      </c>
      <c r="C240" s="21" t="s">
        <v>206</v>
      </c>
      <c r="D240" s="21" t="s">
        <v>923</v>
      </c>
      <c r="E240" s="13">
        <v>42877.312222222223</v>
      </c>
      <c r="F240" s="13">
        <v>42877.318865740737</v>
      </c>
      <c r="G240" s="7">
        <v>1</v>
      </c>
      <c r="H240" s="21" t="s">
        <v>924</v>
      </c>
      <c r="I240" s="13">
        <v>42877.319988425923</v>
      </c>
      <c r="J240" s="7">
        <v>0</v>
      </c>
      <c r="K240" s="92" t="str">
        <f t="shared" si="80"/>
        <v>4021/4022</v>
      </c>
      <c r="L240" s="21" t="str">
        <f>VLOOKUP(A240,'Trips&amp;Operators'!$C$1:$G$99999,5,FALSE)</f>
        <v>MAYBERRY BILL</v>
      </c>
      <c r="M240" s="6">
        <f t="shared" si="81"/>
        <v>1.1226851856918074E-3</v>
      </c>
      <c r="N240" s="7">
        <f t="shared" si="96"/>
        <v>1.6166666673962027</v>
      </c>
      <c r="O240" s="7"/>
      <c r="P240" s="7"/>
      <c r="Q240" s="22"/>
      <c r="R240" s="190"/>
      <c r="S240" s="196">
        <f t="shared" si="97"/>
        <v>0</v>
      </c>
      <c r="T240" s="190" t="e">
        <f t="shared" si="82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3"/>
        <v>https://d0f6bd738d7f1b3e5a7ca70fe4ff75f0.us-east-1.aws.found.io/app/kibana#/discover/Steve-Slow-Train-Analysis-(2080s-and-2083s)?_g=(refreshInterval:(display:Off,pause:!f,section:0,value:0),time:(from:'2017-05-22T06:29:36-0600',mode:absolute,to:'2017-05-22T08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92" t="str">
        <f t="shared" si="84"/>
        <v>Y</v>
      </c>
      <c r="X240" s="192" t="e">
        <f t="shared" si="98"/>
        <v>#VALUE!</v>
      </c>
      <c r="Y240" s="192">
        <f t="shared" si="85"/>
        <v>0.1469</v>
      </c>
      <c r="Z240" s="192">
        <f t="shared" si="86"/>
        <v>0.32879999999999998</v>
      </c>
      <c r="AA240" s="192">
        <f t="shared" si="87"/>
        <v>0.18189999999999998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8"/>
        <v>53-22</v>
      </c>
      <c r="AE240" s="80" t="str">
        <f t="shared" si="89"/>
        <v>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 &amp; 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</v>
      </c>
      <c r="AF240" s="77" t="str">
        <f t="shared" si="90"/>
        <v>"C:\Program Files (x86)\AstroGrep\AstroGrep.exe" /e /r /s /spath="%USERPROFILE%\AppData\Local\Temp\OnboardLogs" /stypes="app*4022*20170522*" /stext=" 13:.+((SYSTEM_STATE.+slice.+state.+changed )|(ment ac)|(multiple cpu faults)|(system.+state.+changed )|(\[timeout)|(PRM\|1\|D)|(kpr)|(kdp)|(train st.+moving)|(\|lc)|(penalty))"</v>
      </c>
      <c r="AG240" s="1" t="str">
        <f t="shared" si="91"/>
        <v>Other</v>
      </c>
      <c r="AH240" s="81" t="str">
        <f t="shared" si="92"/>
        <v>"%USERPROFILE%\Documents\GitHub\eaglep3\Utilities\RefineRTDCRunTimes.py" --tripid 53-22 --locoid 4022 --swversion DE.1.0.9.0 --startMP 204:1469 --initTime 2017-05-22T07:29:36 --startdatetime 2017-05-22T07:39:10 --delay 1 --endMP 204:3288 --enddatetime 2017-05-22T07:40:47 --enforcementcount 0 &gt;&gt;C:\Users\stu\Documents\GitHub\eaglep3-reporting\EC\2017-05-22-refined-times.txt</v>
      </c>
      <c r="AI240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{"issue":{"subject":"","project_id":79,"tracker_id":40,"status_id":1,"priority_id":2,"assigned_to_id":23,"start_date":"2017-05-22","description":"","custom_fields":[{"id":1,"name":"Subdivision","value":"Other"},{"id":4,"name":"Milepost","value":"0.3288"},{"id":17,"name":"Train ID","value":"53-22"},{"id":16,"name":"Locomotive ID","value":"4022"},{"id":130,"name":"Impact","value":""},{"id":150,"name":"Time of Event (Mountain Time)","value":"07:40:47"},{"id":151,"name":"Denver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4"/>
        <v>start /low /b %USERPROFILE%\Documents\GitHub\eaglep3\Utilities\DownloadLogsFromS3.py --loco 4022 --day 2017-05-22</v>
      </c>
      <c r="AN240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616</v>
      </c>
      <c r="B241" s="7">
        <v>4049</v>
      </c>
      <c r="C241" s="21" t="s">
        <v>206</v>
      </c>
      <c r="D241" s="21" t="s">
        <v>538</v>
      </c>
      <c r="E241" s="13">
        <v>42877.981180555558</v>
      </c>
      <c r="F241" s="13">
        <v>42877.985509259262</v>
      </c>
      <c r="G241" s="7">
        <v>1</v>
      </c>
      <c r="H241" s="21" t="s">
        <v>925</v>
      </c>
      <c r="I241" s="13">
        <v>42877.992164351854</v>
      </c>
      <c r="J241" s="7">
        <v>0</v>
      </c>
      <c r="K241" s="92" t="str">
        <f t="shared" si="80"/>
        <v>4049/4050</v>
      </c>
      <c r="L241" s="21" t="str">
        <f>VLOOKUP(A241,'Trips&amp;Operators'!$C$1:$G$99999,5,FALSE)</f>
        <v>SULLIVAN BRANDON</v>
      </c>
      <c r="M241" s="6">
        <f t="shared" si="81"/>
        <v>6.655092591245193E-3</v>
      </c>
      <c r="N241" s="7">
        <f t="shared" si="96"/>
        <v>9.583333331393078</v>
      </c>
      <c r="O241" s="7"/>
      <c r="P241" s="7"/>
      <c r="Q241" s="22"/>
      <c r="R241" s="190"/>
      <c r="S241" s="196">
        <f t="shared" si="97"/>
        <v>0</v>
      </c>
      <c r="T241" s="190" t="e">
        <f t="shared" si="82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3"/>
        <v>https://d0f6bd738d7f1b3e5a7ca70fe4ff75f0.us-east-1.aws.found.io/app/kibana#/discover/Steve-Slow-Train-Analysis-(2080s-and-2083s)?_g=(refreshInterval:(display:Off,pause:!f,section:0,value:0),time:(from:'2017-05-22T22:32:54-0600',mode:absolute,to:'2017-05-23T00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1" s="192" t="str">
        <f t="shared" si="84"/>
        <v>N</v>
      </c>
      <c r="X241" s="192" t="e">
        <f t="shared" si="98"/>
        <v>#VALUE!</v>
      </c>
      <c r="Y241" s="192">
        <f t="shared" si="85"/>
        <v>23.2971</v>
      </c>
      <c r="Z241" s="192">
        <f t="shared" si="86"/>
        <v>15.400499999999999</v>
      </c>
      <c r="AA241" s="192">
        <f t="shared" si="87"/>
        <v>7.8966000000000012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8"/>
        <v>54-22</v>
      </c>
      <c r="AE241" s="80" t="str">
        <f t="shared" si="89"/>
        <v>aws s3 cp s3://rtdc.mdm.uploadarchive.raw/RTDC4049/ "%USERPROFILE%\AppData\Local\Temp\OnboardLogs"\RTDC4049\2017-05-22 --exclude "*" --recursive --include "*20170522*" &amp; "%USERPROFILE%\Documents\GitHub\mrs-test-scripts\Headless Mode &amp; Sideloading\WalkAndUnGZ.bat" "%USERPROFILE%\AppData\Local\Temp\OnboardLogs"\RTDC4049\2017-05-22 &amp; 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</v>
      </c>
      <c r="AF241" s="77" t="str">
        <f t="shared" si="90"/>
        <v>"C:\Program Files (x86)\AstroGrep\AstroGrep.exe" /e /r /s /spath="%USERPROFILE%\AppData\Local\Temp\OnboardLogs" /stypes="app*4049*20170523*" /stext=" 05:.+((SYSTEM_STATE.+slice.+state.+changed )|(ment ac)|(multiple cpu faults)|(system.+state.+changed )|(\[timeout)|(PRM\|1\|D)|(kpr)|(kdp)|(train st.+moving)|(\|lc)|(penalty))"</v>
      </c>
      <c r="AG241" s="1" t="str">
        <f t="shared" si="91"/>
        <v>Other</v>
      </c>
      <c r="AH241" s="81" t="str">
        <f t="shared" si="92"/>
        <v>"%USERPROFILE%\Documents\GitHub\eaglep3\Utilities\RefineRTDCRunTimes.py" --tripid 54-22 --locoid 4049 --swversion DE.1.0.9.0 --startMP 204:232971 --initTime 2017-05-22T23:32:54 --startdatetime 2017-05-22T23:39:08 --delay 1 --endMP 204:154005 --enddatetime 2017-05-22T23:48:43 --enforcementcount 0 &gt;&gt;C:\Users\stu\Documents\GitHub\eaglep3-reporting\EC\2017-05-22-refined-times.txt</v>
      </c>
      <c r="AI241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{"issue":{"subject":"","project_id":79,"tracker_id":40,"status_id":1,"priority_id":2,"assigned_to_id":23,"start_date":"2017-05-22","description":"","custom_fields":[{"id":1,"name":"Subdivision","value":"Other"},{"id":4,"name":"Milepost","value":"15.4005"},{"id":17,"name":"Train ID","value":"54-22"},{"id":16,"name":"Locomotive ID","value":"4049"},{"id":130,"name":"Impact","value":""},{"id":150,"name":"Time of Event (Mountain Time)","value":"23:48:43"},{"id":151,"name":"Denver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4"/>
        <v>start /low /b %USERPROFILE%\Documents\GitHub\eaglep3\Utilities\DownloadLogsFromS3.py --loco 4049 --day 2017-05-22</v>
      </c>
      <c r="AN241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616</v>
      </c>
      <c r="B242" s="7">
        <v>4049</v>
      </c>
      <c r="C242" s="21" t="s">
        <v>206</v>
      </c>
      <c r="D242" s="21" t="s">
        <v>417</v>
      </c>
      <c r="E242" s="13">
        <v>42877.956122685187</v>
      </c>
      <c r="F242" s="13">
        <v>42877.985509259262</v>
      </c>
      <c r="G242" s="7">
        <v>1</v>
      </c>
      <c r="H242" s="21" t="s">
        <v>926</v>
      </c>
      <c r="I242" s="13">
        <v>42877.992164351854</v>
      </c>
      <c r="J242" s="7">
        <v>0</v>
      </c>
      <c r="K242" s="92" t="str">
        <f t="shared" si="80"/>
        <v>4049/4050</v>
      </c>
      <c r="L242" s="21" t="str">
        <f>VLOOKUP(A242,'Trips&amp;Operators'!$C$1:$G$99999,5,FALSE)</f>
        <v>SULLIVAN BRANDON</v>
      </c>
      <c r="M242" s="6">
        <f t="shared" si="81"/>
        <v>6.655092591245193E-3</v>
      </c>
      <c r="N242" s="7">
        <f t="shared" si="96"/>
        <v>9.583333331393078</v>
      </c>
      <c r="O242" s="7"/>
      <c r="P242" s="7"/>
      <c r="Q242" s="22"/>
      <c r="R242" s="190"/>
      <c r="S242" s="196">
        <f t="shared" si="97"/>
        <v>0</v>
      </c>
      <c r="T242" s="190" t="e">
        <f t="shared" si="82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3"/>
        <v>https://d0f6bd738d7f1b3e5a7ca70fe4ff75f0.us-east-1.aws.found.io/app/kibana#/discover/Steve-Slow-Train-Analysis-(2080s-and-2083s)?_g=(refreshInterval:(display:Off,pause:!f,section:0,value:0),time:(from:'2017-05-22T21:56:49-0600',mode:absolute,to:'2017-05-23T00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2" s="192" t="str">
        <f t="shared" si="84"/>
        <v>N</v>
      </c>
      <c r="X242" s="192" t="e">
        <f t="shared" si="98"/>
        <v>#VALUE!</v>
      </c>
      <c r="Y242" s="192">
        <f t="shared" si="85"/>
        <v>23.298200000000001</v>
      </c>
      <c r="Z242" s="192">
        <f t="shared" si="86"/>
        <v>15.3988</v>
      </c>
      <c r="AA242" s="192">
        <f t="shared" si="87"/>
        <v>7.8994000000000018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8"/>
        <v>54-22</v>
      </c>
      <c r="AE242" s="80" t="str">
        <f t="shared" si="89"/>
        <v>aws s3 cp s3://rtdc.mdm.uploadarchive.raw/RTDC4049/ "%USERPROFILE%\AppData\Local\Temp\OnboardLogs"\RTDC4049\2017-05-22 --exclude "*" --recursive --include "*20170522*" &amp; "%USERPROFILE%\Documents\GitHub\mrs-test-scripts\Headless Mode &amp; Sideloading\WalkAndUnGZ.bat" "%USERPROFILE%\AppData\Local\Temp\OnboardLogs"\RTDC4049\2017-05-22 &amp; 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</v>
      </c>
      <c r="AF242" s="77" t="str">
        <f t="shared" si="90"/>
        <v>"C:\Program Files (x86)\AstroGrep\AstroGrep.exe" /e /r /s /spath="%USERPROFILE%\AppData\Local\Temp\OnboardLogs" /stypes="app*4049*20170523*" /stext=" 05:.+((SYSTEM_STATE.+slice.+state.+changed )|(ment ac)|(multiple cpu faults)|(system.+state.+changed )|(\[timeout)|(PRM\|1\|D)|(kpr)|(kdp)|(train st.+moving)|(\|lc)|(penalty))"</v>
      </c>
      <c r="AG242" s="1" t="str">
        <f t="shared" si="91"/>
        <v>Other</v>
      </c>
      <c r="AH242" s="81" t="str">
        <f t="shared" si="92"/>
        <v>"%USERPROFILE%\Documents\GitHub\eaglep3\Utilities\RefineRTDCRunTimes.py" --tripid 54-22 --locoid 4049 --swversion DE.1.0.9.0 --startMP 204:232982 --initTime 2017-05-22T22:56:49 --startdatetime 2017-05-22T23:39:08 --delay 1 --endMP 204:153988 --enddatetime 2017-05-22T23:48:43 --enforcementcount 0 &gt;&gt;C:\Users\stu\Documents\GitHub\eaglep3-reporting\EC\2017-05-22-refined-times.txt</v>
      </c>
      <c r="AI242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{"issue":{"subject":"","project_id":79,"tracker_id":40,"status_id":1,"priority_id":2,"assigned_to_id":23,"start_date":"2017-05-22","description":"","custom_fields":[{"id":1,"name":"Subdivision","value":"Other"},{"id":4,"name":"Milepost","value":"15.3988"},{"id":17,"name":"Train ID","value":"54-22"},{"id":16,"name":"Locomotive ID","value":"4049"},{"id":130,"name":"Impact","value":""},{"id":150,"name":"Time of Event (Mountain Time)","value":"23:48:43"},{"id":151,"name":"Denver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4"/>
        <v>start /low /b %USERPROFILE%\Documents\GitHub\eaglep3\Utilities\DownloadLogsFromS3.py --loco 4049 --day 2017-05-22</v>
      </c>
      <c r="AN242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05:48:43"},{"id":29,"name":"Sharepoint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616</v>
      </c>
      <c r="B243" s="7">
        <v>4049</v>
      </c>
      <c r="C243" s="21" t="s">
        <v>206</v>
      </c>
      <c r="D243" s="21" t="s">
        <v>488</v>
      </c>
      <c r="E243" s="13">
        <v>42877.880937499998</v>
      </c>
      <c r="F243" s="13">
        <v>42877.884189814817</v>
      </c>
      <c r="G243" s="7">
        <v>3</v>
      </c>
      <c r="H243" s="21" t="s">
        <v>927</v>
      </c>
      <c r="I243" s="13">
        <v>42877.890763888892</v>
      </c>
      <c r="J243" s="7">
        <v>0</v>
      </c>
      <c r="K243" s="92" t="str">
        <f t="shared" si="80"/>
        <v>4049/4050</v>
      </c>
      <c r="L243" s="21" t="str">
        <f>VLOOKUP(A243,'Trips&amp;Operators'!$C$1:$G$99999,5,FALSE)</f>
        <v>SULLIVAN BRANDON</v>
      </c>
      <c r="M243" s="6">
        <f t="shared" si="81"/>
        <v>6.5740740756154992E-3</v>
      </c>
      <c r="N243" s="7">
        <f t="shared" si="96"/>
        <v>9.4666666688863188</v>
      </c>
      <c r="O243" s="7"/>
      <c r="P243" s="7"/>
      <c r="Q243" s="22"/>
      <c r="R243" s="190"/>
      <c r="S243" s="196">
        <f t="shared" si="97"/>
        <v>0</v>
      </c>
      <c r="T243" s="190" t="e">
        <f t="shared" si="82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3"/>
        <v>https://d0f6bd738d7f1b3e5a7ca70fe4ff75f0.us-east-1.aws.found.io/app/kibana#/discover/Steve-Slow-Train-Analysis-(2080s-and-2083s)?_g=(refreshInterval:(display:Off,pause:!f,section:0,value:0),time:(from:'2017-05-22T20:08:33-0600',mode:absolute,to:'2017-05-22T22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3" s="192" t="str">
        <f t="shared" si="84"/>
        <v>Y</v>
      </c>
      <c r="X243" s="192" t="e">
        <f t="shared" si="98"/>
        <v>#VALUE!</v>
      </c>
      <c r="Y243" s="192">
        <f t="shared" si="85"/>
        <v>23.301500000000001</v>
      </c>
      <c r="Z243" s="192">
        <f t="shared" si="86"/>
        <v>19.515599999999999</v>
      </c>
      <c r="AA243" s="192">
        <f t="shared" si="87"/>
        <v>3.7859000000000016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8"/>
        <v>54-22</v>
      </c>
      <c r="AE243" s="80" t="str">
        <f t="shared" si="89"/>
        <v>aws s3 cp s3://rtdc.mdm.uploadarchive.raw/RTDC4049/ "%USERPROFILE%\AppData\Local\Temp\OnboardLogs"\RTDC4049\2017-05-22 --exclude "*" --recursive --include "*20170522*" &amp; "%USERPROFILE%\Documents\GitHub\mrs-test-scripts\Headless Mode &amp; Sideloading\WalkAndUnGZ.bat" "%USERPROFILE%\AppData\Local\Temp\OnboardLogs"\RTDC4049\2017-05-22 &amp; 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</v>
      </c>
      <c r="AF243" s="77" t="str">
        <f t="shared" si="90"/>
        <v>"C:\Program Files (x86)\AstroGrep\AstroGrep.exe" /e /r /s /spath="%USERPROFILE%\AppData\Local\Temp\OnboardLogs" /stypes="app*4049*20170523*" /stext=" 03:.+((SYSTEM_STATE.+slice.+state.+changed )|(ment ac)|(multiple cpu faults)|(system.+state.+changed )|(\[timeout)|(PRM\|1\|D)|(kpr)|(kdp)|(train st.+moving)|(\|lc)|(penalty))"</v>
      </c>
      <c r="AG243" s="1" t="str">
        <f t="shared" si="91"/>
        <v>Other</v>
      </c>
      <c r="AH243" s="81" t="str">
        <f t="shared" si="92"/>
        <v>"%USERPROFILE%\Documents\GitHub\eaglep3\Utilities\RefineRTDCRunTimes.py" --tripid 54-22 --locoid 4049 --swversion DE.1.0.9.0 --startMP 204:233015 --initTime 2017-05-22T21:08:33 --startdatetime 2017-05-22T21:13:14 --delay 3 --endMP 204:195156 --enddatetime 2017-05-22T21:22:42 --enforcementcount 0 &gt;&gt;C:\Users\stu\Documents\GitHub\eaglep3-reporting\EC\2017-05-22-refined-times.txt</v>
      </c>
      <c r="AI243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{"issue":{"subject":"","project_id":79,"tracker_id":40,"status_id":1,"priority_id":2,"assigned_to_id":23,"start_date":"2017-05-22","description":"","custom_fields":[{"id":1,"name":"Subdivision","value":"Other"},{"id":4,"name":"Milepost","value":"19.5156"},{"id":17,"name":"Train ID","value":"54-22"},{"id":16,"name":"Locomotive ID","value":"4049"},{"id":130,"name":"Impact","value":""},{"id":150,"name":"Time of Event (Mountain Time)","value":"21:22:42"},{"id":151,"name":"Denver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4"/>
        <v>start /low /b %USERPROFILE%\Documents\GitHub\eaglep3\Utilities\DownloadLogsFromS3.py --loco 4049 --day 2017-05-22</v>
      </c>
      <c r="AN243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616</v>
      </c>
      <c r="B244" s="7">
        <v>4049</v>
      </c>
      <c r="C244" s="21" t="s">
        <v>206</v>
      </c>
      <c r="D244" s="21" t="s">
        <v>483</v>
      </c>
      <c r="E244" s="13">
        <v>42877.91170138889</v>
      </c>
      <c r="F244" s="13">
        <v>42877.922523148147</v>
      </c>
      <c r="G244" s="7">
        <v>1</v>
      </c>
      <c r="H244" s="21" t="s">
        <v>928</v>
      </c>
      <c r="I244" s="13">
        <v>42877.931840277779</v>
      </c>
      <c r="J244" s="7">
        <v>0</v>
      </c>
      <c r="K244" s="92" t="str">
        <f t="shared" si="80"/>
        <v>4049/4050</v>
      </c>
      <c r="L244" s="21" t="str">
        <f>VLOOKUP(A244,'Trips&amp;Operators'!$C$1:$G$99999,5,FALSE)</f>
        <v>SULLIVAN BRANDON</v>
      </c>
      <c r="M244" s="6">
        <f t="shared" si="81"/>
        <v>9.3171296321088448E-3</v>
      </c>
      <c r="N244" s="7">
        <f t="shared" si="96"/>
        <v>13.416666670236737</v>
      </c>
      <c r="O244" s="7"/>
      <c r="P244" s="7"/>
      <c r="Q244" s="22"/>
      <c r="R244" s="190" t="s">
        <v>1035</v>
      </c>
      <c r="S244" s="196">
        <f t="shared" si="97"/>
        <v>0</v>
      </c>
      <c r="T244" s="190" t="e">
        <f t="shared" si="82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3"/>
        <v>https://d0f6bd738d7f1b3e5a7ca70fe4ff75f0.us-east-1.aws.found.io/app/kibana#/discover/Steve-Slow-Train-Analysis-(2080s-and-2083s)?_g=(refreshInterval:(display:Off,pause:!f,section:0,value:0),time:(from:'2017-05-22T20:52:51-0600',mode:absolute,to:'2017-05-22T23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4" s="192" t="str">
        <f t="shared" si="84"/>
        <v>N</v>
      </c>
      <c r="X244" s="192" t="e">
        <f t="shared" si="98"/>
        <v>#VALUE!</v>
      </c>
      <c r="Y244" s="192">
        <f t="shared" si="85"/>
        <v>23.302299999999999</v>
      </c>
      <c r="Z244" s="192">
        <f t="shared" si="86"/>
        <v>15.4001</v>
      </c>
      <c r="AA244" s="192">
        <f t="shared" si="87"/>
        <v>7.9021999999999988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8"/>
        <v>54-22</v>
      </c>
      <c r="AE244" s="80" t="str">
        <f t="shared" si="89"/>
        <v>aws s3 cp s3://rtdc.mdm.uploadarchive.raw/RTDC4049/ "%USERPROFILE%\AppData\Local\Temp\OnboardLogs"\RTDC4049\2017-05-22 --exclude "*" --recursive --include "*20170522*" &amp; "%USERPROFILE%\Documents\GitHub\mrs-test-scripts\Headless Mode &amp; Sideloading\WalkAndUnGZ.bat" "%USERPROFILE%\AppData\Local\Temp\OnboardLogs"\RTDC4049\2017-05-22 &amp; 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</v>
      </c>
      <c r="AF244" s="77" t="str">
        <f t="shared" si="90"/>
        <v>"C:\Program Files (x86)\AstroGrep\AstroGrep.exe" /e /r /s /spath="%USERPROFILE%\AppData\Local\Temp\OnboardLogs" /stypes="app*4049*20170523*" /stext=" 04:.+((SYSTEM_STATE.+slice.+state.+changed )|(ment ac)|(multiple cpu faults)|(system.+state.+changed )|(\[timeout)|(PRM\|1\|D)|(kpr)|(kdp)|(train st.+moving)|(\|lc)|(penalty))"</v>
      </c>
      <c r="AG244" s="1" t="str">
        <f t="shared" si="91"/>
        <v>Other</v>
      </c>
      <c r="AH244" s="81" t="str">
        <f t="shared" si="92"/>
        <v>"%USERPROFILE%\Documents\GitHub\eaglep3\Utilities\RefineRTDCRunTimes.py" --tripid 54-22 --locoid 4049 --swversion DE.1.0.9.0 --startMP 204:233023 --initTime 2017-05-22T21:52:51 --startdatetime 2017-05-22T22:08:26 --delay 1 --endMP 204:154001 --enddatetime 2017-05-22T22:21:51 --enforcementcount 0 &gt;&gt;C:\Users\stu\Documents\GitHub\eaglep3-reporting\EC\2017-05-22-refined-times.txt</v>
      </c>
      <c r="AI244" s="99" t="str">
        <f t="shared" si="93"/>
        <v>echo {"issue":{"subject":"Incident about red fence enforcement - was due to overspeed","project_id":79,"tracker_id":40,"status_id":1,"priority_id":2,"assigned_to_id":23,"start_date":"2017-05-22","description":"","custom_fields":[{"id":1,"name":"Subdivision","value":"Other"},{"id":4,"name":"Milepost","value":"15.4001"},{"id":17,"name":"Train ID","value":"54-22"},{"id":16,"name":"Locomotive ID","value":"4049"},{"id":130,"name":"Impact","value":""},{"id":150,"name":"Time of Event (Mountain Time)","value":"22:21:51"},{"id":151,"name":"Denver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4"/>
        <v>start /low /b %USERPROFILE%\Documents\GitHub\eaglep3\Utilities\DownloadLogsFromS3.py --loco 4049 --day 2017-05-22</v>
      </c>
      <c r="AN244" s="154" t="str">
        <f t="shared" si="95"/>
        <v>echo {"issue":{"subject":"Incident about red fence enforcement - was due to overspeed","project_id":30,"tracker_id":4,"status_id":1,"priority_id":1,"assigned_to_id":10,"start_date":"2017-05-23","description":"","custom_fields":[{"id":30,"name":"Category","value":"Issue"},{"id":3,"name":"Functional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04:21:51"},{"id":29,"name":"Sharepoint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703</v>
      </c>
      <c r="B245" s="7">
        <v>4015</v>
      </c>
      <c r="C245" s="21" t="s">
        <v>206</v>
      </c>
      <c r="D245" s="21" t="s">
        <v>929</v>
      </c>
      <c r="E245" s="13">
        <v>42877.454467592594</v>
      </c>
      <c r="F245" s="13">
        <v>42877.456180555557</v>
      </c>
      <c r="G245" s="7">
        <v>1</v>
      </c>
      <c r="H245" s="21" t="s">
        <v>930</v>
      </c>
      <c r="I245" s="13">
        <v>42877.457442129627</v>
      </c>
      <c r="J245" s="7">
        <v>0</v>
      </c>
      <c r="K245" s="92" t="str">
        <f t="shared" si="80"/>
        <v>4015/4016</v>
      </c>
      <c r="L245" s="21" t="str">
        <f>VLOOKUP(A245,'Trips&amp;Operators'!$C$1:$G$99999,5,FALSE)</f>
        <v>ROMERO CHAD</v>
      </c>
      <c r="M245" s="6">
        <f t="shared" si="81"/>
        <v>1.261574070667848E-3</v>
      </c>
      <c r="N245" s="7">
        <f t="shared" si="96"/>
        <v>1.8166666617617011</v>
      </c>
      <c r="O245" s="7"/>
      <c r="P245" s="7"/>
      <c r="Q245" s="22"/>
      <c r="R245" s="190"/>
      <c r="S245" s="196">
        <f t="shared" si="97"/>
        <v>0</v>
      </c>
      <c r="T245" s="190" t="e">
        <f t="shared" si="82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3"/>
        <v>https://d0f6bd738d7f1b3e5a7ca70fe4ff75f0.us-east-1.aws.found.io/app/kibana#/discover/Steve-Slow-Train-Analysis-(2080s-and-2083s)?_g=(refreshInterval:(display:Off,pause:!f,section:0,value:0),time:(from:'2017-05-22T09:54:26-0600',mode:absolute,to:'2017-05-22T11:58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5" s="192" t="str">
        <f t="shared" si="84"/>
        <v>Y</v>
      </c>
      <c r="X245" s="192" t="e">
        <f t="shared" si="98"/>
        <v>#VALUE!</v>
      </c>
      <c r="Y245" s="192">
        <f t="shared" si="85"/>
        <v>0.32169999999999999</v>
      </c>
      <c r="Z245" s="192">
        <f t="shared" si="86"/>
        <v>1.01E-2</v>
      </c>
      <c r="AA245" s="192">
        <f t="shared" si="87"/>
        <v>0.31159999999999999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8"/>
        <v>55-22</v>
      </c>
      <c r="AE245" s="80" t="str">
        <f t="shared" si="89"/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AF245" s="77" t="str">
        <f t="shared" si="90"/>
        <v>"C:\Program Files (x86)\AstroGrep\AstroGrep.exe" /e /r /s /spath="%USERPROFILE%\AppData\Local\Temp\OnboardLogs" /stypes="app*4015*20170522*" /stext=" 16:.+((SYSTEM_STATE.+slice.+state.+changed )|(ment ac)|(multiple cpu faults)|(system.+state.+changed )|(\[timeout)|(PRM\|1\|D)|(kpr)|(kdp)|(train st.+moving)|(\|lc)|(penalty))"</v>
      </c>
      <c r="AG245" s="1" t="str">
        <f t="shared" si="91"/>
        <v>Other</v>
      </c>
      <c r="AH245" s="81" t="str">
        <f t="shared" si="92"/>
        <v>"%USERPROFILE%\Documents\GitHub\eaglep3\Utilities\RefineRTDCRunTimes.py" --tripid 55-22 --locoid 4015 --swversion DE.1.0.9.0 --startMP 204:3217 --initTime 2017-05-22T10:54:26 --startdatetime 2017-05-22T10:56:54 --delay 1 --endMP 204:101 --enddatetime 2017-05-22T10:58:43 --enforcementcount 0 &gt;&gt;C:\Users\stu\Documents\GitHub\eaglep3-reporting\EC\2017-05-22-refined-times.txt</v>
      </c>
      <c r="AI245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{"issue":{"subject":"","project_id":79,"tracker_id":40,"status_id":1,"priority_id":2,"assigned_to_id":23,"start_date":"2017-05-22","description":"","custom_fields":[{"id":1,"name":"Subdivision","value":"Other"},{"id":4,"name":"Milepost","value":"0.0101"},{"id":17,"name":"Train ID","value":"55-22"},{"id":16,"name":"Locomotive ID","value":"4015"},{"id":130,"name":"Impact","value":""},{"id":150,"name":"Time of Event (Mountain Time)","value":"10:58:43"},{"id":151,"name":"Denver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4"/>
        <v>start /low /b %USERPROFILE%\Documents\GitHub\eaglep3\Utilities\DownloadLogsFromS3.py --loco 4015 --day 2017-05-22</v>
      </c>
      <c r="AN245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16:58:43"},{"id":29,"name":"Sharepoint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703</v>
      </c>
      <c r="B246" s="7">
        <v>4016</v>
      </c>
      <c r="C246" s="21" t="s">
        <v>206</v>
      </c>
      <c r="D246" s="21" t="s">
        <v>931</v>
      </c>
      <c r="E246" s="13">
        <v>42877.448217592595</v>
      </c>
      <c r="F246" s="13">
        <v>42877.456180555557</v>
      </c>
      <c r="G246" s="7">
        <v>1</v>
      </c>
      <c r="H246" s="21" t="s">
        <v>932</v>
      </c>
      <c r="I246" s="13">
        <v>42877.457442129627</v>
      </c>
      <c r="J246" s="7">
        <v>0</v>
      </c>
      <c r="K246" s="92" t="str">
        <f t="shared" si="80"/>
        <v>4015/4016</v>
      </c>
      <c r="L246" s="21" t="str">
        <f>VLOOKUP(A246,'Trips&amp;Operators'!$C$1:$G$99999,5,FALSE)</f>
        <v>ROMERO CHAD</v>
      </c>
      <c r="M246" s="6">
        <f t="shared" si="81"/>
        <v>1.261574070667848E-3</v>
      </c>
      <c r="N246" s="7">
        <f t="shared" ref="N246:N252" si="99">24*60*SUM($M246:$M246)</f>
        <v>1.8166666617617011</v>
      </c>
      <c r="O246" s="7"/>
      <c r="P246" s="7"/>
      <c r="Q246" s="22"/>
      <c r="R246" s="190"/>
      <c r="S246" s="196">
        <f t="shared" ref="S246:S252" si="100">SUM(U246:U246)/IF(AG246="EC",12,1)</f>
        <v>0</v>
      </c>
      <c r="T246" s="190" t="e">
        <f t="shared" si="82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83"/>
        <v>https://d0f6bd738d7f1b3e5a7ca70fe4ff75f0.us-east-1.aws.found.io/app/kibana#/discover/Steve-Slow-Train-Analysis-(2080s-and-2083s)?_g=(refreshInterval:(display:Off,pause:!f,section:0,value:0),time:(from:'2017-05-22T09:45:26-0600',mode:absolute,to:'2017-05-22T11:58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6" s="192" t="str">
        <f t="shared" si="84"/>
        <v>Y</v>
      </c>
      <c r="X246" s="192" t="e">
        <f t="shared" si="98"/>
        <v>#VALUE!</v>
      </c>
      <c r="Y246" s="192">
        <f t="shared" si="85"/>
        <v>0.1477</v>
      </c>
      <c r="Z246" s="192">
        <f t="shared" si="86"/>
        <v>0.35520000000000002</v>
      </c>
      <c r="AA246" s="192">
        <f t="shared" si="87"/>
        <v>0.20750000000000002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8"/>
        <v>55-22</v>
      </c>
      <c r="AE246" s="80" t="str">
        <f t="shared" si="89"/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AF246" s="77" t="str">
        <f t="shared" si="90"/>
        <v>"C:\Program Files (x86)\AstroGrep\AstroGrep.exe" /e /r /s /spath="%USERPROFILE%\AppData\Local\Temp\OnboardLogs" /stypes="app*4016*20170522*" /stext=" 16:.+((SYSTEM_STATE.+slice.+state.+changed )|(ment ac)|(multiple cpu faults)|(system.+state.+changed )|(\[timeout)|(PRM\|1\|D)|(kpr)|(kdp)|(train st.+moving)|(\|lc)|(penalty))"</v>
      </c>
      <c r="AG246" s="1" t="str">
        <f t="shared" si="91"/>
        <v>Other</v>
      </c>
      <c r="AH246" s="81" t="str">
        <f t="shared" si="92"/>
        <v>"%USERPROFILE%\Documents\GitHub\eaglep3\Utilities\RefineRTDCRunTimes.py" --tripid 55-22 --locoid 4016 --swversion DE.1.0.9.0 --startMP 204:1477 --initTime 2017-05-22T10:45:26 --startdatetime 2017-05-22T10:56:54 --delay 1 --endMP 204:3552 --enddatetime 2017-05-22T10:58:43 --enforcementcount 0 &gt;&gt;C:\Users\stu\Documents\GitHub\eaglep3-reporting\EC\2017-05-22-refined-times.txt</v>
      </c>
      <c r="AI246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{"issue":{"subject":"","project_id":79,"tracker_id":40,"status_id":1,"priority_id":2,"assigned_to_id":23,"start_date":"2017-05-22","description":"","custom_fields":[{"id":1,"name":"Subdivision","value":"Other"},{"id":4,"name":"Milepost","value":"0.3552"},{"id":17,"name":"Train ID","value":"55-22"},{"id":16,"name":"Locomotive ID","value":"4016"},{"id":130,"name":"Impact","value":""},{"id":150,"name":"Time of Event (Mountain Time)","value":"10:58:43"},{"id":151,"name":"Denver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94"/>
        <v>start /low /b %USERPROFILE%\Documents\GitHub\eaglep3\Utilities\DownloadLogsFromS3.py --loco 4016 --day 2017-05-22</v>
      </c>
      <c r="AN246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16:58:43"},{"id":29,"name":"Sharepoint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773</v>
      </c>
      <c r="B247" s="7">
        <v>4053</v>
      </c>
      <c r="C247" s="21" t="s">
        <v>206</v>
      </c>
      <c r="D247" s="21" t="s">
        <v>933</v>
      </c>
      <c r="E247" s="13">
        <v>42877.750243055554</v>
      </c>
      <c r="F247" s="13">
        <v>42877.752881944441</v>
      </c>
      <c r="G247" s="7">
        <v>3</v>
      </c>
      <c r="H247" s="21" t="s">
        <v>934</v>
      </c>
      <c r="I247" s="13">
        <v>42877.757962962962</v>
      </c>
      <c r="J247" s="7">
        <v>0</v>
      </c>
      <c r="K247" s="92" t="str">
        <f t="shared" si="80"/>
        <v>4053/4054</v>
      </c>
      <c r="L247" s="21" t="str">
        <f>VLOOKUP(A247,'Trips&amp;Operators'!$C$1:$G$99999,5,FALSE)</f>
        <v>DUNCAN SHEILA</v>
      </c>
      <c r="M247" s="6">
        <f t="shared" si="81"/>
        <v>5.0810185202863067E-3</v>
      </c>
      <c r="N247" s="7">
        <f t="shared" si="99"/>
        <v>7.3166666692122817</v>
      </c>
      <c r="O247" s="7"/>
      <c r="P247" s="7"/>
      <c r="Q247" s="22"/>
      <c r="R247" s="190"/>
      <c r="S247" s="196">
        <f t="shared" si="100"/>
        <v>0</v>
      </c>
      <c r="T247" s="190" t="e">
        <f t="shared" si="82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83"/>
        <v>https://d0f6bd738d7f1b3e5a7ca70fe4ff75f0.us-east-1.aws.found.io/app/kibana#/discover/Steve-Slow-Train-Analysis-(2080s-and-2083s)?_g=(refreshInterval:(display:Off,pause:!f,section:0,value:0),time:(from:'2017-05-22T17:00:21-0600',mode:absolute,to:'2017-05-22T19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7" s="192" t="str">
        <f t="shared" si="84"/>
        <v>Y</v>
      </c>
      <c r="X247" s="192" t="e">
        <f t="shared" si="98"/>
        <v>#VALUE!</v>
      </c>
      <c r="Y247" s="192">
        <f t="shared" si="85"/>
        <v>2.3565</v>
      </c>
      <c r="Z247" s="192">
        <f t="shared" si="86"/>
        <v>0.19670000000000001</v>
      </c>
      <c r="AA247" s="192">
        <f t="shared" si="87"/>
        <v>2.1598000000000002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8"/>
        <v>56-22</v>
      </c>
      <c r="AE247" s="80" t="str">
        <f t="shared" si="89"/>
        <v>aws s3 cp s3://rtdc.mdm.uploadarchive.raw/RTDC4053/ "%USERPROFILE%\AppData\Local\Temp\OnboardLogs"\RTDC4053\2017-05-22 --exclude "*" --recursive --include "*20170522*" &amp; "%USERPROFILE%\Documents\GitHub\mrs-test-scripts\Headless Mode &amp; Sideloading\WalkAndUnGZ.bat" "%USERPROFILE%\AppData\Local\Temp\OnboardLogs"\RTDC4053\2017-05-22 &amp; aws s3 cp s3://rtdc.mdm.uploadarchive.raw/RTDC4053/ "%USERPROFILE%\AppData\Local\Temp\OnboardLogs"\RTDC4053\2017-05-23 --exclude "*" --recursive --include "*20170523*" &amp; "%USERPROFILE%\Documents\GitHub\mrs-test-scripts\Headless Mode &amp; Sideloading\WalkAndUnGZ.bat" "%USERPROFILE%\AppData\Local\Temp\OnboardLogs"\RTDC4053\2017-05-23</v>
      </c>
      <c r="AF247" s="77" t="str">
        <f t="shared" si="90"/>
        <v>"C:\Program Files (x86)\AstroGrep\AstroGrep.exe" /e /r /s /spath="%USERPROFILE%\AppData\Local\Temp\OnboardLogs" /stypes="app*4053*20170523*" /stext=" 00:.+((SYSTEM_STATE.+slice.+state.+changed )|(ment ac)|(multiple cpu faults)|(system.+state.+changed )|(\[timeout)|(PRM\|1\|D)|(kpr)|(kdp)|(train st.+moving)|(\|lc)|(penalty))"</v>
      </c>
      <c r="AG247" s="1" t="str">
        <f t="shared" si="91"/>
        <v>Other</v>
      </c>
      <c r="AH247" s="81" t="str">
        <f t="shared" si="92"/>
        <v>"%USERPROFILE%\Documents\GitHub\eaglep3\Utilities\RefineRTDCRunTimes.py" --tripid 56-22 --locoid 4053 --swversion DE.1.0.9.0 --startMP 300:23565 --initTime 2017-05-22T18:00:21 --startdatetime 2017-05-22T18:04:09 --delay 3 --endMP 204:1967 --enddatetime 2017-05-22T18:11:28 --enforcementcount 0 &gt;&gt;C:\Users\stu\Documents\GitHub\eaglep3-reporting\EC\2017-05-22-refined-times.txt</v>
      </c>
      <c r="AI247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{"issue":{"subject":"","project_id":79,"tracker_id":40,"status_id":1,"priority_id":2,"assigned_to_id":23,"start_date":"2017-05-22","description":"","custom_fields":[{"id":1,"name":"Subdivision","value":"Other"},{"id":4,"name":"Milepost","value":"0.1967"},{"id":17,"name":"Train ID","value":"56-22"},{"id":16,"name":"Locomotive ID","value":"4053"},{"id":130,"name":"Impact","value":""},{"id":150,"name":"Time of Event (Mountain Time)","value":"18:11:28"},{"id":151,"name":"Denver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94"/>
        <v>start /low /b %USERPROFILE%\Documents\GitHub\eaglep3\Utilities\DownloadLogsFromS3.py --loco 4053 --day 2017-05-22</v>
      </c>
      <c r="AN247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00:11:28"},{"id":29,"name":"Sharepoint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715</v>
      </c>
      <c r="B248" s="7">
        <v>4056</v>
      </c>
      <c r="C248" s="21" t="s">
        <v>206</v>
      </c>
      <c r="D248" s="21" t="s">
        <v>935</v>
      </c>
      <c r="E248" s="13">
        <v>42877.497893518521</v>
      </c>
      <c r="F248" s="13">
        <v>42877.500497685185</v>
      </c>
      <c r="G248" s="7">
        <v>1</v>
      </c>
      <c r="H248" s="21" t="s">
        <v>936</v>
      </c>
      <c r="I248" s="13">
        <v>42877.506354166668</v>
      </c>
      <c r="J248" s="7">
        <v>0</v>
      </c>
      <c r="K248" s="92" t="str">
        <f t="shared" si="80"/>
        <v>4055/4056</v>
      </c>
      <c r="L248" s="21" t="str">
        <f>VLOOKUP(A248,'Trips&amp;Operators'!$C$1:$G$99999,5,FALSE)</f>
        <v>WILLIAMS DONTE</v>
      </c>
      <c r="M248" s="6">
        <f t="shared" si="81"/>
        <v>5.8564814826240763E-3</v>
      </c>
      <c r="N248" s="7">
        <f t="shared" si="99"/>
        <v>8.4333333349786699</v>
      </c>
      <c r="O248" s="7"/>
      <c r="P248" s="7"/>
      <c r="Q248" s="22"/>
      <c r="R248" s="190"/>
      <c r="S248" s="196">
        <f t="shared" si="100"/>
        <v>0</v>
      </c>
      <c r="T248" s="190" t="e">
        <f t="shared" si="82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83"/>
        <v>https://d0f6bd738d7f1b3e5a7ca70fe4ff75f0.us-east-1.aws.found.io/app/kibana#/discover/Steve-Slow-Train-Analysis-(2080s-and-2083s)?_g=(refreshInterval:(display:Off,pause:!f,section:0,value:0),time:(from:'2017-05-22T10:56:58-0600',mode:absolute,to:'2017-05-22T13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8" s="192" t="str">
        <f t="shared" si="84"/>
        <v>Y</v>
      </c>
      <c r="X248" s="192" t="e">
        <f t="shared" si="98"/>
        <v>#VALUE!</v>
      </c>
      <c r="Y248" s="192">
        <f t="shared" si="85"/>
        <v>0.1186</v>
      </c>
      <c r="Z248" s="192">
        <f t="shared" si="86"/>
        <v>2.4226000000000001</v>
      </c>
      <c r="AA248" s="192">
        <f t="shared" si="87"/>
        <v>2.3040000000000003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8"/>
        <v>57-22</v>
      </c>
      <c r="AE248" s="80" t="str">
        <f t="shared" si="89"/>
        <v>aws s3 cp s3://rtdc.mdm.uploadarchive.raw/RTDC4056/ "%USERPROFILE%\AppData\Local\Temp\OnboardLogs"\RTDC4056\2017-05-22 --exclude "*" --recursive --include "*20170522*" &amp; "%USERPROFILE%\Documents\GitHub\mrs-test-scripts\Headless Mode &amp; Sideloading\WalkAndUnGZ.bat" "%USERPROFILE%\AppData\Local\Temp\OnboardLogs"\RTDC4056\2017-05-22 &amp; aws s3 cp s3://rtdc.mdm.uploadarchive.raw/RTDC4056/ "%USERPROFILE%\AppData\Local\Temp\OnboardLogs"\RTDC4056\2017-05-23 --exclude "*" --recursive --include "*20170523*" &amp; "%USERPROFILE%\Documents\GitHub\mrs-test-scripts\Headless Mode &amp; Sideloading\WalkAndUnGZ.bat" "%USERPROFILE%\AppData\Local\Temp\OnboardLogs"\RTDC4056\2017-05-23</v>
      </c>
      <c r="AF248" s="77" t="str">
        <f t="shared" si="90"/>
        <v>"C:\Program Files (x86)\AstroGrep\AstroGrep.exe" /e /r /s /spath="%USERPROFILE%\AppData\Local\Temp\OnboardLogs" /stypes="app*4056*20170522*" /stext=" 18:.+((SYSTEM_STATE.+slice.+state.+changed )|(ment ac)|(multiple cpu faults)|(system.+state.+changed )|(\[timeout)|(PRM\|1\|D)|(kpr)|(kdp)|(train st.+moving)|(\|lc)|(penalty))"</v>
      </c>
      <c r="AG248" s="1" t="str">
        <f t="shared" si="91"/>
        <v>Other</v>
      </c>
      <c r="AH248" s="81" t="str">
        <f t="shared" si="92"/>
        <v>"%USERPROFILE%\Documents\GitHub\eaglep3\Utilities\RefineRTDCRunTimes.py" --tripid 57-22 --locoid 4056 --swversion DE.1.0.9.0 --startMP 204:1186 --initTime 2017-05-22T11:56:58 --startdatetime 2017-05-22T12:00:43 --delay 1 --endMP 300:24226 --enddatetime 2017-05-22T12:09:09 --enforcementcount 0 &gt;&gt;C:\Users\stu\Documents\GitHub\eaglep3-reporting\EC\2017-05-22-refined-times.txt</v>
      </c>
      <c r="AI248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{"issue":{"subject":"","project_id":79,"tracker_id":40,"status_id":1,"priority_id":2,"assigned_to_id":23,"start_date":"2017-05-22","description":"","custom_fields":[{"id":1,"name":"Subdivision","value":"Other"},{"id":4,"name":"Milepost","value":"2.4226"},{"id":17,"name":"Train ID","value":"57-22"},{"id":16,"name":"Locomotive ID","value":"4056"},{"id":130,"name":"Impact","value":""},{"id":150,"name":"Time of Event (Mountain Time)","value":"12:09:09"},{"id":151,"name":"Denver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94"/>
        <v>start /low /b %USERPROFILE%\Documents\GitHub\eaglep3\Utilities\DownloadLogsFromS3.py --loco 4056 --day 2017-05-22</v>
      </c>
      <c r="AN248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18:09:09"},{"id":29,"name":"Sharepoint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763</v>
      </c>
      <c r="B249" s="7">
        <v>4022</v>
      </c>
      <c r="C249" s="21" t="s">
        <v>206</v>
      </c>
      <c r="D249" s="21" t="s">
        <v>937</v>
      </c>
      <c r="E249" s="13">
        <v>42877.710289351853</v>
      </c>
      <c r="F249" s="13">
        <v>42877.711597222224</v>
      </c>
      <c r="G249" s="7">
        <v>1</v>
      </c>
      <c r="H249" s="21" t="s">
        <v>899</v>
      </c>
      <c r="I249" s="13">
        <v>42877.717129629629</v>
      </c>
      <c r="J249" s="7">
        <v>0</v>
      </c>
      <c r="K249" s="92" t="str">
        <f t="shared" si="80"/>
        <v>4021/4022</v>
      </c>
      <c r="L249" s="21" t="str">
        <f>VLOOKUP(A249,'Trips&amp;Operators'!$C$1:$G$99999,5,FALSE)</f>
        <v>ROBINSON KADDIBA</v>
      </c>
      <c r="M249" s="6">
        <f t="shared" si="81"/>
        <v>5.5324074055533856E-3</v>
      </c>
      <c r="N249" s="7">
        <f t="shared" si="99"/>
        <v>7.9666666639968753</v>
      </c>
      <c r="O249" s="7"/>
      <c r="P249" s="7"/>
      <c r="Q249" s="22"/>
      <c r="R249" s="190"/>
      <c r="S249" s="196">
        <f t="shared" si="100"/>
        <v>0</v>
      </c>
      <c r="T249" s="190" t="e">
        <f t="shared" si="82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83"/>
        <v>https://d0f6bd738d7f1b3e5a7ca70fe4ff75f0.us-east-1.aws.found.io/app/kibana#/discover/Steve-Slow-Train-Analysis-(2080s-and-2083s)?_g=(refreshInterval:(display:Off,pause:!f,section:0,value:0),time:(from:'2017-05-22T16:02:49-0600',mode:absolute,to:'2017-05-22T18:12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9" s="192" t="str">
        <f t="shared" si="84"/>
        <v>Y</v>
      </c>
      <c r="X249" s="192" t="e">
        <f t="shared" si="98"/>
        <v>#VALUE!</v>
      </c>
      <c r="Y249" s="192">
        <f t="shared" si="85"/>
        <v>0.14749999999999999</v>
      </c>
      <c r="Z249" s="192">
        <f t="shared" si="86"/>
        <v>2.3306</v>
      </c>
      <c r="AA249" s="192">
        <f t="shared" si="87"/>
        <v>2.1831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8"/>
        <v>65-22</v>
      </c>
      <c r="AE249" s="80" t="str">
        <f t="shared" si="89"/>
        <v>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 &amp; 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</v>
      </c>
      <c r="AF249" s="77" t="str">
        <f t="shared" si="90"/>
        <v>"C:\Program Files (x86)\AstroGrep\AstroGrep.exe" /e /r /s /spath="%USERPROFILE%\AppData\Local\Temp\OnboardLogs" /stypes="app*4022*20170522*" /stext=" 23:.+((SYSTEM_STATE.+slice.+state.+changed )|(ment ac)|(multiple cpu faults)|(system.+state.+changed )|(\[timeout)|(PRM\|1\|D)|(kpr)|(kdp)|(train st.+moving)|(\|lc)|(penalty))"</v>
      </c>
      <c r="AG249" s="1" t="str">
        <f t="shared" si="91"/>
        <v>Other</v>
      </c>
      <c r="AH249" s="81" t="str">
        <f t="shared" si="92"/>
        <v>"%USERPROFILE%\Documents\GitHub\eaglep3\Utilities\RefineRTDCRunTimes.py" --tripid 65-22 --locoid 4022 --swversion DE.1.0.9.0 --startMP 204:1475 --initTime 2017-05-22T17:02:49 --startdatetime 2017-05-22T17:04:42 --delay 1 --endMP 300:23306 --enddatetime 2017-05-22T17:12:40 --enforcementcount 0 &gt;&gt;C:\Users\stu\Documents\GitHub\eaglep3-reporting\EC\2017-05-22-refined-times.txt</v>
      </c>
      <c r="AI249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{"issue":{"subject":"","project_id":79,"tracker_id":40,"status_id":1,"priority_id":2,"assigned_to_id":23,"start_date":"2017-05-22","description":"","custom_fields":[{"id":1,"name":"Subdivision","value":"Other"},{"id":4,"name":"Milepost","value":"2.3306"},{"id":17,"name":"Train ID","value":"65-22"},{"id":16,"name":"Locomotive ID","value":"4022"},{"id":130,"name":"Impact","value":""},{"id":150,"name":"Time of Event (Mountain Time)","value":"17:12:40"},{"id":151,"name":"Denver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94"/>
        <v>start /low /b %USERPROFILE%\Documents\GitHub\eaglep3\Utilities\DownloadLogsFromS3.py --loco 4022 --day 2017-05-22</v>
      </c>
      <c r="AN249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23:12:40"},{"id":29,"name":"Sharepoint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814</v>
      </c>
      <c r="B250" s="7">
        <v>4049</v>
      </c>
      <c r="C250" s="21" t="s">
        <v>206</v>
      </c>
      <c r="D250" s="21" t="s">
        <v>938</v>
      </c>
      <c r="E250" s="13">
        <v>42878.061099537037</v>
      </c>
      <c r="F250" s="13">
        <v>42878.062592592592</v>
      </c>
      <c r="G250" s="7">
        <v>1</v>
      </c>
      <c r="H250" s="21" t="s">
        <v>198</v>
      </c>
      <c r="I250" s="13">
        <v>42878.085092592592</v>
      </c>
      <c r="J250" s="7">
        <v>0</v>
      </c>
      <c r="K250" s="92" t="str">
        <f t="shared" si="80"/>
        <v>4049/4050</v>
      </c>
      <c r="L250" s="21" t="str">
        <f>VLOOKUP(A250,'Trips&amp;Operators'!$C$1:$G$99999,5,FALSE)</f>
        <v>SULLIVAN BRANDON</v>
      </c>
      <c r="M250" s="6">
        <f t="shared" si="81"/>
        <v>2.2499999999126885E-2</v>
      </c>
      <c r="N250" s="7">
        <f t="shared" si="99"/>
        <v>32.399999998742715</v>
      </c>
      <c r="O250" s="7"/>
      <c r="P250" s="7"/>
      <c r="Q250" s="22"/>
      <c r="R250" s="190"/>
      <c r="S250" s="196">
        <f t="shared" si="100"/>
        <v>0</v>
      </c>
      <c r="T250" s="190" t="e">
        <f t="shared" si="82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83"/>
        <v>https://d0f6bd738d7f1b3e5a7ca70fe4ff75f0.us-east-1.aws.found.io/app/kibana#/discover/Steve-Slow-Train-Analysis-(2080s-and-2083s)?_g=(refreshInterval:(display:Off,pause:!f,section:0,value:0),time:(from:'2017-05-23T00:27:59-0600',mode:absolute,to:'2017-05-23T03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0" s="192" t="str">
        <f t="shared" si="84"/>
        <v>N</v>
      </c>
      <c r="X250" s="192" t="e">
        <f t="shared" si="98"/>
        <v>#VALUE!</v>
      </c>
      <c r="Y250" s="192">
        <f t="shared" si="85"/>
        <v>15.4138</v>
      </c>
      <c r="Z250" s="192">
        <f t="shared" si="86"/>
        <v>1.5800000000000002E-2</v>
      </c>
      <c r="AA250" s="192">
        <f t="shared" si="87"/>
        <v>15.398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8"/>
        <v>66-22</v>
      </c>
      <c r="AE250" s="80" t="str">
        <f t="shared" si="89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50" s="77" t="str">
        <f t="shared" si="90"/>
        <v>"C:\Program Files (x86)\AstroGrep\AstroGrep.exe" /e /r /s /spath="%USERPROFILE%\AppData\Local\Temp\OnboardLogs" /stypes="app*4049*20170523*" /stext=" 08:.+((SYSTEM_STATE.+slice.+state.+changed )|(ment ac)|(multiple cpu faults)|(system.+state.+changed )|(\[timeout)|(PRM\|1\|D)|(kpr)|(kdp)|(train st.+moving)|(\|lc)|(penalty))"</v>
      </c>
      <c r="AG250" s="1" t="str">
        <f t="shared" si="91"/>
        <v>Other</v>
      </c>
      <c r="AH250" s="81" t="str">
        <f t="shared" si="92"/>
        <v>"%USERPROFILE%\Documents\GitHub\eaglep3\Utilities\RefineRTDCRunTimes.py" --tripid 66-22 --locoid 4049 --swversion DE.1.0.9.0 --startMP 204:154138 --initTime 2017-05-23T01:27:59 --startdatetime 2017-05-23T01:30:08 --delay 1 --endMP 204:158 --enddatetime 2017-05-23T02:02:32 --enforcementcount 0 &gt;&gt;C:\Users\stu\Documents\GitHub\eaglep3-reporting\EC\2017-05-22-refined-times.txt</v>
      </c>
      <c r="AI250" s="99" t="str">
        <f t="shared" si="93"/>
        <v>echo {"issue":{"subject":"","project_id":79,"tracker_id":40,"status_id":1,"priority_id":2,"assigned_to_id":23,"start_date":"2017-05-23","description":"","custom_fields":[{"id":1,"name":"Subdivision","value":"Other"},{"id":4,"name":"Milepost","value":"0.0158"},{"id":17,"name":"Train ID","value":"66-22"},{"id":16,"name":"Locomotive ID","value":"4049"},{"id":130,"name":"Impact","value":""},{"id":150,"name":"Time of Event (Mountain Time)","value":"02:02:32"},{"id":151,"name":"Denver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94"/>
        <v>start /low /b %USERPROFILE%\Documents\GitHub\eaglep3\Utilities\DownloadLogsFromS3.py --loco 4049 --day 2017-05-23</v>
      </c>
      <c r="AN250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08:02:32"},{"id":29,"name":"Sharepoint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814</v>
      </c>
      <c r="B251" s="7">
        <v>4049</v>
      </c>
      <c r="C251" s="21" t="s">
        <v>206</v>
      </c>
      <c r="D251" s="21" t="s">
        <v>842</v>
      </c>
      <c r="E251" s="13">
        <v>42878.042893518519</v>
      </c>
      <c r="F251" s="13">
        <v>42878.062592592592</v>
      </c>
      <c r="G251" s="7">
        <v>1</v>
      </c>
      <c r="H251" s="21" t="s">
        <v>926</v>
      </c>
      <c r="I251" s="13">
        <v>42878.085092592592</v>
      </c>
      <c r="J251" s="7">
        <v>0</v>
      </c>
      <c r="K251" s="92" t="str">
        <f t="shared" si="80"/>
        <v>4049/4050</v>
      </c>
      <c r="L251" s="21" t="str">
        <f>VLOOKUP(A251,'Trips&amp;Operators'!$C$1:$G$99999,5,FALSE)</f>
        <v>SULLIVAN BRANDON</v>
      </c>
      <c r="M251" s="6">
        <f t="shared" si="81"/>
        <v>2.2499999999126885E-2</v>
      </c>
      <c r="N251" s="7">
        <f t="shared" si="99"/>
        <v>32.399999998742715</v>
      </c>
      <c r="O251" s="7"/>
      <c r="P251" s="7"/>
      <c r="Q251" s="22"/>
      <c r="R251" s="190"/>
      <c r="S251" s="196">
        <f t="shared" si="100"/>
        <v>0</v>
      </c>
      <c r="T251" s="190" t="e">
        <f t="shared" si="82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83"/>
        <v>https://d0f6bd738d7f1b3e5a7ca70fe4ff75f0.us-east-1.aws.found.io/app/kibana#/discover/Steve-Slow-Train-Analysis-(2080s-and-2083s)?_g=(refreshInterval:(display:Off,pause:!f,section:0,value:0),time:(from:'2017-05-23T00:01:46-0600',mode:absolute,to:'2017-05-23T03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1" s="192" t="str">
        <f t="shared" si="84"/>
        <v>N</v>
      </c>
      <c r="X251" s="192" t="e">
        <f t="shared" si="98"/>
        <v>#VALUE!</v>
      </c>
      <c r="Y251" s="192">
        <f t="shared" si="85"/>
        <v>23.297999999999998</v>
      </c>
      <c r="Z251" s="192">
        <f t="shared" si="86"/>
        <v>15.3988</v>
      </c>
      <c r="AA251" s="192">
        <f t="shared" si="87"/>
        <v>7.8991999999999987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8"/>
        <v>66-22</v>
      </c>
      <c r="AE251" s="80" t="str">
        <f t="shared" si="89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51" s="77" t="str">
        <f t="shared" si="90"/>
        <v>"C:\Program Files (x86)\AstroGrep\AstroGrep.exe" /e /r /s /spath="%USERPROFILE%\AppData\Local\Temp\OnboardLogs" /stypes="app*4049*20170523*" /stext=" 08:.+((SYSTEM_STATE.+slice.+state.+changed )|(ment ac)|(multiple cpu faults)|(system.+state.+changed )|(\[timeout)|(PRM\|1\|D)|(kpr)|(kdp)|(train st.+moving)|(\|lc)|(penalty))"</v>
      </c>
      <c r="AG251" s="1" t="str">
        <f t="shared" si="91"/>
        <v>Other</v>
      </c>
      <c r="AH251" s="81" t="str">
        <f t="shared" si="92"/>
        <v>"%USERPROFILE%\Documents\GitHub\eaglep3\Utilities\RefineRTDCRunTimes.py" --tripid 66-22 --locoid 4049 --swversion DE.1.0.9.0 --startMP 204:232980 --initTime 2017-05-23T01:01:46 --startdatetime 2017-05-23T01:30:08 --delay 1 --endMP 204:153988 --enddatetime 2017-05-23T02:02:32 --enforcementcount 0 &gt;&gt;C:\Users\stu\Documents\GitHub\eaglep3-reporting\EC\2017-05-22-refined-times.txt</v>
      </c>
      <c r="AI251" s="99" t="str">
        <f t="shared" si="93"/>
        <v>echo {"issue":{"subject":"","project_id":79,"tracker_id":40,"status_id":1,"priority_id":2,"assigned_to_id":23,"start_date":"2017-05-23","description":"","custom_fields":[{"id":1,"name":"Subdivision","value":"Other"},{"id":4,"name":"Milepost","value":"15.3988"},{"id":17,"name":"Train ID","value":"66-22"},{"id":16,"name":"Locomotive ID","value":"4049"},{"id":130,"name":"Impact","value":""},{"id":150,"name":"Time of Event (Mountain Time)","value":"02:02:32"},{"id":151,"name":"Denver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94"/>
        <v>start /low /b %USERPROFILE%\Documents\GitHub\eaglep3\Utilities\DownloadLogsFromS3.py --loco 4049 --day 2017-05-23</v>
      </c>
      <c r="AN251" s="154" t="str">
        <f t="shared" si="9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08:02:32"},{"id":29,"name":"Sharepoint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766</v>
      </c>
      <c r="B252" s="7">
        <v>4012</v>
      </c>
      <c r="C252" s="21" t="s">
        <v>206</v>
      </c>
      <c r="D252" s="21" t="s">
        <v>939</v>
      </c>
      <c r="E252" s="13">
        <v>42877.721944444442</v>
      </c>
      <c r="F252" s="13">
        <v>42877.735185185185</v>
      </c>
      <c r="G252" s="7">
        <v>2</v>
      </c>
      <c r="H252" s="21" t="s">
        <v>360</v>
      </c>
      <c r="I252" s="13">
        <v>42877.742881944447</v>
      </c>
      <c r="J252" s="7">
        <v>0</v>
      </c>
      <c r="K252" s="92" t="str">
        <f t="shared" si="80"/>
        <v>4011/4012</v>
      </c>
      <c r="L252" s="21" t="str">
        <f>VLOOKUP(A252,'Trips&amp;Operators'!$C$1:$G$99999,5,FALSE)</f>
        <v>ROMERO CHAD</v>
      </c>
      <c r="M252" s="6">
        <f t="shared" si="81"/>
        <v>7.6967592613073066E-3</v>
      </c>
      <c r="N252" s="7">
        <f t="shared" si="99"/>
        <v>11.083333336282521</v>
      </c>
      <c r="O252" s="7"/>
      <c r="P252" s="7"/>
      <c r="Q252" s="22"/>
      <c r="R252" s="190"/>
      <c r="S252" s="196">
        <f t="shared" si="100"/>
        <v>0</v>
      </c>
      <c r="T252" s="190" t="e">
        <f t="shared" si="82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83"/>
        <v>https://d0f6bd738d7f1b3e5a7ca70fe4ff75f0.us-east-1.aws.found.io/app/kibana#/discover/Steve-Slow-Train-Analysis-(2080s-and-2083s)?_g=(refreshInterval:(display:Off,pause:!f,section:0,value:0),time:(from:'2017-05-22T16:19:36-0600',mode:absolute,to:'2017-05-22T18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2" s="192" t="str">
        <f t="shared" si="84"/>
        <v>Y</v>
      </c>
      <c r="X252" s="192" t="e">
        <f t="shared" si="98"/>
        <v>#VALUE!</v>
      </c>
      <c r="Y252" s="192">
        <f t="shared" si="85"/>
        <v>0.1158</v>
      </c>
      <c r="Z252" s="192">
        <f t="shared" si="86"/>
        <v>2.3346</v>
      </c>
      <c r="AA252" s="192">
        <f t="shared" si="87"/>
        <v>2.2187999999999999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8"/>
        <v>67-22</v>
      </c>
      <c r="AE252" s="80" t="str">
        <f t="shared" si="89"/>
        <v>aws s3 cp s3://rtdc.mdm.uploadarchive.raw/RTDC4012/ "%USERPROFILE%\AppData\Local\Temp\OnboardLogs"\RTDC4012\2017-05-22 --exclude "*" --recursive --include "*20170522*" &amp; "%USERPROFILE%\Documents\GitHub\mrs-test-scripts\Headless Mode &amp; Sideloading\WalkAndUnGZ.bat" "%USERPROFILE%\AppData\Local\Temp\OnboardLogs"\RTDC4012\2017-05-22 &amp; 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</v>
      </c>
      <c r="AF252" s="77" t="str">
        <f t="shared" si="90"/>
        <v>"C:\Program Files (x86)\AstroGrep\AstroGrep.exe" /e /r /s /spath="%USERPROFILE%\AppData\Local\Temp\OnboardLogs" /stypes="app*4012*20170522*" /stext=" 23:.+((SYSTEM_STATE.+slice.+state.+changed )|(ment ac)|(multiple cpu faults)|(system.+state.+changed )|(\[timeout)|(PRM\|1\|D)|(kpr)|(kdp)|(train st.+moving)|(\|lc)|(penalty))"</v>
      </c>
      <c r="AG252" s="1" t="str">
        <f t="shared" si="91"/>
        <v>Other</v>
      </c>
      <c r="AH252" s="81" t="str">
        <f t="shared" si="92"/>
        <v>"%USERPROFILE%\Documents\GitHub\eaglep3\Utilities\RefineRTDCRunTimes.py" --tripid 67-22 --locoid 4012 --swversion DE.1.0.9.0 --startMP 204:1158 --initTime 2017-05-22T17:19:36 --startdatetime 2017-05-22T17:38:40 --delay 2 --endMP 300:23346 --enddatetime 2017-05-22T17:49:45 --enforcementcount 0 &gt;&gt;C:\Users\stu\Documents\GitHub\eaglep3-reporting\EC\2017-05-22-refined-times.txt</v>
      </c>
      <c r="AI252" s="99" t="str">
        <f t="shared" si="93"/>
        <v>echo {"issue":{"subject":"","project_id":79,"tracker_id":40,"status_id":1,"priority_id":2,"assigned_to_id":23,"start_date":"2017-05-22","description":"","custom_fields":[{"id":1,"name":"Subdivision","value":"Other"},{"id":4,"name":"Milepost","value":"2.3346"},{"id":17,"name":"Train ID","value":"67-22"},{"id":16,"name":"Locomotive ID","value":"4012"},{"id":130,"name":"Impact","value":""},{"id":150,"name":"Time of Event (Mountain Time)","value":"17:49:45"},{"id":151,"name":"Denver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94"/>
        <v>start /low /b %USERPROFILE%\Documents\GitHub\eaglep3\Utilities\DownloadLogsFromS3.py --loco 4012 --day 2017-05-22</v>
      </c>
      <c r="AN252" s="154" t="str">
        <f t="shared" si="95"/>
        <v>echo {"issue":{"subject":"","project_id":30,"tracker_id":4,"status_id":1,"priority_id":1,"assigned_to_id":10,"start_date":"2017-05-22","description":"","custom_fields":[{"id":30,"name":"Category","value":"Issue"},{"id":3,"name":"Functional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UTC","value":"2017-05-22 23:49:45"},{"id":29,"name":"Sharepoint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9"/>
  <sortState ref="A13:AH200">
    <sortCondition ref="AG13:AG200"/>
    <sortCondition ref="AD13:AD200"/>
  </sortState>
  <mergeCells count="1">
    <mergeCell ref="A11:P11"/>
  </mergeCells>
  <conditionalFormatting sqref="W11:W12 W270:X1048576 W13:X252">
    <cfRule type="cellIs" dxfId="10" priority="401" operator="equal">
      <formula>"Y"</formula>
    </cfRule>
  </conditionalFormatting>
  <conditionalFormatting sqref="X270:X1048576 X13:X252">
    <cfRule type="cellIs" dxfId="9" priority="384" operator="greaterThan">
      <formula>1</formula>
    </cfRule>
  </conditionalFormatting>
  <conditionalFormatting sqref="X270:X1048576 X12:X252">
    <cfRule type="cellIs" dxfId="8" priority="381" operator="equal">
      <formula>0</formula>
    </cfRule>
  </conditionalFormatting>
  <conditionalFormatting sqref="A13:S25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Values'!$C$2:$C$15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abSelected="1" topLeftCell="A2" zoomScaleNormal="100" workbookViewId="0">
      <selection activeCell="P19" sqref="P19:P2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COUNTIF($O$7:$O$284,"=Y")</f>
        <v>9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COUNTA($O$7:$O$284)-O2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- 2017-05-22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42877.257789351854</v>
      </c>
      <c r="B7" s="30" t="s">
        <v>508</v>
      </c>
      <c r="C7" s="30" t="s">
        <v>576</v>
      </c>
      <c r="D7" s="30" t="s">
        <v>49</v>
      </c>
      <c r="E7" s="30" t="s">
        <v>191</v>
      </c>
      <c r="F7" s="42">
        <v>310</v>
      </c>
      <c r="G7" s="42">
        <v>490</v>
      </c>
      <c r="H7" s="42">
        <v>39951</v>
      </c>
      <c r="I7" s="42">
        <v>41503</v>
      </c>
      <c r="J7" s="30" t="s">
        <v>192</v>
      </c>
      <c r="K7" s="42">
        <v>42779</v>
      </c>
      <c r="L7" s="134" t="s">
        <v>50</v>
      </c>
      <c r="M7" s="135">
        <f t="shared" ref="M7:M51" si="0">CONVERT((I7-K7)/10000,"mi","ft")*IF(L7="Increasing Mileposts (1)",-1,1)</f>
        <v>673.72799999999995</v>
      </c>
      <c r="N7" s="136" t="str">
        <f>VLOOKUP(C7,'Trips&amp;Operators'!$C$1:$G$99999,5,FALSE)</f>
        <v>STARKS ANGELINA</v>
      </c>
      <c r="O7" s="207" t="s">
        <v>184</v>
      </c>
      <c r="P7" s="137" t="s">
        <v>414</v>
      </c>
      <c r="Q7" s="30"/>
      <c r="R7" s="84" t="str">
        <f>IF(VLOOKUP(C7,'Train Runs'!$A$13:$AE$9928,1,1)=C7,VLOOKUP(C7,'Train Runs'!$A$13:$AE$9928,31,1),NA())</f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S7" s="87" t="str">
        <f>VLOOKUP(C7,'Train Runs'!$A$13:$AE$9928,22,0)</f>
        <v>https://d0f6bd738d7f1b3e5a7ca70fe4ff75f0.us-east-1.aws.found.io/app/kibana#/discover/Steve-Slow-Train-Analysis-(2080s-and-2083s)?_g=(refreshInterval:(display:Off,pause:!f,section:0,value:0),time:(from:'2017-05-22T04:56:10-0600',mode:absolute,to:'2017-05-22T07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9" t="str">
        <f t="shared" ref="T7:T5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/stypes="*4016*201705221*" /stext=" 12:.+((SYSTEM_STATE.+slice.+state.+changed )|(ment ac)|(multiple cpu faults)|(system.+state.+changed )|(\[timeout)|(PRM\|1\|D)|(kpr)|(kdp)|(train st.+moving)|(\|lc)|(penalty))"</v>
      </c>
      <c r="U7" s="9" t="str">
        <f t="shared" ref="U7:U51" si="2">MID(B7,13,4)</f>
        <v>4016</v>
      </c>
      <c r="V7" s="31">
        <f t="shared" ref="V7:V51" si="3">A7-utc_offset/24</f>
        <v>42877.507789351854</v>
      </c>
      <c r="W7" s="45" t="str">
        <f t="shared" ref="W7:W51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1" si="5">IF(AND(E7="TRACK WARRANT AUTHORITY",G7&lt;10),"OMIT","KEEP")</f>
        <v>KEEP</v>
      </c>
      <c r="Y7" s="99" t="str">
        <f t="shared" ref="Y7:Y5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arrival","project_id":79,"tracker_id":40,"status_id":1,"priority_id":2,"assigned_to_id":23,"start_date":"2017-05-22","description":"","custom_fields":[{"id":1,"name":"Subdivision","value":"EC"},{"id":4,"name":"Milepost","value":"4.2779"},{"id":17,"name":"Train ID","value":"119-22"},{"id":16,"name":"Locomotive ID","value":"4016"},{"id":130,"name":"Impact","value":""},{"id":150,"name":"Time of Event (Mountain Time)","value":"06:11:13"},{"id":151,"name":"Denver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1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/cygdrive/c/Users/stu/AppData/Local/Temp/OnboardLogs/RTDC4016 --include="*4016*201705221*"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"%USERPROFILE%\AppData\Local\Temp\OnboardLogs"\RTDC4016\*4016*201705221* &gt;&gt; 2017-05-22-SliceDisagreementCheck.txt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4016 --day 2017-05-22</v>
      </c>
    </row>
    <row r="8" spans="1:32" s="1" customFormat="1" x14ac:dyDescent="0.25">
      <c r="A8" s="31">
        <v>42877.614236111112</v>
      </c>
      <c r="B8" s="30" t="s">
        <v>382</v>
      </c>
      <c r="C8" s="30" t="s">
        <v>600</v>
      </c>
      <c r="D8" s="30" t="s">
        <v>49</v>
      </c>
      <c r="E8" s="30" t="s">
        <v>191</v>
      </c>
      <c r="F8" s="42">
        <v>0</v>
      </c>
      <c r="G8" s="42">
        <v>526</v>
      </c>
      <c r="H8" s="42">
        <v>48179</v>
      </c>
      <c r="I8" s="42">
        <v>46329</v>
      </c>
      <c r="J8" s="30" t="s">
        <v>192</v>
      </c>
      <c r="K8" s="42">
        <v>48048</v>
      </c>
      <c r="L8" s="134" t="s">
        <v>51</v>
      </c>
      <c r="M8" s="135">
        <f t="shared" si="0"/>
        <v>-907.63199999999995</v>
      </c>
      <c r="N8" s="136" t="str">
        <f>VLOOKUP(C8,'Trips&amp;Operators'!$C$1:$G$99999,5,FALSE)</f>
        <v>CLARK KATHLEEN</v>
      </c>
      <c r="O8" s="207" t="s">
        <v>184</v>
      </c>
      <c r="P8" s="137" t="s">
        <v>414</v>
      </c>
      <c r="Q8" s="30"/>
      <c r="R8" s="84" t="str">
        <f>IF(VLOOKUP(C8,'Train Runs'!$A$13:$AE$9928,1,1)=C8,VLOOKUP(C8,'Train Runs'!$A$13:$AE$9928,31,1),NA())</f>
        <v>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 &amp; aws s3 cp s3://rtdc.mdm.uploadarchive.raw/RTDC4013/ "%USERPROFILE%\AppData\Local\Temp\OnboardLogs"\RTDC4013\2017-05-23 --exclude "*" --recursive --include "*20170523*" &amp; "%USERPROFILE%\Documents\GitHub\mrs-test-scripts\Headless Mode &amp; Sideloading\WalkAndUnGZ.bat" "%USERPROFILE%\AppData\Local\Temp\OnboardLogs"\RTDC4013\2017-05-23</v>
      </c>
      <c r="S8" s="87" t="str">
        <f>VLOOKUP(C8,'Train Runs'!$A$13:$AE$9928,22,0)</f>
        <v>https://d0f6bd738d7f1b3e5a7ca70fe4ff75f0.us-east-1.aws.found.io/app/kibana#/discover/Steve-Slow-Train-Analysis-(2080s-and-2083s)?_g=(refreshInterval:(display:Off,pause:!f,section:0,value:0),time:(from:'2017-05-22T13:04:32-0600',mode:absolute,to:'2017-05-22T15:57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9" t="str">
        <f t="shared" si="1"/>
        <v>"C:\Program Files (x86)\AstroGrep\AstroGrep.exe" /e /r /s /spath="%USERPROFILE%\AppData\Local\Temp\OnboardLogs" /stypes="*4013*201705222*"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4013</v>
      </c>
      <c r="V8" s="31">
        <f t="shared" si="3"/>
        <v>42877.864236111112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arrival","project_id":79,"tracker_id":40,"status_id":1,"priority_id":2,"assigned_to_id":23,"start_date":"2017-05-22","description":"","custom_fields":[{"id":1,"name":"Subdivision","value":"EC"},{"id":4,"name":"Milepost","value":"4.8048"},{"id":17,"name":"Train ID","value":"178-22"},{"id":16,"name":"Locomotive ID","value":"4013"},{"id":130,"name":"Impact","value":""},{"id":150,"name":"Time of Event (Mountain Time)","value":"14:44:30"},{"id":151,"name":"Denver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/cygdrive/c/Users/stu/AppData/Local/Temp/OnboardLogs/RTDC4013 --include="*4013*201705222*"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"%USERPROFILE%\AppData\Local\Temp\OnboardLogs"\RTDC4013\*4013*201705222* &gt;&gt; 2017-05-22-SliceDisagreementCheck.txt</v>
      </c>
      <c r="AE8" s="148" t="str">
        <f t="shared" ref="AE8:AE51" si="9">"start /low /b "&amp;dls3logs&amp;" --loco "&amp;U8&amp;" --day "&amp;TEXT(V8,"YYYY-MM-DD")</f>
        <v>start /low /b %USERPROFILE%\Documents\GitHub\eaglep3\Utilities\DownloadLogsFromS3.py --loco 4013 --day 2017-05-22</v>
      </c>
    </row>
    <row r="9" spans="1:32" s="1" customFormat="1" x14ac:dyDescent="0.25">
      <c r="A9" s="31">
        <v>42877.818425925929</v>
      </c>
      <c r="B9" s="30" t="s">
        <v>509</v>
      </c>
      <c r="C9" s="30" t="s">
        <v>614</v>
      </c>
      <c r="D9" s="30" t="s">
        <v>49</v>
      </c>
      <c r="E9" s="30" t="s">
        <v>191</v>
      </c>
      <c r="F9" s="42">
        <v>0</v>
      </c>
      <c r="G9" s="42">
        <v>203</v>
      </c>
      <c r="H9" s="42">
        <v>53342</v>
      </c>
      <c r="I9" s="42">
        <v>53205</v>
      </c>
      <c r="J9" s="30" t="s">
        <v>192</v>
      </c>
      <c r="K9" s="42">
        <v>53277</v>
      </c>
      <c r="L9" s="134" t="s">
        <v>51</v>
      </c>
      <c r="M9" s="135">
        <f t="shared" si="0"/>
        <v>-38.015999999999998</v>
      </c>
      <c r="N9" s="136" t="str">
        <f>VLOOKUP(C9,'Trips&amp;Operators'!$C$1:$G$99999,5,FALSE)</f>
        <v>MAGEE KENYA</v>
      </c>
      <c r="O9" s="207" t="s">
        <v>184</v>
      </c>
      <c r="P9" s="137" t="s">
        <v>414</v>
      </c>
      <c r="Q9" s="30"/>
      <c r="R9" s="84" t="str">
        <f>IF(VLOOKUP(C9,'Train Runs'!$A$13:$AE$9928,1,1)=C9,VLOOKUP(C9,'Train Runs'!$A$13:$AE$9928,31,1),NA())</f>
        <v>aws s3 cp s3://rtdc.mdm.uploadarchive.raw/RTDC4015/ "%USERPROFILE%\AppData\Local\Temp\OnboardLogs"\RTDC4015\2017-05-22 --exclude "*" --recursive --include "*20170522*" &amp; "%USERPROFILE%\Documents\GitHub\mrs-test-scripts\Headless Mode &amp; Sideloading\WalkAndUnGZ.bat" "%USERPROFILE%\AppData\Local\Temp\OnboardLogs"\RTDC4015\2017-05-22 &amp; aws s3 cp s3://rtdc.mdm.uploadarchive.raw/RTDC4015/ "%USERPROFILE%\AppData\Local\Temp\OnboardLogs"\RTDC4015\2017-05-23 --exclude "*" --recursive --include "*20170523*" &amp; "%USERPROFILE%\Documents\GitHub\mrs-test-scripts\Headless Mode &amp; Sideloading\WalkAndUnGZ.bat" "%USERPROFILE%\AppData\Local\Temp\OnboardLogs"\RTDC4015\2017-05-23</v>
      </c>
      <c r="S9" s="87" t="str">
        <f>VLOOKUP(C9,'Train Runs'!$A$13:$AE$9928,22,0)</f>
        <v>https://d0f6bd738d7f1b3e5a7ca70fe4ff75f0.us-east-1.aws.found.io/app/kibana#/discover/Steve-Slow-Train-Analysis-(2080s-and-2083s)?_g=(refreshInterval:(display:Off,pause:!f,section:0,value:0),time:(from:'2017-05-22T18:07:26-0600',mode:absolute,to:'2017-05-22T20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9" t="str">
        <f t="shared" si="1"/>
        <v>"C:\Program Files (x86)\AstroGrep\AstroGrep.exe" /e /r /s /spath="%USERPROFILE%\AppData\Local\Temp\OnboardLogs" /stypes="*4015*201705230*"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4015</v>
      </c>
      <c r="V9" s="31">
        <f t="shared" si="3"/>
        <v>42878.068425925929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arrival","project_id":79,"tracker_id":40,"status_id":1,"priority_id":2,"assigned_to_id":23,"start_date":"2017-05-22","description":"","custom_fields":[{"id":1,"name":"Subdivision","value":"EC"},{"id":4,"name":"Milepost","value":"5.3277"},{"id":17,"name":"Train ID","value":"218-22"},{"id":16,"name":"Locomotive ID","value":"4015"},{"id":130,"name":"Impact","value":""},{"id":150,"name":"Time of Event (Mountain Time)","value":"19:38:32"},{"id":151,"name":"Denver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/cygdrive/c/Users/stu/AppData/Local/Temp/OnboardLogs/RTDC4015 --include="*4015*201705230*"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"%USERPROFILE%\AppData\Local\Temp\OnboardLogs"\RTDC4015\*4015*201705230* &gt;&gt; 2017-05-22-SliceDisagreementCheck.txt</v>
      </c>
      <c r="AE9" s="148" t="str">
        <f t="shared" si="9"/>
        <v>start /low /b %USERPROFILE%\Documents\GitHub\eaglep3\Utilities\DownloadLogsFromS3.py --loco 4015 --day 2017-05-23</v>
      </c>
    </row>
    <row r="10" spans="1:32" s="1" customFormat="1" x14ac:dyDescent="0.25">
      <c r="A10" s="31">
        <v>42877.411273148151</v>
      </c>
      <c r="B10" s="30" t="s">
        <v>582</v>
      </c>
      <c r="C10" s="30" t="s">
        <v>583</v>
      </c>
      <c r="D10" s="30" t="s">
        <v>49</v>
      </c>
      <c r="E10" s="30" t="s">
        <v>191</v>
      </c>
      <c r="F10" s="42">
        <v>230</v>
      </c>
      <c r="G10" s="42">
        <v>281</v>
      </c>
      <c r="H10" s="42">
        <v>58803</v>
      </c>
      <c r="I10" s="42">
        <v>58153</v>
      </c>
      <c r="J10" s="30" t="s">
        <v>192</v>
      </c>
      <c r="K10" s="42">
        <v>58301</v>
      </c>
      <c r="L10" s="134" t="s">
        <v>51</v>
      </c>
      <c r="M10" s="135">
        <f t="shared" si="0"/>
        <v>-78.144000000000005</v>
      </c>
      <c r="N10" s="136" t="str">
        <f>VLOOKUP(C10,'Trips&amp;Operators'!$C$1:$G$99999,5,FALSE)</f>
        <v>MAELZER KURT</v>
      </c>
      <c r="O10" s="207" t="s">
        <v>184</v>
      </c>
      <c r="P10" s="137" t="s">
        <v>414</v>
      </c>
      <c r="Q10" s="30"/>
      <c r="R10" s="84" t="str">
        <f>IF(VLOOKUP(C10,'Train Runs'!$A$13:$AE$9928,1,1)=C10,VLOOKUP(C10,'Train Runs'!$A$13:$AE$9928,31,1),NA())</f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S10" s="87" t="str">
        <f>VLOOKUP(C10,'Train Runs'!$A$13:$AE$9928,22,0)</f>
        <v>https://d0f6bd738d7f1b3e5a7ca70fe4ff75f0.us-east-1.aws.found.io/app/kibana#/discover/Steve-Slow-Train-Analysis-(2080s-and-2083s)?_g=(refreshInterval:(display:Off,pause:!f,section:0,value:0),time:(from:'2017-05-22T08:12:55-0600',mode:absolute,to:'2017-05-22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9" t="str">
        <f t="shared" si="1"/>
        <v>"C:\Program Files (x86)\AstroGrep\AstroGrep.exe" /e /r /s /spath="%USERPROFILE%\AppData\Local\Temp\OnboardLogs" /stypes="*4005*201705221*"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42877.661273148151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arrival","project_id":79,"tracker_id":40,"status_id":1,"priority_id":2,"assigned_to_id":23,"start_date":"2017-05-22","description":"","custom_fields":[{"id":1,"name":"Subdivision","value":"EC"},{"id":4,"name":"Milepost","value":"5.8301"},{"id":17,"name":"Train ID","value":"140-22"},{"id":16,"name":"Locomotive ID","value":"4005"},{"id":130,"name":"Impact","value":""},{"id":150,"name":"Time of Event (Mountain Time)","value":"09:52:14"},{"id":151,"name":"Denver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/cygdrive/c/Users/stu/AppData/Local/Temp/OnboardLogs/RTDC4005 --include="*4005*201705221*"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"%USERPROFILE%\AppData\Local\Temp\OnboardLogs"\RTDC4005\*4005*201705221* &gt;&gt; 2017-05-22-SliceDisagreementCheck.txt</v>
      </c>
      <c r="AE10" s="148" t="str">
        <f t="shared" si="9"/>
        <v>start /low /b %USERPROFILE%\Documents\GitHub\eaglep3\Utilities\DownloadLogsFromS3.py --loco 4005 --day 2017-05-22</v>
      </c>
    </row>
    <row r="11" spans="1:32" s="1" customFormat="1" x14ac:dyDescent="0.25">
      <c r="A11" s="31">
        <v>42877.551412037035</v>
      </c>
      <c r="B11" s="30" t="s">
        <v>508</v>
      </c>
      <c r="C11" s="30" t="s">
        <v>595</v>
      </c>
      <c r="D11" s="30" t="s">
        <v>49</v>
      </c>
      <c r="E11" s="30" t="s">
        <v>191</v>
      </c>
      <c r="F11" s="42">
        <v>90</v>
      </c>
      <c r="G11" s="42">
        <v>353</v>
      </c>
      <c r="H11" s="42">
        <v>61143</v>
      </c>
      <c r="I11" s="42">
        <v>61996</v>
      </c>
      <c r="J11" s="30" t="s">
        <v>192</v>
      </c>
      <c r="K11" s="42">
        <v>63069</v>
      </c>
      <c r="L11" s="134" t="s">
        <v>50</v>
      </c>
      <c r="M11" s="135">
        <f t="shared" si="0"/>
        <v>566.54399999999998</v>
      </c>
      <c r="N11" s="136" t="str">
        <f>VLOOKUP(C11,'Trips&amp;Operators'!$C$1:$G$99999,5,FALSE)</f>
        <v>DAVIS MICHAEL</v>
      </c>
      <c r="O11" s="207" t="s">
        <v>184</v>
      </c>
      <c r="P11" s="137" t="s">
        <v>414</v>
      </c>
      <c r="Q11" s="30"/>
      <c r="R11" s="84" t="str">
        <f>IF(VLOOKUP(C11,'Train Runs'!$A$13:$AE$9928,1,1)=C11,VLOOKUP(C11,'Train Runs'!$A$13:$AE$9928,31,1),NA())</f>
        <v>aws s3 cp s3://rtdc.mdm.uploadarchive.raw/RTDC4016/ "%USERPROFILE%\AppData\Local\Temp\OnboardLogs"\RTDC4016\2017-05-22 --exclude "*" --recursive --include "*20170522*" &amp; "%USERPROFILE%\Documents\GitHub\mrs-test-scripts\Headless Mode &amp; Sideloading\WalkAndUnGZ.bat" "%USERPROFILE%\AppData\Local\Temp\OnboardLogs"\RTDC4016\2017-05-22 &amp; aws s3 cp s3://rtdc.mdm.uploadarchive.raw/RTDC4016/ "%USERPROFILE%\AppData\Local\Temp\OnboardLogs"\RTDC4016\2017-05-23 --exclude "*" --recursive --include "*20170523*" &amp; "%USERPROFILE%\Documents\GitHub\mrs-test-scripts\Headless Mode &amp; Sideloading\WalkAndUnGZ.bat" "%USERPROFILE%\AppData\Local\Temp\OnboardLogs"\RTDC4016\2017-05-23</v>
      </c>
      <c r="S11" s="87" t="str">
        <f>VLOOKUP(C11,'Train Runs'!$A$13:$AE$9928,22,0)</f>
        <v>https://d0f6bd738d7f1b3e5a7ca70fe4ff75f0.us-east-1.aws.found.io/app/kibana#/discover/Steve-Slow-Train-Analysis-(2080s-and-2083s)?_g=(refreshInterval:(display:Off,pause:!f,section:0,value:0),time:(from:'2017-05-22T11:55:09-0600',mode:absolute,to:'2017-05-22T14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9" t="str">
        <f t="shared" si="1"/>
        <v>"C:\Program Files (x86)\AstroGrep\AstroGrep.exe" /e /r /s /spath="%USERPROFILE%\AppData\Local\Temp\OnboardLogs" /stypes="*4016*201705221*"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4016</v>
      </c>
      <c r="V11" s="31">
        <f t="shared" si="3"/>
        <v>42877.801412037035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arrival","project_id":79,"tracker_id":40,"status_id":1,"priority_id":2,"assigned_to_id":23,"start_date":"2017-05-22","description":"","custom_fields":[{"id":1,"name":"Subdivision","value":"EC"},{"id":4,"name":"Milepost","value":"6.3069"},{"id":17,"name":"Train ID","value":"175-22"},{"id":16,"name":"Locomotive ID","value":"4016"},{"id":130,"name":"Impact","value":""},{"id":150,"name":"Time of Event (Mountain Time)","value":"13:14:02"},{"id":151,"name":"Denver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/cygdrive/c/Users/stu/AppData/Local/Temp/OnboardLogs/RTDC4016 --include="*4016*201705221*"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"%USERPROFILE%\AppData\Local\Temp\OnboardLogs"\RTDC4016\*4016*201705221* &gt;&gt; 2017-05-22-SliceDisagreementCheck.txt</v>
      </c>
      <c r="AE11" s="148" t="str">
        <f t="shared" si="9"/>
        <v>start /low /b %USERPROFILE%\Documents\GitHub\eaglep3\Utilities\DownloadLogsFromS3.py --loco 4016 --day 2017-05-22</v>
      </c>
    </row>
    <row r="12" spans="1:32" s="1" customFormat="1" x14ac:dyDescent="0.25">
      <c r="A12" s="31">
        <v>42877.60324074074</v>
      </c>
      <c r="B12" s="30" t="s">
        <v>585</v>
      </c>
      <c r="C12" s="30" t="s">
        <v>598</v>
      </c>
      <c r="D12" s="30" t="s">
        <v>49</v>
      </c>
      <c r="E12" s="30" t="s">
        <v>191</v>
      </c>
      <c r="F12" s="42">
        <v>130</v>
      </c>
      <c r="G12" s="42">
        <v>470</v>
      </c>
      <c r="H12" s="42">
        <v>59849</v>
      </c>
      <c r="I12" s="42">
        <v>61536</v>
      </c>
      <c r="J12" s="30" t="s">
        <v>192</v>
      </c>
      <c r="K12" s="42">
        <v>63069</v>
      </c>
      <c r="L12" s="134" t="s">
        <v>50</v>
      </c>
      <c r="M12" s="135">
        <f t="shared" si="0"/>
        <v>809.42399999999998</v>
      </c>
      <c r="N12" s="136" t="str">
        <f>VLOOKUP(C12,'Trips&amp;Operators'!$C$1:$G$99999,5,FALSE)</f>
        <v>WHITED DUSTIN</v>
      </c>
      <c r="O12" s="207" t="s">
        <v>184</v>
      </c>
      <c r="P12" s="137" t="s">
        <v>414</v>
      </c>
      <c r="Q12" s="30"/>
      <c r="R12" s="84" t="str">
        <f>IF(VLOOKUP(C12,'Train Runs'!$A$13:$AE$9928,1,1)=C12,VLOOKUP(C12,'Train Runs'!$A$13:$AE$9928,31,1),NA())</f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S12" s="87" t="str">
        <f>VLOOKUP(C12,'Train Runs'!$A$13:$AE$9928,22,0)</f>
        <v>https://d0f6bd738d7f1b3e5a7ca70fe4ff75f0.us-east-1.aws.found.io/app/kibana#/discover/Steve-Slow-Train-Analysis-(2080s-and-2083s)?_g=(refreshInterval:(display:Off,pause:!f,section:0,value:0),time:(from:'2017-05-22T13:10:11-0600',mode:absolute,to:'2017-05-22T15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9" t="str">
        <f t="shared" si="1"/>
        <v>"C:\Program Files (x86)\AstroGrep\AstroGrep.exe" /e /r /s /spath="%USERPROFILE%\AppData\Local\Temp\OnboardLogs" /stypes="*4032*201705222*"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4032</v>
      </c>
      <c r="V12" s="31">
        <f t="shared" si="3"/>
        <v>42877.85324074074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arrival","project_id":79,"tracker_id":40,"status_id":1,"priority_id":2,"assigned_to_id":23,"start_date":"2017-05-22","description":"","custom_fields":[{"id":1,"name":"Subdivision","value":"EC"},{"id":4,"name":"Milepost","value":"6.3069"},{"id":17,"name":"Train ID","value":"185-22"},{"id":16,"name":"Locomotive ID","value":"4032"},{"id":130,"name":"Impact","value":""},{"id":150,"name":"Time of Event (Mountain Time)","value":"14:28:40"},{"id":151,"name":"Denver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/cygdrive/c/Users/stu/AppData/Local/Temp/OnboardLogs/RTDC4032 --include="*4032*201705222*"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"%USERPROFILE%\AppData\Local\Temp\OnboardLogs"\RTDC4032\*4032*201705222* &gt;&gt; 2017-05-22-SliceDisagreementCheck.txt</v>
      </c>
      <c r="AE12" s="148" t="str">
        <f t="shared" si="9"/>
        <v>start /low /b %USERPROFILE%\Documents\GitHub\eaglep3\Utilities\DownloadLogsFromS3.py --loco 4032 --day 2017-05-22</v>
      </c>
    </row>
    <row r="13" spans="1:32" s="1" customFormat="1" x14ac:dyDescent="0.25">
      <c r="A13" s="31">
        <v>42877.469131944446</v>
      </c>
      <c r="B13" s="30" t="s">
        <v>588</v>
      </c>
      <c r="C13" s="30" t="s">
        <v>589</v>
      </c>
      <c r="D13" s="30" t="s">
        <v>49</v>
      </c>
      <c r="E13" s="30" t="s">
        <v>191</v>
      </c>
      <c r="F13" s="42">
        <v>0</v>
      </c>
      <c r="G13" s="42">
        <v>523</v>
      </c>
      <c r="H13" s="42">
        <v>104010</v>
      </c>
      <c r="I13" s="42">
        <v>102351</v>
      </c>
      <c r="J13" s="30" t="s">
        <v>192</v>
      </c>
      <c r="K13" s="42">
        <v>103800</v>
      </c>
      <c r="L13" s="134" t="s">
        <v>51</v>
      </c>
      <c r="M13" s="135">
        <f t="shared" si="0"/>
        <v>-765.072</v>
      </c>
      <c r="N13" s="136" t="str">
        <f>VLOOKUP(C13,'Trips&amp;Operators'!$C$1:$G$99999,5,FALSE)</f>
        <v>WILLIAMS DONTE</v>
      </c>
      <c r="O13" s="207" t="s">
        <v>184</v>
      </c>
      <c r="P13" s="137" t="s">
        <v>414</v>
      </c>
      <c r="Q13" s="30"/>
      <c r="R13" s="84" t="str">
        <f>IF(VLOOKUP(C13,'Train Runs'!$A$13:$AE$9928,1,1)=C13,VLOOKUP(C13,'Train Runs'!$A$13:$AE$9928,31,1),NA())</f>
        <v>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 &amp; 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</v>
      </c>
      <c r="S13" s="87" t="str">
        <f>VLOOKUP(C13,'Train Runs'!$A$13:$AE$9928,22,0)</f>
        <v>https://d0f6bd738d7f1b3e5a7ca70fe4ff75f0.us-east-1.aws.found.io/app/kibana#/discover/Steve-Slow-Train-Analysis-(2080s-and-2083s)?_g=(refreshInterval:(display:Off,pause:!f,section:0,value:0),time:(from:'2017-05-22T09:38:17-0600',mode:absolute,to:'2017-05-22T12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9" t="str">
        <f t="shared" si="1"/>
        <v>"C:\Program Files (x86)\AstroGrep\AstroGrep.exe" /e /r /s /spath="%USERPROFILE%\AppData\Local\Temp\OnboardLogs" /stypes="*4025*201705221*"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42877.719131944446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arrival","project_id":79,"tracker_id":40,"status_id":1,"priority_id":2,"assigned_to_id":23,"start_date":"2017-05-22","description":"","custom_fields":[{"id":1,"name":"Subdivision","value":"EC"},{"id":4,"name":"Milepost","value":"10.38"},{"id":17,"name":"Train ID","value":"152-22"},{"id":16,"name":"Locomotive ID","value":"4025"},{"id":130,"name":"Impact","value":""},{"id":150,"name":"Time of Event (Mountain Time)","value":"11:15:33"},{"id":151,"name":"Denver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/cygdrive/c/Users/stu/AppData/Local/Temp/OnboardLogs/RTDC4025 --include="*4025*201705221*"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"%USERPROFILE%\AppData\Local\Temp\OnboardLogs"\RTDC4025\*4025*201705221* &gt;&gt; 2017-05-22-SliceDisagreementCheck.txt</v>
      </c>
      <c r="AE13" s="148" t="str">
        <f t="shared" si="9"/>
        <v>start /low /b %USERPROFILE%\Documents\GitHub\eaglep3\Utilities\DownloadLogsFromS3.py --loco 4025 --day 2017-05-22</v>
      </c>
    </row>
    <row r="14" spans="1:32" x14ac:dyDescent="0.25">
      <c r="A14" s="31">
        <v>42878.01048611111</v>
      </c>
      <c r="B14" s="30" t="s">
        <v>582</v>
      </c>
      <c r="C14" s="30" t="s">
        <v>620</v>
      </c>
      <c r="D14" s="30" t="s">
        <v>49</v>
      </c>
      <c r="E14" s="30" t="s">
        <v>191</v>
      </c>
      <c r="F14" s="42">
        <v>0</v>
      </c>
      <c r="G14" s="42">
        <v>388</v>
      </c>
      <c r="H14" s="42">
        <v>109245</v>
      </c>
      <c r="I14" s="42">
        <v>108666</v>
      </c>
      <c r="J14" s="30" t="s">
        <v>192</v>
      </c>
      <c r="K14" s="42">
        <v>109135</v>
      </c>
      <c r="L14" s="134" t="s">
        <v>51</v>
      </c>
      <c r="M14" s="135">
        <f t="shared" si="0"/>
        <v>-247.63200000000001</v>
      </c>
      <c r="N14" s="136" t="str">
        <f>VLOOKUP(C14,'Trips&amp;Operators'!$C$1:$G$99999,5,FALSE)</f>
        <v>PERKINS DARREN</v>
      </c>
      <c r="O14" s="207" t="s">
        <v>184</v>
      </c>
      <c r="P14" s="137" t="s">
        <v>414</v>
      </c>
      <c r="Q14" s="30"/>
      <c r="R14" s="84" t="str">
        <f>IF(VLOOKUP(C14,'Train Runs'!$A$13:$AE$9928,1,1)=C14,VLOOKUP(C14,'Train Runs'!$A$13:$AE$9928,31,1),NA())</f>
        <v>aws s3 cp s3://rtdc.mdm.uploadarchive.raw/RTDC4005/ "%USERPROFILE%\AppData\Local\Temp\OnboardLogs"\RTDC4005\2017-05-22 --exclude "*" --recursive --include "*20170522*" &amp; "%USERPROFILE%\Documents\GitHub\mrs-test-scripts\Headless Mode &amp; Sideloading\WalkAndUnGZ.bat" "%USERPROFILE%\AppData\Local\Temp\OnboardLogs"\RTDC4005\2017-05-22 &amp; 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</v>
      </c>
      <c r="S14" s="87" t="str">
        <f>VLOOKUP(C14,'Train Runs'!$A$13:$AE$9928,22,0)</f>
        <v>https://d0f6bd738d7f1b3e5a7ca70fe4ff75f0.us-east-1.aws.found.io/app/kibana#/discover/Steve-Slow-Train-Analysis-(2080s-and-2083s)?_g=(refreshInterval:(display:Off,pause:!f,section:0,value:0),time:(from:'2017-05-22T22:46:54-0600',mode:absolute,to:'2017-05-23T01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9" t="str">
        <f t="shared" si="1"/>
        <v>"C:\Program Files (x86)\AstroGrep\AstroGrep.exe" /e /r /s /spath="%USERPROFILE%\AppData\Local\Temp\OnboardLogs" /stypes="*4005*201705230*"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42878.26048611111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arrival","project_id":79,"tracker_id":40,"status_id":1,"priority_id":2,"assigned_to_id":23,"start_date":"2017-05-23","description":"","custom_fields":[{"id":1,"name":"Subdivision","value":"EC"},{"id":4,"name":"Milepost","value":"10.9135"},{"id":17,"name":"Train ID","value":"238-22"},{"id":16,"name":"Locomotive ID","value":"4005"},{"id":130,"name":"Impact","value":""},{"id":150,"name":"Time of Event (Mountain Time)","value":"00:15:06"},{"id":151,"name":"Denver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/cygdrive/c/Users/stu/AppData/Local/Temp/OnboardLogs/RTDC4005 --include="*4005*201705230*"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"%USERPROFILE%\AppData\Local\Temp\OnboardLogs"\RTDC4005\*4005*201705230* &gt;&gt; 2017-05-22-SliceDisagreementCheck.txt</v>
      </c>
      <c r="AE14" s="148" t="str">
        <f t="shared" si="9"/>
        <v>start /low /b %USERPROFILE%\Documents\GitHub\eaglep3\Utilities\DownloadLogsFromS3.py --loco 4005 --day 2017-05-23</v>
      </c>
      <c r="AF14" s="1"/>
    </row>
    <row r="15" spans="1:32" x14ac:dyDescent="0.25">
      <c r="A15" s="31">
        <v>42877.346365740741</v>
      </c>
      <c r="B15" s="30" t="s">
        <v>475</v>
      </c>
      <c r="C15" s="30" t="s">
        <v>579</v>
      </c>
      <c r="D15" s="30" t="s">
        <v>49</v>
      </c>
      <c r="E15" s="30" t="s">
        <v>204</v>
      </c>
      <c r="F15" s="42">
        <v>400</v>
      </c>
      <c r="G15" s="42">
        <v>572</v>
      </c>
      <c r="H15" s="42">
        <v>15188</v>
      </c>
      <c r="I15" s="42">
        <v>17862</v>
      </c>
      <c r="J15" s="30" t="s">
        <v>205</v>
      </c>
      <c r="K15" s="42">
        <v>17867</v>
      </c>
      <c r="L15" s="134" t="s">
        <v>50</v>
      </c>
      <c r="M15" s="135">
        <f t="shared" si="0"/>
        <v>2.64</v>
      </c>
      <c r="N15" s="136" t="str">
        <f>VLOOKUP(C15,'Trips&amp;Operators'!$C$1:$G$99999,5,FALSE)</f>
        <v>WILLIAMS DONTE</v>
      </c>
      <c r="O15" s="207" t="s">
        <v>184</v>
      </c>
      <c r="P15" s="137"/>
      <c r="Q15" s="30"/>
      <c r="R15" s="84" t="str">
        <f>IF(VLOOKUP(C15,'Train Runs'!$A$13:$AE$9928,1,1)=C15,VLOOKUP(C15,'Train Runs'!$A$13:$AE$9928,31,1),NA())</f>
        <v>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 &amp; 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</v>
      </c>
      <c r="S15" s="87" t="str">
        <f>VLOOKUP(C15,'Train Runs'!$A$13:$AE$9928,22,0)</f>
        <v>https://d0f6bd738d7f1b3e5a7ca70fe4ff75f0.us-east-1.aws.found.io/app/kibana#/discover/Steve-Slow-Train-Analysis-(2080s-and-2083s)?_g=(refreshInterval:(display:Off,pause:!f,section:0,value:0),time:(from:'2017-05-22T07:11:41-0600',mode:absolute,to:'2017-05-22T09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89" t="str">
        <f t="shared" si="1"/>
        <v>"C:\Program Files (x86)\AstroGrep\AstroGrep.exe" /e /r /s /spath="%USERPROFILE%\AppData\Local\Temp\OnboardLogs" /stypes="*4026*201705221*"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4026</v>
      </c>
      <c r="V15" s="31">
        <f t="shared" si="3"/>
        <v>42877.596365740741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{"issue":{"subject":"","project_id":79,"tracker_id":40,"status_id":1,"priority_id":2,"assigned_to_id":23,"start_date":"2017-05-22","description":"","custom_fields":[{"id":1,"name":"Subdivision","value":"EC"},{"id":4,"name":"Milepost","value":"1.7867"},{"id":17,"name":"Train ID","value":"137-22"},{"id":16,"name":"Locomotive ID","value":"4026"},{"id":130,"name":"Impact","value":""},{"id":150,"name":"Time of Event (Mountain Time)","value":"08:18:46"},{"id":151,"name":"Denver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/cygdrive/c/Users/stu/AppData/Local/Temp/OnboardLogs/RTDC4026 --include="*4026*201705221*"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"%USERPROFILE%\AppData\Local\Temp\OnboardLogs"\RTDC4026\*4026*201705221* &gt;&gt; 2017-05-22-SliceDisagreementCheck.txt</v>
      </c>
      <c r="AE15" s="148" t="str">
        <f t="shared" si="9"/>
        <v>start /low /b %USERPROFILE%\Documents\GitHub\eaglep3\Utilities\DownloadLogsFromS3.py --loco 4026 --day 2017-05-22</v>
      </c>
      <c r="AF15" s="1"/>
    </row>
    <row r="16" spans="1:32" x14ac:dyDescent="0.25">
      <c r="A16" s="31">
        <v>42877.450729166667</v>
      </c>
      <c r="B16" s="30" t="s">
        <v>585</v>
      </c>
      <c r="C16" s="30" t="s">
        <v>586</v>
      </c>
      <c r="D16" s="30" t="s">
        <v>49</v>
      </c>
      <c r="E16" s="30" t="s">
        <v>204</v>
      </c>
      <c r="F16" s="42">
        <v>400</v>
      </c>
      <c r="G16" s="42">
        <v>553</v>
      </c>
      <c r="H16" s="42">
        <v>15495</v>
      </c>
      <c r="I16" s="42">
        <v>17665</v>
      </c>
      <c r="J16" s="30" t="s">
        <v>205</v>
      </c>
      <c r="K16" s="42">
        <v>17867</v>
      </c>
      <c r="L16" s="134" t="s">
        <v>50</v>
      </c>
      <c r="M16" s="135">
        <f t="shared" si="0"/>
        <v>106.65600000000001</v>
      </c>
      <c r="N16" s="136" t="str">
        <f>VLOOKUP(C16,'Trips&amp;Operators'!$C$1:$G$99999,5,FALSE)</f>
        <v>WHITED DUSTIN</v>
      </c>
      <c r="O16" s="207" t="s">
        <v>184</v>
      </c>
      <c r="P16" s="137"/>
      <c r="Q16" s="30"/>
      <c r="R16" s="84" t="str">
        <f>IF(VLOOKUP(C16,'Train Runs'!$A$13:$AE$9928,1,1)=C16,VLOOKUP(C16,'Train Runs'!$A$13:$AE$9928,31,1),NA())</f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S16" s="87" t="str">
        <f>VLOOKUP(C16,'Train Runs'!$A$13:$AE$9928,22,0)</f>
        <v>https://d0f6bd738d7f1b3e5a7ca70fe4ff75f0.us-east-1.aws.found.io/app/kibana#/discover/Steve-Slow-Train-Analysis-(2080s-and-2083s)?_g=(refreshInterval:(display:Off,pause:!f,section:0,value:0),time:(from:'2017-05-22T09:40:31-0600',mode:absolute,to:'2017-05-22T12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89" t="str">
        <f t="shared" si="1"/>
        <v>"C:\Program Files (x86)\AstroGrep\AstroGrep.exe" /e /r /s /spath="%USERPROFILE%\AppData\Local\Temp\OnboardLogs" /stypes="*4032*201705221*"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4032</v>
      </c>
      <c r="V16" s="31">
        <f t="shared" si="3"/>
        <v>42877.700729166667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{"issue":{"subject":"","project_id":79,"tracker_id":40,"status_id":1,"priority_id":2,"assigned_to_id":23,"start_date":"2017-05-22","description":"","custom_fields":[{"id":1,"name":"Subdivision","value":"EC"},{"id":4,"name":"Milepost","value":"1.7867"},{"id":17,"name":"Train ID","value":"157-22"},{"id":16,"name":"Locomotive ID","value":"4032"},{"id":130,"name":"Impact","value":""},{"id":150,"name":"Time of Event (Mountain Time)","value":"10:49:03"},{"id":151,"name":"Denver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/cygdrive/c/Users/stu/AppData/Local/Temp/OnboardLogs/RTDC4032 --include="*4032*201705221*"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"%USERPROFILE%\AppData\Local\Temp\OnboardLogs"\RTDC4032\*4032*201705221* &gt;&gt; 2017-05-22-SliceDisagreementCheck.txt</v>
      </c>
      <c r="AE16" s="148" t="str">
        <f t="shared" si="9"/>
        <v>start /low /b %USERPROFILE%\Documents\GitHub\eaglep3\Utilities\DownloadLogsFromS3.py --loco 4032 --day 2017-05-22</v>
      </c>
      <c r="AF16" s="1"/>
    </row>
    <row r="17" spans="1:32" x14ac:dyDescent="0.25">
      <c r="A17" s="31">
        <v>42877.362858796296</v>
      </c>
      <c r="B17" s="30" t="s">
        <v>470</v>
      </c>
      <c r="C17" s="30" t="s">
        <v>580</v>
      </c>
      <c r="D17" s="30" t="s">
        <v>49</v>
      </c>
      <c r="E17" s="30" t="s">
        <v>204</v>
      </c>
      <c r="F17" s="42">
        <v>400</v>
      </c>
      <c r="G17" s="42">
        <v>500</v>
      </c>
      <c r="H17" s="42">
        <v>121281</v>
      </c>
      <c r="I17" s="42">
        <v>119844</v>
      </c>
      <c r="J17" s="30" t="s">
        <v>205</v>
      </c>
      <c r="K17" s="42">
        <v>119716</v>
      </c>
      <c r="L17" s="134" t="s">
        <v>51</v>
      </c>
      <c r="M17" s="135">
        <f t="shared" si="0"/>
        <v>67.584000000000003</v>
      </c>
      <c r="N17" s="136" t="str">
        <f>VLOOKUP(C17,'Trips&amp;Operators'!$C$1:$G$99999,5,FALSE)</f>
        <v>MACDONALD THOMAS</v>
      </c>
      <c r="O17" s="207" t="s">
        <v>184</v>
      </c>
      <c r="P17" s="137"/>
      <c r="Q17" s="30"/>
      <c r="R17" s="84" t="str">
        <f>IF(VLOOKUP(C17,'Train Runs'!$A$13:$AE$9928,1,1)=C17,VLOOKUP(C17,'Train Runs'!$A$13:$AE$9928,31,1),NA())</f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S17" s="87" t="str">
        <f>VLOOKUP(C17,'Train Runs'!$A$13:$AE$9928,22,0)</f>
        <v>https://d0f6bd738d7f1b3e5a7ca70fe4ff75f0.us-east-1.aws.found.io/app/kibana#/discover/Steve-Slow-Train-Analysis-(2080s-and-2083s)?_g=(refreshInterval:(display:Off,pause:!f,section:0,value:0),time:(from:'2017-05-22T07:20:27-0600',mode:absolute,to:'2017-05-22T10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89" t="str">
        <f t="shared" si="1"/>
        <v>"C:\Program Files (x86)\AstroGrep\AstroGrep.exe" /e /r /s /spath="%USERPROFILE%\AppData\Local\Temp\OnboardLogs" /stypes="*4009*201705221*"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4009</v>
      </c>
      <c r="V17" s="31">
        <f t="shared" si="3"/>
        <v>42877.612858796296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{"issue":{"subject":"","project_id":79,"tracker_id":40,"status_id":1,"priority_id":2,"assigned_to_id":23,"start_date":"2017-05-22","description":"","custom_fields":[{"id":1,"name":"Subdivision","value":"EC"},{"id":4,"name":"Milepost","value":"11.9716"},{"id":17,"name":"Train ID","value":"132-22"},{"id":16,"name":"Locomotive ID","value":"4009"},{"id":130,"name":"Impact","value":""},{"id":150,"name":"Time of Event (Mountain Time)","value":"08:42:31"},{"id":151,"name":"Denver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/cygdrive/c/Users/stu/AppData/Local/Temp/OnboardLogs/RTDC4009 --include="*4009*201705221*"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"%USERPROFILE%\AppData\Local\Temp\OnboardLogs"\RTDC4009\*4009*201705221* &gt;&gt; 2017-05-22-SliceDisagreementCheck.txt</v>
      </c>
      <c r="AE17" s="148" t="str">
        <f t="shared" si="9"/>
        <v>start /low /b %USERPROFILE%\Documents\GitHub\eaglep3\Utilities\DownloadLogsFromS3.py --loco 4009 --day 2017-05-22</v>
      </c>
      <c r="AF17" s="1"/>
    </row>
    <row r="18" spans="1:32" x14ac:dyDescent="0.25">
      <c r="A18" s="31">
        <v>42877.779583333337</v>
      </c>
      <c r="B18" s="30" t="s">
        <v>428</v>
      </c>
      <c r="C18" s="30" t="s">
        <v>610</v>
      </c>
      <c r="D18" s="30" t="s">
        <v>49</v>
      </c>
      <c r="E18" s="30" t="s">
        <v>204</v>
      </c>
      <c r="F18" s="42">
        <v>400</v>
      </c>
      <c r="G18" s="42">
        <v>506</v>
      </c>
      <c r="H18" s="42">
        <v>121363</v>
      </c>
      <c r="I18" s="42">
        <v>119548</v>
      </c>
      <c r="J18" s="30" t="s">
        <v>205</v>
      </c>
      <c r="K18" s="42">
        <v>119716</v>
      </c>
      <c r="L18" s="134" t="s">
        <v>51</v>
      </c>
      <c r="M18" s="135">
        <f t="shared" si="0"/>
        <v>-88.703999999999994</v>
      </c>
      <c r="N18" s="136" t="str">
        <f>VLOOKUP(C18,'Trips&amp;Operators'!$C$1:$G$99999,5,FALSE)</f>
        <v>BRANDNER MELINDA</v>
      </c>
      <c r="O18" s="207" t="s">
        <v>184</v>
      </c>
      <c r="P18" s="137"/>
      <c r="Q18" s="30"/>
      <c r="R18" s="84" t="str">
        <f>IF(VLOOKUP(C18,'Train Runs'!$A$13:$AE$9928,1,1)=C18,VLOOKUP(C18,'Train Runs'!$A$13:$AE$9928,31,1),NA())</f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S18" s="87" t="str">
        <f>VLOOKUP(C18,'Train Runs'!$A$13:$AE$9928,22,0)</f>
        <v>https://d0f6bd738d7f1b3e5a7ca70fe4ff75f0.us-east-1.aws.found.io/app/kibana#/discover/Steve-Slow-Train-Analysis-(2080s-and-2083s)?_g=(refreshInterval:(display:Off,pause:!f,section:0,value:0),time:(from:'2017-05-22T17:21:44-0600',mode:absolute,to:'2017-05-22T20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8" s="89" t="str">
        <f t="shared" si="1"/>
        <v>"C:\Program Files (x86)\AstroGrep\AstroGrep.exe" /e /r /s /spath="%USERPROFILE%\AppData\Local\Temp\OnboardLogs" /stypes="*4007*201705230*"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4007</v>
      </c>
      <c r="V18" s="31">
        <f t="shared" si="3"/>
        <v>42878.029583333337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{"issue":{"subject":"","project_id":79,"tracker_id":40,"status_id":1,"priority_id":2,"assigned_to_id":23,"start_date":"2017-05-22","description":"","custom_fields":[{"id":1,"name":"Subdivision","value":"EC"},{"id":4,"name":"Milepost","value":"11.9716"},{"id":17,"name":"Train ID","value":"212-22"},{"id":16,"name":"Locomotive ID","value":"4007"},{"id":130,"name":"Impact","value":""},{"id":150,"name":"Time of Event (Mountain Time)","value":"18:42:36"},{"id":151,"name":"Denver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/cygdrive/c/Users/stu/AppData/Local/Temp/OnboardLogs/RTDC4007 --include="*4007*201705230*"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"%USERPROFILE%\AppData\Local\Temp\OnboardLogs"\RTDC4007\*4007*201705230* &gt;&gt; 2017-05-22-SliceDisagreementCheck.txt</v>
      </c>
      <c r="AE18" s="148" t="str">
        <f t="shared" si="9"/>
        <v>start /low /b %USERPROFILE%\Documents\GitHub\eaglep3\Utilities\DownloadLogsFromS3.py --loco 4007 --day 2017-05-23</v>
      </c>
      <c r="AF18" s="1"/>
    </row>
    <row r="19" spans="1:32" x14ac:dyDescent="0.25">
      <c r="A19" s="31">
        <v>42877.895162037035</v>
      </c>
      <c r="B19" s="30" t="s">
        <v>574</v>
      </c>
      <c r="C19" s="30" t="s">
        <v>615</v>
      </c>
      <c r="D19" s="30" t="s">
        <v>98</v>
      </c>
      <c r="E19" s="30" t="s">
        <v>204</v>
      </c>
      <c r="F19" s="42">
        <v>700</v>
      </c>
      <c r="G19" s="42">
        <v>755</v>
      </c>
      <c r="H19" s="42">
        <v>174618</v>
      </c>
      <c r="I19" s="42">
        <v>177761</v>
      </c>
      <c r="J19" s="30" t="s">
        <v>205</v>
      </c>
      <c r="K19" s="42">
        <v>161962</v>
      </c>
      <c r="L19" s="134" t="s">
        <v>50</v>
      </c>
      <c r="M19" s="135">
        <f t="shared" si="0"/>
        <v>-8341.8719999999994</v>
      </c>
      <c r="N19" s="136" t="str">
        <f>VLOOKUP(C19,'Trips&amp;Operators'!$C$1:$G$99999,5,FALSE)</f>
        <v>PERKINS DARREN</v>
      </c>
      <c r="O19" s="207" t="s">
        <v>184</v>
      </c>
      <c r="P19" s="137"/>
      <c r="Q19" s="30"/>
      <c r="R19" s="84" t="str">
        <f>IF(VLOOKUP(C19,'Train Runs'!$A$13:$AE$9928,1,1)=C19,VLOOKUP(C19,'Train Runs'!$A$13:$AE$9928,31,1),NA())</f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S19" s="87" t="str">
        <f>VLOOKUP(C19,'Train Runs'!$A$13:$AE$9928,22,0)</f>
        <v>https://d0f6bd738d7f1b3e5a7ca70fe4ff75f0.us-east-1.aws.found.io/app/kibana#/discover/Steve-Slow-Train-Analysis-(2080s-and-2083s)?_g=(refreshInterval:(display:Off,pause:!f,section:0,value:0),time:(from:'2017-05-22T19:50:08-0600',mode:absolute,to:'2017-05-22T22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89" t="str">
        <f t="shared" si="1"/>
        <v>"C:\Program Files (x86)\AstroGrep\AstroGrep.exe" /e /r /s /spath="%USERPROFILE%\AppData\Local\Temp\OnboardLogs" /stypes="*4006*201705230*" /stext=" 03:.+((SYSTEM_STATE.+slice.+state.+changed )|(ment ac)|(multiple cpu faults)|(system.+state.+changed )|(\[timeout)|(PRM\|1\|D)|(kpr)|(kdp)|(train st.+moving)|(\|lc)|(penalty))"</v>
      </c>
      <c r="U19" s="9" t="str">
        <f t="shared" si="2"/>
        <v>4006</v>
      </c>
      <c r="V19" s="31">
        <f t="shared" si="3"/>
        <v>42878.145162037035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{"issue":{"subject":"","project_id":79,"tracker_id":40,"status_id":1,"priority_id":2,"assigned_to_id":23,"start_date":"2017-05-22","description":"","custom_fields":[{"id":1,"name":"Subdivision","value":"EC"},{"id":4,"name":"Milepost","value":"16.1962"},{"id":17,"name":"Train ID","value":"229-22"},{"id":16,"name":"Locomotive ID","value":"4006"},{"id":130,"name":"Impact","value":""},{"id":150,"name":"Time of Event (Mountain Time)","value":"21:29:02"},{"id":151,"name":"Denver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/cygdrive/c/Users/stu/AppData/Local/Temp/OnboardLogs/RTDC4006 --include="*4006*201705230*"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"%USERPROFILE%\AppData\Local\Temp\OnboardLogs"\RTDC4006\*4006*201705230* &gt;&gt; 2017-05-22-SliceDisagreementCheck.txt</v>
      </c>
      <c r="AE19" s="148" t="str">
        <f t="shared" si="9"/>
        <v>start /low /b %USERPROFILE%\Documents\GitHub\eaglep3\Utilities\DownloadLogsFromS3.py --loco 4006 --day 2017-05-23</v>
      </c>
      <c r="AF19" s="1"/>
    </row>
    <row r="20" spans="1:32" x14ac:dyDescent="0.25">
      <c r="A20" s="31">
        <v>42877.508055555554</v>
      </c>
      <c r="B20" s="30" t="s">
        <v>591</v>
      </c>
      <c r="C20" s="30" t="s">
        <v>592</v>
      </c>
      <c r="D20" s="30" t="s">
        <v>49</v>
      </c>
      <c r="E20" s="30" t="s">
        <v>371</v>
      </c>
      <c r="F20" s="42">
        <v>0</v>
      </c>
      <c r="G20" s="42">
        <v>556</v>
      </c>
      <c r="H20" s="42">
        <v>51574</v>
      </c>
      <c r="I20" s="42">
        <v>49573</v>
      </c>
      <c r="J20" s="30" t="s">
        <v>372</v>
      </c>
      <c r="K20" s="42">
        <v>50763</v>
      </c>
      <c r="L20" s="134" t="s">
        <v>51</v>
      </c>
      <c r="M20" s="135">
        <f t="shared" si="0"/>
        <v>-628.32000000000005</v>
      </c>
      <c r="N20" s="136" t="str">
        <f>VLOOKUP(C20,'Trips&amp;Operators'!$C$1:$G$99999,5,FALSE)</f>
        <v>WHITED DUSTIN</v>
      </c>
      <c r="O20" s="207" t="s">
        <v>461</v>
      </c>
      <c r="P20" s="137" t="s">
        <v>468</v>
      </c>
      <c r="Q20" s="30"/>
      <c r="R20" s="84" t="str">
        <f>IF(VLOOKUP(C20,'Train Runs'!$A$13:$AE$9928,1,1)=C20,VLOOKUP(C20,'Train Runs'!$A$13:$AE$9928,31,1),NA())</f>
        <v>aws s3 cp s3://rtdc.mdm.uploadarchive.raw/RTDC4031/ "%USERPROFILE%\AppData\Local\Temp\OnboardLogs"\RTDC4031\2017-05-22 --exclude "*" --recursive --include "*20170522*" &amp; "%USERPROFILE%\Documents\GitHub\mrs-test-scripts\Headless Mode &amp; Sideloading\WalkAndUnGZ.bat" "%USERPROFILE%\AppData\Local\Temp\OnboardLogs"\RTDC4031\2017-05-22 &amp; aws s3 cp s3://rtdc.mdm.uploadarchive.raw/RTDC4031/ "%USERPROFILE%\AppData\Local\Temp\OnboardLogs"\RTDC4031\2017-05-23 --exclude "*" --recursive --include "*20170523*" &amp; "%USERPROFILE%\Documents\GitHub\mrs-test-scripts\Headless Mode &amp; Sideloading\WalkAndUnGZ.bat" "%USERPROFILE%\AppData\Local\Temp\OnboardLogs"\RTDC4031\2017-05-23</v>
      </c>
      <c r="S20" s="87" t="str">
        <f>VLOOKUP(C20,'Train Runs'!$A$13:$AE$9928,22,0)</f>
        <v>https://d0f6bd738d7f1b3e5a7ca70fe4ff75f0.us-east-1.aws.found.io/app/kibana#/discover/Steve-Slow-Train-Analysis-(2080s-and-2083s)?_g=(refreshInterval:(display:Off,pause:!f,section:0,value:0),time:(from:'2017-05-22T10:37:37-0600',mode:absolute,to:'2017-05-22T13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9" t="str">
        <f t="shared" si="1"/>
        <v>"C:\Program Files (x86)\AstroGrep\AstroGrep.exe" /e /r /s /spath="%USERPROFILE%\AppData\Local\Temp\OnboardLogs" /stypes="*4031*201705221*"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4031</v>
      </c>
      <c r="V20" s="31">
        <f t="shared" si="3"/>
        <v>42877.758055555554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drop","project_id":79,"tracker_id":40,"status_id":1,"priority_id":2,"assigned_to_id":23,"start_date":"2017-05-22","description":"","custom_fields":[{"id":1,"name":"Subdivision","value":"EC"},{"id":4,"name":"Milepost","value":"5.0763"},{"id":17,"name":"Train ID","value":"158-22"},{"id":16,"name":"Locomotive ID","value":"4031"},{"id":130,"name":"Impact","value":""},{"id":150,"name":"Time of Event (Mountain Time)","value":"12:11:36"},{"id":151,"name":"Denver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/cygdrive/c/Users/stu/AppData/Local/Temp/OnboardLogs/RTDC4031 --include="*4031*201705221*"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"%USERPROFILE%\AppData\Local\Temp\OnboardLogs"\RTDC4031\*4031*201705221* &gt;&gt; 2017-05-22-SliceDisagreementCheck.txt</v>
      </c>
      <c r="AE20" s="148" t="str">
        <f t="shared" si="9"/>
        <v>start /low /b %USERPROFILE%\Documents\GitHub\eaglep3\Utilities\DownloadLogsFromS3.py --loco 4031 --day 2017-05-22</v>
      </c>
      <c r="AF20" s="1"/>
    </row>
    <row r="21" spans="1:32" x14ac:dyDescent="0.25">
      <c r="A21" s="31">
        <v>42877.676377314812</v>
      </c>
      <c r="B21" s="30" t="s">
        <v>585</v>
      </c>
      <c r="C21" s="30" t="s">
        <v>602</v>
      </c>
      <c r="D21" s="30" t="s">
        <v>49</v>
      </c>
      <c r="E21" s="30" t="s">
        <v>371</v>
      </c>
      <c r="F21" s="42">
        <v>0</v>
      </c>
      <c r="G21" s="42">
        <v>316</v>
      </c>
      <c r="H21" s="42">
        <v>63762</v>
      </c>
      <c r="I21" s="42">
        <v>64309</v>
      </c>
      <c r="J21" s="30" t="s">
        <v>372</v>
      </c>
      <c r="K21" s="42">
        <v>63995</v>
      </c>
      <c r="L21" s="134" t="s">
        <v>50</v>
      </c>
      <c r="M21" s="135">
        <f t="shared" si="0"/>
        <v>-165.79199999999997</v>
      </c>
      <c r="N21" s="136" t="str">
        <f>VLOOKUP(C21,'Trips&amp;Operators'!$C$1:$G$99999,5,FALSE)</f>
        <v>WHITED DUSTIN</v>
      </c>
      <c r="O21" s="207" t="s">
        <v>461</v>
      </c>
      <c r="P21" s="137" t="s">
        <v>468</v>
      </c>
      <c r="Q21" s="30"/>
      <c r="R21" s="84" t="str">
        <f>IF(VLOOKUP(C21,'Train Runs'!$A$13:$AE$9928,1,1)=C21,VLOOKUP(C21,'Train Runs'!$A$13:$AE$9928,31,1),NA())</f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S21" s="87" t="str">
        <f>VLOOKUP(C21,'Train Runs'!$A$13:$AE$9928,22,0)</f>
        <v>https://d0f6bd738d7f1b3e5a7ca70fe4ff75f0.us-east-1.aws.found.io/app/kibana#/discover/Steve-Slow-Train-Analysis-(2080s-and-2083s)?_g=(refreshInterval:(display:Off,pause:!f,section:0,value:0),time:(from:'2017-05-22T14:56:13-0600',mode:absolute,to:'2017-05-22T17:14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1" s="89" t="str">
        <f t="shared" si="1"/>
        <v>"C:\Program Files (x86)\AstroGrep\AstroGrep.exe" /e /r /s /spath="%USERPROFILE%\AppData\Local\Temp\OnboardLogs" /stypes="*4032*201705222*"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4032</v>
      </c>
      <c r="V21" s="31">
        <f t="shared" si="3"/>
        <v>42877.926377314812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drop","project_id":79,"tracker_id":40,"status_id":1,"priority_id":2,"assigned_to_id":23,"start_date":"2017-05-22","description":"","custom_fields":[{"id":1,"name":"Subdivision","value":"EC"},{"id":4,"name":"Milepost","value":"6.3995"},{"id":17,"name":"Train ID","value":"199-22"},{"id":16,"name":"Locomotive ID","value":"4032"},{"id":130,"name":"Impact","value":""},{"id":150,"name":"Time of Event (Mountain Time)","value":"16:13:59"},{"id":151,"name":"Denver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/cygdrive/c/Users/stu/AppData/Local/Temp/OnboardLogs/RTDC4032 --include="*4032*201705222*"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"%USERPROFILE%\AppData\Local\Temp\OnboardLogs"\RTDC4032\*4032*201705222* &gt;&gt; 2017-05-22-SliceDisagreementCheck.txt</v>
      </c>
      <c r="AE21" s="148" t="str">
        <f t="shared" si="9"/>
        <v>start /low /b %USERPROFILE%\Documents\GitHub\eaglep3\Utilities\DownloadLogsFromS3.py --loco 4032 --day 2017-05-22</v>
      </c>
      <c r="AF21" s="1"/>
    </row>
    <row r="22" spans="1:32" x14ac:dyDescent="0.25">
      <c r="A22" s="31">
        <v>42877.792812500003</v>
      </c>
      <c r="B22" s="30" t="s">
        <v>470</v>
      </c>
      <c r="C22" s="30" t="s">
        <v>611</v>
      </c>
      <c r="D22" s="30" t="s">
        <v>49</v>
      </c>
      <c r="E22" s="30" t="s">
        <v>371</v>
      </c>
      <c r="F22" s="42">
        <v>0</v>
      </c>
      <c r="G22" s="42">
        <v>582</v>
      </c>
      <c r="H22" s="42">
        <v>206261</v>
      </c>
      <c r="I22" s="42">
        <v>203945</v>
      </c>
      <c r="J22" s="30" t="s">
        <v>372</v>
      </c>
      <c r="K22" s="42">
        <v>204340</v>
      </c>
      <c r="L22" s="134" t="s">
        <v>51</v>
      </c>
      <c r="M22" s="135">
        <f t="shared" si="0"/>
        <v>-208.56</v>
      </c>
      <c r="N22" s="136" t="str">
        <f>VLOOKUP(C22,'Trips&amp;Operators'!$C$1:$G$99999,5,FALSE)</f>
        <v>MCREYNOLDS KYLE</v>
      </c>
      <c r="O22" s="207" t="s">
        <v>461</v>
      </c>
      <c r="P22" s="137" t="s">
        <v>468</v>
      </c>
      <c r="Q22" s="30"/>
      <c r="R22" s="84" t="str">
        <f>IF(VLOOKUP(C22,'Train Runs'!$A$13:$AE$9928,1,1)=C22,VLOOKUP(C22,'Train Runs'!$A$13:$AE$9928,31,1),NA())</f>
        <v>aws s3 cp s3://rtdc.mdm.uploadarchive.raw/RTDC4009/ "%USERPROFILE%\AppData\Local\Temp\OnboardLogs"\RTDC4009\2017-05-22 --exclude "*" --recursive --include "*20170522*" &amp; "%USERPROFILE%\Documents\GitHub\mrs-test-scripts\Headless Mode &amp; Sideloading\WalkAndUnGZ.bat" "%USERPROFILE%\AppData\Local\Temp\OnboardLogs"\RTDC4009\2017-05-22 &amp; aws s3 cp s3://rtdc.mdm.uploadarchive.raw/RTDC4009/ "%USERPROFILE%\AppData\Local\Temp\OnboardLogs"\RTDC4009\2017-05-23 --exclude "*" --recursive --include "*20170523*" &amp; "%USERPROFILE%\Documents\GitHub\mrs-test-scripts\Headless Mode &amp; Sideloading\WalkAndUnGZ.bat" "%USERPROFILE%\AppData\Local\Temp\OnboardLogs"\RTDC4009\2017-05-23</v>
      </c>
      <c r="S22" s="87" t="str">
        <f>VLOOKUP(C22,'Train Runs'!$A$13:$AE$9928,22,0)</f>
        <v>https://d0f6bd738d7f1b3e5a7ca70fe4ff75f0.us-east-1.aws.found.io/app/kibana#/discover/Steve-Slow-Train-Analysis-(2080s-and-2083s)?_g=(refreshInterval:(display:Off,pause:!f,section:0,value:0),time:(from:'2017-05-22T17:45:37-0600',mode:absolute,to:'2017-05-22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9" t="str">
        <f t="shared" si="1"/>
        <v>"C:\Program Files (x86)\AstroGrep\AstroGrep.exe" /e /r /s /spath="%USERPROFILE%\AppData\Local\Temp\OnboardLogs" /stypes="*4009*201705230*"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42878.042812500003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drop","project_id":79,"tracker_id":40,"status_id":1,"priority_id":2,"assigned_to_id":23,"start_date":"2017-05-22","description":"","custom_fields":[{"id":1,"name":"Subdivision","value":"EC"},{"id":4,"name":"Milepost","value":"20.434"},{"id":17,"name":"Train ID","value":"216-22"},{"id":16,"name":"Locomotive ID","value":"4009"},{"id":130,"name":"Impact","value":""},{"id":150,"name":"Time of Event (Mountain Time)","value":"19:01:39"},{"id":151,"name":"Denver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/cygdrive/c/Users/stu/AppData/Local/Temp/OnboardLogs/RTDC4009 --include="*4009*201705230*"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"%USERPROFILE%\AppData\Local\Temp\OnboardLogs"\RTDC4009\*4009*201705230* &gt;&gt; 2017-05-22-SliceDisagreementCheck.txt</v>
      </c>
      <c r="AE22" s="148" t="str">
        <f t="shared" si="9"/>
        <v>start /low /b %USERPROFILE%\Documents\GitHub\eaglep3\Utilities\DownloadLogsFromS3.py --loco 4009 --day 2017-05-23</v>
      </c>
      <c r="AF22" s="1"/>
    </row>
    <row r="23" spans="1:32" x14ac:dyDescent="0.25">
      <c r="A23" s="31">
        <v>42877.282870370371</v>
      </c>
      <c r="B23" s="30" t="s">
        <v>388</v>
      </c>
      <c r="C23" s="30" t="s">
        <v>577</v>
      </c>
      <c r="D23" s="30" t="s">
        <v>49</v>
      </c>
      <c r="E23" s="30" t="s">
        <v>371</v>
      </c>
      <c r="F23" s="42">
        <v>0</v>
      </c>
      <c r="G23" s="42">
        <v>433</v>
      </c>
      <c r="H23" s="42">
        <v>215387</v>
      </c>
      <c r="I23" s="42">
        <v>216896</v>
      </c>
      <c r="J23" s="30" t="s">
        <v>372</v>
      </c>
      <c r="K23" s="42">
        <v>217106</v>
      </c>
      <c r="L23" s="134" t="s">
        <v>50</v>
      </c>
      <c r="M23" s="135">
        <f t="shared" si="0"/>
        <v>110.88</v>
      </c>
      <c r="N23" s="136" t="str">
        <f>VLOOKUP(C23,'Trips&amp;Operators'!$C$1:$G$99999,5,FALSE)</f>
        <v>LALONDE GREGORY</v>
      </c>
      <c r="O23" s="207" t="s">
        <v>461</v>
      </c>
      <c r="P23" s="137" t="s">
        <v>468</v>
      </c>
      <c r="Q23" s="30"/>
      <c r="R23" s="84" t="str">
        <f>IF(VLOOKUP(C23,'Train Runs'!$A$13:$AE$9928,1,1)=C23,VLOOKUP(C23,'Train Runs'!$A$13:$AE$9928,31,1),NA())</f>
        <v>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 &amp; 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</v>
      </c>
      <c r="S23" s="87" t="str">
        <f>VLOOKUP(C23,'Train Runs'!$A$13:$AE$9928,22,0)</f>
        <v>https://d0f6bd738d7f1b3e5a7ca70fe4ff75f0.us-east-1.aws.found.io/app/kibana#/discover/Steve-Slow-Train-Analysis-(2080s-and-2083s)?_g=(refreshInterval:(display:Off,pause:!f,section:0,value:0),time:(from:'2017-05-22T05:11:08-0600',mode:absolute,to:'2017-05-22T07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89" t="str">
        <f t="shared" si="1"/>
        <v>"C:\Program Files (x86)\AstroGrep\AstroGrep.exe" /e /r /s /spath="%USERPROFILE%\AppData\Local\Temp\OnboardLogs" /stypes="*4014*201705221*"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4014</v>
      </c>
      <c r="V23" s="31">
        <f t="shared" si="3"/>
        <v>42877.532870370371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drop","project_id":79,"tracker_id":40,"status_id":1,"priority_id":2,"assigned_to_id":23,"start_date":"2017-05-22","description":"","custom_fields":[{"id":1,"name":"Subdivision","value":"EC"},{"id":4,"name":"Milepost","value":"21.7106"},{"id":17,"name":"Train ID","value":"121-22"},{"id":16,"name":"Locomotive ID","value":"4014"},{"id":130,"name":"Impact","value":""},{"id":150,"name":"Time of Event (Mountain Time)","value":"06:47:20"},{"id":151,"name":"Denver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/cygdrive/c/Users/stu/AppData/Local/Temp/OnboardLogs/RTDC4014 --include="*4014*201705221*"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"%USERPROFILE%\AppData\Local\Temp\OnboardLogs"\RTDC4014\*4014*201705221* &gt;&gt; 2017-05-22-SliceDisagreementCheck.txt</v>
      </c>
      <c r="AE23" s="148" t="str">
        <f t="shared" si="9"/>
        <v>start /low /b %USERPROFILE%\Documents\GitHub\eaglep3\Utilities\DownloadLogsFromS3.py --loco 4014 --day 2017-05-22</v>
      </c>
      <c r="AF23" s="1"/>
    </row>
    <row r="24" spans="1:32" x14ac:dyDescent="0.25">
      <c r="A24" s="31">
        <v>42877.427511574075</v>
      </c>
      <c r="B24" s="30" t="s">
        <v>428</v>
      </c>
      <c r="C24" s="30" t="s">
        <v>584</v>
      </c>
      <c r="D24" s="30" t="s">
        <v>98</v>
      </c>
      <c r="E24" s="30" t="s">
        <v>494</v>
      </c>
      <c r="F24" s="42">
        <v>0</v>
      </c>
      <c r="G24" s="42">
        <v>460</v>
      </c>
      <c r="H24" s="42">
        <v>15058</v>
      </c>
      <c r="I24" s="42">
        <v>13558</v>
      </c>
      <c r="J24" s="30" t="s">
        <v>469</v>
      </c>
      <c r="K24" s="42">
        <v>17100</v>
      </c>
      <c r="L24" s="134" t="s">
        <v>51</v>
      </c>
      <c r="M24" s="135">
        <f t="shared" si="0"/>
        <v>-1870.1759999999999</v>
      </c>
      <c r="N24" s="136" t="str">
        <f>VLOOKUP(C24,'Trips&amp;Operators'!$C$1:$G$99999,5,FALSE)</f>
        <v>HELVIE ADAM</v>
      </c>
      <c r="O24" s="207" t="s">
        <v>461</v>
      </c>
      <c r="P24" s="137" t="s">
        <v>468</v>
      </c>
      <c r="Q24" s="30"/>
      <c r="R24" s="84" t="str">
        <f>IF(VLOOKUP(C24,'Train Runs'!$A$13:$AE$9928,1,1)=C24,VLOOKUP(C24,'Train Runs'!$A$13:$AE$9928,31,1),NA())</f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S24" s="87" t="str">
        <f>VLOOKUP(C24,'Train Runs'!$A$13:$AE$9928,22,0)</f>
        <v>https://d0f6bd738d7f1b3e5a7ca70fe4ff75f0.us-east-1.aws.found.io/app/kibana#/discover/Steve-Slow-Train-Analysis-(2080s-and-2083s)?_g=(refreshInterval:(display:Off,pause:!f,section:0,value:0),time:(from:'2017-05-22T08:37:47-0600',mode:absolute,to:'2017-05-22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89" t="str">
        <f t="shared" si="1"/>
        <v>"C:\Program Files (x86)\AstroGrep\AstroGrep.exe" /e /r /s /spath="%USERPROFILE%\AppData\Local\Temp\OnboardLogs" /stypes="*4007*201705221*"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4007</v>
      </c>
      <c r="V24" s="31">
        <f t="shared" si="3"/>
        <v>42877.677511574075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drop","project_id":79,"tracker_id":40,"status_id":1,"priority_id":2,"assigned_to_id":23,"start_date":"2017-05-22","description":"","custom_fields":[{"id":1,"name":"Subdivision","value":"EC"},{"id":4,"name":"Milepost","value":"1.71"},{"id":17,"name":"Train ID","value":"142-22"},{"id":16,"name":"Locomotive ID","value":"4007"},{"id":130,"name":"Impact","value":""},{"id":150,"name":"Time of Event (Mountain Time)","value":"10:15:37"},{"id":151,"name":"Denver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/cygdrive/c/Users/stu/AppData/Local/Temp/OnboardLogs/RTDC4007 --include="*4007*201705221*"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"%USERPROFILE%\AppData\Local\Temp\OnboardLogs"\RTDC4007\*4007*201705221* &gt;&gt; 2017-05-22-SliceDisagreementCheck.txt</v>
      </c>
      <c r="AE24" s="148" t="str">
        <f t="shared" si="9"/>
        <v>start /low /b %USERPROFILE%\Documents\GitHub\eaglep3\Utilities\DownloadLogsFromS3.py --loco 4007 --day 2017-05-22</v>
      </c>
      <c r="AF24" s="1"/>
    </row>
    <row r="25" spans="1:32" x14ac:dyDescent="0.25">
      <c r="A25" s="31">
        <v>42877.530023148145</v>
      </c>
      <c r="B25" s="30" t="s">
        <v>585</v>
      </c>
      <c r="C25" s="30" t="s">
        <v>594</v>
      </c>
      <c r="D25" s="30" t="s">
        <v>49</v>
      </c>
      <c r="E25" s="30" t="s">
        <v>494</v>
      </c>
      <c r="F25" s="42">
        <v>0</v>
      </c>
      <c r="G25" s="42">
        <v>546</v>
      </c>
      <c r="H25" s="42">
        <v>56801</v>
      </c>
      <c r="I25" s="42">
        <v>58932</v>
      </c>
      <c r="J25" s="30" t="s">
        <v>469</v>
      </c>
      <c r="K25" s="42">
        <v>56976</v>
      </c>
      <c r="L25" s="134" t="s">
        <v>50</v>
      </c>
      <c r="M25" s="135">
        <f t="shared" si="0"/>
        <v>-1032.768</v>
      </c>
      <c r="N25" s="136" t="str">
        <f>VLOOKUP(C25,'Trips&amp;Operators'!$C$1:$G$99999,5,FALSE)</f>
        <v>WHITED DUSTIN</v>
      </c>
      <c r="O25" s="207" t="s">
        <v>461</v>
      </c>
      <c r="P25" s="137" t="s">
        <v>468</v>
      </c>
      <c r="Q25" s="30"/>
      <c r="R25" s="84" t="str">
        <f>IF(VLOOKUP(C25,'Train Runs'!$A$13:$AE$9928,1,1)=C25,VLOOKUP(C25,'Train Runs'!$A$13:$AE$9928,31,1),NA())</f>
        <v>aws s3 cp s3://rtdc.mdm.uploadarchive.raw/RTDC4032/ "%USERPROFILE%\AppData\Local\Temp\OnboardLogs"\RTDC4032\2017-05-22 --exclude "*" --recursive --include "*20170522*" &amp; "%USERPROFILE%\Documents\GitHub\mrs-test-scripts\Headless Mode &amp; Sideloading\WalkAndUnGZ.bat" "%USERPROFILE%\AppData\Local\Temp\OnboardLogs"\RTDC4032\2017-05-22 &amp; aws s3 cp s3://rtdc.mdm.uploadarchive.raw/RTDC4032/ "%USERPROFILE%\AppData\Local\Temp\OnboardLogs"\RTDC4032\2017-05-23 --exclude "*" --recursive --include "*20170523*" &amp; "%USERPROFILE%\Documents\GitHub\mrs-test-scripts\Headless Mode &amp; Sideloading\WalkAndUnGZ.bat" "%USERPROFILE%\AppData\Local\Temp\OnboardLogs"\RTDC4032\2017-05-23</v>
      </c>
      <c r="S25" s="87" t="str">
        <f>VLOOKUP(C25,'Train Runs'!$A$13:$AE$9928,22,0)</f>
        <v>https://d0f6bd738d7f1b3e5a7ca70fe4ff75f0.us-east-1.aws.found.io/app/kibana#/discover/Steve-Slow-Train-Analysis-(2080s-and-2083s)?_g=(refreshInterval:(display:Off,pause:!f,section:0,value:0),time:(from:'2017-05-22T11:27:48-0600',mode:absolute,to:'2017-05-22T13:44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89" t="str">
        <f t="shared" si="1"/>
        <v>"C:\Program Files (x86)\AstroGrep\AstroGrep.exe" /e /r /s /spath="%USERPROFILE%\AppData\Local\Temp\OnboardLogs" /stypes="*4032*201705221*"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42877.780023148145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drop","project_id":79,"tracker_id":40,"status_id":1,"priority_id":2,"assigned_to_id":23,"start_date":"2017-05-22","description":"","custom_fields":[{"id":1,"name":"Subdivision","value":"EC"},{"id":4,"name":"Milepost","value":"5.6976"},{"id":17,"name":"Train ID","value":"171-22"},{"id":16,"name":"Locomotive ID","value":"4032"},{"id":130,"name":"Impact","value":""},{"id":150,"name":"Time of Event (Mountain Time)","value":"12:43:14"},{"id":151,"name":"Denver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/cygdrive/c/Users/stu/AppData/Local/Temp/OnboardLogs/RTDC4032 --include="*4032*201705221*"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"%USERPROFILE%\AppData\Local\Temp\OnboardLogs"\RTDC4032\*4032*201705221* &gt;&gt; 2017-05-22-SliceDisagreementCheck.txt</v>
      </c>
      <c r="AE25" s="148" t="str">
        <f t="shared" si="9"/>
        <v>start /low /b %USERPROFILE%\Documents\GitHub\eaglep3\Utilities\DownloadLogsFromS3.py --loco 4032 --day 2017-05-22</v>
      </c>
      <c r="AF25" s="1"/>
    </row>
    <row r="26" spans="1:32" x14ac:dyDescent="0.25">
      <c r="A26" s="31">
        <v>42877.613182870373</v>
      </c>
      <c r="B26" s="30" t="s">
        <v>471</v>
      </c>
      <c r="C26" s="30" t="s">
        <v>599</v>
      </c>
      <c r="D26" s="30" t="s">
        <v>49</v>
      </c>
      <c r="E26" s="30" t="s">
        <v>494</v>
      </c>
      <c r="F26" s="42">
        <v>0</v>
      </c>
      <c r="G26" s="42">
        <v>547</v>
      </c>
      <c r="H26" s="42">
        <v>56812</v>
      </c>
      <c r="I26" s="42">
        <v>58788</v>
      </c>
      <c r="J26" s="30" t="s">
        <v>469</v>
      </c>
      <c r="K26" s="42">
        <v>56976</v>
      </c>
      <c r="L26" s="134" t="s">
        <v>50</v>
      </c>
      <c r="M26" s="135">
        <f t="shared" si="0"/>
        <v>-956.73599999999999</v>
      </c>
      <c r="N26" s="136" t="str">
        <f>VLOOKUP(C26,'Trips&amp;Operators'!$C$1:$G$99999,5,FALSE)</f>
        <v>MCREYNOLDS KYLE</v>
      </c>
      <c r="O26" s="207" t="s">
        <v>461</v>
      </c>
      <c r="P26" s="137" t="s">
        <v>468</v>
      </c>
      <c r="Q26" s="30"/>
      <c r="R26" s="84" t="str">
        <f>IF(VLOOKUP(C26,'Train Runs'!$A$13:$AE$9928,1,1)=C26,VLOOKUP(C26,'Train Runs'!$A$13:$AE$9928,31,1),NA())</f>
        <v>aws s3 cp s3://rtdc.mdm.uploadarchive.raw/RTDC4010/ "%USERPROFILE%\AppData\Local\Temp\OnboardLogs"\RTDC4010\2017-05-22 --exclude "*" --recursive --include "*20170522*" &amp; "%USERPROFILE%\Documents\GitHub\mrs-test-scripts\Headless Mode &amp; Sideloading\WalkAndUnGZ.bat" "%USERPROFILE%\AppData\Local\Temp\OnboardLogs"\RTDC4010\2017-05-22 &amp; aws s3 cp s3://rtdc.mdm.uploadarchive.raw/RTDC4010/ "%USERPROFILE%\AppData\Local\Temp\OnboardLogs"\RTDC4010\2017-05-23 --exclude "*" --recursive --include "*20170523*" &amp; "%USERPROFILE%\Documents\GitHub\mrs-test-scripts\Headless Mode &amp; Sideloading\WalkAndUnGZ.bat" "%USERPROFILE%\AppData\Local\Temp\OnboardLogs"\RTDC4010\2017-05-23</v>
      </c>
      <c r="S26" s="87" t="str">
        <f>VLOOKUP(C26,'Train Runs'!$A$13:$AE$9928,22,0)</f>
        <v>https://d0f6bd738d7f1b3e5a7ca70fe4ff75f0.us-east-1.aws.found.io/app/kibana#/discover/Steve-Slow-Train-Analysis-(2080s-and-2083s)?_g=(refreshInterval:(display:Off,pause:!f,section:0,value:0),time:(from:'2017-05-22T13:27:55-0600',mode:absolute,to:'2017-05-22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6" s="89" t="str">
        <f t="shared" si="1"/>
        <v>"C:\Program Files (x86)\AstroGrep\AstroGrep.exe" /e /r /s /spath="%USERPROFILE%\AppData\Local\Temp\OnboardLogs" /stypes="*4010*201705222*"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4010</v>
      </c>
      <c r="V26" s="31">
        <f t="shared" si="3"/>
        <v>42877.863182870373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drop","project_id":79,"tracker_id":40,"status_id":1,"priority_id":2,"assigned_to_id":23,"start_date":"2017-05-22","description":"","custom_fields":[{"id":1,"name":"Subdivision","value":"EC"},{"id":4,"name":"Milepost","value":"5.6976"},{"id":17,"name":"Train ID","value":"187-22"},{"id":16,"name":"Locomotive ID","value":"4010"},{"id":130,"name":"Impact","value":""},{"id":150,"name":"Time of Event (Mountain Time)","value":"14:42:59"},{"id":151,"name":"Denver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/cygdrive/c/Users/stu/AppData/Local/Temp/OnboardLogs/RTDC4010 --include="*4010*201705222*"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"%USERPROFILE%\AppData\Local\Temp\OnboardLogs"\RTDC4010\*4010*201705222* &gt;&gt; 2017-05-22-SliceDisagreementCheck.txt</v>
      </c>
      <c r="AE26" s="148" t="str">
        <f t="shared" si="9"/>
        <v>start /low /b %USERPROFILE%\Documents\GitHub\eaglep3\Utilities\DownloadLogsFromS3.py --loco 4010 --day 2017-05-22</v>
      </c>
      <c r="AF26" s="1"/>
    </row>
    <row r="27" spans="1:32" x14ac:dyDescent="0.25">
      <c r="A27" s="31">
        <v>42877.725671296299</v>
      </c>
      <c r="B27" s="30" t="s">
        <v>428</v>
      </c>
      <c r="C27" s="30" t="s">
        <v>605</v>
      </c>
      <c r="D27" s="30" t="s">
        <v>49</v>
      </c>
      <c r="E27" s="30" t="s">
        <v>185</v>
      </c>
      <c r="F27" s="42">
        <v>0</v>
      </c>
      <c r="G27" s="42">
        <v>54</v>
      </c>
      <c r="H27" s="42">
        <v>180</v>
      </c>
      <c r="I27" s="42">
        <v>119</v>
      </c>
      <c r="J27" s="30" t="s">
        <v>186</v>
      </c>
      <c r="K27" s="42">
        <v>1</v>
      </c>
      <c r="L27" s="134" t="s">
        <v>51</v>
      </c>
      <c r="M27" s="135">
        <f t="shared" si="0"/>
        <v>62.304000000000002</v>
      </c>
      <c r="N27" s="136" t="str">
        <f>VLOOKUP(C27,'Trips&amp;Operators'!$C$1:$G$99999,5,FALSE)</f>
        <v>BRANDNER MELINDA</v>
      </c>
      <c r="O27" s="207" t="s">
        <v>184</v>
      </c>
      <c r="P27" s="137"/>
      <c r="Q27" s="30"/>
      <c r="R27" s="84" t="str">
        <f>IF(VLOOKUP(C27,'Train Runs'!$A$13:$AE$9928,1,1)=C27,VLOOKUP(C27,'Train Runs'!$A$13:$AE$9928,31,1),NA())</f>
        <v>aws s3 cp s3://rtdc.mdm.uploadarchive.raw/RTDC4007/ "%USERPROFILE%\AppData\Local\Temp\OnboardLogs"\RTDC4007\2017-05-22 --exclude "*" --recursive --include "*20170522*" &amp; "%USERPROFILE%\Documents\GitHub\mrs-test-scripts\Headless Mode &amp; Sideloading\WalkAndUnGZ.bat" "%USERPROFILE%\AppData\Local\Temp\OnboardLogs"\RTDC4007\2017-05-22 &amp; 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</v>
      </c>
      <c r="S27" s="87" t="str">
        <f>VLOOKUP(C27,'Train Runs'!$A$13:$AE$9928,22,0)</f>
        <v>https://d0f6bd738d7f1b3e5a7ca70fe4ff75f0.us-east-1.aws.found.io/app/kibana#/discover/Steve-Slow-Train-Analysis-(2080s-and-2083s)?_g=(refreshInterval:(display:Off,pause:!f,section:0,value:0),time:(from:'2017-05-22T15:37:44-0600',mode:absolute,to:'2017-05-22T18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7" s="89" t="str">
        <f t="shared" si="1"/>
        <v>"C:\Program Files (x86)\AstroGrep\AstroGrep.exe" /e /r /s /spath="%USERPROFILE%\AppData\Local\Temp\OnboardLogs" /stypes="*4007*201705222*"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4007</v>
      </c>
      <c r="V27" s="31">
        <f t="shared" si="3"/>
        <v>42877.975671296299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{"issue":{"subject":"","project_id":79,"tracker_id":40,"status_id":1,"priority_id":2,"assigned_to_id":23,"start_date":"2017-05-22","description":"","custom_fields":[{"id":1,"name":"Subdivision","value":"EC"},{"id":4,"name":"Milepost","value":"0.0001"},{"id":17,"name":"Train ID","value":"198-22"},{"id":16,"name":"Locomotive ID","value":"4007"},{"id":130,"name":"Impact","value":""},{"id":150,"name":"Time of Event (Mountain Time)","value":"17:24:58"},{"id":151,"name":"Denver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/cygdrive/c/Users/stu/AppData/Local/Temp/OnboardLogs/RTDC4007 --include="*4007*201705222*"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"%USERPROFILE%\AppData\Local\Temp\OnboardLogs"\RTDC4007\*4007*201705222* &gt;&gt; 2017-05-22-SliceDisagreementCheck.txt</v>
      </c>
      <c r="AE27" s="148" t="str">
        <f t="shared" si="9"/>
        <v>start /low /b %USERPROFILE%\Documents\GitHub\eaglep3\Utilities\DownloadLogsFromS3.py --loco 4007 --day 2017-05-22</v>
      </c>
      <c r="AF27" s="1"/>
    </row>
    <row r="28" spans="1:32" x14ac:dyDescent="0.25">
      <c r="A28" s="31">
        <v>42877.233229166668</v>
      </c>
      <c r="B28" s="30" t="s">
        <v>574</v>
      </c>
      <c r="C28" s="30" t="s">
        <v>575</v>
      </c>
      <c r="D28" s="30" t="s">
        <v>49</v>
      </c>
      <c r="E28" s="30" t="s">
        <v>185</v>
      </c>
      <c r="F28" s="42">
        <v>0</v>
      </c>
      <c r="G28" s="42">
        <v>73</v>
      </c>
      <c r="H28" s="42">
        <v>233197</v>
      </c>
      <c r="I28" s="42">
        <v>233288</v>
      </c>
      <c r="J28" s="30" t="s">
        <v>186</v>
      </c>
      <c r="K28" s="42">
        <v>233491</v>
      </c>
      <c r="L28" s="134" t="s">
        <v>50</v>
      </c>
      <c r="M28" s="135">
        <f t="shared" si="0"/>
        <v>107.184</v>
      </c>
      <c r="N28" s="136" t="str">
        <f>VLOOKUP(C28,'Trips&amp;Operators'!$C$1:$G$99999,5,FALSE)</f>
        <v>MOSES BRADLEY</v>
      </c>
      <c r="O28" s="207" t="s">
        <v>184</v>
      </c>
      <c r="P28" s="137"/>
      <c r="Q28" s="30"/>
      <c r="R28" s="84" t="str">
        <f>IF(VLOOKUP(C28,'Train Runs'!$A$13:$AE$9928,1,1)=C28,VLOOKUP(C28,'Train Runs'!$A$13:$AE$9928,31,1),NA())</f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S28" s="87" t="str">
        <f>VLOOKUP(C28,'Train Runs'!$A$13:$AE$9928,22,0)</f>
        <v>https://d0f6bd738d7f1b3e5a7ca70fe4ff75f0.us-east-1.aws.found.io/app/kibana#/discover/Steve-Slow-Train-Analysis-(2080s-and-2083s)?_g=(refreshInterval:(display:Off,pause:!f,section:0,value:0),time:(from:'2017-05-22T03:55:29-0600',mode:absolute,to:'2017-05-22T06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89" t="str">
        <f t="shared" si="1"/>
        <v>"C:\Program Files (x86)\AstroGrep\AstroGrep.exe" /e /r /s /spath="%USERPROFILE%\AppData\Local\Temp\OnboardLogs" /stypes="*4006*201705221*"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4006</v>
      </c>
      <c r="V28" s="31">
        <f t="shared" si="3"/>
        <v>42877.483229166668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{"issue":{"subject":"","project_id":79,"tracker_id":40,"status_id":1,"priority_id":2,"assigned_to_id":23,"start_date":"2017-05-22","description":"","custom_fields":[{"id":1,"name":"Subdivision","value":"EC"},{"id":4,"name":"Milepost","value":"23.3491"},{"id":17,"name":"Train ID","value":"111-22"},{"id":16,"name":"Locomotive ID","value":"4006"},{"id":130,"name":"Impact","value":""},{"id":150,"name":"Time of Event (Mountain Time)","value":"05:35:51"},{"id":151,"name":"Denver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/cygdrive/c/Users/stu/AppData/Local/Temp/OnboardLogs/RTDC4006 --include="*4006*201705221*"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"%USERPROFILE%\AppData\Local\Temp\OnboardLogs"\RTDC4006\*4006*201705221* &gt;&gt; 2017-05-22-SliceDisagreementCheck.txt</v>
      </c>
      <c r="AE28" s="148" t="str">
        <f t="shared" si="9"/>
        <v>start /low /b %USERPROFILE%\Documents\GitHub\eaglep3\Utilities\DownloadLogsFromS3.py --loco 4006 --day 2017-05-22</v>
      </c>
      <c r="AF28" s="1"/>
    </row>
    <row r="29" spans="1:32" x14ac:dyDescent="0.25">
      <c r="A29" s="31">
        <v>42877.389421296299</v>
      </c>
      <c r="B29" s="30" t="s">
        <v>427</v>
      </c>
      <c r="C29" s="30" t="s">
        <v>581</v>
      </c>
      <c r="D29" s="30" t="s">
        <v>49</v>
      </c>
      <c r="E29" s="30" t="s">
        <v>185</v>
      </c>
      <c r="F29" s="42">
        <v>0</v>
      </c>
      <c r="G29" s="42">
        <v>99</v>
      </c>
      <c r="H29" s="42">
        <v>233072</v>
      </c>
      <c r="I29" s="42">
        <v>233187</v>
      </c>
      <c r="J29" s="30" t="s">
        <v>186</v>
      </c>
      <c r="K29" s="42">
        <v>233491</v>
      </c>
      <c r="L29" s="134" t="s">
        <v>50</v>
      </c>
      <c r="M29" s="135">
        <f t="shared" si="0"/>
        <v>160.512</v>
      </c>
      <c r="N29" s="136" t="str">
        <f>VLOOKUP(C29,'Trips&amp;Operators'!$C$1:$G$99999,5,FALSE)</f>
        <v>HELVIE ADAM</v>
      </c>
      <c r="O29" s="207" t="s">
        <v>184</v>
      </c>
      <c r="P29" s="137"/>
      <c r="Q29" s="30"/>
      <c r="R29" s="84" t="str">
        <f>IF(VLOOKUP(C29,'Train Runs'!$A$13:$AE$9928,1,1)=C29,VLOOKUP(C29,'Train Runs'!$A$13:$AE$9928,31,1),NA())</f>
        <v>aws s3 cp s3://rtdc.mdm.uploadarchive.raw/RTDC4008/ "%USERPROFILE%\AppData\Local\Temp\OnboardLogs"\RTDC4008\2017-05-22 --exclude "*" --recursive --include "*20170522*" &amp; "%USERPROFILE%\Documents\GitHub\mrs-test-scripts\Headless Mode &amp; Sideloading\WalkAndUnGZ.bat" "%USERPROFILE%\AppData\Local\Temp\OnboardLogs"\RTDC4008\2017-05-22 &amp; 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</v>
      </c>
      <c r="S29" s="87" t="str">
        <f>VLOOKUP(C29,'Train Runs'!$A$13:$AE$9928,22,0)</f>
        <v>https://d0f6bd738d7f1b3e5a7ca70fe4ff75f0.us-east-1.aws.found.io/app/kibana#/discover/Steve-Slow-Train-Analysis-(2080s-and-2083s)?_g=(refreshInterval:(display:Off,pause:!f,section:0,value:0),time:(from:'2017-05-22T07:42:43-0600',mode:absolute,to:'2017-05-22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9" s="89" t="str">
        <f t="shared" si="1"/>
        <v>"C:\Program Files (x86)\AstroGrep\AstroGrep.exe" /e /r /s /spath="%USERPROFILE%\AppData\Local\Temp\OnboardLogs" /stypes="*4008*201705221*"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4008</v>
      </c>
      <c r="V29" s="31">
        <f t="shared" si="3"/>
        <v>42877.639421296299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{"issue":{"subject":"","project_id":79,"tracker_id":40,"status_id":1,"priority_id":2,"assigned_to_id":23,"start_date":"2017-05-22","description":"","custom_fields":[{"id":1,"name":"Subdivision","value":"EC"},{"id":4,"name":"Milepost","value":"23.3491"},{"id":17,"name":"Train ID","value":"141-22"},{"id":16,"name":"Locomotive ID","value":"4008"},{"id":130,"name":"Impact","value":""},{"id":150,"name":"Time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/cygdrive/c/Users/stu/AppData/Local/Temp/OnboardLogs/RTDC4008 --include="*4008*201705221*"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"%USERPROFILE%\AppData\Local\Temp\OnboardLogs"\RTDC4008\*4008*201705221* &gt;&gt; 2017-05-22-SliceDisagreementCheck.txt</v>
      </c>
      <c r="AE29" s="148" t="str">
        <f t="shared" si="9"/>
        <v>start /low /b %USERPROFILE%\Documents\GitHub\eaglep3\Utilities\DownloadLogsFromS3.py --loco 4008 --day 2017-05-22</v>
      </c>
      <c r="AF29" s="1"/>
    </row>
    <row r="30" spans="1:32" x14ac:dyDescent="0.25">
      <c r="A30" s="31">
        <v>42877.74459490741</v>
      </c>
      <c r="B30" s="30" t="s">
        <v>574</v>
      </c>
      <c r="C30" s="30" t="s">
        <v>606</v>
      </c>
      <c r="D30" s="30" t="s">
        <v>49</v>
      </c>
      <c r="E30" s="30" t="s">
        <v>185</v>
      </c>
      <c r="F30" s="42">
        <v>0</v>
      </c>
      <c r="G30" s="42">
        <v>52</v>
      </c>
      <c r="H30" s="42">
        <v>233297</v>
      </c>
      <c r="I30" s="42">
        <v>233336</v>
      </c>
      <c r="J30" s="30" t="s">
        <v>186</v>
      </c>
      <c r="K30" s="42">
        <v>233491</v>
      </c>
      <c r="L30" s="134" t="s">
        <v>50</v>
      </c>
      <c r="M30" s="135">
        <f t="shared" si="0"/>
        <v>81.84</v>
      </c>
      <c r="N30" s="136" t="str">
        <f>VLOOKUP(C30,'Trips&amp;Operators'!$C$1:$G$99999,5,FALSE)</f>
        <v>BRUDER RICHARD</v>
      </c>
      <c r="O30" s="207" t="s">
        <v>184</v>
      </c>
      <c r="P30" s="137"/>
      <c r="Q30" s="30"/>
      <c r="R30" s="84" t="str">
        <f>IF(VLOOKUP(C30,'Train Runs'!$A$13:$AE$9928,1,1)=C30,VLOOKUP(C30,'Train Runs'!$A$13:$AE$9928,31,1),NA())</f>
        <v>aws s3 cp s3://rtdc.mdm.uploadarchive.raw/RTDC4006/ "%USERPROFILE%\AppData\Local\Temp\OnboardLogs"\RTDC4006\2017-05-22 --exclude "*" --recursive --include "*20170522*" &amp; "%USERPROFILE%\Documents\GitHub\mrs-test-scripts\Headless Mode &amp; Sideloading\WalkAndUnGZ.bat" "%USERPROFILE%\AppData\Local\Temp\OnboardLogs"\RTDC4006\2017-05-22 &amp; 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</v>
      </c>
      <c r="S30" s="87" t="str">
        <f>VLOOKUP(C30,'Train Runs'!$A$13:$AE$9928,22,0)</f>
        <v>https://d0f6bd738d7f1b3e5a7ca70fe4ff75f0.us-east-1.aws.found.io/app/kibana#/discover/Steve-Slow-Train-Analysis-(2080s-and-2083s)?_g=(refreshInterval:(display:Off,pause:!f,section:0,value:0),time:(from:'2017-05-22T16:12:44-0600',mode:absolute,to:'2017-05-22T18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0" s="89" t="str">
        <f t="shared" si="1"/>
        <v>"C:\Program Files (x86)\AstroGrep\AstroGrep.exe" /e /r /s /spath="%USERPROFILE%\AppData\Local\Temp\OnboardLogs" /stypes="*4006*201705222*"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4006</v>
      </c>
      <c r="V30" s="31">
        <f t="shared" si="3"/>
        <v>42877.99459490741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{"issue":{"subject":"","project_id":79,"tracker_id":40,"status_id":1,"priority_id":2,"assigned_to_id":23,"start_date":"2017-05-22","description":"","custom_fields":[{"id":1,"name":"Subdivision","value":"EC"},{"id":4,"name":"Milepost","value":"23.3491"},{"id":17,"name":"Train ID","value":"209-22"},{"id":16,"name":"Locomotive ID","value":"4006"},{"id":130,"name":"Impact","value":""},{"id":150,"name":"Time of Event (Mountain Time)","value":"17:52:13"},{"id":151,"name":"Denver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/cygdrive/c/Users/stu/AppData/Local/Temp/OnboardLogs/RTDC4006 --include="*4006*201705222*"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"%USERPROFILE%\AppData\Local\Temp\OnboardLogs"\RTDC4006\*4006*201705222* &gt;&gt; 2017-05-22-SliceDisagreementCheck.txt</v>
      </c>
      <c r="AE30" s="148" t="str">
        <f t="shared" si="9"/>
        <v>start /low /b %USERPROFILE%\Documents\GitHub\eaglep3\Utilities\DownloadLogsFromS3.py --loco 4006 --day 2017-05-22</v>
      </c>
      <c r="AF30" s="1"/>
    </row>
    <row r="31" spans="1:32" x14ac:dyDescent="0.25">
      <c r="A31" s="31">
        <v>42877.683807870373</v>
      </c>
      <c r="B31" s="30" t="s">
        <v>429</v>
      </c>
      <c r="C31" s="30" t="s">
        <v>603</v>
      </c>
      <c r="D31" s="30" t="s">
        <v>98</v>
      </c>
      <c r="E31" s="30" t="s">
        <v>191</v>
      </c>
      <c r="F31" s="42">
        <v>250</v>
      </c>
      <c r="G31" s="42">
        <v>301</v>
      </c>
      <c r="H31" s="42">
        <v>10930</v>
      </c>
      <c r="I31" s="42">
        <v>11698</v>
      </c>
      <c r="J31" s="30" t="s">
        <v>192</v>
      </c>
      <c r="K31" s="42">
        <v>10714</v>
      </c>
      <c r="L31" s="134" t="s">
        <v>50</v>
      </c>
      <c r="M31" s="135">
        <f t="shared" si="0"/>
        <v>-519.55200000000002</v>
      </c>
      <c r="N31" s="136" t="str">
        <f>VLOOKUP(C31,'Trips&amp;Operators'!$C$1:$G$99999,5,FALSE)</f>
        <v>LEVIN SCOTT</v>
      </c>
      <c r="O31" s="207" t="s">
        <v>184</v>
      </c>
      <c r="P31" s="137" t="s">
        <v>414</v>
      </c>
      <c r="Q31" s="30"/>
      <c r="R31" s="84" t="e">
        <f>IF(VLOOKUP(C31,'Train Runs'!$A$13:$AE$9928,1,1)=C31,VLOOKUP(C31,'Train Runs'!$A$13:$AE$9928,31,1),NA())</f>
        <v>#N/A</v>
      </c>
      <c r="S31" s="87" t="str">
        <f>VLOOKUP(C31,'Train Runs'!$A$13:$AE$9928,22,0)</f>
        <v>https://d0f6bd738d7f1b3e5a7ca70fe4ff75f0.us-east-1.aws.found.io/app/kibana#/discover/Steve-Slow-Train-Analysis-(2080s-and-2083s)?_g=(refreshInterval:(display:Off,pause:!f,section:0,value:0),time:(from:'2017-05-22T15:17:24-0600',mode:absolute,to:'2017-05-22T17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89" t="str">
        <f t="shared" si="1"/>
        <v>"C:\Program Files (x86)\AstroGrep\AstroGrep.exe" /e /r /s /spath="%USERPROFILE%\AppData\Local\Temp\OnboardLogs" /stypes="*4018*201705222*"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4018</v>
      </c>
      <c r="V31" s="31">
        <f t="shared" si="3"/>
        <v>42877.933807870373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{"issue":{"subject":"Early arrival","project_id":79,"tracker_id":40,"status_id":1,"priority_id":2,"assigned_to_id":23,"start_date":"2017-05-22","description":"","custom_fields":[{"id":1,"name":"Subdivision","value":"NW"},{"id":4,"name":"Milepost","value":"1.0714"},{"id":17,"name":"Train ID","value":"829-22"},{"id":16,"name":"Locomotive ID","value":"4018"},{"id":130,"name":"Impact","value":""},{"id":150,"name":"Time of Event (Mountain Time)","value":"16:24:41"},{"id":151,"name":"Denver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/cygdrive/c/Users/stu/AppData/Local/Temp/OnboardLogs/RTDC4018 --include="*4018*201705222*"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"%USERPROFILE%\AppData\Local\Temp\OnboardLogs"\RTDC4018\*4018*201705222* &gt;&gt; 2017-05-22-SliceDisagreementCheck.txt</v>
      </c>
      <c r="AE31" s="148" t="str">
        <f t="shared" si="9"/>
        <v>start /low /b %USERPROFILE%\Documents\GitHub\eaglep3\Utilities\DownloadLogsFromS3.py --loco 4018 --day 2017-05-22</v>
      </c>
      <c r="AF31" s="1"/>
    </row>
    <row r="32" spans="1:32" x14ac:dyDescent="0.25">
      <c r="A32" s="31">
        <v>42877.745659722219</v>
      </c>
      <c r="B32" s="30" t="s">
        <v>421</v>
      </c>
      <c r="C32" s="30" t="s">
        <v>607</v>
      </c>
      <c r="D32" s="30" t="s">
        <v>98</v>
      </c>
      <c r="E32" s="30" t="s">
        <v>204</v>
      </c>
      <c r="F32" s="42">
        <v>200</v>
      </c>
      <c r="G32" s="42">
        <v>252</v>
      </c>
      <c r="H32" s="42">
        <v>6271</v>
      </c>
      <c r="I32" s="42">
        <v>6792</v>
      </c>
      <c r="J32" s="30" t="s">
        <v>205</v>
      </c>
      <c r="K32" s="42">
        <v>5315</v>
      </c>
      <c r="L32" s="134" t="s">
        <v>50</v>
      </c>
      <c r="M32" s="135">
        <f t="shared" si="0"/>
        <v>-779.85599999999999</v>
      </c>
      <c r="N32" s="136" t="str">
        <f>VLOOKUP(C32,'Trips&amp;Operators'!$C$1:$G$99999,5,FALSE)</f>
        <v>STAMBAUGH JAMES</v>
      </c>
      <c r="O32" s="207" t="s">
        <v>184</v>
      </c>
      <c r="P32" s="137"/>
      <c r="Q32" s="30"/>
      <c r="R32" s="84" t="e">
        <f>IF(VLOOKUP(C32,'Train Runs'!$A$13:$AE$9928,1,1)=C32,VLOOKUP(C32,'Train Runs'!$A$13:$AE$9928,31,1),NA())</f>
        <v>#N/A</v>
      </c>
      <c r="S32" s="87" t="str">
        <f>VLOOKUP(C32,'Train Runs'!$A$13:$AE$9928,22,0)</f>
        <v>https://d0f6bd738d7f1b3e5a7ca70fe4ff75f0.us-east-1.aws.found.io/app/kibana#/discover/Steve-Slow-Train-Analysis-(2080s-and-2083s)?_g=(refreshInterval:(display:Off,pause:!f,section:0,value:0),time:(from:'2017-05-22T16:28:09-0600',mode:absolute,to:'2017-05-22T19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89" t="str">
        <f t="shared" si="1"/>
        <v>"C:\Program Files (x86)\AstroGrep\AstroGrep.exe" /e /r /s /spath="%USERPROFILE%\AppData\Local\Temp\OnboardLogs" /stypes="*4030*201705222*"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4030</v>
      </c>
      <c r="V32" s="31">
        <f t="shared" si="3"/>
        <v>42877.995659722219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{"issue":{"subject":"","project_id":79,"tracker_id":40,"status_id":1,"priority_id":2,"assigned_to_id":23,"start_date":"2017-05-22","description":"","custom_fields":[{"id":1,"name":"Subdivision","value":"NW"},{"id":4,"name":"Milepost","value":"0.5315"},{"id":17,"name":"Train ID","value":"835-22"},{"id":16,"name":"Locomotive ID","value":"4030"},{"id":130,"name":"Impact","value":""},{"id":150,"name":"Time of Event (Mountain Time)","value":"17:53:45"},{"id":151,"name":"Denver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/cygdrive/c/Users/stu/AppData/Local/Temp/OnboardLogs/RTDC4030 --include="*4030*201705222*"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"%USERPROFILE%\AppData\Local\Temp\OnboardLogs"\RTDC4030\*4030*201705222* &gt;&gt; 2017-05-22-SliceDisagreementCheck.txt</v>
      </c>
      <c r="AE32" s="148" t="str">
        <f t="shared" si="9"/>
        <v>start /low /b %USERPROFILE%\Documents\GitHub\eaglep3\Utilities\DownloadLogsFromS3.py --loco 4030 --day 2017-05-22</v>
      </c>
      <c r="AF32" s="1"/>
    </row>
    <row r="33" spans="1:32" x14ac:dyDescent="0.25">
      <c r="A33" s="31">
        <v>42877.292071759257</v>
      </c>
      <c r="B33" s="30" t="s">
        <v>421</v>
      </c>
      <c r="C33" s="30" t="s">
        <v>578</v>
      </c>
      <c r="D33" s="30" t="s">
        <v>98</v>
      </c>
      <c r="E33" s="30" t="s">
        <v>204</v>
      </c>
      <c r="F33" s="42">
        <v>400</v>
      </c>
      <c r="G33" s="42">
        <v>450</v>
      </c>
      <c r="H33" s="42">
        <v>43893</v>
      </c>
      <c r="I33" s="42">
        <v>45399</v>
      </c>
      <c r="J33" s="30" t="s">
        <v>205</v>
      </c>
      <c r="K33" s="42">
        <v>41797</v>
      </c>
      <c r="L33" s="134" t="s">
        <v>50</v>
      </c>
      <c r="M33" s="135">
        <f t="shared" si="0"/>
        <v>-1901.856</v>
      </c>
      <c r="N33" s="136" t="str">
        <f>VLOOKUP(C33,'Trips&amp;Operators'!$C$1:$G$99999,5,FALSE)</f>
        <v>DAVIDSON DAVID</v>
      </c>
      <c r="O33" s="207" t="s">
        <v>184</v>
      </c>
      <c r="P33" s="137"/>
      <c r="Q33" s="30"/>
      <c r="R33" s="84" t="str">
        <f>IF(VLOOKUP(C33,'Train Runs'!$A$13:$AE$9928,1,1)=C33,VLOOKUP(C33,'Train Runs'!$A$13:$AE$9928,31,1),NA())</f>
        <v>aws s3 cp s3://rtdc.mdm.uploadarchive.raw/RTDC4030/ "%USERPROFILE%\AppData\Local\Temp\OnboardLogs"\RTDC4030\2017-05-22 --exclude "*" --recursive --include "*20170522*" &amp; "%USERPROFILE%\Documents\GitHub\mrs-test-scripts\Headless Mode &amp; Sideloading\WalkAndUnGZ.bat" "%USERPROFILE%\AppData\Local\Temp\OnboardLogs"\RTDC4030\2017-05-22 &amp; aws s3 cp s3://rtdc.mdm.uploadarchive.raw/RTDC4030/ "%USERPROFILE%\AppData\Local\Temp\OnboardLogs"\RTDC4030\2017-05-23 --exclude "*" --recursive --include "*20170523*" &amp; "%USERPROFILE%\Documents\GitHub\mrs-test-scripts\Headless Mode &amp; Sideloading\WalkAndUnGZ.bat" "%USERPROFILE%\AppData\Local\Temp\OnboardLogs"\RTDC4030\2017-05-23</v>
      </c>
      <c r="S33" s="87" t="str">
        <f>VLOOKUP(C33,'Train Runs'!$A$13:$AE$9928,22,0)</f>
        <v>https://d0f6bd738d7f1b3e5a7ca70fe4ff75f0.us-east-1.aws.found.io/app/kibana#/discover/Steve-Slow-Train-Analysis-(2080s-and-2083s)?_g=(refreshInterval:(display:Off,pause:!f,section:0,value:0),time:(from:'2017-05-22T05:31:20-0600',mode:absolute,to:'2017-05-22T08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3" s="89" t="str">
        <f t="shared" si="1"/>
        <v>"C:\Program Files (x86)\AstroGrep\AstroGrep.exe" /e /r /s /spath="%USERPROFILE%\AppData\Local\Temp\OnboardLogs" /stypes="*4030*201705221*"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4030</v>
      </c>
      <c r="V33" s="31">
        <f t="shared" si="3"/>
        <v>42877.542071759257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{"issue":{"subject":"","project_id":79,"tracker_id":40,"status_id":1,"priority_id":2,"assigned_to_id":23,"start_date":"2017-05-22","description":"","custom_fields":[{"id":1,"name":"Subdivision","value":"NW"},{"id":4,"name":"Milepost","value":"4.1797"},{"id":17,"name":"Train ID","value":"805-22"},{"id":16,"name":"Locomotive ID","value":"4030"},{"id":130,"name":"Impact","value":""},{"id":150,"name":"Time of Event (Mountain Time)","value":"07:00:35"},{"id":151,"name":"Denver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/cygdrive/c/Users/stu/AppData/Local/Temp/OnboardLogs/RTDC4030 --include="*4030*201705221*"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"%USERPROFILE%\AppData\Local\Temp\OnboardLogs"\RTDC4030\*4030*201705221* &gt;&gt; 2017-05-22-SliceDisagreementCheck.txt</v>
      </c>
      <c r="AE33" s="148" t="str">
        <f t="shared" si="9"/>
        <v>start /low /b %USERPROFILE%\Documents\GitHub\eaglep3\Utilities\DownloadLogsFromS3.py --loco 4030 --day 2017-05-22</v>
      </c>
      <c r="AF33" s="1"/>
    </row>
    <row r="34" spans="1:32" x14ac:dyDescent="0.25">
      <c r="A34" s="31">
        <v>42877.751828703702</v>
      </c>
      <c r="B34" s="30" t="s">
        <v>421</v>
      </c>
      <c r="C34" s="30" t="s">
        <v>607</v>
      </c>
      <c r="D34" s="30" t="s">
        <v>49</v>
      </c>
      <c r="E34" s="30" t="s">
        <v>204</v>
      </c>
      <c r="F34" s="42">
        <v>150</v>
      </c>
      <c r="G34" s="42">
        <v>203</v>
      </c>
      <c r="H34" s="42">
        <v>56192</v>
      </c>
      <c r="I34" s="42">
        <v>56447</v>
      </c>
      <c r="J34" s="30" t="s">
        <v>205</v>
      </c>
      <c r="K34" s="42">
        <v>57008</v>
      </c>
      <c r="L34" s="134" t="s">
        <v>50</v>
      </c>
      <c r="M34" s="135">
        <f t="shared" si="0"/>
        <v>296.20800000000003</v>
      </c>
      <c r="N34" s="136" t="str">
        <f>VLOOKUP(C34,'Trips&amp;Operators'!$C$1:$G$99999,5,FALSE)</f>
        <v>STAMBAUGH JAMES</v>
      </c>
      <c r="O34" s="207" t="s">
        <v>184</v>
      </c>
      <c r="P34" s="137"/>
      <c r="Q34" s="30"/>
      <c r="R34" s="84" t="e">
        <f>IF(VLOOKUP(C34,'Train Runs'!$A$13:$AE$9928,1,1)=C34,VLOOKUP(C34,'Train Runs'!$A$13:$AE$9928,31,1),NA())</f>
        <v>#N/A</v>
      </c>
      <c r="S34" s="87" t="str">
        <f>VLOOKUP(C34,'Train Runs'!$A$13:$AE$9928,22,0)</f>
        <v>https://d0f6bd738d7f1b3e5a7ca70fe4ff75f0.us-east-1.aws.found.io/app/kibana#/discover/Steve-Slow-Train-Analysis-(2080s-and-2083s)?_g=(refreshInterval:(display:Off,pause:!f,section:0,value:0),time:(from:'2017-05-22T16:28:09-0600',mode:absolute,to:'2017-05-22T19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4" s="89" t="str">
        <f t="shared" si="1"/>
        <v>"C:\Program Files (x86)\AstroGrep\AstroGrep.exe" /e /r /s /spath="%USERPROFILE%\AppData\Local\Temp\OnboardLogs" /stypes="*4030*201705230*"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4030</v>
      </c>
      <c r="V34" s="31">
        <f t="shared" si="3"/>
        <v>42878.001828703702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{"issue":{"subject":"","project_id":79,"tracker_id":40,"status_id":1,"priority_id":2,"assigned_to_id":23,"start_date":"2017-05-22","description":"","custom_fields":[{"id":1,"name":"Subdivision","value":"NW"},{"id":4,"name":"Milepost","value":"5.7008"},{"id":17,"name":"Train ID","value":"835-22"},{"id":16,"name":"Locomotive ID","value":"4030"},{"id":130,"name":"Impact","value":""},{"id":150,"name":"Time of Event (Mountain Time)","value":"18:02:38"},{"id":151,"name":"Denver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/cygdrive/c/Users/stu/AppData/Local/Temp/OnboardLogs/RTDC4030 --include="*4030*201705230*"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"%USERPROFILE%\AppData\Local\Temp\OnboardLogs"\RTDC4030\*4030*201705230* &gt;&gt; 2017-05-22-SliceDisagreementCheck.txt</v>
      </c>
      <c r="AE34" s="148" t="str">
        <f t="shared" si="9"/>
        <v>start /low /b %USERPROFILE%\Documents\GitHub\eaglep3\Utilities\DownloadLogsFromS3.py --loco 4030 --day 2017-05-23</v>
      </c>
      <c r="AF34" s="1"/>
    </row>
    <row r="35" spans="1:32" x14ac:dyDescent="0.25">
      <c r="A35" s="31">
        <v>42877.717719907407</v>
      </c>
      <c r="B35" s="30" t="s">
        <v>459</v>
      </c>
      <c r="C35" s="30" t="s">
        <v>604</v>
      </c>
      <c r="D35" s="30" t="s">
        <v>98</v>
      </c>
      <c r="E35" s="30" t="s">
        <v>204</v>
      </c>
      <c r="F35" s="42">
        <v>150</v>
      </c>
      <c r="G35" s="42">
        <v>218</v>
      </c>
      <c r="H35" s="42">
        <v>56959</v>
      </c>
      <c r="I35" s="42">
        <v>56454</v>
      </c>
      <c r="J35" s="30" t="s">
        <v>205</v>
      </c>
      <c r="K35" s="42">
        <v>59050</v>
      </c>
      <c r="L35" s="134" t="s">
        <v>51</v>
      </c>
      <c r="M35" s="135">
        <f t="shared" si="0"/>
        <v>-1370.6880000000001</v>
      </c>
      <c r="N35" s="136" t="str">
        <f>VLOOKUP(C35,'Trips&amp;Operators'!$C$1:$G$99999,5,FALSE)</f>
        <v>STAMBAUGH JAMES</v>
      </c>
      <c r="O35" s="207" t="s">
        <v>184</v>
      </c>
      <c r="P35" s="137"/>
      <c r="Q35" s="30"/>
      <c r="R35" s="84" t="e">
        <f>IF(VLOOKUP(C35,'Train Runs'!$A$13:$AE$9928,1,1)=C35,VLOOKUP(C35,'Train Runs'!$A$13:$AE$9928,31,1),NA())</f>
        <v>#N/A</v>
      </c>
      <c r="S35" s="87" t="str">
        <f>VLOOKUP(C35,'Train Runs'!$A$13:$AE$9928,22,0)</f>
        <v>https://d0f6bd738d7f1b3e5a7ca70fe4ff75f0.us-east-1.aws.found.io/app/kibana#/discover/Steve-Slow-Train-Analysis-(2080s-and-2083s)?_g=(refreshInterval:(display:Off,pause:!f,section:0,value:0),time:(from:'2017-05-22T16:08:46-0600',mode:absolute,to:'2017-05-22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9" t="str">
        <f t="shared" si="1"/>
        <v>"C:\Program Files (x86)\AstroGrep\AstroGrep.exe" /e /r /s /spath="%USERPROFILE%\AppData\Local\Temp\OnboardLogs" /stypes="*4029*201705222*"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4029</v>
      </c>
      <c r="V35" s="31">
        <f t="shared" si="3"/>
        <v>42877.967719907407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{"issue":{"subject":"","project_id":79,"tracker_id":40,"status_id":1,"priority_id":2,"assigned_to_id":23,"start_date":"2017-05-22","description":"","custom_fields":[{"id":1,"name":"Subdivision","value":"NW"},{"id":4,"name":"Milepost","value":"5.905"},{"id":17,"name":"Train ID","value":"832-22"},{"id":16,"name":"Locomotive ID","value":"4029"},{"id":130,"name":"Impact","value":""},{"id":150,"name":"Time of Event (Mountain Time)","value":"17:13:31"},{"id":151,"name":"Denver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/cygdrive/c/Users/stu/AppData/Local/Temp/OnboardLogs/RTDC4029 --include="*4029*201705222*"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"%USERPROFILE%\AppData\Local\Temp\OnboardLogs"\RTDC4029\*4029*201705222* &gt;&gt; 2017-05-22-SliceDisagreementCheck.txt</v>
      </c>
      <c r="AE35" s="148" t="str">
        <f t="shared" si="9"/>
        <v>start /low /b %USERPROFILE%\Documents\GitHub\eaglep3\Utilities\DownloadLogsFromS3.py --loco 4029 --day 2017-05-22</v>
      </c>
      <c r="AF35" s="1"/>
    </row>
    <row r="36" spans="1:32" x14ac:dyDescent="0.25">
      <c r="A36" s="31">
        <v>42877.759375000001</v>
      </c>
      <c r="B36" s="30" t="s">
        <v>459</v>
      </c>
      <c r="C36" s="30" t="s">
        <v>609</v>
      </c>
      <c r="D36" s="30" t="s">
        <v>98</v>
      </c>
      <c r="E36" s="30" t="s">
        <v>204</v>
      </c>
      <c r="F36" s="42">
        <v>150</v>
      </c>
      <c r="G36" s="42">
        <v>210</v>
      </c>
      <c r="H36" s="42">
        <v>56986</v>
      </c>
      <c r="I36" s="42">
        <v>56530</v>
      </c>
      <c r="J36" s="30" t="s">
        <v>205</v>
      </c>
      <c r="K36" s="42">
        <v>59050</v>
      </c>
      <c r="L36" s="134" t="s">
        <v>51</v>
      </c>
      <c r="M36" s="135">
        <f t="shared" si="0"/>
        <v>-1330.56</v>
      </c>
      <c r="N36" s="136" t="str">
        <f>VLOOKUP(C36,'Trips&amp;Operators'!$C$1:$G$99999,5,FALSE)</f>
        <v>STAMBAUGH JAMES</v>
      </c>
      <c r="O36" s="207" t="s">
        <v>184</v>
      </c>
      <c r="P36" s="137"/>
      <c r="Q36" s="30"/>
      <c r="R36" s="84" t="e">
        <f>IF(VLOOKUP(C36,'Train Runs'!$A$13:$AE$9928,1,1)=C36,VLOOKUP(C36,'Train Runs'!$A$13:$AE$9928,31,1),NA())</f>
        <v>#N/A</v>
      </c>
      <c r="S36" s="87" t="str">
        <f>VLOOKUP(C36,'Train Runs'!$A$13:$AE$9928,22,0)</f>
        <v>https://d0f6bd738d7f1b3e5a7ca70fe4ff75f0.us-east-1.aws.found.io/app/kibana#/discover/Steve-Slow-Train-Analysis-(2080s-and-2083s)?_g=(refreshInterval:(display:Off,pause:!f,section:0,value:0),time:(from:'2017-05-22T17:07:43-0600',mode:absolute,to:'2017-05-22T19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89" t="str">
        <f t="shared" si="1"/>
        <v>"C:\Program Files (x86)\AstroGrep\AstroGrep.exe" /e /r /s /spath="%USERPROFILE%\AppData\Local\Temp\OnboardLogs" /stypes="*4029*201705230*"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4029</v>
      </c>
      <c r="V36" s="31">
        <f t="shared" si="3"/>
        <v>42878.009375000001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{"issue":{"subject":"","project_id":79,"tracker_id":40,"status_id":1,"priority_id":2,"assigned_to_id":23,"start_date":"2017-05-22","description":"","custom_fields":[{"id":1,"name":"Subdivision","value":"NW"},{"id":4,"name":"Milepost","value":"5.905"},{"id":17,"name":"Train ID","value":"836-22"},{"id":16,"name":"Locomotive ID","value":"4029"},{"id":130,"name":"Impact","value":""},{"id":150,"name":"Time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/cygdrive/c/Users/stu/AppData/Local/Temp/OnboardLogs/RTDC4029 --include="*4029*201705230*"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"%USERPROFILE%\AppData\Local\Temp\OnboardLogs"\RTDC4029\*4029*201705230* &gt;&gt; 2017-05-22-SliceDisagreementCheck.txt</v>
      </c>
      <c r="AE36" s="148" t="str">
        <f t="shared" si="9"/>
        <v>start /low /b %USERPROFILE%\Documents\GitHub\eaglep3\Utilities\DownloadLogsFromS3.py --loco 4029 --day 2017-05-23</v>
      </c>
      <c r="AF36" s="1"/>
    </row>
    <row r="37" spans="1:32" x14ac:dyDescent="0.25">
      <c r="A37" s="31">
        <v>42877.475648148145</v>
      </c>
      <c r="B37" s="30" t="s">
        <v>429</v>
      </c>
      <c r="C37" s="30" t="s">
        <v>590</v>
      </c>
      <c r="D37" s="30" t="s">
        <v>49</v>
      </c>
      <c r="E37" s="30" t="s">
        <v>371</v>
      </c>
      <c r="F37" s="42">
        <v>0</v>
      </c>
      <c r="G37" s="42">
        <v>159</v>
      </c>
      <c r="H37" s="42">
        <v>10868</v>
      </c>
      <c r="I37" s="42">
        <v>11063</v>
      </c>
      <c r="J37" s="30" t="s">
        <v>372</v>
      </c>
      <c r="K37" s="42">
        <v>10988</v>
      </c>
      <c r="L37" s="134" t="s">
        <v>50</v>
      </c>
      <c r="M37" s="135">
        <f t="shared" si="0"/>
        <v>-39.6</v>
      </c>
      <c r="N37" s="136" t="str">
        <f>VLOOKUP(C37,'Trips&amp;Operators'!$C$1:$G$99999,5,FALSE)</f>
        <v>LOZA FIDEL</v>
      </c>
      <c r="O37" s="207" t="s">
        <v>461</v>
      </c>
      <c r="P37" s="137" t="s">
        <v>468</v>
      </c>
      <c r="Q37" s="30"/>
      <c r="R37" s="84" t="e">
        <f>IF(VLOOKUP(C37,'Train Runs'!$A$13:$AE$9928,1,1)=C37,VLOOKUP(C37,'Train Runs'!$A$13:$AE$9928,31,1),NA())</f>
        <v>#N/A</v>
      </c>
      <c r="S37" s="87" t="str">
        <f>VLOOKUP(C37,'Train Runs'!$A$13:$AE$9928,22,0)</f>
        <v>https://d0f6bd738d7f1b3e5a7ca70fe4ff75f0.us-east-1.aws.found.io/app/kibana#/discover/Steve-Slow-Train-Analysis-(2080s-and-2083s)?_g=(refreshInterval:(display:Off,pause:!f,section:0,value:0),time:(from:'2017-05-22T10:17:13-0600',mode:absolute,to:'2017-05-22T12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7" s="89" t="str">
        <f t="shared" si="1"/>
        <v>"C:\Program Files (x86)\AstroGrep\AstroGrep.exe" /e /r /s /spath="%USERPROFILE%\AppData\Local\Temp\OnboardLogs" /stypes="*4018*201705221*" /stext=" 17:.+((SYSTEM_STATE.+slice.+state.+changed )|(ment ac)|(multiple cpu faults)|(system.+state.+changed )|(\[timeout)|(PRM\|1\|D)|(kpr)|(kdp)|(train st.+moving)|(\|lc)|(penalty))"</v>
      </c>
      <c r="U37" s="9" t="str">
        <f t="shared" si="2"/>
        <v>4018</v>
      </c>
      <c r="V37" s="31">
        <f t="shared" si="3"/>
        <v>42877.725648148145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drop","project_id":79,"tracker_id":40,"status_id":1,"priority_id":2,"assigned_to_id":23,"start_date":"2017-05-22","description":"","custom_fields":[{"id":1,"name":"Subdivision","value":"NW"},{"id":4,"name":"Milepost","value":"1.0988"},{"id":17,"name":"Train ID","value":"817-22"},{"id":16,"name":"Locomotive ID","value":"4018"},{"id":130,"name":"Impact","value":""},{"id":150,"name":"Time of Event (Mountain Time)","value":"11:24:56"},{"id":151,"name":"Denver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/cygdrive/c/Users/stu/AppData/Local/Temp/OnboardLogs/RTDC4018 --include="*4018*201705221*"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"%USERPROFILE%\AppData\Local\Temp\OnboardLogs"\RTDC4018\*4018*201705221* &gt;&gt; 2017-05-22-SliceDisagreementCheck.txt</v>
      </c>
      <c r="AE37" s="148" t="str">
        <f t="shared" si="9"/>
        <v>start /low /b %USERPROFILE%\Documents\GitHub\eaglep3\Utilities\DownloadLogsFromS3.py --loco 4018 --day 2017-05-22</v>
      </c>
      <c r="AF37" s="1"/>
    </row>
    <row r="38" spans="1:32" x14ac:dyDescent="0.25">
      <c r="A38" s="31">
        <v>42877.517604166664</v>
      </c>
      <c r="B38" s="30" t="s">
        <v>429</v>
      </c>
      <c r="C38" s="30" t="s">
        <v>593</v>
      </c>
      <c r="D38" s="30" t="s">
        <v>49</v>
      </c>
      <c r="E38" s="30" t="s">
        <v>494</v>
      </c>
      <c r="F38" s="42">
        <v>0</v>
      </c>
      <c r="G38" s="42">
        <v>483</v>
      </c>
      <c r="H38" s="42">
        <v>13154</v>
      </c>
      <c r="I38" s="42">
        <v>14860</v>
      </c>
      <c r="J38" s="30" t="s">
        <v>469</v>
      </c>
      <c r="K38" s="42">
        <v>14477</v>
      </c>
      <c r="L38" s="134" t="s">
        <v>50</v>
      </c>
      <c r="M38" s="135">
        <f t="shared" si="0"/>
        <v>-202.22399999999999</v>
      </c>
      <c r="N38" s="136" t="str">
        <f>VLOOKUP(C38,'Trips&amp;Operators'!$C$1:$G$99999,5,FALSE)</f>
        <v>LOZA FIDEL</v>
      </c>
      <c r="O38" s="207" t="s">
        <v>461</v>
      </c>
      <c r="P38" s="137" t="s">
        <v>468</v>
      </c>
      <c r="Q38" s="30"/>
      <c r="R38" s="84" t="e">
        <f>IF(VLOOKUP(C38,'Train Runs'!$A$13:$AE$9928,1,1)=C38,VLOOKUP(C38,'Train Runs'!$A$13:$AE$9928,31,1),NA())</f>
        <v>#N/A</v>
      </c>
      <c r="S38" s="87" t="str">
        <f>VLOOKUP(C38,'Train Runs'!$A$13:$AE$9928,22,0)</f>
        <v>https://d0f6bd738d7f1b3e5a7ca70fe4ff75f0.us-east-1.aws.found.io/app/kibana#/discover/Steve-Slow-Train-Analysis-(2080s-and-2083s)?_g=(refreshInterval:(display:Off,pause:!f,section:0,value:0),time:(from:'2017-05-22T11:18:21-0600',mode:absolute,to:'2017-05-22T13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8" s="89" t="str">
        <f t="shared" si="1"/>
        <v>"C:\Program Files (x86)\AstroGrep\AstroGrep.exe" /e /r /s /spath="%USERPROFILE%\AppData\Local\Temp\OnboardLogs" /stypes="*4018*201705221*"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4018</v>
      </c>
      <c r="V38" s="31">
        <f t="shared" si="3"/>
        <v>42877.767604166664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{"issue":{"subject":"Wi-MAX data drop","project_id":79,"tracker_id":40,"status_id":1,"priority_id":2,"assigned_to_id":23,"start_date":"2017-05-22","description":"","custom_fields":[{"id":1,"name":"Subdivision","value":"NW"},{"id":4,"name":"Milepost","value":"1.4477"},{"id":17,"name":"Train ID","value":"819-22"},{"id":16,"name":"Locomotive ID","value":"4018"},{"id":130,"name":"Impact","value":""},{"id":150,"name":"Time of Event (Mountain Time)","value":"12:25:21"},{"id":151,"name":"Denver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/cygdrive/c/Users/stu/AppData/Local/Temp/OnboardLogs/RTDC4018 --include="*4018*201705221*"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"%USERPROFILE%\AppData\Local\Temp\OnboardLogs"\RTDC4018\*4018*201705221* &gt;&gt; 2017-05-22-SliceDisagreementCheck.txt</v>
      </c>
      <c r="AE38" s="148" t="str">
        <f t="shared" si="9"/>
        <v>start /low /b %USERPROFILE%\Documents\GitHub\eaglep3\Utilities\DownloadLogsFromS3.py --loco 4018 --day 2017-05-22</v>
      </c>
      <c r="AF38" s="1"/>
    </row>
    <row r="39" spans="1:32" x14ac:dyDescent="0.25">
      <c r="A39" s="31">
        <v>42877.579629629632</v>
      </c>
      <c r="B39" s="30" t="s">
        <v>596</v>
      </c>
      <c r="C39" s="30" t="s">
        <v>597</v>
      </c>
      <c r="D39" s="30" t="s">
        <v>49</v>
      </c>
      <c r="E39" s="30" t="s">
        <v>185</v>
      </c>
      <c r="F39" s="42">
        <v>0</v>
      </c>
      <c r="G39" s="42">
        <v>25</v>
      </c>
      <c r="H39" s="42">
        <v>619</v>
      </c>
      <c r="I39" s="42">
        <v>601</v>
      </c>
      <c r="J39" s="30" t="s">
        <v>186</v>
      </c>
      <c r="K39" s="42">
        <v>575</v>
      </c>
      <c r="L39" s="134" t="s">
        <v>51</v>
      </c>
      <c r="M39" s="135">
        <f t="shared" si="0"/>
        <v>13.728</v>
      </c>
      <c r="N39" s="136" t="str">
        <f>VLOOKUP(C39,'Trips&amp;Operators'!$C$1:$G$99999,5,FALSE)</f>
        <v>LEVIN SCOTT</v>
      </c>
      <c r="O39" s="207" t="s">
        <v>184</v>
      </c>
      <c r="P39" s="137"/>
      <c r="Q39" s="30"/>
      <c r="R39" s="84" t="e">
        <f>IF(VLOOKUP(C39,'Train Runs'!$A$13:$AE$9928,1,1)=C39,VLOOKUP(C39,'Train Runs'!$A$13:$AE$9928,31,1),NA())</f>
        <v>#N/A</v>
      </c>
      <c r="S39" s="87" t="str">
        <f>VLOOKUP(C39,'Train Runs'!$A$13:$AE$9928,22,0)</f>
        <v>https://d0f6bd738d7f1b3e5a7ca70fe4ff75f0.us-east-1.aws.found.io/app/kibana#/discover/Steve-Slow-Train-Analysis-(2080s-and-2083s)?_g=(refreshInterval:(display:Off,pause:!f,section:0,value:0),time:(from:'2017-05-22T12:36:41-0600',mode:absolute,to:'2017-05-22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9" s="89" t="str">
        <f t="shared" si="1"/>
        <v>"C:\Program Files (x86)\AstroGrep\AstroGrep.exe" /e /r /s /spath="%USERPROFILE%\AppData\Local\Temp\OnboardLogs" /stypes="*4017*201705221*" /stext=" 19:.+((SYSTEM_STATE.+slice.+state.+changed )|(ment ac)|(multiple cpu faults)|(system.+state.+changed )|(\[timeout)|(PRM\|1\|D)|(kpr)|(kdp)|(train st.+moving)|(\|lc)|(penalty))"</v>
      </c>
      <c r="U39" s="9" t="str">
        <f t="shared" si="2"/>
        <v>4017</v>
      </c>
      <c r="V39" s="31">
        <f t="shared" si="3"/>
        <v>42877.829629629632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{"issue":{"subject":"","project_id":79,"tracker_id":40,"status_id":1,"priority_id":2,"assigned_to_id":23,"start_date":"2017-05-22","description":"","custom_fields":[{"id":1,"name":"Subdivision","value":"NW"},{"id":4,"name":"Milepost","value":"0.0575"},{"id":17,"name":"Train ID","value":"822-22"},{"id":16,"name":"Locomotive ID","value":"4017"},{"id":130,"name":"Impact","value":""},{"id":150,"name":"Time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/cygdrive/c/Users/stu/AppData/Local/Temp/OnboardLogs/RTDC4017 --include="*4017*201705221*"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"%USERPROFILE%\AppData\Local\Temp\OnboardLogs"\RTDC4017\*4017*201705221* &gt;&gt; 2017-05-22-SliceDisagreementCheck.txt</v>
      </c>
      <c r="AE39" s="148" t="str">
        <f t="shared" si="9"/>
        <v>start /low /b %USERPROFILE%\Documents\GitHub\eaglep3\Utilities\DownloadLogsFromS3.py --loco 4017 --day 2017-05-22</v>
      </c>
      <c r="AF39" s="1"/>
    </row>
    <row r="40" spans="1:32" x14ac:dyDescent="0.25">
      <c r="A40" s="31">
        <v>42877.725949074076</v>
      </c>
      <c r="B40" s="30" t="s">
        <v>459</v>
      </c>
      <c r="C40" s="30" t="s">
        <v>604</v>
      </c>
      <c r="D40" s="30" t="s">
        <v>49</v>
      </c>
      <c r="E40" s="30" t="s">
        <v>185</v>
      </c>
      <c r="F40" s="42">
        <v>0</v>
      </c>
      <c r="G40" s="42">
        <v>32</v>
      </c>
      <c r="H40" s="42">
        <v>654</v>
      </c>
      <c r="I40" s="42">
        <v>633</v>
      </c>
      <c r="J40" s="30" t="s">
        <v>186</v>
      </c>
      <c r="K40" s="42">
        <v>575</v>
      </c>
      <c r="L40" s="134" t="s">
        <v>51</v>
      </c>
      <c r="M40" s="135">
        <f t="shared" si="0"/>
        <v>30.623999999999999</v>
      </c>
      <c r="N40" s="136" t="str">
        <f>VLOOKUP(C40,'Trips&amp;Operators'!$C$1:$G$99999,5,FALSE)</f>
        <v>STAMBAUGH JAMES</v>
      </c>
      <c r="O40" s="207" t="s">
        <v>184</v>
      </c>
      <c r="P40" s="137"/>
      <c r="Q40" s="30"/>
      <c r="R40" s="84" t="e">
        <f>IF(VLOOKUP(C40,'Train Runs'!$A$13:$AE$9928,1,1)=C40,VLOOKUP(C40,'Train Runs'!$A$13:$AE$9928,31,1),NA())</f>
        <v>#N/A</v>
      </c>
      <c r="S40" s="87" t="str">
        <f>VLOOKUP(C40,'Train Runs'!$A$13:$AE$9928,22,0)</f>
        <v>https://d0f6bd738d7f1b3e5a7ca70fe4ff75f0.us-east-1.aws.found.io/app/kibana#/discover/Steve-Slow-Train-Analysis-(2080s-and-2083s)?_g=(refreshInterval:(display:Off,pause:!f,section:0,value:0),time:(from:'2017-05-22T16:08:46-0600',mode:absolute,to:'2017-05-22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0" s="89" t="str">
        <f t="shared" si="1"/>
        <v>"C:\Program Files (x86)\AstroGrep\AstroGrep.exe" /e /r /s /spath="%USERPROFILE%\AppData\Local\Temp\OnboardLogs" /stypes="*4029*201705222*"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4029</v>
      </c>
      <c r="V40" s="31">
        <f t="shared" si="3"/>
        <v>42877.975949074076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{"issue":{"subject":"","project_id":79,"tracker_id":40,"status_id":1,"priority_id":2,"assigned_to_id":23,"start_date":"2017-05-22","description":"","custom_fields":[{"id":1,"name":"Subdivision","value":"NW"},{"id":4,"name":"Milepost","value":"0.0575"},{"id":17,"name":"Train ID","value":"832-22"},{"id":16,"name":"Locomotive ID","value":"4029"},{"id":130,"name":"Impact","value":""},{"id":150,"name":"Time of Event (Mountain Time)","value":"17:25:22"},{"id":151,"name":"Denver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/cygdrive/c/Users/stu/AppData/Local/Temp/OnboardLogs/RTDC4029 --include="*4029*201705222*"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"%USERPROFILE%\AppData\Local\Temp\OnboardLogs"\RTDC4029\*4029*201705222* &gt;&gt; 2017-05-22-SliceDisagreementCheck.txt</v>
      </c>
      <c r="AE40" s="148" t="str">
        <f t="shared" si="9"/>
        <v>start /low /b %USERPROFILE%\Documents\GitHub\eaglep3\Utilities\DownloadLogsFromS3.py --loco 4029 --day 2017-05-22</v>
      </c>
      <c r="AF40" s="1"/>
    </row>
    <row r="41" spans="1:32" x14ac:dyDescent="0.25">
      <c r="A41" s="31">
        <v>42877.746724537035</v>
      </c>
      <c r="B41" s="30" t="s">
        <v>596</v>
      </c>
      <c r="C41" s="30" t="s">
        <v>608</v>
      </c>
      <c r="D41" s="30" t="s">
        <v>49</v>
      </c>
      <c r="E41" s="30" t="s">
        <v>185</v>
      </c>
      <c r="F41" s="42">
        <v>0</v>
      </c>
      <c r="G41" s="42">
        <v>57</v>
      </c>
      <c r="H41" s="42">
        <v>747</v>
      </c>
      <c r="I41" s="42">
        <v>689</v>
      </c>
      <c r="J41" s="30" t="s">
        <v>186</v>
      </c>
      <c r="K41" s="42">
        <v>575</v>
      </c>
      <c r="L41" s="134" t="s">
        <v>51</v>
      </c>
      <c r="M41" s="135">
        <f t="shared" si="0"/>
        <v>60.192</v>
      </c>
      <c r="N41" s="136" t="str">
        <f>VLOOKUP(C41,'Trips&amp;Operators'!$C$1:$G$99999,5,FALSE)</f>
        <v>LEVIN SCOTT</v>
      </c>
      <c r="O41" s="207" t="s">
        <v>184</v>
      </c>
      <c r="P41" s="137"/>
      <c r="Q41" s="30"/>
      <c r="R41" s="84" t="e">
        <f>IF(VLOOKUP(C41,'Train Runs'!$A$13:$AE$9928,1,1)=C41,VLOOKUP(C41,'Train Runs'!$A$13:$AE$9928,31,1),NA())</f>
        <v>#N/A</v>
      </c>
      <c r="S41" s="87" t="str">
        <f>VLOOKUP(C41,'Train Runs'!$A$13:$AE$9928,22,0)</f>
        <v>https://d0f6bd738d7f1b3e5a7ca70fe4ff75f0.us-east-1.aws.found.io/app/kibana#/discover/Steve-Slow-Train-Analysis-(2080s-and-2083s)?_g=(refreshInterval:(display:Off,pause:!f,section:0,value:0),time:(from:'2017-05-22T16:36:40-0600',mode:absolute,to:'2017-05-22T18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1" s="89" t="str">
        <f t="shared" si="1"/>
        <v>"C:\Program Files (x86)\AstroGrep\AstroGrep.exe" /e /r /s /spath="%USERPROFILE%\AppData\Local\Temp\OnboardLogs" /stypes="*4017*201705222*" /stext=" 23:.+((SYSTEM_STATE.+slice.+state.+changed )|(ment ac)|(multiple cpu faults)|(system.+state.+changed )|(\[timeout)|(PRM\|1\|D)|(kpr)|(kdp)|(train st.+moving)|(\|lc)|(penalty))"</v>
      </c>
      <c r="U41" s="9" t="str">
        <f t="shared" si="2"/>
        <v>4017</v>
      </c>
      <c r="V41" s="31">
        <f t="shared" si="3"/>
        <v>42877.996724537035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{"issue":{"subject":"","project_id":79,"tracker_id":40,"status_id":1,"priority_id":2,"assigned_to_id":23,"start_date":"2017-05-22","description":"","custom_fields":[{"id":1,"name":"Subdivision","value":"NW"},{"id":4,"name":"Milepost","value":"0.0575"},{"id":17,"name":"Train ID","value":"834-22"},{"id":16,"name":"Locomotive ID","value":"4017"},{"id":130,"name":"Impact","value":""},{"id":150,"name":"Time of Event (Mountain Time)","value":"17:55:17"},{"id":151,"name":"Denver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/cygdrive/c/Users/stu/AppData/Local/Temp/OnboardLogs/RTDC4017 --include="*4017*201705222*"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"%USERPROFILE%\AppData\Local\Temp\OnboardLogs"\RTDC4017\*4017*201705222* &gt;&gt; 2017-05-22-SliceDisagreementCheck.txt</v>
      </c>
      <c r="AE41" s="148" t="str">
        <f t="shared" si="9"/>
        <v>start /low /b %USERPROFILE%\Documents\GitHub\eaglep3\Utilities\DownloadLogsFromS3.py --loco 4017 --day 2017-05-22</v>
      </c>
      <c r="AF41" s="1"/>
    </row>
    <row r="42" spans="1:32" x14ac:dyDescent="0.25">
      <c r="A42" s="31">
        <v>42877.954861111109</v>
      </c>
      <c r="B42" s="30" t="s">
        <v>596</v>
      </c>
      <c r="C42" s="30" t="s">
        <v>617</v>
      </c>
      <c r="D42" s="30" t="s">
        <v>49</v>
      </c>
      <c r="E42" s="30" t="s">
        <v>185</v>
      </c>
      <c r="F42" s="42">
        <v>0</v>
      </c>
      <c r="G42" s="42">
        <v>21</v>
      </c>
      <c r="H42" s="42">
        <v>607</v>
      </c>
      <c r="I42" s="42">
        <v>584</v>
      </c>
      <c r="J42" s="30" t="s">
        <v>186</v>
      </c>
      <c r="K42" s="42">
        <v>575</v>
      </c>
      <c r="L42" s="134" t="s">
        <v>51</v>
      </c>
      <c r="M42" s="135">
        <f t="shared" si="0"/>
        <v>4.7519999999999998</v>
      </c>
      <c r="N42" s="136" t="str">
        <f>VLOOKUP(C42,'Trips&amp;Operators'!$C$1:$G$99999,5,FALSE)</f>
        <v>STAMBAUGH JAMES</v>
      </c>
      <c r="O42" s="207" t="s">
        <v>184</v>
      </c>
      <c r="P42" s="137"/>
      <c r="Q42" s="30"/>
      <c r="R42" s="84" t="e">
        <f>IF(VLOOKUP(C42,'Train Runs'!$A$13:$AE$9928,1,1)=C42,VLOOKUP(C42,'Train Runs'!$A$13:$AE$9928,31,1),NA())</f>
        <v>#N/A</v>
      </c>
      <c r="S42" s="87" t="str">
        <f>VLOOKUP(C42,'Train Runs'!$A$13:$AE$9928,22,0)</f>
        <v>https://d0f6bd738d7f1b3e5a7ca70fe4ff75f0.us-east-1.aws.found.io/app/kibana#/discover/Steve-Slow-Train-Analysis-(2080s-and-2083s)?_g=(refreshInterval:(display:Off,pause:!f,section:0,value:0),time:(from:'2017-05-22T21:37:37-0600',mode:absolute,to:'2017-05-22T23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2" s="89" t="str">
        <f t="shared" si="1"/>
        <v>"C:\Program Files (x86)\AstroGrep\AstroGrep.exe" /e /r /s /spath="%USERPROFILE%\AppData\Local\Temp\OnboardLogs" /stypes="*4017*201705230*" /stext=" 04:.+((SYSTEM_STATE.+slice.+state.+changed )|(ment ac)|(multiple cpu faults)|(system.+state.+changed )|(\[timeout)|(PRM\|1\|D)|(kpr)|(kdp)|(train st.+moving)|(\|lc)|(penalty))"</v>
      </c>
      <c r="U42" s="9" t="str">
        <f t="shared" si="2"/>
        <v>4017</v>
      </c>
      <c r="V42" s="31">
        <f t="shared" si="3"/>
        <v>42878.204861111109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{"issue":{"subject":"","project_id":79,"tracker_id":40,"status_id":1,"priority_id":2,"assigned_to_id":23,"start_date":"2017-05-22","description":"","custom_fields":[{"id":1,"name":"Subdivision","value":"NW"},{"id":4,"name":"Milepost","value":"0.0575"},{"id":17,"name":"Train ID","value":"846-22"},{"id":16,"name":"Locomotive ID","value":"4017"},{"id":130,"name":"Impact","value":""},{"id":150,"name":"Time of Event (Mountain Time)","value":"22:55:00"},{"id":151,"name":"Denver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/cygdrive/c/Users/stu/AppData/Local/Temp/OnboardLogs/RTDC4017 --include="*4017*201705230*"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"%USERPROFILE%\AppData\Local\Temp\OnboardLogs"\RTDC4017\*4017*201705230* &gt;&gt; 2017-05-22-SliceDisagreementCheck.txt</v>
      </c>
      <c r="AE42" s="148" t="str">
        <f t="shared" si="9"/>
        <v>start /low /b %USERPROFILE%\Documents\GitHub\eaglep3\Utilities\DownloadLogsFromS3.py --loco 4017 --day 2017-05-23</v>
      </c>
      <c r="AF42" s="1"/>
    </row>
    <row r="43" spans="1:32" x14ac:dyDescent="0.25">
      <c r="A43" s="31">
        <v>42877.794363425928</v>
      </c>
      <c r="B43" s="30" t="s">
        <v>421</v>
      </c>
      <c r="C43" s="30" t="s">
        <v>612</v>
      </c>
      <c r="D43" s="30" t="s">
        <v>49</v>
      </c>
      <c r="E43" s="30" t="s">
        <v>185</v>
      </c>
      <c r="F43" s="42">
        <v>0</v>
      </c>
      <c r="G43" s="42">
        <v>168</v>
      </c>
      <c r="H43" s="42">
        <v>57983</v>
      </c>
      <c r="I43" s="42">
        <v>58264</v>
      </c>
      <c r="J43" s="30" t="s">
        <v>186</v>
      </c>
      <c r="K43" s="42">
        <v>59048</v>
      </c>
      <c r="L43" s="134" t="s">
        <v>50</v>
      </c>
      <c r="M43" s="135">
        <f t="shared" si="0"/>
        <v>413.952</v>
      </c>
      <c r="N43" s="136" t="str">
        <f>VLOOKUP(C43,'Trips&amp;Operators'!$C$1:$G$99999,5,FALSE)</f>
        <v>STAMBAUGH JAMES</v>
      </c>
      <c r="O43" s="207" t="s">
        <v>184</v>
      </c>
      <c r="P43" s="137"/>
      <c r="Q43" s="30"/>
      <c r="R43" s="84" t="e">
        <f>IF(VLOOKUP(C43,'Train Runs'!$A$13:$AE$9928,1,1)=C43,VLOOKUP(C43,'Train Runs'!$A$13:$AE$9928,31,1),NA())</f>
        <v>#N/A</v>
      </c>
      <c r="S43" s="87" t="str">
        <f>VLOOKUP(C43,'Train Runs'!$A$13:$AE$9928,22,0)</f>
        <v>https://d0f6bd738d7f1b3e5a7ca70fe4ff75f0.us-east-1.aws.found.io/app/kibana#/discover/Steve-Slow-Train-Analysis-(2080s-and-2083s)?_g=(refreshInterval:(display:Off,pause:!f,section:0,value:0),time:(from:'2017-05-22T17:27:17-0600',mode:absolute,to:'2017-05-22T20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3" s="89" t="str">
        <f t="shared" si="1"/>
        <v>"C:\Program Files (x86)\AstroGrep\AstroGrep.exe" /e /r /s /spath="%USERPROFILE%\AppData\Local\Temp\OnboardLogs" /stypes="*4030*201705230*" /stext=" 01:.+((SYSTEM_STATE.+slice.+state.+changed )|(ment ac)|(multiple cpu faults)|(system.+state.+changed )|(\[timeout)|(PRM\|1\|D)|(kpr)|(kdp)|(train st.+moving)|(\|lc)|(penalty))"</v>
      </c>
      <c r="U43" s="9" t="str">
        <f t="shared" si="2"/>
        <v>4030</v>
      </c>
      <c r="V43" s="31">
        <f t="shared" si="3"/>
        <v>42878.044363425928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{"issue":{"subject":"","project_id":79,"tracker_id":40,"status_id":1,"priority_id":2,"assigned_to_id":23,"start_date":"2017-05-22","description":"","custom_fields":[{"id":1,"name":"Subdivision","value":"NW"},{"id":4,"name":"Milepost","value":"5.9048"},{"id":17,"name":"Train ID","value":"839-22"},{"id":16,"name":"Locomotive ID","value":"4030"},{"id":130,"name":"Impact","value":""},{"id":150,"name":"Time of Event (Mountain Time)","value":"19:03:53"},{"id":151,"name":"Denver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/cygdrive/c/Users/stu/AppData/Local/Temp/OnboardLogs/RTDC4030 --include="*4030*201705230*"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"%USERPROFILE%\AppData\Local\Temp\OnboardLogs"\RTDC4030\*4030*201705230* &gt;&gt; 2017-05-22-SliceDisagreementCheck.txt</v>
      </c>
      <c r="AE43" s="148" t="str">
        <f t="shared" si="9"/>
        <v>start /low /b %USERPROFILE%\Documents\GitHub\eaglep3\Utilities\DownloadLogsFromS3.py --loco 4030 --day 2017-05-23</v>
      </c>
      <c r="AF43" s="1"/>
    </row>
    <row r="44" spans="1:32" x14ac:dyDescent="0.25">
      <c r="A44" s="31">
        <v>42877.815405092595</v>
      </c>
      <c r="B44" s="30" t="s">
        <v>429</v>
      </c>
      <c r="C44" s="30" t="s">
        <v>613</v>
      </c>
      <c r="D44" s="30" t="s">
        <v>98</v>
      </c>
      <c r="E44" s="30" t="s">
        <v>185</v>
      </c>
      <c r="F44" s="42">
        <v>0</v>
      </c>
      <c r="G44" s="42">
        <v>16</v>
      </c>
      <c r="H44" s="42">
        <v>59049</v>
      </c>
      <c r="I44" s="42">
        <v>0</v>
      </c>
      <c r="J44" s="30" t="s">
        <v>186</v>
      </c>
      <c r="K44" s="42">
        <v>59048</v>
      </c>
      <c r="L44" s="134" t="s">
        <v>50</v>
      </c>
      <c r="M44" s="135">
        <f t="shared" si="0"/>
        <v>31177.344000000001</v>
      </c>
      <c r="N44" s="136" t="str">
        <f>VLOOKUP(C44,'Trips&amp;Operators'!$C$1:$G$99999,5,FALSE)</f>
        <v>LEVIN SCOTT</v>
      </c>
      <c r="O44" s="207" t="s">
        <v>184</v>
      </c>
      <c r="P44" s="137"/>
      <c r="Q44" s="30"/>
      <c r="R44" s="84" t="e">
        <f>IF(VLOOKUP(C44,'Train Runs'!$A$13:$AE$9928,1,1)=C44,VLOOKUP(C44,'Train Runs'!$A$13:$AE$9928,31,1),NA())</f>
        <v>#N/A</v>
      </c>
      <c r="S44" s="87" t="str">
        <f>VLOOKUP(C44,'Train Runs'!$A$13:$AE$9928,22,0)</f>
        <v>https://d0f6bd738d7f1b3e5a7ca70fe4ff75f0.us-east-1.aws.found.io/app/kibana#/discover/Steve-Slow-Train-Analysis-(2080s-and-2083s)?_g=(refreshInterval:(display:Off,pause:!f,section:0,value:0),time:(from:'2017-05-22T18:17:33-0600',mode:absolute,to:'2017-05-22T20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4" s="89" t="str">
        <f t="shared" si="1"/>
        <v>"C:\Program Files (x86)\AstroGrep\AstroGrep.exe" /e /r /s /spath="%USERPROFILE%\AppData\Local\Temp\OnboardLogs" /stypes="*4018*201705230*" /stext=" 01:.+((SYSTEM_STATE.+slice.+state.+changed )|(ment ac)|(multiple cpu faults)|(system.+state.+changed )|(\[timeout)|(PRM\|1\|D)|(kpr)|(kdp)|(train st.+moving)|(\|lc)|(penalty))"</v>
      </c>
      <c r="U44" s="9" t="str">
        <f t="shared" si="2"/>
        <v>4018</v>
      </c>
      <c r="V44" s="31">
        <f t="shared" si="3"/>
        <v>42878.065405092595</v>
      </c>
      <c r="W44" s="45" t="str">
        <f t="shared" si="4"/>
        <v>NW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{"issue":{"subject":"","project_id":79,"tracker_id":40,"status_id":1,"priority_id":2,"assigned_to_id":23,"start_date":"2017-05-22","description":"","custom_fields":[{"id":1,"name":"Subdivision","value":"NW"},{"id":4,"name":"Milepost","value":"5.9048"},{"id":17,"name":"Train ID","value":"841-22"},{"id":16,"name":"Locomotive ID","value":"4018"},{"id":130,"name":"Impact","value":""},{"id":150,"name":"Time of Event (Mountain Time)","value":"19:34:11"},{"id":151,"name":"Denver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/cygdrive/c/Users/stu/AppData/Local/Temp/OnboardLogs/RTDC4018 --include="*4018*201705230*"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"%USERPROFILE%\AppData\Local\Temp\OnboardLogs"\RTDC4018\*4018*201705230* &gt;&gt; 2017-05-22-SliceDisagreementCheck.txt</v>
      </c>
      <c r="AE44" s="148" t="str">
        <f t="shared" si="9"/>
        <v>start /low /b %USERPROFILE%\Documents\GitHub\eaglep3\Utilities\DownloadLogsFromS3.py --loco 4018 --day 2017-05-23</v>
      </c>
      <c r="AF44" s="1"/>
    </row>
    <row r="45" spans="1:32" x14ac:dyDescent="0.25">
      <c r="A45" s="31">
        <v>42877.98164351852</v>
      </c>
      <c r="B45" s="30" t="s">
        <v>429</v>
      </c>
      <c r="C45" s="30" t="s">
        <v>618</v>
      </c>
      <c r="D45" s="30" t="s">
        <v>49</v>
      </c>
      <c r="E45" s="30" t="s">
        <v>185</v>
      </c>
      <c r="F45" s="42">
        <v>0</v>
      </c>
      <c r="G45" s="42">
        <v>146</v>
      </c>
      <c r="H45" s="42">
        <v>58335</v>
      </c>
      <c r="I45" s="42">
        <v>58510</v>
      </c>
      <c r="J45" s="30" t="s">
        <v>186</v>
      </c>
      <c r="K45" s="42">
        <v>59048</v>
      </c>
      <c r="L45" s="134" t="s">
        <v>50</v>
      </c>
      <c r="M45" s="135">
        <f t="shared" si="0"/>
        <v>284.06400000000002</v>
      </c>
      <c r="N45" s="136" t="str">
        <f>VLOOKUP(C45,'Trips&amp;Operators'!$C$1:$G$99999,5,FALSE)</f>
        <v>STAMBAUGH JAMES</v>
      </c>
      <c r="O45" s="207" t="s">
        <v>184</v>
      </c>
      <c r="P45" s="137"/>
      <c r="Q45" s="30"/>
      <c r="R45" s="84" t="e">
        <f>IF(VLOOKUP(C45,'Train Runs'!$A$13:$AE$9928,1,1)=C45,VLOOKUP(C45,'Train Runs'!$A$13:$AE$9928,31,1),NA())</f>
        <v>#N/A</v>
      </c>
      <c r="S45" s="87" t="str">
        <f>VLOOKUP(C45,'Train Runs'!$A$13:$AE$9928,22,0)</f>
        <v>https://d0f6bd738d7f1b3e5a7ca70fe4ff75f0.us-east-1.aws.found.io/app/kibana#/discover/Steve-Slow-Train-Analysis-(2080s-and-2083s)?_g=(refreshInterval:(display:Off,pause:!f,section:0,value:0),time:(from:'2017-05-22T21:56:55-0600',mode:absolute,to:'2017-05-23T00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5" s="89" t="str">
        <f t="shared" si="1"/>
        <v>"C:\Program Files (x86)\AstroGrep\AstroGrep.exe" /e /r /s /spath="%USERPROFILE%\AppData\Local\Temp\OnboardLogs" /stypes="*4018*201705230*" /stext=" 05:.+((SYSTEM_STATE.+slice.+state.+changed )|(ment ac)|(multiple cpu faults)|(system.+state.+changed )|(\[timeout)|(PRM\|1\|D)|(kpr)|(kdp)|(train st.+moving)|(\|lc)|(penalty))"</v>
      </c>
      <c r="U45" s="9" t="str">
        <f t="shared" si="2"/>
        <v>4018</v>
      </c>
      <c r="V45" s="31">
        <f t="shared" si="3"/>
        <v>42878.23164351852</v>
      </c>
      <c r="W45" s="45" t="str">
        <f t="shared" si="4"/>
        <v>NW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{"issue":{"subject":"","project_id":79,"tracker_id":40,"status_id":1,"priority_id":2,"assigned_to_id":23,"start_date":"2017-05-22","description":"","custom_fields":[{"id":1,"name":"Subdivision","value":"NW"},{"id":4,"name":"Milepost","value":"5.9048"},{"id":17,"name":"Train ID","value":"849-22"},{"id":16,"name":"Locomotive ID","value":"4018"},{"id":130,"name":"Impact","value":""},{"id":150,"name":"Time of Event (Mountain Time)","value":"23:33:34"},{"id":151,"name":"Denver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/cygdrive/c/Users/stu/AppData/Local/Temp/OnboardLogs/RTDC4018 --include="*4018*201705230*"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"%USERPROFILE%\AppData\Local\Temp\OnboardLogs"\RTDC4018\*4018*201705230* &gt;&gt; 2017-05-22-SliceDisagreementCheck.txt</v>
      </c>
      <c r="AE45" s="148" t="str">
        <f t="shared" si="9"/>
        <v>start /low /b %USERPROFILE%\Documents\GitHub\eaglep3\Utilities\DownloadLogsFromS3.py --loco 4018 --day 2017-05-23</v>
      </c>
      <c r="AF45" s="1"/>
    </row>
    <row r="46" spans="1:32" x14ac:dyDescent="0.25">
      <c r="A46" s="31">
        <v>42877.925532407404</v>
      </c>
      <c r="B46" s="30" t="s">
        <v>420</v>
      </c>
      <c r="C46" s="30" t="s">
        <v>616</v>
      </c>
      <c r="D46" s="30" t="s">
        <v>98</v>
      </c>
      <c r="E46" s="30" t="s">
        <v>204</v>
      </c>
      <c r="F46" s="42">
        <v>550</v>
      </c>
      <c r="G46" s="42">
        <v>600</v>
      </c>
      <c r="H46" s="42">
        <v>222272</v>
      </c>
      <c r="I46" s="42">
        <v>219888</v>
      </c>
      <c r="J46" s="30" t="s">
        <v>205</v>
      </c>
      <c r="K46" s="42">
        <v>224581</v>
      </c>
      <c r="L46" s="134" t="s">
        <v>51</v>
      </c>
      <c r="M46" s="135">
        <f t="shared" si="0"/>
        <v>-2477.904</v>
      </c>
      <c r="N46" s="136" t="str">
        <f>VLOOKUP(C46,'Trips&amp;Operators'!$C$1:$G$99999,5,FALSE)</f>
        <v>SULLIVAN BRANDON</v>
      </c>
      <c r="O46" s="207" t="s">
        <v>184</v>
      </c>
      <c r="P46" s="137"/>
      <c r="Q46" s="30"/>
      <c r="R46" s="84" t="e">
        <f>IF(VLOOKUP(C46,'Train Runs'!$A$13:$AE$9928,1,1)=C46,VLOOKUP(C46,'Train Runs'!$A$13:$AE$9928,31,1),NA())</f>
        <v>#N/A</v>
      </c>
      <c r="S46" s="87" t="str">
        <f>VLOOKUP(C46,'Train Runs'!$A$13:$AE$9928,22,0)</f>
        <v>https://d0f6bd738d7f1b3e5a7ca70fe4ff75f0.us-east-1.aws.found.io/app/kibana#/discover/Steve-Slow-Train-Analysis-(2080s-and-2083s)?_g=(refreshInterval:(display:Off,pause:!f,section:0,value:0),time:(from:'2017-05-22T22:32:54-0600',mode:absolute,to:'2017-05-23T00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6" s="89" t="str">
        <f t="shared" si="1"/>
        <v>"C:\Program Files (x86)\AstroGrep\AstroGrep.exe" /e /r /s /spath="%USERPROFILE%\AppData\Local\Temp\OnboardLogs" /stypes="*4049*201705230*" /stext=" 04:.+((SYSTEM_STATE.+slice.+state.+changed )|(ment ac)|(multiple cpu faults)|(system.+state.+changed )|(\[timeout)|(PRM\|1\|D)|(kpr)|(kdp)|(train st.+moving)|(\|lc)|(penalty))"</v>
      </c>
      <c r="U46" s="9" t="str">
        <f t="shared" si="2"/>
        <v>4049</v>
      </c>
      <c r="V46" s="31">
        <f t="shared" si="3"/>
        <v>42878.175532407404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{"issue":{"subject":"","project_id":79,"tracker_id":40,"status_id":1,"priority_id":2,"assigned_to_id":23,"start_date":"2017-05-22","description":"","custom_fields":[{"id":1,"name":"Subdivision","value":"Other"},{"id":4,"name":"Milepost","value":"22.4581"},{"id":17,"name":"Train ID","value":"54-22"},{"id":16,"name":"Locomotive ID","value":"4049"},{"id":130,"name":"Impact","value":""},{"id":150,"name":"Time of Event (Mountain Time)","value":"22:12:46"},{"id":151,"name":"Denver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/cygdrive/c/Users/stu/AppData/Local/Temp/OnboardLogs/RTDC4049 --include="*4049*201705230*"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"%USERPROFILE%\AppData\Local\Temp\OnboardLogs"\RTDC4049\*4049*201705230* &gt;&gt; 2017-05-22-SliceDisagreementCheck.txt</v>
      </c>
      <c r="AE46" s="148" t="str">
        <f t="shared" si="9"/>
        <v>start /low /b %USERPROFILE%\Documents\GitHub\eaglep3\Utilities\DownloadLogsFromS3.py --loco 4049 --day 2017-05-23</v>
      </c>
      <c r="AF46" s="1"/>
    </row>
    <row r="47" spans="1:32" x14ac:dyDescent="0.25">
      <c r="A47" s="31">
        <v>42877.997430555559</v>
      </c>
      <c r="B47" s="30" t="s">
        <v>429</v>
      </c>
      <c r="C47" s="30" t="s">
        <v>619</v>
      </c>
      <c r="D47" s="30" t="s">
        <v>98</v>
      </c>
      <c r="E47" s="30" t="s">
        <v>371</v>
      </c>
      <c r="F47" s="42">
        <v>0</v>
      </c>
      <c r="G47" s="42">
        <v>172</v>
      </c>
      <c r="H47" s="42">
        <v>13863</v>
      </c>
      <c r="I47" s="42">
        <v>14047</v>
      </c>
      <c r="J47" s="30" t="s">
        <v>372</v>
      </c>
      <c r="K47" s="42">
        <v>13677</v>
      </c>
      <c r="L47" s="134" t="s">
        <v>50</v>
      </c>
      <c r="M47" s="135">
        <f t="shared" si="0"/>
        <v>-195.36</v>
      </c>
      <c r="N47" s="136" t="str">
        <f>VLOOKUP(C47,'Trips&amp;Operators'!$C$1:$G$99999,5,FALSE)</f>
        <v>STAMBAUGH JAMES</v>
      </c>
      <c r="O47" s="207" t="s">
        <v>184</v>
      </c>
      <c r="P47" s="137"/>
      <c r="Q47" s="30"/>
      <c r="R47" s="84" t="e">
        <f>IF(VLOOKUP(C47,'Train Runs'!$A$13:$AE$9928,1,1)=C47,VLOOKUP(C47,'Train Runs'!$A$13:$AE$9928,31,1),NA())</f>
        <v>#N/A</v>
      </c>
      <c r="S47" s="87" t="str">
        <f>VLOOKUP(C47,'Train Runs'!$A$13:$AE$9928,22,0)</f>
        <v>https://d0f6bd738d7f1b3e5a7ca70fe4ff75f0.us-east-1.aws.found.io/app/kibana#/discover/Steve-Slow-Train-Analysis-(2080s-and-2083s)?_g=(refreshInterval:(display:Off,pause:!f,section:0,value:0),time:(from:'2017-05-22T22:36:06-0600',mode:absolute,to:'2017-05-23T00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7" s="89" t="str">
        <f t="shared" si="1"/>
        <v>"C:\Program Files (x86)\AstroGrep\AstroGrep.exe" /e /r /s /spath="%USERPROFILE%\AppData\Local\Temp\OnboardLogs" /stypes="*4018*201705230*" /stext=" 05:.+((SYSTEM_STATE.+slice.+state.+changed )|(ment ac)|(multiple cpu faults)|(system.+state.+changed )|(\[timeout)|(PRM\|1\|D)|(kpr)|(kdp)|(train st.+moving)|(\|lc)|(penalty))"</v>
      </c>
      <c r="U47" s="9" t="str">
        <f t="shared" si="2"/>
        <v>4018</v>
      </c>
      <c r="V47" s="31">
        <f t="shared" si="3"/>
        <v>42878.247430555559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{"issue":{"subject":"","project_id":79,"tracker_id":40,"status_id":1,"priority_id":2,"assigned_to_id":23,"start_date":"2017-05-22","description":"","custom_fields":[{"id":1,"name":"Subdivision","value":"Other"},{"id":4,"name":"Milepost","value":"1.3677"},{"id":17,"name":"Train ID","value":"908-22"},{"id":16,"name":"Locomotive ID","value":"4018"},{"id":130,"name":"Impact","value":""},{"id":150,"name":"Time of Event (Mountain Time)","value":"23:56:18"},{"id":151,"name":"Denver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/cygdrive/c/Users/stu/AppData/Local/Temp/OnboardLogs/RTDC4018 --include="*4018*201705230*"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"%USERPROFILE%\AppData\Local\Temp\OnboardLogs"\RTDC4018\*4018*201705230* &gt;&gt; 2017-05-22-SliceDisagreementCheck.txt</v>
      </c>
      <c r="AE47" s="148" t="str">
        <f t="shared" si="9"/>
        <v>start /low /b %USERPROFILE%\Documents\GitHub\eaglep3\Utilities\DownloadLogsFromS3.py --loco 4018 --day 2017-05-23</v>
      </c>
      <c r="AF47" s="1"/>
    </row>
    <row r="48" spans="1:32" x14ac:dyDescent="0.25">
      <c r="A48" s="31">
        <v>42877.19771990741</v>
      </c>
      <c r="B48" s="30" t="s">
        <v>428</v>
      </c>
      <c r="C48" s="30" t="s">
        <v>573</v>
      </c>
      <c r="D48" s="30" t="s">
        <v>98</v>
      </c>
      <c r="E48" s="30" t="s">
        <v>371</v>
      </c>
      <c r="F48" s="42">
        <v>0</v>
      </c>
      <c r="G48" s="42">
        <v>114</v>
      </c>
      <c r="H48" s="42">
        <v>23209</v>
      </c>
      <c r="I48" s="42">
        <v>23078</v>
      </c>
      <c r="J48" s="30" t="s">
        <v>372</v>
      </c>
      <c r="K48" s="42">
        <v>24161</v>
      </c>
      <c r="L48" s="134" t="s">
        <v>51</v>
      </c>
      <c r="M48" s="135">
        <f t="shared" si="0"/>
        <v>-571.82399999999996</v>
      </c>
      <c r="N48" s="136" t="str">
        <f>VLOOKUP(C48,'Trips&amp;Operators'!$C$1:$G$99999,5,FALSE)</f>
        <v>HELVIE ADAM</v>
      </c>
      <c r="O48" s="207" t="s">
        <v>184</v>
      </c>
      <c r="P48" s="137"/>
      <c r="Q48" s="30"/>
      <c r="R48" s="84" t="e">
        <f>IF(VLOOKUP(C48,'Train Runs'!$A$13:$AE$9928,1,1)=C48,VLOOKUP(C48,'Train Runs'!$A$13:$AE$9928,31,1),NA())</f>
        <v>#N/A</v>
      </c>
      <c r="S48" s="87" t="str">
        <f>VLOOKUP(C48,'Train Runs'!$A$13:$AE$9928,22,0)</f>
        <v>https://d0f6bd738d7f1b3e5a7ca70fe4ff75f0.us-east-1.aws.found.io/app/kibana#/discover/Steve-Slow-Train-Analysis-(2080s-and-2083s)?_g=(refreshInterval:(display:Off,pause:!f,section:0,value:0),time:(from:'2017-05-22T03:40:41-0600',mode:absolute,to:'2017-05-22T05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8" s="89" t="str">
        <f t="shared" si="1"/>
        <v>"C:\Program Files (x86)\AstroGrep\AstroGrep.exe" /e /r /s /spath="%USERPROFILE%\AppData\Local\Temp\OnboardLogs" /stypes="*4007*201705221*" /stext=" 10:.+((SYSTEM_STATE.+slice.+state.+changed )|(ment ac)|(multiple cpu faults)|(system.+state.+changed )|(\[timeout)|(PRM\|1\|D)|(kpr)|(kdp)|(train st.+moving)|(\|lc)|(penalty))"</v>
      </c>
      <c r="U48" s="9" t="str">
        <f t="shared" si="2"/>
        <v>4007</v>
      </c>
      <c r="V48" s="31">
        <f t="shared" si="3"/>
        <v>42877.44771990741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{"issue":{"subject":"","project_id":79,"tracker_id":40,"status_id":1,"priority_id":2,"assigned_to_id":23,"start_date":"2017-05-22","description":"","custom_fields":[{"id":1,"name":"Subdivision","value":"Other"},{"id":4,"name":"Milepost","value":"2.4161"},{"id":17,"name":"Train ID","value":"310-22"},{"id":16,"name":"Locomotive ID","value":"4007"},{"id":130,"name":"Impact","value":""},{"id":150,"name":"Time of Event (Mountain Time)","value":"04:44:43"},{"id":151,"name":"Denver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/cygdrive/c/Users/stu/AppData/Local/Temp/OnboardLogs/RTDC4007 --include="*4007*201705221*"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"%USERPROFILE%\AppData\Local\Temp\OnboardLogs"\RTDC4007\*4007*201705221* &gt;&gt; 2017-05-22-SliceDisagreementCheck.txt</v>
      </c>
      <c r="AE48" s="148" t="str">
        <f t="shared" si="9"/>
        <v>start /low /b %USERPROFILE%\Documents\GitHub\eaglep3\Utilities\DownloadLogsFromS3.py --loco 4007 --day 2017-05-22</v>
      </c>
      <c r="AF48" s="1"/>
    </row>
    <row r="49" spans="1:32" x14ac:dyDescent="0.25">
      <c r="A49" s="31">
        <v>42877.45171296296</v>
      </c>
      <c r="B49" s="30" t="s">
        <v>460</v>
      </c>
      <c r="C49" s="30" t="s">
        <v>587</v>
      </c>
      <c r="D49" s="30" t="s">
        <v>49</v>
      </c>
      <c r="E49" s="30" t="s">
        <v>371</v>
      </c>
      <c r="F49" s="42">
        <v>0</v>
      </c>
      <c r="G49" s="42">
        <v>25</v>
      </c>
      <c r="H49" s="42">
        <v>24364</v>
      </c>
      <c r="I49" s="42">
        <v>24311</v>
      </c>
      <c r="J49" s="30" t="s">
        <v>372</v>
      </c>
      <c r="K49" s="42">
        <v>24235</v>
      </c>
      <c r="L49" s="134" t="s">
        <v>51</v>
      </c>
      <c r="M49" s="135">
        <f t="shared" si="0"/>
        <v>40.128</v>
      </c>
      <c r="N49" s="136" t="str">
        <f>VLOOKUP(C49,'Trips&amp;Operators'!$C$1:$G$99999,5,FALSE)</f>
        <v>DAVIS MICHAEL</v>
      </c>
      <c r="O49" s="207" t="s">
        <v>184</v>
      </c>
      <c r="P49" s="137"/>
      <c r="Q49" s="30"/>
      <c r="R49" s="84" t="e">
        <f>IF(VLOOKUP(C49,'Train Runs'!$A$13:$AE$9928,1,1)=C49,VLOOKUP(C49,'Train Runs'!$A$13:$AE$9928,31,1),NA())</f>
        <v>#N/A</v>
      </c>
      <c r="S49" s="87" t="str">
        <f>VLOOKUP(C49,'Train Runs'!$A$13:$AE$9928,22,0)</f>
        <v>https://d0f6bd738d7f1b3e5a7ca70fe4ff75f0.us-east-1.aws.found.io/app/kibana#/discover/Steve-Slow-Train-Analysis-(2080s-and-2083s)?_g=(refreshInterval:(display:Off,pause:!f,section:0,value:0),time:(from:'2017-05-22T09:54:20-0600',mode:absolute,to:'2017-05-22T12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9" s="89" t="str">
        <f t="shared" si="1"/>
        <v>"C:\Program Files (x86)\AstroGrep\AstroGrep.exe" /e /r /s /spath="%USERPROFILE%\AppData\Local\Temp\OnboardLogs" /stypes="*4055*201705221*" /stext=" 16:.+((SYSTEM_STATE.+slice.+state.+changed )|(ment ac)|(multiple cpu faults)|(system.+state.+changed )|(\[timeout)|(PRM\|1\|D)|(kpr)|(kdp)|(train st.+moving)|(\|lc)|(penalty))"</v>
      </c>
      <c r="U49" s="9" t="str">
        <f t="shared" si="2"/>
        <v>4055</v>
      </c>
      <c r="V49" s="31">
        <f t="shared" si="3"/>
        <v>42877.70171296296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{"issue":{"subject":"","project_id":79,"tracker_id":40,"status_id":1,"priority_id":2,"assigned_to_id":23,"start_date":"2017-05-22","description":"","custom_fields":[{"id":1,"name":"Subdivision","value":"Other"},{"id":4,"name":"Milepost","value":"2.4235"},{"id":17,"name":"Train ID","value":"52-22"},{"id":16,"name":"Locomotive ID","value":"4055"},{"id":130,"name":"Impact","value":""},{"id":150,"name":"Time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/cygdrive/c/Users/stu/AppData/Local/Temp/OnboardLogs/RTDC4055 --include="*4055*201705221*"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"%USERPROFILE%\AppData\Local\Temp\OnboardLogs"\RTDC4055\*4055*201705221* &gt;&gt; 2017-05-22-SliceDisagreementCheck.txt</v>
      </c>
      <c r="AE49" s="148" t="str">
        <f t="shared" si="9"/>
        <v>start /low /b %USERPROFILE%\Documents\GitHub\eaglep3\Utilities\DownloadLogsFromS3.py --loco 4055 --day 2017-05-22</v>
      </c>
      <c r="AF49" s="1"/>
    </row>
    <row r="50" spans="1:32" x14ac:dyDescent="0.25">
      <c r="A50" s="31">
        <v>42877.64634259259</v>
      </c>
      <c r="B50" s="30" t="s">
        <v>459</v>
      </c>
      <c r="C50" s="30" t="s">
        <v>601</v>
      </c>
      <c r="D50" s="30" t="s">
        <v>49</v>
      </c>
      <c r="E50" s="30" t="s">
        <v>185</v>
      </c>
      <c r="F50" s="42">
        <v>0</v>
      </c>
      <c r="G50" s="42">
        <v>46</v>
      </c>
      <c r="H50" s="42">
        <v>699</v>
      </c>
      <c r="I50" s="42">
        <v>668</v>
      </c>
      <c r="J50" s="30" t="s">
        <v>186</v>
      </c>
      <c r="K50" s="42">
        <v>575</v>
      </c>
      <c r="L50" s="134" t="s">
        <v>51</v>
      </c>
      <c r="M50" s="135">
        <f t="shared" si="0"/>
        <v>49.103999999999999</v>
      </c>
      <c r="N50" s="136" t="str">
        <f>VLOOKUP(C50,'Trips&amp;Operators'!$C$1:$G$99999,5,FALSE)</f>
        <v>STAMBAUGH JAMES</v>
      </c>
      <c r="O50" s="207" t="s">
        <v>184</v>
      </c>
      <c r="P50" s="137"/>
      <c r="Q50" s="30"/>
      <c r="R50" s="84" t="e">
        <f>IF(VLOOKUP(C50,'Train Runs'!$A$13:$AE$9928,1,1)=C50,VLOOKUP(C50,'Train Runs'!$A$13:$AE$9928,31,1),NA())</f>
        <v>#N/A</v>
      </c>
      <c r="S50" s="87" t="str">
        <f>VLOOKUP(C50,'Train Runs'!$A$13:$AE$9928,22,0)</f>
        <v>https://d0f6bd738d7f1b3e5a7ca70fe4ff75f0.us-east-1.aws.found.io/app/kibana#/discover/Steve-Slow-Train-Analysis-(2080s-and-2083s)?_g=(refreshInterval:(display:Off,pause:!f,section:0,value:0),time:(from:'2017-05-22T14:22:34-0600',mode:absolute,to:'2017-05-22T16:30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0" s="89" t="str">
        <f t="shared" si="1"/>
        <v>"C:\Program Files (x86)\AstroGrep\AstroGrep.exe" /e /r /s /spath="%USERPROFILE%\AppData\Local\Temp\OnboardLogs" /stypes="*4029*201705222*" /stext=" 21:.+((SYSTEM_STATE.+slice.+state.+changed )|(ment ac)|(multiple cpu faults)|(system.+state.+changed )|(\[timeout)|(PRM\|1\|D)|(kpr)|(kdp)|(train st.+moving)|(\|lc)|(penalty))"</v>
      </c>
      <c r="U50" s="9" t="str">
        <f t="shared" si="2"/>
        <v>4029</v>
      </c>
      <c r="V50" s="31">
        <f t="shared" si="3"/>
        <v>42877.89634259259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{"issue":{"subject":"","project_id":79,"tracker_id":40,"status_id":1,"priority_id":2,"assigned_to_id":23,"start_date":"2017-05-22","description":"","custom_fields":[{"id":1,"name":"Subdivision","value":"Other"},{"id":4,"name":"Milepost","value":"0.0575"},{"id":17,"name":"Train ID","value":"904-22"},{"id":16,"name":"Locomotive ID","value":"4029"},{"id":130,"name":"Impact","value":""},{"id":150,"name":"Time of Event (Mountain Time)","value":"15:30:44"},{"id":151,"name":"Denver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/cygdrive/c/Users/stu/AppData/Local/Temp/OnboardLogs/RTDC4029 --include="*4029*201705222*"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"%USERPROFILE%\AppData\Local\Temp\OnboardLogs"\RTDC4029\*4029*201705222* &gt;&gt; 2017-05-22-SliceDisagreementCheck.txt</v>
      </c>
      <c r="AE50" s="148" t="str">
        <f t="shared" si="9"/>
        <v>start /low /b %USERPROFILE%\Documents\GitHub\eaglep3\Utilities\DownloadLogsFromS3.py --loco 4029 --day 2017-05-22</v>
      </c>
      <c r="AF50" s="1"/>
    </row>
    <row r="51" spans="1:32" x14ac:dyDescent="0.25">
      <c r="A51" s="31">
        <v>42877.461215277777</v>
      </c>
      <c r="B51" s="30" t="s">
        <v>460</v>
      </c>
      <c r="C51" s="30" t="s">
        <v>587</v>
      </c>
      <c r="D51" s="30" t="s">
        <v>49</v>
      </c>
      <c r="E51" s="30" t="s">
        <v>185</v>
      </c>
      <c r="F51" s="42">
        <v>0</v>
      </c>
      <c r="G51" s="42">
        <v>16</v>
      </c>
      <c r="H51" s="42">
        <v>848</v>
      </c>
      <c r="I51" s="42">
        <v>835</v>
      </c>
      <c r="J51" s="30" t="s">
        <v>186</v>
      </c>
      <c r="K51" s="42">
        <v>826</v>
      </c>
      <c r="L51" s="134" t="s">
        <v>51</v>
      </c>
      <c r="M51" s="135">
        <f t="shared" si="0"/>
        <v>4.7519999999999998</v>
      </c>
      <c r="N51" s="136" t="str">
        <f>VLOOKUP(C51,'Trips&amp;Operators'!$C$1:$G$99999,5,FALSE)</f>
        <v>DAVIS MICHAEL</v>
      </c>
      <c r="O51" s="207" t="s">
        <v>184</v>
      </c>
      <c r="P51" s="137"/>
      <c r="Q51" s="30"/>
      <c r="R51" s="84" t="e">
        <f>IF(VLOOKUP(C51,'Train Runs'!$A$13:$AE$9928,1,1)=C51,VLOOKUP(C51,'Train Runs'!$A$13:$AE$9928,31,1),NA())</f>
        <v>#N/A</v>
      </c>
      <c r="S51" s="87" t="str">
        <f>VLOOKUP(C51,'Train Runs'!$A$13:$AE$9928,22,0)</f>
        <v>https://d0f6bd738d7f1b3e5a7ca70fe4ff75f0.us-east-1.aws.found.io/app/kibana#/discover/Steve-Slow-Train-Analysis-(2080s-and-2083s)?_g=(refreshInterval:(display:Off,pause:!f,section:0,value:0),time:(from:'2017-05-22T09:54:20-0600',mode:absolute,to:'2017-05-22T12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1" s="89" t="str">
        <f t="shared" si="1"/>
        <v>"C:\Program Files (x86)\AstroGrep\AstroGrep.exe" /e /r /s /spath="%USERPROFILE%\AppData\Local\Temp\OnboardLogs" /stypes="*4055*201705221*" /stext=" 17:.+((SYSTEM_STATE.+slice.+state.+changed )|(ment ac)|(multiple cpu faults)|(system.+state.+changed )|(\[timeout)|(PRM\|1\|D)|(kpr)|(kdp)|(train st.+moving)|(\|lc)|(penalty))"</v>
      </c>
      <c r="U51" s="9" t="str">
        <f t="shared" si="2"/>
        <v>4055</v>
      </c>
      <c r="V51" s="31">
        <f t="shared" si="3"/>
        <v>42877.711215277777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{"issue":{"subject":"","project_id":79,"tracker_id":40,"status_id":1,"priority_id":2,"assigned_to_id":23,"start_date":"2017-05-22","description":"","custom_fields":[{"id":1,"name":"Subdivision","value":"Other"},{"id":4,"name":"Milepost","value":"0.0826"},{"id":17,"name":"Train ID","value":"52-22"},{"id":16,"name":"Locomotive ID","value":"4055"},{"id":130,"name":"Impact","value":""},{"id":150,"name":"Time of Event (Mountain Time)","value":"11:04:09"},{"id":151,"name":"Denver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/cygdrive/c/Users/stu/AppData/Local/Temp/OnboardLogs/RTDC4055 --include="*4055*201705221*"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"%USERPROFILE%\AppData\Local\Temp\OnboardLogs"\RTDC4055\*4055*201705221* &gt;&gt; 2017-05-22-SliceDisagreementCheck.txt</v>
      </c>
      <c r="AE51" s="148" t="str">
        <f t="shared" si="9"/>
        <v>start /low /b %USERPROFILE%\Documents\GitHub\eaglep3\Utilities\DownloadLogsFromS3.py --loco 4055 --day 2017-05-22</v>
      </c>
      <c r="AF51" s="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56">
    <sortState ref="A7:AC56">
      <sortCondition ref="W7:W51"/>
      <sortCondition ref="E7:E51"/>
      <sortCondition ref="K7:K51"/>
      <sortCondition ref="F7:F5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3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2017-05-22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122</v>
      </c>
      <c r="B3" s="42" t="str">
        <f>A3&amp;"-"&amp;IF(DAY(Variables!$A$2)&lt;10,0,"")&amp;DAY(Variables!$A$2)</f>
        <v>122-22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22122-22%22)),sort:!(Time.ISO8601,asc))</v>
      </c>
      <c r="J3" s="30" t="str">
        <f>VLOOKUP(B3,'Train Runs'!$A$13:$A$99925,1,FALSE)</f>
        <v>122-22</v>
      </c>
    </row>
    <row r="4" spans="1:10" x14ac:dyDescent="0.25">
      <c r="A4" s="190"/>
      <c r="B4" s="42" t="str">
        <f>A4&amp;"-"&amp;IF(DAY(Variables!$A$2)&lt;10,0,"")&amp;DAY(Variables!$A$2)</f>
        <v>-22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Runs'!$A$13:$A$99925,1,FALSE)</f>
        <v>#N/A</v>
      </c>
    </row>
    <row r="5" spans="1:10" x14ac:dyDescent="0.25">
      <c r="A5" s="190"/>
      <c r="B5" s="42" t="str">
        <f>A5&amp;"-"&amp;IF(DAY(Variables!$A$2)&lt;10,0,"")&amp;DAY(Variables!$A$2)</f>
        <v>-22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ref="I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Runs'!$A$13:$A$99925,1,FALSE)</f>
        <v>#N/A</v>
      </c>
    </row>
    <row r="6" spans="1:10" x14ac:dyDescent="0.25">
      <c r="A6" s="190"/>
      <c r="B6" s="42" t="str">
        <f>A6&amp;"-"&amp;IF(DAY(Variables!$A$2)&lt;10,0,"")&amp;DAY(Variables!$A$2)</f>
        <v>-22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Runs'!$A$13:$A$99925,1,FALSE)</f>
        <v>#N/A</v>
      </c>
    </row>
    <row r="7" spans="1:10" x14ac:dyDescent="0.25">
      <c r="A7" s="190"/>
      <c r="B7" s="42" t="str">
        <f>A7&amp;"-"&amp;IF(DAY(Variables!$A$2)&lt;10,0,"")&amp;DAY(Variables!$A$2)</f>
        <v>-22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Runs'!$A$13:$A$99925,1,FALSE)</f>
        <v>#N/A</v>
      </c>
    </row>
    <row r="8" spans="1:10" x14ac:dyDescent="0.25">
      <c r="A8" s="190"/>
      <c r="B8" s="42" t="str">
        <f>A8&amp;"-"&amp;IF(DAY(Variables!$A$2)&lt;10,0,"")&amp;DAY(Variables!$A$2)</f>
        <v>-22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Runs'!$A$13:$A$99925,1,FALSE)</f>
        <v>#N/A</v>
      </c>
    </row>
    <row r="9" spans="1:10" x14ac:dyDescent="0.25">
      <c r="A9" s="190"/>
      <c r="B9" s="42" t="str">
        <f>A9&amp;"-"&amp;IF(DAY(Variables!$A$2)&lt;10,0,"")&amp;DAY(Variables!$A$2)</f>
        <v>-22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Runs'!$A$13:$A$99925,1,FALSE)</f>
        <v>#N/A</v>
      </c>
    </row>
    <row r="10" spans="1:10" x14ac:dyDescent="0.25">
      <c r="A10" s="190"/>
      <c r="B10" s="42" t="str">
        <f>A10&amp;"-"&amp;IF(DAY(Variables!$A$2)&lt;10,0,"")&amp;DAY(Variables!$A$2)</f>
        <v>-22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Runs'!$A$13:$A$99925,1,FALSE)</f>
        <v>#N/A</v>
      </c>
    </row>
    <row r="11" spans="1:10" x14ac:dyDescent="0.25">
      <c r="A11" s="190"/>
      <c r="B11" s="42" t="str">
        <f>A11&amp;"-"&amp;IF(DAY(Variables!$A$2)&lt;10,0,"")&amp;DAY(Variables!$A$2)</f>
        <v>-22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Runs'!$A$13:$A$99925,1,FALSE)</f>
        <v>#N/A</v>
      </c>
    </row>
    <row r="12" spans="1:10" x14ac:dyDescent="0.25">
      <c r="A12" s="190"/>
      <c r="B12" s="42" t="str">
        <f>A12&amp;"-"&amp;IF(DAY(Variables!$A$2)&lt;10,0,"")&amp;DAY(Variables!$A$2)</f>
        <v>-22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Runs'!$A$13:$A$99925,1,FALSE)</f>
        <v>#N/A</v>
      </c>
    </row>
    <row r="13" spans="1:10" x14ac:dyDescent="0.25">
      <c r="A13" s="190"/>
      <c r="B13" s="42" t="str">
        <f>A13&amp;"-"&amp;IF(DAY(Variables!$A$2)&lt;10,0,"")&amp;DAY(Variables!$A$2)</f>
        <v>-22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Runs'!$A$13:$A$99925,1,FALSE)</f>
        <v>#N/A</v>
      </c>
    </row>
    <row r="14" spans="1:10" x14ac:dyDescent="0.25">
      <c r="A14" s="190"/>
      <c r="B14" s="42" t="str">
        <f>A14&amp;"-"&amp;IF(DAY(Variables!$A$2)&lt;10,0,"")&amp;DAY(Variables!$A$2)</f>
        <v>-22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Runs'!$A$13:$A$99925,1,FALSE)</f>
        <v>#N/A</v>
      </c>
    </row>
    <row r="15" spans="1:10" x14ac:dyDescent="0.25">
      <c r="A15" s="190"/>
      <c r="B15" s="42" t="str">
        <f>A15&amp;"-"&amp;IF(DAY(Variables!$A$2)&lt;10,0,"")&amp;DAY(Variables!$A$2)</f>
        <v>-22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Runs'!$A$13:$A$99925,1,FALSE)</f>
        <v>#N/A</v>
      </c>
    </row>
    <row r="16" spans="1:10" x14ac:dyDescent="0.25">
      <c r="A16" s="190"/>
      <c r="B16" s="42" t="str">
        <f>A16&amp;"-"&amp;IF(DAY(Variables!$A$2)&lt;10,0,"")&amp;DAY(Variables!$A$2)</f>
        <v>-22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Runs'!$A$13:$A$99925,1,FALSE)</f>
        <v>#N/A</v>
      </c>
    </row>
    <row r="17" spans="1:10" x14ac:dyDescent="0.25">
      <c r="A17" s="190"/>
      <c r="B17" s="42" t="str">
        <f>A17&amp;"-"&amp;IF(DAY(Variables!$A$2)&lt;10,0,"")&amp;DAY(Variables!$A$2)</f>
        <v>-22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Runs'!$A$13:$A$99925,1,FALSE)</f>
        <v>#N/A</v>
      </c>
    </row>
    <row r="18" spans="1:10" x14ac:dyDescent="0.25">
      <c r="A18" s="190"/>
      <c r="B18" s="42" t="str">
        <f>A18&amp;"-"&amp;IF(DAY(Variables!$A$2)&lt;10,0,"")&amp;DAY(Variables!$A$2)</f>
        <v>-22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Runs'!$A$13:$A$99925,1,FALSE)</f>
        <v>#N/A</v>
      </c>
    </row>
    <row r="19" spans="1:10" x14ac:dyDescent="0.25">
      <c r="A19" s="190"/>
      <c r="B19" s="42" t="str">
        <f>A19&amp;"-"&amp;IF(DAY(Variables!$A$2)&lt;10,0,"")&amp;DAY(Variables!$A$2)</f>
        <v>-22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Runs'!$A$13:$A$99925,1,FALSE)</f>
        <v>#N/A</v>
      </c>
    </row>
    <row r="20" spans="1:10" x14ac:dyDescent="0.25">
      <c r="A20" s="190"/>
      <c r="B20" s="42" t="str">
        <f>A20&amp;"-"&amp;IF(DAY(Variables!$A$2)&lt;10,0,"")&amp;DAY(Variables!$A$2)</f>
        <v>-22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Runs'!$A$13:$A$99925,1,FALSE)</f>
        <v>#N/A</v>
      </c>
    </row>
    <row r="21" spans="1:10" x14ac:dyDescent="0.25">
      <c r="A21" s="190"/>
      <c r="B21" s="42" t="str">
        <f>A21&amp;"-"&amp;IF(DAY(Variables!$A$2)&lt;10,0,"")&amp;DAY(Variables!$A$2)</f>
        <v>-22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Runs'!$A$13:$A$99925,1,FALSE)</f>
        <v>#N/A</v>
      </c>
    </row>
    <row r="22" spans="1:10" x14ac:dyDescent="0.25">
      <c r="A22" s="190"/>
      <c r="B22" s="42" t="str">
        <f>A22&amp;"-"&amp;IF(DAY(Variables!$A$2)&lt;10,0,"")&amp;DAY(Variables!$A$2)</f>
        <v>-22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Runs'!$A$13:$A$99925,1,FALSE)</f>
        <v>#N/A</v>
      </c>
    </row>
    <row r="23" spans="1:10" x14ac:dyDescent="0.25">
      <c r="A23" s="190"/>
      <c r="B23" s="42" t="str">
        <f>A23&amp;"-"&amp;IF(DAY(Variables!$A$2)&lt;10,0,"")&amp;DAY(Variables!$A$2)</f>
        <v>-22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Runs'!$A$13:$A$99925,1,FALSE)</f>
        <v>#N/A</v>
      </c>
    </row>
    <row r="24" spans="1:10" x14ac:dyDescent="0.25">
      <c r="A24" s="190"/>
      <c r="B24" s="42" t="str">
        <f>A24&amp;"-"&amp;IF(DAY(Variables!$A$2)&lt;10,0,"")&amp;DAY(Variables!$A$2)</f>
        <v>-22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Runs'!$A$13:$A$99925,1,FALSE)</f>
        <v>#N/A</v>
      </c>
    </row>
    <row r="25" spans="1:10" x14ac:dyDescent="0.25">
      <c r="A25" s="190"/>
      <c r="B25" s="42" t="str">
        <f>A25&amp;"-"&amp;IF(DAY(Variables!$A$2)&lt;10,0,"")&amp;DAY(Variables!$A$2)</f>
        <v>-22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Runs'!$A$13:$A$99925,1,FALSE)</f>
        <v>#N/A</v>
      </c>
    </row>
    <row r="26" spans="1:10" x14ac:dyDescent="0.25">
      <c r="A26" s="190"/>
      <c r="B26" s="42" t="str">
        <f>A26&amp;"-"&amp;IF(DAY(Variables!$A$2)&lt;10,0,"")&amp;DAY(Variables!$A$2)</f>
        <v>-22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Runs'!$A$13:$A$99925,1,FALSE)</f>
        <v>#N/A</v>
      </c>
    </row>
    <row r="27" spans="1:10" x14ac:dyDescent="0.25">
      <c r="A27" s="190"/>
      <c r="B27" s="42" t="str">
        <f>A27&amp;"-"&amp;IF(DAY(Variables!$A$2)&lt;10,0,"")&amp;DAY(Variables!$A$2)</f>
        <v>-22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Runs'!$A$13:$A$99925,1,FALSE)</f>
        <v>#N/A</v>
      </c>
    </row>
    <row r="28" spans="1:10" x14ac:dyDescent="0.25">
      <c r="A28" s="190"/>
      <c r="B28" s="42" t="str">
        <f>A28&amp;"-"&amp;IF(DAY(Variables!$A$2)&lt;10,0,"")&amp;DAY(Variables!$A$2)</f>
        <v>-22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Runs'!$A$13:$A$99925,1,FALSE)</f>
        <v>#N/A</v>
      </c>
    </row>
    <row r="29" spans="1:10" x14ac:dyDescent="0.25">
      <c r="A29" s="190"/>
      <c r="B29" s="42" t="str">
        <f>A29&amp;"-"&amp;IF(DAY(Variables!$A$2)&lt;10,0,"")&amp;DAY(Variables!$A$2)</f>
        <v>-22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Runs'!$A$13:$A$99925,1,FALSE)</f>
        <v>#N/A</v>
      </c>
    </row>
    <row r="30" spans="1:10" x14ac:dyDescent="0.25">
      <c r="A30" s="190"/>
      <c r="B30" s="42" t="str">
        <f>A30&amp;"-"&amp;IF(DAY(Variables!$A$2)&lt;10,0,"")&amp;DAY(Variables!$A$2)</f>
        <v>-22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Runs'!$A$13:$A$99925,1,FALSE)</f>
        <v>#N/A</v>
      </c>
    </row>
    <row r="31" spans="1:10" x14ac:dyDescent="0.25">
      <c r="A31" s="190"/>
      <c r="B31" s="42" t="str">
        <f>A31&amp;"-"&amp;IF(DAY(Variables!$A$2)&lt;10,0,"")&amp;DAY(Variables!$A$2)</f>
        <v>-22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0" t="e">
        <f>VLOOKUP(B31,'Train Runs'!$A$13:$A$99925,1,FALSE)</f>
        <v>#N/A</v>
      </c>
    </row>
    <row r="32" spans="1:10" x14ac:dyDescent="0.25">
      <c r="A32" s="190"/>
      <c r="B32" s="42" t="str">
        <f>A32&amp;"-"&amp;IF(DAY(Variables!$A$2)&lt;10,0,"")&amp;DAY(Variables!$A$2)</f>
        <v>-22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0" t="e">
        <f>VLOOKUP(B32,'Train Runs'!$A$13:$A$99925,1,FALSE)</f>
        <v>#N/A</v>
      </c>
    </row>
    <row r="33" spans="1:10" x14ac:dyDescent="0.25">
      <c r="A33" s="190"/>
      <c r="B33" s="42" t="str">
        <f>A33&amp;"-"&amp;IF(DAY(Variables!$A$2)&lt;10,0,"")&amp;DAY(Variables!$A$2)</f>
        <v>-22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0" t="e">
        <f>VLOOKUP(B33,'Train Runs'!$A$13:$A$99925,1,FALSE)</f>
        <v>#N/A</v>
      </c>
    </row>
    <row r="34" spans="1:10" x14ac:dyDescent="0.25">
      <c r="A34" s="190"/>
      <c r="B34" s="42" t="str">
        <f>A34&amp;"-"&amp;IF(DAY(Variables!$A$2)&lt;10,0,"")&amp;DAY(Variables!$A$2)</f>
        <v>-22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0" t="e">
        <f>VLOOKUP(B34,'Train Runs'!$A$13:$A$99925,1,FALSE)</f>
        <v>#N/A</v>
      </c>
    </row>
    <row r="35" spans="1:10" x14ac:dyDescent="0.25">
      <c r="A35" s="190"/>
      <c r="B35" s="42" t="str">
        <f>A35&amp;"-"&amp;IF(DAY(Variables!$A$2)&lt;10,0,"")&amp;DAY(Variables!$A$2)</f>
        <v>-22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0" t="e">
        <f>VLOOKUP(B35,'Train Runs'!$A$13:$A$99925,1,FALSE)</f>
        <v>#N/A</v>
      </c>
    </row>
    <row r="36" spans="1:10" x14ac:dyDescent="0.25">
      <c r="A36" s="190"/>
      <c r="B36" s="42" t="str">
        <f>A36&amp;"-"&amp;IF(DAY(Variables!$A$2)&lt;10,0,"")&amp;DAY(Variables!$A$2)</f>
        <v>-22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0" t="e">
        <f>VLOOKUP(B36,'Train Runs'!$A$13:$A$99925,1,FALSE)</f>
        <v>#N/A</v>
      </c>
    </row>
    <row r="37" spans="1:10" x14ac:dyDescent="0.25">
      <c r="A37" s="190"/>
      <c r="B37" s="42" t="str">
        <f>A37&amp;"-"&amp;IF(DAY(Variables!$A$2)&lt;10,0,"")&amp;DAY(Variables!$A$2)</f>
        <v>-22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0" t="e">
        <f>VLOOKUP(B37,'Train Runs'!$A$13:$A$99925,1,FALSE)</f>
        <v>#N/A</v>
      </c>
    </row>
    <row r="38" spans="1:10" x14ac:dyDescent="0.25">
      <c r="A38" s="190"/>
      <c r="B38" s="42" t="str">
        <f>A38&amp;"-"&amp;IF(DAY(Variables!$A$2)&lt;10,0,"")&amp;DAY(Variables!$A$2)</f>
        <v>-22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0" t="e">
        <f>VLOOKUP(B38,'Train Runs'!$A$13:$A$99925,1,FALSE)</f>
        <v>#N/A</v>
      </c>
    </row>
    <row r="39" spans="1:10" x14ac:dyDescent="0.25">
      <c r="A39" s="190"/>
      <c r="B39" s="42" t="str">
        <f>A39&amp;"-"&amp;IF(DAY(Variables!$A$2)&lt;10,0,"")&amp;DAY(Variables!$A$2)</f>
        <v>-22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0" t="e">
        <f>VLOOKUP(B39,'Train Runs'!$A$13:$A$99925,1,FALSE)</f>
        <v>#N/A</v>
      </c>
    </row>
    <row r="40" spans="1:10" x14ac:dyDescent="0.25">
      <c r="A40" s="190"/>
      <c r="B40" s="42" t="str">
        <f>A40&amp;"-"&amp;IF(DAY(Variables!$A$2)&lt;10,0,"")&amp;DAY(Variables!$A$2)</f>
        <v>-22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0" t="e">
        <f>VLOOKUP(B40,'Train Runs'!$A$13:$A$99925,1,FALSE)</f>
        <v>#N/A</v>
      </c>
    </row>
    <row r="41" spans="1:10" x14ac:dyDescent="0.25">
      <c r="A41" s="190"/>
      <c r="B41" s="42" t="str">
        <f>A41&amp;"-"&amp;IF(DAY(Variables!$A$2)&lt;10,0,"")&amp;DAY(Variables!$A$2)</f>
        <v>-22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0" t="e">
        <f>VLOOKUP(B41,'Train Runs'!$A$13:$A$99925,1,FALSE)</f>
        <v>#N/A</v>
      </c>
    </row>
    <row r="42" spans="1:10" x14ac:dyDescent="0.25">
      <c r="A42" s="190"/>
      <c r="B42" s="42" t="str">
        <f>A42&amp;"-"&amp;IF(DAY(Variables!$A$2)&lt;10,0,"")&amp;DAY(Variables!$A$2)</f>
        <v>-22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0" t="e">
        <f>VLOOKUP(B42,'Train Runs'!$A$13:$A$99925,1,FALSE)</f>
        <v>#N/A</v>
      </c>
    </row>
    <row r="43" spans="1:10" x14ac:dyDescent="0.25">
      <c r="A43" s="190"/>
      <c r="B43" s="42" t="str">
        <f>A43&amp;"-"&amp;IF(DAY(Variables!$A$2)&lt;10,0,"")&amp;DAY(Variables!$A$2)</f>
        <v>-22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0" t="e">
        <f>VLOOKUP(B43,'Train Runs'!$A$13:$A$99925,1,FALSE)</f>
        <v>#N/A</v>
      </c>
    </row>
    <row r="44" spans="1:10" x14ac:dyDescent="0.25">
      <c r="A44" s="190"/>
      <c r="B44" s="42" t="str">
        <f>A44&amp;"-"&amp;IF(DAY(Variables!$A$2)&lt;10,0,"")&amp;DAY(Variables!$A$2)</f>
        <v>-22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0" t="e">
        <f>VLOOKUP(B44,'Train Runs'!$A$13:$A$99925,1,FALSE)</f>
        <v>#N/A</v>
      </c>
    </row>
    <row r="45" spans="1:10" x14ac:dyDescent="0.25">
      <c r="A45" s="190"/>
      <c r="B45" s="42" t="str">
        <f>A45&amp;"-"&amp;IF(DAY(Variables!$A$2)&lt;10,0,"")&amp;DAY(Variables!$A$2)</f>
        <v>-22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0" t="e">
        <f>VLOOKUP(B45,'Train Runs'!$A$13:$A$99925,1,FALSE)</f>
        <v>#N/A</v>
      </c>
    </row>
    <row r="46" spans="1:10" x14ac:dyDescent="0.25">
      <c r="A46" s="190"/>
      <c r="B46" s="42" t="str">
        <f>A46&amp;"-"&amp;IF(DAY(Variables!$A$2)&lt;10,0,"")&amp;DAY(Variables!$A$2)</f>
        <v>-22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0" t="e">
        <f>VLOOKUP(B46,'Train Runs'!$A$13:$A$99925,1,FALSE)</f>
        <v>#N/A</v>
      </c>
    </row>
    <row r="47" spans="1:10" x14ac:dyDescent="0.25">
      <c r="A47" s="190"/>
      <c r="B47" s="42" t="str">
        <f>A47&amp;"-"&amp;IF(DAY(Variables!$A$2)&lt;10,0,"")&amp;DAY(Variables!$A$2)</f>
        <v>-22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ref="I47:I6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0" t="e">
        <f>VLOOKUP(B47,'Train Runs'!$A$13:$A$99925,1,FALSE)</f>
        <v>#N/A</v>
      </c>
    </row>
    <row r="48" spans="1:10" x14ac:dyDescent="0.25">
      <c r="A48" s="190"/>
      <c r="B48" s="42" t="str">
        <f>A48&amp;"-"&amp;IF(DAY(Variables!$A$2)&lt;10,0,"")&amp;DAY(Variables!$A$2)</f>
        <v>-22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0" t="e">
        <f>VLOOKUP(B48,'Train Runs'!$A$13:$A$99925,1,FALSE)</f>
        <v>#N/A</v>
      </c>
    </row>
    <row r="49" spans="1:10" x14ac:dyDescent="0.25">
      <c r="A49" s="190"/>
      <c r="B49" s="42" t="str">
        <f>A49&amp;"-"&amp;IF(DAY(Variables!$A$2)&lt;10,0,"")&amp;DAY(Variables!$A$2)</f>
        <v>-22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0" t="e">
        <f>VLOOKUP(B49,'Train Runs'!$A$13:$A$99925,1,FALSE)</f>
        <v>#N/A</v>
      </c>
    </row>
    <row r="50" spans="1:10" x14ac:dyDescent="0.25">
      <c r="A50" s="190"/>
      <c r="B50" s="42" t="str">
        <f>A50&amp;"-"&amp;IF(DAY(Variables!$A$2)&lt;10,0,"")&amp;DAY(Variables!$A$2)</f>
        <v>-22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0" t="e">
        <f>VLOOKUP(B50,'Train Runs'!$A$13:$A$99925,1,FALSE)</f>
        <v>#N/A</v>
      </c>
    </row>
    <row r="51" spans="1:10" x14ac:dyDescent="0.25">
      <c r="A51" s="190"/>
      <c r="B51" s="42" t="str">
        <f>A51&amp;"-"&amp;IF(DAY(Variables!$A$2)&lt;10,0,"")&amp;DAY(Variables!$A$2)</f>
        <v>-22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0" t="e">
        <f>VLOOKUP(B51,'Train Runs'!$A$13:$A$99925,1,FALSE)</f>
        <v>#N/A</v>
      </c>
    </row>
    <row r="52" spans="1:10" x14ac:dyDescent="0.25">
      <c r="A52" s="190"/>
      <c r="B52" s="42" t="str">
        <f>A52&amp;"-"&amp;IF(DAY(Variables!$A$2)&lt;10,0,"")&amp;DAY(Variables!$A$2)</f>
        <v>-22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0" t="e">
        <f>VLOOKUP(B52,'Train Runs'!$A$13:$A$99925,1,FALSE)</f>
        <v>#N/A</v>
      </c>
    </row>
    <row r="53" spans="1:10" x14ac:dyDescent="0.25">
      <c r="A53" s="190"/>
      <c r="B53" s="42" t="str">
        <f>A53&amp;"-"&amp;IF(DAY(Variables!$A$2)&lt;10,0,"")&amp;DAY(Variables!$A$2)</f>
        <v>-22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0" t="e">
        <f>VLOOKUP(B53,'Train Runs'!$A$13:$A$99925,1,FALSE)</f>
        <v>#N/A</v>
      </c>
    </row>
    <row r="54" spans="1:10" x14ac:dyDescent="0.25">
      <c r="A54" s="190"/>
      <c r="B54" s="42" t="str">
        <f>A54&amp;"-"&amp;IF(DAY(Variables!$A$2)&lt;10,0,"")&amp;DAY(Variables!$A$2)</f>
        <v>-22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0" t="e">
        <f>VLOOKUP(B54,'Train Runs'!$A$13:$A$99925,1,FALSE)</f>
        <v>#N/A</v>
      </c>
    </row>
    <row r="55" spans="1:10" x14ac:dyDescent="0.25">
      <c r="A55" s="190"/>
      <c r="B55" s="42" t="str">
        <f>A55&amp;"-"&amp;IF(DAY(Variables!$A$2)&lt;10,0,"")&amp;DAY(Variables!$A$2)</f>
        <v>-22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0" t="e">
        <f>VLOOKUP(B55,'Train Runs'!$A$13:$A$99925,1,FALSE)</f>
        <v>#N/A</v>
      </c>
    </row>
    <row r="56" spans="1:10" x14ac:dyDescent="0.25">
      <c r="A56" s="190"/>
      <c r="B56" s="42" t="str">
        <f>A56&amp;"-"&amp;IF(DAY(Variables!$A$2)&lt;10,0,"")&amp;DAY(Variables!$A$2)</f>
        <v>-22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0" t="e">
        <f>VLOOKUP(B56,'Train Runs'!$A$13:$A$99925,1,FALSE)</f>
        <v>#N/A</v>
      </c>
    </row>
    <row r="57" spans="1:10" x14ac:dyDescent="0.25">
      <c r="A57" s="190"/>
      <c r="B57" s="42" t="str">
        <f>A57&amp;"-"&amp;IF(DAY(Variables!$A$2)&lt;10,0,"")&amp;DAY(Variables!$A$2)</f>
        <v>-22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0" t="e">
        <f>VLOOKUP(B57,'Train Runs'!$A$13:$A$99925,1,FALSE)</f>
        <v>#N/A</v>
      </c>
    </row>
    <row r="58" spans="1:10" x14ac:dyDescent="0.25">
      <c r="A58" s="190"/>
      <c r="B58" s="42" t="str">
        <f>A58&amp;"-"&amp;IF(DAY(Variables!$A$2)&lt;10,0,"")&amp;DAY(Variables!$A$2)</f>
        <v>-22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0" t="e">
        <f>VLOOKUP(B58,'Train Runs'!$A$13:$A$99925,1,FALSE)</f>
        <v>#N/A</v>
      </c>
    </row>
    <row r="59" spans="1:10" x14ac:dyDescent="0.25">
      <c r="A59" s="190"/>
      <c r="B59" s="42" t="str">
        <f>A59&amp;"-"&amp;IF(DAY(Variables!$A$2)&lt;10,0,"")&amp;DAY(Variables!$A$2)</f>
        <v>-22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0" t="e">
        <f>VLOOKUP(B59,'Train Runs'!$A$13:$A$99925,1,FALSE)</f>
        <v>#N/A</v>
      </c>
    </row>
    <row r="60" spans="1:10" x14ac:dyDescent="0.25">
      <c r="A60" s="190"/>
      <c r="B60" s="42" t="str">
        <f>A60&amp;"-"&amp;IF(DAY(Variables!$A$2)&lt;10,0,"")&amp;DAY(Variables!$A$2)</f>
        <v>-22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0" t="e">
        <f>VLOOKUP(B60,'Train Runs'!$A$13:$A$99925,1,FALSE)</f>
        <v>#N/A</v>
      </c>
    </row>
    <row r="61" spans="1:10" x14ac:dyDescent="0.25">
      <c r="A61" s="190"/>
      <c r="B61" s="42" t="str">
        <f>A61&amp;"-"&amp;IF(DAY(Variables!$A$2)&lt;10,0,"")&amp;DAY(Variables!$A$2)</f>
        <v>-22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0" t="e">
        <f>VLOOKUP(B61,'Train Runs'!$A$13:$A$99925,1,FALSE)</f>
        <v>#N/A</v>
      </c>
    </row>
    <row r="62" spans="1:10" x14ac:dyDescent="0.25">
      <c r="A62" s="190"/>
      <c r="B62" s="42" t="str">
        <f>A62&amp;"-"&amp;IF(DAY(Variables!$A$2)&lt;10,0,"")&amp;DAY(Variables!$A$2)</f>
        <v>-22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0" t="e">
        <f>VLOOKUP(B62,'Train Runs'!$A$13:$A$99925,1,FALSE)</f>
        <v>#N/A</v>
      </c>
    </row>
    <row r="63" spans="1:10" x14ac:dyDescent="0.25">
      <c r="A63" s="190"/>
      <c r="B63" s="42" t="str">
        <f>A63&amp;"-"&amp;IF(DAY(Variables!$A$2)&lt;10,0,"")&amp;DAY(Variables!$A$2)</f>
        <v>-22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0" t="e">
        <f>VLOOKUP(B63,'Train Runs'!$A$13:$A$99925,1,FALSE)</f>
        <v>#N/A</v>
      </c>
    </row>
    <row r="64" spans="1:10" x14ac:dyDescent="0.25">
      <c r="A64" s="190"/>
      <c r="B64" s="42" t="str">
        <f>A64&amp;"-"&amp;IF(DAY(Variables!$A$2)&lt;10,0,"")&amp;DAY(Variables!$A$2)</f>
        <v>-22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0" t="e">
        <f>VLOOKUP(B64,'Train Runs'!$A$13:$A$99925,1,FALSE)</f>
        <v>#N/A</v>
      </c>
    </row>
    <row r="65" spans="1:10" x14ac:dyDescent="0.25">
      <c r="A65" s="190"/>
      <c r="B65" s="42" t="str">
        <f>A65&amp;"-"&amp;IF(DAY(Variables!$A$2)&lt;10,0,"")&amp;DAY(Variables!$A$2)</f>
        <v>-22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0" t="e">
        <f>VLOOKUP(B65,'Train Runs'!$A$13:$A$99925,1,FALSE)</f>
        <v>#N/A</v>
      </c>
    </row>
    <row r="66" spans="1:10" x14ac:dyDescent="0.25">
      <c r="A66" s="190"/>
      <c r="B66" s="42" t="str">
        <f>A66&amp;"-"&amp;IF(DAY(Variables!$A$2)&lt;10,0,"")&amp;DAY(Variables!$A$2)</f>
        <v>-22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0" t="e">
        <f>VLOOKUP(B66,'Train Runs'!$A$13:$A$99925,1,FALSE)</f>
        <v>#N/A</v>
      </c>
    </row>
    <row r="67" spans="1:10" x14ac:dyDescent="0.25">
      <c r="A67" s="190"/>
      <c r="B67" s="42" t="str">
        <f>A67&amp;"-"&amp;IF(DAY(Variables!$A$2)&lt;10,0,"")&amp;DAY(Variables!$A$2)</f>
        <v>-22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0" t="e">
        <f>VLOOKUP(B67,'Train Runs'!$A$13:$A$99925,1,FALSE)</f>
        <v>#N/A</v>
      </c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</sheetData>
  <autoFilter ref="A2:J7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42877.031261574077</v>
      </c>
      <c r="B2" s="20" t="s">
        <v>383</v>
      </c>
      <c r="C2" s="20" t="s">
        <v>514</v>
      </c>
      <c r="D2" s="141">
        <v>2620000</v>
      </c>
      <c r="E2" s="20" t="s">
        <v>480</v>
      </c>
      <c r="F2" s="20" t="s">
        <v>481</v>
      </c>
      <c r="G2" s="8" t="str">
        <f>E2&amp;" "&amp;F2</f>
        <v>PERKINS DARREN</v>
      </c>
    </row>
    <row r="3" spans="1:7" x14ac:dyDescent="0.25">
      <c r="A3" s="8">
        <v>42877.04855324074</v>
      </c>
      <c r="B3" s="20" t="s">
        <v>412</v>
      </c>
      <c r="C3" s="20" t="s">
        <v>515</v>
      </c>
      <c r="D3" s="141">
        <v>2230000</v>
      </c>
      <c r="E3" s="20" t="s">
        <v>346</v>
      </c>
      <c r="F3" s="20" t="s">
        <v>196</v>
      </c>
      <c r="G3" s="8" t="str">
        <f t="shared" ref="G3:G66" si="0">E3&amp;" "&amp;F3</f>
        <v>SMITH MICHAEL</v>
      </c>
    </row>
    <row r="4" spans="1:7" x14ac:dyDescent="0.25">
      <c r="A4" s="8">
        <v>42877.059270833335</v>
      </c>
      <c r="B4" s="20" t="s">
        <v>495</v>
      </c>
      <c r="C4" s="20" t="s">
        <v>516</v>
      </c>
      <c r="D4" s="141">
        <v>2610000</v>
      </c>
      <c r="E4" s="20" t="s">
        <v>512</v>
      </c>
      <c r="F4" s="20" t="s">
        <v>513</v>
      </c>
      <c r="G4" s="8" t="str">
        <f t="shared" si="0"/>
        <v>MAGEE KENYA</v>
      </c>
    </row>
    <row r="5" spans="1:7" x14ac:dyDescent="0.25">
      <c r="A5" s="8">
        <v>42877.06894675926</v>
      </c>
      <c r="B5" s="20" t="s">
        <v>386</v>
      </c>
      <c r="C5" s="20" t="s">
        <v>517</v>
      </c>
      <c r="D5" s="141">
        <v>2620000</v>
      </c>
      <c r="E5" s="20" t="s">
        <v>480</v>
      </c>
      <c r="F5" s="20" t="s">
        <v>481</v>
      </c>
      <c r="G5" s="8" t="str">
        <f t="shared" si="0"/>
        <v>PERKINS DARREN</v>
      </c>
    </row>
    <row r="6" spans="1:7" x14ac:dyDescent="0.25">
      <c r="A6" s="8">
        <v>42877.090266203704</v>
      </c>
      <c r="B6" s="20" t="s">
        <v>367</v>
      </c>
      <c r="C6" s="20" t="s">
        <v>518</v>
      </c>
      <c r="D6" s="141">
        <v>2610000</v>
      </c>
      <c r="E6" s="20" t="s">
        <v>512</v>
      </c>
      <c r="F6" s="20" t="s">
        <v>513</v>
      </c>
      <c r="G6" s="8" t="str">
        <f t="shared" si="0"/>
        <v>MAGEE KENYA</v>
      </c>
    </row>
    <row r="7" spans="1:7" x14ac:dyDescent="0.25">
      <c r="A7" s="8">
        <v>42877.115532407406</v>
      </c>
      <c r="B7" s="20" t="s">
        <v>377</v>
      </c>
      <c r="C7" s="20" t="s">
        <v>621</v>
      </c>
      <c r="D7" s="141">
        <v>2010000</v>
      </c>
      <c r="E7" s="20" t="s">
        <v>497</v>
      </c>
      <c r="F7" s="20" t="s">
        <v>498</v>
      </c>
      <c r="G7" s="8" t="str">
        <f t="shared" si="0"/>
        <v>MAELZER KURT</v>
      </c>
    </row>
    <row r="8" spans="1:7" x14ac:dyDescent="0.25">
      <c r="A8" s="8">
        <v>42877.116747685184</v>
      </c>
      <c r="B8" s="20" t="s">
        <v>377</v>
      </c>
      <c r="C8" s="20" t="s">
        <v>621</v>
      </c>
      <c r="D8" s="141">
        <v>2010000</v>
      </c>
      <c r="E8" s="20" t="s">
        <v>497</v>
      </c>
      <c r="F8" s="20" t="s">
        <v>498</v>
      </c>
      <c r="G8" s="8" t="str">
        <f t="shared" si="0"/>
        <v>MAELZER KURT</v>
      </c>
    </row>
    <row r="9" spans="1:7" ht="15.75" thickBot="1" x14ac:dyDescent="0.3">
      <c r="A9" s="24">
        <v>42877.128194444442</v>
      </c>
      <c r="B9" s="20" t="s">
        <v>345</v>
      </c>
      <c r="C9" s="20" t="s">
        <v>622</v>
      </c>
      <c r="D9" s="141">
        <v>1520000</v>
      </c>
      <c r="E9" s="20" t="s">
        <v>623</v>
      </c>
      <c r="F9" s="20" t="s">
        <v>624</v>
      </c>
      <c r="G9" s="8" t="str">
        <f t="shared" si="0"/>
        <v>MAYBERRY BILL</v>
      </c>
    </row>
    <row r="10" spans="1:7" x14ac:dyDescent="0.25">
      <c r="A10" s="8">
        <v>42877.129803240743</v>
      </c>
      <c r="B10" s="20" t="s">
        <v>574</v>
      </c>
      <c r="C10" s="20" t="s">
        <v>625</v>
      </c>
      <c r="D10" s="141">
        <v>2010000</v>
      </c>
      <c r="E10" s="20" t="s">
        <v>497</v>
      </c>
      <c r="F10" s="20" t="s">
        <v>498</v>
      </c>
      <c r="G10" s="8" t="str">
        <f t="shared" si="0"/>
        <v>MAELZER KURT</v>
      </c>
    </row>
    <row r="11" spans="1:7" x14ac:dyDescent="0.25">
      <c r="A11" s="8">
        <v>42877.136608796296</v>
      </c>
      <c r="B11" s="20" t="s">
        <v>591</v>
      </c>
      <c r="C11" s="20" t="s">
        <v>626</v>
      </c>
      <c r="D11" s="141">
        <v>940000</v>
      </c>
      <c r="E11" s="20" t="s">
        <v>627</v>
      </c>
      <c r="F11" s="20" t="s">
        <v>628</v>
      </c>
      <c r="G11" s="8" t="str">
        <f t="shared" si="0"/>
        <v>BONDS REYNALDO</v>
      </c>
    </row>
    <row r="12" spans="1:7" x14ac:dyDescent="0.25">
      <c r="A12" s="8">
        <v>42877.140370370369</v>
      </c>
      <c r="B12" s="20" t="s">
        <v>377</v>
      </c>
      <c r="C12" s="20" t="s">
        <v>622</v>
      </c>
      <c r="D12" s="141">
        <v>1520000</v>
      </c>
      <c r="E12" s="20" t="s">
        <v>623</v>
      </c>
      <c r="F12" s="20" t="s">
        <v>624</v>
      </c>
      <c r="G12" s="8" t="str">
        <f t="shared" si="0"/>
        <v>MAYBERRY BILL</v>
      </c>
    </row>
    <row r="13" spans="1:7" x14ac:dyDescent="0.25">
      <c r="A13" s="8">
        <v>42877.150555555556</v>
      </c>
      <c r="B13" s="20" t="s">
        <v>585</v>
      </c>
      <c r="C13" s="20" t="s">
        <v>629</v>
      </c>
      <c r="D13" s="141">
        <v>940000</v>
      </c>
      <c r="E13" s="20" t="s">
        <v>627</v>
      </c>
      <c r="F13" s="20" t="s">
        <v>628</v>
      </c>
      <c r="G13" s="8" t="str">
        <f t="shared" si="0"/>
        <v>BONDS REYNALDO</v>
      </c>
    </row>
    <row r="14" spans="1:7" x14ac:dyDescent="0.25">
      <c r="A14" s="8">
        <v>42877.152141203704</v>
      </c>
      <c r="B14" s="20" t="s">
        <v>585</v>
      </c>
      <c r="C14" s="20" t="s">
        <v>629</v>
      </c>
      <c r="D14" s="141">
        <v>940000</v>
      </c>
      <c r="E14" s="20" t="s">
        <v>627</v>
      </c>
      <c r="F14" s="20" t="s">
        <v>628</v>
      </c>
      <c r="G14" s="8" t="str">
        <f t="shared" si="0"/>
        <v>BONDS REYNALDO</v>
      </c>
    </row>
    <row r="15" spans="1:7" x14ac:dyDescent="0.25">
      <c r="A15" s="8">
        <v>42877.161550925928</v>
      </c>
      <c r="B15" s="20" t="s">
        <v>509</v>
      </c>
      <c r="C15" s="20" t="s">
        <v>630</v>
      </c>
      <c r="D15" s="141">
        <v>1110000</v>
      </c>
      <c r="E15" s="20" t="s">
        <v>631</v>
      </c>
      <c r="F15" s="20" t="s">
        <v>632</v>
      </c>
      <c r="G15" s="8" t="str">
        <f t="shared" si="0"/>
        <v>STARKS ANGELINA</v>
      </c>
    </row>
    <row r="16" spans="1:7" x14ac:dyDescent="0.25">
      <c r="A16" s="8">
        <v>42877.167222222219</v>
      </c>
      <c r="B16" s="20" t="s">
        <v>582</v>
      </c>
      <c r="C16" s="20" t="s">
        <v>633</v>
      </c>
      <c r="D16" s="141">
        <v>2010000</v>
      </c>
      <c r="E16" s="20" t="s">
        <v>497</v>
      </c>
      <c r="F16" s="20" t="s">
        <v>498</v>
      </c>
      <c r="G16" s="8" t="str">
        <f t="shared" si="0"/>
        <v>MAELZER KURT</v>
      </c>
    </row>
    <row r="17" spans="1:7" x14ac:dyDescent="0.25">
      <c r="A17" s="8">
        <v>42877.172152777777</v>
      </c>
      <c r="B17" s="20" t="s">
        <v>382</v>
      </c>
      <c r="C17" s="20" t="s">
        <v>634</v>
      </c>
      <c r="D17" s="141">
        <v>2530000</v>
      </c>
      <c r="E17" s="20" t="s">
        <v>476</v>
      </c>
      <c r="F17" s="20" t="s">
        <v>477</v>
      </c>
      <c r="G17" s="8" t="str">
        <f t="shared" si="0"/>
        <v>LALONDE GREGORY</v>
      </c>
    </row>
    <row r="18" spans="1:7" x14ac:dyDescent="0.25">
      <c r="A18" s="8">
        <v>42877.175219907411</v>
      </c>
      <c r="B18" s="20" t="s">
        <v>508</v>
      </c>
      <c r="C18" s="20" t="s">
        <v>635</v>
      </c>
      <c r="D18" s="141">
        <v>1110000</v>
      </c>
      <c r="E18" s="20" t="s">
        <v>631</v>
      </c>
      <c r="F18" s="20" t="s">
        <v>632</v>
      </c>
      <c r="G18" s="8" t="str">
        <f t="shared" si="0"/>
        <v>STARKS ANGELINA</v>
      </c>
    </row>
    <row r="19" spans="1:7" x14ac:dyDescent="0.25">
      <c r="A19" s="8">
        <v>42877.177118055559</v>
      </c>
      <c r="B19" s="20" t="s">
        <v>588</v>
      </c>
      <c r="C19" s="20" t="s">
        <v>636</v>
      </c>
      <c r="D19" s="141">
        <v>3040000</v>
      </c>
      <c r="E19" s="20" t="s">
        <v>396</v>
      </c>
      <c r="F19" s="20" t="s">
        <v>397</v>
      </c>
      <c r="G19" s="8" t="str">
        <f t="shared" si="0"/>
        <v>WILLIAMS DONTE</v>
      </c>
    </row>
    <row r="20" spans="1:7" x14ac:dyDescent="0.25">
      <c r="A20" s="8">
        <v>42877.178912037038</v>
      </c>
      <c r="B20" s="20" t="s">
        <v>588</v>
      </c>
      <c r="C20" s="20" t="s">
        <v>636</v>
      </c>
      <c r="D20" s="141">
        <v>3040000</v>
      </c>
      <c r="E20" s="20" t="s">
        <v>396</v>
      </c>
      <c r="F20" s="20" t="s">
        <v>397</v>
      </c>
      <c r="G20" s="8" t="str">
        <f t="shared" si="0"/>
        <v>WILLIAMS DONTE</v>
      </c>
    </row>
    <row r="21" spans="1:7" x14ac:dyDescent="0.25">
      <c r="A21" s="8">
        <v>42877.180300925924</v>
      </c>
      <c r="B21" s="20" t="s">
        <v>588</v>
      </c>
      <c r="C21" s="20" t="s">
        <v>636</v>
      </c>
      <c r="D21" s="141">
        <v>3040000</v>
      </c>
      <c r="E21" s="20" t="s">
        <v>396</v>
      </c>
      <c r="F21" s="20" t="s">
        <v>397</v>
      </c>
      <c r="G21" s="8" t="str">
        <f t="shared" si="0"/>
        <v>WILLIAMS DONTE</v>
      </c>
    </row>
    <row r="22" spans="1:7" x14ac:dyDescent="0.25">
      <c r="A22" s="26">
        <v>42877.184988425928</v>
      </c>
      <c r="B22" s="20" t="s">
        <v>388</v>
      </c>
      <c r="C22" s="20" t="s">
        <v>637</v>
      </c>
      <c r="D22" s="141">
        <v>1810000</v>
      </c>
      <c r="E22" s="20" t="s">
        <v>379</v>
      </c>
      <c r="F22" s="20" t="s">
        <v>193</v>
      </c>
      <c r="G22" s="8" t="str">
        <f t="shared" si="0"/>
        <v>NEWELL JAMES</v>
      </c>
    </row>
    <row r="23" spans="1:7" x14ac:dyDescent="0.25">
      <c r="A23" s="8">
        <v>42877.19321759259</v>
      </c>
      <c r="B23" s="20" t="s">
        <v>591</v>
      </c>
      <c r="C23" s="20" t="s">
        <v>638</v>
      </c>
      <c r="D23" s="141">
        <v>940000</v>
      </c>
      <c r="E23" s="20" t="s">
        <v>627</v>
      </c>
      <c r="F23" s="20" t="s">
        <v>628</v>
      </c>
      <c r="G23" s="8" t="str">
        <f t="shared" si="0"/>
        <v>BONDS REYNALDO</v>
      </c>
    </row>
    <row r="24" spans="1:7" x14ac:dyDescent="0.25">
      <c r="A24" s="8">
        <v>42877.193576388891</v>
      </c>
      <c r="B24" s="20" t="s">
        <v>475</v>
      </c>
      <c r="C24" s="20" t="s">
        <v>639</v>
      </c>
      <c r="D24" s="141">
        <v>3040000</v>
      </c>
      <c r="E24" s="20" t="s">
        <v>396</v>
      </c>
      <c r="F24" s="20" t="s">
        <v>397</v>
      </c>
      <c r="G24" s="8" t="str">
        <f t="shared" si="0"/>
        <v>WILLIAMS DONTE</v>
      </c>
    </row>
    <row r="25" spans="1:7" x14ac:dyDescent="0.25">
      <c r="A25" s="8">
        <v>42877.195462962962</v>
      </c>
      <c r="B25" s="20" t="s">
        <v>428</v>
      </c>
      <c r="C25" s="20" t="s">
        <v>573</v>
      </c>
      <c r="D25" s="141">
        <v>1540000</v>
      </c>
      <c r="E25" s="20" t="s">
        <v>640</v>
      </c>
      <c r="F25" s="20" t="s">
        <v>641</v>
      </c>
      <c r="G25" s="8" t="str">
        <f t="shared" si="0"/>
        <v>HELVIE ADAM</v>
      </c>
    </row>
    <row r="26" spans="1:7" x14ac:dyDescent="0.25">
      <c r="A26" s="8">
        <v>42877.197858796295</v>
      </c>
      <c r="B26" s="20" t="s">
        <v>421</v>
      </c>
      <c r="C26" s="20" t="s">
        <v>642</v>
      </c>
      <c r="D26" s="141">
        <v>2600000</v>
      </c>
      <c r="E26" s="20" t="s">
        <v>500</v>
      </c>
      <c r="F26" s="20" t="s">
        <v>501</v>
      </c>
      <c r="G26" s="8" t="str">
        <f t="shared" si="0"/>
        <v>DAVIDSON DAVID</v>
      </c>
    </row>
    <row r="27" spans="1:7" x14ac:dyDescent="0.25">
      <c r="A27" s="8">
        <v>42877.200358796297</v>
      </c>
      <c r="B27" s="20" t="s">
        <v>421</v>
      </c>
      <c r="C27" s="20" t="s">
        <v>642</v>
      </c>
      <c r="D27" s="141">
        <v>2600000</v>
      </c>
      <c r="E27" s="20" t="s">
        <v>500</v>
      </c>
      <c r="F27" s="20" t="s">
        <v>501</v>
      </c>
      <c r="G27" s="8" t="str">
        <f t="shared" si="0"/>
        <v>DAVIDSON DAVID</v>
      </c>
    </row>
    <row r="28" spans="1:7" x14ac:dyDescent="0.25">
      <c r="A28" s="8">
        <v>42877.201724537037</v>
      </c>
      <c r="B28" s="20" t="s">
        <v>421</v>
      </c>
      <c r="C28" s="20" t="s">
        <v>642</v>
      </c>
      <c r="D28" s="141">
        <v>2600000</v>
      </c>
      <c r="E28" s="20" t="s">
        <v>500</v>
      </c>
      <c r="F28" s="20" t="s">
        <v>501</v>
      </c>
      <c r="G28" s="8" t="str">
        <f t="shared" si="0"/>
        <v>DAVIDSON DAVID</v>
      </c>
    </row>
    <row r="29" spans="1:7" x14ac:dyDescent="0.25">
      <c r="A29" s="8">
        <v>42877.205752314818</v>
      </c>
      <c r="B29" s="20" t="s">
        <v>574</v>
      </c>
      <c r="C29" s="20" t="s">
        <v>575</v>
      </c>
      <c r="D29" s="141">
        <v>2040000</v>
      </c>
      <c r="E29" s="20" t="s">
        <v>643</v>
      </c>
      <c r="F29" s="20" t="s">
        <v>644</v>
      </c>
      <c r="G29" s="8" t="str">
        <f t="shared" si="0"/>
        <v>MOSES BRADLEY</v>
      </c>
    </row>
    <row r="30" spans="1:7" x14ac:dyDescent="0.25">
      <c r="A30" s="8">
        <v>42877.211875000001</v>
      </c>
      <c r="B30" s="20" t="s">
        <v>459</v>
      </c>
      <c r="C30" s="20" t="s">
        <v>645</v>
      </c>
      <c r="D30" s="141">
        <v>2600000</v>
      </c>
      <c r="E30" s="20" t="s">
        <v>500</v>
      </c>
      <c r="F30" s="20" t="s">
        <v>501</v>
      </c>
      <c r="G30" s="8" t="str">
        <f t="shared" si="0"/>
        <v>DAVIDSON DAVID</v>
      </c>
    </row>
    <row r="31" spans="1:7" x14ac:dyDescent="0.25">
      <c r="A31" s="8">
        <v>42877.214837962965</v>
      </c>
      <c r="B31" s="20" t="s">
        <v>509</v>
      </c>
      <c r="C31" s="20" t="s">
        <v>646</v>
      </c>
      <c r="D31" s="141">
        <v>1110000</v>
      </c>
      <c r="E31" s="20" t="s">
        <v>631</v>
      </c>
      <c r="F31" s="20" t="s">
        <v>632</v>
      </c>
      <c r="G31" s="8" t="str">
        <f t="shared" si="0"/>
        <v>STARKS ANGELINA</v>
      </c>
    </row>
    <row r="32" spans="1:7" x14ac:dyDescent="0.25">
      <c r="A32" s="8">
        <v>42877.215775462966</v>
      </c>
      <c r="B32" s="20" t="s">
        <v>382</v>
      </c>
      <c r="C32" s="20" t="s">
        <v>647</v>
      </c>
      <c r="D32" s="141">
        <v>1810000</v>
      </c>
      <c r="E32" s="20" t="s">
        <v>379</v>
      </c>
      <c r="F32" s="20" t="s">
        <v>193</v>
      </c>
      <c r="G32" s="8" t="str">
        <f t="shared" si="0"/>
        <v>NEWELL JAMES</v>
      </c>
    </row>
    <row r="33" spans="1:7" x14ac:dyDescent="0.25">
      <c r="A33" s="8">
        <v>42877.217465277776</v>
      </c>
      <c r="B33" s="20" t="s">
        <v>427</v>
      </c>
      <c r="C33" s="20" t="s">
        <v>648</v>
      </c>
      <c r="D33" s="141">
        <v>1540000</v>
      </c>
      <c r="E33" s="20" t="s">
        <v>640</v>
      </c>
      <c r="F33" s="20" t="s">
        <v>641</v>
      </c>
      <c r="G33" s="8" t="str">
        <f t="shared" si="0"/>
        <v>HELVIE ADAM</v>
      </c>
    </row>
    <row r="34" spans="1:7" x14ac:dyDescent="0.25">
      <c r="A34" s="8">
        <v>42877.22284722222</v>
      </c>
      <c r="B34" s="20" t="s">
        <v>470</v>
      </c>
      <c r="C34" s="20" t="s">
        <v>649</v>
      </c>
      <c r="D34" s="141">
        <v>2560000</v>
      </c>
      <c r="E34" s="20" t="s">
        <v>474</v>
      </c>
      <c r="F34" s="20" t="s">
        <v>378</v>
      </c>
      <c r="G34" s="8" t="str">
        <f t="shared" si="0"/>
        <v>MACDONALD THOMAS</v>
      </c>
    </row>
    <row r="35" spans="1:7" x14ac:dyDescent="0.25">
      <c r="A35" s="8">
        <v>42877.22729166667</v>
      </c>
      <c r="B35" s="20" t="s">
        <v>585</v>
      </c>
      <c r="C35" s="20" t="s">
        <v>650</v>
      </c>
      <c r="D35" s="141">
        <v>940000</v>
      </c>
      <c r="E35" s="20" t="s">
        <v>627</v>
      </c>
      <c r="F35" s="20" t="s">
        <v>628</v>
      </c>
      <c r="G35" s="8" t="str">
        <f t="shared" si="0"/>
        <v>BONDS REYNALDO</v>
      </c>
    </row>
    <row r="36" spans="1:7" x14ac:dyDescent="0.25">
      <c r="A36" s="8">
        <v>42877.227962962963</v>
      </c>
      <c r="B36" s="20" t="s">
        <v>588</v>
      </c>
      <c r="C36" s="20" t="s">
        <v>651</v>
      </c>
      <c r="D36" s="141">
        <v>3040000</v>
      </c>
      <c r="E36" s="20" t="s">
        <v>396</v>
      </c>
      <c r="F36" s="20" t="s">
        <v>397</v>
      </c>
      <c r="G36" s="8" t="str">
        <f t="shared" si="0"/>
        <v>WILLIAMS DONTE</v>
      </c>
    </row>
    <row r="37" spans="1:7" x14ac:dyDescent="0.25">
      <c r="A37" s="8">
        <v>42877.230046296296</v>
      </c>
      <c r="B37" s="20" t="s">
        <v>421</v>
      </c>
      <c r="C37" s="20" t="s">
        <v>652</v>
      </c>
      <c r="D37" s="141">
        <v>2600000</v>
      </c>
      <c r="E37" s="20" t="s">
        <v>500</v>
      </c>
      <c r="F37" s="20" t="s">
        <v>501</v>
      </c>
      <c r="G37" s="8" t="str">
        <f t="shared" si="0"/>
        <v>DAVIDSON DAVID</v>
      </c>
    </row>
    <row r="38" spans="1:7" x14ac:dyDescent="0.25">
      <c r="A38" s="8">
        <v>42877.236400462964</v>
      </c>
      <c r="B38" s="20" t="s">
        <v>471</v>
      </c>
      <c r="C38" s="20" t="s">
        <v>653</v>
      </c>
      <c r="D38" s="141">
        <v>2560000</v>
      </c>
      <c r="E38" s="20" t="s">
        <v>474</v>
      </c>
      <c r="F38" s="20" t="s">
        <v>378</v>
      </c>
      <c r="G38" s="8" t="str">
        <f t="shared" si="0"/>
        <v>MACDONALD THOMAS</v>
      </c>
    </row>
    <row r="39" spans="1:7" x14ac:dyDescent="0.25">
      <c r="A39" s="8">
        <v>42877.24554398148</v>
      </c>
      <c r="B39" s="20" t="s">
        <v>582</v>
      </c>
      <c r="C39" s="20" t="s">
        <v>654</v>
      </c>
      <c r="D39" s="141">
        <v>2040000</v>
      </c>
      <c r="E39" s="20" t="s">
        <v>643</v>
      </c>
      <c r="F39" s="20" t="s">
        <v>644</v>
      </c>
      <c r="G39" s="8" t="str">
        <f t="shared" si="0"/>
        <v>MOSES BRADLEY</v>
      </c>
    </row>
    <row r="40" spans="1:7" x14ac:dyDescent="0.25">
      <c r="A40" s="8">
        <v>42877.247534722221</v>
      </c>
      <c r="B40" s="25" t="s">
        <v>596</v>
      </c>
      <c r="C40" s="20" t="s">
        <v>655</v>
      </c>
      <c r="D40" s="141">
        <v>890000</v>
      </c>
      <c r="E40" s="20" t="s">
        <v>656</v>
      </c>
      <c r="F40" s="20" t="s">
        <v>657</v>
      </c>
      <c r="G40" s="8" t="str">
        <f t="shared" si="0"/>
        <v>LOZA FIDEL</v>
      </c>
    </row>
    <row r="41" spans="1:7" x14ac:dyDescent="0.25">
      <c r="A41" s="8">
        <v>42877.247893518521</v>
      </c>
      <c r="B41" s="20" t="s">
        <v>508</v>
      </c>
      <c r="C41" s="20" t="s">
        <v>576</v>
      </c>
      <c r="D41" s="141">
        <v>1110000</v>
      </c>
      <c r="E41" s="20" t="s">
        <v>631</v>
      </c>
      <c r="F41" s="20" t="s">
        <v>632</v>
      </c>
      <c r="G41" s="8" t="str">
        <f t="shared" si="0"/>
        <v>STARKS ANGELINA</v>
      </c>
    </row>
    <row r="42" spans="1:7" x14ac:dyDescent="0.25">
      <c r="A42" s="8">
        <v>42877.255173611113</v>
      </c>
      <c r="B42" s="20" t="s">
        <v>459</v>
      </c>
      <c r="C42" s="20" t="s">
        <v>658</v>
      </c>
      <c r="D42" s="141">
        <v>2600000</v>
      </c>
      <c r="E42" s="20" t="s">
        <v>500</v>
      </c>
      <c r="F42" s="20" t="s">
        <v>501</v>
      </c>
      <c r="G42" s="8" t="str">
        <f t="shared" si="0"/>
        <v>DAVIDSON DAVID</v>
      </c>
    </row>
    <row r="43" spans="1:7" x14ac:dyDescent="0.25">
      <c r="A43" s="8">
        <v>42877.255914351852</v>
      </c>
      <c r="B43" s="20" t="s">
        <v>428</v>
      </c>
      <c r="C43" s="20" t="s">
        <v>659</v>
      </c>
      <c r="D43" s="141">
        <v>1540000</v>
      </c>
      <c r="E43" s="20" t="s">
        <v>640</v>
      </c>
      <c r="F43" s="20" t="s">
        <v>641</v>
      </c>
      <c r="G43" s="8" t="str">
        <f t="shared" si="0"/>
        <v>HELVIE ADAM</v>
      </c>
    </row>
    <row r="44" spans="1:7" x14ac:dyDescent="0.25">
      <c r="A44" s="8">
        <v>42877.256192129629</v>
      </c>
      <c r="B44" s="20" t="s">
        <v>429</v>
      </c>
      <c r="C44" s="20" t="s">
        <v>660</v>
      </c>
      <c r="D44" s="141">
        <v>890000</v>
      </c>
      <c r="E44" s="20" t="s">
        <v>656</v>
      </c>
      <c r="F44" s="20" t="s">
        <v>657</v>
      </c>
      <c r="G44" s="8" t="str">
        <f t="shared" si="0"/>
        <v>LOZA FIDEL</v>
      </c>
    </row>
    <row r="45" spans="1:7" x14ac:dyDescent="0.25">
      <c r="A45" s="8">
        <v>42877.258298611108</v>
      </c>
      <c r="B45" s="20" t="s">
        <v>388</v>
      </c>
      <c r="C45" s="20" t="s">
        <v>577</v>
      </c>
      <c r="D45" s="141">
        <v>2530000</v>
      </c>
      <c r="E45" s="20" t="s">
        <v>476</v>
      </c>
      <c r="F45" s="20" t="s">
        <v>477</v>
      </c>
      <c r="G45" s="8" t="str">
        <f t="shared" si="0"/>
        <v>LALONDE GREGORY</v>
      </c>
    </row>
    <row r="46" spans="1:7" x14ac:dyDescent="0.25">
      <c r="A46" s="8">
        <v>42877.265023148146</v>
      </c>
      <c r="B46" s="20" t="s">
        <v>591</v>
      </c>
      <c r="C46" s="20" t="s">
        <v>661</v>
      </c>
      <c r="D46" s="141">
        <v>940000</v>
      </c>
      <c r="E46" s="20" t="s">
        <v>627</v>
      </c>
      <c r="F46" s="20" t="s">
        <v>628</v>
      </c>
      <c r="G46" s="8" t="str">
        <f t="shared" si="0"/>
        <v>BONDS REYNALDO</v>
      </c>
    </row>
    <row r="47" spans="1:7" x14ac:dyDescent="0.25">
      <c r="A47" s="8">
        <v>42877.269479166665</v>
      </c>
      <c r="B47" s="20" t="s">
        <v>475</v>
      </c>
      <c r="C47" s="20" t="s">
        <v>662</v>
      </c>
      <c r="D47" s="141">
        <v>3040000</v>
      </c>
      <c r="E47" s="20" t="s">
        <v>396</v>
      </c>
      <c r="F47" s="20" t="s">
        <v>397</v>
      </c>
      <c r="G47" s="8" t="str">
        <f t="shared" si="0"/>
        <v>WILLIAMS DONTE</v>
      </c>
    </row>
    <row r="48" spans="1:7" x14ac:dyDescent="0.25">
      <c r="A48" s="8">
        <v>42877.272372685184</v>
      </c>
      <c r="B48" s="20" t="s">
        <v>421</v>
      </c>
      <c r="C48" s="20" t="s">
        <v>578</v>
      </c>
      <c r="D48" s="141">
        <v>2600000</v>
      </c>
      <c r="E48" s="20" t="s">
        <v>500</v>
      </c>
      <c r="F48" s="20" t="s">
        <v>501</v>
      </c>
      <c r="G48" s="8" t="str">
        <f t="shared" si="0"/>
        <v>DAVIDSON DAVID</v>
      </c>
    </row>
    <row r="49" spans="1:7" x14ac:dyDescent="0.25">
      <c r="A49" s="8">
        <v>42877.273182870369</v>
      </c>
      <c r="B49" s="20" t="s">
        <v>596</v>
      </c>
      <c r="C49" s="20" t="s">
        <v>663</v>
      </c>
      <c r="D49" s="141">
        <v>890000</v>
      </c>
      <c r="E49" s="20" t="s">
        <v>656</v>
      </c>
      <c r="F49" s="20" t="s">
        <v>657</v>
      </c>
      <c r="G49" s="8" t="str">
        <f t="shared" si="0"/>
        <v>LOZA FIDEL</v>
      </c>
    </row>
    <row r="50" spans="1:7" x14ac:dyDescent="0.25">
      <c r="A50" s="8">
        <v>42877.27721064815</v>
      </c>
      <c r="B50" s="20" t="s">
        <v>574</v>
      </c>
      <c r="C50" s="20" t="s">
        <v>664</v>
      </c>
      <c r="D50" s="141">
        <v>2040000</v>
      </c>
      <c r="E50" s="20" t="s">
        <v>643</v>
      </c>
      <c r="F50" s="20" t="s">
        <v>644</v>
      </c>
      <c r="G50" s="8" t="str">
        <f t="shared" si="0"/>
        <v>MOSES BRADLEY</v>
      </c>
    </row>
    <row r="51" spans="1:7" x14ac:dyDescent="0.25">
      <c r="A51" s="8">
        <v>42877.277511574073</v>
      </c>
      <c r="B51" s="20" t="s">
        <v>470</v>
      </c>
      <c r="C51" s="20" t="s">
        <v>665</v>
      </c>
      <c r="D51" s="141">
        <v>2560000</v>
      </c>
      <c r="E51" s="20" t="s">
        <v>474</v>
      </c>
      <c r="F51" s="20" t="s">
        <v>378</v>
      </c>
      <c r="G51" s="8" t="str">
        <f t="shared" si="0"/>
        <v>MACDONALD THOMAS</v>
      </c>
    </row>
    <row r="52" spans="1:7" x14ac:dyDescent="0.25">
      <c r="A52" s="8">
        <v>42877.289513888885</v>
      </c>
      <c r="B52" s="20" t="s">
        <v>427</v>
      </c>
      <c r="C52" s="20" t="s">
        <v>666</v>
      </c>
      <c r="D52" s="141">
        <v>1540000</v>
      </c>
      <c r="E52" s="20" t="s">
        <v>640</v>
      </c>
      <c r="F52" s="20" t="s">
        <v>641</v>
      </c>
      <c r="G52" s="8" t="str">
        <f t="shared" si="0"/>
        <v>HELVIE ADAM</v>
      </c>
    </row>
    <row r="53" spans="1:7" x14ac:dyDescent="0.25">
      <c r="A53" s="8">
        <v>42877.299664351849</v>
      </c>
      <c r="B53" s="20" t="s">
        <v>585</v>
      </c>
      <c r="C53" s="20" t="s">
        <v>667</v>
      </c>
      <c r="D53" s="141">
        <v>940000</v>
      </c>
      <c r="E53" s="20" t="s">
        <v>627</v>
      </c>
      <c r="F53" s="20" t="s">
        <v>628</v>
      </c>
      <c r="G53" s="8" t="str">
        <f t="shared" si="0"/>
        <v>BONDS REYNALDO</v>
      </c>
    </row>
    <row r="54" spans="1:7" x14ac:dyDescent="0.25">
      <c r="A54" s="8">
        <v>42877.300173611111</v>
      </c>
      <c r="B54" s="20" t="s">
        <v>459</v>
      </c>
      <c r="C54" s="20" t="s">
        <v>668</v>
      </c>
      <c r="D54" s="141">
        <v>2600000</v>
      </c>
      <c r="E54" s="20" t="s">
        <v>500</v>
      </c>
      <c r="F54" s="20" t="s">
        <v>501</v>
      </c>
      <c r="G54" s="8" t="str">
        <f t="shared" si="0"/>
        <v>DAVIDSON DAVID</v>
      </c>
    </row>
    <row r="55" spans="1:7" x14ac:dyDescent="0.25">
      <c r="A55" s="8">
        <v>42877.303703703707</v>
      </c>
      <c r="B55" s="20" t="s">
        <v>429</v>
      </c>
      <c r="C55" s="20" t="s">
        <v>669</v>
      </c>
      <c r="D55" s="141">
        <v>890000</v>
      </c>
      <c r="E55" s="20" t="s">
        <v>656</v>
      </c>
      <c r="F55" s="20" t="s">
        <v>657</v>
      </c>
      <c r="G55" s="8" t="str">
        <f t="shared" si="0"/>
        <v>LOZA FIDEL</v>
      </c>
    </row>
    <row r="56" spans="1:7" x14ac:dyDescent="0.25">
      <c r="A56" s="8">
        <v>42877.305162037039</v>
      </c>
      <c r="B56" s="20" t="s">
        <v>588</v>
      </c>
      <c r="C56" s="20" t="s">
        <v>670</v>
      </c>
      <c r="D56" s="141">
        <v>3040000</v>
      </c>
      <c r="E56" s="20" t="s">
        <v>396</v>
      </c>
      <c r="F56" s="20" t="s">
        <v>397</v>
      </c>
      <c r="G56" s="8" t="str">
        <f t="shared" si="0"/>
        <v>WILLIAMS DONTE</v>
      </c>
    </row>
    <row r="57" spans="1:7" x14ac:dyDescent="0.25">
      <c r="A57" s="8">
        <v>42877.307291666664</v>
      </c>
      <c r="B57" s="20" t="s">
        <v>471</v>
      </c>
      <c r="C57" s="20" t="s">
        <v>671</v>
      </c>
      <c r="D57" s="141">
        <v>2560000</v>
      </c>
      <c r="E57" s="20" t="s">
        <v>474</v>
      </c>
      <c r="F57" s="20" t="s">
        <v>378</v>
      </c>
      <c r="G57" s="8" t="str">
        <f t="shared" si="0"/>
        <v>MACDONALD THOMAS</v>
      </c>
    </row>
    <row r="58" spans="1:7" x14ac:dyDescent="0.25">
      <c r="A58" s="8">
        <v>42877.312523148146</v>
      </c>
      <c r="B58" s="20" t="s">
        <v>345</v>
      </c>
      <c r="C58" s="20" t="s">
        <v>672</v>
      </c>
      <c r="D58" s="141">
        <v>1520000</v>
      </c>
      <c r="E58" s="20" t="s">
        <v>623</v>
      </c>
      <c r="F58" s="20" t="s">
        <v>624</v>
      </c>
      <c r="G58" s="8" t="str">
        <f t="shared" si="0"/>
        <v>MAYBERRY BILL</v>
      </c>
    </row>
    <row r="59" spans="1:7" x14ac:dyDescent="0.25">
      <c r="A59" s="8">
        <v>42877.315046296295</v>
      </c>
      <c r="B59" s="20" t="s">
        <v>582</v>
      </c>
      <c r="C59" s="20" t="s">
        <v>673</v>
      </c>
      <c r="D59" s="141">
        <v>2040000</v>
      </c>
      <c r="E59" s="20" t="s">
        <v>643</v>
      </c>
      <c r="F59" s="20" t="s">
        <v>644</v>
      </c>
      <c r="G59" s="8" t="str">
        <f t="shared" si="0"/>
        <v>MOSES BRADLEY</v>
      </c>
    </row>
    <row r="60" spans="1:7" x14ac:dyDescent="0.25">
      <c r="A60" s="8">
        <v>42877.31521990741</v>
      </c>
      <c r="B60" s="20" t="s">
        <v>421</v>
      </c>
      <c r="C60" s="20" t="s">
        <v>674</v>
      </c>
      <c r="D60" s="141">
        <v>2600000</v>
      </c>
      <c r="E60" s="20" t="s">
        <v>500</v>
      </c>
      <c r="F60" s="20" t="s">
        <v>501</v>
      </c>
      <c r="G60" s="8" t="str">
        <f t="shared" si="0"/>
        <v>DAVIDSON DAVID</v>
      </c>
    </row>
    <row r="61" spans="1:7" x14ac:dyDescent="0.25">
      <c r="A61" s="8">
        <v>42877.317696759259</v>
      </c>
      <c r="B61" s="20" t="s">
        <v>377</v>
      </c>
      <c r="C61" s="20" t="s">
        <v>672</v>
      </c>
      <c r="D61" s="141">
        <v>1520000</v>
      </c>
      <c r="E61" s="20" t="s">
        <v>623</v>
      </c>
      <c r="F61" s="20" t="s">
        <v>624</v>
      </c>
      <c r="G61" s="8" t="str">
        <f t="shared" si="0"/>
        <v>MAYBERRY BILL</v>
      </c>
    </row>
    <row r="62" spans="1:7" x14ac:dyDescent="0.25">
      <c r="A62" s="8">
        <v>42877.31827546296</v>
      </c>
      <c r="B62" s="20" t="s">
        <v>596</v>
      </c>
      <c r="C62" s="20" t="s">
        <v>675</v>
      </c>
      <c r="D62" s="141">
        <v>890000</v>
      </c>
      <c r="E62" s="20" t="s">
        <v>656</v>
      </c>
      <c r="F62" s="20" t="s">
        <v>657</v>
      </c>
      <c r="G62" s="8" t="str">
        <f t="shared" si="0"/>
        <v>LOZA FIDEL</v>
      </c>
    </row>
    <row r="63" spans="1:7" x14ac:dyDescent="0.25">
      <c r="A63" s="8">
        <v>42877.321539351855</v>
      </c>
      <c r="B63" s="20" t="s">
        <v>345</v>
      </c>
      <c r="C63" s="20" t="s">
        <v>676</v>
      </c>
      <c r="D63" s="141">
        <v>1520000</v>
      </c>
      <c r="E63" s="20" t="s">
        <v>623</v>
      </c>
      <c r="F63" s="20" t="s">
        <v>624</v>
      </c>
      <c r="G63" s="8" t="str">
        <f t="shared" si="0"/>
        <v>MAYBERRY BILL</v>
      </c>
    </row>
    <row r="64" spans="1:7" x14ac:dyDescent="0.25">
      <c r="A64" s="26">
        <v>42877.329942129632</v>
      </c>
      <c r="B64" s="20" t="s">
        <v>428</v>
      </c>
      <c r="C64" s="20" t="s">
        <v>677</v>
      </c>
      <c r="D64" s="141">
        <v>1540000</v>
      </c>
      <c r="E64" s="20" t="s">
        <v>640</v>
      </c>
      <c r="F64" s="20" t="s">
        <v>641</v>
      </c>
      <c r="G64" s="8" t="str">
        <f t="shared" si="0"/>
        <v>HELVIE ADAM</v>
      </c>
    </row>
    <row r="65" spans="1:7" x14ac:dyDescent="0.25">
      <c r="A65" s="8">
        <v>42877.330567129633</v>
      </c>
      <c r="B65" s="20" t="s">
        <v>388</v>
      </c>
      <c r="C65" s="20" t="s">
        <v>678</v>
      </c>
      <c r="D65" s="141">
        <v>2530000</v>
      </c>
      <c r="E65" s="20" t="s">
        <v>476</v>
      </c>
      <c r="F65" s="20" t="s">
        <v>477</v>
      </c>
      <c r="G65" s="8" t="str">
        <f t="shared" si="0"/>
        <v>LALONDE GREGORY</v>
      </c>
    </row>
    <row r="66" spans="1:7" x14ac:dyDescent="0.25">
      <c r="A66" s="8">
        <v>42877.338738425926</v>
      </c>
      <c r="B66" s="20" t="s">
        <v>459</v>
      </c>
      <c r="C66" s="20" t="s">
        <v>679</v>
      </c>
      <c r="D66" s="141">
        <v>2600000</v>
      </c>
      <c r="E66" s="20" t="s">
        <v>500</v>
      </c>
      <c r="F66" s="20" t="s">
        <v>501</v>
      </c>
      <c r="G66" s="8" t="str">
        <f t="shared" si="0"/>
        <v>DAVIDSON DAVID</v>
      </c>
    </row>
    <row r="67" spans="1:7" x14ac:dyDescent="0.25">
      <c r="A67" s="8">
        <v>42877.339456018519</v>
      </c>
      <c r="B67" s="20" t="s">
        <v>591</v>
      </c>
      <c r="C67" s="20" t="s">
        <v>680</v>
      </c>
      <c r="D67" s="141">
        <v>940000</v>
      </c>
      <c r="E67" s="20" t="s">
        <v>627</v>
      </c>
      <c r="F67" s="20" t="s">
        <v>628</v>
      </c>
      <c r="G67" s="8" t="str">
        <f t="shared" ref="G67:G130" si="1">E67&amp;" "&amp;F67</f>
        <v>BONDS REYNALDO</v>
      </c>
    </row>
    <row r="68" spans="1:7" x14ac:dyDescent="0.25">
      <c r="A68" s="8">
        <v>42877.341956018521</v>
      </c>
      <c r="B68" s="20" t="s">
        <v>475</v>
      </c>
      <c r="C68" s="20" t="s">
        <v>579</v>
      </c>
      <c r="D68" s="141">
        <v>3040000</v>
      </c>
      <c r="E68" s="20" t="s">
        <v>396</v>
      </c>
      <c r="F68" s="20" t="s">
        <v>397</v>
      </c>
      <c r="G68" s="8" t="str">
        <f t="shared" si="1"/>
        <v>WILLIAMS DONTE</v>
      </c>
    </row>
    <row r="69" spans="1:7" x14ac:dyDescent="0.25">
      <c r="A69" s="8">
        <v>42877.346643518518</v>
      </c>
      <c r="B69" s="20" t="s">
        <v>429</v>
      </c>
      <c r="C69" s="20" t="s">
        <v>681</v>
      </c>
      <c r="D69" s="141">
        <v>890000</v>
      </c>
      <c r="E69" s="20" t="s">
        <v>656</v>
      </c>
      <c r="F69" s="20" t="s">
        <v>657</v>
      </c>
      <c r="G69" s="8" t="str">
        <f t="shared" si="1"/>
        <v>LOZA FIDEL</v>
      </c>
    </row>
    <row r="70" spans="1:7" x14ac:dyDescent="0.25">
      <c r="A70" s="8">
        <v>42877.348333333335</v>
      </c>
      <c r="B70" s="20" t="s">
        <v>470</v>
      </c>
      <c r="C70" s="20" t="s">
        <v>580</v>
      </c>
      <c r="D70" s="141">
        <v>2560000</v>
      </c>
      <c r="E70" s="20" t="s">
        <v>474</v>
      </c>
      <c r="F70" s="20" t="s">
        <v>378</v>
      </c>
      <c r="G70" s="8" t="str">
        <f t="shared" si="1"/>
        <v>MACDONALD THOMAS</v>
      </c>
    </row>
    <row r="71" spans="1:7" x14ac:dyDescent="0.25">
      <c r="A71" s="8">
        <v>42877.350706018522</v>
      </c>
      <c r="B71" s="20" t="s">
        <v>574</v>
      </c>
      <c r="C71" s="20" t="s">
        <v>682</v>
      </c>
      <c r="D71" s="141">
        <v>2010000</v>
      </c>
      <c r="E71" s="20" t="s">
        <v>497</v>
      </c>
      <c r="F71" s="20" t="s">
        <v>498</v>
      </c>
      <c r="G71" s="8" t="str">
        <f t="shared" si="1"/>
        <v>MAELZER KURT</v>
      </c>
    </row>
    <row r="72" spans="1:7" x14ac:dyDescent="0.25">
      <c r="A72" s="8">
        <v>42877.350740740738</v>
      </c>
      <c r="B72" s="20" t="s">
        <v>377</v>
      </c>
      <c r="C72" s="20" t="s">
        <v>683</v>
      </c>
      <c r="D72" s="141">
        <v>1520000</v>
      </c>
      <c r="E72" s="20" t="s">
        <v>623</v>
      </c>
      <c r="F72" s="20" t="s">
        <v>624</v>
      </c>
      <c r="G72" s="8" t="str">
        <f t="shared" si="1"/>
        <v>MAYBERRY BILL</v>
      </c>
    </row>
    <row r="73" spans="1:7" x14ac:dyDescent="0.25">
      <c r="A73" s="8">
        <v>42877.353634259256</v>
      </c>
      <c r="B73" s="20" t="s">
        <v>421</v>
      </c>
      <c r="C73" s="20" t="s">
        <v>684</v>
      </c>
      <c r="D73" s="141">
        <v>2600000</v>
      </c>
      <c r="E73" s="20" t="s">
        <v>500</v>
      </c>
      <c r="F73" s="20" t="s">
        <v>501</v>
      </c>
      <c r="G73" s="8" t="str">
        <f t="shared" si="1"/>
        <v>DAVIDSON DAVID</v>
      </c>
    </row>
    <row r="74" spans="1:7" x14ac:dyDescent="0.25">
      <c r="A74" s="8">
        <v>42877.360520833332</v>
      </c>
      <c r="B74" s="20" t="s">
        <v>596</v>
      </c>
      <c r="C74" s="20" t="s">
        <v>685</v>
      </c>
      <c r="D74" s="141">
        <v>890000</v>
      </c>
      <c r="E74" s="20" t="s">
        <v>656</v>
      </c>
      <c r="F74" s="20" t="s">
        <v>657</v>
      </c>
      <c r="G74" s="8" t="str">
        <f t="shared" si="1"/>
        <v>LOZA FIDEL</v>
      </c>
    </row>
    <row r="75" spans="1:7" x14ac:dyDescent="0.25">
      <c r="A75" s="8">
        <v>42877.363368055558</v>
      </c>
      <c r="B75" s="20" t="s">
        <v>427</v>
      </c>
      <c r="C75" s="20" t="s">
        <v>581</v>
      </c>
      <c r="D75" s="141">
        <v>1540000</v>
      </c>
      <c r="E75" s="20" t="s">
        <v>640</v>
      </c>
      <c r="F75" s="20" t="s">
        <v>641</v>
      </c>
      <c r="G75" s="8" t="str">
        <f t="shared" si="1"/>
        <v>HELVIE ADAM</v>
      </c>
    </row>
    <row r="76" spans="1:7" x14ac:dyDescent="0.25">
      <c r="A76" s="8">
        <v>42877.364722222221</v>
      </c>
      <c r="B76" s="20" t="s">
        <v>382</v>
      </c>
      <c r="C76" s="20" t="s">
        <v>686</v>
      </c>
      <c r="D76" s="141">
        <v>2530000</v>
      </c>
      <c r="E76" s="20" t="s">
        <v>476</v>
      </c>
      <c r="F76" s="20" t="s">
        <v>477</v>
      </c>
      <c r="G76" s="8" t="str">
        <f t="shared" si="1"/>
        <v>LALONDE GREGORY</v>
      </c>
    </row>
    <row r="77" spans="1:7" x14ac:dyDescent="0.25">
      <c r="A77" s="8">
        <v>42877.370891203704</v>
      </c>
      <c r="B77" s="20" t="s">
        <v>585</v>
      </c>
      <c r="C77" s="20" t="s">
        <v>687</v>
      </c>
      <c r="D77" s="141">
        <v>940000</v>
      </c>
      <c r="E77" s="20" t="s">
        <v>627</v>
      </c>
      <c r="F77" s="20" t="s">
        <v>628</v>
      </c>
      <c r="G77" s="8" t="str">
        <f t="shared" si="1"/>
        <v>BONDS REYNALDO</v>
      </c>
    </row>
    <row r="78" spans="1:7" x14ac:dyDescent="0.25">
      <c r="A78" s="8">
        <v>42877.372835648152</v>
      </c>
      <c r="B78" s="20" t="s">
        <v>588</v>
      </c>
      <c r="C78" s="20" t="s">
        <v>688</v>
      </c>
      <c r="D78" s="141">
        <v>3040000</v>
      </c>
      <c r="E78" s="20" t="s">
        <v>396</v>
      </c>
      <c r="F78" s="20" t="s">
        <v>397</v>
      </c>
      <c r="G78" s="8" t="str">
        <f t="shared" si="1"/>
        <v>WILLIAMS DONTE</v>
      </c>
    </row>
    <row r="79" spans="1:7" x14ac:dyDescent="0.25">
      <c r="A79" s="8">
        <v>42877.383611111109</v>
      </c>
      <c r="B79" s="20" t="s">
        <v>471</v>
      </c>
      <c r="C79" s="20" t="s">
        <v>689</v>
      </c>
      <c r="D79" s="141">
        <v>2560000</v>
      </c>
      <c r="E79" s="20" t="s">
        <v>474</v>
      </c>
      <c r="F79" s="20" t="s">
        <v>378</v>
      </c>
      <c r="G79" s="8" t="str">
        <f t="shared" si="1"/>
        <v>MACDONALD THOMAS</v>
      </c>
    </row>
    <row r="80" spans="1:7" x14ac:dyDescent="0.25">
      <c r="A80" s="8">
        <v>42877.384340277778</v>
      </c>
      <c r="B80" s="20" t="s">
        <v>582</v>
      </c>
      <c r="C80" s="20" t="s">
        <v>583</v>
      </c>
      <c r="D80" s="141">
        <v>2010000</v>
      </c>
      <c r="E80" s="20" t="s">
        <v>497</v>
      </c>
      <c r="F80" s="20" t="s">
        <v>498</v>
      </c>
      <c r="G80" s="8" t="str">
        <f t="shared" si="1"/>
        <v>MAELZER KURT</v>
      </c>
    </row>
    <row r="81" spans="1:7" x14ac:dyDescent="0.25">
      <c r="A81" s="8">
        <v>42877.387523148151</v>
      </c>
      <c r="B81" s="20" t="s">
        <v>429</v>
      </c>
      <c r="C81" s="20" t="s">
        <v>690</v>
      </c>
      <c r="D81" s="141">
        <v>890000</v>
      </c>
      <c r="E81" s="20" t="s">
        <v>656</v>
      </c>
      <c r="F81" s="20" t="s">
        <v>657</v>
      </c>
      <c r="G81" s="8" t="str">
        <f t="shared" si="1"/>
        <v>LOZA FIDEL</v>
      </c>
    </row>
    <row r="82" spans="1:7" x14ac:dyDescent="0.25">
      <c r="A82" s="8">
        <v>42877.391226851854</v>
      </c>
      <c r="B82" s="20" t="s">
        <v>345</v>
      </c>
      <c r="C82" s="20" t="s">
        <v>691</v>
      </c>
      <c r="D82" s="141">
        <v>1110000</v>
      </c>
      <c r="E82" s="20" t="s">
        <v>631</v>
      </c>
      <c r="F82" s="20" t="s">
        <v>632</v>
      </c>
      <c r="G82" s="8" t="str">
        <f t="shared" si="1"/>
        <v>STARKS ANGELINA</v>
      </c>
    </row>
    <row r="83" spans="1:7" x14ac:dyDescent="0.25">
      <c r="A83" s="8">
        <v>42877.400868055556</v>
      </c>
      <c r="B83" s="20" t="s">
        <v>388</v>
      </c>
      <c r="C83" s="20" t="s">
        <v>692</v>
      </c>
      <c r="D83" s="141">
        <v>2530000</v>
      </c>
      <c r="E83" s="20" t="s">
        <v>476</v>
      </c>
      <c r="F83" s="20" t="s">
        <v>477</v>
      </c>
      <c r="G83" s="8" t="str">
        <f t="shared" si="1"/>
        <v>LALONDE GREGORY</v>
      </c>
    </row>
    <row r="84" spans="1:7" x14ac:dyDescent="0.25">
      <c r="A84" s="8">
        <v>42877.401331018518</v>
      </c>
      <c r="B84" s="20" t="s">
        <v>596</v>
      </c>
      <c r="C84" s="20" t="s">
        <v>693</v>
      </c>
      <c r="D84" s="141">
        <v>890000</v>
      </c>
      <c r="E84" s="20" t="s">
        <v>656</v>
      </c>
      <c r="F84" s="20" t="s">
        <v>657</v>
      </c>
      <c r="G84" s="8" t="str">
        <f t="shared" si="1"/>
        <v>LOZA FIDEL</v>
      </c>
    </row>
    <row r="85" spans="1:7" x14ac:dyDescent="0.25">
      <c r="A85" s="8">
        <v>42877.401655092595</v>
      </c>
      <c r="B85" s="20" t="s">
        <v>428</v>
      </c>
      <c r="C85" s="20" t="s">
        <v>584</v>
      </c>
      <c r="D85" s="141">
        <v>1540000</v>
      </c>
      <c r="E85" s="20" t="s">
        <v>640</v>
      </c>
      <c r="F85" s="20" t="s">
        <v>641</v>
      </c>
      <c r="G85" s="8" t="str">
        <f t="shared" si="1"/>
        <v>HELVIE ADAM</v>
      </c>
    </row>
    <row r="86" spans="1:7" x14ac:dyDescent="0.25">
      <c r="A86" s="8">
        <v>42877.411053240743</v>
      </c>
      <c r="B86" s="20" t="s">
        <v>591</v>
      </c>
      <c r="C86" s="20" t="s">
        <v>694</v>
      </c>
      <c r="D86" s="141">
        <v>940000</v>
      </c>
      <c r="E86" s="20" t="s">
        <v>627</v>
      </c>
      <c r="F86" s="20" t="s">
        <v>628</v>
      </c>
      <c r="G86" s="8" t="str">
        <f t="shared" si="1"/>
        <v>BONDS REYNALDO</v>
      </c>
    </row>
    <row r="87" spans="1:7" x14ac:dyDescent="0.25">
      <c r="A87" s="8">
        <v>42877.413645833331</v>
      </c>
      <c r="B87" s="20" t="s">
        <v>475</v>
      </c>
      <c r="C87" s="20" t="s">
        <v>695</v>
      </c>
      <c r="D87" s="141">
        <v>3040000</v>
      </c>
      <c r="E87" s="20" t="s">
        <v>396</v>
      </c>
      <c r="F87" s="20" t="s">
        <v>397</v>
      </c>
      <c r="G87" s="8" t="str">
        <f t="shared" si="1"/>
        <v>WILLIAMS DONTE</v>
      </c>
    </row>
    <row r="88" spans="1:7" x14ac:dyDescent="0.25">
      <c r="A88" s="8">
        <v>42877.423402777778</v>
      </c>
      <c r="B88" s="20" t="s">
        <v>470</v>
      </c>
      <c r="C88" s="20" t="s">
        <v>696</v>
      </c>
      <c r="D88" s="141">
        <v>2560000</v>
      </c>
      <c r="E88" s="20" t="s">
        <v>474</v>
      </c>
      <c r="F88" s="20" t="s">
        <v>378</v>
      </c>
      <c r="G88" s="8" t="str">
        <f t="shared" si="1"/>
        <v>MACDONALD THOMAS</v>
      </c>
    </row>
    <row r="89" spans="1:7" x14ac:dyDescent="0.25">
      <c r="A89" s="8">
        <v>42877.424351851849</v>
      </c>
      <c r="B89" s="20" t="s">
        <v>377</v>
      </c>
      <c r="C89" s="20" t="s">
        <v>697</v>
      </c>
      <c r="D89" s="141">
        <v>1110000</v>
      </c>
      <c r="E89" s="20" t="s">
        <v>631</v>
      </c>
      <c r="F89" s="20" t="s">
        <v>632</v>
      </c>
      <c r="G89" s="8" t="str">
        <f t="shared" si="1"/>
        <v>STARKS ANGELINA</v>
      </c>
    </row>
    <row r="90" spans="1:7" x14ac:dyDescent="0.25">
      <c r="A90" s="8">
        <v>42877.425266203703</v>
      </c>
      <c r="B90" s="20" t="s">
        <v>574</v>
      </c>
      <c r="C90" s="20" t="s">
        <v>698</v>
      </c>
      <c r="D90" s="141">
        <v>2600000</v>
      </c>
      <c r="E90" s="20" t="s">
        <v>500</v>
      </c>
      <c r="F90" s="20" t="s">
        <v>501</v>
      </c>
      <c r="G90" s="8" t="str">
        <f t="shared" si="1"/>
        <v>DAVIDSON DAVID</v>
      </c>
    </row>
    <row r="91" spans="1:7" x14ac:dyDescent="0.25">
      <c r="A91" s="8">
        <v>42877.430393518516</v>
      </c>
      <c r="B91" s="20" t="s">
        <v>429</v>
      </c>
      <c r="C91" s="20" t="s">
        <v>699</v>
      </c>
      <c r="D91" s="141">
        <v>890000</v>
      </c>
      <c r="E91" s="20" t="s">
        <v>656</v>
      </c>
      <c r="F91" s="20" t="s">
        <v>657</v>
      </c>
      <c r="G91" s="8" t="str">
        <f t="shared" si="1"/>
        <v>LOZA FIDEL</v>
      </c>
    </row>
    <row r="92" spans="1:7" x14ac:dyDescent="0.25">
      <c r="A92" s="8">
        <v>42877.433194444442</v>
      </c>
      <c r="B92" s="20" t="s">
        <v>382</v>
      </c>
      <c r="C92" s="20" t="s">
        <v>700</v>
      </c>
      <c r="D92" s="141">
        <v>2530000</v>
      </c>
      <c r="E92" s="20" t="s">
        <v>476</v>
      </c>
      <c r="F92" s="20" t="s">
        <v>477</v>
      </c>
      <c r="G92" s="8" t="str">
        <f t="shared" si="1"/>
        <v>LALONDE GREGORY</v>
      </c>
    </row>
    <row r="93" spans="1:7" x14ac:dyDescent="0.25">
      <c r="A93" s="8">
        <v>42877.435937499999</v>
      </c>
      <c r="B93" s="20" t="s">
        <v>427</v>
      </c>
      <c r="C93" s="20" t="s">
        <v>701</v>
      </c>
      <c r="D93" s="141">
        <v>1540000</v>
      </c>
      <c r="E93" s="20" t="s">
        <v>640</v>
      </c>
      <c r="F93" s="20" t="s">
        <v>641</v>
      </c>
      <c r="G93" s="8" t="str">
        <f t="shared" si="1"/>
        <v>HELVIE ADAM</v>
      </c>
    </row>
    <row r="94" spans="1:7" x14ac:dyDescent="0.25">
      <c r="A94" s="8">
        <v>42877.443668981483</v>
      </c>
      <c r="B94" s="20" t="s">
        <v>588</v>
      </c>
      <c r="C94" s="20" t="s">
        <v>589</v>
      </c>
      <c r="D94" s="141">
        <v>3040000</v>
      </c>
      <c r="E94" s="20" t="s">
        <v>396</v>
      </c>
      <c r="F94" s="20" t="s">
        <v>397</v>
      </c>
      <c r="G94" s="8" t="str">
        <f t="shared" si="1"/>
        <v>WILLIAMS DONTE</v>
      </c>
    </row>
    <row r="95" spans="1:7" x14ac:dyDescent="0.25">
      <c r="A95" s="8">
        <v>42877.444085648145</v>
      </c>
      <c r="B95" s="20" t="s">
        <v>596</v>
      </c>
      <c r="C95" s="20" t="s">
        <v>702</v>
      </c>
      <c r="D95" s="141">
        <v>890000</v>
      </c>
      <c r="E95" s="20" t="s">
        <v>656</v>
      </c>
      <c r="F95" s="20" t="s">
        <v>657</v>
      </c>
      <c r="G95" s="8" t="str">
        <f t="shared" si="1"/>
        <v>LOZA FIDEL</v>
      </c>
    </row>
    <row r="96" spans="1:7" x14ac:dyDescent="0.25">
      <c r="A96" s="8">
        <v>42877.4453587963</v>
      </c>
      <c r="B96" s="20" t="s">
        <v>585</v>
      </c>
      <c r="C96" s="20" t="s">
        <v>586</v>
      </c>
      <c r="D96" s="141">
        <v>2480000</v>
      </c>
      <c r="E96" s="20" t="s">
        <v>478</v>
      </c>
      <c r="F96" s="20" t="s">
        <v>479</v>
      </c>
      <c r="G96" s="8" t="str">
        <f t="shared" si="1"/>
        <v>WHITED DUSTIN</v>
      </c>
    </row>
    <row r="97" spans="1:7" x14ac:dyDescent="0.25">
      <c r="A97" s="8">
        <v>42877.446504629632</v>
      </c>
      <c r="B97" s="20" t="s">
        <v>460</v>
      </c>
      <c r="C97" s="20" t="s">
        <v>587</v>
      </c>
      <c r="D97" s="141">
        <v>920000</v>
      </c>
      <c r="E97" s="20" t="s">
        <v>499</v>
      </c>
      <c r="F97" s="20" t="s">
        <v>196</v>
      </c>
      <c r="G97" s="8" t="str">
        <f t="shared" si="1"/>
        <v>DAVIS MICHAEL</v>
      </c>
    </row>
    <row r="98" spans="1:7" x14ac:dyDescent="0.25">
      <c r="A98" s="8">
        <v>42877.448831018519</v>
      </c>
      <c r="B98" s="20" t="s">
        <v>508</v>
      </c>
      <c r="C98" s="20" t="s">
        <v>703</v>
      </c>
      <c r="D98" s="141">
        <v>2470000</v>
      </c>
      <c r="E98" s="20" t="s">
        <v>504</v>
      </c>
      <c r="F98" s="20" t="s">
        <v>505</v>
      </c>
      <c r="G98" s="8" t="str">
        <f t="shared" si="1"/>
        <v>ROMERO CHAD</v>
      </c>
    </row>
    <row r="99" spans="1:7" x14ac:dyDescent="0.25">
      <c r="A99" s="8">
        <v>42877.454571759263</v>
      </c>
      <c r="B99" s="20" t="s">
        <v>460</v>
      </c>
      <c r="C99" s="20" t="s">
        <v>587</v>
      </c>
      <c r="D99" s="141">
        <v>920000</v>
      </c>
      <c r="E99" s="20" t="s">
        <v>499</v>
      </c>
      <c r="F99" s="20" t="s">
        <v>196</v>
      </c>
      <c r="G99" s="8" t="str">
        <f t="shared" si="1"/>
        <v>DAVIS MICHAEL</v>
      </c>
    </row>
    <row r="100" spans="1:7" x14ac:dyDescent="0.25">
      <c r="A100" s="8">
        <v>42877.455011574071</v>
      </c>
      <c r="B100" s="20" t="s">
        <v>509</v>
      </c>
      <c r="C100" s="20" t="s">
        <v>703</v>
      </c>
      <c r="D100" s="141">
        <v>2470000</v>
      </c>
      <c r="E100" s="20" t="s">
        <v>504</v>
      </c>
      <c r="F100" s="20" t="s">
        <v>505</v>
      </c>
      <c r="G100" s="8" t="str">
        <f t="shared" si="1"/>
        <v>ROMERO CHAD</v>
      </c>
    </row>
    <row r="101" spans="1:7" x14ac:dyDescent="0.25">
      <c r="A101" s="8">
        <v>42877.455694444441</v>
      </c>
      <c r="B101" s="20" t="s">
        <v>582</v>
      </c>
      <c r="C101" s="20" t="s">
        <v>704</v>
      </c>
      <c r="D101" s="141">
        <v>2600000</v>
      </c>
      <c r="E101" s="20" t="s">
        <v>500</v>
      </c>
      <c r="F101" s="20" t="s">
        <v>501</v>
      </c>
      <c r="G101" s="8" t="str">
        <f t="shared" si="1"/>
        <v>DAVIDSON DAVID</v>
      </c>
    </row>
    <row r="102" spans="1:7" x14ac:dyDescent="0.25">
      <c r="A102" s="8">
        <v>42877.456550925926</v>
      </c>
      <c r="B102" s="20" t="s">
        <v>471</v>
      </c>
      <c r="C102" s="20" t="s">
        <v>705</v>
      </c>
      <c r="D102" s="141">
        <v>2560000</v>
      </c>
      <c r="E102" s="20" t="s">
        <v>474</v>
      </c>
      <c r="F102" s="20" t="s">
        <v>378</v>
      </c>
      <c r="G102" s="8" t="str">
        <f t="shared" si="1"/>
        <v>MACDONALD THOMAS</v>
      </c>
    </row>
    <row r="103" spans="1:7" x14ac:dyDescent="0.25">
      <c r="A103" s="8">
        <v>42877.467743055553</v>
      </c>
      <c r="B103" s="20" t="s">
        <v>508</v>
      </c>
      <c r="C103" s="20" t="s">
        <v>706</v>
      </c>
      <c r="D103" s="141">
        <v>920000</v>
      </c>
      <c r="E103" s="20" t="s">
        <v>499</v>
      </c>
      <c r="F103" s="20" t="s">
        <v>196</v>
      </c>
      <c r="G103" s="8" t="str">
        <f t="shared" si="1"/>
        <v>DAVIS MICHAEL</v>
      </c>
    </row>
    <row r="104" spans="1:7" x14ac:dyDescent="0.25">
      <c r="A104" s="8">
        <v>42877.471076388887</v>
      </c>
      <c r="B104" s="20" t="s">
        <v>429</v>
      </c>
      <c r="C104" s="20" t="s">
        <v>590</v>
      </c>
      <c r="D104" s="141">
        <v>890000</v>
      </c>
      <c r="E104" s="20" t="s">
        <v>656</v>
      </c>
      <c r="F104" s="20" t="s">
        <v>657</v>
      </c>
      <c r="G104" s="8" t="str">
        <f t="shared" si="1"/>
        <v>LOZA FIDEL</v>
      </c>
    </row>
    <row r="105" spans="1:7" x14ac:dyDescent="0.25">
      <c r="A105" s="8">
        <v>42877.473749999997</v>
      </c>
      <c r="B105" s="20" t="s">
        <v>388</v>
      </c>
      <c r="C105" s="20" t="s">
        <v>707</v>
      </c>
      <c r="D105" s="141">
        <v>930000</v>
      </c>
      <c r="E105" s="20" t="s">
        <v>423</v>
      </c>
      <c r="F105" s="20" t="s">
        <v>424</v>
      </c>
      <c r="G105" s="8" t="str">
        <f t="shared" si="1"/>
        <v>CLARK KATHLEEN</v>
      </c>
    </row>
    <row r="106" spans="1:7" x14ac:dyDescent="0.25">
      <c r="A106" s="8">
        <v>42877.474745370368</v>
      </c>
      <c r="B106" s="20" t="s">
        <v>428</v>
      </c>
      <c r="C106" s="20" t="s">
        <v>708</v>
      </c>
      <c r="D106" s="141">
        <v>1540000</v>
      </c>
      <c r="E106" s="20" t="s">
        <v>640</v>
      </c>
      <c r="F106" s="20" t="s">
        <v>641</v>
      </c>
      <c r="G106" s="8" t="str">
        <f t="shared" si="1"/>
        <v>HELVIE ADAM</v>
      </c>
    </row>
    <row r="107" spans="1:7" x14ac:dyDescent="0.25">
      <c r="A107" s="8">
        <v>42877.485185185185</v>
      </c>
      <c r="B107" s="20" t="s">
        <v>591</v>
      </c>
      <c r="C107" s="20" t="s">
        <v>592</v>
      </c>
      <c r="D107" s="141">
        <v>2480000</v>
      </c>
      <c r="E107" s="20" t="s">
        <v>478</v>
      </c>
      <c r="F107" s="20" t="s">
        <v>479</v>
      </c>
      <c r="G107" s="8" t="str">
        <f t="shared" si="1"/>
        <v>WHITED DUSTIN</v>
      </c>
    </row>
    <row r="108" spans="1:7" x14ac:dyDescent="0.25">
      <c r="A108" s="8">
        <v>42877.485358796293</v>
      </c>
      <c r="B108" s="20" t="s">
        <v>596</v>
      </c>
      <c r="C108" s="20" t="s">
        <v>709</v>
      </c>
      <c r="D108" s="141">
        <v>890000</v>
      </c>
      <c r="E108" s="20" t="s">
        <v>656</v>
      </c>
      <c r="F108" s="20" t="s">
        <v>657</v>
      </c>
      <c r="G108" s="8" t="str">
        <f t="shared" si="1"/>
        <v>LOZA FIDEL</v>
      </c>
    </row>
    <row r="109" spans="1:7" x14ac:dyDescent="0.25">
      <c r="A109" s="8">
        <v>42877.487337962964</v>
      </c>
      <c r="B109" s="20" t="s">
        <v>475</v>
      </c>
      <c r="C109" s="20" t="s">
        <v>710</v>
      </c>
      <c r="D109" s="141">
        <v>1180000</v>
      </c>
      <c r="E109" s="20" t="s">
        <v>711</v>
      </c>
      <c r="F109" s="20" t="s">
        <v>712</v>
      </c>
      <c r="G109" s="8" t="str">
        <f t="shared" si="1"/>
        <v>LEVERE CRAIG</v>
      </c>
    </row>
    <row r="110" spans="1:7" x14ac:dyDescent="0.25">
      <c r="A110" s="8">
        <v>42877.492824074077</v>
      </c>
      <c r="B110" s="20" t="s">
        <v>470</v>
      </c>
      <c r="C110" s="20" t="s">
        <v>713</v>
      </c>
      <c r="D110" s="141">
        <v>2560000</v>
      </c>
      <c r="E110" s="20" t="s">
        <v>474</v>
      </c>
      <c r="F110" s="20" t="s">
        <v>378</v>
      </c>
      <c r="G110" s="8" t="str">
        <f t="shared" si="1"/>
        <v>MACDONALD THOMAS</v>
      </c>
    </row>
    <row r="111" spans="1:7" x14ac:dyDescent="0.25">
      <c r="A111" s="8">
        <v>42877.497997685183</v>
      </c>
      <c r="B111" s="20" t="s">
        <v>574</v>
      </c>
      <c r="C111" s="20" t="s">
        <v>714</v>
      </c>
      <c r="D111" s="141">
        <v>1770000</v>
      </c>
      <c r="E111" s="20" t="s">
        <v>502</v>
      </c>
      <c r="F111" s="20" t="s">
        <v>503</v>
      </c>
      <c r="G111" s="8" t="str">
        <f t="shared" si="1"/>
        <v>BRUDER RICHARD</v>
      </c>
    </row>
    <row r="112" spans="1:7" x14ac:dyDescent="0.25">
      <c r="A112" s="8">
        <v>42877.498483796298</v>
      </c>
      <c r="B112" s="20" t="s">
        <v>458</v>
      </c>
      <c r="C112" s="20" t="s">
        <v>715</v>
      </c>
      <c r="D112" s="141">
        <v>3040000</v>
      </c>
      <c r="E112" s="20" t="s">
        <v>396</v>
      </c>
      <c r="F112" s="20" t="s">
        <v>397</v>
      </c>
      <c r="G112" s="8" t="str">
        <f t="shared" si="1"/>
        <v>WILLIAMS DONTE</v>
      </c>
    </row>
    <row r="113" spans="1:7" x14ac:dyDescent="0.25">
      <c r="A113" s="8">
        <v>42877.506736111114</v>
      </c>
      <c r="B113" s="20" t="s">
        <v>509</v>
      </c>
      <c r="C113" s="20" t="s">
        <v>716</v>
      </c>
      <c r="D113" s="141">
        <v>920000</v>
      </c>
      <c r="E113" s="20" t="s">
        <v>499</v>
      </c>
      <c r="F113" s="20" t="s">
        <v>196</v>
      </c>
      <c r="G113" s="8" t="str">
        <f t="shared" si="1"/>
        <v>DAVIS MICHAEL</v>
      </c>
    </row>
    <row r="114" spans="1:7" x14ac:dyDescent="0.25">
      <c r="A114" s="8">
        <v>42877.506979166668</v>
      </c>
      <c r="B114" s="20" t="s">
        <v>427</v>
      </c>
      <c r="C114" s="20" t="s">
        <v>717</v>
      </c>
      <c r="D114" s="141">
        <v>2360000</v>
      </c>
      <c r="E114" s="20" t="s">
        <v>718</v>
      </c>
      <c r="F114" s="20" t="s">
        <v>719</v>
      </c>
      <c r="G114" s="8" t="str">
        <f t="shared" si="1"/>
        <v>BRANDNER MELINDA</v>
      </c>
    </row>
    <row r="115" spans="1:7" x14ac:dyDescent="0.25">
      <c r="A115" s="8">
        <v>42877.513159722221</v>
      </c>
      <c r="B115" s="20" t="s">
        <v>429</v>
      </c>
      <c r="C115" s="20" t="s">
        <v>593</v>
      </c>
      <c r="D115" s="141">
        <v>890000</v>
      </c>
      <c r="E115" s="20" t="s">
        <v>656</v>
      </c>
      <c r="F115" s="20" t="s">
        <v>657</v>
      </c>
      <c r="G115" s="8" t="str">
        <f t="shared" si="1"/>
        <v>LOZA FIDEL</v>
      </c>
    </row>
    <row r="116" spans="1:7" x14ac:dyDescent="0.25">
      <c r="A116" s="8">
        <v>42877.514201388891</v>
      </c>
      <c r="B116" s="20" t="s">
        <v>382</v>
      </c>
      <c r="C116" s="20" t="s">
        <v>720</v>
      </c>
      <c r="D116" s="141">
        <v>930000</v>
      </c>
      <c r="E116" s="20" t="s">
        <v>423</v>
      </c>
      <c r="F116" s="20" t="s">
        <v>424</v>
      </c>
      <c r="G116" s="8" t="str">
        <f t="shared" si="1"/>
        <v>CLARK KATHLEEN</v>
      </c>
    </row>
    <row r="117" spans="1:7" x14ac:dyDescent="0.25">
      <c r="A117" s="8">
        <v>42877.519178240742</v>
      </c>
      <c r="B117" s="20" t="s">
        <v>429</v>
      </c>
      <c r="C117" s="20" t="s">
        <v>593</v>
      </c>
      <c r="D117" s="141">
        <v>890000</v>
      </c>
      <c r="E117" s="20" t="s">
        <v>656</v>
      </c>
      <c r="F117" s="20" t="s">
        <v>657</v>
      </c>
      <c r="G117" s="8" t="str">
        <f t="shared" si="1"/>
        <v>LOZA FIDEL</v>
      </c>
    </row>
    <row r="118" spans="1:7" x14ac:dyDescent="0.25">
      <c r="A118" s="8">
        <v>42877.519606481481</v>
      </c>
      <c r="B118" s="20" t="s">
        <v>585</v>
      </c>
      <c r="C118" s="20" t="s">
        <v>594</v>
      </c>
      <c r="D118" s="141">
        <v>2480000</v>
      </c>
      <c r="E118" s="20" t="s">
        <v>478</v>
      </c>
      <c r="F118" s="20" t="s">
        <v>479</v>
      </c>
      <c r="G118" s="8" t="str">
        <f t="shared" si="1"/>
        <v>WHITED DUSTIN</v>
      </c>
    </row>
    <row r="119" spans="1:7" x14ac:dyDescent="0.25">
      <c r="A119" s="8">
        <v>42877.526921296296</v>
      </c>
      <c r="B119" s="20" t="s">
        <v>588</v>
      </c>
      <c r="C119" s="20" t="s">
        <v>721</v>
      </c>
      <c r="D119" s="141">
        <v>1180000</v>
      </c>
      <c r="E119" s="20" t="s">
        <v>711</v>
      </c>
      <c r="F119" s="20" t="s">
        <v>712</v>
      </c>
      <c r="G119" s="8" t="str">
        <f t="shared" si="1"/>
        <v>LEVERE CRAIG</v>
      </c>
    </row>
    <row r="120" spans="1:7" x14ac:dyDescent="0.25">
      <c r="A120" s="8">
        <v>42877.527662037035</v>
      </c>
      <c r="B120" s="20" t="s">
        <v>471</v>
      </c>
      <c r="C120" s="20" t="s">
        <v>722</v>
      </c>
      <c r="D120" s="141">
        <v>2540000</v>
      </c>
      <c r="E120" s="20" t="s">
        <v>506</v>
      </c>
      <c r="F120" s="20" t="s">
        <v>507</v>
      </c>
      <c r="G120" s="8" t="str">
        <f t="shared" si="1"/>
        <v>MCREYNOLDS KYLE</v>
      </c>
    </row>
    <row r="121" spans="1:7" x14ac:dyDescent="0.25">
      <c r="A121" s="8">
        <v>42877.528252314813</v>
      </c>
      <c r="B121" s="20" t="s">
        <v>596</v>
      </c>
      <c r="C121" s="20" t="s">
        <v>723</v>
      </c>
      <c r="D121" s="141">
        <v>890000</v>
      </c>
      <c r="E121" s="20" t="s">
        <v>656</v>
      </c>
      <c r="F121" s="20" t="s">
        <v>657</v>
      </c>
      <c r="G121" s="8" t="str">
        <f t="shared" si="1"/>
        <v>LOZA FIDEL</v>
      </c>
    </row>
    <row r="122" spans="1:7" x14ac:dyDescent="0.25">
      <c r="A122" s="8">
        <v>42877.532442129632</v>
      </c>
      <c r="B122" s="25" t="s">
        <v>585</v>
      </c>
      <c r="C122" s="20" t="s">
        <v>594</v>
      </c>
      <c r="D122" s="141">
        <v>2480000</v>
      </c>
      <c r="E122" s="20" t="s">
        <v>478</v>
      </c>
      <c r="F122" s="20" t="s">
        <v>479</v>
      </c>
      <c r="G122" s="8" t="str">
        <f t="shared" si="1"/>
        <v>WHITED DUSTIN</v>
      </c>
    </row>
    <row r="123" spans="1:7" x14ac:dyDescent="0.25">
      <c r="A123" s="8">
        <v>42877.535995370374</v>
      </c>
      <c r="B123" s="20" t="s">
        <v>582</v>
      </c>
      <c r="C123" s="20" t="s">
        <v>724</v>
      </c>
      <c r="D123" s="141">
        <v>1770000</v>
      </c>
      <c r="E123" s="20" t="s">
        <v>502</v>
      </c>
      <c r="F123" s="20" t="s">
        <v>503</v>
      </c>
      <c r="G123" s="8" t="str">
        <f t="shared" si="1"/>
        <v>BRUDER RICHARD</v>
      </c>
    </row>
    <row r="124" spans="1:7" x14ac:dyDescent="0.25">
      <c r="A124" s="8">
        <v>42877.538807870369</v>
      </c>
      <c r="B124" s="20" t="s">
        <v>508</v>
      </c>
      <c r="C124" s="20" t="s">
        <v>595</v>
      </c>
      <c r="D124" s="141">
        <v>920000</v>
      </c>
      <c r="E124" s="20" t="s">
        <v>499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42877.547222222223</v>
      </c>
      <c r="B125" s="20" t="s">
        <v>428</v>
      </c>
      <c r="C125" s="20" t="s">
        <v>725</v>
      </c>
      <c r="D125" s="141">
        <v>2360000</v>
      </c>
      <c r="E125" s="20" t="s">
        <v>718</v>
      </c>
      <c r="F125" s="20" t="s">
        <v>719</v>
      </c>
      <c r="G125" s="8" t="str">
        <f t="shared" si="1"/>
        <v>BRANDNER MELINDA</v>
      </c>
    </row>
    <row r="126" spans="1:7" x14ac:dyDescent="0.25">
      <c r="A126" s="8">
        <v>42877.550706018519</v>
      </c>
      <c r="B126" s="20" t="s">
        <v>388</v>
      </c>
      <c r="C126" s="20" t="s">
        <v>726</v>
      </c>
      <c r="D126" s="141">
        <v>930000</v>
      </c>
      <c r="E126" s="20" t="s">
        <v>423</v>
      </c>
      <c r="F126" s="20" t="s">
        <v>424</v>
      </c>
      <c r="G126" s="8" t="str">
        <f t="shared" si="1"/>
        <v>CLARK KATHLEEN</v>
      </c>
    </row>
    <row r="127" spans="1:7" x14ac:dyDescent="0.25">
      <c r="A127" s="8">
        <v>42877.554432870369</v>
      </c>
      <c r="B127" s="20" t="s">
        <v>429</v>
      </c>
      <c r="C127" s="20" t="s">
        <v>727</v>
      </c>
      <c r="D127" s="141">
        <v>1300000</v>
      </c>
      <c r="E127" s="20" t="s">
        <v>728</v>
      </c>
      <c r="F127" s="20" t="s">
        <v>729</v>
      </c>
      <c r="G127" s="8" t="str">
        <f t="shared" si="1"/>
        <v>LEVIN SCOTT</v>
      </c>
    </row>
    <row r="128" spans="1:7" x14ac:dyDescent="0.25">
      <c r="A128" s="8">
        <v>42877.557557870372</v>
      </c>
      <c r="B128" s="20" t="s">
        <v>591</v>
      </c>
      <c r="C128" s="20" t="s">
        <v>730</v>
      </c>
      <c r="D128" s="141">
        <v>2480000</v>
      </c>
      <c r="E128" s="20" t="s">
        <v>478</v>
      </c>
      <c r="F128" s="20" t="s">
        <v>479</v>
      </c>
      <c r="G128" s="8" t="str">
        <f t="shared" si="1"/>
        <v>WHITED DUSTIN</v>
      </c>
    </row>
    <row r="129" spans="1:7" x14ac:dyDescent="0.25">
      <c r="A129" s="8">
        <v>42877.559687499997</v>
      </c>
      <c r="B129" s="20" t="s">
        <v>475</v>
      </c>
      <c r="C129" s="20" t="s">
        <v>731</v>
      </c>
      <c r="D129" s="141">
        <v>1180000</v>
      </c>
      <c r="E129" s="20" t="s">
        <v>711</v>
      </c>
      <c r="F129" s="20" t="s">
        <v>712</v>
      </c>
      <c r="G129" s="8" t="str">
        <f t="shared" si="1"/>
        <v>LEVERE CRAIG</v>
      </c>
    </row>
    <row r="130" spans="1:7" x14ac:dyDescent="0.25">
      <c r="A130" s="8">
        <v>42877.56391203704</v>
      </c>
      <c r="B130" s="20" t="s">
        <v>470</v>
      </c>
      <c r="C130" s="20" t="s">
        <v>732</v>
      </c>
      <c r="D130" s="141">
        <v>2540000</v>
      </c>
      <c r="E130" s="20" t="s">
        <v>506</v>
      </c>
      <c r="F130" s="20" t="s">
        <v>507</v>
      </c>
      <c r="G130" s="8" t="str">
        <f t="shared" si="1"/>
        <v>MCREYNOLDS KYLE</v>
      </c>
    </row>
    <row r="131" spans="1:7" x14ac:dyDescent="0.25">
      <c r="A131" s="8">
        <v>42877.567766203705</v>
      </c>
      <c r="B131" s="20" t="s">
        <v>596</v>
      </c>
      <c r="C131" s="20" t="s">
        <v>597</v>
      </c>
      <c r="D131" s="141">
        <v>1300000</v>
      </c>
      <c r="E131" s="20" t="s">
        <v>728</v>
      </c>
      <c r="F131" s="20" t="s">
        <v>729</v>
      </c>
      <c r="G131" s="8" t="str">
        <f t="shared" ref="G131:G194" si="2">E131&amp;" "&amp;F131</f>
        <v>LEVIN SCOTT</v>
      </c>
    </row>
    <row r="132" spans="1:7" x14ac:dyDescent="0.25">
      <c r="A132" s="8">
        <v>42877.569710648146</v>
      </c>
      <c r="B132" s="20" t="s">
        <v>574</v>
      </c>
      <c r="C132" s="20" t="s">
        <v>733</v>
      </c>
      <c r="D132" s="141">
        <v>1770000</v>
      </c>
      <c r="E132" s="20" t="s">
        <v>502</v>
      </c>
      <c r="F132" s="20" t="s">
        <v>503</v>
      </c>
      <c r="G132" s="8" t="str">
        <f t="shared" si="2"/>
        <v>BRUDER RICHARD</v>
      </c>
    </row>
    <row r="133" spans="1:7" x14ac:dyDescent="0.25">
      <c r="A133" s="8">
        <v>42877.580613425926</v>
      </c>
      <c r="B133" s="20" t="s">
        <v>509</v>
      </c>
      <c r="C133" s="20" t="s">
        <v>734</v>
      </c>
      <c r="D133" s="141">
        <v>920000</v>
      </c>
      <c r="E133" s="20" t="s">
        <v>499</v>
      </c>
      <c r="F133" s="20" t="s">
        <v>196</v>
      </c>
      <c r="G133" s="8" t="str">
        <f t="shared" si="2"/>
        <v>DAVIS MICHAEL</v>
      </c>
    </row>
    <row r="134" spans="1:7" x14ac:dyDescent="0.25">
      <c r="A134" s="8">
        <v>42877.580810185187</v>
      </c>
      <c r="B134" s="20" t="s">
        <v>427</v>
      </c>
      <c r="C134" s="20" t="s">
        <v>735</v>
      </c>
      <c r="D134" s="141">
        <v>2360000</v>
      </c>
      <c r="E134" s="20" t="s">
        <v>718</v>
      </c>
      <c r="F134" s="20" t="s">
        <v>719</v>
      </c>
      <c r="G134" s="8" t="str">
        <f t="shared" si="2"/>
        <v>BRANDNER MELINDA</v>
      </c>
    </row>
    <row r="135" spans="1:7" x14ac:dyDescent="0.25">
      <c r="A135" s="8">
        <v>42877.586770833332</v>
      </c>
      <c r="B135" s="20" t="s">
        <v>382</v>
      </c>
      <c r="C135" s="20" t="s">
        <v>600</v>
      </c>
      <c r="D135" s="141">
        <v>930000</v>
      </c>
      <c r="E135" s="20" t="s">
        <v>423</v>
      </c>
      <c r="F135" s="20" t="s">
        <v>424</v>
      </c>
      <c r="G135" s="8" t="str">
        <f t="shared" si="2"/>
        <v>CLARK KATHLEEN</v>
      </c>
    </row>
    <row r="136" spans="1:7" x14ac:dyDescent="0.25">
      <c r="A136" s="8">
        <v>42877.59103009259</v>
      </c>
      <c r="B136" s="20" t="s">
        <v>585</v>
      </c>
      <c r="C136" s="20" t="s">
        <v>598</v>
      </c>
      <c r="D136" s="141">
        <v>2480000</v>
      </c>
      <c r="E136" s="20" t="s">
        <v>478</v>
      </c>
      <c r="F136" s="20" t="s">
        <v>479</v>
      </c>
      <c r="G136" s="8" t="str">
        <f t="shared" si="2"/>
        <v>WHITED DUSTIN</v>
      </c>
    </row>
    <row r="137" spans="1:7" x14ac:dyDescent="0.25">
      <c r="A137" s="8">
        <v>42877.596041666664</v>
      </c>
      <c r="B137" s="20" t="s">
        <v>588</v>
      </c>
      <c r="C137" s="20" t="s">
        <v>736</v>
      </c>
      <c r="D137" s="141">
        <v>1180000</v>
      </c>
      <c r="E137" s="20" t="s">
        <v>711</v>
      </c>
      <c r="F137" s="20" t="s">
        <v>712</v>
      </c>
      <c r="G137" s="8" t="str">
        <f t="shared" si="2"/>
        <v>LEVERE CRAIG</v>
      </c>
    </row>
    <row r="138" spans="1:7" x14ac:dyDescent="0.25">
      <c r="A138" s="8">
        <v>42877.596342592595</v>
      </c>
      <c r="B138" s="20" t="s">
        <v>429</v>
      </c>
      <c r="C138" s="20" t="s">
        <v>737</v>
      </c>
      <c r="D138" s="141">
        <v>1300000</v>
      </c>
      <c r="E138" s="20" t="s">
        <v>728</v>
      </c>
      <c r="F138" s="20" t="s">
        <v>729</v>
      </c>
      <c r="G138" s="8" t="str">
        <f t="shared" si="2"/>
        <v>LEVIN SCOTT</v>
      </c>
    </row>
    <row r="139" spans="1:7" x14ac:dyDescent="0.25">
      <c r="A139" s="8">
        <v>42877.603067129632</v>
      </c>
      <c r="B139" s="20" t="s">
        <v>471</v>
      </c>
      <c r="C139" s="20" t="s">
        <v>599</v>
      </c>
      <c r="D139" s="141">
        <v>2540000</v>
      </c>
      <c r="E139" s="20" t="s">
        <v>506</v>
      </c>
      <c r="F139" s="20" t="s">
        <v>507</v>
      </c>
      <c r="G139" s="8" t="str">
        <f t="shared" si="2"/>
        <v>MCREYNOLDS KYLE</v>
      </c>
    </row>
    <row r="140" spans="1:7" x14ac:dyDescent="0.25">
      <c r="A140" s="8">
        <v>42877.609201388892</v>
      </c>
      <c r="B140" s="20" t="s">
        <v>596</v>
      </c>
      <c r="C140" s="20" t="s">
        <v>738</v>
      </c>
      <c r="D140" s="141">
        <v>1300000</v>
      </c>
      <c r="E140" s="20" t="s">
        <v>728</v>
      </c>
      <c r="F140" s="20" t="s">
        <v>729</v>
      </c>
      <c r="G140" s="8" t="str">
        <f t="shared" si="2"/>
        <v>LEVIN SCOTT</v>
      </c>
    </row>
    <row r="141" spans="1:7" x14ac:dyDescent="0.25">
      <c r="A141" s="8">
        <v>42877.609305555554</v>
      </c>
      <c r="B141" s="20" t="s">
        <v>582</v>
      </c>
      <c r="C141" s="20" t="s">
        <v>739</v>
      </c>
      <c r="D141" s="141">
        <v>1770000</v>
      </c>
      <c r="E141" s="20" t="s">
        <v>502</v>
      </c>
      <c r="F141" s="20" t="s">
        <v>503</v>
      </c>
      <c r="G141" s="8" t="str">
        <f t="shared" si="2"/>
        <v>BRUDER RICHARD</v>
      </c>
    </row>
    <row r="142" spans="1:7" x14ac:dyDescent="0.25">
      <c r="A142" s="8">
        <v>42877.614282407405</v>
      </c>
      <c r="B142" s="20" t="s">
        <v>508</v>
      </c>
      <c r="C142" s="20" t="s">
        <v>740</v>
      </c>
      <c r="D142" s="141">
        <v>920000</v>
      </c>
      <c r="E142" s="20" t="s">
        <v>499</v>
      </c>
      <c r="F142" s="20" t="s">
        <v>196</v>
      </c>
      <c r="G142" s="8" t="str">
        <f t="shared" si="2"/>
        <v>DAVIS MICHAEL</v>
      </c>
    </row>
    <row r="143" spans="1:7" x14ac:dyDescent="0.25">
      <c r="A143" s="8">
        <v>42877.615011574075</v>
      </c>
      <c r="B143" s="20" t="s">
        <v>471</v>
      </c>
      <c r="C143" s="20" t="s">
        <v>599</v>
      </c>
      <c r="D143" s="141">
        <v>2540000</v>
      </c>
      <c r="E143" s="20" t="s">
        <v>506</v>
      </c>
      <c r="F143" s="20" t="s">
        <v>507</v>
      </c>
      <c r="G143" s="8" t="str">
        <f t="shared" si="2"/>
        <v>MCREYNOLDS KYLE</v>
      </c>
    </row>
    <row r="144" spans="1:7" x14ac:dyDescent="0.25">
      <c r="A144" s="8">
        <v>42877.620821759258</v>
      </c>
      <c r="B144" s="20" t="s">
        <v>428</v>
      </c>
      <c r="C144" s="20" t="s">
        <v>741</v>
      </c>
      <c r="D144" s="141">
        <v>2360000</v>
      </c>
      <c r="E144" s="20" t="s">
        <v>718</v>
      </c>
      <c r="F144" s="20" t="s">
        <v>719</v>
      </c>
      <c r="G144" s="8" t="str">
        <f t="shared" si="2"/>
        <v>BRANDNER MELINDA</v>
      </c>
    </row>
    <row r="145" spans="1:7" x14ac:dyDescent="0.25">
      <c r="A145" s="8">
        <v>42877.624594907407</v>
      </c>
      <c r="B145" s="20" t="s">
        <v>388</v>
      </c>
      <c r="C145" s="20" t="s">
        <v>742</v>
      </c>
      <c r="D145" s="141">
        <v>930000</v>
      </c>
      <c r="E145" s="20" t="s">
        <v>423</v>
      </c>
      <c r="F145" s="20" t="s">
        <v>424</v>
      </c>
      <c r="G145" s="8" t="str">
        <f t="shared" si="2"/>
        <v>CLARK KATHLEEN</v>
      </c>
    </row>
    <row r="146" spans="1:7" x14ac:dyDescent="0.25">
      <c r="A146" s="8">
        <v>42877.629201388889</v>
      </c>
      <c r="B146" s="20" t="s">
        <v>591</v>
      </c>
      <c r="C146" s="20" t="s">
        <v>743</v>
      </c>
      <c r="D146" s="141">
        <v>2480000</v>
      </c>
      <c r="E146" s="20" t="s">
        <v>478</v>
      </c>
      <c r="F146" s="20" t="s">
        <v>479</v>
      </c>
      <c r="G146" s="8" t="str">
        <f t="shared" si="2"/>
        <v>WHITED DUSTIN</v>
      </c>
    </row>
    <row r="147" spans="1:7" x14ac:dyDescent="0.25">
      <c r="A147" s="8">
        <v>42877.634814814817</v>
      </c>
      <c r="B147" s="20" t="s">
        <v>475</v>
      </c>
      <c r="C147" s="20" t="s">
        <v>744</v>
      </c>
      <c r="D147" s="141">
        <v>1180000</v>
      </c>
      <c r="E147" s="20" t="s">
        <v>711</v>
      </c>
      <c r="F147" s="20" t="s">
        <v>712</v>
      </c>
      <c r="G147" s="8" t="str">
        <f t="shared" si="2"/>
        <v>LEVERE CRAIG</v>
      </c>
    </row>
    <row r="148" spans="1:7" x14ac:dyDescent="0.25">
      <c r="A148" s="8">
        <v>42877.637719907405</v>
      </c>
      <c r="B148" s="20" t="s">
        <v>429</v>
      </c>
      <c r="C148" s="20" t="s">
        <v>745</v>
      </c>
      <c r="D148" s="141">
        <v>1300000</v>
      </c>
      <c r="E148" s="20" t="s">
        <v>728</v>
      </c>
      <c r="F148" s="20" t="s">
        <v>729</v>
      </c>
      <c r="G148" s="8" t="str">
        <f t="shared" si="2"/>
        <v>LEVIN SCOTT</v>
      </c>
    </row>
    <row r="149" spans="1:7" x14ac:dyDescent="0.25">
      <c r="A149" s="8">
        <v>42877.637719907405</v>
      </c>
      <c r="B149" s="20" t="s">
        <v>459</v>
      </c>
      <c r="C149" s="20" t="s">
        <v>601</v>
      </c>
      <c r="D149" s="141">
        <v>2000000</v>
      </c>
      <c r="E149" s="20" t="s">
        <v>496</v>
      </c>
      <c r="F149" s="20" t="s">
        <v>193</v>
      </c>
      <c r="G149" s="8" t="str">
        <f t="shared" si="2"/>
        <v>STAMBAUGH JAMES</v>
      </c>
    </row>
    <row r="150" spans="1:7" x14ac:dyDescent="0.25">
      <c r="A150" s="8">
        <v>42877.638449074075</v>
      </c>
      <c r="B150" s="20" t="s">
        <v>459</v>
      </c>
      <c r="C150" s="20" t="s">
        <v>601</v>
      </c>
      <c r="D150" s="141">
        <v>2000000</v>
      </c>
      <c r="E150" s="20" t="s">
        <v>496</v>
      </c>
      <c r="F150" s="20" t="s">
        <v>193</v>
      </c>
      <c r="G150" s="8" t="str">
        <f t="shared" si="2"/>
        <v>STAMBAUGH JAMES</v>
      </c>
    </row>
    <row r="151" spans="1:7" x14ac:dyDescent="0.25">
      <c r="A151" s="8">
        <v>42877.638657407406</v>
      </c>
      <c r="B151" s="20" t="s">
        <v>470</v>
      </c>
      <c r="C151" s="20" t="s">
        <v>746</v>
      </c>
      <c r="D151" s="141">
        <v>2540000</v>
      </c>
      <c r="E151" s="20" t="s">
        <v>506</v>
      </c>
      <c r="F151" s="20" t="s">
        <v>507</v>
      </c>
      <c r="G151" s="8" t="str">
        <f t="shared" si="2"/>
        <v>MCREYNOLDS KYLE</v>
      </c>
    </row>
    <row r="152" spans="1:7" x14ac:dyDescent="0.25">
      <c r="A152" s="8">
        <v>42877.639699074076</v>
      </c>
      <c r="B152" s="20" t="s">
        <v>459</v>
      </c>
      <c r="C152" s="20" t="s">
        <v>601</v>
      </c>
      <c r="D152" s="141">
        <v>2000000</v>
      </c>
      <c r="E152" s="20" t="s">
        <v>496</v>
      </c>
      <c r="F152" s="20" t="s">
        <v>193</v>
      </c>
      <c r="G152" s="8" t="str">
        <f t="shared" si="2"/>
        <v>STAMBAUGH JAMES</v>
      </c>
    </row>
    <row r="153" spans="1:7" x14ac:dyDescent="0.25">
      <c r="A153" s="8">
        <v>42877.640949074077</v>
      </c>
      <c r="B153" s="20" t="s">
        <v>459</v>
      </c>
      <c r="C153" s="20" t="s">
        <v>601</v>
      </c>
      <c r="D153" s="141">
        <v>2000000</v>
      </c>
      <c r="E153" s="20" t="s">
        <v>496</v>
      </c>
      <c r="F153" s="20" t="s">
        <v>193</v>
      </c>
      <c r="G153" s="8" t="str">
        <f t="shared" si="2"/>
        <v>STAMBAUGH JAMES</v>
      </c>
    </row>
    <row r="154" spans="1:7" x14ac:dyDescent="0.25">
      <c r="A154" s="8">
        <v>42877.643125000002</v>
      </c>
      <c r="B154" s="20" t="s">
        <v>574</v>
      </c>
      <c r="C154" s="20" t="s">
        <v>747</v>
      </c>
      <c r="D154" s="141">
        <v>1770000</v>
      </c>
      <c r="E154" s="20" t="s">
        <v>502</v>
      </c>
      <c r="F154" s="20" t="s">
        <v>503</v>
      </c>
      <c r="G154" s="8" t="str">
        <f t="shared" si="2"/>
        <v>BRUDER RICHARD</v>
      </c>
    </row>
    <row r="155" spans="1:7" x14ac:dyDescent="0.25">
      <c r="A155" s="8">
        <v>42877.650995370372</v>
      </c>
      <c r="B155" s="20" t="s">
        <v>596</v>
      </c>
      <c r="C155" s="20" t="s">
        <v>748</v>
      </c>
      <c r="D155" s="141">
        <v>1300000</v>
      </c>
      <c r="E155" s="20" t="s">
        <v>728</v>
      </c>
      <c r="F155" s="20" t="s">
        <v>729</v>
      </c>
      <c r="G155" s="8" t="str">
        <f t="shared" si="2"/>
        <v>LEVIN SCOTT</v>
      </c>
    </row>
    <row r="156" spans="1:7" x14ac:dyDescent="0.25">
      <c r="A156" s="8">
        <v>42877.651967592596</v>
      </c>
      <c r="B156" s="20" t="s">
        <v>421</v>
      </c>
      <c r="C156" s="20" t="s">
        <v>749</v>
      </c>
      <c r="D156" s="141">
        <v>2000000</v>
      </c>
      <c r="E156" s="20" t="s">
        <v>496</v>
      </c>
      <c r="F156" s="20" t="s">
        <v>193</v>
      </c>
      <c r="G156" s="8" t="str">
        <f t="shared" si="2"/>
        <v>STAMBAUGH JAMES</v>
      </c>
    </row>
    <row r="157" spans="1:7" x14ac:dyDescent="0.25">
      <c r="A157" s="8">
        <v>42877.65216435185</v>
      </c>
      <c r="B157" s="20" t="s">
        <v>509</v>
      </c>
      <c r="C157" s="20" t="s">
        <v>750</v>
      </c>
      <c r="D157" s="141">
        <v>920000</v>
      </c>
      <c r="E157" s="20" t="s">
        <v>499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42877.657581018517</v>
      </c>
      <c r="B158" s="20" t="s">
        <v>427</v>
      </c>
      <c r="C158" s="20" t="s">
        <v>751</v>
      </c>
      <c r="D158" s="141">
        <v>2360000</v>
      </c>
      <c r="E158" s="20" t="s">
        <v>718</v>
      </c>
      <c r="F158" s="20" t="s">
        <v>719</v>
      </c>
      <c r="G158" s="8" t="str">
        <f t="shared" si="2"/>
        <v>BRANDNER MELINDA</v>
      </c>
    </row>
    <row r="159" spans="1:7" x14ac:dyDescent="0.25">
      <c r="A159" s="8">
        <v>42877.660081018519</v>
      </c>
      <c r="B159" s="20" t="s">
        <v>382</v>
      </c>
      <c r="C159" s="20" t="s">
        <v>752</v>
      </c>
      <c r="D159" s="141">
        <v>930000</v>
      </c>
      <c r="E159" s="20" t="s">
        <v>423</v>
      </c>
      <c r="F159" s="20" t="s">
        <v>424</v>
      </c>
      <c r="G159" s="8" t="str">
        <f t="shared" si="2"/>
        <v>CLARK KATHLEEN</v>
      </c>
    </row>
    <row r="160" spans="1:7" x14ac:dyDescent="0.25">
      <c r="A160" s="8">
        <v>42877.6643287037</v>
      </c>
      <c r="B160" s="20" t="s">
        <v>585</v>
      </c>
      <c r="C160" s="20" t="s">
        <v>602</v>
      </c>
      <c r="D160" s="141">
        <v>2480000</v>
      </c>
      <c r="E160" s="20" t="s">
        <v>478</v>
      </c>
      <c r="F160" s="20" t="s">
        <v>479</v>
      </c>
      <c r="G160" s="8" t="str">
        <f t="shared" si="2"/>
        <v>WHITED DUSTIN</v>
      </c>
    </row>
    <row r="161" spans="1:7" x14ac:dyDescent="0.25">
      <c r="A161" s="8">
        <v>42877.670428240737</v>
      </c>
      <c r="B161" s="20" t="s">
        <v>588</v>
      </c>
      <c r="C161" s="20" t="s">
        <v>753</v>
      </c>
      <c r="D161" s="141">
        <v>1180000</v>
      </c>
      <c r="E161" s="20" t="s">
        <v>711</v>
      </c>
      <c r="F161" s="20" t="s">
        <v>712</v>
      </c>
      <c r="G161" s="8" t="str">
        <f t="shared" si="2"/>
        <v>LEVERE CRAIG</v>
      </c>
    </row>
    <row r="162" spans="1:7" x14ac:dyDescent="0.25">
      <c r="A162" s="8">
        <v>42877.671724537038</v>
      </c>
      <c r="B162" s="20" t="s">
        <v>459</v>
      </c>
      <c r="C162" s="20" t="s">
        <v>754</v>
      </c>
      <c r="D162" s="141">
        <v>2000000</v>
      </c>
      <c r="E162" s="20" t="s">
        <v>496</v>
      </c>
      <c r="F162" s="20" t="s">
        <v>193</v>
      </c>
      <c r="G162" s="8" t="str">
        <f t="shared" si="2"/>
        <v>STAMBAUGH JAMES</v>
      </c>
    </row>
    <row r="163" spans="1:7" x14ac:dyDescent="0.25">
      <c r="A163" s="8">
        <v>42877.674791666665</v>
      </c>
      <c r="B163" s="20" t="s">
        <v>471</v>
      </c>
      <c r="C163" s="20" t="s">
        <v>755</v>
      </c>
      <c r="D163" s="141">
        <v>2540000</v>
      </c>
      <c r="E163" s="20" t="s">
        <v>506</v>
      </c>
      <c r="F163" s="20" t="s">
        <v>507</v>
      </c>
      <c r="G163" s="8" t="str">
        <f t="shared" si="2"/>
        <v>MCREYNOLDS KYLE</v>
      </c>
    </row>
    <row r="164" spans="1:7" x14ac:dyDescent="0.25">
      <c r="A164" s="8">
        <v>42877.679270833331</v>
      </c>
      <c r="B164" s="20" t="s">
        <v>429</v>
      </c>
      <c r="C164" s="20" t="s">
        <v>603</v>
      </c>
      <c r="D164" s="141">
        <v>1300000</v>
      </c>
      <c r="E164" s="20" t="s">
        <v>728</v>
      </c>
      <c r="F164" s="20" t="s">
        <v>729</v>
      </c>
      <c r="G164" s="8" t="str">
        <f t="shared" si="2"/>
        <v>LEVIN SCOTT</v>
      </c>
    </row>
    <row r="165" spans="1:7" x14ac:dyDescent="0.25">
      <c r="A165" s="8">
        <v>42877.680787037039</v>
      </c>
      <c r="B165" s="20" t="s">
        <v>582</v>
      </c>
      <c r="C165" s="20" t="s">
        <v>756</v>
      </c>
      <c r="D165" s="141">
        <v>1770000</v>
      </c>
      <c r="E165" s="20" t="s">
        <v>502</v>
      </c>
      <c r="F165" s="20" t="s">
        <v>503</v>
      </c>
      <c r="G165" s="8" t="str">
        <f t="shared" si="2"/>
        <v>BRUDER RICHARD</v>
      </c>
    </row>
    <row r="166" spans="1:7" x14ac:dyDescent="0.25">
      <c r="A166" s="8">
        <v>42877.683321759258</v>
      </c>
      <c r="B166" s="20" t="s">
        <v>585</v>
      </c>
      <c r="C166" s="20" t="s">
        <v>602</v>
      </c>
      <c r="D166" s="141">
        <v>2480000</v>
      </c>
      <c r="E166" s="20" t="s">
        <v>478</v>
      </c>
      <c r="F166" s="20" t="s">
        <v>479</v>
      </c>
      <c r="G166" s="8" t="str">
        <f t="shared" si="2"/>
        <v>WHITED DUSTIN</v>
      </c>
    </row>
    <row r="167" spans="1:7" x14ac:dyDescent="0.25">
      <c r="A167" s="8">
        <v>42877.685624999998</v>
      </c>
      <c r="B167" s="20" t="s">
        <v>508</v>
      </c>
      <c r="C167" s="20" t="s">
        <v>757</v>
      </c>
      <c r="D167" s="141">
        <v>920000</v>
      </c>
      <c r="E167" s="20" t="s">
        <v>499</v>
      </c>
      <c r="F167" s="20" t="s">
        <v>196</v>
      </c>
      <c r="G167" s="8" t="str">
        <f t="shared" si="2"/>
        <v>DAVIS MICHAEL</v>
      </c>
    </row>
    <row r="168" spans="1:7" x14ac:dyDescent="0.25">
      <c r="A168" s="8">
        <v>42877.685671296298</v>
      </c>
      <c r="B168" s="20" t="s">
        <v>421</v>
      </c>
      <c r="C168" s="20" t="s">
        <v>758</v>
      </c>
      <c r="D168" s="141">
        <v>2000000</v>
      </c>
      <c r="E168" s="20" t="s">
        <v>496</v>
      </c>
      <c r="F168" s="20" t="s">
        <v>193</v>
      </c>
      <c r="G168" s="8" t="str">
        <f t="shared" si="2"/>
        <v>STAMBAUGH JAMES</v>
      </c>
    </row>
    <row r="169" spans="1:7" x14ac:dyDescent="0.25">
      <c r="A169" s="8">
        <v>42877.693171296298</v>
      </c>
      <c r="B169" s="20" t="s">
        <v>596</v>
      </c>
      <c r="C169" s="20" t="s">
        <v>759</v>
      </c>
      <c r="D169" s="141">
        <v>1300000</v>
      </c>
      <c r="E169" s="20" t="s">
        <v>728</v>
      </c>
      <c r="F169" s="20" t="s">
        <v>729</v>
      </c>
      <c r="G169" s="8" t="str">
        <f t="shared" si="2"/>
        <v>LEVIN SCOTT</v>
      </c>
    </row>
    <row r="170" spans="1:7" x14ac:dyDescent="0.25">
      <c r="A170" s="8">
        <v>42877.693298611113</v>
      </c>
      <c r="B170" s="20" t="s">
        <v>428</v>
      </c>
      <c r="C170" s="20" t="s">
        <v>605</v>
      </c>
      <c r="D170" s="141">
        <v>2360000</v>
      </c>
      <c r="E170" s="20" t="s">
        <v>718</v>
      </c>
      <c r="F170" s="20" t="s">
        <v>719</v>
      </c>
      <c r="G170" s="8" t="str">
        <f t="shared" si="2"/>
        <v>BRANDNER MELINDA</v>
      </c>
    </row>
    <row r="171" spans="1:7" x14ac:dyDescent="0.25">
      <c r="A171" s="8">
        <v>42877.694733796299</v>
      </c>
      <c r="B171" s="20" t="s">
        <v>388</v>
      </c>
      <c r="C171" s="20" t="s">
        <v>760</v>
      </c>
      <c r="D171" s="141">
        <v>930000</v>
      </c>
      <c r="E171" s="20" t="s">
        <v>423</v>
      </c>
      <c r="F171" s="20" t="s">
        <v>424</v>
      </c>
      <c r="G171" s="8" t="str">
        <f t="shared" si="2"/>
        <v>CLARK KATHLEEN</v>
      </c>
    </row>
    <row r="172" spans="1:7" x14ac:dyDescent="0.25">
      <c r="A172" s="8">
        <v>42877.703009259261</v>
      </c>
      <c r="B172" s="20" t="s">
        <v>591</v>
      </c>
      <c r="C172" s="20" t="s">
        <v>761</v>
      </c>
      <c r="D172" s="141">
        <v>2480000</v>
      </c>
      <c r="E172" s="20" t="s">
        <v>478</v>
      </c>
      <c r="F172" s="20" t="s">
        <v>479</v>
      </c>
      <c r="G172" s="8" t="str">
        <f t="shared" si="2"/>
        <v>WHITED DUSTIN</v>
      </c>
    </row>
    <row r="173" spans="1:7" x14ac:dyDescent="0.25">
      <c r="A173" s="8">
        <v>42877.707476851851</v>
      </c>
      <c r="B173" s="20" t="s">
        <v>475</v>
      </c>
      <c r="C173" s="20" t="s">
        <v>762</v>
      </c>
      <c r="D173" s="141">
        <v>1180000</v>
      </c>
      <c r="E173" s="20" t="s">
        <v>711</v>
      </c>
      <c r="F173" s="20" t="s">
        <v>712</v>
      </c>
      <c r="G173" s="8" t="str">
        <f t="shared" si="2"/>
        <v>LEVERE CRAIG</v>
      </c>
    </row>
    <row r="174" spans="1:7" x14ac:dyDescent="0.25">
      <c r="A174" s="8">
        <v>42877.710104166668</v>
      </c>
      <c r="B174" s="20" t="s">
        <v>345</v>
      </c>
      <c r="C174" s="20" t="s">
        <v>763</v>
      </c>
      <c r="D174" s="141">
        <v>2140000</v>
      </c>
      <c r="E174" s="20" t="s">
        <v>472</v>
      </c>
      <c r="F174" s="20" t="s">
        <v>473</v>
      </c>
      <c r="G174" s="8" t="str">
        <f t="shared" si="2"/>
        <v>ROBINSON KADDIBA</v>
      </c>
    </row>
    <row r="175" spans="1:7" x14ac:dyDescent="0.25">
      <c r="A175" s="8">
        <v>42877.710601851853</v>
      </c>
      <c r="B175" s="20" t="s">
        <v>470</v>
      </c>
      <c r="C175" s="20" t="s">
        <v>764</v>
      </c>
      <c r="D175" s="141">
        <v>2540000</v>
      </c>
      <c r="E175" s="20" t="s">
        <v>506</v>
      </c>
      <c r="F175" s="20" t="s">
        <v>507</v>
      </c>
      <c r="G175" s="8" t="str">
        <f t="shared" si="2"/>
        <v>MCREYNOLDS KYLE</v>
      </c>
    </row>
    <row r="176" spans="1:7" x14ac:dyDescent="0.25">
      <c r="A176" s="8">
        <v>42877.710717592592</v>
      </c>
      <c r="B176" s="20" t="s">
        <v>345</v>
      </c>
      <c r="C176" s="20" t="s">
        <v>763</v>
      </c>
      <c r="D176" s="141">
        <v>2140000</v>
      </c>
      <c r="E176" s="20" t="s">
        <v>472</v>
      </c>
      <c r="F176" s="20" t="s">
        <v>473</v>
      </c>
      <c r="G176" s="8" t="str">
        <f t="shared" si="2"/>
        <v>ROBINSON KADDIBA</v>
      </c>
    </row>
    <row r="177" spans="1:7" x14ac:dyDescent="0.25">
      <c r="A177" s="8">
        <v>42877.714930555558</v>
      </c>
      <c r="B177" s="20" t="s">
        <v>459</v>
      </c>
      <c r="C177" s="20" t="s">
        <v>604</v>
      </c>
      <c r="D177" s="141">
        <v>2000000</v>
      </c>
      <c r="E177" s="20" t="s">
        <v>496</v>
      </c>
      <c r="F177" s="20" t="s">
        <v>193</v>
      </c>
      <c r="G177" s="8" t="str">
        <f t="shared" si="2"/>
        <v>STAMBAUGH JAMES</v>
      </c>
    </row>
    <row r="178" spans="1:7" x14ac:dyDescent="0.25">
      <c r="A178" s="8">
        <v>42877.717511574076</v>
      </c>
      <c r="B178" s="20" t="s">
        <v>574</v>
      </c>
      <c r="C178" s="20" t="s">
        <v>606</v>
      </c>
      <c r="D178" s="141">
        <v>1770000</v>
      </c>
      <c r="E178" s="20" t="s">
        <v>502</v>
      </c>
      <c r="F178" s="20" t="s">
        <v>503</v>
      </c>
      <c r="G178" s="8" t="str">
        <f t="shared" si="2"/>
        <v>BRUDER RICHARD</v>
      </c>
    </row>
    <row r="179" spans="1:7" x14ac:dyDescent="0.25">
      <c r="A179" s="8">
        <v>42877.721134259256</v>
      </c>
      <c r="B179" s="20" t="s">
        <v>429</v>
      </c>
      <c r="C179" s="20" t="s">
        <v>765</v>
      </c>
      <c r="D179" s="141">
        <v>1300000</v>
      </c>
      <c r="E179" s="20" t="s">
        <v>728</v>
      </c>
      <c r="F179" s="20" t="s">
        <v>729</v>
      </c>
      <c r="G179" s="8" t="str">
        <f t="shared" si="2"/>
        <v>LEVIN SCOTT</v>
      </c>
    </row>
    <row r="180" spans="1:7" x14ac:dyDescent="0.25">
      <c r="A180" s="8">
        <v>42877.72315972222</v>
      </c>
      <c r="B180" s="20" t="s">
        <v>435</v>
      </c>
      <c r="C180" s="20" t="s">
        <v>766</v>
      </c>
      <c r="D180" s="141">
        <v>2470000</v>
      </c>
      <c r="E180" s="20" t="s">
        <v>504</v>
      </c>
      <c r="F180" s="20" t="s">
        <v>505</v>
      </c>
      <c r="G180" s="8" t="str">
        <f t="shared" si="2"/>
        <v>ROMERO CHAD</v>
      </c>
    </row>
    <row r="181" spans="1:7" x14ac:dyDescent="0.25">
      <c r="A181" s="8">
        <v>42877.725219907406</v>
      </c>
      <c r="B181" s="20" t="s">
        <v>509</v>
      </c>
      <c r="C181" s="20" t="s">
        <v>767</v>
      </c>
      <c r="D181" s="141">
        <v>920000</v>
      </c>
      <c r="E181" s="20" t="s">
        <v>499</v>
      </c>
      <c r="F181" s="20" t="s">
        <v>196</v>
      </c>
      <c r="G181" s="8" t="str">
        <f t="shared" si="2"/>
        <v>DAVIS MICHAEL</v>
      </c>
    </row>
    <row r="182" spans="1:7" x14ac:dyDescent="0.25">
      <c r="A182" s="8">
        <v>42877.728159722225</v>
      </c>
      <c r="B182" s="20" t="s">
        <v>427</v>
      </c>
      <c r="C182" s="20" t="s">
        <v>768</v>
      </c>
      <c r="D182" s="141">
        <v>2360000</v>
      </c>
      <c r="E182" s="20" t="s">
        <v>718</v>
      </c>
      <c r="F182" s="20" t="s">
        <v>719</v>
      </c>
      <c r="G182" s="8" t="str">
        <f t="shared" si="2"/>
        <v>BRANDNER MELINDA</v>
      </c>
    </row>
    <row r="183" spans="1:7" x14ac:dyDescent="0.25">
      <c r="A183" s="8">
        <v>42877.729131944441</v>
      </c>
      <c r="B183" s="20" t="s">
        <v>421</v>
      </c>
      <c r="C183" s="20" t="s">
        <v>607</v>
      </c>
      <c r="D183" s="141">
        <v>2000000</v>
      </c>
      <c r="E183" s="20" t="s">
        <v>496</v>
      </c>
      <c r="F183" s="20" t="s">
        <v>193</v>
      </c>
      <c r="G183" s="8" t="str">
        <f t="shared" si="2"/>
        <v>STAMBAUGH JAMES</v>
      </c>
    </row>
    <row r="184" spans="1:7" x14ac:dyDescent="0.25">
      <c r="A184" s="8">
        <v>42877.732418981483</v>
      </c>
      <c r="B184" s="20" t="s">
        <v>382</v>
      </c>
      <c r="C184" s="20" t="s">
        <v>769</v>
      </c>
      <c r="D184" s="141">
        <v>930000</v>
      </c>
      <c r="E184" s="20" t="s">
        <v>423</v>
      </c>
      <c r="F184" s="20" t="s">
        <v>424</v>
      </c>
      <c r="G184" s="8" t="str">
        <f t="shared" si="2"/>
        <v>CLARK KATHLEEN</v>
      </c>
    </row>
    <row r="185" spans="1:7" x14ac:dyDescent="0.25">
      <c r="A185" s="8">
        <v>42877.734351851854</v>
      </c>
      <c r="B185" s="20" t="s">
        <v>596</v>
      </c>
      <c r="C185" s="20" t="s">
        <v>608</v>
      </c>
      <c r="D185" s="141">
        <v>1300000</v>
      </c>
      <c r="E185" s="20" t="s">
        <v>728</v>
      </c>
      <c r="F185" s="20" t="s">
        <v>729</v>
      </c>
      <c r="G185" s="8" t="str">
        <f t="shared" si="2"/>
        <v>LEVIN SCOTT</v>
      </c>
    </row>
    <row r="186" spans="1:7" x14ac:dyDescent="0.25">
      <c r="A186" s="8">
        <v>42877.738321759258</v>
      </c>
      <c r="B186" s="20" t="s">
        <v>585</v>
      </c>
      <c r="C186" s="20" t="s">
        <v>770</v>
      </c>
      <c r="D186" s="141">
        <v>2230000</v>
      </c>
      <c r="E186" s="20" t="s">
        <v>346</v>
      </c>
      <c r="F186" s="20" t="s">
        <v>196</v>
      </c>
      <c r="G186" s="8" t="str">
        <f t="shared" si="2"/>
        <v>SMITH MICHAEL</v>
      </c>
    </row>
    <row r="187" spans="1:7" x14ac:dyDescent="0.25">
      <c r="A187" s="8">
        <v>42877.742407407408</v>
      </c>
      <c r="B187" s="20" t="s">
        <v>588</v>
      </c>
      <c r="C187" s="20" t="s">
        <v>771</v>
      </c>
      <c r="D187" s="141">
        <v>1180000</v>
      </c>
      <c r="E187" s="20" t="s">
        <v>711</v>
      </c>
      <c r="F187" s="20" t="s">
        <v>712</v>
      </c>
      <c r="G187" s="8" t="str">
        <f t="shared" si="2"/>
        <v>LEVERE CRAIG</v>
      </c>
    </row>
    <row r="188" spans="1:7" x14ac:dyDescent="0.25">
      <c r="A188" s="8">
        <v>42877.74527777778</v>
      </c>
      <c r="B188" s="20" t="s">
        <v>471</v>
      </c>
      <c r="C188" s="20" t="s">
        <v>772</v>
      </c>
      <c r="D188" s="141">
        <v>2540000</v>
      </c>
      <c r="E188" s="20" t="s">
        <v>506</v>
      </c>
      <c r="F188" s="20" t="s">
        <v>507</v>
      </c>
      <c r="G188" s="8" t="str">
        <f t="shared" si="2"/>
        <v>MCREYNOLDS KYLE</v>
      </c>
    </row>
    <row r="189" spans="1:7" x14ac:dyDescent="0.25">
      <c r="A189" s="8">
        <v>42877.750648148147</v>
      </c>
      <c r="B189" s="20" t="s">
        <v>430</v>
      </c>
      <c r="C189" s="20" t="s">
        <v>773</v>
      </c>
      <c r="D189" s="141">
        <v>2680000</v>
      </c>
      <c r="E189" s="20" t="s">
        <v>510</v>
      </c>
      <c r="F189" s="20" t="s">
        <v>511</v>
      </c>
      <c r="G189" s="8" t="str">
        <f t="shared" si="2"/>
        <v>DUNCAN SHEILA</v>
      </c>
    </row>
    <row r="190" spans="1:7" x14ac:dyDescent="0.25">
      <c r="A190" s="8">
        <v>42877.755381944444</v>
      </c>
      <c r="B190" s="20" t="s">
        <v>582</v>
      </c>
      <c r="C190" s="20" t="s">
        <v>774</v>
      </c>
      <c r="D190" s="141">
        <v>1770000</v>
      </c>
      <c r="E190" s="20" t="s">
        <v>502</v>
      </c>
      <c r="F190" s="20" t="s">
        <v>503</v>
      </c>
      <c r="G190" s="8" t="str">
        <f t="shared" si="2"/>
        <v>BRUDER RICHARD</v>
      </c>
    </row>
    <row r="191" spans="1:7" x14ac:dyDescent="0.25">
      <c r="A191" s="8">
        <v>42877.755740740744</v>
      </c>
      <c r="B191" s="20" t="s">
        <v>459</v>
      </c>
      <c r="C191" s="20" t="s">
        <v>609</v>
      </c>
      <c r="D191" s="141">
        <v>2000000</v>
      </c>
      <c r="E191" s="20" t="s">
        <v>496</v>
      </c>
      <c r="F191" s="20" t="s">
        <v>193</v>
      </c>
      <c r="G191" s="8" t="str">
        <f t="shared" si="2"/>
        <v>STAMBAUGH JAMES</v>
      </c>
    </row>
    <row r="192" spans="1:7" x14ac:dyDescent="0.25">
      <c r="A192" s="8">
        <v>42877.758275462962</v>
      </c>
      <c r="B192" s="20" t="s">
        <v>508</v>
      </c>
      <c r="C192" s="20" t="s">
        <v>775</v>
      </c>
      <c r="D192" s="141">
        <v>2610000</v>
      </c>
      <c r="E192" s="20" t="s">
        <v>512</v>
      </c>
      <c r="F192" s="20" t="s">
        <v>513</v>
      </c>
      <c r="G192" s="8" t="str">
        <f t="shared" si="2"/>
        <v>MAGEE KENYA</v>
      </c>
    </row>
    <row r="193" spans="1:7" x14ac:dyDescent="0.25">
      <c r="A193" s="8">
        <v>42877.762766203705</v>
      </c>
      <c r="B193" s="20" t="s">
        <v>429</v>
      </c>
      <c r="C193" s="20" t="s">
        <v>776</v>
      </c>
      <c r="D193" s="141">
        <v>1300000</v>
      </c>
      <c r="E193" s="20" t="s">
        <v>728</v>
      </c>
      <c r="F193" s="20" t="s">
        <v>729</v>
      </c>
      <c r="G193" s="8" t="str">
        <f t="shared" si="2"/>
        <v>LEVIN SCOTT</v>
      </c>
    </row>
    <row r="194" spans="1:7" x14ac:dyDescent="0.25">
      <c r="A194" s="8">
        <v>42877.765509259261</v>
      </c>
      <c r="B194" s="20" t="s">
        <v>428</v>
      </c>
      <c r="C194" s="20" t="s">
        <v>610</v>
      </c>
      <c r="D194" s="141">
        <v>2360000</v>
      </c>
      <c r="E194" s="20" t="s">
        <v>718</v>
      </c>
      <c r="F194" s="20" t="s">
        <v>719</v>
      </c>
      <c r="G194" s="8" t="str">
        <f t="shared" si="2"/>
        <v>BRANDNER MELINDA</v>
      </c>
    </row>
    <row r="195" spans="1:7" x14ac:dyDescent="0.25">
      <c r="A195" s="8">
        <v>42877.767395833333</v>
      </c>
      <c r="B195" s="20" t="s">
        <v>388</v>
      </c>
      <c r="C195" s="20" t="s">
        <v>777</v>
      </c>
      <c r="D195" s="141">
        <v>2970000</v>
      </c>
      <c r="E195" s="20" t="s">
        <v>393</v>
      </c>
      <c r="F195" s="20" t="s">
        <v>394</v>
      </c>
      <c r="G195" s="8" t="str">
        <f t="shared" ref="G195:G258" si="3">E195&amp;" "&amp;F195</f>
        <v>GUZMAN DANNY</v>
      </c>
    </row>
    <row r="196" spans="1:7" x14ac:dyDescent="0.25">
      <c r="A196" s="8">
        <v>42877.76934027778</v>
      </c>
      <c r="B196" s="20" t="s">
        <v>421</v>
      </c>
      <c r="C196" s="20" t="s">
        <v>612</v>
      </c>
      <c r="D196" s="141">
        <v>2000000</v>
      </c>
      <c r="E196" s="20" t="s">
        <v>496</v>
      </c>
      <c r="F196" s="20" t="s">
        <v>193</v>
      </c>
      <c r="G196" s="8" t="str">
        <f t="shared" si="3"/>
        <v>STAMBAUGH JAMES</v>
      </c>
    </row>
    <row r="197" spans="1:7" x14ac:dyDescent="0.25">
      <c r="A197" s="8">
        <v>42877.774629629632</v>
      </c>
      <c r="B197" s="20" t="s">
        <v>591</v>
      </c>
      <c r="C197" s="20" t="s">
        <v>778</v>
      </c>
      <c r="D197" s="141">
        <v>2230000</v>
      </c>
      <c r="E197" s="20" t="s">
        <v>346</v>
      </c>
      <c r="F197" s="20" t="s">
        <v>196</v>
      </c>
      <c r="G197" s="8" t="str">
        <f t="shared" si="3"/>
        <v>SMITH MICHAEL</v>
      </c>
    </row>
    <row r="198" spans="1:7" x14ac:dyDescent="0.25">
      <c r="A198" s="8">
        <v>42877.776331018518</v>
      </c>
      <c r="B198" s="20" t="s">
        <v>596</v>
      </c>
      <c r="C198" s="20" t="s">
        <v>779</v>
      </c>
      <c r="D198" s="141">
        <v>1300000</v>
      </c>
      <c r="E198" s="20" t="s">
        <v>728</v>
      </c>
      <c r="F198" s="20" t="s">
        <v>729</v>
      </c>
      <c r="G198" s="8" t="str">
        <f t="shared" si="3"/>
        <v>LEVIN SCOTT</v>
      </c>
    </row>
    <row r="199" spans="1:7" x14ac:dyDescent="0.25">
      <c r="A199" s="8">
        <v>42877.780949074076</v>
      </c>
      <c r="B199" s="20" t="s">
        <v>475</v>
      </c>
      <c r="C199" s="20" t="s">
        <v>780</v>
      </c>
      <c r="D199" s="141">
        <v>1180000</v>
      </c>
      <c r="E199" s="20" t="s">
        <v>711</v>
      </c>
      <c r="F199" s="20" t="s">
        <v>712</v>
      </c>
      <c r="G199" s="8" t="str">
        <f t="shared" si="3"/>
        <v>LEVERE CRAIG</v>
      </c>
    </row>
    <row r="200" spans="1:7" x14ac:dyDescent="0.25">
      <c r="A200" s="8">
        <v>42877.782048611109</v>
      </c>
      <c r="B200" s="20" t="s">
        <v>470</v>
      </c>
      <c r="C200" s="20" t="s">
        <v>611</v>
      </c>
      <c r="D200" s="141">
        <v>2540000</v>
      </c>
      <c r="E200" s="20" t="s">
        <v>506</v>
      </c>
      <c r="F200" s="20" t="s">
        <v>507</v>
      </c>
      <c r="G200" s="8" t="str">
        <f t="shared" si="3"/>
        <v>MCREYNOLDS KYLE</v>
      </c>
    </row>
    <row r="201" spans="1:7" x14ac:dyDescent="0.25">
      <c r="A201" s="8">
        <v>42877.786643518521</v>
      </c>
      <c r="B201" s="20" t="s">
        <v>574</v>
      </c>
      <c r="C201" s="20" t="s">
        <v>781</v>
      </c>
      <c r="D201" s="141">
        <v>2620000</v>
      </c>
      <c r="E201" s="20" t="s">
        <v>480</v>
      </c>
      <c r="F201" s="20" t="s">
        <v>481</v>
      </c>
      <c r="G201" s="8" t="str">
        <f t="shared" si="3"/>
        <v>PERKINS DARREN</v>
      </c>
    </row>
    <row r="202" spans="1:7" x14ac:dyDescent="0.25">
      <c r="A202" s="26">
        <v>42877.797326388885</v>
      </c>
      <c r="B202" s="20" t="s">
        <v>459</v>
      </c>
      <c r="C202" s="20" t="s">
        <v>782</v>
      </c>
      <c r="D202" s="141">
        <v>2000000</v>
      </c>
      <c r="E202" s="20" t="s">
        <v>496</v>
      </c>
      <c r="F202" s="20" t="s">
        <v>193</v>
      </c>
      <c r="G202" s="8" t="str">
        <f t="shared" si="3"/>
        <v>STAMBAUGH JAMES</v>
      </c>
    </row>
    <row r="203" spans="1:7" x14ac:dyDescent="0.25">
      <c r="A203" s="8">
        <v>42877.797731481478</v>
      </c>
      <c r="B203" s="20" t="s">
        <v>509</v>
      </c>
      <c r="C203" s="20" t="s">
        <v>614</v>
      </c>
      <c r="D203" s="141">
        <v>2610000</v>
      </c>
      <c r="E203" s="20" t="s">
        <v>512</v>
      </c>
      <c r="F203" s="20" t="s">
        <v>513</v>
      </c>
      <c r="G203" s="8" t="str">
        <f t="shared" si="3"/>
        <v>MAGEE KENYA</v>
      </c>
    </row>
    <row r="204" spans="1:7" x14ac:dyDescent="0.25">
      <c r="A204" s="8">
        <v>42877.799710648149</v>
      </c>
      <c r="B204" s="20" t="s">
        <v>427</v>
      </c>
      <c r="C204" s="20" t="s">
        <v>783</v>
      </c>
      <c r="D204" s="141">
        <v>2360000</v>
      </c>
      <c r="E204" s="20" t="s">
        <v>718</v>
      </c>
      <c r="F204" s="20" t="s">
        <v>719</v>
      </c>
      <c r="G204" s="8" t="str">
        <f t="shared" si="3"/>
        <v>BRANDNER MELINDA</v>
      </c>
    </row>
    <row r="205" spans="1:7" x14ac:dyDescent="0.25">
      <c r="A205" s="8">
        <v>42877.802361111113</v>
      </c>
      <c r="B205" s="20" t="s">
        <v>382</v>
      </c>
      <c r="C205" s="20" t="s">
        <v>784</v>
      </c>
      <c r="D205" s="141">
        <v>2970000</v>
      </c>
      <c r="E205" s="20" t="s">
        <v>393</v>
      </c>
      <c r="F205" s="20" t="s">
        <v>394</v>
      </c>
      <c r="G205" s="8" t="str">
        <f t="shared" si="3"/>
        <v>GUZMAN DANNY</v>
      </c>
    </row>
    <row r="206" spans="1:7" x14ac:dyDescent="0.25">
      <c r="A206" s="8">
        <v>42877.804305555554</v>
      </c>
      <c r="B206" s="20" t="s">
        <v>429</v>
      </c>
      <c r="C206" s="20" t="s">
        <v>613</v>
      </c>
      <c r="D206" s="141">
        <v>1300000</v>
      </c>
      <c r="E206" s="20" t="s">
        <v>728</v>
      </c>
      <c r="F206" s="20" t="s">
        <v>729</v>
      </c>
      <c r="G206" s="8" t="str">
        <f t="shared" si="3"/>
        <v>LEVIN SCOTT</v>
      </c>
    </row>
    <row r="207" spans="1:7" x14ac:dyDescent="0.25">
      <c r="A207" s="8">
        <v>42877.808749999997</v>
      </c>
      <c r="B207" s="20" t="s">
        <v>585</v>
      </c>
      <c r="C207" s="20" t="s">
        <v>785</v>
      </c>
      <c r="D207" s="141">
        <v>2230000</v>
      </c>
      <c r="E207" s="20" t="s">
        <v>346</v>
      </c>
      <c r="F207" s="20" t="s">
        <v>196</v>
      </c>
      <c r="G207" s="8" t="str">
        <f t="shared" si="3"/>
        <v>SMITH MICHAEL</v>
      </c>
    </row>
    <row r="208" spans="1:7" x14ac:dyDescent="0.25">
      <c r="A208" s="8">
        <v>42877.817002314812</v>
      </c>
      <c r="B208" s="20" t="s">
        <v>596</v>
      </c>
      <c r="C208" s="20" t="s">
        <v>786</v>
      </c>
      <c r="D208" s="141">
        <v>1300000</v>
      </c>
      <c r="E208" s="20" t="s">
        <v>728</v>
      </c>
      <c r="F208" s="20" t="s">
        <v>729</v>
      </c>
      <c r="G208" s="8" t="str">
        <f t="shared" si="3"/>
        <v>LEVIN SCOTT</v>
      </c>
    </row>
    <row r="209" spans="1:7" x14ac:dyDescent="0.25">
      <c r="A209" s="8">
        <v>42877.81722222222</v>
      </c>
      <c r="B209" s="20" t="s">
        <v>420</v>
      </c>
      <c r="C209" s="20" t="s">
        <v>616</v>
      </c>
      <c r="D209" s="141">
        <v>3010000</v>
      </c>
      <c r="E209" s="20" t="s">
        <v>410</v>
      </c>
      <c r="F209" s="20" t="s">
        <v>411</v>
      </c>
      <c r="G209" s="8" t="str">
        <f t="shared" si="3"/>
        <v>SULLIVAN BRANDON</v>
      </c>
    </row>
    <row r="210" spans="1:7" x14ac:dyDescent="0.25">
      <c r="A210" s="8">
        <v>42877.818564814814</v>
      </c>
      <c r="B210" s="20" t="s">
        <v>471</v>
      </c>
      <c r="C210" s="20" t="s">
        <v>787</v>
      </c>
      <c r="D210" s="141">
        <v>2540000</v>
      </c>
      <c r="E210" s="20" t="s">
        <v>506</v>
      </c>
      <c r="F210" s="20" t="s">
        <v>507</v>
      </c>
      <c r="G210" s="8" t="str">
        <f t="shared" si="3"/>
        <v>MCREYNOLDS KYLE</v>
      </c>
    </row>
    <row r="211" spans="1:7" x14ac:dyDescent="0.25">
      <c r="A211" s="8">
        <v>42877.824861111112</v>
      </c>
      <c r="B211" s="20" t="s">
        <v>582</v>
      </c>
      <c r="C211" s="20" t="s">
        <v>788</v>
      </c>
      <c r="D211" s="141">
        <v>2620000</v>
      </c>
      <c r="E211" s="20" t="s">
        <v>480</v>
      </c>
      <c r="F211" s="20" t="s">
        <v>481</v>
      </c>
      <c r="G211" s="8" t="str">
        <f t="shared" si="3"/>
        <v>PERKINS DARREN</v>
      </c>
    </row>
    <row r="212" spans="1:7" x14ac:dyDescent="0.25">
      <c r="A212" s="8">
        <v>42877.830543981479</v>
      </c>
      <c r="B212" s="20" t="s">
        <v>508</v>
      </c>
      <c r="C212" s="20" t="s">
        <v>789</v>
      </c>
      <c r="D212" s="141">
        <v>2610000</v>
      </c>
      <c r="E212" s="20" t="s">
        <v>512</v>
      </c>
      <c r="F212" s="20" t="s">
        <v>513</v>
      </c>
      <c r="G212" s="8" t="str">
        <f t="shared" si="3"/>
        <v>MAGEE KENYA</v>
      </c>
    </row>
    <row r="213" spans="1:7" x14ac:dyDescent="0.25">
      <c r="A213" s="8">
        <v>42877.841550925928</v>
      </c>
      <c r="B213" s="20" t="s">
        <v>422</v>
      </c>
      <c r="C213" s="20" t="s">
        <v>790</v>
      </c>
      <c r="D213" s="141">
        <v>3010000</v>
      </c>
      <c r="E213" s="20" t="s">
        <v>410</v>
      </c>
      <c r="F213" s="20" t="s">
        <v>411</v>
      </c>
      <c r="G213" s="8" t="str">
        <f t="shared" si="3"/>
        <v>SULLIVAN BRANDON</v>
      </c>
    </row>
    <row r="214" spans="1:7" x14ac:dyDescent="0.25">
      <c r="A214" s="8">
        <v>42877.842106481483</v>
      </c>
      <c r="B214" s="20" t="s">
        <v>429</v>
      </c>
      <c r="C214" s="20" t="s">
        <v>791</v>
      </c>
      <c r="D214" s="141">
        <v>1300000</v>
      </c>
      <c r="E214" s="20" t="s">
        <v>728</v>
      </c>
      <c r="F214" s="20" t="s">
        <v>729</v>
      </c>
      <c r="G214" s="8" t="str">
        <f t="shared" si="3"/>
        <v>LEVIN SCOTT</v>
      </c>
    </row>
    <row r="215" spans="1:7" x14ac:dyDescent="0.25">
      <c r="A215" s="8">
        <v>42877.842303240737</v>
      </c>
      <c r="B215" s="20" t="s">
        <v>422</v>
      </c>
      <c r="C215" s="20" t="s">
        <v>790</v>
      </c>
      <c r="D215" s="141">
        <v>3010000</v>
      </c>
      <c r="E215" s="20" t="s">
        <v>410</v>
      </c>
      <c r="F215" s="20" t="s">
        <v>411</v>
      </c>
      <c r="G215" s="8" t="str">
        <f t="shared" si="3"/>
        <v>SULLIVAN BRANDON</v>
      </c>
    </row>
    <row r="216" spans="1:7" x14ac:dyDescent="0.25">
      <c r="A216" s="8">
        <v>42877.842557870368</v>
      </c>
      <c r="B216" s="20" t="s">
        <v>388</v>
      </c>
      <c r="C216" s="20" t="s">
        <v>792</v>
      </c>
      <c r="D216" s="141">
        <v>2970000</v>
      </c>
      <c r="E216" s="20" t="s">
        <v>393</v>
      </c>
      <c r="F216" s="20" t="s">
        <v>394</v>
      </c>
      <c r="G216" s="8" t="str">
        <f t="shared" si="3"/>
        <v>GUZMAN DANNY</v>
      </c>
    </row>
    <row r="217" spans="1:7" x14ac:dyDescent="0.25">
      <c r="A217" s="8">
        <v>42877.844861111109</v>
      </c>
      <c r="B217" s="20" t="s">
        <v>591</v>
      </c>
      <c r="C217" s="20" t="s">
        <v>793</v>
      </c>
      <c r="D217" s="141">
        <v>2230000</v>
      </c>
      <c r="E217" s="20" t="s">
        <v>346</v>
      </c>
      <c r="F217" s="20" t="s">
        <v>196</v>
      </c>
      <c r="G217" s="8" t="str">
        <f t="shared" si="3"/>
        <v>SMITH MICHAEL</v>
      </c>
    </row>
    <row r="218" spans="1:7" x14ac:dyDescent="0.25">
      <c r="A218" s="8">
        <v>42877.858969907407</v>
      </c>
      <c r="B218" s="20" t="s">
        <v>596</v>
      </c>
      <c r="C218" s="20" t="s">
        <v>794</v>
      </c>
      <c r="D218" s="141">
        <v>1300000</v>
      </c>
      <c r="E218" s="20" t="s">
        <v>728</v>
      </c>
      <c r="F218" s="20" t="s">
        <v>729</v>
      </c>
      <c r="G218" s="8" t="str">
        <f t="shared" si="3"/>
        <v>LEVIN SCOTT</v>
      </c>
    </row>
    <row r="219" spans="1:7" x14ac:dyDescent="0.25">
      <c r="A219" s="8">
        <v>42877.868460648147</v>
      </c>
      <c r="B219" s="20" t="s">
        <v>574</v>
      </c>
      <c r="C219" s="20" t="s">
        <v>615</v>
      </c>
      <c r="D219" s="141">
        <v>2620000</v>
      </c>
      <c r="E219" s="20" t="s">
        <v>480</v>
      </c>
      <c r="F219" s="20" t="s">
        <v>481</v>
      </c>
      <c r="G219" s="8" t="str">
        <f t="shared" si="3"/>
        <v>PERKINS DARREN</v>
      </c>
    </row>
    <row r="220" spans="1:7" x14ac:dyDescent="0.25">
      <c r="A220" s="8">
        <v>42877.870740740742</v>
      </c>
      <c r="B220" s="20" t="s">
        <v>509</v>
      </c>
      <c r="C220" s="20" t="s">
        <v>795</v>
      </c>
      <c r="D220" s="141">
        <v>2610000</v>
      </c>
      <c r="E220" s="20" t="s">
        <v>512</v>
      </c>
      <c r="F220" s="20" t="s">
        <v>513</v>
      </c>
      <c r="G220" s="8" t="str">
        <f t="shared" si="3"/>
        <v>MAGEE KENYA</v>
      </c>
    </row>
    <row r="221" spans="1:7" x14ac:dyDescent="0.25">
      <c r="A221" s="8">
        <v>42877.875567129631</v>
      </c>
      <c r="B221" s="20" t="s">
        <v>429</v>
      </c>
      <c r="C221" s="20" t="s">
        <v>796</v>
      </c>
      <c r="D221" s="141">
        <v>2000000</v>
      </c>
      <c r="E221" s="20" t="s">
        <v>496</v>
      </c>
      <c r="F221" s="20" t="s">
        <v>193</v>
      </c>
      <c r="G221" s="8" t="str">
        <f t="shared" si="3"/>
        <v>STAMBAUGH JAMES</v>
      </c>
    </row>
    <row r="222" spans="1:7" x14ac:dyDescent="0.25">
      <c r="A222" s="8">
        <v>42877.88212962963</v>
      </c>
      <c r="B222" s="20" t="s">
        <v>420</v>
      </c>
      <c r="C222" s="20" t="s">
        <v>616</v>
      </c>
      <c r="D222" s="141">
        <v>3010000</v>
      </c>
      <c r="E222" s="20" t="s">
        <v>410</v>
      </c>
      <c r="F222" s="20" t="s">
        <v>411</v>
      </c>
      <c r="G222" s="8" t="str">
        <f t="shared" si="3"/>
        <v>SULLIVAN BRANDON</v>
      </c>
    </row>
    <row r="223" spans="1:7" x14ac:dyDescent="0.25">
      <c r="A223" s="8">
        <v>42877.883715277778</v>
      </c>
      <c r="B223" s="20" t="s">
        <v>382</v>
      </c>
      <c r="C223" s="20" t="s">
        <v>797</v>
      </c>
      <c r="D223" s="141">
        <v>2970000</v>
      </c>
      <c r="E223" s="20" t="s">
        <v>393</v>
      </c>
      <c r="F223" s="20" t="s">
        <v>394</v>
      </c>
      <c r="G223" s="8" t="str">
        <f t="shared" si="3"/>
        <v>GUZMAN DANNY</v>
      </c>
    </row>
    <row r="224" spans="1:7" x14ac:dyDescent="0.25">
      <c r="A224" s="8">
        <v>42877.884212962963</v>
      </c>
      <c r="B224" t="s">
        <v>585</v>
      </c>
      <c r="C224" t="s">
        <v>798</v>
      </c>
      <c r="D224" s="141">
        <v>2230000</v>
      </c>
      <c r="E224" t="s">
        <v>346</v>
      </c>
      <c r="F224" s="20" t="s">
        <v>196</v>
      </c>
      <c r="G224" s="8" t="str">
        <f t="shared" si="3"/>
        <v>SMITH MICHAEL</v>
      </c>
    </row>
    <row r="225" spans="1:7" x14ac:dyDescent="0.25">
      <c r="A225" s="8">
        <v>42877.892060185186</v>
      </c>
      <c r="B225" t="s">
        <v>422</v>
      </c>
      <c r="C225" t="s">
        <v>790</v>
      </c>
      <c r="D225" s="141">
        <v>3010000</v>
      </c>
      <c r="E225" t="s">
        <v>410</v>
      </c>
      <c r="F225" s="20" t="s">
        <v>411</v>
      </c>
      <c r="G225" s="8" t="str">
        <f t="shared" si="3"/>
        <v>SULLIVAN BRANDON</v>
      </c>
    </row>
    <row r="226" spans="1:7" x14ac:dyDescent="0.25">
      <c r="A226" s="8">
        <v>42877.901678240742</v>
      </c>
      <c r="B226" t="s">
        <v>596</v>
      </c>
      <c r="C226" t="s">
        <v>799</v>
      </c>
      <c r="D226" s="141">
        <v>2000000</v>
      </c>
      <c r="E226" t="s">
        <v>496</v>
      </c>
      <c r="F226" s="20" t="s">
        <v>193</v>
      </c>
      <c r="G226" s="8" t="str">
        <f t="shared" si="3"/>
        <v>STAMBAUGH JAMES</v>
      </c>
    </row>
    <row r="227" spans="1:7" x14ac:dyDescent="0.25">
      <c r="A227" s="8">
        <v>42877.909490740742</v>
      </c>
      <c r="B227" t="s">
        <v>582</v>
      </c>
      <c r="C227" t="s">
        <v>800</v>
      </c>
      <c r="D227" s="141">
        <v>2620000</v>
      </c>
      <c r="E227" t="s">
        <v>480</v>
      </c>
      <c r="F227" s="20" t="s">
        <v>481</v>
      </c>
      <c r="G227" s="8" t="str">
        <f t="shared" si="3"/>
        <v>PERKINS DARREN</v>
      </c>
    </row>
    <row r="228" spans="1:7" x14ac:dyDescent="0.25">
      <c r="A228" s="8">
        <v>42877.910995370374</v>
      </c>
      <c r="B228" t="s">
        <v>508</v>
      </c>
      <c r="C228" t="s">
        <v>801</v>
      </c>
      <c r="D228" s="141">
        <v>2610000</v>
      </c>
      <c r="E228" t="s">
        <v>512</v>
      </c>
      <c r="F228" s="20" t="s">
        <v>513</v>
      </c>
      <c r="G228" s="8" t="str">
        <f t="shared" si="3"/>
        <v>MAGEE KENYA</v>
      </c>
    </row>
    <row r="229" spans="1:7" x14ac:dyDescent="0.25">
      <c r="A229" s="8">
        <v>42877.912222222221</v>
      </c>
      <c r="B229" t="s">
        <v>420</v>
      </c>
      <c r="C229" t="s">
        <v>616</v>
      </c>
      <c r="D229" s="141">
        <v>3010000</v>
      </c>
      <c r="E229" t="s">
        <v>410</v>
      </c>
      <c r="F229" s="20" t="s">
        <v>411</v>
      </c>
      <c r="G229" s="8" t="str">
        <f t="shared" si="3"/>
        <v>SULLIVAN BRANDON</v>
      </c>
    </row>
    <row r="230" spans="1:7" x14ac:dyDescent="0.25">
      <c r="A230" s="8">
        <v>42877.91611111111</v>
      </c>
      <c r="B230" t="s">
        <v>429</v>
      </c>
      <c r="C230" t="s">
        <v>802</v>
      </c>
      <c r="D230" s="141">
        <v>2000000</v>
      </c>
      <c r="E230" t="s">
        <v>496</v>
      </c>
      <c r="F230" s="20" t="s">
        <v>193</v>
      </c>
      <c r="G230" s="8" t="str">
        <f t="shared" si="3"/>
        <v>STAMBAUGH JAMES</v>
      </c>
    </row>
    <row r="231" spans="1:7" x14ac:dyDescent="0.25">
      <c r="A231" s="8">
        <v>42877.929583333331</v>
      </c>
      <c r="B231" t="s">
        <v>388</v>
      </c>
      <c r="C231" t="s">
        <v>803</v>
      </c>
      <c r="D231" s="141">
        <v>2970000</v>
      </c>
      <c r="E231" t="s">
        <v>393</v>
      </c>
      <c r="F231" s="20" t="s">
        <v>394</v>
      </c>
      <c r="G231" s="8" t="str">
        <f t="shared" si="3"/>
        <v>GUZMAN DANNY</v>
      </c>
    </row>
    <row r="232" spans="1:7" x14ac:dyDescent="0.25">
      <c r="A232" s="8">
        <v>42877.930138888885</v>
      </c>
      <c r="B232" t="s">
        <v>591</v>
      </c>
      <c r="C232" t="s">
        <v>804</v>
      </c>
      <c r="D232" s="141">
        <v>2230000</v>
      </c>
      <c r="E232" t="s">
        <v>346</v>
      </c>
      <c r="F232" s="20" t="s">
        <v>196</v>
      </c>
      <c r="G232" s="8" t="str">
        <f t="shared" si="3"/>
        <v>SMITH MICHAEL</v>
      </c>
    </row>
    <row r="233" spans="1:7" x14ac:dyDescent="0.25">
      <c r="A233" s="8">
        <v>42877.932951388888</v>
      </c>
      <c r="B233" t="s">
        <v>422</v>
      </c>
      <c r="C233" t="s">
        <v>790</v>
      </c>
      <c r="D233" s="141">
        <v>3010000</v>
      </c>
      <c r="E233" t="s">
        <v>410</v>
      </c>
      <c r="F233" s="20" t="s">
        <v>411</v>
      </c>
      <c r="G233" s="8" t="str">
        <f t="shared" si="3"/>
        <v>SULLIVAN BRANDON</v>
      </c>
    </row>
    <row r="234" spans="1:7" x14ac:dyDescent="0.25">
      <c r="A234" s="8">
        <v>42877.942326388889</v>
      </c>
      <c r="B234" t="s">
        <v>596</v>
      </c>
      <c r="C234" t="s">
        <v>802</v>
      </c>
      <c r="D234" s="141">
        <v>2000000</v>
      </c>
      <c r="E234" t="s">
        <v>496</v>
      </c>
      <c r="F234" s="20" t="s">
        <v>193</v>
      </c>
      <c r="G234" s="8" t="str">
        <f t="shared" si="3"/>
        <v>STAMBAUGH JAMES</v>
      </c>
    </row>
    <row r="235" spans="1:7" x14ac:dyDescent="0.25">
      <c r="A235" s="8">
        <v>42877.943229166667</v>
      </c>
      <c r="B235" t="s">
        <v>596</v>
      </c>
      <c r="C235" t="s">
        <v>617</v>
      </c>
      <c r="D235" s="141">
        <v>2000000</v>
      </c>
      <c r="E235" t="s">
        <v>496</v>
      </c>
      <c r="F235" s="20" t="s">
        <v>193</v>
      </c>
      <c r="G235" s="8" t="str">
        <f t="shared" si="3"/>
        <v>STAMBAUGH JAMES</v>
      </c>
    </row>
    <row r="236" spans="1:7" x14ac:dyDescent="0.25">
      <c r="A236" s="8">
        <v>42877.950312499997</v>
      </c>
      <c r="B236" t="s">
        <v>509</v>
      </c>
      <c r="C236" t="s">
        <v>805</v>
      </c>
      <c r="D236" s="141">
        <v>2610000</v>
      </c>
      <c r="E236" t="s">
        <v>512</v>
      </c>
      <c r="F236" s="20" t="s">
        <v>513</v>
      </c>
      <c r="G236" s="8" t="str">
        <f t="shared" si="3"/>
        <v>MAGEE KENYA</v>
      </c>
    </row>
    <row r="237" spans="1:7" x14ac:dyDescent="0.25">
      <c r="A237" s="8">
        <v>42877.954699074071</v>
      </c>
      <c r="B237" t="s">
        <v>574</v>
      </c>
      <c r="C237" t="s">
        <v>806</v>
      </c>
      <c r="D237" s="141">
        <v>2620000</v>
      </c>
      <c r="E237" t="s">
        <v>480</v>
      </c>
      <c r="F237" s="20" t="s">
        <v>481</v>
      </c>
      <c r="G237" s="8" t="str">
        <f t="shared" si="3"/>
        <v>PERKINS DARREN</v>
      </c>
    </row>
    <row r="238" spans="1:7" x14ac:dyDescent="0.25">
      <c r="A238" s="8">
        <v>42877.956504629627</v>
      </c>
      <c r="B238" t="s">
        <v>420</v>
      </c>
      <c r="C238" t="s">
        <v>616</v>
      </c>
      <c r="D238" s="141">
        <v>3010000</v>
      </c>
      <c r="E238" t="s">
        <v>410</v>
      </c>
      <c r="F238" s="20" t="s">
        <v>411</v>
      </c>
      <c r="G238" s="8" t="str">
        <f t="shared" si="3"/>
        <v>SULLIVAN BRANDON</v>
      </c>
    </row>
    <row r="239" spans="1:7" x14ac:dyDescent="0.25">
      <c r="A239" s="8">
        <v>42877.957037037035</v>
      </c>
      <c r="B239" t="s">
        <v>429</v>
      </c>
      <c r="C239" t="s">
        <v>618</v>
      </c>
      <c r="D239" s="141">
        <v>2000000</v>
      </c>
      <c r="E239" t="s">
        <v>496</v>
      </c>
      <c r="F239" s="20" t="s">
        <v>193</v>
      </c>
      <c r="G239" s="8" t="str">
        <f t="shared" si="3"/>
        <v>STAMBAUGH JAMES</v>
      </c>
    </row>
    <row r="240" spans="1:7" x14ac:dyDescent="0.25">
      <c r="A240" s="8">
        <v>42877.965196759258</v>
      </c>
      <c r="B240" t="s">
        <v>585</v>
      </c>
      <c r="C240" t="s">
        <v>807</v>
      </c>
      <c r="D240" s="141">
        <v>2230000</v>
      </c>
      <c r="E240" t="s">
        <v>346</v>
      </c>
      <c r="F240" s="20" t="s">
        <v>196</v>
      </c>
      <c r="G240" s="8" t="str">
        <f t="shared" si="3"/>
        <v>SMITH MICHAEL</v>
      </c>
    </row>
    <row r="241" spans="1:7" x14ac:dyDescent="0.25">
      <c r="A241" s="8">
        <v>42877.96671296296</v>
      </c>
      <c r="B241" t="s">
        <v>422</v>
      </c>
      <c r="C241" t="s">
        <v>790</v>
      </c>
      <c r="D241" s="141">
        <v>3010000</v>
      </c>
      <c r="E241" t="s">
        <v>410</v>
      </c>
      <c r="F241" s="20" t="s">
        <v>411</v>
      </c>
      <c r="G241" s="8" t="str">
        <f t="shared" si="3"/>
        <v>SULLIVAN BRANDON</v>
      </c>
    </row>
    <row r="242" spans="1:7" x14ac:dyDescent="0.25">
      <c r="A242" s="8">
        <v>42877.966898148145</v>
      </c>
      <c r="B242" t="s">
        <v>382</v>
      </c>
      <c r="C242" t="s">
        <v>808</v>
      </c>
      <c r="D242" s="141">
        <v>2970000</v>
      </c>
      <c r="E242" t="s">
        <v>393</v>
      </c>
      <c r="F242" s="20" t="s">
        <v>394</v>
      </c>
      <c r="G242" s="8" t="str">
        <f t="shared" si="3"/>
        <v>GUZMAN DANNY</v>
      </c>
    </row>
    <row r="243" spans="1:7" x14ac:dyDescent="0.25">
      <c r="A243" s="8">
        <v>42877.981516203705</v>
      </c>
      <c r="B243" t="s">
        <v>420</v>
      </c>
      <c r="C243" t="s">
        <v>616</v>
      </c>
      <c r="D243" s="141">
        <v>3010000</v>
      </c>
      <c r="E243" t="s">
        <v>410</v>
      </c>
      <c r="F243" s="20" t="s">
        <v>411</v>
      </c>
      <c r="G243" s="8" t="str">
        <f t="shared" si="3"/>
        <v>SULLIVAN BRANDON</v>
      </c>
    </row>
    <row r="244" spans="1:7" x14ac:dyDescent="0.25">
      <c r="A244" s="8">
        <v>42877.983807870369</v>
      </c>
      <c r="B244" t="s">
        <v>596</v>
      </c>
      <c r="C244" t="s">
        <v>619</v>
      </c>
      <c r="D244" s="141">
        <v>2000000</v>
      </c>
      <c r="E244" t="s">
        <v>496</v>
      </c>
      <c r="F244" s="20" t="s">
        <v>193</v>
      </c>
      <c r="G244" s="8" t="str">
        <f t="shared" si="3"/>
        <v>STAMBAUGH JAMES</v>
      </c>
    </row>
    <row r="245" spans="1:7" x14ac:dyDescent="0.25">
      <c r="A245" s="8">
        <v>42877.991331018522</v>
      </c>
      <c r="B245" t="s">
        <v>582</v>
      </c>
      <c r="C245" t="s">
        <v>620</v>
      </c>
      <c r="D245" s="141">
        <v>2620000</v>
      </c>
      <c r="E245" t="s">
        <v>480</v>
      </c>
      <c r="F245" s="20" t="s">
        <v>481</v>
      </c>
      <c r="G245" s="8" t="str">
        <f t="shared" si="3"/>
        <v>PERKINS DARREN</v>
      </c>
    </row>
    <row r="246" spans="1:7" x14ac:dyDescent="0.25">
      <c r="A246" s="8">
        <v>42877.993275462963</v>
      </c>
      <c r="B246" t="s">
        <v>422</v>
      </c>
      <c r="C246" t="s">
        <v>790</v>
      </c>
      <c r="D246" s="141">
        <v>3010000</v>
      </c>
      <c r="E246" t="s">
        <v>410</v>
      </c>
      <c r="F246" s="20" t="s">
        <v>411</v>
      </c>
      <c r="G246" s="8" t="str">
        <f t="shared" si="3"/>
        <v>SULLIVAN BRANDON</v>
      </c>
    </row>
    <row r="247" spans="1:7" x14ac:dyDescent="0.25">
      <c r="A247" s="8">
        <v>42877.996655092589</v>
      </c>
      <c r="B247" t="s">
        <v>429</v>
      </c>
      <c r="C247" t="s">
        <v>619</v>
      </c>
      <c r="D247" s="141">
        <v>2000000</v>
      </c>
      <c r="E247" t="s">
        <v>496</v>
      </c>
      <c r="F247" s="20" t="s">
        <v>193</v>
      </c>
      <c r="G247" s="8" t="str">
        <f t="shared" si="3"/>
        <v>STAMBAUGH JAMES</v>
      </c>
    </row>
    <row r="248" spans="1:7" x14ac:dyDescent="0.25">
      <c r="A248" s="8">
        <v>42877.997499999998</v>
      </c>
      <c r="B248" t="s">
        <v>508</v>
      </c>
      <c r="C248" t="s">
        <v>809</v>
      </c>
      <c r="D248" s="141">
        <v>2610000</v>
      </c>
      <c r="E248" t="s">
        <v>512</v>
      </c>
      <c r="F248" s="20" t="s">
        <v>513</v>
      </c>
      <c r="G248" s="8" t="str">
        <f t="shared" si="3"/>
        <v>MAGEE KENYA</v>
      </c>
    </row>
    <row r="249" spans="1:7" x14ac:dyDescent="0.25">
      <c r="A249" s="8">
        <v>42878.007731481484</v>
      </c>
      <c r="B249" t="s">
        <v>388</v>
      </c>
      <c r="C249" t="s">
        <v>810</v>
      </c>
      <c r="D249" s="141">
        <v>2970000</v>
      </c>
      <c r="E249" t="s">
        <v>393</v>
      </c>
      <c r="F249" s="20" t="s">
        <v>394</v>
      </c>
      <c r="G249" s="8" t="str">
        <f t="shared" si="3"/>
        <v>GUZMAN DANNY</v>
      </c>
    </row>
    <row r="250" spans="1:7" x14ac:dyDescent="0.25">
      <c r="A250" s="8">
        <v>42878.009756944448</v>
      </c>
      <c r="B250" t="s">
        <v>591</v>
      </c>
      <c r="C250" t="s">
        <v>811</v>
      </c>
      <c r="D250" s="141">
        <v>2230000</v>
      </c>
      <c r="E250" t="s">
        <v>346</v>
      </c>
      <c r="F250" s="20" t="s">
        <v>196</v>
      </c>
      <c r="G250" s="8" t="str">
        <f t="shared" si="3"/>
        <v>SMITH MICHAEL</v>
      </c>
    </row>
    <row r="251" spans="1:7" x14ac:dyDescent="0.25">
      <c r="A251" s="8">
        <v>42878.028715277775</v>
      </c>
      <c r="B251" t="s">
        <v>574</v>
      </c>
      <c r="C251" t="s">
        <v>812</v>
      </c>
      <c r="D251" s="141">
        <v>2620000</v>
      </c>
      <c r="E251" t="s">
        <v>480</v>
      </c>
      <c r="F251" s="20" t="s">
        <v>481</v>
      </c>
      <c r="G251" s="8" t="str">
        <f t="shared" si="3"/>
        <v>PERKINS DARREN</v>
      </c>
    </row>
    <row r="252" spans="1:7" x14ac:dyDescent="0.25">
      <c r="A252" s="8">
        <v>42878.037557870368</v>
      </c>
      <c r="B252" t="s">
        <v>509</v>
      </c>
      <c r="C252" t="s">
        <v>813</v>
      </c>
      <c r="D252" s="141">
        <v>2610000</v>
      </c>
      <c r="E252" t="s">
        <v>512</v>
      </c>
      <c r="F252" s="20" t="s">
        <v>513</v>
      </c>
      <c r="G252" s="8" t="str">
        <f t="shared" si="3"/>
        <v>MAGEE KENYA</v>
      </c>
    </row>
    <row r="253" spans="1:7" x14ac:dyDescent="0.25">
      <c r="A253" s="8">
        <v>42878.043611111112</v>
      </c>
      <c r="B253" t="s">
        <v>420</v>
      </c>
      <c r="C253" t="s">
        <v>814</v>
      </c>
      <c r="D253" s="141">
        <v>3010000</v>
      </c>
      <c r="E253" t="s">
        <v>410</v>
      </c>
      <c r="F253" s="20" t="s">
        <v>411</v>
      </c>
      <c r="G253" s="8" t="str">
        <f t="shared" si="3"/>
        <v>SULLIVAN BRANDON</v>
      </c>
    </row>
    <row r="254" spans="1:7" x14ac:dyDescent="0.25">
      <c r="A254" s="8">
        <v>42878.048125000001</v>
      </c>
      <c r="B254" t="s">
        <v>585</v>
      </c>
      <c r="C254" t="s">
        <v>815</v>
      </c>
      <c r="D254" s="141">
        <v>2230000</v>
      </c>
      <c r="E254" t="s">
        <v>346</v>
      </c>
      <c r="F254" s="20" t="s">
        <v>196</v>
      </c>
      <c r="G254" s="8" t="str">
        <f t="shared" si="3"/>
        <v>SMITH MICHAEL</v>
      </c>
    </row>
    <row r="255" spans="1:7" x14ac:dyDescent="0.25">
      <c r="A255" s="8">
        <v>42878.050821759258</v>
      </c>
      <c r="B255" t="s">
        <v>382</v>
      </c>
      <c r="C255" t="s">
        <v>816</v>
      </c>
      <c r="D255" s="141">
        <v>2970000</v>
      </c>
      <c r="E255" t="s">
        <v>393</v>
      </c>
      <c r="F255" s="20" t="s">
        <v>394</v>
      </c>
      <c r="G255" s="8" t="str">
        <f t="shared" si="3"/>
        <v>GUZMAN DANNY</v>
      </c>
    </row>
    <row r="256" spans="1:7" x14ac:dyDescent="0.25">
      <c r="A256" s="8">
        <v>42878.05327546296</v>
      </c>
      <c r="B256" t="s">
        <v>422</v>
      </c>
      <c r="C256" t="s">
        <v>814</v>
      </c>
      <c r="D256" s="141">
        <v>3010000</v>
      </c>
      <c r="E256" t="s">
        <v>410</v>
      </c>
      <c r="F256" s="20" t="s">
        <v>411</v>
      </c>
      <c r="G256" s="8" t="str">
        <f t="shared" si="3"/>
        <v>SULLIVAN BRANDON</v>
      </c>
    </row>
    <row r="257" spans="1:7" x14ac:dyDescent="0.25">
      <c r="A257" s="8">
        <v>42878.053854166668</v>
      </c>
      <c r="B257" t="s">
        <v>422</v>
      </c>
      <c r="C257" t="s">
        <v>814</v>
      </c>
      <c r="D257" s="141">
        <v>3010000</v>
      </c>
      <c r="E257" t="s">
        <v>410</v>
      </c>
      <c r="F257" s="20" t="s">
        <v>411</v>
      </c>
      <c r="G257" s="8" t="str">
        <f t="shared" si="3"/>
        <v>SULLIVAN BRANDON</v>
      </c>
    </row>
    <row r="258" spans="1:7" x14ac:dyDescent="0.25">
      <c r="A258" s="8">
        <v>42878.054791666669</v>
      </c>
      <c r="B258" t="s">
        <v>422</v>
      </c>
      <c r="C258" t="s">
        <v>814</v>
      </c>
      <c r="D258" s="141">
        <v>3010000</v>
      </c>
      <c r="E258" t="s">
        <v>410</v>
      </c>
      <c r="F258" s="20" t="s">
        <v>411</v>
      </c>
      <c r="G258" s="8" t="str">
        <f t="shared" si="3"/>
        <v>SULLIVAN BRANDON</v>
      </c>
    </row>
    <row r="259" spans="1:7" x14ac:dyDescent="0.25">
      <c r="A259" s="8">
        <v>42878.060590277775</v>
      </c>
      <c r="B259" t="s">
        <v>420</v>
      </c>
      <c r="C259" t="s">
        <v>814</v>
      </c>
      <c r="D259" s="141">
        <v>3010000</v>
      </c>
      <c r="E259" t="s">
        <v>410</v>
      </c>
      <c r="F259" s="20" t="s">
        <v>411</v>
      </c>
      <c r="G259" s="8" t="str">
        <f t="shared" ref="G259:G322" si="4">E259&amp;" "&amp;F259</f>
        <v>SULLIVAN BRANDON</v>
      </c>
    </row>
    <row r="260" spans="1:7" x14ac:dyDescent="0.25">
      <c r="A260" s="8">
        <v>42878.061377314814</v>
      </c>
      <c r="B260" t="s">
        <v>420</v>
      </c>
      <c r="C260" t="s">
        <v>814</v>
      </c>
      <c r="D260" s="141">
        <v>3010000</v>
      </c>
      <c r="E260" t="s">
        <v>410</v>
      </c>
      <c r="F260" s="20" t="s">
        <v>411</v>
      </c>
      <c r="G260" s="8" t="str">
        <f t="shared" si="4"/>
        <v>SULLIVAN BRANDON</v>
      </c>
    </row>
    <row r="261" spans="1:7" x14ac:dyDescent="0.25">
      <c r="A261" s="8">
        <v>42878.069062499999</v>
      </c>
      <c r="B261" t="s">
        <v>508</v>
      </c>
      <c r="C261" t="s">
        <v>817</v>
      </c>
      <c r="D261" s="141">
        <v>2610000</v>
      </c>
      <c r="E261" t="s">
        <v>512</v>
      </c>
      <c r="F261" s="20" t="s">
        <v>513</v>
      </c>
      <c r="G261" s="8" t="str">
        <f t="shared" si="4"/>
        <v>MAGEE KENYA</v>
      </c>
    </row>
    <row r="262" spans="1:7" x14ac:dyDescent="0.25">
      <c r="A262" s="8">
        <v>42878.08494212963</v>
      </c>
      <c r="B262" t="s">
        <v>382</v>
      </c>
      <c r="C262" t="s">
        <v>816</v>
      </c>
      <c r="D262" s="141">
        <v>2970000</v>
      </c>
      <c r="E262" t="s">
        <v>393</v>
      </c>
      <c r="F262" s="20" t="s">
        <v>394</v>
      </c>
      <c r="G262" s="8" t="str">
        <f t="shared" si="4"/>
        <v>GUZMAN DANNY</v>
      </c>
    </row>
    <row r="263" spans="1:7" x14ac:dyDescent="0.25">
      <c r="A263" s="8">
        <v>42878.09233796296</v>
      </c>
      <c r="B263" t="s">
        <v>388</v>
      </c>
      <c r="C263" t="s">
        <v>818</v>
      </c>
      <c r="D263" s="141">
        <v>2970000</v>
      </c>
      <c r="E263" t="s">
        <v>393</v>
      </c>
      <c r="F263" s="20" t="s">
        <v>394</v>
      </c>
      <c r="G263" s="8" t="str">
        <f t="shared" si="4"/>
        <v>GUZMAN DANNY</v>
      </c>
    </row>
    <row r="264" spans="1:7" x14ac:dyDescent="0.25">
      <c r="A264" s="8">
        <v>42878.098912037036</v>
      </c>
      <c r="B264" t="s">
        <v>422</v>
      </c>
      <c r="C264" t="s">
        <v>819</v>
      </c>
      <c r="D264" s="141">
        <v>3010000</v>
      </c>
      <c r="E264" t="s">
        <v>410</v>
      </c>
      <c r="F264" s="20" t="s">
        <v>411</v>
      </c>
      <c r="G264" s="8" t="str">
        <f t="shared" si="4"/>
        <v>SULLIVAN BRANDON</v>
      </c>
    </row>
    <row r="265" spans="1:7" x14ac:dyDescent="0.25">
      <c r="A265" s="8">
        <v>42871.975798611114</v>
      </c>
      <c r="B265" t="s">
        <v>431</v>
      </c>
      <c r="C265" t="s">
        <v>439</v>
      </c>
      <c r="D265" s="141">
        <v>1810000</v>
      </c>
      <c r="E265" t="s">
        <v>379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437</v>
      </c>
      <c r="C266" t="s">
        <v>438</v>
      </c>
      <c r="D266" s="141">
        <v>2970000</v>
      </c>
      <c r="E266" t="s">
        <v>393</v>
      </c>
      <c r="F266" s="20" t="s">
        <v>394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427</v>
      </c>
      <c r="C267" t="s">
        <v>440</v>
      </c>
      <c r="D267" s="141">
        <v>3030000</v>
      </c>
      <c r="E267" t="s">
        <v>395</v>
      </c>
      <c r="F267" s="20" t="s">
        <v>378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409</v>
      </c>
      <c r="C268" t="s">
        <v>441</v>
      </c>
      <c r="D268" s="141">
        <v>1800000</v>
      </c>
      <c r="E268" t="s">
        <v>391</v>
      </c>
      <c r="F268" s="20" t="s">
        <v>392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434</v>
      </c>
      <c r="D269" s="141">
        <v>3090000</v>
      </c>
      <c r="E269" t="s">
        <v>389</v>
      </c>
      <c r="F269" s="20" t="s">
        <v>390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430</v>
      </c>
      <c r="C270" t="s">
        <v>442</v>
      </c>
      <c r="D270" s="141">
        <v>1810000</v>
      </c>
      <c r="E270" t="s">
        <v>379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432</v>
      </c>
      <c r="C271" t="s">
        <v>433</v>
      </c>
      <c r="D271" s="141">
        <v>2970000</v>
      </c>
      <c r="E271" t="s">
        <v>393</v>
      </c>
      <c r="F271" s="20" t="s">
        <v>394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422</v>
      </c>
      <c r="C272" t="s">
        <v>436</v>
      </c>
      <c r="D272" s="141">
        <v>3010000</v>
      </c>
      <c r="E272" t="s">
        <v>410</v>
      </c>
      <c r="F272" s="20" t="s">
        <v>411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437</v>
      </c>
      <c r="C273" t="s">
        <v>438</v>
      </c>
      <c r="D273" s="141">
        <v>2970000</v>
      </c>
      <c r="E273" t="s">
        <v>393</v>
      </c>
      <c r="F273" s="20" t="s">
        <v>394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412</v>
      </c>
      <c r="C274" t="s">
        <v>443</v>
      </c>
      <c r="D274" s="141">
        <v>1800000</v>
      </c>
      <c r="E274" t="s">
        <v>391</v>
      </c>
      <c r="F274" s="20" t="s">
        <v>392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428</v>
      </c>
      <c r="C275" t="s">
        <v>444</v>
      </c>
      <c r="D275" s="141">
        <v>3030000</v>
      </c>
      <c r="E275" t="s">
        <v>395</v>
      </c>
      <c r="F275" s="20" t="s">
        <v>378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420</v>
      </c>
      <c r="C276" t="s">
        <v>436</v>
      </c>
      <c r="D276" s="141">
        <v>3010000</v>
      </c>
      <c r="E276" t="s">
        <v>410</v>
      </c>
      <c r="F276" s="20" t="s">
        <v>411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420</v>
      </c>
      <c r="C277" t="s">
        <v>436</v>
      </c>
      <c r="D277" s="141">
        <v>3010000</v>
      </c>
      <c r="E277" t="s">
        <v>410</v>
      </c>
      <c r="F277" s="20" t="s">
        <v>411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432</v>
      </c>
      <c r="C278" t="s">
        <v>433</v>
      </c>
      <c r="D278" s="141">
        <v>2970000</v>
      </c>
      <c r="E278" t="s">
        <v>393</v>
      </c>
      <c r="F278" s="20" t="s">
        <v>394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431</v>
      </c>
      <c r="C279" t="s">
        <v>445</v>
      </c>
      <c r="D279" s="141">
        <v>1810000</v>
      </c>
      <c r="E279" t="s">
        <v>379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446</v>
      </c>
      <c r="D280" s="141">
        <v>3090000</v>
      </c>
      <c r="E280" t="s">
        <v>389</v>
      </c>
      <c r="F280" s="20" t="s">
        <v>390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422</v>
      </c>
      <c r="C281" t="s">
        <v>436</v>
      </c>
      <c r="D281" s="141">
        <v>3010000</v>
      </c>
      <c r="E281" t="s">
        <v>410</v>
      </c>
      <c r="F281" s="20" t="s">
        <v>411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437</v>
      </c>
      <c r="C282" t="s">
        <v>438</v>
      </c>
      <c r="D282" s="141">
        <v>2970000</v>
      </c>
      <c r="E282" t="s">
        <v>393</v>
      </c>
      <c r="F282" s="20" t="s">
        <v>394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420</v>
      </c>
      <c r="C283" t="s">
        <v>436</v>
      </c>
      <c r="D283" s="141">
        <v>3010000</v>
      </c>
      <c r="E283" t="s">
        <v>410</v>
      </c>
      <c r="F283" s="20" t="s">
        <v>411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427</v>
      </c>
      <c r="C284" t="s">
        <v>447</v>
      </c>
      <c r="D284" s="141">
        <v>3030000</v>
      </c>
      <c r="E284" t="s">
        <v>395</v>
      </c>
      <c r="F284" s="20" t="s">
        <v>378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420</v>
      </c>
      <c r="C285" t="s">
        <v>436</v>
      </c>
      <c r="D285" s="141">
        <v>3010000</v>
      </c>
      <c r="E285" t="s">
        <v>410</v>
      </c>
      <c r="F285" s="20" t="s">
        <v>411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432</v>
      </c>
      <c r="C286" t="s">
        <v>433</v>
      </c>
      <c r="D286" s="141">
        <v>2970000</v>
      </c>
      <c r="E286" t="s">
        <v>393</v>
      </c>
      <c r="F286" s="20" t="s">
        <v>394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437</v>
      </c>
      <c r="C287" t="s">
        <v>438</v>
      </c>
      <c r="D287" s="141">
        <v>2970000</v>
      </c>
      <c r="E287" t="s">
        <v>393</v>
      </c>
      <c r="F287" s="20" t="s">
        <v>394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448</v>
      </c>
      <c r="D288" s="141">
        <v>3090000</v>
      </c>
      <c r="E288" t="s">
        <v>389</v>
      </c>
      <c r="F288" s="20" t="s">
        <v>390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432</v>
      </c>
      <c r="C289" t="s">
        <v>433</v>
      </c>
      <c r="D289" s="141">
        <v>2970000</v>
      </c>
      <c r="E289" t="s">
        <v>393</v>
      </c>
      <c r="F289" s="20" t="s">
        <v>394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422</v>
      </c>
      <c r="C290" t="s">
        <v>436</v>
      </c>
      <c r="D290" s="141">
        <v>3010000</v>
      </c>
      <c r="E290" t="s">
        <v>410</v>
      </c>
      <c r="F290" s="20" t="s">
        <v>411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422</v>
      </c>
      <c r="C291" t="s">
        <v>436</v>
      </c>
      <c r="D291" s="141">
        <v>3010000</v>
      </c>
      <c r="E291" t="s">
        <v>410</v>
      </c>
      <c r="F291" s="20" t="s">
        <v>411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422</v>
      </c>
      <c r="C292" t="s">
        <v>436</v>
      </c>
      <c r="D292" s="141">
        <v>3010000</v>
      </c>
      <c r="E292" t="s">
        <v>410</v>
      </c>
      <c r="F292" s="20" t="s">
        <v>411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422</v>
      </c>
      <c r="C293" t="s">
        <v>436</v>
      </c>
      <c r="D293" s="141">
        <v>3010000</v>
      </c>
      <c r="E293" t="s">
        <v>410</v>
      </c>
      <c r="F293" s="20" t="s">
        <v>411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437</v>
      </c>
      <c r="C294" t="s">
        <v>438</v>
      </c>
      <c r="D294" s="141">
        <v>2970000</v>
      </c>
      <c r="E294" t="s">
        <v>393</v>
      </c>
      <c r="F294" s="20" t="s">
        <v>394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400</v>
      </c>
      <c r="D295" s="141">
        <v>1800000</v>
      </c>
      <c r="E295" t="s">
        <v>391</v>
      </c>
      <c r="F295" s="20" t="s">
        <v>392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377</v>
      </c>
      <c r="C296" t="s">
        <v>401</v>
      </c>
      <c r="D296" s="141">
        <v>3030000</v>
      </c>
      <c r="E296" t="s">
        <v>395</v>
      </c>
      <c r="F296" s="20" t="s">
        <v>378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388</v>
      </c>
      <c r="C297" t="s">
        <v>384</v>
      </c>
      <c r="D297" s="141">
        <v>2970000</v>
      </c>
      <c r="E297" t="s">
        <v>393</v>
      </c>
      <c r="F297" s="20" t="s">
        <v>394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367</v>
      </c>
      <c r="C298" t="s">
        <v>402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382</v>
      </c>
      <c r="C299" t="s">
        <v>384</v>
      </c>
      <c r="D299" s="141">
        <v>2970000</v>
      </c>
      <c r="E299" t="s">
        <v>393</v>
      </c>
      <c r="F299" s="20" t="s">
        <v>394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383</v>
      </c>
      <c r="C300" t="s">
        <v>387</v>
      </c>
      <c r="D300" s="141">
        <v>3130000</v>
      </c>
      <c r="E300" t="s">
        <v>398</v>
      </c>
      <c r="F300" s="20" t="s">
        <v>399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382</v>
      </c>
      <c r="C301" t="s">
        <v>384</v>
      </c>
      <c r="D301" s="141">
        <v>2970000</v>
      </c>
      <c r="E301" t="s">
        <v>393</v>
      </c>
      <c r="F301" s="20" t="s">
        <v>394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374</v>
      </c>
      <c r="C302" t="s">
        <v>385</v>
      </c>
      <c r="D302" s="141">
        <v>3040000</v>
      </c>
      <c r="E302" t="s">
        <v>396</v>
      </c>
      <c r="F302" s="20" t="s">
        <v>397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374</v>
      </c>
      <c r="C303" t="s">
        <v>385</v>
      </c>
      <c r="D303" s="141">
        <v>3040000</v>
      </c>
      <c r="E303" t="s">
        <v>396</v>
      </c>
      <c r="F303" s="20" t="s">
        <v>397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403</v>
      </c>
      <c r="D304" s="141">
        <v>3030000</v>
      </c>
      <c r="E304" t="s">
        <v>395</v>
      </c>
      <c r="F304" s="20" t="s">
        <v>378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388</v>
      </c>
      <c r="C305" t="s">
        <v>384</v>
      </c>
      <c r="D305" s="141">
        <v>2970000</v>
      </c>
      <c r="E305" t="s">
        <v>393</v>
      </c>
      <c r="F305" s="20" t="s">
        <v>394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382</v>
      </c>
      <c r="C306" t="s">
        <v>384</v>
      </c>
      <c r="D306" s="141">
        <v>2970000</v>
      </c>
      <c r="E306" t="s">
        <v>393</v>
      </c>
      <c r="F306" s="20" t="s">
        <v>394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375</v>
      </c>
      <c r="C307" t="s">
        <v>385</v>
      </c>
      <c r="D307" s="141">
        <v>3040000</v>
      </c>
      <c r="E307" t="s">
        <v>396</v>
      </c>
      <c r="F307" s="20" t="s">
        <v>397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386</v>
      </c>
      <c r="C308" t="s">
        <v>404</v>
      </c>
      <c r="D308" s="141">
        <v>3130000</v>
      </c>
      <c r="E308" t="s">
        <v>398</v>
      </c>
      <c r="F308" s="20" t="s">
        <v>399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374</v>
      </c>
      <c r="C309" t="s">
        <v>385</v>
      </c>
      <c r="D309" s="141">
        <v>3040000</v>
      </c>
      <c r="E309" t="s">
        <v>396</v>
      </c>
      <c r="F309" s="20" t="s">
        <v>397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388</v>
      </c>
      <c r="C310" t="s">
        <v>384</v>
      </c>
      <c r="D310" s="141">
        <v>2970000</v>
      </c>
      <c r="E310" t="s">
        <v>393</v>
      </c>
      <c r="F310" s="20" t="s">
        <v>394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382</v>
      </c>
      <c r="C311" t="s">
        <v>384</v>
      </c>
      <c r="D311" s="141">
        <v>2970000</v>
      </c>
      <c r="E311" t="s">
        <v>393</v>
      </c>
      <c r="F311" s="20" t="s">
        <v>394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380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46.55</v>
      </c>
      <c r="B2" s="168">
        <v>0.82</v>
      </c>
      <c r="C2" s="168">
        <v>44.43</v>
      </c>
      <c r="D2" s="8">
        <v>42877</v>
      </c>
      <c r="E2" s="168">
        <v>0.92</v>
      </c>
      <c r="F2" s="168" t="s">
        <v>381</v>
      </c>
      <c r="G2" s="168">
        <v>354.57</v>
      </c>
      <c r="H2" s="168">
        <v>1.5699999999999999E-2</v>
      </c>
      <c r="I2" s="168">
        <v>0.56999999999999995</v>
      </c>
      <c r="J2" s="168" t="s">
        <v>381</v>
      </c>
      <c r="K2" s="168">
        <v>1022.35</v>
      </c>
      <c r="L2" s="168" t="s">
        <v>449</v>
      </c>
      <c r="M2" s="168">
        <v>46.55</v>
      </c>
      <c r="N2" s="168">
        <v>1495432800</v>
      </c>
      <c r="O2" s="168">
        <v>10</v>
      </c>
      <c r="P2" s="168">
        <v>259</v>
      </c>
      <c r="Q2" s="168">
        <v>1.07</v>
      </c>
      <c r="R2"/>
    </row>
    <row r="3" spans="1:18" x14ac:dyDescent="0.25">
      <c r="A3" s="168">
        <v>46.27</v>
      </c>
      <c r="B3" s="168">
        <v>0.77</v>
      </c>
      <c r="C3" s="168">
        <v>44.26</v>
      </c>
      <c r="D3" s="8">
        <v>42877.041666666664</v>
      </c>
      <c r="E3" s="168">
        <v>0.93</v>
      </c>
      <c r="F3" s="168" t="s">
        <v>381</v>
      </c>
      <c r="G3" s="168">
        <v>356.07</v>
      </c>
      <c r="H3" s="168">
        <v>1.23E-2</v>
      </c>
      <c r="I3" s="168">
        <v>0.54</v>
      </c>
      <c r="J3" s="168" t="s">
        <v>381</v>
      </c>
      <c r="K3" s="168">
        <v>1022.19</v>
      </c>
      <c r="L3" s="168" t="s">
        <v>449</v>
      </c>
      <c r="M3" s="168">
        <v>46.27</v>
      </c>
      <c r="N3" s="168">
        <v>1495436400</v>
      </c>
      <c r="O3" s="168">
        <v>4.09</v>
      </c>
      <c r="P3" s="168">
        <v>215</v>
      </c>
      <c r="Q3" s="168">
        <v>2.65</v>
      </c>
      <c r="R3"/>
    </row>
    <row r="4" spans="1:18" x14ac:dyDescent="0.25">
      <c r="A4" s="168">
        <v>45.15</v>
      </c>
      <c r="B4" s="168">
        <v>0.72</v>
      </c>
      <c r="C4" s="168">
        <v>43.09</v>
      </c>
      <c r="D4" s="8">
        <v>42877.083333333336</v>
      </c>
      <c r="E4" s="168">
        <v>0.92</v>
      </c>
      <c r="F4" s="168" t="s">
        <v>381</v>
      </c>
      <c r="G4" s="168">
        <v>357.58</v>
      </c>
      <c r="H4" s="168">
        <v>8.8999999999999999E-3</v>
      </c>
      <c r="I4" s="168">
        <v>0.47</v>
      </c>
      <c r="J4" s="168" t="s">
        <v>381</v>
      </c>
      <c r="K4" s="168">
        <v>1022.01</v>
      </c>
      <c r="L4" s="168" t="s">
        <v>523</v>
      </c>
      <c r="M4" s="168">
        <v>45.15</v>
      </c>
      <c r="N4" s="168">
        <v>1495440000</v>
      </c>
      <c r="O4" s="168">
        <v>3.89</v>
      </c>
      <c r="P4" s="168">
        <v>184</v>
      </c>
      <c r="Q4" s="168">
        <v>2.23</v>
      </c>
      <c r="R4"/>
    </row>
    <row r="5" spans="1:18" x14ac:dyDescent="0.25">
      <c r="A5" s="168">
        <v>45.09</v>
      </c>
      <c r="B5" s="168">
        <v>0.7</v>
      </c>
      <c r="C5" s="168">
        <v>43.13</v>
      </c>
      <c r="D5" s="8">
        <v>42877.125</v>
      </c>
      <c r="E5" s="168">
        <v>0.93</v>
      </c>
      <c r="F5" s="168" t="s">
        <v>381</v>
      </c>
      <c r="G5" s="168">
        <v>359.08</v>
      </c>
      <c r="H5" s="168">
        <v>5.4000000000000003E-3</v>
      </c>
      <c r="I5" s="168">
        <v>0.24</v>
      </c>
      <c r="J5" s="168" t="s">
        <v>381</v>
      </c>
      <c r="K5" s="168">
        <v>1021.81</v>
      </c>
      <c r="L5" s="168" t="s">
        <v>523</v>
      </c>
      <c r="M5" s="168">
        <v>45.09</v>
      </c>
      <c r="N5" s="168">
        <v>1495443600</v>
      </c>
      <c r="O5" s="168">
        <v>10</v>
      </c>
      <c r="P5" s="168">
        <v>189</v>
      </c>
      <c r="Q5" s="168">
        <v>1.84</v>
      </c>
      <c r="R5"/>
    </row>
    <row r="6" spans="1:18" x14ac:dyDescent="0.25">
      <c r="A6" s="168">
        <v>45.21</v>
      </c>
      <c r="B6" s="168">
        <v>0.6</v>
      </c>
      <c r="C6" s="168">
        <v>43.23</v>
      </c>
      <c r="D6" s="8">
        <v>42877.166666666664</v>
      </c>
      <c r="E6" s="168">
        <v>0.93</v>
      </c>
      <c r="F6" s="168" t="s">
        <v>519</v>
      </c>
      <c r="G6" s="168">
        <v>362.64</v>
      </c>
      <c r="H6" s="168">
        <v>3.8999999999999998E-3</v>
      </c>
      <c r="I6" s="168">
        <v>0.15</v>
      </c>
      <c r="J6" s="168" t="s">
        <v>381</v>
      </c>
      <c r="K6" s="168">
        <v>1021.61</v>
      </c>
      <c r="L6" s="168" t="s">
        <v>520</v>
      </c>
      <c r="M6" s="168">
        <v>45.21</v>
      </c>
      <c r="N6" s="168">
        <v>1495447200</v>
      </c>
      <c r="O6" s="168">
        <v>4.3499999999999996</v>
      </c>
      <c r="P6" s="168">
        <v>214</v>
      </c>
      <c r="Q6" s="168">
        <v>2.19</v>
      </c>
      <c r="R6"/>
    </row>
    <row r="7" spans="1:18" x14ac:dyDescent="0.25">
      <c r="A7" s="168">
        <v>44.68</v>
      </c>
      <c r="B7" s="168">
        <v>0.56999999999999995</v>
      </c>
      <c r="C7" s="168">
        <v>42.52</v>
      </c>
      <c r="D7" s="8">
        <v>42877.208333333336</v>
      </c>
      <c r="E7" s="168">
        <v>0.92</v>
      </c>
      <c r="F7" s="168" t="s">
        <v>519</v>
      </c>
      <c r="G7" s="168">
        <v>366.83</v>
      </c>
      <c r="H7" s="168">
        <v>3.2000000000000002E-3</v>
      </c>
      <c r="I7" s="168">
        <v>0.11</v>
      </c>
      <c r="J7" s="168" t="s">
        <v>381</v>
      </c>
      <c r="K7" s="168">
        <v>1021.38</v>
      </c>
      <c r="L7" s="168" t="s">
        <v>521</v>
      </c>
      <c r="M7" s="168">
        <v>44.68</v>
      </c>
      <c r="N7" s="168">
        <v>1495450800</v>
      </c>
      <c r="O7" s="168">
        <v>5.55</v>
      </c>
      <c r="P7" s="168">
        <v>214</v>
      </c>
      <c r="Q7" s="168">
        <v>1.96</v>
      </c>
      <c r="R7"/>
    </row>
    <row r="8" spans="1:18" x14ac:dyDescent="0.25">
      <c r="A8" s="168">
        <v>43.59</v>
      </c>
      <c r="B8" s="168">
        <v>0.54</v>
      </c>
      <c r="C8" s="168">
        <v>41.28</v>
      </c>
      <c r="D8" s="8">
        <v>42877.25</v>
      </c>
      <c r="E8" s="168">
        <v>0.91</v>
      </c>
      <c r="F8" s="168" t="s">
        <v>522</v>
      </c>
      <c r="G8" s="168">
        <v>369.25</v>
      </c>
      <c r="H8" s="168">
        <v>2.3999999999999998E-3</v>
      </c>
      <c r="I8" s="168">
        <v>7.0000000000000007E-2</v>
      </c>
      <c r="J8" s="168" t="s">
        <v>381</v>
      </c>
      <c r="K8" s="168">
        <v>1021.04</v>
      </c>
      <c r="L8" s="168" t="s">
        <v>521</v>
      </c>
      <c r="M8" s="168">
        <v>43.59</v>
      </c>
      <c r="N8" s="168">
        <v>1495454400</v>
      </c>
      <c r="O8" s="168">
        <v>4.07</v>
      </c>
      <c r="P8" s="168">
        <v>211</v>
      </c>
      <c r="Q8" s="168">
        <v>2.65</v>
      </c>
      <c r="R8"/>
    </row>
    <row r="9" spans="1:18" x14ac:dyDescent="0.25">
      <c r="A9" s="168">
        <v>47.06</v>
      </c>
      <c r="B9" s="168">
        <v>0.46</v>
      </c>
      <c r="C9" s="168">
        <v>43.26</v>
      </c>
      <c r="D9" s="8">
        <v>42877.291666666664</v>
      </c>
      <c r="E9" s="168">
        <v>0.87</v>
      </c>
      <c r="F9" s="168" t="s">
        <v>522</v>
      </c>
      <c r="G9" s="168">
        <v>368.72</v>
      </c>
      <c r="H9" s="168">
        <v>1.6000000000000001E-3</v>
      </c>
      <c r="I9" s="168">
        <v>0.03</v>
      </c>
      <c r="J9" s="168" t="s">
        <v>381</v>
      </c>
      <c r="K9" s="168">
        <v>1020.46</v>
      </c>
      <c r="L9" s="168" t="s">
        <v>521</v>
      </c>
      <c r="M9" s="168">
        <v>47.06</v>
      </c>
      <c r="N9" s="168">
        <v>1495458000</v>
      </c>
      <c r="O9" s="168">
        <v>3.37</v>
      </c>
      <c r="P9" s="168">
        <v>215</v>
      </c>
      <c r="Q9" s="168">
        <v>1.99</v>
      </c>
      <c r="R9"/>
    </row>
    <row r="10" spans="1:18" x14ac:dyDescent="0.25">
      <c r="A10" s="168">
        <v>51.53</v>
      </c>
      <c r="B10" s="168">
        <v>0.33</v>
      </c>
      <c r="C10" s="168">
        <v>43.51</v>
      </c>
      <c r="D10" s="8">
        <v>42877.333333333336</v>
      </c>
      <c r="E10" s="168">
        <v>0.74</v>
      </c>
      <c r="F10" s="168" t="s">
        <v>522</v>
      </c>
      <c r="G10" s="168">
        <v>366.43</v>
      </c>
      <c r="H10" s="168">
        <v>8.0000000000000004E-4</v>
      </c>
      <c r="I10" s="168">
        <v>0.01</v>
      </c>
      <c r="J10" s="168" t="s">
        <v>381</v>
      </c>
      <c r="K10" s="168">
        <v>1019.74</v>
      </c>
      <c r="L10" s="168" t="s">
        <v>521</v>
      </c>
      <c r="M10" s="168">
        <v>51.53</v>
      </c>
      <c r="N10" s="168">
        <v>1495461600</v>
      </c>
      <c r="O10" s="168">
        <v>3.05</v>
      </c>
      <c r="P10" s="168">
        <v>203</v>
      </c>
      <c r="Q10" s="168">
        <v>1.67</v>
      </c>
      <c r="R10"/>
    </row>
    <row r="11" spans="1:18" x14ac:dyDescent="0.25">
      <c r="A11" s="168">
        <v>55.64</v>
      </c>
      <c r="B11" s="168">
        <v>0.21</v>
      </c>
      <c r="C11" s="168">
        <v>41.71</v>
      </c>
      <c r="D11" s="8">
        <v>42877.375</v>
      </c>
      <c r="E11" s="168">
        <v>0.59</v>
      </c>
      <c r="F11" s="168" t="s">
        <v>820</v>
      </c>
      <c r="G11" s="168">
        <v>363.57</v>
      </c>
      <c r="H11" s="168">
        <v>0</v>
      </c>
      <c r="I11" s="168">
        <v>0</v>
      </c>
      <c r="J11" s="168"/>
      <c r="K11" s="168">
        <v>1018.96</v>
      </c>
      <c r="L11" s="168" t="s">
        <v>821</v>
      </c>
      <c r="M11" s="168">
        <v>55.64</v>
      </c>
      <c r="N11" s="168">
        <v>1495465200</v>
      </c>
      <c r="O11" s="168">
        <v>2.97</v>
      </c>
      <c r="P11" s="168">
        <v>224</v>
      </c>
      <c r="Q11" s="168">
        <v>0.99</v>
      </c>
      <c r="R11"/>
    </row>
    <row r="12" spans="1:18" x14ac:dyDescent="0.25">
      <c r="A12" s="168">
        <v>59.17</v>
      </c>
      <c r="B12" s="168">
        <v>0.21</v>
      </c>
      <c r="C12" s="168">
        <v>37.83</v>
      </c>
      <c r="D12" s="8">
        <v>42877.416666666664</v>
      </c>
      <c r="E12" s="168">
        <v>0.45</v>
      </c>
      <c r="F12" s="168" t="s">
        <v>820</v>
      </c>
      <c r="G12" s="168">
        <v>359.79</v>
      </c>
      <c r="H12" s="168">
        <v>0</v>
      </c>
      <c r="I12" s="168">
        <v>0</v>
      </c>
      <c r="J12" s="168"/>
      <c r="K12" s="168">
        <v>1018.35</v>
      </c>
      <c r="L12" s="168" t="s">
        <v>821</v>
      </c>
      <c r="M12" s="168">
        <v>59.17</v>
      </c>
      <c r="N12" s="168">
        <v>1495468800</v>
      </c>
      <c r="O12" s="168">
        <v>2.98</v>
      </c>
      <c r="P12" s="168">
        <v>299</v>
      </c>
      <c r="Q12" s="168">
        <v>1.31</v>
      </c>
      <c r="R12"/>
    </row>
    <row r="13" spans="1:18" x14ac:dyDescent="0.25">
      <c r="A13" s="168">
        <v>62.26</v>
      </c>
      <c r="B13" s="168">
        <v>0.24</v>
      </c>
      <c r="C13" s="168">
        <v>35.72</v>
      </c>
      <c r="D13" s="8">
        <v>42877.458333333336</v>
      </c>
      <c r="E13" s="168">
        <v>0.37</v>
      </c>
      <c r="F13" s="168" t="s">
        <v>820</v>
      </c>
      <c r="G13" s="168">
        <v>355.45</v>
      </c>
      <c r="H13" s="168">
        <v>0</v>
      </c>
      <c r="I13" s="168">
        <v>0</v>
      </c>
      <c r="J13" s="168"/>
      <c r="K13" s="168">
        <v>1017.73</v>
      </c>
      <c r="L13" s="168" t="s">
        <v>821</v>
      </c>
      <c r="M13" s="168">
        <v>62.26</v>
      </c>
      <c r="N13" s="168">
        <v>1495472400</v>
      </c>
      <c r="O13" s="168">
        <v>10</v>
      </c>
      <c r="P13" s="168">
        <v>26</v>
      </c>
      <c r="Q13" s="168">
        <v>2.5499999999999998</v>
      </c>
      <c r="R13"/>
    </row>
    <row r="14" spans="1:18" x14ac:dyDescent="0.25">
      <c r="A14" s="168">
        <v>63.18</v>
      </c>
      <c r="B14" s="168">
        <v>0.35</v>
      </c>
      <c r="C14" s="168">
        <v>33.200000000000003</v>
      </c>
      <c r="D14" s="8">
        <v>42877.5</v>
      </c>
      <c r="E14" s="168">
        <v>0.32</v>
      </c>
      <c r="F14" s="168" t="s">
        <v>522</v>
      </c>
      <c r="G14" s="168">
        <v>352.76</v>
      </c>
      <c r="H14" s="168">
        <v>0</v>
      </c>
      <c r="I14" s="168">
        <v>0</v>
      </c>
      <c r="J14" s="168"/>
      <c r="K14" s="168">
        <v>1016.99</v>
      </c>
      <c r="L14" s="168" t="s">
        <v>521</v>
      </c>
      <c r="M14" s="168">
        <v>63.18</v>
      </c>
      <c r="N14" s="168">
        <v>1495476000</v>
      </c>
      <c r="O14" s="168">
        <v>10</v>
      </c>
      <c r="P14" s="168">
        <v>24</v>
      </c>
      <c r="Q14" s="168">
        <v>3.51</v>
      </c>
      <c r="R14"/>
    </row>
    <row r="15" spans="1:18" x14ac:dyDescent="0.25">
      <c r="A15" s="168">
        <v>65.5</v>
      </c>
      <c r="B15" s="168">
        <v>0.36</v>
      </c>
      <c r="C15" s="168">
        <v>32.93</v>
      </c>
      <c r="D15" s="8">
        <v>42877.541666666664</v>
      </c>
      <c r="E15" s="168">
        <v>0.3</v>
      </c>
      <c r="F15" s="168" t="s">
        <v>522</v>
      </c>
      <c r="G15" s="168">
        <v>352.93</v>
      </c>
      <c r="H15" s="168">
        <v>0</v>
      </c>
      <c r="I15" s="168">
        <v>0</v>
      </c>
      <c r="J15" s="168"/>
      <c r="K15" s="168">
        <v>1015.74</v>
      </c>
      <c r="L15" s="168" t="s">
        <v>521</v>
      </c>
      <c r="M15" s="168">
        <v>65.5</v>
      </c>
      <c r="N15" s="168">
        <v>1495479600</v>
      </c>
      <c r="O15" s="168">
        <v>3.1</v>
      </c>
      <c r="P15" s="168">
        <v>343</v>
      </c>
      <c r="Q15" s="168">
        <v>2.5099999999999998</v>
      </c>
      <c r="R15"/>
    </row>
    <row r="16" spans="1:18" x14ac:dyDescent="0.25">
      <c r="A16" s="168">
        <v>66.760000000000005</v>
      </c>
      <c r="B16" s="168">
        <v>0.38</v>
      </c>
      <c r="C16" s="168">
        <v>33.07</v>
      </c>
      <c r="D16" s="8">
        <v>42877.583333333336</v>
      </c>
      <c r="E16" s="168">
        <v>0.28999999999999998</v>
      </c>
      <c r="F16" s="168" t="s">
        <v>522</v>
      </c>
      <c r="G16" s="168">
        <v>354.74</v>
      </c>
      <c r="H16" s="168">
        <v>0</v>
      </c>
      <c r="I16" s="168">
        <v>0</v>
      </c>
      <c r="J16" s="168"/>
      <c r="K16" s="168">
        <v>1014.8</v>
      </c>
      <c r="L16" s="168" t="s">
        <v>521</v>
      </c>
      <c r="M16" s="168">
        <v>66.760000000000005</v>
      </c>
      <c r="N16" s="168">
        <v>1495483200</v>
      </c>
      <c r="O16" s="168">
        <v>3.09</v>
      </c>
      <c r="P16" s="168">
        <v>318</v>
      </c>
      <c r="Q16" s="168">
        <v>2.21</v>
      </c>
      <c r="R16"/>
    </row>
    <row r="17" spans="1:18" x14ac:dyDescent="0.25">
      <c r="A17" s="168">
        <v>67.180000000000007</v>
      </c>
      <c r="B17" s="168">
        <v>0.42</v>
      </c>
      <c r="C17" s="168">
        <v>33.56</v>
      </c>
      <c r="D17" s="8">
        <v>42877.625</v>
      </c>
      <c r="E17" s="168">
        <v>0.28999999999999998</v>
      </c>
      <c r="F17" s="168" t="s">
        <v>522</v>
      </c>
      <c r="G17" s="168">
        <v>356.82</v>
      </c>
      <c r="H17" s="168">
        <v>0</v>
      </c>
      <c r="I17" s="168">
        <v>0</v>
      </c>
      <c r="J17" s="168"/>
      <c r="K17" s="168">
        <v>1014.55</v>
      </c>
      <c r="L17" s="168" t="s">
        <v>521</v>
      </c>
      <c r="M17" s="168">
        <v>67.180000000000007</v>
      </c>
      <c r="N17" s="168">
        <v>1495486800</v>
      </c>
      <c r="O17" s="168">
        <v>2.99</v>
      </c>
      <c r="P17" s="168">
        <v>287</v>
      </c>
      <c r="Q17" s="168">
        <v>4.58</v>
      </c>
      <c r="R17"/>
    </row>
    <row r="18" spans="1:18" x14ac:dyDescent="0.25">
      <c r="A18" s="168">
        <v>64.239999999999995</v>
      </c>
      <c r="B18" s="168">
        <v>0.53</v>
      </c>
      <c r="C18" s="168">
        <v>33.89</v>
      </c>
      <c r="D18" s="8">
        <v>42877.666666666664</v>
      </c>
      <c r="E18" s="168">
        <v>0.32</v>
      </c>
      <c r="F18" s="168" t="s">
        <v>381</v>
      </c>
      <c r="G18" s="168">
        <v>358.89</v>
      </c>
      <c r="H18" s="168">
        <v>6.1000000000000004E-3</v>
      </c>
      <c r="I18" s="168">
        <v>0.28000000000000003</v>
      </c>
      <c r="J18" s="168" t="s">
        <v>381</v>
      </c>
      <c r="K18" s="168">
        <v>1015.46</v>
      </c>
      <c r="L18" s="168" t="s">
        <v>523</v>
      </c>
      <c r="M18" s="168">
        <v>64.239999999999995</v>
      </c>
      <c r="N18" s="168">
        <v>1495490400</v>
      </c>
      <c r="O18" s="168">
        <v>9.6199999999999992</v>
      </c>
      <c r="P18" s="168">
        <v>345</v>
      </c>
      <c r="Q18" s="168">
        <v>8.32</v>
      </c>
      <c r="R18"/>
    </row>
    <row r="19" spans="1:18" x14ac:dyDescent="0.25">
      <c r="A19" s="168">
        <v>57.26</v>
      </c>
      <c r="B19" s="168">
        <v>0.65</v>
      </c>
      <c r="C19" s="168">
        <v>45.46</v>
      </c>
      <c r="D19" s="8">
        <v>42877.708333333336</v>
      </c>
      <c r="E19" s="168">
        <v>0.65</v>
      </c>
      <c r="F19" s="168" t="s">
        <v>381</v>
      </c>
      <c r="G19" s="168">
        <v>361.24</v>
      </c>
      <c r="H19" s="168">
        <v>1.55E-2</v>
      </c>
      <c r="I19" s="168">
        <v>0.56999999999999995</v>
      </c>
      <c r="J19" s="168" t="s">
        <v>381</v>
      </c>
      <c r="K19" s="168">
        <v>1017.74</v>
      </c>
      <c r="L19" s="168" t="s">
        <v>449</v>
      </c>
      <c r="M19" s="168">
        <v>57.26</v>
      </c>
      <c r="N19" s="168">
        <v>1495494000</v>
      </c>
      <c r="O19" s="168">
        <v>2.98</v>
      </c>
      <c r="P19" s="168">
        <v>14</v>
      </c>
      <c r="Q19" s="168">
        <v>9.35</v>
      </c>
      <c r="R19"/>
    </row>
    <row r="20" spans="1:18" x14ac:dyDescent="0.25">
      <c r="A20" s="168">
        <v>44.71</v>
      </c>
      <c r="B20" s="168">
        <v>0.73</v>
      </c>
      <c r="C20" s="168">
        <v>42.76</v>
      </c>
      <c r="D20" s="8">
        <v>42877.75</v>
      </c>
      <c r="E20" s="168">
        <v>0.79</v>
      </c>
      <c r="F20" s="168" t="s">
        <v>381</v>
      </c>
      <c r="G20" s="168">
        <v>363.29</v>
      </c>
      <c r="H20" s="168">
        <v>2.4199999999999999E-2</v>
      </c>
      <c r="I20" s="168">
        <v>0.63</v>
      </c>
      <c r="J20" s="168" t="s">
        <v>381</v>
      </c>
      <c r="K20" s="168">
        <v>1019.21</v>
      </c>
      <c r="L20" s="168" t="s">
        <v>449</v>
      </c>
      <c r="M20" s="168">
        <v>48.83</v>
      </c>
      <c r="N20" s="168">
        <v>1495497600</v>
      </c>
      <c r="O20" s="168">
        <v>2.99</v>
      </c>
      <c r="P20" s="168">
        <v>17</v>
      </c>
      <c r="Q20" s="168">
        <v>9.68</v>
      </c>
      <c r="R20"/>
    </row>
    <row r="21" spans="1:18" x14ac:dyDescent="0.25">
      <c r="A21" s="168">
        <v>40.770000000000003</v>
      </c>
      <c r="B21" s="168">
        <v>0.86</v>
      </c>
      <c r="C21" s="168">
        <v>41.54</v>
      </c>
      <c r="D21" s="8">
        <v>42877.791666666664</v>
      </c>
      <c r="E21" s="168">
        <v>0.89</v>
      </c>
      <c r="F21" s="168" t="s">
        <v>381</v>
      </c>
      <c r="G21" s="168">
        <v>364.89</v>
      </c>
      <c r="H21" s="168">
        <v>2.8899999999999999E-2</v>
      </c>
      <c r="I21" s="168">
        <v>0.66</v>
      </c>
      <c r="J21" s="168" t="s">
        <v>381</v>
      </c>
      <c r="K21" s="168">
        <v>1020.39</v>
      </c>
      <c r="L21" s="168" t="s">
        <v>449</v>
      </c>
      <c r="M21" s="168">
        <v>44.72</v>
      </c>
      <c r="N21" s="168">
        <v>1495501200</v>
      </c>
      <c r="O21" s="168">
        <v>3.48</v>
      </c>
      <c r="P21" s="168">
        <v>20</v>
      </c>
      <c r="Q21" s="168">
        <v>7.11</v>
      </c>
      <c r="R21"/>
    </row>
    <row r="22" spans="1:18" x14ac:dyDescent="0.25">
      <c r="A22" s="168">
        <v>44.41</v>
      </c>
      <c r="B22" s="168">
        <v>0.76</v>
      </c>
      <c r="C22" s="168">
        <v>41.5</v>
      </c>
      <c r="D22" s="8">
        <v>42877.833333333336</v>
      </c>
      <c r="E22" s="168">
        <v>0.89</v>
      </c>
      <c r="F22" s="168" t="s">
        <v>381</v>
      </c>
      <c r="G22" s="168">
        <v>366.2</v>
      </c>
      <c r="H22" s="168">
        <v>2.23E-2</v>
      </c>
      <c r="I22" s="168">
        <v>0.62</v>
      </c>
      <c r="J22" s="168" t="s">
        <v>381</v>
      </c>
      <c r="K22" s="168">
        <v>1021.15</v>
      </c>
      <c r="L22" s="168" t="s">
        <v>449</v>
      </c>
      <c r="M22" s="168">
        <v>44.41</v>
      </c>
      <c r="N22" s="168">
        <v>1495504800</v>
      </c>
      <c r="O22" s="168">
        <v>4.54</v>
      </c>
      <c r="P22" s="168">
        <v>51</v>
      </c>
      <c r="Q22" s="168">
        <v>2.25</v>
      </c>
      <c r="R22"/>
    </row>
    <row r="23" spans="1:18" x14ac:dyDescent="0.25">
      <c r="A23" s="168">
        <v>44.81</v>
      </c>
      <c r="B23" s="168">
        <v>0.66</v>
      </c>
      <c r="C23" s="168">
        <v>41.65</v>
      </c>
      <c r="D23" s="8">
        <v>42877.875</v>
      </c>
      <c r="E23" s="168">
        <v>0.89</v>
      </c>
      <c r="F23" s="168" t="s">
        <v>381</v>
      </c>
      <c r="G23" s="168">
        <v>367.16</v>
      </c>
      <c r="H23" s="168">
        <v>1.67E-2</v>
      </c>
      <c r="I23" s="168">
        <v>0.57999999999999996</v>
      </c>
      <c r="J23" s="168" t="s">
        <v>381</v>
      </c>
      <c r="K23" s="168">
        <v>1021.7</v>
      </c>
      <c r="L23" s="168" t="s">
        <v>449</v>
      </c>
      <c r="M23" s="168">
        <v>44.81</v>
      </c>
      <c r="N23" s="168">
        <v>1495508400</v>
      </c>
      <c r="O23" s="168">
        <v>4.8499999999999996</v>
      </c>
      <c r="P23" s="168">
        <v>229</v>
      </c>
      <c r="Q23" s="168">
        <v>1.42</v>
      </c>
      <c r="R23"/>
    </row>
    <row r="24" spans="1:18" x14ac:dyDescent="0.25">
      <c r="A24" s="168">
        <v>44.1</v>
      </c>
      <c r="B24" s="168">
        <v>0.71</v>
      </c>
      <c r="C24" s="168">
        <v>40.97</v>
      </c>
      <c r="D24" s="8">
        <v>42877.916666666664</v>
      </c>
      <c r="E24" s="168">
        <v>0.89</v>
      </c>
      <c r="F24" s="168" t="s">
        <v>381</v>
      </c>
      <c r="G24" s="168">
        <v>367.7</v>
      </c>
      <c r="H24" s="168">
        <v>1.0999999999999999E-2</v>
      </c>
      <c r="I24" s="168">
        <v>0.52</v>
      </c>
      <c r="J24" s="168" t="s">
        <v>381</v>
      </c>
      <c r="K24" s="168">
        <v>1022.19</v>
      </c>
      <c r="L24" s="168" t="s">
        <v>449</v>
      </c>
      <c r="M24" s="168">
        <v>44.1</v>
      </c>
      <c r="N24" s="168">
        <v>1495512000</v>
      </c>
      <c r="O24" s="168">
        <v>2.97</v>
      </c>
      <c r="P24" s="168">
        <v>214</v>
      </c>
      <c r="Q24" s="168">
        <v>2.7</v>
      </c>
      <c r="R24"/>
    </row>
    <row r="25" spans="1:18" x14ac:dyDescent="0.25">
      <c r="A25" s="168">
        <v>43.47</v>
      </c>
      <c r="B25" s="168">
        <v>0.7</v>
      </c>
      <c r="C25" s="168">
        <v>39.950000000000003</v>
      </c>
      <c r="D25" s="8">
        <v>42877.958333333336</v>
      </c>
      <c r="E25" s="168">
        <v>0.87</v>
      </c>
      <c r="F25" s="168" t="s">
        <v>381</v>
      </c>
      <c r="G25" s="168">
        <v>367.9</v>
      </c>
      <c r="H25" s="168">
        <v>6.0000000000000001E-3</v>
      </c>
      <c r="I25" s="168">
        <v>0.27</v>
      </c>
      <c r="J25" s="168" t="s">
        <v>381</v>
      </c>
      <c r="K25" s="168">
        <v>1022.53</v>
      </c>
      <c r="L25" s="168" t="s">
        <v>523</v>
      </c>
      <c r="M25" s="168">
        <v>43.47</v>
      </c>
      <c r="N25" s="168">
        <v>1495515600</v>
      </c>
      <c r="O25" s="168">
        <v>2.2799999999999998</v>
      </c>
      <c r="P25" s="168">
        <v>210</v>
      </c>
      <c r="Q25" s="168">
        <v>2.25</v>
      </c>
      <c r="R25"/>
    </row>
    <row r="26" spans="1:18" x14ac:dyDescent="0.25">
      <c r="A26" s="168">
        <v>42.51</v>
      </c>
      <c r="B26" s="168">
        <v>0.67</v>
      </c>
      <c r="C26" s="168">
        <v>39.22</v>
      </c>
      <c r="D26" s="8">
        <v>42878</v>
      </c>
      <c r="E26" s="168">
        <v>0.88</v>
      </c>
      <c r="F26" s="168" t="s">
        <v>519</v>
      </c>
      <c r="G26" s="168">
        <v>367.99</v>
      </c>
      <c r="H26" s="168">
        <v>1.8E-3</v>
      </c>
      <c r="I26" s="168">
        <v>0.04</v>
      </c>
      <c r="J26" s="168" t="s">
        <v>381</v>
      </c>
      <c r="K26" s="168">
        <v>1022.8</v>
      </c>
      <c r="L26" s="168" t="s">
        <v>520</v>
      </c>
      <c r="M26" s="168">
        <v>42.51</v>
      </c>
      <c r="N26" s="168">
        <v>1495519200</v>
      </c>
      <c r="O26" s="168">
        <v>2.1</v>
      </c>
      <c r="P26" s="168">
        <v>227</v>
      </c>
      <c r="Q26" s="168">
        <v>1.64</v>
      </c>
      <c r="R26"/>
    </row>
    <row r="27" spans="1:18" x14ac:dyDescent="0.25">
      <c r="A27" s="168">
        <v>41.85</v>
      </c>
      <c r="B27" s="168">
        <v>0.65</v>
      </c>
      <c r="C27" s="168">
        <v>39.049999999999997</v>
      </c>
      <c r="D27" s="8">
        <v>42878.041666666664</v>
      </c>
      <c r="E27" s="168">
        <v>0.9</v>
      </c>
      <c r="F27" s="168" t="s">
        <v>519</v>
      </c>
      <c r="G27" s="168">
        <v>367.94</v>
      </c>
      <c r="H27" s="168">
        <v>1.8E-3</v>
      </c>
      <c r="I27" s="168">
        <v>0.04</v>
      </c>
      <c r="J27" s="168" t="s">
        <v>381</v>
      </c>
      <c r="K27" s="168">
        <v>1022.98</v>
      </c>
      <c r="L27" s="168" t="s">
        <v>520</v>
      </c>
      <c r="M27" s="168">
        <v>41.85</v>
      </c>
      <c r="N27" s="168">
        <v>1495522800</v>
      </c>
      <c r="O27" s="168">
        <v>2.31</v>
      </c>
      <c r="P27" s="168">
        <v>247</v>
      </c>
      <c r="Q27" s="168">
        <v>1.1299999999999999</v>
      </c>
      <c r="R27"/>
    </row>
    <row r="28" spans="1:18" x14ac:dyDescent="0.25">
      <c r="A28" s="168">
        <v>42.68</v>
      </c>
      <c r="B28" s="168">
        <v>0.62</v>
      </c>
      <c r="C28" s="168">
        <v>39.869999999999997</v>
      </c>
      <c r="D28" s="8">
        <v>42878.083333333336</v>
      </c>
      <c r="E28" s="168">
        <v>0.9</v>
      </c>
      <c r="F28" s="168" t="s">
        <v>519</v>
      </c>
      <c r="G28" s="168">
        <v>367.89</v>
      </c>
      <c r="H28" s="168">
        <v>1.1999999999999999E-3</v>
      </c>
      <c r="I28" s="168">
        <v>0.02</v>
      </c>
      <c r="J28" s="168" t="s">
        <v>381</v>
      </c>
      <c r="K28" s="168">
        <v>1023.16</v>
      </c>
      <c r="L28" s="168" t="s">
        <v>520</v>
      </c>
      <c r="M28" s="168">
        <v>42.68</v>
      </c>
      <c r="N28" s="168">
        <v>1495526400</v>
      </c>
      <c r="O28" s="168">
        <v>2.04</v>
      </c>
      <c r="P28" s="168">
        <v>252</v>
      </c>
      <c r="Q28" s="168">
        <v>1.19</v>
      </c>
      <c r="R28"/>
    </row>
    <row r="29" spans="1:18" x14ac:dyDescent="0.25">
      <c r="A29" s="168">
        <v>40.700000000000003</v>
      </c>
      <c r="B29" s="168">
        <v>0.69</v>
      </c>
      <c r="C29" s="168">
        <v>37.85</v>
      </c>
      <c r="D29" s="8">
        <v>42878.125</v>
      </c>
      <c r="E29" s="168">
        <v>0.89</v>
      </c>
      <c r="F29" s="168" t="s">
        <v>519</v>
      </c>
      <c r="G29" s="168">
        <v>367.84</v>
      </c>
      <c r="H29" s="168">
        <v>0</v>
      </c>
      <c r="I29" s="168">
        <v>0</v>
      </c>
      <c r="J29" s="168"/>
      <c r="K29" s="168">
        <v>1023.35</v>
      </c>
      <c r="L29" s="168" t="s">
        <v>520</v>
      </c>
      <c r="M29" s="168">
        <v>40.700000000000003</v>
      </c>
      <c r="N29" s="168">
        <v>1495530000</v>
      </c>
      <c r="O29" s="168">
        <v>3.82</v>
      </c>
      <c r="P29" s="168">
        <v>251</v>
      </c>
      <c r="Q29" s="168">
        <v>1.8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4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42877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1004</v>
      </c>
      <c r="J20" s="143" t="s">
        <v>87</v>
      </c>
      <c r="M20" s="157" t="s">
        <v>370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1005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1009</v>
      </c>
      <c r="J25" s="143" t="s">
        <v>150</v>
      </c>
      <c r="M25" s="157" t="b">
        <v>1</v>
      </c>
    </row>
    <row r="26" spans="3:24" x14ac:dyDescent="0.25">
      <c r="C26" t="s">
        <v>1010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C:\Users\stu\Documents\GitHub\eaglep3-reporting\EC\2017-05-22-refined-times.txt</v>
      </c>
    </row>
    <row r="27" spans="3:24" x14ac:dyDescent="0.25">
      <c r="C27" t="s">
        <v>1011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C:\Users\stu\Documents\GitHub\eaglep3-reporting\EC\2017-05-22-Enforcements.txt</v>
      </c>
    </row>
    <row r="28" spans="3:24" x14ac:dyDescent="0.25">
      <c r="C28" t="s">
        <v>1012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C:\Users\stu\Documents\GitHub\eaglep3-reporting\EC\2017-05-22-Runs-refined.txt</v>
      </c>
    </row>
    <row r="29" spans="3:24" x14ac:dyDescent="0.25">
      <c r="C29" t="s">
        <v>1013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C:\Users\stu\Documents\GitHub\eaglep3-reporting\EC\2017-05-22-Trips.txt</v>
      </c>
    </row>
    <row r="30" spans="3:24" x14ac:dyDescent="0.25">
      <c r="C30" t="s">
        <v>1014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C:\Users\stu\Documents\GitHub\eaglep3-reporting\EC\2017-05-22-Weather.txt</v>
      </c>
    </row>
    <row r="31" spans="3:24" x14ac:dyDescent="0.25">
      <c r="C31" t="s">
        <v>1015</v>
      </c>
      <c r="J31" s="143" t="s">
        <v>200</v>
      </c>
      <c r="M31" s="157" t="s">
        <v>201</v>
      </c>
    </row>
    <row r="32" spans="3:24" x14ac:dyDescent="0.25">
      <c r="C32" t="s">
        <v>1016</v>
      </c>
    </row>
    <row r="33" spans="3:3" x14ac:dyDescent="0.25">
      <c r="C33" t="s">
        <v>1017</v>
      </c>
    </row>
    <row r="34" spans="3:3" x14ac:dyDescent="0.25">
      <c r="C34" t="s">
        <v>1018</v>
      </c>
    </row>
    <row r="35" spans="3:3" x14ac:dyDescent="0.25">
      <c r="C35" t="s">
        <v>1019</v>
      </c>
    </row>
    <row r="36" spans="3:3" x14ac:dyDescent="0.25">
      <c r="C36" t="s">
        <v>1020</v>
      </c>
    </row>
    <row r="37" spans="3:3" x14ac:dyDescent="0.25">
      <c r="C37" t="s">
        <v>1021</v>
      </c>
    </row>
    <row r="38" spans="3:3" x14ac:dyDescent="0.25">
      <c r="C38" t="s">
        <v>1022</v>
      </c>
    </row>
    <row r="39" spans="3:3" x14ac:dyDescent="0.25">
      <c r="C39" t="s">
        <v>1023</v>
      </c>
    </row>
    <row r="40" spans="3:3" x14ac:dyDescent="0.25">
      <c r="C40" t="s">
        <v>1024</v>
      </c>
    </row>
    <row r="41" spans="3:3" x14ac:dyDescent="0.25">
      <c r="C41" t="s">
        <v>1025</v>
      </c>
    </row>
    <row r="42" spans="3:3" x14ac:dyDescent="0.25">
      <c r="C42" t="s">
        <v>1026</v>
      </c>
    </row>
    <row r="43" spans="3:3" x14ac:dyDescent="0.25">
      <c r="C43" t="s">
        <v>1027</v>
      </c>
    </row>
    <row r="44" spans="3:3" x14ac:dyDescent="0.25">
      <c r="C44" t="s">
        <v>1028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2017-05-23T15:42:40Z</dcterms:modified>
</cp:coreProperties>
</file>