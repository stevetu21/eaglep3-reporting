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Runs'!$A$12:$AG$524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9" i="1" l="1"/>
  <c r="K229" i="1"/>
  <c r="L229" i="1"/>
  <c r="M229" i="1"/>
  <c r="V229" i="1"/>
  <c r="Y229" i="1"/>
  <c r="Z229" i="1"/>
  <c r="AA229" i="1" s="1"/>
  <c r="AB229" i="1"/>
  <c r="AC229" i="1"/>
  <c r="AD229" i="1"/>
  <c r="T229" i="1" s="1"/>
  <c r="AE229" i="1"/>
  <c r="AF229" i="1"/>
  <c r="AH229" i="1"/>
  <c r="AM229" i="1"/>
  <c r="AN229" i="1"/>
  <c r="AO229" i="1"/>
  <c r="K228" i="1"/>
  <c r="L228" i="1"/>
  <c r="M228" i="1"/>
  <c r="N228" i="1"/>
  <c r="T228" i="1"/>
  <c r="V228" i="1"/>
  <c r="X228" i="1"/>
  <c r="Y228" i="1"/>
  <c r="Z228" i="1"/>
  <c r="AA228" i="1"/>
  <c r="AB228" i="1"/>
  <c r="AC228" i="1"/>
  <c r="AD228" i="1"/>
  <c r="AE228" i="1"/>
  <c r="AF228" i="1"/>
  <c r="AG229" i="1"/>
  <c r="AG228" i="1"/>
  <c r="AI229" i="1" l="1"/>
  <c r="U229" i="1"/>
  <c r="S229" i="1" s="1"/>
  <c r="W229" i="1"/>
  <c r="X229" i="1"/>
  <c r="U228" i="1"/>
  <c r="S228" i="1"/>
  <c r="W228" i="1"/>
  <c r="AH228" i="1"/>
  <c r="AI228" i="1"/>
  <c r="AM228" i="1"/>
  <c r="AN228" i="1"/>
  <c r="AO228" i="1"/>
  <c r="P230" i="1"/>
  <c r="P181" i="1"/>
  <c r="X194" i="1"/>
  <c r="K193" i="1"/>
  <c r="L193" i="1"/>
  <c r="M193" i="1"/>
  <c r="N193" i="1"/>
  <c r="V193" i="1"/>
  <c r="AA193" i="1"/>
  <c r="AB193" i="1"/>
  <c r="AC193" i="1"/>
  <c r="AD193" i="1"/>
  <c r="T193" i="1" s="1"/>
  <c r="AE193" i="1"/>
  <c r="AF193" i="1"/>
  <c r="AH193" i="1"/>
  <c r="AM193" i="1"/>
  <c r="AN193" i="1"/>
  <c r="AO193" i="1"/>
  <c r="X152" i="1"/>
  <c r="X153" i="1"/>
  <c r="K151" i="1"/>
  <c r="L151" i="1"/>
  <c r="M151" i="1"/>
  <c r="V151" i="1"/>
  <c r="X151" i="1"/>
  <c r="Y151" i="1"/>
  <c r="Z151" i="1"/>
  <c r="AA151" i="1"/>
  <c r="AB151" i="1"/>
  <c r="AC151" i="1"/>
  <c r="AD151" i="1"/>
  <c r="T151" i="1" s="1"/>
  <c r="AE151" i="1"/>
  <c r="AF151" i="1"/>
  <c r="AH151" i="1"/>
  <c r="AM151" i="1"/>
  <c r="AN151" i="1"/>
  <c r="AO151" i="1"/>
  <c r="X143" i="1"/>
  <c r="X144" i="1"/>
  <c r="X145" i="1"/>
  <c r="X146" i="1"/>
  <c r="X114" i="1"/>
  <c r="K113" i="1"/>
  <c r="L113" i="1"/>
  <c r="M113" i="1"/>
  <c r="N113" i="1" s="1"/>
  <c r="V113" i="1"/>
  <c r="AA113" i="1"/>
  <c r="AB113" i="1"/>
  <c r="AC113" i="1"/>
  <c r="AD113" i="1"/>
  <c r="T113" i="1" s="1"/>
  <c r="AE113" i="1"/>
  <c r="AF113" i="1"/>
  <c r="AH113" i="1"/>
  <c r="AM113" i="1"/>
  <c r="AN113" i="1"/>
  <c r="AO113" i="1"/>
  <c r="K85" i="1"/>
  <c r="L85" i="1"/>
  <c r="M85" i="1"/>
  <c r="N85" i="1" s="1"/>
  <c r="V85" i="1"/>
  <c r="AA85" i="1"/>
  <c r="AB85" i="1"/>
  <c r="AC85" i="1"/>
  <c r="AD85" i="1"/>
  <c r="T85" i="1" s="1"/>
  <c r="AE85" i="1"/>
  <c r="AF85" i="1"/>
  <c r="AH85" i="1"/>
  <c r="AM85" i="1"/>
  <c r="AN85" i="1"/>
  <c r="AO85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2" i="3" s="1"/>
  <c r="Y32" i="1"/>
  <c r="Z32" i="1"/>
  <c r="AB32" i="1"/>
  <c r="AC32" i="1"/>
  <c r="AD32" i="1"/>
  <c r="AE32" i="1"/>
  <c r="R12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R15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S16" i="3" s="1"/>
  <c r="Y40" i="1"/>
  <c r="AA40" i="1" s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AO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T50" i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7" i="3" s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AA53" i="1" s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X55" i="1"/>
  <c r="Y55" i="1"/>
  <c r="Z55" i="1"/>
  <c r="AB55" i="1"/>
  <c r="AC55" i="1"/>
  <c r="AD55" i="1"/>
  <c r="T55" i="1" s="1"/>
  <c r="AE55" i="1"/>
  <c r="R13" i="3" s="1"/>
  <c r="AF55" i="1"/>
  <c r="AH55" i="1"/>
  <c r="AM55" i="1"/>
  <c r="AN55" i="1"/>
  <c r="AO55" i="1"/>
  <c r="K56" i="1"/>
  <c r="L56" i="1"/>
  <c r="M56" i="1"/>
  <c r="N56" i="1" s="1"/>
  <c r="V56" i="1"/>
  <c r="S11" i="3" s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T58" i="1"/>
  <c r="V58" i="1"/>
  <c r="Y58" i="1"/>
  <c r="Z58" i="1"/>
  <c r="AB58" i="1"/>
  <c r="AC58" i="1"/>
  <c r="AD58" i="1"/>
  <c r="AE58" i="1"/>
  <c r="R9" i="3" s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S10" i="3" s="1"/>
  <c r="Y76" i="1"/>
  <c r="Z76" i="1"/>
  <c r="AB76" i="1"/>
  <c r="AC76" i="1"/>
  <c r="AD76" i="1"/>
  <c r="T76" i="1" s="1"/>
  <c r="AE76" i="1"/>
  <c r="R10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/>
  <c r="V83" i="1"/>
  <c r="Y83" i="1"/>
  <c r="AA83" i="1" s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AA92" i="1" s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S8" i="3" s="1"/>
  <c r="Y97" i="1"/>
  <c r="Z97" i="1"/>
  <c r="AB97" i="1"/>
  <c r="AC97" i="1"/>
  <c r="AD97" i="1"/>
  <c r="X97" i="1" s="1"/>
  <c r="AE97" i="1"/>
  <c r="R8" i="3" s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T108" i="1"/>
  <c r="V108" i="1"/>
  <c r="Y108" i="1"/>
  <c r="Z108" i="1"/>
  <c r="AA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X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S7" i="3" s="1"/>
  <c r="Y133" i="1"/>
  <c r="Z133" i="1"/>
  <c r="AB133" i="1"/>
  <c r="AC133" i="1"/>
  <c r="AD133" i="1"/>
  <c r="T133" i="1" s="1"/>
  <c r="AE133" i="1"/>
  <c r="R7" i="3" s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T139" i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T140" i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AO141" i="1"/>
  <c r="K142" i="1"/>
  <c r="L142" i="1"/>
  <c r="M142" i="1"/>
  <c r="N142" i="1" s="1"/>
  <c r="T142" i="1"/>
  <c r="V142" i="1"/>
  <c r="Y142" i="1"/>
  <c r="AA142" i="1" s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T143" i="1"/>
  <c r="V143" i="1"/>
  <c r="Y143" i="1"/>
  <c r="Z143" i="1"/>
  <c r="AA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T145" i="1"/>
  <c r="V145" i="1"/>
  <c r="Y145" i="1"/>
  <c r="AA145" i="1" s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T147" i="1"/>
  <c r="V147" i="1"/>
  <c r="Y147" i="1"/>
  <c r="AA147" i="1" s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T148" i="1"/>
  <c r="V148" i="1"/>
  <c r="Y148" i="1"/>
  <c r="Z148" i="1"/>
  <c r="AA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2" i="1"/>
  <c r="L152" i="1"/>
  <c r="M152" i="1"/>
  <c r="N152" i="1" s="1"/>
  <c r="V152" i="1"/>
  <c r="Y152" i="1"/>
  <c r="AA152" i="1" s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T154" i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AA156" i="1" s="1"/>
  <c r="Z156" i="1"/>
  <c r="AB156" i="1"/>
  <c r="AC156" i="1"/>
  <c r="AD156" i="1"/>
  <c r="T156" i="1" s="1"/>
  <c r="AE156" i="1"/>
  <c r="AF156" i="1"/>
  <c r="AH156" i="1"/>
  <c r="AM156" i="1"/>
  <c r="AN156" i="1"/>
  <c r="AO156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A208" i="1" s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/>
  <c r="V215" i="1"/>
  <c r="Y215" i="1"/>
  <c r="Z215" i="1"/>
  <c r="AB215" i="1"/>
  <c r="AC215" i="1"/>
  <c r="AD215" i="1"/>
  <c r="X215" i="1" s="1"/>
  <c r="AE215" i="1"/>
  <c r="AF215" i="1"/>
  <c r="AH166" i="1"/>
  <c r="AM166" i="1"/>
  <c r="AN166" i="1"/>
  <c r="AO166" i="1"/>
  <c r="K216" i="1"/>
  <c r="L216" i="1"/>
  <c r="M216" i="1"/>
  <c r="N216" i="1"/>
  <c r="V216" i="1"/>
  <c r="Y216" i="1"/>
  <c r="AA216" i="1" s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AO16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0" i="1"/>
  <c r="AM170" i="1"/>
  <c r="AN170" i="1"/>
  <c r="AO17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1" i="1"/>
  <c r="AM171" i="1"/>
  <c r="AN171" i="1"/>
  <c r="AO171" i="1"/>
  <c r="AH172" i="1"/>
  <c r="AM172" i="1"/>
  <c r="AN172" i="1"/>
  <c r="AO172" i="1"/>
  <c r="K230" i="1"/>
  <c r="L230" i="1"/>
  <c r="M230" i="1"/>
  <c r="V230" i="1"/>
  <c r="Y230" i="1"/>
  <c r="Z230" i="1"/>
  <c r="AB230" i="1"/>
  <c r="AC230" i="1"/>
  <c r="AD230" i="1"/>
  <c r="T230" i="1" s="1"/>
  <c r="AE230" i="1"/>
  <c r="AF230" i="1"/>
  <c r="AH173" i="1"/>
  <c r="AM173" i="1"/>
  <c r="AN173" i="1"/>
  <c r="AO173" i="1"/>
  <c r="K157" i="1"/>
  <c r="L157" i="1"/>
  <c r="M157" i="1"/>
  <c r="N157" i="1" s="1"/>
  <c r="V157" i="1"/>
  <c r="Y157" i="1"/>
  <c r="Z157" i="1"/>
  <c r="AA157" i="1" s="1"/>
  <c r="AB157" i="1"/>
  <c r="AC157" i="1"/>
  <c r="AD157" i="1"/>
  <c r="AE157" i="1"/>
  <c r="AF157" i="1"/>
  <c r="AH174" i="1"/>
  <c r="AM174" i="1"/>
  <c r="AN174" i="1"/>
  <c r="AO174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75" i="1"/>
  <c r="AM175" i="1"/>
  <c r="AN175" i="1"/>
  <c r="AO175" i="1"/>
  <c r="K159" i="1"/>
  <c r="L159" i="1"/>
  <c r="M159" i="1"/>
  <c r="N159" i="1" s="1"/>
  <c r="T159" i="1"/>
  <c r="V159" i="1"/>
  <c r="Y159" i="1"/>
  <c r="Z159" i="1"/>
  <c r="AB159" i="1"/>
  <c r="AC159" i="1"/>
  <c r="AD159" i="1"/>
  <c r="AE159" i="1"/>
  <c r="AF159" i="1"/>
  <c r="AH176" i="1"/>
  <c r="AM176" i="1"/>
  <c r="AN176" i="1"/>
  <c r="AO17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7" i="1"/>
  <c r="AM177" i="1"/>
  <c r="AN177" i="1"/>
  <c r="AO177" i="1"/>
  <c r="K161" i="1"/>
  <c r="L161" i="1"/>
  <c r="M161" i="1"/>
  <c r="N161" i="1" s="1"/>
  <c r="V161" i="1"/>
  <c r="S18" i="3" s="1"/>
  <c r="Y161" i="1"/>
  <c r="Z161" i="1"/>
  <c r="AB161" i="1"/>
  <c r="AC161" i="1"/>
  <c r="AD161" i="1"/>
  <c r="T161" i="1" s="1"/>
  <c r="AE161" i="1"/>
  <c r="R18" i="3" s="1"/>
  <c r="AF161" i="1"/>
  <c r="AH178" i="1"/>
  <c r="AM178" i="1"/>
  <c r="AN178" i="1"/>
  <c r="AO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AM179" i="1"/>
  <c r="AN179" i="1"/>
  <c r="AO179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80" i="1"/>
  <c r="AM180" i="1"/>
  <c r="AN180" i="1"/>
  <c r="AO18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1" i="1"/>
  <c r="AM181" i="1"/>
  <c r="AN181" i="1"/>
  <c r="AO181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82" i="1"/>
  <c r="AM182" i="1"/>
  <c r="AN182" i="1"/>
  <c r="AO182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83" i="1"/>
  <c r="AM183" i="1"/>
  <c r="AN183" i="1"/>
  <c r="AO18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4" i="1"/>
  <c r="AM184" i="1"/>
  <c r="AN184" i="1"/>
  <c r="AO184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85" i="1"/>
  <c r="AM185" i="1"/>
  <c r="AN185" i="1"/>
  <c r="AO185" i="1"/>
  <c r="K169" i="1"/>
  <c r="L169" i="1"/>
  <c r="M169" i="1"/>
  <c r="N169" i="1"/>
  <c r="V169" i="1"/>
  <c r="Y169" i="1"/>
  <c r="Z169" i="1"/>
  <c r="AA169" i="1" s="1"/>
  <c r="AB169" i="1"/>
  <c r="AC169" i="1"/>
  <c r="AD169" i="1"/>
  <c r="T169" i="1" s="1"/>
  <c r="AE169" i="1"/>
  <c r="AF169" i="1"/>
  <c r="AH186" i="1"/>
  <c r="AM186" i="1"/>
  <c r="AN186" i="1"/>
  <c r="AO18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7" i="1"/>
  <c r="AM187" i="1"/>
  <c r="AN187" i="1"/>
  <c r="AO187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88" i="1"/>
  <c r="AM188" i="1"/>
  <c r="AN188" i="1"/>
  <c r="AO188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89" i="1"/>
  <c r="AM189" i="1"/>
  <c r="AN189" i="1"/>
  <c r="AO189" i="1"/>
  <c r="K173" i="1"/>
  <c r="L173" i="1"/>
  <c r="M173" i="1"/>
  <c r="N173" i="1" s="1"/>
  <c r="V173" i="1"/>
  <c r="S20" i="3" s="1"/>
  <c r="Y173" i="1"/>
  <c r="Z173" i="1"/>
  <c r="AA173" i="1" s="1"/>
  <c r="AB173" i="1"/>
  <c r="AC173" i="1"/>
  <c r="AD173" i="1"/>
  <c r="X173" i="1" s="1"/>
  <c r="AE173" i="1"/>
  <c r="R20" i="3" s="1"/>
  <c r="AF173" i="1"/>
  <c r="AH190" i="1"/>
  <c r="AM190" i="1"/>
  <c r="AN190" i="1"/>
  <c r="AO190" i="1"/>
  <c r="K174" i="1"/>
  <c r="L174" i="1"/>
  <c r="M174" i="1"/>
  <c r="N174" i="1" s="1"/>
  <c r="V174" i="1"/>
  <c r="Y174" i="1"/>
  <c r="Z174" i="1"/>
  <c r="AA174" i="1" s="1"/>
  <c r="AB174" i="1"/>
  <c r="AC174" i="1"/>
  <c r="AD174" i="1"/>
  <c r="X174" i="1" s="1"/>
  <c r="AE174" i="1"/>
  <c r="AF174" i="1"/>
  <c r="AH191" i="1"/>
  <c r="AM191" i="1"/>
  <c r="AN191" i="1"/>
  <c r="AO19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2" i="1"/>
  <c r="AM192" i="1"/>
  <c r="AN192" i="1"/>
  <c r="AO192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94" i="1"/>
  <c r="AM194" i="1"/>
  <c r="AN194" i="1"/>
  <c r="AO194" i="1"/>
  <c r="K177" i="1"/>
  <c r="L177" i="1"/>
  <c r="M177" i="1"/>
  <c r="N177" i="1" s="1"/>
  <c r="V177" i="1"/>
  <c r="S21" i="3" s="1"/>
  <c r="Y177" i="1"/>
  <c r="Z177" i="1"/>
  <c r="AB177" i="1"/>
  <c r="AC177" i="1"/>
  <c r="AD177" i="1"/>
  <c r="AE177" i="1"/>
  <c r="R21" i="3" s="1"/>
  <c r="AF177" i="1"/>
  <c r="AH195" i="1"/>
  <c r="AM195" i="1"/>
  <c r="AN195" i="1"/>
  <c r="AO19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6" i="1"/>
  <c r="AM196" i="1"/>
  <c r="AN196" i="1"/>
  <c r="AO196" i="1"/>
  <c r="K179" i="1"/>
  <c r="L179" i="1"/>
  <c r="M179" i="1"/>
  <c r="N179" i="1" s="1"/>
  <c r="V179" i="1"/>
  <c r="S22" i="3" s="1"/>
  <c r="Y179" i="1"/>
  <c r="Z179" i="1"/>
  <c r="AA179" i="1" s="1"/>
  <c r="AB179" i="1"/>
  <c r="AC179" i="1"/>
  <c r="AD179" i="1"/>
  <c r="AE179" i="1"/>
  <c r="R22" i="3" s="1"/>
  <c r="AF179" i="1"/>
  <c r="AH197" i="1"/>
  <c r="AM197" i="1"/>
  <c r="AN197" i="1"/>
  <c r="AO197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98" i="1"/>
  <c r="AM198" i="1"/>
  <c r="AN198" i="1"/>
  <c r="AO198" i="1"/>
  <c r="K181" i="1"/>
  <c r="L181" i="1"/>
  <c r="M181" i="1"/>
  <c r="V181" i="1"/>
  <c r="S23" i="3" s="1"/>
  <c r="Y181" i="1"/>
  <c r="Z181" i="1"/>
  <c r="AB181" i="1"/>
  <c r="AC181" i="1"/>
  <c r="AD181" i="1"/>
  <c r="AE181" i="1"/>
  <c r="R23" i="3" s="1"/>
  <c r="AF181" i="1"/>
  <c r="AH199" i="1"/>
  <c r="AM199" i="1"/>
  <c r="AN199" i="1"/>
  <c r="AO19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0" i="1"/>
  <c r="AM200" i="1"/>
  <c r="AN200" i="1"/>
  <c r="AO200" i="1"/>
  <c r="K183" i="1"/>
  <c r="L183" i="1"/>
  <c r="M183" i="1"/>
  <c r="N183" i="1" s="1"/>
  <c r="V183" i="1"/>
  <c r="Y183" i="1"/>
  <c r="Z183" i="1"/>
  <c r="AA183" i="1" s="1"/>
  <c r="AB183" i="1"/>
  <c r="AC183" i="1"/>
  <c r="AD183" i="1"/>
  <c r="AE183" i="1"/>
  <c r="AF183" i="1"/>
  <c r="AH201" i="1"/>
  <c r="AM201" i="1"/>
  <c r="AN201" i="1"/>
  <c r="AO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AM202" i="1"/>
  <c r="AN202" i="1"/>
  <c r="AO20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3" i="1"/>
  <c r="AM203" i="1"/>
  <c r="AN203" i="1"/>
  <c r="AO20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4" i="1"/>
  <c r="AM204" i="1"/>
  <c r="AN204" i="1"/>
  <c r="AO204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205" i="1"/>
  <c r="AM205" i="1"/>
  <c r="AN205" i="1"/>
  <c r="AO20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6" i="1"/>
  <c r="AM206" i="1"/>
  <c r="AN206" i="1"/>
  <c r="AO20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7" i="1"/>
  <c r="AM207" i="1"/>
  <c r="AN207" i="1"/>
  <c r="AO20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8" i="1"/>
  <c r="AM208" i="1"/>
  <c r="AN208" i="1"/>
  <c r="AO208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09" i="1"/>
  <c r="AM209" i="1"/>
  <c r="AN209" i="1"/>
  <c r="AO209" i="1"/>
  <c r="K192" i="1"/>
  <c r="L192" i="1"/>
  <c r="M192" i="1"/>
  <c r="N192" i="1" s="1"/>
  <c r="V192" i="1"/>
  <c r="S19" i="3" s="1"/>
  <c r="Y192" i="1"/>
  <c r="Z192" i="1"/>
  <c r="AB192" i="1"/>
  <c r="AC192" i="1"/>
  <c r="AD192" i="1"/>
  <c r="T192" i="1" s="1"/>
  <c r="AE192" i="1"/>
  <c r="R19" i="3" s="1"/>
  <c r="AF192" i="1"/>
  <c r="AH210" i="1"/>
  <c r="AM210" i="1"/>
  <c r="AN210" i="1"/>
  <c r="AO21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1" i="1"/>
  <c r="AM211" i="1"/>
  <c r="AN211" i="1"/>
  <c r="AO21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2" i="1"/>
  <c r="AM212" i="1"/>
  <c r="AN212" i="1"/>
  <c r="AO212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213" i="1"/>
  <c r="AM213" i="1"/>
  <c r="AN213" i="1"/>
  <c r="AO213" i="1"/>
  <c r="K197" i="1"/>
  <c r="L197" i="1"/>
  <c r="M197" i="1"/>
  <c r="N197" i="1" s="1"/>
  <c r="V197" i="1"/>
  <c r="S24" i="3" s="1"/>
  <c r="Y197" i="1"/>
  <c r="Z197" i="1"/>
  <c r="AB197" i="1"/>
  <c r="AC197" i="1"/>
  <c r="AD197" i="1"/>
  <c r="T197" i="1" s="1"/>
  <c r="AE197" i="1"/>
  <c r="R24" i="3" s="1"/>
  <c r="AF197" i="1"/>
  <c r="AH214" i="1"/>
  <c r="AM214" i="1"/>
  <c r="AN214" i="1"/>
  <c r="AO214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5" i="1"/>
  <c r="AM215" i="1"/>
  <c r="AN215" i="1"/>
  <c r="AO215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6" i="1"/>
  <c r="AM216" i="1"/>
  <c r="AN216" i="1"/>
  <c r="AO216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17" i="1"/>
  <c r="AM217" i="1"/>
  <c r="AN217" i="1"/>
  <c r="AO21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8" i="1"/>
  <c r="AM218" i="1"/>
  <c r="AN218" i="1"/>
  <c r="AO21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9" i="1"/>
  <c r="AM219" i="1"/>
  <c r="AN219" i="1"/>
  <c r="AO219" i="1"/>
  <c r="K203" i="1"/>
  <c r="L203" i="1"/>
  <c r="M203" i="1"/>
  <c r="N203" i="1" s="1"/>
  <c r="V203" i="1"/>
  <c r="X203" i="1"/>
  <c r="Y203" i="1"/>
  <c r="Z203" i="1"/>
  <c r="AB203" i="1"/>
  <c r="AC203" i="1"/>
  <c r="AD203" i="1"/>
  <c r="T203" i="1" s="1"/>
  <c r="AE203" i="1"/>
  <c r="AF203" i="1"/>
  <c r="AH220" i="1"/>
  <c r="AM220" i="1"/>
  <c r="AN220" i="1"/>
  <c r="AO220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21" i="1"/>
  <c r="AM221" i="1"/>
  <c r="AN221" i="1"/>
  <c r="AO221" i="1"/>
  <c r="K205" i="1"/>
  <c r="L205" i="1"/>
  <c r="M205" i="1"/>
  <c r="N205" i="1" s="1"/>
  <c r="V205" i="1"/>
  <c r="S25" i="3" s="1"/>
  <c r="Y205" i="1"/>
  <c r="AA205" i="1" s="1"/>
  <c r="Z205" i="1"/>
  <c r="AB205" i="1"/>
  <c r="AC205" i="1"/>
  <c r="AD205" i="1"/>
  <c r="X205" i="1" s="1"/>
  <c r="AE205" i="1"/>
  <c r="R25" i="3" s="1"/>
  <c r="AF205" i="1"/>
  <c r="AH222" i="1"/>
  <c r="AM222" i="1"/>
  <c r="AN222" i="1"/>
  <c r="AO222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23" i="1"/>
  <c r="AM223" i="1"/>
  <c r="AN223" i="1"/>
  <c r="AO223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4" i="1"/>
  <c r="AM224" i="1"/>
  <c r="AN224" i="1"/>
  <c r="AO224" i="1"/>
  <c r="K221" i="1"/>
  <c r="L221" i="1"/>
  <c r="M221" i="1"/>
  <c r="N221" i="1"/>
  <c r="V221" i="1"/>
  <c r="Y221" i="1"/>
  <c r="Z221" i="1"/>
  <c r="AB221" i="1"/>
  <c r="AC221" i="1"/>
  <c r="AD221" i="1"/>
  <c r="AE221" i="1"/>
  <c r="AF221" i="1"/>
  <c r="AH225" i="1"/>
  <c r="AM225" i="1"/>
  <c r="AN225" i="1"/>
  <c r="AO225" i="1"/>
  <c r="K222" i="1"/>
  <c r="L222" i="1"/>
  <c r="M222" i="1"/>
  <c r="N222" i="1"/>
  <c r="V222" i="1"/>
  <c r="Y222" i="1"/>
  <c r="Z222" i="1"/>
  <c r="AB222" i="1"/>
  <c r="AC222" i="1"/>
  <c r="AD222" i="1"/>
  <c r="X222" i="1" s="1"/>
  <c r="AE222" i="1"/>
  <c r="AF222" i="1"/>
  <c r="AH226" i="1"/>
  <c r="AM226" i="1"/>
  <c r="AN226" i="1"/>
  <c r="AO226" i="1"/>
  <c r="K223" i="1"/>
  <c r="L223" i="1"/>
  <c r="M223" i="1"/>
  <c r="N223" i="1" s="1"/>
  <c r="T223" i="1"/>
  <c r="V223" i="1"/>
  <c r="Y223" i="1"/>
  <c r="Z223" i="1"/>
  <c r="AB223" i="1"/>
  <c r="AC223" i="1"/>
  <c r="AD223" i="1"/>
  <c r="AE223" i="1"/>
  <c r="AF223" i="1"/>
  <c r="AH227" i="1"/>
  <c r="AM227" i="1"/>
  <c r="AN227" i="1"/>
  <c r="AO227" i="1"/>
  <c r="K224" i="1"/>
  <c r="L224" i="1"/>
  <c r="M224" i="1"/>
  <c r="N224" i="1" s="1"/>
  <c r="T224" i="1"/>
  <c r="V224" i="1"/>
  <c r="Y224" i="1"/>
  <c r="Z224" i="1"/>
  <c r="AA224" i="1" s="1"/>
  <c r="AB224" i="1"/>
  <c r="AC224" i="1"/>
  <c r="AD224" i="1"/>
  <c r="X224" i="1" s="1"/>
  <c r="AE224" i="1"/>
  <c r="AF224" i="1"/>
  <c r="K225" i="1"/>
  <c r="L225" i="1"/>
  <c r="M225" i="1"/>
  <c r="N225" i="1"/>
  <c r="V225" i="1"/>
  <c r="Y225" i="1"/>
  <c r="Z225" i="1"/>
  <c r="AA225" i="1" s="1"/>
  <c r="AB225" i="1"/>
  <c r="AC225" i="1"/>
  <c r="AD225" i="1"/>
  <c r="X225" i="1" s="1"/>
  <c r="AE225" i="1"/>
  <c r="AF225" i="1"/>
  <c r="AH230" i="1"/>
  <c r="AM230" i="1"/>
  <c r="AN230" i="1"/>
  <c r="AO230" i="1"/>
  <c r="M18" i="3"/>
  <c r="U18" i="3"/>
  <c r="T18" i="3" s="1"/>
  <c r="V18" i="3"/>
  <c r="X18" i="3"/>
  <c r="M12" i="3"/>
  <c r="U12" i="3"/>
  <c r="AC12" i="3" s="1"/>
  <c r="V12" i="3"/>
  <c r="X12" i="3"/>
  <c r="M15" i="3"/>
  <c r="S15" i="3"/>
  <c r="U15" i="3"/>
  <c r="AC15" i="3" s="1"/>
  <c r="V15" i="3"/>
  <c r="X15" i="3"/>
  <c r="M16" i="3"/>
  <c r="R16" i="3"/>
  <c r="U16" i="3"/>
  <c r="AC16" i="3" s="1"/>
  <c r="V16" i="3"/>
  <c r="X16" i="3"/>
  <c r="M17" i="3"/>
  <c r="R17" i="3"/>
  <c r="U17" i="3"/>
  <c r="T17" i="3" s="1"/>
  <c r="V17" i="3"/>
  <c r="X17" i="3"/>
  <c r="M13" i="3"/>
  <c r="S13" i="3"/>
  <c r="U13" i="3"/>
  <c r="AD13" i="3" s="1"/>
  <c r="V13" i="3"/>
  <c r="X13" i="3"/>
  <c r="M11" i="3"/>
  <c r="R11" i="3"/>
  <c r="U11" i="3"/>
  <c r="AC11" i="3" s="1"/>
  <c r="V11" i="3"/>
  <c r="X11" i="3"/>
  <c r="M9" i="3"/>
  <c r="S9" i="3"/>
  <c r="U9" i="3"/>
  <c r="AC9" i="3" s="1"/>
  <c r="V9" i="3"/>
  <c r="X9" i="3"/>
  <c r="M20" i="3"/>
  <c r="U20" i="3"/>
  <c r="T20" i="3" s="1"/>
  <c r="V20" i="3"/>
  <c r="X20" i="3"/>
  <c r="M10" i="3"/>
  <c r="U10" i="3"/>
  <c r="V10" i="3"/>
  <c r="X10" i="3"/>
  <c r="M21" i="3"/>
  <c r="U21" i="3"/>
  <c r="AC21" i="3" s="1"/>
  <c r="V21" i="3"/>
  <c r="X21" i="3"/>
  <c r="M22" i="3"/>
  <c r="U22" i="3"/>
  <c r="AC22" i="3" s="1"/>
  <c r="V22" i="3"/>
  <c r="X22" i="3"/>
  <c r="M8" i="3"/>
  <c r="U8" i="3"/>
  <c r="AD8" i="3" s="1"/>
  <c r="V8" i="3"/>
  <c r="X8" i="3"/>
  <c r="M23" i="3"/>
  <c r="U23" i="3"/>
  <c r="AD21" i="3" s="1"/>
  <c r="V23" i="3"/>
  <c r="X23" i="3"/>
  <c r="M19" i="3"/>
  <c r="U19" i="3"/>
  <c r="AC19" i="3" s="1"/>
  <c r="V19" i="3"/>
  <c r="X19" i="3"/>
  <c r="M7" i="3"/>
  <c r="U7" i="3"/>
  <c r="AC7" i="3" s="1"/>
  <c r="V7" i="3"/>
  <c r="X7" i="3"/>
  <c r="M26" i="3"/>
  <c r="R26" i="3"/>
  <c r="S26" i="3"/>
  <c r="U26" i="3"/>
  <c r="T26" i="3" s="1"/>
  <c r="V26" i="3"/>
  <c r="X26" i="3"/>
  <c r="M24" i="3"/>
  <c r="U24" i="3"/>
  <c r="V24" i="3"/>
  <c r="X24" i="3"/>
  <c r="M25" i="3"/>
  <c r="U25" i="3"/>
  <c r="AC25" i="3" s="1"/>
  <c r="V25" i="3"/>
  <c r="X25" i="3"/>
  <c r="AG193" i="1"/>
  <c r="AG151" i="1"/>
  <c r="AG113" i="1"/>
  <c r="AG85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133" i="1"/>
  <c r="AG214" i="1"/>
  <c r="AG160" i="1"/>
  <c r="AG172" i="1"/>
  <c r="AG180" i="1"/>
  <c r="AG188" i="1"/>
  <c r="AG197" i="1"/>
  <c r="AG205" i="1"/>
  <c r="AG17" i="1"/>
  <c r="AG23" i="1"/>
  <c r="AG28" i="1"/>
  <c r="AG33" i="1"/>
  <c r="AG39" i="1"/>
  <c r="AG44" i="1"/>
  <c r="AG49" i="1"/>
  <c r="AG55" i="1"/>
  <c r="AG60" i="1"/>
  <c r="AG65" i="1"/>
  <c r="AG71" i="1"/>
  <c r="AG76" i="1"/>
  <c r="AG80" i="1"/>
  <c r="AG84" i="1"/>
  <c r="AG89" i="1"/>
  <c r="AG93" i="1"/>
  <c r="AG97" i="1"/>
  <c r="AG101" i="1"/>
  <c r="AG105" i="1"/>
  <c r="AG109" i="1"/>
  <c r="AG114" i="1"/>
  <c r="AG118" i="1"/>
  <c r="AG122" i="1"/>
  <c r="AG126" i="1"/>
  <c r="AG130" i="1"/>
  <c r="AG134" i="1"/>
  <c r="AG138" i="1"/>
  <c r="AG142" i="1"/>
  <c r="AG145" i="1"/>
  <c r="AG149" i="1"/>
  <c r="AG154" i="1"/>
  <c r="AG207" i="1"/>
  <c r="AG211" i="1"/>
  <c r="AG215" i="1"/>
  <c r="AG226" i="1"/>
  <c r="AG157" i="1"/>
  <c r="AG161" i="1"/>
  <c r="AG165" i="1"/>
  <c r="AG169" i="1"/>
  <c r="AG173" i="1"/>
  <c r="AG177" i="1"/>
  <c r="AG181" i="1"/>
  <c r="AG185" i="1"/>
  <c r="AG189" i="1"/>
  <c r="AG194" i="1"/>
  <c r="AG198" i="1"/>
  <c r="AG202" i="1"/>
  <c r="AG219" i="1"/>
  <c r="AG223" i="1"/>
  <c r="AG20" i="1"/>
  <c r="AG25" i="1"/>
  <c r="AG36" i="1"/>
  <c r="AG47" i="1"/>
  <c r="AG57" i="1"/>
  <c r="AG68" i="1"/>
  <c r="AG78" i="1"/>
  <c r="AG87" i="1"/>
  <c r="AG99" i="1"/>
  <c r="AG107" i="1"/>
  <c r="AG116" i="1"/>
  <c r="AG124" i="1"/>
  <c r="AG132" i="1"/>
  <c r="AG140" i="1"/>
  <c r="AG147" i="1"/>
  <c r="AG156" i="1"/>
  <c r="AG213" i="1"/>
  <c r="AG163" i="1"/>
  <c r="AG171" i="1"/>
  <c r="AG179" i="1"/>
  <c r="AG187" i="1"/>
  <c r="AG196" i="1"/>
  <c r="AG204" i="1"/>
  <c r="AG19" i="1"/>
  <c r="AG24" i="1"/>
  <c r="AG29" i="1"/>
  <c r="AG35" i="1"/>
  <c r="AG40" i="1"/>
  <c r="AG45" i="1"/>
  <c r="AG51" i="1"/>
  <c r="AG56" i="1"/>
  <c r="AG61" i="1"/>
  <c r="AG67" i="1"/>
  <c r="AG72" i="1"/>
  <c r="AG77" i="1"/>
  <c r="AG81" i="1"/>
  <c r="AG86" i="1"/>
  <c r="AG90" i="1"/>
  <c r="AG94" i="1"/>
  <c r="AG98" i="1"/>
  <c r="AG102" i="1"/>
  <c r="AG106" i="1"/>
  <c r="AG110" i="1"/>
  <c r="AG115" i="1"/>
  <c r="AG119" i="1"/>
  <c r="AG123" i="1"/>
  <c r="AG127" i="1"/>
  <c r="AG131" i="1"/>
  <c r="AG135" i="1"/>
  <c r="AG139" i="1"/>
  <c r="AG143" i="1"/>
  <c r="AG146" i="1"/>
  <c r="AG150" i="1"/>
  <c r="AG155" i="1"/>
  <c r="AG208" i="1"/>
  <c r="AG212" i="1"/>
  <c r="AG216" i="1"/>
  <c r="AG227" i="1"/>
  <c r="AG158" i="1"/>
  <c r="AG162" i="1"/>
  <c r="AG166" i="1"/>
  <c r="AG170" i="1"/>
  <c r="AG174" i="1"/>
  <c r="AG178" i="1"/>
  <c r="AG182" i="1"/>
  <c r="AG186" i="1"/>
  <c r="AG190" i="1"/>
  <c r="AG195" i="1"/>
  <c r="AG199" i="1"/>
  <c r="AG203" i="1"/>
  <c r="AG220" i="1"/>
  <c r="AG224" i="1"/>
  <c r="AG209" i="1"/>
  <c r="AG221" i="1"/>
  <c r="AG15" i="1"/>
  <c r="AG31" i="1"/>
  <c r="AG41" i="1"/>
  <c r="AG52" i="1"/>
  <c r="AG63" i="1"/>
  <c r="AG73" i="1"/>
  <c r="AG82" i="1"/>
  <c r="AG91" i="1"/>
  <c r="AG95" i="1"/>
  <c r="AG103" i="1"/>
  <c r="AG111" i="1"/>
  <c r="AG120" i="1"/>
  <c r="AG128" i="1"/>
  <c r="AG136" i="1"/>
  <c r="AG152" i="1"/>
  <c r="AG217" i="1"/>
  <c r="AG159" i="1"/>
  <c r="AG167" i="1"/>
  <c r="AG175" i="1"/>
  <c r="AG183" i="1"/>
  <c r="AG191" i="1"/>
  <c r="AG200" i="1"/>
  <c r="AG225" i="1"/>
  <c r="AG16" i="1"/>
  <c r="AG21" i="1"/>
  <c r="AG27" i="1"/>
  <c r="AG32" i="1"/>
  <c r="AG37" i="1"/>
  <c r="AG43" i="1"/>
  <c r="AG48" i="1"/>
  <c r="AG53" i="1"/>
  <c r="AG59" i="1"/>
  <c r="AG64" i="1"/>
  <c r="AG69" i="1"/>
  <c r="AG75" i="1"/>
  <c r="AG79" i="1"/>
  <c r="AG83" i="1"/>
  <c r="AG88" i="1"/>
  <c r="AG92" i="1"/>
  <c r="AG96" i="1"/>
  <c r="AG100" i="1"/>
  <c r="AG104" i="1"/>
  <c r="AG108" i="1"/>
  <c r="AG112" i="1"/>
  <c r="AG117" i="1"/>
  <c r="AG121" i="1"/>
  <c r="AG125" i="1"/>
  <c r="AG129" i="1"/>
  <c r="AG137" i="1"/>
  <c r="AG141" i="1"/>
  <c r="AG144" i="1"/>
  <c r="AG148" i="1"/>
  <c r="AG153" i="1"/>
  <c r="AG206" i="1"/>
  <c r="AG210" i="1"/>
  <c r="AG218" i="1"/>
  <c r="AG230" i="1"/>
  <c r="AG164" i="1"/>
  <c r="AG168" i="1"/>
  <c r="AG176" i="1"/>
  <c r="AG184" i="1"/>
  <c r="AG192" i="1"/>
  <c r="AG201" i="1"/>
  <c r="AG222" i="1"/>
  <c r="W10" i="3"/>
  <c r="W21" i="3"/>
  <c r="W8" i="3"/>
  <c r="W7" i="3"/>
  <c r="W17" i="3"/>
  <c r="W23" i="3"/>
  <c r="W26" i="3"/>
  <c r="W19" i="3"/>
  <c r="W16" i="3"/>
  <c r="W20" i="3"/>
  <c r="W13" i="3"/>
  <c r="W25" i="3"/>
  <c r="W11" i="3"/>
  <c r="W22" i="3"/>
  <c r="W18" i="3"/>
  <c r="W12" i="3"/>
  <c r="W24" i="3"/>
  <c r="W15" i="3"/>
  <c r="W9" i="3"/>
  <c r="AE15" i="3" l="1"/>
  <c r="AI193" i="1"/>
  <c r="U193" i="1"/>
  <c r="S193" i="1" s="1"/>
  <c r="W193" i="1"/>
  <c r="X193" i="1"/>
  <c r="U151" i="1"/>
  <c r="S151" i="1" s="1"/>
  <c r="AI151" i="1"/>
  <c r="W151" i="1"/>
  <c r="AD20" i="3"/>
  <c r="X230" i="1"/>
  <c r="AA227" i="1"/>
  <c r="AA167" i="1"/>
  <c r="AA223" i="1"/>
  <c r="T205" i="1"/>
  <c r="AA202" i="1"/>
  <c r="AA198" i="1"/>
  <c r="AA194" i="1"/>
  <c r="AA189" i="1"/>
  <c r="AA185" i="1"/>
  <c r="AA181" i="1"/>
  <c r="AA177" i="1"/>
  <c r="AA164" i="1"/>
  <c r="X163" i="1"/>
  <c r="AA160" i="1"/>
  <c r="AA159" i="1"/>
  <c r="X158" i="1"/>
  <c r="AA210" i="1"/>
  <c r="AA209" i="1"/>
  <c r="AA146" i="1"/>
  <c r="AA144" i="1"/>
  <c r="AA141" i="1"/>
  <c r="AA139" i="1"/>
  <c r="AA138" i="1"/>
  <c r="AA131" i="1"/>
  <c r="AA110" i="1"/>
  <c r="AA107" i="1"/>
  <c r="AA103" i="1"/>
  <c r="AA99" i="1"/>
  <c r="AA77" i="1"/>
  <c r="AA72" i="1"/>
  <c r="AA68" i="1"/>
  <c r="X46" i="1"/>
  <c r="AA43" i="1"/>
  <c r="AA42" i="1"/>
  <c r="AA34" i="1"/>
  <c r="AA30" i="1"/>
  <c r="AA26" i="1"/>
  <c r="AA22" i="1"/>
  <c r="AA18" i="1"/>
  <c r="X166" i="1"/>
  <c r="AA171" i="1"/>
  <c r="AA165" i="1"/>
  <c r="AA161" i="1"/>
  <c r="AA230" i="1"/>
  <c r="AA211" i="1"/>
  <c r="AA155" i="1"/>
  <c r="AA150" i="1"/>
  <c r="AA136" i="1"/>
  <c r="AA132" i="1"/>
  <c r="AA104" i="1"/>
  <c r="AA100" i="1"/>
  <c r="AA89" i="1"/>
  <c r="AA79" i="1"/>
  <c r="AA73" i="1"/>
  <c r="AA69" i="1"/>
  <c r="AA65" i="1"/>
  <c r="AA63" i="1"/>
  <c r="X62" i="1"/>
  <c r="AA60" i="1"/>
  <c r="AA59" i="1"/>
  <c r="X57" i="1"/>
  <c r="AA56" i="1"/>
  <c r="AA55" i="1"/>
  <c r="AA44" i="1"/>
  <c r="AA137" i="1"/>
  <c r="AA105" i="1"/>
  <c r="AA101" i="1"/>
  <c r="AA97" i="1"/>
  <c r="AA96" i="1"/>
  <c r="AA95" i="1"/>
  <c r="AA93" i="1"/>
  <c r="AA86" i="1"/>
  <c r="AA80" i="1"/>
  <c r="AA70" i="1"/>
  <c r="AA66" i="1"/>
  <c r="AI113" i="1"/>
  <c r="U113" i="1"/>
  <c r="S113" i="1" s="1"/>
  <c r="W113" i="1"/>
  <c r="X113" i="1"/>
  <c r="AE12" i="3"/>
  <c r="T16" i="3"/>
  <c r="AD16" i="3"/>
  <c r="AI85" i="1"/>
  <c r="U85" i="1"/>
  <c r="S85" i="1" s="1"/>
  <c r="W85" i="1"/>
  <c r="X85" i="1"/>
  <c r="AC18" i="3"/>
  <c r="AD23" i="3"/>
  <c r="AE16" i="3"/>
  <c r="AD12" i="3"/>
  <c r="X155" i="1"/>
  <c r="T155" i="1"/>
  <c r="X150" i="1"/>
  <c r="T150" i="1"/>
  <c r="X137" i="1"/>
  <c r="T137" i="1"/>
  <c r="T225" i="1"/>
  <c r="AA222" i="1"/>
  <c r="AA220" i="1"/>
  <c r="AA199" i="1"/>
  <c r="X198" i="1"/>
  <c r="AA195" i="1"/>
  <c r="AA190" i="1"/>
  <c r="X189" i="1"/>
  <c r="AA186" i="1"/>
  <c r="X185" i="1"/>
  <c r="AA182" i="1"/>
  <c r="X181" i="1"/>
  <c r="AA178" i="1"/>
  <c r="X177" i="1"/>
  <c r="X172" i="1"/>
  <c r="AA170" i="1"/>
  <c r="T164" i="1"/>
  <c r="X164" i="1"/>
  <c r="X213" i="1"/>
  <c r="T213" i="1"/>
  <c r="X208" i="1"/>
  <c r="T208" i="1"/>
  <c r="T214" i="1"/>
  <c r="X214" i="1"/>
  <c r="X200" i="1"/>
  <c r="AA197" i="1"/>
  <c r="X196" i="1"/>
  <c r="AA192" i="1"/>
  <c r="X191" i="1"/>
  <c r="AA188" i="1"/>
  <c r="X187" i="1"/>
  <c r="AA184" i="1"/>
  <c r="X183" i="1"/>
  <c r="X179" i="1"/>
  <c r="AA175" i="1"/>
  <c r="T171" i="1"/>
  <c r="T163" i="1"/>
  <c r="T146" i="1"/>
  <c r="T144" i="1"/>
  <c r="AA87" i="1"/>
  <c r="AA84" i="1"/>
  <c r="AA33" i="1"/>
  <c r="AA29" i="1"/>
  <c r="AA25" i="1"/>
  <c r="AA21" i="1"/>
  <c r="AA17" i="1"/>
  <c r="AA212" i="1"/>
  <c r="AA207" i="1"/>
  <c r="AA149" i="1"/>
  <c r="X148" i="1"/>
  <c r="T141" i="1"/>
  <c r="X136" i="1"/>
  <c r="AA133" i="1"/>
  <c r="X112" i="1"/>
  <c r="AA111" i="1"/>
  <c r="AA91" i="1"/>
  <c r="AA88" i="1"/>
  <c r="X72" i="1"/>
  <c r="X68" i="1"/>
  <c r="X47" i="1"/>
  <c r="AA45" i="1"/>
  <c r="AA58" i="1"/>
  <c r="AA37" i="1"/>
  <c r="AA35" i="1"/>
  <c r="AA31" i="1"/>
  <c r="AA27" i="1"/>
  <c r="AA23" i="1"/>
  <c r="AA19" i="1"/>
  <c r="AA15" i="1"/>
  <c r="AA162" i="1"/>
  <c r="X157" i="1"/>
  <c r="AA226" i="1"/>
  <c r="AA218" i="1"/>
  <c r="AA217" i="1"/>
  <c r="X216" i="1"/>
  <c r="AA215" i="1"/>
  <c r="AA214" i="1"/>
  <c r="AA154" i="1"/>
  <c r="AA140" i="1"/>
  <c r="X139" i="1"/>
  <c r="AA135" i="1"/>
  <c r="X134" i="1"/>
  <c r="AA112" i="1"/>
  <c r="AA82" i="1"/>
  <c r="AA78" i="1"/>
  <c r="AA76" i="1"/>
  <c r="AA75" i="1"/>
  <c r="AA71" i="1"/>
  <c r="X70" i="1"/>
  <c r="AA67" i="1"/>
  <c r="X66" i="1"/>
  <c r="X63" i="1"/>
  <c r="AA61" i="1"/>
  <c r="X54" i="1"/>
  <c r="AA52" i="1"/>
  <c r="AA51" i="1"/>
  <c r="AA50" i="1"/>
  <c r="X49" i="1"/>
  <c r="AA48" i="1"/>
  <c r="AA47" i="1"/>
  <c r="T46" i="1"/>
  <c r="AA41" i="1"/>
  <c r="AA39" i="1"/>
  <c r="AA38" i="1"/>
  <c r="AA32" i="1"/>
  <c r="AA28" i="1"/>
  <c r="AA24" i="1"/>
  <c r="AA20" i="1"/>
  <c r="AA16" i="1"/>
  <c r="T222" i="1"/>
  <c r="AA219" i="1"/>
  <c r="AA201" i="1"/>
  <c r="X220" i="1"/>
  <c r="AA221" i="1"/>
  <c r="X202" i="1"/>
  <c r="X201" i="1"/>
  <c r="T199" i="1"/>
  <c r="X199" i="1"/>
  <c r="X221" i="1"/>
  <c r="T221" i="1"/>
  <c r="T174" i="1"/>
  <c r="X170" i="1"/>
  <c r="T166" i="1"/>
  <c r="X162" i="1"/>
  <c r="T158" i="1"/>
  <c r="X227" i="1"/>
  <c r="T216" i="1"/>
  <c r="X212" i="1"/>
  <c r="X206" i="1"/>
  <c r="T114" i="1"/>
  <c r="X110" i="1"/>
  <c r="T110" i="1"/>
  <c r="X111" i="1"/>
  <c r="X169" i="1"/>
  <c r="X168" i="1"/>
  <c r="X161" i="1"/>
  <c r="X160" i="1"/>
  <c r="X226" i="1"/>
  <c r="X218" i="1"/>
  <c r="X211" i="1"/>
  <c r="X210" i="1"/>
  <c r="AA129" i="1"/>
  <c r="AA128" i="1"/>
  <c r="AA127" i="1"/>
  <c r="AA126" i="1"/>
  <c r="X223" i="1"/>
  <c r="AA204" i="1"/>
  <c r="AA203" i="1"/>
  <c r="X175" i="1"/>
  <c r="T173" i="1"/>
  <c r="X167" i="1"/>
  <c r="T165" i="1"/>
  <c r="X159" i="1"/>
  <c r="T157" i="1"/>
  <c r="X217" i="1"/>
  <c r="T215" i="1"/>
  <c r="X209" i="1"/>
  <c r="X207" i="1"/>
  <c r="X156" i="1"/>
  <c r="X154" i="1"/>
  <c r="X149" i="1"/>
  <c r="X147" i="1"/>
  <c r="X142" i="1"/>
  <c r="X140" i="1"/>
  <c r="X138" i="1"/>
  <c r="X106" i="1"/>
  <c r="T106" i="1"/>
  <c r="X105" i="1"/>
  <c r="T105" i="1"/>
  <c r="X103" i="1"/>
  <c r="T103" i="1"/>
  <c r="X101" i="1"/>
  <c r="T101" i="1"/>
  <c r="X99" i="1"/>
  <c r="T99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X108" i="1"/>
  <c r="X107" i="1"/>
  <c r="X74" i="1"/>
  <c r="X65" i="1"/>
  <c r="AA64" i="1"/>
  <c r="X61" i="1"/>
  <c r="T57" i="1"/>
  <c r="X53" i="1"/>
  <c r="T49" i="1"/>
  <c r="X45" i="1"/>
  <c r="X104" i="1"/>
  <c r="X102" i="1"/>
  <c r="X100" i="1"/>
  <c r="X98" i="1"/>
  <c r="X96" i="1"/>
  <c r="X60" i="1"/>
  <c r="X59" i="1"/>
  <c r="X52" i="1"/>
  <c r="X51" i="1"/>
  <c r="X44" i="1"/>
  <c r="X43" i="1"/>
  <c r="AA14" i="1"/>
  <c r="T97" i="1"/>
  <c r="AA74" i="1"/>
  <c r="T65" i="1"/>
  <c r="X58" i="1"/>
  <c r="T56" i="1"/>
  <c r="X50" i="1"/>
  <c r="T48" i="1"/>
  <c r="U225" i="1"/>
  <c r="S225" i="1" s="1"/>
  <c r="AI230" i="1"/>
  <c r="U224" i="1"/>
  <c r="S224" i="1" s="1"/>
  <c r="U223" i="1"/>
  <c r="S223" i="1" s="1"/>
  <c r="AI227" i="1"/>
  <c r="U222" i="1"/>
  <c r="S222" i="1" s="1"/>
  <c r="AI226" i="1"/>
  <c r="U221" i="1"/>
  <c r="S221" i="1" s="1"/>
  <c r="AI225" i="1"/>
  <c r="U220" i="1"/>
  <c r="S220" i="1" s="1"/>
  <c r="AI224" i="1"/>
  <c r="AI223" i="1"/>
  <c r="U205" i="1"/>
  <c r="S205" i="1" s="1"/>
  <c r="AI222" i="1"/>
  <c r="AI221" i="1"/>
  <c r="U203" i="1"/>
  <c r="S203" i="1" s="1"/>
  <c r="AI220" i="1"/>
  <c r="AI219" i="1"/>
  <c r="U201" i="1"/>
  <c r="S201" i="1" s="1"/>
  <c r="AI218" i="1"/>
  <c r="AI217" i="1"/>
  <c r="U199" i="1"/>
  <c r="S199" i="1" s="1"/>
  <c r="AI216" i="1"/>
  <c r="AI215" i="1"/>
  <c r="U197" i="1"/>
  <c r="S197" i="1" s="1"/>
  <c r="AI214" i="1"/>
  <c r="AI213" i="1"/>
  <c r="U195" i="1"/>
  <c r="S195" i="1" s="1"/>
  <c r="AI212" i="1"/>
  <c r="AI211" i="1"/>
  <c r="U192" i="1"/>
  <c r="S192" i="1" s="1"/>
  <c r="AI210" i="1"/>
  <c r="AI209" i="1"/>
  <c r="U190" i="1"/>
  <c r="S190" i="1" s="1"/>
  <c r="AI208" i="1"/>
  <c r="AI207" i="1"/>
  <c r="U188" i="1"/>
  <c r="S188" i="1" s="1"/>
  <c r="AI206" i="1"/>
  <c r="AI205" i="1"/>
  <c r="U186" i="1"/>
  <c r="S186" i="1" s="1"/>
  <c r="AI204" i="1"/>
  <c r="AI203" i="1"/>
  <c r="U184" i="1"/>
  <c r="S184" i="1" s="1"/>
  <c r="AI202" i="1"/>
  <c r="AI201" i="1"/>
  <c r="U182" i="1"/>
  <c r="S182" i="1" s="1"/>
  <c r="AI200" i="1"/>
  <c r="AI199" i="1"/>
  <c r="U180" i="1"/>
  <c r="S180" i="1" s="1"/>
  <c r="AI198" i="1"/>
  <c r="AI197" i="1"/>
  <c r="U178" i="1"/>
  <c r="S178" i="1" s="1"/>
  <c r="AI196" i="1"/>
  <c r="AI195" i="1"/>
  <c r="U176" i="1"/>
  <c r="S176" i="1" s="1"/>
  <c r="AI194" i="1"/>
  <c r="U175" i="1"/>
  <c r="S175" i="1" s="1"/>
  <c r="AI192" i="1"/>
  <c r="W175" i="1"/>
  <c r="U174" i="1"/>
  <c r="S174" i="1" s="1"/>
  <c r="AI191" i="1"/>
  <c r="U173" i="1"/>
  <c r="S173" i="1" s="1"/>
  <c r="AI190" i="1"/>
  <c r="U172" i="1"/>
  <c r="S172" i="1" s="1"/>
  <c r="AI189" i="1"/>
  <c r="U171" i="1"/>
  <c r="S171" i="1" s="1"/>
  <c r="AI188" i="1"/>
  <c r="W171" i="1"/>
  <c r="U170" i="1"/>
  <c r="S170" i="1" s="1"/>
  <c r="AI187" i="1"/>
  <c r="U169" i="1"/>
  <c r="S169" i="1" s="1"/>
  <c r="AI186" i="1"/>
  <c r="U168" i="1"/>
  <c r="S168" i="1" s="1"/>
  <c r="AI185" i="1"/>
  <c r="U167" i="1"/>
  <c r="S167" i="1" s="1"/>
  <c r="AI184" i="1"/>
  <c r="W167" i="1"/>
  <c r="U166" i="1"/>
  <c r="S166" i="1" s="1"/>
  <c r="AI183" i="1"/>
  <c r="U165" i="1"/>
  <c r="S165" i="1" s="1"/>
  <c r="AI182" i="1"/>
  <c r="U164" i="1"/>
  <c r="S164" i="1" s="1"/>
  <c r="AI181" i="1"/>
  <c r="U163" i="1"/>
  <c r="S163" i="1" s="1"/>
  <c r="AI180" i="1"/>
  <c r="W163" i="1"/>
  <c r="U162" i="1"/>
  <c r="S162" i="1" s="1"/>
  <c r="AI179" i="1"/>
  <c r="U161" i="1"/>
  <c r="S161" i="1" s="1"/>
  <c r="AI178" i="1"/>
  <c r="U160" i="1"/>
  <c r="S160" i="1" s="1"/>
  <c r="AI177" i="1"/>
  <c r="U159" i="1"/>
  <c r="S159" i="1" s="1"/>
  <c r="AI176" i="1"/>
  <c r="W159" i="1"/>
  <c r="U158" i="1"/>
  <c r="S158" i="1" s="1"/>
  <c r="AI175" i="1"/>
  <c r="U157" i="1"/>
  <c r="S157" i="1" s="1"/>
  <c r="AI174" i="1"/>
  <c r="U230" i="1"/>
  <c r="S230" i="1" s="1"/>
  <c r="AI173" i="1"/>
  <c r="AI172" i="1"/>
  <c r="U227" i="1"/>
  <c r="S227" i="1" s="1"/>
  <c r="AI171" i="1"/>
  <c r="U226" i="1"/>
  <c r="S226" i="1" s="1"/>
  <c r="AI170" i="1"/>
  <c r="U218" i="1"/>
  <c r="S218" i="1" s="1"/>
  <c r="AI169" i="1"/>
  <c r="U217" i="1"/>
  <c r="S217" i="1" s="1"/>
  <c r="AI168" i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U212" i="1"/>
  <c r="S212" i="1" s="1"/>
  <c r="AI163" i="1"/>
  <c r="U211" i="1"/>
  <c r="S211" i="1" s="1"/>
  <c r="AI162" i="1"/>
  <c r="U210" i="1"/>
  <c r="S210" i="1" s="1"/>
  <c r="AI161" i="1"/>
  <c r="U209" i="1"/>
  <c r="S209" i="1" s="1"/>
  <c r="AI160" i="1"/>
  <c r="U208" i="1"/>
  <c r="S208" i="1" s="1"/>
  <c r="AI159" i="1"/>
  <c r="U207" i="1"/>
  <c r="S207" i="1" s="1"/>
  <c r="AI158" i="1"/>
  <c r="U206" i="1"/>
  <c r="S206" i="1" s="1"/>
  <c r="AI157" i="1"/>
  <c r="U156" i="1"/>
  <c r="S156" i="1" s="1"/>
  <c r="AI156" i="1"/>
  <c r="U155" i="1"/>
  <c r="S155" i="1" s="1"/>
  <c r="AI155" i="1"/>
  <c r="U154" i="1"/>
  <c r="S154" i="1" s="1"/>
  <c r="AI154" i="1"/>
  <c r="U153" i="1"/>
  <c r="S153" i="1" s="1"/>
  <c r="AI153" i="1"/>
  <c r="U152" i="1"/>
  <c r="S152" i="1" s="1"/>
  <c r="AI152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U140" i="1"/>
  <c r="S140" i="1" s="1"/>
  <c r="AI140" i="1"/>
  <c r="U139" i="1"/>
  <c r="S139" i="1" s="1"/>
  <c r="AI139" i="1"/>
  <c r="U138" i="1"/>
  <c r="S138" i="1" s="1"/>
  <c r="AI138" i="1"/>
  <c r="U137" i="1"/>
  <c r="S137" i="1" s="1"/>
  <c r="AI137" i="1"/>
  <c r="AI136" i="1"/>
  <c r="U135" i="1"/>
  <c r="S135" i="1" s="1"/>
  <c r="AI135" i="1"/>
  <c r="AI134" i="1"/>
  <c r="U133" i="1"/>
  <c r="S133" i="1" s="1"/>
  <c r="AI133" i="1"/>
  <c r="AI132" i="1"/>
  <c r="U131" i="1"/>
  <c r="S131" i="1" s="1"/>
  <c r="AI131" i="1"/>
  <c r="U130" i="1"/>
  <c r="S130" i="1" s="1"/>
  <c r="AI130" i="1"/>
  <c r="AI129" i="1"/>
  <c r="U128" i="1"/>
  <c r="S128" i="1" s="1"/>
  <c r="AI128" i="1"/>
  <c r="AI127" i="1"/>
  <c r="U126" i="1"/>
  <c r="S126" i="1" s="1"/>
  <c r="AI126" i="1"/>
  <c r="AI125" i="1"/>
  <c r="U124" i="1"/>
  <c r="S124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AI117" i="1"/>
  <c r="U116" i="1"/>
  <c r="S116" i="1" s="1"/>
  <c r="AI116" i="1"/>
  <c r="AI115" i="1"/>
  <c r="U114" i="1"/>
  <c r="S114" i="1" s="1"/>
  <c r="AI114" i="1"/>
  <c r="U112" i="1"/>
  <c r="S112" i="1" s="1"/>
  <c r="AI112" i="1"/>
  <c r="U111" i="1"/>
  <c r="S111" i="1" s="1"/>
  <c r="AI111" i="1"/>
  <c r="U110" i="1"/>
  <c r="S110" i="1" s="1"/>
  <c r="AI110" i="1"/>
  <c r="W110" i="1"/>
  <c r="U109" i="1"/>
  <c r="S109" i="1" s="1"/>
  <c r="AI109" i="1"/>
  <c r="U108" i="1"/>
  <c r="S108" i="1" s="1"/>
  <c r="AI108" i="1"/>
  <c r="W108" i="1"/>
  <c r="U107" i="1"/>
  <c r="S107" i="1" s="1"/>
  <c r="AI107" i="1"/>
  <c r="U106" i="1"/>
  <c r="S106" i="1" s="1"/>
  <c r="AI106" i="1"/>
  <c r="U105" i="1"/>
  <c r="S105" i="1" s="1"/>
  <c r="AI105" i="1"/>
  <c r="U104" i="1"/>
  <c r="S104" i="1" s="1"/>
  <c r="AI104" i="1"/>
  <c r="U103" i="1"/>
  <c r="S103" i="1" s="1"/>
  <c r="AI103" i="1"/>
  <c r="U102" i="1"/>
  <c r="S102" i="1" s="1"/>
  <c r="AI102" i="1"/>
  <c r="U101" i="1"/>
  <c r="S101" i="1" s="1"/>
  <c r="AI101" i="1"/>
  <c r="U100" i="1"/>
  <c r="S100" i="1" s="1"/>
  <c r="AI100" i="1"/>
  <c r="U99" i="1"/>
  <c r="S99" i="1" s="1"/>
  <c r="AI99" i="1"/>
  <c r="U98" i="1"/>
  <c r="S98" i="1" s="1"/>
  <c r="AI98" i="1"/>
  <c r="U97" i="1"/>
  <c r="S97" i="1" s="1"/>
  <c r="AI97" i="1"/>
  <c r="U96" i="1"/>
  <c r="S96" i="1" s="1"/>
  <c r="AI96" i="1"/>
  <c r="AI95" i="1"/>
  <c r="AI94" i="1"/>
  <c r="AI93" i="1"/>
  <c r="AI92" i="1"/>
  <c r="AI91" i="1"/>
  <c r="AI90" i="1"/>
  <c r="AI89" i="1"/>
  <c r="AI88" i="1"/>
  <c r="AI87" i="1"/>
  <c r="AI86" i="1"/>
  <c r="AI84" i="1"/>
  <c r="AI83" i="1"/>
  <c r="AI82" i="1"/>
  <c r="AI81" i="1"/>
  <c r="AI80" i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U74" i="1"/>
  <c r="S74" i="1" s="1"/>
  <c r="AI74" i="1"/>
  <c r="AI73" i="1"/>
  <c r="U73" i="1"/>
  <c r="S73" i="1" s="1"/>
  <c r="AI72" i="1"/>
  <c r="AI71" i="1"/>
  <c r="U71" i="1"/>
  <c r="S71" i="1" s="1"/>
  <c r="AI70" i="1"/>
  <c r="AI69" i="1"/>
  <c r="U69" i="1"/>
  <c r="S69" i="1" s="1"/>
  <c r="AI68" i="1"/>
  <c r="AI67" i="1"/>
  <c r="U67" i="1"/>
  <c r="S67" i="1" s="1"/>
  <c r="AI66" i="1"/>
  <c r="AI65" i="1"/>
  <c r="U65" i="1"/>
  <c r="S65" i="1" s="1"/>
  <c r="AI64" i="1"/>
  <c r="U63" i="1"/>
  <c r="S63" i="1" s="1"/>
  <c r="AI63" i="1"/>
  <c r="U62" i="1"/>
  <c r="S62" i="1" s="1"/>
  <c r="AI62" i="1"/>
  <c r="W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W56" i="1"/>
  <c r="U55" i="1"/>
  <c r="S55" i="1" s="1"/>
  <c r="AI55" i="1"/>
  <c r="U54" i="1"/>
  <c r="S54" i="1" s="1"/>
  <c r="AI54" i="1"/>
  <c r="W54" i="1"/>
  <c r="U53" i="1"/>
  <c r="S53" i="1" s="1"/>
  <c r="AI53" i="1"/>
  <c r="U52" i="1"/>
  <c r="S52" i="1" s="1"/>
  <c r="AI52" i="1"/>
  <c r="W52" i="1"/>
  <c r="U51" i="1"/>
  <c r="S51" i="1" s="1"/>
  <c r="AI51" i="1"/>
  <c r="U50" i="1"/>
  <c r="S50" i="1" s="1"/>
  <c r="AI50" i="1"/>
  <c r="W50" i="1"/>
  <c r="U49" i="1"/>
  <c r="S49" i="1" s="1"/>
  <c r="AI49" i="1"/>
  <c r="U48" i="1"/>
  <c r="S48" i="1" s="1"/>
  <c r="AI48" i="1"/>
  <c r="W48" i="1"/>
  <c r="U47" i="1"/>
  <c r="S47" i="1" s="1"/>
  <c r="AI47" i="1"/>
  <c r="U46" i="1"/>
  <c r="S46" i="1" s="1"/>
  <c r="AI46" i="1"/>
  <c r="W46" i="1"/>
  <c r="U45" i="1"/>
  <c r="S45" i="1" s="1"/>
  <c r="AI45" i="1"/>
  <c r="U44" i="1"/>
  <c r="S44" i="1" s="1"/>
  <c r="AI44" i="1"/>
  <c r="W44" i="1"/>
  <c r="U43" i="1"/>
  <c r="S43" i="1" s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S16" i="1"/>
  <c r="AI16" i="1"/>
  <c r="U16" i="1"/>
  <c r="AI15" i="1"/>
  <c r="U15" i="1"/>
  <c r="S15" i="1" s="1"/>
  <c r="AI14" i="1"/>
  <c r="U14" i="1"/>
  <c r="S14" i="1" s="1"/>
  <c r="W223" i="1"/>
  <c r="W198" i="1"/>
  <c r="W170" i="1"/>
  <c r="W162" i="1"/>
  <c r="W173" i="1"/>
  <c r="W168" i="1"/>
  <c r="W165" i="1"/>
  <c r="W160" i="1"/>
  <c r="W157" i="1"/>
  <c r="W204" i="1"/>
  <c r="W222" i="1"/>
  <c r="W219" i="1"/>
  <c r="W205" i="1"/>
  <c r="W202" i="1"/>
  <c r="W201" i="1"/>
  <c r="W174" i="1"/>
  <c r="W166" i="1"/>
  <c r="W158" i="1"/>
  <c r="W224" i="1"/>
  <c r="W221" i="1"/>
  <c r="W203" i="1"/>
  <c r="W225" i="1"/>
  <c r="W220" i="1"/>
  <c r="W200" i="1"/>
  <c r="W199" i="1"/>
  <c r="W172" i="1"/>
  <c r="W169" i="1"/>
  <c r="W164" i="1"/>
  <c r="W161" i="1"/>
  <c r="X197" i="1"/>
  <c r="W196" i="1"/>
  <c r="T196" i="1"/>
  <c r="U196" i="1" s="1"/>
  <c r="S196" i="1" s="1"/>
  <c r="X195" i="1"/>
  <c r="W194" i="1"/>
  <c r="T194" i="1"/>
  <c r="U194" i="1" s="1"/>
  <c r="S194" i="1" s="1"/>
  <c r="X192" i="1"/>
  <c r="W191" i="1"/>
  <c r="T191" i="1"/>
  <c r="U191" i="1" s="1"/>
  <c r="S191" i="1" s="1"/>
  <c r="X190" i="1"/>
  <c r="W189" i="1"/>
  <c r="T189" i="1"/>
  <c r="U189" i="1" s="1"/>
  <c r="S189" i="1" s="1"/>
  <c r="X188" i="1"/>
  <c r="W187" i="1"/>
  <c r="T187" i="1"/>
  <c r="U187" i="1" s="1"/>
  <c r="S187" i="1" s="1"/>
  <c r="X186" i="1"/>
  <c r="W185" i="1"/>
  <c r="T185" i="1"/>
  <c r="U185" i="1" s="1"/>
  <c r="S185" i="1" s="1"/>
  <c r="X184" i="1"/>
  <c r="W183" i="1"/>
  <c r="T183" i="1"/>
  <c r="U183" i="1" s="1"/>
  <c r="S183" i="1" s="1"/>
  <c r="X182" i="1"/>
  <c r="W181" i="1"/>
  <c r="T181" i="1"/>
  <c r="U181" i="1" s="1"/>
  <c r="S181" i="1" s="1"/>
  <c r="X180" i="1"/>
  <c r="W179" i="1"/>
  <c r="T179" i="1"/>
  <c r="U179" i="1" s="1"/>
  <c r="S179" i="1" s="1"/>
  <c r="X178" i="1"/>
  <c r="W177" i="1"/>
  <c r="T177" i="1"/>
  <c r="U177" i="1" s="1"/>
  <c r="S177" i="1" s="1"/>
  <c r="X176" i="1"/>
  <c r="W227" i="1"/>
  <c r="W217" i="1"/>
  <c r="W212" i="1"/>
  <c r="W209" i="1"/>
  <c r="W207" i="1"/>
  <c r="W156" i="1"/>
  <c r="W154" i="1"/>
  <c r="W152" i="1"/>
  <c r="W149" i="1"/>
  <c r="W147" i="1"/>
  <c r="W145" i="1"/>
  <c r="W142" i="1"/>
  <c r="W140" i="1"/>
  <c r="W138" i="1"/>
  <c r="W136" i="1"/>
  <c r="W135" i="1"/>
  <c r="W134" i="1"/>
  <c r="W133" i="1"/>
  <c r="W132" i="1"/>
  <c r="W131" i="1"/>
  <c r="W109" i="1"/>
  <c r="W218" i="1"/>
  <c r="W215" i="1"/>
  <c r="W210" i="1"/>
  <c r="T219" i="1"/>
  <c r="U219" i="1" s="1"/>
  <c r="S219" i="1" s="1"/>
  <c r="T204" i="1"/>
  <c r="U204" i="1" s="1"/>
  <c r="S204" i="1" s="1"/>
  <c r="T202" i="1"/>
  <c r="U202" i="1" s="1"/>
  <c r="S202" i="1" s="1"/>
  <c r="T200" i="1"/>
  <c r="U200" i="1" s="1"/>
  <c r="S200" i="1" s="1"/>
  <c r="T198" i="1"/>
  <c r="U198" i="1" s="1"/>
  <c r="S198" i="1" s="1"/>
  <c r="W197" i="1"/>
  <c r="W195" i="1"/>
  <c r="W192" i="1"/>
  <c r="W190" i="1"/>
  <c r="W188" i="1"/>
  <c r="W186" i="1"/>
  <c r="W184" i="1"/>
  <c r="W182" i="1"/>
  <c r="W180" i="1"/>
  <c r="W178" i="1"/>
  <c r="W176" i="1"/>
  <c r="W230" i="1"/>
  <c r="W216" i="1"/>
  <c r="W213" i="1"/>
  <c r="W208" i="1"/>
  <c r="W206" i="1"/>
  <c r="W155" i="1"/>
  <c r="W153" i="1"/>
  <c r="W150" i="1"/>
  <c r="W148" i="1"/>
  <c r="W146" i="1"/>
  <c r="W144" i="1"/>
  <c r="W143" i="1"/>
  <c r="W141" i="1"/>
  <c r="W139" i="1"/>
  <c r="W137" i="1"/>
  <c r="W226" i="1"/>
  <c r="W214" i="1"/>
  <c r="W211" i="1"/>
  <c r="W111" i="1"/>
  <c r="X135" i="1"/>
  <c r="X133" i="1"/>
  <c r="X131" i="1"/>
  <c r="W106" i="1"/>
  <c r="W104" i="1"/>
  <c r="W102" i="1"/>
  <c r="W100" i="1"/>
  <c r="W98" i="1"/>
  <c r="W96" i="1"/>
  <c r="W93" i="1"/>
  <c r="W89" i="1"/>
  <c r="W84" i="1"/>
  <c r="T136" i="1"/>
  <c r="U136" i="1" s="1"/>
  <c r="S136" i="1" s="1"/>
  <c r="T134" i="1"/>
  <c r="U134" i="1" s="1"/>
  <c r="S134" i="1" s="1"/>
  <c r="T132" i="1"/>
  <c r="U132" i="1" s="1"/>
  <c r="S132" i="1" s="1"/>
  <c r="X130" i="1"/>
  <c r="W129" i="1"/>
  <c r="T129" i="1"/>
  <c r="U129" i="1" s="1"/>
  <c r="S129" i="1" s="1"/>
  <c r="X128" i="1"/>
  <c r="W127" i="1"/>
  <c r="T127" i="1"/>
  <c r="U127" i="1" s="1"/>
  <c r="S127" i="1" s="1"/>
  <c r="X126" i="1"/>
  <c r="W125" i="1"/>
  <c r="T125" i="1"/>
  <c r="U125" i="1" s="1"/>
  <c r="S125" i="1" s="1"/>
  <c r="X124" i="1"/>
  <c r="W123" i="1"/>
  <c r="T123" i="1"/>
  <c r="U123" i="1" s="1"/>
  <c r="S123" i="1" s="1"/>
  <c r="X122" i="1"/>
  <c r="W121" i="1"/>
  <c r="T121" i="1"/>
  <c r="U121" i="1" s="1"/>
  <c r="S121" i="1" s="1"/>
  <c r="X120" i="1"/>
  <c r="W119" i="1"/>
  <c r="T119" i="1"/>
  <c r="U119" i="1" s="1"/>
  <c r="S119" i="1" s="1"/>
  <c r="X118" i="1"/>
  <c r="W117" i="1"/>
  <c r="T117" i="1"/>
  <c r="U117" i="1" s="1"/>
  <c r="S117" i="1" s="1"/>
  <c r="X116" i="1"/>
  <c r="W115" i="1"/>
  <c r="T115" i="1"/>
  <c r="U115" i="1" s="1"/>
  <c r="S115" i="1" s="1"/>
  <c r="W112" i="1"/>
  <c r="W107" i="1"/>
  <c r="W92" i="1"/>
  <c r="W88" i="1"/>
  <c r="W83" i="1"/>
  <c r="W105" i="1"/>
  <c r="W103" i="1"/>
  <c r="W101" i="1"/>
  <c r="W99" i="1"/>
  <c r="W97" i="1"/>
  <c r="W95" i="1"/>
  <c r="W91" i="1"/>
  <c r="W87" i="1"/>
  <c r="W82" i="1"/>
  <c r="W130" i="1"/>
  <c r="W128" i="1"/>
  <c r="W126" i="1"/>
  <c r="W124" i="1"/>
  <c r="W122" i="1"/>
  <c r="W120" i="1"/>
  <c r="W118" i="1"/>
  <c r="W116" i="1"/>
  <c r="W114" i="1"/>
  <c r="W94" i="1"/>
  <c r="W90" i="1"/>
  <c r="W8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W76" i="1"/>
  <c r="W63" i="1"/>
  <c r="W60" i="1"/>
  <c r="W55" i="1"/>
  <c r="W75" i="1"/>
  <c r="W61" i="1"/>
  <c r="W53" i="1"/>
  <c r="W74" i="1"/>
  <c r="W59" i="1"/>
  <c r="W51" i="1"/>
  <c r="W81" i="1"/>
  <c r="W80" i="1"/>
  <c r="W79" i="1"/>
  <c r="W78" i="1"/>
  <c r="W77" i="1"/>
  <c r="W57" i="1"/>
  <c r="W49" i="1"/>
  <c r="X73" i="1"/>
  <c r="W72" i="1"/>
  <c r="T72" i="1"/>
  <c r="U72" i="1" s="1"/>
  <c r="S72" i="1" s="1"/>
  <c r="X71" i="1"/>
  <c r="W70" i="1"/>
  <c r="T70" i="1"/>
  <c r="U70" i="1" s="1"/>
  <c r="S70" i="1" s="1"/>
  <c r="X69" i="1"/>
  <c r="W68" i="1"/>
  <c r="T68" i="1"/>
  <c r="U68" i="1" s="1"/>
  <c r="S68" i="1" s="1"/>
  <c r="X67" i="1"/>
  <c r="W66" i="1"/>
  <c r="T66" i="1"/>
  <c r="U66" i="1" s="1"/>
  <c r="S66" i="1" s="1"/>
  <c r="W64" i="1"/>
  <c r="T64" i="1"/>
  <c r="U64" i="1" s="1"/>
  <c r="S64" i="1" s="1"/>
  <c r="W45" i="1"/>
  <c r="W39" i="1"/>
  <c r="W35" i="1"/>
  <c r="X79" i="1"/>
  <c r="X78" i="1"/>
  <c r="X77" i="1"/>
  <c r="X76" i="1"/>
  <c r="X75" i="1"/>
  <c r="W42" i="1"/>
  <c r="W38" i="1"/>
  <c r="W73" i="1"/>
  <c r="W71" i="1"/>
  <c r="W69" i="1"/>
  <c r="W67" i="1"/>
  <c r="W65" i="1"/>
  <c r="W47" i="1"/>
  <c r="W43" i="1"/>
  <c r="W41" i="1"/>
  <c r="W37" i="1"/>
  <c r="W40" i="1"/>
  <c r="W36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23" i="3"/>
  <c r="AC23" i="3"/>
  <c r="AD17" i="3"/>
  <c r="AD24" i="3"/>
  <c r="AC8" i="3"/>
  <c r="T8" i="3"/>
  <c r="AE26" i="3"/>
  <c r="AE24" i="3"/>
  <c r="AE19" i="3"/>
  <c r="AE11" i="3"/>
  <c r="AD9" i="3"/>
  <c r="T7" i="3"/>
  <c r="AC20" i="3"/>
  <c r="AD11" i="3"/>
  <c r="AD15" i="3"/>
  <c r="T9" i="3"/>
  <c r="AC13" i="3"/>
  <c r="AD26" i="3"/>
  <c r="AC24" i="3"/>
  <c r="AC26" i="3"/>
  <c r="AE20" i="3"/>
  <c r="AD19" i="3"/>
  <c r="T22" i="3"/>
  <c r="AC10" i="3"/>
  <c r="AC17" i="3"/>
  <c r="T25" i="3"/>
  <c r="Y20" i="3"/>
  <c r="Y17" i="3"/>
  <c r="Y18" i="3"/>
  <c r="Y9" i="3"/>
  <c r="Y16" i="3"/>
  <c r="Y7" i="3"/>
  <c r="Y22" i="3"/>
  <c r="Y19" i="3"/>
  <c r="Y21" i="3"/>
  <c r="Y11" i="3"/>
  <c r="Y15" i="3"/>
  <c r="Y26" i="3"/>
  <c r="Y8" i="3"/>
  <c r="Y25" i="3"/>
  <c r="Y24" i="3"/>
  <c r="Y23" i="3"/>
  <c r="Y10" i="3"/>
  <c r="Y13" i="3"/>
  <c r="Y12" i="3"/>
  <c r="AE22" i="3"/>
  <c r="T19" i="3"/>
  <c r="AE18" i="3"/>
  <c r="T21" i="3"/>
  <c r="T11" i="3"/>
  <c r="AE10" i="3"/>
  <c r="T15" i="3"/>
  <c r="AD25" i="3"/>
  <c r="T24" i="3"/>
  <c r="AD22" i="3"/>
  <c r="AE21" i="3"/>
  <c r="T23" i="3"/>
  <c r="AD18" i="3"/>
  <c r="AE17" i="3"/>
  <c r="T10" i="3"/>
  <c r="AE13" i="3"/>
  <c r="T13" i="3"/>
  <c r="AD10" i="3"/>
  <c r="AE9" i="3"/>
  <c r="T12" i="3"/>
  <c r="AE25" i="3"/>
  <c r="AE8" i="3"/>
  <c r="R14" i="3"/>
  <c r="M14" i="3"/>
  <c r="S14" i="3"/>
  <c r="U14" i="3"/>
  <c r="AC14" i="3" s="1"/>
  <c r="V14" i="3"/>
  <c r="X14" i="3"/>
  <c r="W14" i="3"/>
  <c r="AE14" i="3" l="1"/>
  <c r="AD14" i="3"/>
  <c r="Y14" i="3"/>
  <c r="T14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18" i="3" s="1"/>
  <c r="G44" i="4"/>
  <c r="G45" i="4"/>
  <c r="G46" i="4"/>
  <c r="G47" i="4"/>
  <c r="N12" i="3" s="1"/>
  <c r="G48" i="4"/>
  <c r="N14" i="3" s="1"/>
  <c r="G49" i="4"/>
  <c r="G50" i="4"/>
  <c r="G51" i="4"/>
  <c r="G52" i="4"/>
  <c r="G53" i="4"/>
  <c r="G54" i="4"/>
  <c r="G55" i="4"/>
  <c r="G56" i="4"/>
  <c r="G57" i="4"/>
  <c r="N15" i="3" s="1"/>
  <c r="G58" i="4"/>
  <c r="N16" i="3" s="1"/>
  <c r="G59" i="4"/>
  <c r="G60" i="4"/>
  <c r="G61" i="4"/>
  <c r="G62" i="4"/>
  <c r="G63" i="4"/>
  <c r="G64" i="4"/>
  <c r="G65" i="4"/>
  <c r="G66" i="4"/>
  <c r="N17" i="3" s="1"/>
  <c r="G67" i="4"/>
  <c r="G68" i="4"/>
  <c r="G69" i="4"/>
  <c r="G70" i="4"/>
  <c r="G71" i="4"/>
  <c r="G72" i="4"/>
  <c r="N13" i="3" s="1"/>
  <c r="G73" i="4"/>
  <c r="G74" i="4"/>
  <c r="G75" i="4"/>
  <c r="G76" i="4"/>
  <c r="G77" i="4"/>
  <c r="G78" i="4"/>
  <c r="G79" i="4"/>
  <c r="G80" i="4"/>
  <c r="G81" i="4"/>
  <c r="N11" i="3" s="1"/>
  <c r="G82" i="4"/>
  <c r="G83" i="4"/>
  <c r="G84" i="4"/>
  <c r="N9" i="3" s="1"/>
  <c r="G85" i="4"/>
  <c r="G86" i="4"/>
  <c r="G87" i="4"/>
  <c r="G88" i="4"/>
  <c r="G89" i="4"/>
  <c r="N20" i="3" s="1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0" i="3" s="1"/>
  <c r="G108" i="4"/>
  <c r="N21" i="3" s="1"/>
  <c r="G109" i="4"/>
  <c r="G110" i="4"/>
  <c r="G111" i="4"/>
  <c r="G112" i="4"/>
  <c r="G113" i="4"/>
  <c r="G114" i="4"/>
  <c r="G115" i="4"/>
  <c r="G116" i="4"/>
  <c r="G117" i="4"/>
  <c r="G118" i="4"/>
  <c r="G119" i="4"/>
  <c r="N22" i="3" s="1"/>
  <c r="G120" i="4"/>
  <c r="G121" i="4"/>
  <c r="G122" i="4"/>
  <c r="G123" i="4"/>
  <c r="G124" i="4"/>
  <c r="G125" i="4"/>
  <c r="G126" i="4"/>
  <c r="N8" i="3" s="1"/>
  <c r="G127" i="4"/>
  <c r="G128" i="4"/>
  <c r="G129" i="4"/>
  <c r="N23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19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7" i="3" s="1"/>
  <c r="G187" i="4"/>
  <c r="G188" i="4"/>
  <c r="G189" i="4"/>
  <c r="G190" i="4"/>
  <c r="G191" i="4"/>
  <c r="G192" i="4"/>
  <c r="G193" i="4"/>
  <c r="N24" i="3" s="1"/>
  <c r="G194" i="4"/>
  <c r="N26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N25" i="3" s="1"/>
  <c r="G216" i="4"/>
  <c r="G217" i="4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<sst xmlns="http://schemas.openxmlformats.org/spreadsheetml/2006/main" count="2727" uniqueCount="1074">
  <si>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</si>
  <si>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</si>
  <si>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</si>
  <si>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</si>
  <si>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</si>
  <si>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</si>
  <si>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</si>
  <si>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</si>
  <si>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</si>
  <si>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</si>
  <si>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</si>
  <si>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</si>
  <si>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</si>
  <si>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</si>
  <si>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</si>
  <si>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</si>
  <si>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</si>
  <si>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</si>
  <si>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</si>
  <si>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</si>
  <si>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</si>
  <si>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</si>
  <si>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</si>
  <si>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</si>
  <si>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</si>
  <si>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</si>
  <si>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</si>
  <si>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</si>
  <si>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</si>
  <si>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</si>
  <si>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</si>
  <si>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</si>
  <si>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</si>
  <si>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</si>
  <si>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</si>
  <si>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</si>
  <si>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</si>
  <si>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</si>
  <si>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</si>
  <si>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</si>
  <si>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</si>
  <si>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</si>
  <si>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</si>
  <si>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</si>
  <si>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</si>
  <si>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</si>
  <si>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</si>
  <si>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</si>
  <si>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</si>
  <si>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</si>
  <si>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</si>
  <si>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</si>
  <si>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</si>
  <si>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</si>
  <si>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</si>
  <si>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</si>
  <si>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</si>
  <si>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</si>
  <si>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</si>
  <si>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</si>
  <si>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</si>
  <si>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</si>
  <si>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</si>
  <si>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</si>
  <si>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</si>
  <si>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</si>
  <si>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</si>
  <si>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</si>
  <si>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</si>
  <si>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</si>
  <si>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</si>
  <si>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</si>
  <si>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</si>
  <si>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</si>
  <si>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</si>
  <si>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</si>
  <si>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</si>
  <si>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</si>
  <si>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</si>
  <si>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</si>
  <si>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</si>
  <si>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</si>
  <si>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</si>
  <si>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</si>
  <si>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</si>
  <si>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</si>
  <si>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</si>
  <si>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</si>
  <si>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</si>
  <si>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</si>
  <si>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</si>
  <si>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</si>
  <si>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</si>
  <si>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</si>
  <si>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</si>
  <si>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</si>
  <si>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</si>
  <si>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</si>
  <si>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</si>
  <si>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</si>
  <si>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</si>
  <si>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</si>
  <si>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</si>
  <si>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</si>
  <si>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</si>
  <si>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</si>
  <si>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</si>
  <si>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</si>
  <si>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</si>
  <si>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</si>
  <si>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</si>
  <si>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</si>
  <si>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</si>
  <si>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</si>
  <si>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</si>
  <si>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</si>
  <si>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</si>
  <si>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</si>
  <si>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</si>
  <si>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</si>
  <si>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</si>
  <si>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</si>
  <si>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</si>
  <si>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</si>
  <si>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</si>
  <si>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</si>
  <si>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</si>
  <si>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</si>
  <si>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</si>
  <si>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</si>
  <si>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</si>
  <si>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</si>
  <si>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</si>
  <si>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</si>
  <si>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</si>
  <si>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</si>
  <si>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</si>
  <si>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</si>
  <si>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</si>
  <si>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</si>
  <si>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</si>
  <si>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</si>
  <si>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</si>
  <si>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</si>
  <si>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</si>
  <si>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</si>
  <si>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</si>
  <si>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</si>
  <si>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</si>
  <si>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</si>
  <si>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</si>
  <si>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</si>
  <si>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</si>
  <si>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</si>
  <si>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</si>
  <si>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</si>
  <si>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</si>
  <si>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</si>
  <si>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</si>
  <si>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</si>
  <si>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</si>
  <si>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</si>
  <si>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</si>
  <si>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</si>
  <si>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</si>
  <si>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</si>
  <si>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</si>
  <si>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</si>
  <si>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</si>
  <si>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</si>
  <si>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</si>
  <si>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</si>
  <si>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</si>
  <si>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</si>
  <si>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</si>
  <si>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</si>
  <si>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</si>
  <si>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</si>
  <si>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</si>
  <si>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</si>
  <si>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</si>
  <si>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</si>
  <si>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</si>
  <si>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</si>
  <si>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</si>
  <si>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</si>
  <si>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</si>
  <si>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</si>
  <si>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</si>
  <si>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</si>
  <si>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</si>
  <si>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</si>
  <si>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</si>
  <si>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</si>
  <si>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</si>
  <si>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</si>
  <si>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</si>
  <si>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</si>
  <si>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</si>
  <si>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</si>
  <si>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</si>
  <si>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</si>
  <si>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</si>
  <si>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</si>
  <si>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</si>
  <si>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</si>
  <si>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</si>
  <si>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</si>
  <si>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</si>
  <si>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</si>
  <si>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</si>
  <si>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</si>
  <si>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</si>
  <si>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</si>
  <si>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</si>
  <si>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</si>
  <si>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</si>
  <si>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</si>
  <si>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</si>
  <si>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</si>
  <si>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</si>
  <si>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</si>
  <si>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</si>
  <si>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</si>
  <si>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</si>
  <si>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</si>
  <si>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</si>
  <si>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</si>
  <si>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</si>
  <si>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</si>
  <si>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</si>
  <si>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</si>
  <si>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</si>
  <si>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</si>
  <si>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</si>
  <si>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</si>
  <si>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</si>
  <si>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</si>
  <si>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</si>
  <si>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</si>
  <si>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</si>
  <si>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</si>
  <si>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</si>
  <si>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</si>
  <si>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</si>
  <si>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</si>
  <si>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</si>
  <si>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</si>
  <si>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</si>
  <si>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</si>
  <si>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</si>
  <si>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</si>
  <si>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</si>
  <si>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</si>
  <si>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</si>
  <si>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</si>
  <si>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</si>
  <si>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</si>
  <si>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</si>
  <si>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</si>
  <si>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</si>
  <si>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</si>
  <si>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</si>
  <si>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</si>
  <si>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</si>
  <si>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</si>
  <si>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</si>
  <si>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</si>
  <si>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</si>
  <si>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</si>
  <si>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</si>
  <si>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</si>
  <si>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</si>
  <si>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</si>
  <si>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</si>
  <si>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</si>
  <si>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</si>
  <si>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</si>
  <si>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</si>
  <si>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</si>
  <si>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</si>
  <si>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</si>
  <si>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</si>
  <si>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</si>
  <si>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</si>
  <si>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</si>
  <si>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</si>
  <si>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</si>
  <si>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</si>
  <si>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</si>
  <si>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</si>
  <si>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</si>
  <si>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</si>
  <si>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</si>
  <si>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</si>
  <si>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</si>
  <si>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</si>
  <si>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</si>
  <si>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</si>
  <si>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</si>
  <si>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</si>
  <si>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</si>
  <si>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</si>
  <si>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</si>
  <si>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</si>
  <si>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</si>
  <si>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</si>
  <si>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</si>
  <si>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</si>
  <si>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</si>
  <si>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</si>
  <si>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</si>
  <si>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</si>
  <si>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</si>
  <si>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</si>
  <si>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</si>
  <si>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</si>
  <si>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</si>
  <si>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</si>
  <si>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</si>
  <si>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</si>
  <si>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</si>
  <si>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</si>
  <si>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</si>
  <si>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</si>
  <si>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</si>
  <si>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</si>
  <si>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</si>
  <si>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</si>
  <si>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</si>
  <si>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</si>
  <si>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</si>
  <si>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</si>
  <si>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</si>
  <si>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</si>
  <si>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</si>
  <si>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</si>
  <si>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</si>
  <si>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</si>
  <si>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</si>
  <si>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</si>
  <si>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</si>
  <si>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</si>
  <si>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</si>
  <si>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</si>
  <si>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</si>
  <si>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</si>
  <si>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</si>
  <si>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</si>
  <si>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</si>
  <si>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</si>
  <si>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</si>
  <si>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</si>
  <si>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</si>
  <si>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</si>
  <si>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</si>
  <si>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</si>
  <si>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</si>
  <si>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</si>
  <si>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</si>
  <si>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</si>
  <si>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</si>
  <si>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</si>
  <si>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</si>
  <si>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</si>
  <si>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</si>
  <si>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</si>
  <si>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</si>
  <si>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</si>
  <si>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</si>
  <si>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</si>
  <si>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</si>
  <si>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</si>
  <si>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</si>
  <si>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</si>
  <si>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</si>
  <si>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</si>
  <si>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</si>
  <si>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</si>
  <si>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</si>
  <si>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</si>
  <si>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</si>
  <si>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</si>
  <si>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</si>
  <si>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</si>
  <si>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</si>
  <si>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</si>
  <si>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</si>
  <si>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</si>
  <si>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</si>
  <si>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</si>
  <si>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</si>
  <si>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</si>
  <si>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</si>
  <si>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</si>
  <si>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</si>
  <si>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</si>
  <si>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</si>
  <si>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</si>
  <si>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</si>
  <si>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</si>
  <si>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</si>
  <si>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</si>
  <si>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</si>
  <si>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</si>
  <si>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</si>
  <si>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</si>
  <si>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</si>
  <si>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</si>
  <si>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</si>
  <si>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</si>
  <si>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</si>
  <si>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204:212</t>
  </si>
  <si>
    <t>rtdc.l.rtdc.4056:itc</t>
  </si>
  <si>
    <t>STEWART</t>
  </si>
  <si>
    <t>204:508</t>
  </si>
  <si>
    <t>204:511</t>
  </si>
  <si>
    <t>204:232932</t>
  </si>
  <si>
    <t>204:540</t>
  </si>
  <si>
    <t>rtdc.l.rtdc.4025:itc</t>
  </si>
  <si>
    <t>rtdc.l.rtdc.4026:itc</t>
  </si>
  <si>
    <t>DONTE</t>
  </si>
  <si>
    <t>clear-day</t>
  </si>
  <si>
    <t>204:233299</t>
  </si>
  <si>
    <t>300:23346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</si>
  <si>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</si>
  <si>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</si>
  <si>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</si>
  <si>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</si>
  <si>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</si>
  <si>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</si>
  <si>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</si>
  <si>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</si>
  <si>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</si>
  <si>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</si>
  <si>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</si>
  <si>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</si>
  <si>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</si>
  <si>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</si>
  <si>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</si>
  <si>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</si>
  <si>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</si>
  <si>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</si>
  <si>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</si>
  <si>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</si>
  <si>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</si>
  <si>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</si>
  <si>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</si>
  <si>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300:23306</t>
  </si>
  <si>
    <t>300:58929</t>
  </si>
  <si>
    <t>Wi-MAX data drop</t>
  </si>
  <si>
    <t>rtdc.l.rtdc.4002:itc</t>
  </si>
  <si>
    <t>TRACK WARRANT AUTHORITY</t>
  </si>
  <si>
    <t>Form based authority (4)</t>
  </si>
  <si>
    <t>rtdc.l.rtdc.4001:itc</t>
  </si>
  <si>
    <t>rtdc.l.rtdc.4058:itc</t>
  </si>
  <si>
    <t>ANDERS</t>
  </si>
  <si>
    <t>STEVEN</t>
  </si>
  <si>
    <t>204:216</t>
  </si>
  <si>
    <t>204:158</t>
  </si>
  <si>
    <t>204:200</t>
  </si>
  <si>
    <t>204:520</t>
  </si>
  <si>
    <t>204:517</t>
  </si>
  <si>
    <t>rtdc.l.rtdc.4031:itc</t>
  </si>
  <si>
    <t>rtdc.l.rtdc.4032:itc</t>
  </si>
  <si>
    <t>rtdc.l.rtdc.4005:itc</t>
  </si>
  <si>
    <t>244-29</t>
  </si>
  <si>
    <t>rtdc.l.rtdc.4006:itc</t>
  </si>
  <si>
    <t>846-29</t>
  </si>
  <si>
    <t>235-29</t>
  </si>
  <si>
    <t>237-29</t>
  </si>
  <si>
    <t>234-29</t>
  </si>
  <si>
    <t>849-29</t>
  </si>
  <si>
    <t>239-29</t>
  </si>
  <si>
    <t>908-29</t>
  </si>
  <si>
    <t>236-29</t>
  </si>
  <si>
    <t>241-29</t>
  </si>
  <si>
    <t>238-29</t>
  </si>
  <si>
    <t>240-29</t>
  </si>
  <si>
    <t>243-29</t>
  </si>
  <si>
    <t>313-29</t>
  </si>
  <si>
    <t>242-29</t>
  </si>
  <si>
    <t>307-29</t>
  </si>
  <si>
    <t>309-29</t>
  </si>
  <si>
    <t>311-29</t>
  </si>
  <si>
    <t>204:491</t>
  </si>
  <si>
    <t>204:233230</t>
  </si>
  <si>
    <t>204:233297</t>
  </si>
  <si>
    <t>204:209</t>
  </si>
  <si>
    <t>204:163</t>
  </si>
  <si>
    <t>204:160</t>
  </si>
  <si>
    <t>204:519</t>
  </si>
  <si>
    <t>204:232930</t>
  </si>
  <si>
    <t>204:232936</t>
  </si>
  <si>
    <t>204:181</t>
  </si>
  <si>
    <t>204:484</t>
  </si>
  <si>
    <t>204:191</t>
  </si>
  <si>
    <t>204:486</t>
  </si>
  <si>
    <t>300:58928</t>
  </si>
  <si>
    <t>rtdc.l.rtdc.4053:itc</t>
  </si>
  <si>
    <t>rtdc.l.rtdc.4054:itc</t>
  </si>
  <si>
    <t>204:232971</t>
  </si>
  <si>
    <t>204:232965</t>
  </si>
  <si>
    <t>204:232996</t>
  </si>
  <si>
    <t>204:232978</t>
  </si>
  <si>
    <t>204:178</t>
  </si>
  <si>
    <t>204:233270</t>
  </si>
  <si>
    <t>204:457</t>
  </si>
  <si>
    <t>204:233266</t>
  </si>
  <si>
    <t>204:201</t>
  </si>
  <si>
    <t>204:444</t>
  </si>
  <si>
    <t>204:232993</t>
  </si>
  <si>
    <t>204:509</t>
  </si>
  <si>
    <t>204:506</t>
  </si>
  <si>
    <t>204:233274</t>
  </si>
  <si>
    <t>204:232923</t>
  </si>
  <si>
    <t>204:269</t>
  </si>
  <si>
    <t>204:502</t>
  </si>
  <si>
    <t>204:192</t>
  </si>
  <si>
    <t>204:489</t>
  </si>
  <si>
    <t>rtdc.l.rtdc.4009:itc</t>
  </si>
  <si>
    <t>rtdc.l.rtdc.4010:itc</t>
  </si>
  <si>
    <t>THOMPSON</t>
  </si>
  <si>
    <t>LESTER</t>
  </si>
  <si>
    <t>LAMAR</t>
  </si>
  <si>
    <t>NEKESHA</t>
  </si>
  <si>
    <t>DAVIS</t>
  </si>
  <si>
    <t>SAFIEF</t>
  </si>
  <si>
    <t>AEIMEN</t>
  </si>
  <si>
    <t>SMITH</t>
  </si>
  <si>
    <t>rtdc.l.rtdc.4063:itc</t>
  </si>
  <si>
    <t>204:189</t>
  </si>
  <si>
    <t>204:233291</t>
  </si>
  <si>
    <t>204:526</t>
  </si>
  <si>
    <t>204:232947</t>
  </si>
  <si>
    <t>204:233312</t>
  </si>
  <si>
    <t>204:170</t>
  </si>
  <si>
    <t>204:172</t>
  </si>
  <si>
    <t>204:513</t>
  </si>
  <si>
    <t>204:233255</t>
  </si>
  <si>
    <t>204:233232</t>
  </si>
  <si>
    <t>204:482</t>
  </si>
  <si>
    <t>204:232969</t>
  </si>
  <si>
    <t>204:524</t>
  </si>
  <si>
    <t>204:478</t>
  </si>
  <si>
    <t>204:232966</t>
  </si>
  <si>
    <t>204:150</t>
  </si>
  <si>
    <t>204:504</t>
  </si>
  <si>
    <t>204:232888</t>
  </si>
  <si>
    <t>204:232863</t>
  </si>
  <si>
    <t>204:233227</t>
  </si>
  <si>
    <t>300:58926</t>
  </si>
  <si>
    <t>204:466</t>
  </si>
  <si>
    <t>300:58922</t>
  </si>
  <si>
    <t>204:198</t>
  </si>
  <si>
    <t>204:232942</t>
  </si>
  <si>
    <t>204:498</t>
  </si>
  <si>
    <t>204:233281</t>
  </si>
  <si>
    <t>204:232972</t>
  </si>
  <si>
    <t>204:232906</t>
  </si>
  <si>
    <t>204:233289</t>
  </si>
  <si>
    <t>204:233276</t>
  </si>
  <si>
    <t>204:233264</t>
  </si>
  <si>
    <t>204:548</t>
  </si>
  <si>
    <t>204:232962</t>
  </si>
  <si>
    <t>204:528</t>
  </si>
  <si>
    <t>204:234</t>
  </si>
  <si>
    <t>204:471</t>
  </si>
  <si>
    <t>300:23308</t>
  </si>
  <si>
    <t>SWITCH UNKNOWN</t>
  </si>
  <si>
    <t>Track device (7)</t>
  </si>
  <si>
    <t>242-04</t>
  </si>
  <si>
    <t>rtdc.l.rtdc.4019:itc</t>
  </si>
  <si>
    <t>SPECTOR</t>
  </si>
  <si>
    <t>HAMMOND</t>
  </si>
  <si>
    <t>JUSTYNN</t>
  </si>
  <si>
    <t>rtdc.l.rtdc.4057:itc</t>
  </si>
  <si>
    <t>DAVIDSON</t>
  </si>
  <si>
    <t>YANAI</t>
  </si>
  <si>
    <t>IAN</t>
  </si>
  <si>
    <t>rtdc.l.rtdc.4064:itc</t>
  </si>
  <si>
    <t>BROWN</t>
  </si>
  <si>
    <t>JACOB</t>
  </si>
  <si>
    <t>NICHOLAS</t>
  </si>
  <si>
    <t>PLOYSA</t>
  </si>
  <si>
    <t>LONG</t>
  </si>
  <si>
    <t>FULLER</t>
  </si>
  <si>
    <t>LEVIN</t>
  </si>
  <si>
    <t>SCOTT</t>
  </si>
  <si>
    <t>AUSTIN</t>
  </si>
  <si>
    <t>844-04</t>
  </si>
  <si>
    <t>230-04</t>
  </si>
  <si>
    <t>233-04</t>
  </si>
  <si>
    <t>847-04</t>
  </si>
  <si>
    <t>232-04</t>
  </si>
  <si>
    <t>846-04</t>
  </si>
  <si>
    <t>235-04</t>
  </si>
  <si>
    <t>237-04</t>
  </si>
  <si>
    <t>234-04</t>
  </si>
  <si>
    <t>849-04</t>
  </si>
  <si>
    <t>239-04</t>
  </si>
  <si>
    <t>236-04</t>
  </si>
  <si>
    <t>908-04</t>
  </si>
  <si>
    <t>238-04</t>
  </si>
  <si>
    <t>241-04</t>
  </si>
  <si>
    <t>243-04</t>
  </si>
  <si>
    <t>240-04</t>
  </si>
  <si>
    <t>313-04</t>
  </si>
  <si>
    <t>307-04</t>
  </si>
  <si>
    <t>244-04</t>
  </si>
  <si>
    <t>309-04</t>
  </si>
  <si>
    <t>311-04</t>
  </si>
  <si>
    <t>204:232960</t>
  </si>
  <si>
    <t>204:435</t>
  </si>
  <si>
    <t>204:232973</t>
  </si>
  <si>
    <t>204:464</t>
  </si>
  <si>
    <t>204:232974</t>
  </si>
  <si>
    <t>204:232950</t>
  </si>
  <si>
    <t>204:488</t>
  </si>
  <si>
    <t>204:176</t>
  </si>
  <si>
    <t>204:229</t>
  </si>
  <si>
    <t>204:180</t>
  </si>
  <si>
    <t>204:232934</t>
  </si>
  <si>
    <t>204:233280</t>
  </si>
  <si>
    <t>204:145</t>
  </si>
  <si>
    <t>204:267</t>
  </si>
  <si>
    <t>204:233224</t>
  </si>
  <si>
    <t>204:238</t>
  </si>
  <si>
    <t>204:233213</t>
  </si>
  <si>
    <t>204:232913</t>
  </si>
  <si>
    <t>204:254</t>
  </si>
  <si>
    <t>204:551</t>
  </si>
  <si>
    <t>204:233215</t>
  </si>
  <si>
    <t>204:522</t>
  </si>
  <si>
    <t>204:531</t>
  </si>
  <si>
    <t>204:233190</t>
  </si>
  <si>
    <t>204:555</t>
  </si>
  <si>
    <t>204:232909</t>
  </si>
  <si>
    <t>204:249</t>
  </si>
  <si>
    <t>204:559</t>
  </si>
  <si>
    <t>204:233212</t>
  </si>
  <si>
    <t>204:247</t>
  </si>
  <si>
    <t>204:233259</t>
  </si>
  <si>
    <t>204:232926</t>
  </si>
  <si>
    <t>204:233209</t>
  </si>
  <si>
    <t>204:218</t>
  </si>
  <si>
    <t>300:23299</t>
  </si>
  <si>
    <t>204:546</t>
  </si>
  <si>
    <t>204:588</t>
  </si>
  <si>
    <t>204:154</t>
  </si>
  <si>
    <t>204:579</t>
  </si>
  <si>
    <t>300:58924</t>
  </si>
  <si>
    <t>204:140</t>
  </si>
  <si>
    <t>204:142</t>
  </si>
  <si>
    <t>204:450</t>
  </si>
  <si>
    <t>300:58609</t>
  </si>
  <si>
    <t>204:169</t>
  </si>
  <si>
    <t>300:58619</t>
  </si>
  <si>
    <t>204:439</t>
  </si>
  <si>
    <t>204:417</t>
  </si>
  <si>
    <t>300:58961</t>
  </si>
  <si>
    <t>204:408</t>
  </si>
  <si>
    <t>300:58946</t>
  </si>
  <si>
    <t>204:448</t>
  </si>
  <si>
    <t>300:58941</t>
  </si>
  <si>
    <t>300:58956</t>
  </si>
  <si>
    <t>300:58982</t>
  </si>
  <si>
    <t>300:58948</t>
  </si>
  <si>
    <t>204:144</t>
  </si>
  <si>
    <t>300:58640</t>
  </si>
  <si>
    <t>300:28770</t>
  </si>
  <si>
    <t>start /low /b %USERPROFILE%\Documents\GitHub\eaglep3\Utilities\DownloadLogsFromS3.py --loco 4055 --day 2017-12-05</t>
  </si>
  <si>
    <t>Main 3 departure</t>
  </si>
  <si>
    <t>Poor GPS @ Wewatta</t>
  </si>
  <si>
    <t>rtdc.l.rtdc.4059:itc</t>
  </si>
  <si>
    <t>106-05</t>
  </si>
  <si>
    <t>rtdc.l.rtdc.4003:itc</t>
  </si>
  <si>
    <t>804-05</t>
  </si>
  <si>
    <t>120-05</t>
  </si>
  <si>
    <t>126-05</t>
  </si>
  <si>
    <t>rtdc.l.rtdc.4013:itc</t>
  </si>
  <si>
    <t>128-05</t>
  </si>
  <si>
    <t>139-05</t>
  </si>
  <si>
    <t>143-05</t>
  </si>
  <si>
    <t>144-05</t>
  </si>
  <si>
    <t>146-05</t>
  </si>
  <si>
    <t>816-05</t>
  </si>
  <si>
    <t>164-05</t>
  </si>
  <si>
    <t>820-05</t>
  </si>
  <si>
    <t>822-05</t>
  </si>
  <si>
    <t>185-05</t>
  </si>
  <si>
    <t>824-05</t>
  </si>
  <si>
    <t>835-05</t>
  </si>
  <si>
    <t>221-05</t>
  </si>
  <si>
    <t>305-05</t>
  </si>
  <si>
    <t>840-05</t>
  </si>
  <si>
    <t>rtdc.l.rtdc.4004:itc</t>
  </si>
  <si>
    <t>845-05</t>
  </si>
  <si>
    <t>849-05</t>
  </si>
  <si>
    <t>Early Arrival</t>
  </si>
  <si>
    <t>rtdc.l.rtdc.4015:itc</t>
  </si>
  <si>
    <t>300-05</t>
  </si>
  <si>
    <t>rtdc.l.rtdc.4016:itc</t>
  </si>
  <si>
    <t>51-05</t>
  </si>
  <si>
    <t>101-05</t>
  </si>
  <si>
    <t>50-05</t>
  </si>
  <si>
    <t>302-05</t>
  </si>
  <si>
    <t>103-05</t>
  </si>
  <si>
    <t>102-05</t>
  </si>
  <si>
    <t>304-05</t>
  </si>
  <si>
    <t>rtdc.l.rtdc.4060:itc</t>
  </si>
  <si>
    <t>105-05</t>
  </si>
  <si>
    <t>306-05</t>
  </si>
  <si>
    <t>BEAM</t>
  </si>
  <si>
    <t>ROSS</t>
  </si>
  <si>
    <t>308-05</t>
  </si>
  <si>
    <t>107-05</t>
  </si>
  <si>
    <t>104-05</t>
  </si>
  <si>
    <t>109-05</t>
  </si>
  <si>
    <t>310-05</t>
  </si>
  <si>
    <t>901-05</t>
  </si>
  <si>
    <t>111-05</t>
  </si>
  <si>
    <t>rtdc.l.rtdc.4014:itc</t>
  </si>
  <si>
    <t>113-05</t>
  </si>
  <si>
    <t>800-05</t>
  </si>
  <si>
    <t>108-05</t>
  </si>
  <si>
    <t>312-05</t>
  </si>
  <si>
    <t>115-05</t>
  </si>
  <si>
    <t>801-05</t>
  </si>
  <si>
    <t>902-05</t>
  </si>
  <si>
    <t>FORTUNATO</t>
  </si>
  <si>
    <t>FRANK</t>
  </si>
  <si>
    <t>112-05</t>
  </si>
  <si>
    <t>110-05</t>
  </si>
  <si>
    <t>117-05</t>
  </si>
  <si>
    <t>803-05</t>
  </si>
  <si>
    <t>119-05</t>
  </si>
  <si>
    <t>STARKS</t>
  </si>
  <si>
    <t>ANGELINA</t>
  </si>
  <si>
    <t>802-05</t>
  </si>
  <si>
    <t>121-05</t>
  </si>
  <si>
    <t>114-05</t>
  </si>
  <si>
    <t>123-05</t>
  </si>
  <si>
    <t>116-05</t>
  </si>
  <si>
    <t>805-05</t>
  </si>
  <si>
    <t>125-05</t>
  </si>
  <si>
    <t>118-05</t>
  </si>
  <si>
    <t>127-05</t>
  </si>
  <si>
    <t>122-05</t>
  </si>
  <si>
    <t>806-05</t>
  </si>
  <si>
    <t>807-05</t>
  </si>
  <si>
    <t>129-05</t>
  </si>
  <si>
    <t>131-05</t>
  </si>
  <si>
    <t>124-05</t>
  </si>
  <si>
    <t>808-05</t>
  </si>
  <si>
    <t>809-05</t>
  </si>
  <si>
    <t>133-05</t>
  </si>
  <si>
    <t>810-05</t>
  </si>
  <si>
    <t>135-05</t>
  </si>
  <si>
    <t>811-05</t>
  </si>
  <si>
    <t>130-05</t>
  </si>
  <si>
    <t>137-05</t>
  </si>
  <si>
    <t>132-05</t>
  </si>
  <si>
    <t>812-05</t>
  </si>
  <si>
    <t>903-05</t>
  </si>
  <si>
    <t>141-05</t>
  </si>
  <si>
    <t>134-05</t>
  </si>
  <si>
    <t>136-05</t>
  </si>
  <si>
    <t>813-05</t>
  </si>
  <si>
    <t>138-05</t>
  </si>
  <si>
    <t>145-05</t>
  </si>
  <si>
    <t>142-05</t>
  </si>
  <si>
    <t>140-05</t>
  </si>
  <si>
    <t>814-05</t>
  </si>
  <si>
    <t>147-05</t>
  </si>
  <si>
    <t>149-05</t>
  </si>
  <si>
    <t>151-05</t>
  </si>
  <si>
    <t>815-05</t>
  </si>
  <si>
    <t>153-05</t>
  </si>
  <si>
    <t>155-05</t>
  </si>
  <si>
    <t>150-05</t>
  </si>
  <si>
    <t>148-05</t>
  </si>
  <si>
    <t>152-05</t>
  </si>
  <si>
    <t>157-05</t>
  </si>
  <si>
    <t>160-05</t>
  </si>
  <si>
    <t>159-05</t>
  </si>
  <si>
    <t>154-05</t>
  </si>
  <si>
    <t>817-05</t>
  </si>
  <si>
    <t>156-05</t>
  </si>
  <si>
    <t>161-05</t>
  </si>
  <si>
    <t>BRUDER</t>
  </si>
  <si>
    <t>RICHARD</t>
  </si>
  <si>
    <t>163-05</t>
  </si>
  <si>
    <t>818-05</t>
  </si>
  <si>
    <t>165-05</t>
  </si>
  <si>
    <t>158-05</t>
  </si>
  <si>
    <t>167-05</t>
  </si>
  <si>
    <t>819-05</t>
  </si>
  <si>
    <t>169-05</t>
  </si>
  <si>
    <t>162-05</t>
  </si>
  <si>
    <t>171-05</t>
  </si>
  <si>
    <t>166-05</t>
  </si>
  <si>
    <t>173-05</t>
  </si>
  <si>
    <t>168-05</t>
  </si>
  <si>
    <t>170-05</t>
  </si>
  <si>
    <t>175-05</t>
  </si>
  <si>
    <t>821-05</t>
  </si>
  <si>
    <t>177-05</t>
  </si>
  <si>
    <t>172-05</t>
  </si>
  <si>
    <t>179-05</t>
  </si>
  <si>
    <t>174-05</t>
  </si>
  <si>
    <t>181-05</t>
  </si>
  <si>
    <t>176-05</t>
  </si>
  <si>
    <t>183-05</t>
  </si>
  <si>
    <t>823-05</t>
  </si>
  <si>
    <t>178-05</t>
  </si>
  <si>
    <t>180-05</t>
  </si>
  <si>
    <t>187-05</t>
  </si>
  <si>
    <t>182-05</t>
  </si>
  <si>
    <t>184-05</t>
  </si>
  <si>
    <t>189-05</t>
  </si>
  <si>
    <t>191-05</t>
  </si>
  <si>
    <t>825-05</t>
  </si>
  <si>
    <t>193-05</t>
  </si>
  <si>
    <t>904-05</t>
  </si>
  <si>
    <t>186-05</t>
  </si>
  <si>
    <t>188-05</t>
  </si>
  <si>
    <t>195-05</t>
  </si>
  <si>
    <t>826-05</t>
  </si>
  <si>
    <t>827-05</t>
  </si>
  <si>
    <t>190-05</t>
  </si>
  <si>
    <t>197-05</t>
  </si>
  <si>
    <t>192-05</t>
  </si>
  <si>
    <t>194-05</t>
  </si>
  <si>
    <t>199-05</t>
  </si>
  <si>
    <t>828-05</t>
  </si>
  <si>
    <t>829-05</t>
  </si>
  <si>
    <t>201-05</t>
  </si>
  <si>
    <t>196-05</t>
  </si>
  <si>
    <t>198-05</t>
  </si>
  <si>
    <t>203-05</t>
  </si>
  <si>
    <t>830-05</t>
  </si>
  <si>
    <t>831-05</t>
  </si>
  <si>
    <t>205-05</t>
  </si>
  <si>
    <t>75-05</t>
  </si>
  <si>
    <t>DE LA ROSA</t>
  </si>
  <si>
    <t>ALEX</t>
  </si>
  <si>
    <t>200-05</t>
  </si>
  <si>
    <t>207-05</t>
  </si>
  <si>
    <t>832-05</t>
  </si>
  <si>
    <t>rtdc.l.rtdc.4024:itc</t>
  </si>
  <si>
    <t>77-05</t>
  </si>
  <si>
    <t>NEWELL</t>
  </si>
  <si>
    <t>202-05</t>
  </si>
  <si>
    <t>833-05</t>
  </si>
  <si>
    <t>209-05</t>
  </si>
  <si>
    <t>204-05</t>
  </si>
  <si>
    <t>211-05</t>
  </si>
  <si>
    <t>834-05</t>
  </si>
  <si>
    <t>206-05</t>
  </si>
  <si>
    <t>213-05</t>
  </si>
  <si>
    <t>208-05</t>
  </si>
  <si>
    <t>215-05</t>
  </si>
  <si>
    <t>836-05</t>
  </si>
  <si>
    <t>210-05</t>
  </si>
  <si>
    <t>837-05</t>
  </si>
  <si>
    <t>217-05</t>
  </si>
  <si>
    <t>WEST</t>
  </si>
  <si>
    <t>BRYAN</t>
  </si>
  <si>
    <t>212-05</t>
  </si>
  <si>
    <t>219-05</t>
  </si>
  <si>
    <t>838-05</t>
  </si>
  <si>
    <t>839-05</t>
  </si>
  <si>
    <t>301-05</t>
  </si>
  <si>
    <t>214-05</t>
  </si>
  <si>
    <t>216-05</t>
  </si>
  <si>
    <t>906-05</t>
  </si>
  <si>
    <t>218-05</t>
  </si>
  <si>
    <t>841-05</t>
  </si>
  <si>
    <t>303-05</t>
  </si>
  <si>
    <t>220-05</t>
  </si>
  <si>
    <t>223-05</t>
  </si>
  <si>
    <t>222-05</t>
  </si>
  <si>
    <t>225-05</t>
  </si>
  <si>
    <t>843-05</t>
  </si>
  <si>
    <t>227-05</t>
  </si>
  <si>
    <t>224-05</t>
  </si>
  <si>
    <t>842-05</t>
  </si>
  <si>
    <t>226-05</t>
  </si>
  <si>
    <t>229-05</t>
  </si>
  <si>
    <t>ZEWDU</t>
  </si>
  <si>
    <t>DEREJE</t>
  </si>
  <si>
    <t>228-05</t>
  </si>
  <si>
    <t>844-05</t>
  </si>
  <si>
    <t>231-05</t>
  </si>
  <si>
    <t>233-05</t>
  </si>
  <si>
    <t>230-05</t>
  </si>
  <si>
    <t>847-05</t>
  </si>
  <si>
    <t>235-05</t>
  </si>
  <si>
    <t>846-05</t>
  </si>
  <si>
    <t>232-05</t>
  </si>
  <si>
    <t>234-05</t>
  </si>
  <si>
    <t>237-05</t>
  </si>
  <si>
    <t>236-05</t>
  </si>
  <si>
    <t>908-05</t>
  </si>
  <si>
    <t>241-05</t>
  </si>
  <si>
    <t>238-05</t>
  </si>
  <si>
    <t>240-05</t>
  </si>
  <si>
    <t>243-05</t>
  </si>
  <si>
    <t>313-05</t>
  </si>
  <si>
    <t>242-05</t>
  </si>
  <si>
    <t>307-05</t>
  </si>
  <si>
    <t>244-05</t>
  </si>
  <si>
    <t>309-05</t>
  </si>
  <si>
    <t>311-05</t>
  </si>
  <si>
    <t>204:750</t>
  </si>
  <si>
    <t>204:232979</t>
  </si>
  <si>
    <t>204:220</t>
  </si>
  <si>
    <t>204:174</t>
  </si>
  <si>
    <t>204:493</t>
  </si>
  <si>
    <t>204:165</t>
  </si>
  <si>
    <t>204:233300</t>
  </si>
  <si>
    <t>204:232946</t>
  </si>
  <si>
    <t>204:458</t>
  </si>
  <si>
    <t>204:233327</t>
  </si>
  <si>
    <t>204:233011</t>
  </si>
  <si>
    <t>204:187</t>
  </si>
  <si>
    <t>204:223</t>
  </si>
  <si>
    <t>204:232977</t>
  </si>
  <si>
    <t>204:149</t>
  </si>
  <si>
    <t>204:233314</t>
  </si>
  <si>
    <t>204:233284</t>
  </si>
  <si>
    <t>204:2452</t>
  </si>
  <si>
    <t>204:447</t>
  </si>
  <si>
    <t>204:233306</t>
  </si>
  <si>
    <t>204:440</t>
  </si>
  <si>
    <t>204:233336</t>
  </si>
  <si>
    <t>204:233019</t>
  </si>
  <si>
    <t>204:233328</t>
  </si>
  <si>
    <t>204:183</t>
  </si>
  <si>
    <t>204:467</t>
  </si>
  <si>
    <t>204:233308</t>
  </si>
  <si>
    <t>204:233288</t>
  </si>
  <si>
    <t>204:232957</t>
  </si>
  <si>
    <t>204:233341</t>
  </si>
  <si>
    <t>204:233017</t>
  </si>
  <si>
    <t>204:233013</t>
  </si>
  <si>
    <t>204:477</t>
  </si>
  <si>
    <t>204:236</t>
  </si>
  <si>
    <t>204:232994</t>
  </si>
  <si>
    <t>204:233334</t>
  </si>
  <si>
    <t>204:233015</t>
  </si>
  <si>
    <t>204:233186</t>
  </si>
  <si>
    <t>204:233223</t>
  </si>
  <si>
    <t>204:232898</t>
  </si>
  <si>
    <t>204:233195</t>
  </si>
  <si>
    <t>204:232943</t>
  </si>
  <si>
    <t>204:138</t>
  </si>
  <si>
    <t>204:549</t>
  </si>
  <si>
    <t>204:232854</t>
  </si>
  <si>
    <t>204:233229</t>
  </si>
  <si>
    <t>204:232917</t>
  </si>
  <si>
    <t>204:221</t>
  </si>
  <si>
    <t>204:232890</t>
  </si>
  <si>
    <t>204:233257</t>
  </si>
  <si>
    <t>204:233243</t>
  </si>
  <si>
    <t>204:233226</t>
  </si>
  <si>
    <t>204:232886</t>
  </si>
  <si>
    <t>204:232987</t>
  </si>
  <si>
    <t>204:233309</t>
  </si>
  <si>
    <t>204:232967</t>
  </si>
  <si>
    <t>204:560</t>
  </si>
  <si>
    <t>204:232938</t>
  </si>
  <si>
    <t>204:232907</t>
  </si>
  <si>
    <t>204:233236</t>
  </si>
  <si>
    <t>204:233240</t>
  </si>
  <si>
    <t>204:232925</t>
  </si>
  <si>
    <t>204:533</t>
  </si>
  <si>
    <t>204:232963</t>
  </si>
  <si>
    <t>204:243</t>
  </si>
  <si>
    <t>204:500</t>
  </si>
  <si>
    <t>204:233174</t>
  </si>
  <si>
    <t>204:276</t>
  </si>
  <si>
    <t>204:557</t>
  </si>
  <si>
    <t>204:568</t>
  </si>
  <si>
    <t>204:232894</t>
  </si>
  <si>
    <t>204:232919</t>
  </si>
  <si>
    <t>204:570</t>
  </si>
  <si>
    <t>204:233261</t>
  </si>
  <si>
    <t>204:564</t>
  </si>
  <si>
    <t>204:232879</t>
  </si>
  <si>
    <t>204:566</t>
  </si>
  <si>
    <t>204:233251</t>
  </si>
  <si>
    <t>204:282</t>
  </si>
  <si>
    <t>204:194</t>
  </si>
  <si>
    <t>204:280</t>
  </si>
  <si>
    <t>204:233216</t>
  </si>
  <si>
    <t>300:19883</t>
  </si>
  <si>
    <t>204:152</t>
  </si>
  <si>
    <t>300:23531</t>
  </si>
  <si>
    <t>300:21825</t>
  </si>
  <si>
    <t>300:22284</t>
  </si>
  <si>
    <t>300:23739</t>
  </si>
  <si>
    <t>300:23584</t>
  </si>
  <si>
    <t>300:23314</t>
  </si>
  <si>
    <t>204:3249</t>
  </si>
  <si>
    <t>204:1182</t>
  </si>
  <si>
    <t>204:420</t>
  </si>
  <si>
    <t>204:3580</t>
  </si>
  <si>
    <t>300:22200</t>
  </si>
  <si>
    <t>204:1060</t>
  </si>
  <si>
    <t>204:1147</t>
  </si>
  <si>
    <t>300:58628</t>
  </si>
  <si>
    <t>204:93</t>
  </si>
  <si>
    <t>204:110</t>
  </si>
  <si>
    <t>300:58645</t>
  </si>
  <si>
    <t>204:412</t>
  </si>
  <si>
    <t>300:58606</t>
  </si>
  <si>
    <t>204:119</t>
  </si>
  <si>
    <t>300:58967</t>
  </si>
  <si>
    <t>300:58653</t>
  </si>
  <si>
    <t>300:58931</t>
  </si>
  <si>
    <t>204:459</t>
  </si>
  <si>
    <t>300:58993</t>
  </si>
  <si>
    <t>300:58673</t>
  </si>
  <si>
    <t>204:171</t>
  </si>
  <si>
    <t>300:58960</t>
  </si>
  <si>
    <t>300:58656</t>
  </si>
  <si>
    <t>204:475</t>
  </si>
  <si>
    <t>300:58975</t>
  </si>
  <si>
    <t>300:58660</t>
  </si>
  <si>
    <t>204:4522</t>
  </si>
  <si>
    <t>300:58662</t>
  </si>
  <si>
    <t>300:58978</t>
  </si>
  <si>
    <t>300:58664</t>
  </si>
  <si>
    <t>204:4511</t>
  </si>
  <si>
    <t>204:441</t>
  </si>
  <si>
    <t>300:22658</t>
  </si>
  <si>
    <t>300:58613</t>
  </si>
  <si>
    <t>204:173</t>
  </si>
  <si>
    <t>300:58933</t>
  </si>
  <si>
    <t>300:58611</t>
  </si>
  <si>
    <t>204:146</t>
  </si>
  <si>
    <t>300:58617</t>
  </si>
  <si>
    <t>204:162</t>
  </si>
  <si>
    <t>300:58621</t>
  </si>
  <si>
    <t>204:133</t>
  </si>
  <si>
    <t>300:58943</t>
  </si>
  <si>
    <t>204:137</t>
  </si>
  <si>
    <t>204:153</t>
  </si>
  <si>
    <t>300:58632</t>
  </si>
  <si>
    <t>300:30398</t>
  </si>
  <si>
    <t>300:23677</t>
  </si>
  <si>
    <t>204:468</t>
  </si>
  <si>
    <t>300:24216</t>
  </si>
  <si>
    <t>300:22853</t>
  </si>
  <si>
    <t>204:151</t>
  </si>
  <si>
    <t>300:25129</t>
  </si>
  <si>
    <t>300:28759</t>
  </si>
  <si>
    <t>start /low /b %USERPROFILE%\Documents\GitHub\eaglep3\Utilities\DownloadLogsFromS3.py --loco 4003 --day 2017-12-05</t>
  </si>
  <si>
    <t>start /low /b %USERPROFILE%\Documents\GitHub\eaglep3\Utilities\DownloadLogsFromS3.py --loco 4044 --day 2017-12-06</t>
  </si>
  <si>
    <t>start /low /b %USERPROFILE%\Documents\GitHub\eaglep3\Utilities\DownloadLogsFromS3.py --loco 4054 --day 2017-12-05</t>
  </si>
  <si>
    <t>start /low /b %USERPROFILE%\Documents\GitHub\eaglep3\Utilities\DownloadLogsFromS3.py --loco 4035 --day 2017-12-05</t>
  </si>
  <si>
    <t>start /low /b %USERPROFILE%\Documents\GitHub\eaglep3\Utilities\DownloadLogsFromS3.py --loco 4053 --day 2017-12-05</t>
  </si>
  <si>
    <t>start /low /b %USERPROFILE%\Documents\GitHub\eaglep3\Utilities\DownloadLogsFromS3.py --loco 4059 --day 2017-12-05</t>
  </si>
  <si>
    <t>start /low /b %USERPROFILE%\Documents\GitHub\eaglep3\Utilities\DownloadLogsFromS3.py --loco 4043 --day 2017-12-05</t>
  </si>
  <si>
    <t>start /low /b %USERPROFILE%\Documents\GitHub\eaglep3\Utilities\DownloadLogsFromS3.py --loco 4013 --day 2017-12-05</t>
  </si>
  <si>
    <t>start /low /b %USERPROFILE%\Documents\GitHub\eaglep3\Utilities\DownloadLogsFromS3.py --loco 4044 --day 2017-12-05</t>
  </si>
  <si>
    <t>start /low /b %USERPROFILE%\Documents\GitHub\eaglep3\Utilities\DownloadLogsFromS3.py --loco 4012 --day 2017-12-06</t>
  </si>
  <si>
    <t>start /low /b %USERPROFILE%\Documents\GitHub\eaglep3\Utilities\DownloadLogsFromS3.py --loco 4003 --day 2017-12-06</t>
  </si>
  <si>
    <t>start /low /b %USERPROFILE%\Documents\GitHub\eaglep3\Utilities\DownloadLogsFromS3.py --loco 4004 --day 2017-12-06</t>
  </si>
  <si>
    <t>239-05</t>
  </si>
  <si>
    <t>Did not init</t>
  </si>
  <si>
    <t>Poor GPS @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</si>
</sst>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2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6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9" t="s">
        <v>103</v>
      </c>
      <c r="S1" s="123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1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43074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43074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1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1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1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COUNTIFS($N$13:$N$9572,"&gt;0",$AG$13:$AG$9572,I1)</f>
        <v>143</v>
      </c>
      <c r="K5" s="39"/>
      <c r="L5" s="170"/>
      <c r="M5" s="40">
        <f>AVERAGEIFS($N$13:$N$9572,$AG$13:$AG$9572,I1)</f>
        <v>36.829487179419012</v>
      </c>
      <c r="N5" s="38">
        <f t="array" ref="N5">MIN(IF($AG$13:$AG$9572=I1,IF(ISNUMBER($N$13:$N$9572),IF($N$13:$N$9572&gt;0,$N$13:$N$9572))))</f>
        <v>33.400000002002344</v>
      </c>
      <c r="O5" s="3">
        <f t="array" ref="O5">MAX(IF($AG$13:$AG$9572=I1,IF(ISNUMBER($N$13:$N$9572),IF($N$13:$N$9572&gt;0,$N$13:$N$9572))))</f>
        <v>40.966666666790843</v>
      </c>
      <c r="P5" s="2"/>
      <c r="R5" s="162" t="s">
        <v>17</v>
      </c>
      <c r="S5" s="205">
        <f>COUNTIFS($N$13:$N$9572,"&gt;0",$AG$13:$AG$9572,R1)</f>
        <v>48</v>
      </c>
      <c r="T5" s="170"/>
      <c r="U5" s="193"/>
      <c r="V5" s="209">
        <f>AVERAGEIFS($N$13:$N$9572,$AG$13:$AG$9572,R1)</f>
        <v>14.812152777740266</v>
      </c>
      <c r="W5" s="210">
        <f t="array" ref="W5">MIN(IF($AG$13:$AG$9572=R1,IF(ISNUMBER($N$13:$N$9572),IF($N$13:$N$9572&gt;0,$N$13:$N$9572))))</f>
        <v>11.066666665719822</v>
      </c>
      <c r="X5" s="198">
        <f t="array" ref="X5">MAX(IF($AG$13:$AG$9572=R1,IF(ISNUMBER($N$13:$N$9572),IF($N$13:$N$9572&gt;0,$N$13:$N$9572))))</f>
        <v>24.600000008940697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1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COUNT($O$13:$O$330)</f>
        <v>0</v>
      </c>
      <c r="K6" s="39"/>
      <c r="L6" s="170"/>
      <c r="M6" s="40">
        <f>IFERROR(AVERAGE($O$13:$O$330),0)</f>
        <v>0</v>
      </c>
      <c r="N6" s="38">
        <f>MIN($O$13:$O$330)</f>
        <v>0</v>
      </c>
      <c r="O6" s="3">
        <f>MAX($O$13:$O$330)</f>
        <v>0</v>
      </c>
      <c r="P6" s="2"/>
      <c r="R6" s="163" t="s">
        <v>43</v>
      </c>
      <c r="S6" s="205">
        <f>COUNT($O$13:$O$330)</f>
        <v>0</v>
      </c>
      <c r="T6" s="170"/>
      <c r="U6" s="193"/>
      <c r="V6" s="209">
        <f>IFERROR(AVERAGE($O$13:$O$330),0)</f>
        <v>0</v>
      </c>
      <c r="W6" s="210">
        <f>MIN($O$13:$O$330)</f>
        <v>0</v>
      </c>
      <c r="X6" s="198">
        <f>MAX($O$13:$O$330)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1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COUNTIFS($P$13:$P$9572,"&gt;0",$AG$13:$AG$9572,I1)</f>
        <v>1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5">
        <f>COUNTIFS($P$13:$P$9572,"&gt;0",$AG$13:$AG$9572,R1)</f>
        <v>1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1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0"/>
      <c r="M8" s="40">
        <f>M5</f>
        <v>36.829487179419012</v>
      </c>
      <c r="N8" s="38">
        <f>N5</f>
        <v>33.400000002002344</v>
      </c>
      <c r="O8" s="3">
        <f>O5</f>
        <v>40.966666666790843</v>
      </c>
      <c r="P8" s="2"/>
      <c r="R8" s="162" t="s">
        <v>16</v>
      </c>
      <c r="S8" s="205">
        <f>S5</f>
        <v>48</v>
      </c>
      <c r="T8" s="170"/>
      <c r="U8" s="193"/>
      <c r="V8" s="209">
        <f>V5</f>
        <v>14.812152777740266</v>
      </c>
      <c r="W8" s="210">
        <f>W5</f>
        <v>11.066666665719822</v>
      </c>
      <c r="X8" s="198">
        <f>X5</f>
        <v>24.600000008940697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1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7"/>
      <c r="M9" s="69"/>
      <c r="N9" s="36"/>
      <c r="O9" s="70"/>
      <c r="P9" s="2"/>
      <c r="R9" s="162" t="s">
        <v>19</v>
      </c>
      <c r="S9" s="123">
        <f>S8/S4</f>
        <v>0.97959183673469385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1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60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1"/>
      <c r="AO10" s="166"/>
    </row>
    <row r="11" spans="1:91" ht="16.5" thickBot="1" x14ac:dyDescent="0.3">
      <c r="A11" s="250" t="str">
        <f>"Eagle P3 System Performance - "&amp;TEXT(Variables!A2,"yyyy-mm-dd")</f>
        <v>Eagle P3 System Performance - 2017-12-05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7">
        <f>AVERAGE(S13:S140)</f>
        <v>1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6" t="s">
        <v>89</v>
      </c>
      <c r="AF12" s="73" t="s">
        <v>93</v>
      </c>
      <c r="AG12" s="175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5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704</v>
      </c>
      <c r="B13" s="7">
        <v>4044</v>
      </c>
      <c r="C13" s="21" t="s">
        <v>192</v>
      </c>
      <c r="D13" s="21" t="s">
        <v>915</v>
      </c>
      <c r="E13" s="13">
        <v>43074.125092592592</v>
      </c>
      <c r="F13" s="13">
        <v>43074.136006944442</v>
      </c>
      <c r="G13" s="7">
        <v>61</v>
      </c>
      <c r="H13" s="21" t="s">
        <v>561</v>
      </c>
      <c r="I13" s="13">
        <v>43074.159930555557</v>
      </c>
      <c r="J13" s="7">
        <v>0</v>
      </c>
      <c r="K13" s="89" t="str">
        <f>IF(ISEVEN(B13),(B13-1)&amp;"/"&amp;B13,B13&amp;"/"&amp;(B13+1))</f>
        <v>4043/4044</v>
      </c>
      <c r="L13" s="183" t="str">
        <f>VLOOKUP(A13,'Trips&amp;Operators'!$C$1:$G$99911,5,FALSE)</f>
        <v>YORK EDGAR</v>
      </c>
      <c r="M13" s="6">
        <f>I13-F13</f>
        <v>2.3923611115606036E-2</v>
      </c>
      <c r="N13" s="7">
        <f>24*60*SUM($M13:$M13)</f>
        <v>34.450000006472692</v>
      </c>
      <c r="O13" s="7"/>
      <c r="P13" s="225"/>
      <c r="Q13" s="22"/>
      <c r="R13" s="242"/>
      <c r="S13" s="249">
        <f>1/IF(AG13="EC",12,1)*SUM(U13:U13)</f>
        <v>1</v>
      </c>
      <c r="T13" s="172" t="str">
        <f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-05T02:00:08-0700',mode:absolute,to:'2017-12-05T04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202" t="str">
        <f>IF(AA13&lt;VLOOKUP(AG13,Variables!$AC$3:$AD$8,2,FALSE),"Y","N")</f>
        <v>N</v>
      </c>
      <c r="X13" s="202" t="e">
        <f>VALUE(LEFT(AD13,4))-VALUE(LEFT(AD12,4))</f>
        <v>#VALUE!</v>
      </c>
      <c r="Y13" s="202">
        <f>RIGHT(D13,LEN(D13)-4)/10000</f>
        <v>7.4999999999999997E-2</v>
      </c>
      <c r="Z13" s="202">
        <f>RIGHT(H13,LEN(H13)-4)/10000</f>
        <v>23.3276</v>
      </c>
      <c r="AA13" s="202">
        <f>ABS(Z13-Y13)</f>
        <v>23.252600000000001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/stypes="app*4044*20171205*" /stext=" 10:.+((SYSTEM_STATE.+slice.+state.+changed )|(ment ac)|(multiple cpu faults)|(system.+state.+changed )|(\[timeout)|(PRM\|1\|D)|(kpr)|(kdp)|(train st.+moving)|(\|lc)|(penalty))"</v>
      </c>
      <c r="AG13" s="180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4044 --swversion DE.1.0.9.0 --startMP 204:750 --initTime 2017-12-05T03:00:08 --startdatetime 2017-12-05T03:15:51 --delay 61 --endMP 204:233276 --enddatetime 2017-12-05T03:50:18 --enforcementcount 0 &gt;&gt;%USERPROFILE%\Documents\GitHub\eaglep3-reporting\EC\2017-12-05-refined-times.txt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{"issue":{"subject":"","project_id":79,"tracker_id":40,"status_id":1,"priority_id":2,"assigned_to_id":338,"start_date":"2017-12-05","description":"","custom_fields":[{"id":1,"name":"Subdivision","value":"EC"},{"id":4,"name":"Milepost","value":"23.3276"},{"id":17,"name":"Train ID","value":"101-05"},{"id":16,"name":"Locomotive ID","value":"4044"},{"id":130,"name":"Impact","value":""},{"id":150,"name":"Time of Event (Mountain Time)","value":"03:50:18"},{"id":151,"name":"Denver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4044 --day 2017-12-05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-05T02:00:08-0700',mode:absolute,to:'2017-12-05T04:50:18-0700'))&amp;_a=(columns:!('Message%20ID',Summary),filters:!(),index:'emp_*',interval:auto,query:(query_string:(analyze_wildcard:!t,query:'%22rtdc.l.rtdc.4044%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708</v>
      </c>
      <c r="B14" s="225">
        <v>4043</v>
      </c>
      <c r="C14" s="227" t="s">
        <v>192</v>
      </c>
      <c r="D14" s="227" t="s">
        <v>916</v>
      </c>
      <c r="E14" s="226">
        <v>43074.160995370374</v>
      </c>
      <c r="F14" s="226">
        <v>43074.17527777778</v>
      </c>
      <c r="G14" s="225">
        <v>50</v>
      </c>
      <c r="H14" s="227" t="s">
        <v>489</v>
      </c>
      <c r="I14" s="226">
        <v>43074.200601851851</v>
      </c>
      <c r="J14" s="225">
        <v>0</v>
      </c>
      <c r="K14" s="237" t="str">
        <f>IF(ISEVEN(B14),(B14-1)&amp;"/"&amp;B14,B14&amp;"/"&amp;(B14+1))</f>
        <v>4043/4044</v>
      </c>
      <c r="L14" s="245" t="str">
        <f>VLOOKUP(A14,'Trips&amp;Operators'!$C$1:$G$99911,5,FALSE)</f>
        <v>YORK EDGAR</v>
      </c>
      <c r="M14" s="224">
        <f>I14-F14</f>
        <v>2.5324074071249925E-2</v>
      </c>
      <c r="N14" s="225">
        <f>24*60*SUM($M14:$M14)</f>
        <v>36.466666662599891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-05T02:51:50-0700',mode:absolute,to:'2017-12-05T05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23.297899999999998</v>
      </c>
      <c r="Z14" s="247">
        <f>RIGHT(H14,LEN(H14)-4)/10000</f>
        <v>1.6299999999999999E-2</v>
      </c>
      <c r="AA14" s="247">
        <f>ABS(Z14-Y14)</f>
        <v>23.281599999999997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/stypes="app*4043*20171205*"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4043 --swversion DE.1.0.9.0 --startMP 204:232979 --initTime 2017-12-05T03:51:50 --startdatetime 2017-12-05T04:12:24 --delay 50 --endMP 204:163 --enddatetime 2017-12-05T04:48:52 --enforcementcount 0 &gt;&gt;%USERPROFILE%\Documents\GitHub\eaglep3-reporting\EC\2017-12-05-refined-times.txt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{"issue":{"subject":"","project_id":79,"tracker_id":40,"status_id":1,"priority_id":2,"assigned_to_id":338,"start_date":"2017-12-05","description":"","custom_fields":[{"id":1,"name":"Subdivision","value":"EC"},{"id":4,"name":"Milepost","value":"0.0163"},{"id":17,"name":"Train ID","value":"102-05"},{"id":16,"name":"Locomotive ID","value":"4043"},{"id":130,"name":"Impact","value":""},{"id":150,"name":"Time of Event (Mountain Time)","value":"04:48:52"},{"id":151,"name":"Denver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4043 --day 2017-12-05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11:48:52"},{"id":29,"name":"Sharepoint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-05T02:51:50-0700',mode:absolute,to:'2017-12-05T05:48:52-0700'))&amp;_a=(columns:!('Message%20ID',Summary),filters:!(),index:'emp_*',interval:auto,query:(query_string:(analyze_wildcard:!t,query:'%22rtdc.l.rtdc.4043%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707</v>
      </c>
      <c r="B15" s="225">
        <v>4054</v>
      </c>
      <c r="C15" s="227" t="s">
        <v>192</v>
      </c>
      <c r="D15" s="227" t="s">
        <v>543</v>
      </c>
      <c r="E15" s="226">
        <v>43074.14949074074</v>
      </c>
      <c r="F15" s="226">
        <v>43074.156458333331</v>
      </c>
      <c r="G15" s="225">
        <v>81</v>
      </c>
      <c r="H15" s="227" t="s">
        <v>560</v>
      </c>
      <c r="I15" s="226">
        <v>43074.181956018518</v>
      </c>
      <c r="J15" s="225">
        <v>0</v>
      </c>
      <c r="K15" s="237" t="str">
        <f>IF(ISEVEN(B15),(B15-1)&amp;"/"&amp;B15,B15&amp;"/"&amp;(B15+1))</f>
        <v>4053/4054</v>
      </c>
      <c r="L15" s="245" t="str">
        <f>VLOOKUP(A15,'Trips&amp;Operators'!$C$1:$G$99911,5,FALSE)</f>
        <v>HAMMOND JUSTYNN</v>
      </c>
      <c r="M15" s="224">
        <f>I15-F15</f>
        <v>2.5497685186564922E-2</v>
      </c>
      <c r="N15" s="225">
        <f>24*60*SUM($M15:$M15)</f>
        <v>36.716666668653488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-05T02:35:16-0700',mode:absolute,to:'2017-12-05T05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5.2400000000000002E-2</v>
      </c>
      <c r="Z15" s="247">
        <f>RIGHT(H15,LEN(H15)-4)/10000</f>
        <v>23.328900000000001</v>
      </c>
      <c r="AA15" s="247">
        <f>ABS(Z15-Y15)</f>
        <v>23.276500000000002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/stypes="app*4054*20171205*"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103-05 --locoid 4054 --swversion DE.1.0.9.0 --startMP 204:524 --initTime 2017-12-05T03:35:16 --startdatetime 2017-12-05T03:45:18 --delay 81 --endMP 204:233289 --enddatetime 2017-12-05T04:22:01 --enforcementcount 0 &gt;&gt;%USERPROFILE%\Documents\GitHub\eaglep3-reporting\EC\2017-12-05-refined-times.txt</v>
      </c>
      <c r="AI15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{"issue":{"subject":"","project_id":79,"tracker_id":40,"status_id":1,"priority_id":2,"assigned_to_id":338,"start_date":"2017-12-05","description":"","custom_fields":[{"id":1,"name":"Subdivision","value":"EC"},{"id":4,"name":"Milepost","value":"23.3289"},{"id":17,"name":"Train ID","value":"103-05"},{"id":16,"name":"Locomotive ID","value":"4054"},{"id":130,"name":"Impact","value":""},{"id":150,"name":"Time of Event (Mountain Time)","value":"04:22:01"},{"id":151,"name":"Denver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4054 --day 2017-12-05</v>
      </c>
      <c r="AN15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-05T02:35:16-0700',mode:absolute,to:'2017-12-05T05:22:01-0700'))&amp;_a=(columns:!('Message%20ID',Summary),filters:!(),index:'emp_*',interval:auto,query:(query_string:(analyze_wildcard:!t,query:'%22rtdc.l.rtdc.4054%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717</v>
      </c>
      <c r="B16" s="225">
        <v>4053</v>
      </c>
      <c r="C16" s="227" t="s">
        <v>192</v>
      </c>
      <c r="D16" s="227" t="s">
        <v>558</v>
      </c>
      <c r="E16" s="226">
        <v>43074.191620370373</v>
      </c>
      <c r="F16" s="226">
        <v>43074.196087962962</v>
      </c>
      <c r="G16" s="225">
        <v>74</v>
      </c>
      <c r="H16" s="227" t="s">
        <v>917</v>
      </c>
      <c r="I16" s="226">
        <v>43074.222337962965</v>
      </c>
      <c r="J16" s="225">
        <v>0</v>
      </c>
      <c r="K16" s="237" t="str">
        <f>IF(ISEVEN(B16),(B16-1)&amp;"/"&amp;B16,B16&amp;"/"&amp;(B16+1))</f>
        <v>4053/4054</v>
      </c>
      <c r="L16" s="245" t="str">
        <f>VLOOKUP(A16,'Trips&amp;Operators'!$C$1:$G$99911,5,FALSE)</f>
        <v>HAMMOND JUSTYNN</v>
      </c>
      <c r="M16" s="224">
        <f>I16-F16</f>
        <v>2.6250000002619345E-2</v>
      </c>
      <c r="N16" s="225">
        <f>24*60*SUM($M16:$M16)</f>
        <v>37.800000003771856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-05T03:35:56-0700',mode:absolute,to:'2017-12-05T06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23.2972</v>
      </c>
      <c r="Z16" s="247">
        <f>RIGHT(H16,LEN(H16)-4)/10000</f>
        <v>2.1999999999999999E-2</v>
      </c>
      <c r="AA16" s="247">
        <f>ABS(Z16-Y16)</f>
        <v>23.275200000000002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/stypes="app*4053*20171205*"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104-05 --locoid 4053 --swversion DE.1.0.9.0 --startMP 204:232972 --initTime 2017-12-05T04:35:56 --startdatetime 2017-12-05T04:42:22 --delay 74 --endMP 204:220 --enddatetime 2017-12-05T05:20:10 --enforcementcount 0 &gt;&gt;%USERPROFILE%\Documents\GitHub\eaglep3-reporting\EC\2017-12-05-refined-times.txt</v>
      </c>
      <c r="AI16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{"issue":{"subject":"","project_id":79,"tracker_id":40,"status_id":1,"priority_id":2,"assigned_to_id":338,"start_date":"2017-12-05","description":"","custom_fields":[{"id":1,"name":"Subdivision","value":"EC"},{"id":4,"name":"Milepost","value":"0.022"},{"id":17,"name":"Train ID","value":"104-05"},{"id":16,"name":"Locomotive ID","value":"4053"},{"id":130,"name":"Impact","value":""},{"id":150,"name":"Time of Event (Mountain Time)","value":"05:20:10"},{"id":151,"name":"Denver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4053 --day 2017-12-05</v>
      </c>
      <c r="AN16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-05T03:35:56-0700',mode:absolute,to:'2017-12-05T06:20:10-0700'))&amp;_a=(columns:!('Message%20ID',Summary),filters:!(),index:'emp_*',interval:auto,query:(query_string:(analyze_wildcard:!t,query:'%22rtdc.l.rtdc.4053%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711</v>
      </c>
      <c r="B17" s="225">
        <v>4060</v>
      </c>
      <c r="C17" s="227" t="s">
        <v>192</v>
      </c>
      <c r="D17" s="227" t="s">
        <v>512</v>
      </c>
      <c r="E17" s="226">
        <v>43074.173495370371</v>
      </c>
      <c r="F17" s="226">
        <v>43074.177453703705</v>
      </c>
      <c r="G17" s="225">
        <v>73</v>
      </c>
      <c r="H17" s="227" t="s">
        <v>642</v>
      </c>
      <c r="I17" s="226">
        <v>43074.202847222223</v>
      </c>
      <c r="J17" s="225">
        <v>0</v>
      </c>
      <c r="K17" s="237" t="str">
        <f>IF(ISEVEN(B17),(B17-1)&amp;"/"&amp;B17,B17&amp;"/"&amp;(B17+1))</f>
        <v>4059/4060</v>
      </c>
      <c r="L17" s="245" t="str">
        <f>VLOOKUP(A17,'Trips&amp;Operators'!$C$1:$G$99911,5,FALSE)</f>
        <v>THOMPSON LESTER</v>
      </c>
      <c r="M17" s="224">
        <f>I17-F17</f>
        <v>2.5393518517375924E-2</v>
      </c>
      <c r="N17" s="225">
        <f>24*60*SUM($M17:$M17)</f>
        <v>36.56666666502133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-05T03:09:50-0700',mode:absolute,to:'2017-12-05T05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5.0900000000000001E-2</v>
      </c>
      <c r="Z17" s="247">
        <f>RIGHT(H17,LEN(H17)-4)/10000</f>
        <v>23.325900000000001</v>
      </c>
      <c r="AA17" s="247">
        <f>ABS(Z17-Y17)</f>
        <v>23.275000000000002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/stypes="app*4060*20171205*"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105-05 --locoid 4060 --swversion DE.1.0.9.0 --startMP 204:509 --initTime 2017-12-05T04:09:50 --startdatetime 2017-12-05T04:15:32 --delay 73 --endMP 204:233259 --enddatetime 2017-12-05T04:52:06 --enforcementcount 0 &gt;&gt;%USERPROFILE%\Documents\GitHub\eaglep3-reporting\EC\2017-12-05-refined-times.txt</v>
      </c>
      <c r="AI17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{"issue":{"subject":"","project_id":79,"tracker_id":40,"status_id":1,"priority_id":2,"assigned_to_id":338,"start_date":"2017-12-05","description":"","custom_fields":[{"id":1,"name":"Subdivision","value":"EC"},{"id":4,"name":"Milepost","value":"23.3259"},{"id":17,"name":"Train ID","value":"105-05"},{"id":16,"name":"Locomotive ID","value":"4060"},{"id":130,"name":"Impact","value":""},{"id":150,"name":"Time of Event (Mountain Time)","value":"04:52:06"},{"id":151,"name":"Denver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4060 --day 2017-12-05</v>
      </c>
      <c r="AN17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-05T03:09:50-0700',mode:absolute,to:'2017-12-05T05:52:06-0700'))&amp;_a=(columns:!('Message%20ID',Summary),filters:!(),index:'emp_*',interval:auto,query:(query_string:(analyze_wildcard:!t,query:'%22rtdc.l.rtdc.4060%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675</v>
      </c>
      <c r="B18" s="225">
        <v>4059</v>
      </c>
      <c r="C18" s="227" t="s">
        <v>192</v>
      </c>
      <c r="D18" s="227" t="s">
        <v>493</v>
      </c>
      <c r="E18" s="226">
        <v>43074.214236111111</v>
      </c>
      <c r="F18" s="226">
        <v>43074.216944444444</v>
      </c>
      <c r="G18" s="225">
        <v>52</v>
      </c>
      <c r="H18" s="227" t="s">
        <v>918</v>
      </c>
      <c r="I18" s="226">
        <v>43074.244039351855</v>
      </c>
      <c r="J18" s="225">
        <v>0</v>
      </c>
      <c r="K18" s="237" t="str">
        <f>IF(ISEVEN(B18),(B18-1)&amp;"/"&amp;B18,B18&amp;"/"&amp;(B18+1))</f>
        <v>4059/4060</v>
      </c>
      <c r="L18" s="245" t="str">
        <f>VLOOKUP(A18,'Trips&amp;Operators'!$C$1:$G$99911,5,FALSE)</f>
        <v>THOMPSON LESTER</v>
      </c>
      <c r="M18" s="224">
        <f>I18-F18</f>
        <v>2.7094907411083113E-2</v>
      </c>
      <c r="N18" s="225">
        <f>24*60*SUM($M18:$M18)</f>
        <v>39.016666671959683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-05T04:08:30-0700',mode:absolute,to:'2017-12-05T06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23.293600000000001</v>
      </c>
      <c r="Z18" s="247">
        <f>RIGHT(H18,LEN(H18)-4)/10000</f>
        <v>1.7399999999999999E-2</v>
      </c>
      <c r="AA18" s="247">
        <f>ABS(Z18-Y18)</f>
        <v>23.276200000000003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/stypes="app*4059*20171205*"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106-05 --locoid 4059 --swversion DE.1.0.9.0 --startMP 204:232936 --initTime 2017-12-05T05:08:30 --startdatetime 2017-12-05T05:12:24 --delay 52 --endMP 204:174 --enddatetime 2017-12-05T05:51:25 --enforcementcount 0 &gt;&gt;%USERPROFILE%\Documents\GitHub\eaglep3-reporting\EC\2017-12-05-refined-times.txt</v>
      </c>
      <c r="AI18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{"issue":{"subject":"","project_id":79,"tracker_id":40,"status_id":1,"priority_id":2,"assigned_to_id":338,"start_date":"2017-12-05","description":"","custom_fields":[{"id":1,"name":"Subdivision","value":"EC"},{"id":4,"name":"Milepost","value":"0.0174"},{"id":17,"name":"Train ID","value":"106-05"},{"id":16,"name":"Locomotive ID","value":"4059"},{"id":130,"name":"Impact","value":""},{"id":150,"name":"Time of Event (Mountain Time)","value":"05:51:25"},{"id":151,"name":"Denver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4059 --day 2017-12-05</v>
      </c>
      <c r="AN18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-05T04:08:30-0700',mode:absolute,to:'2017-12-05T06:51:25-0700'))&amp;_a=(columns:!('Message%20ID',Summary),filters:!(),index:'emp_*',interval:auto,query:(query_string:(analyze_wildcard:!t,query:'%22rtdc.l.rtdc.4059%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716</v>
      </c>
      <c r="B19" s="225">
        <v>4056</v>
      </c>
      <c r="C19" s="227" t="s">
        <v>192</v>
      </c>
      <c r="D19" s="227" t="s">
        <v>919</v>
      </c>
      <c r="E19" s="226">
        <v>43074.183495370373</v>
      </c>
      <c r="F19" s="226">
        <v>43074.187685185185</v>
      </c>
      <c r="G19" s="225">
        <v>65</v>
      </c>
      <c r="H19" s="227" t="s">
        <v>535</v>
      </c>
      <c r="I19" s="226">
        <v>43074.21193287037</v>
      </c>
      <c r="J19" s="225">
        <v>0</v>
      </c>
      <c r="K19" s="237" t="str">
        <f>IF(ISEVEN(B19),(B19-1)&amp;"/"&amp;B19,B19&amp;"/"&amp;(B19+1))</f>
        <v>4055/4056</v>
      </c>
      <c r="L19" s="245" t="str">
        <f>VLOOKUP(A19,'Trips&amp;Operators'!$C$1:$G$99911,5,FALSE)</f>
        <v>BEAM ROSS</v>
      </c>
      <c r="M19" s="224">
        <f>I19-F19</f>
        <v>2.4247685185400769E-2</v>
      </c>
      <c r="N19" s="225">
        <f>24*60*SUM($M19:$M19)</f>
        <v>34.916666666977108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-05T03:24:14-0700',mode:absolute,to:'2017-12-05T06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4.9299999999999997E-2</v>
      </c>
      <c r="Z19" s="247">
        <f>RIGHT(H19,LEN(H19)-4)/10000</f>
        <v>23.331199999999999</v>
      </c>
      <c r="AA19" s="247">
        <f>ABS(Z19-Y19)</f>
        <v>23.2819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/stypes="app*4056*20171205*"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107-05 --locoid 4056 --swversion DE.1.0.9.0 --startMP 204:493 --initTime 2017-12-05T04:24:14 --startdatetime 2017-12-05T04:30:16 --delay 65 --endMP 204:233312 --enddatetime 2017-12-05T05:05:11 --enforcementcount 0 &gt;&gt;%USERPROFILE%\Documents\GitHub\eaglep3-reporting\EC\2017-12-05-refined-times.txt</v>
      </c>
      <c r="AI19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{"issue":{"subject":"","project_id":79,"tracker_id":40,"status_id":1,"priority_id":2,"assigned_to_id":338,"start_date":"2017-12-05","description":"","custom_fields":[{"id":1,"name":"Subdivision","value":"EC"},{"id":4,"name":"Milepost","value":"23.3312"},{"id":17,"name":"Train ID","value":"107-05"},{"id":16,"name":"Locomotive ID","value":"4056"},{"id":130,"name":"Impact","value":""},{"id":150,"name":"Time of Event (Mountain Time)","value":"05:05:11"},{"id":151,"name":"Denver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4056 --day 2017-12-05</v>
      </c>
      <c r="AN19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-05T03:24:14-0700',mode:absolute,to:'2017-12-05T06:05:11-0700'))&amp;_a=(columns:!('Message%20ID',Summary),filters:!(),index:'emp_*',interval:auto,query:(query_string:(analyze_wildcard:!t,query:'%22rtdc.l.rtdc.4056%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725</v>
      </c>
      <c r="B20" s="225">
        <v>4055</v>
      </c>
      <c r="C20" s="227" t="s">
        <v>192</v>
      </c>
      <c r="D20" s="227" t="s">
        <v>504</v>
      </c>
      <c r="E20" s="226">
        <v>43074.213275462964</v>
      </c>
      <c r="F20" s="226">
        <v>43074.227268518516</v>
      </c>
      <c r="G20" s="225">
        <v>50</v>
      </c>
      <c r="H20" s="227" t="s">
        <v>920</v>
      </c>
      <c r="I20" s="226">
        <v>43074.252800925926</v>
      </c>
      <c r="J20" s="225">
        <v>0</v>
      </c>
      <c r="K20" s="237" t="str">
        <f>IF(ISEVEN(B20),(B20-1)&amp;"/"&amp;B20,B20&amp;"/"&amp;(B20+1))</f>
        <v>4055/4056</v>
      </c>
      <c r="L20" s="245" t="str">
        <f>VLOOKUP(A20,'Trips&amp;Operators'!$C$1:$G$99911,5,FALSE)</f>
        <v>BEAM ROSS</v>
      </c>
      <c r="M20" s="224">
        <f>I20-F20</f>
        <v>2.5532407409627922E-2</v>
      </c>
      <c r="N20" s="225">
        <f>24*60*SUM($M20:$M20)</f>
        <v>36.766666669864208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-05T04:07:07-0700',mode:absolute,to:'2017-12-05T07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23.297799999999999</v>
      </c>
      <c r="Z20" s="247">
        <f>RIGHT(H20,LEN(H20)-4)/10000</f>
        <v>1.6500000000000001E-2</v>
      </c>
      <c r="AA20" s="247">
        <f>ABS(Z20-Y20)</f>
        <v>23.281299999999998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/stypes="app*4055*20171205*"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108-05 --locoid 4055 --swversion DE.1.0.9.0 --startMP 204:232978 --initTime 2017-12-05T05:07:07 --startdatetime 2017-12-05T05:27:16 --delay 50 --endMP 204:165 --enddatetime 2017-12-05T06:04:02 --enforcementcount 0 &gt;&gt;%USERPROFILE%\Documents\GitHub\eaglep3-reporting\EC\2017-12-05-refined-times.txt</v>
      </c>
      <c r="AI20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{"issue":{"subject":"","project_id":79,"tracker_id":40,"status_id":1,"priority_id":2,"assigned_to_id":338,"start_date":"2017-12-05","description":"","custom_fields":[{"id":1,"name":"Subdivision","value":"EC"},{"id":4,"name":"Milepost","value":"0.0165"},{"id":17,"name":"Train ID","value":"108-05"},{"id":16,"name":"Locomotive ID","value":"4055"},{"id":130,"name":"Impact","value":""},{"id":150,"name":"Time of Event (Mountain Time)","value":"06:04:02"},{"id":151,"name":"Denver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4055 --day 2017-12-05</v>
      </c>
      <c r="AN20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2017-12-05T04:07:07-0700',mode:absolute,to:'2017-12-05T07:04:02-0700'))&amp;_a=(columns:!('Message%20ID',Summary),filters:!(),index:'emp_*',interval:auto,query:(query_string:(analyze_wildcard:!t,query:'%22rtdc.l.rtdc.4055%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718</v>
      </c>
      <c r="B21" s="225">
        <v>4006</v>
      </c>
      <c r="C21" s="227" t="s">
        <v>192</v>
      </c>
      <c r="D21" s="227" t="s">
        <v>541</v>
      </c>
      <c r="E21" s="226">
        <v>43074.194108796299</v>
      </c>
      <c r="F21" s="226">
        <v>43074.198206018518</v>
      </c>
      <c r="G21" s="225">
        <v>59</v>
      </c>
      <c r="H21" s="227" t="s">
        <v>921</v>
      </c>
      <c r="I21" s="226">
        <v>43074.223043981481</v>
      </c>
      <c r="J21" s="225">
        <v>0</v>
      </c>
      <c r="K21" s="237" t="str">
        <f>IF(ISEVEN(B21),(B21-1)&amp;"/"&amp;B21,B21&amp;"/"&amp;(B21+1))</f>
        <v>4005/4006</v>
      </c>
      <c r="L21" s="245" t="str">
        <f>VLOOKUP(A21,'Trips&amp;Operators'!$C$1:$G$99911,5,FALSE)</f>
        <v>LAMAR NEKESHA</v>
      </c>
      <c r="M21" s="224">
        <f>I21-F21</f>
        <v>2.4837962962919846E-2</v>
      </c>
      <c r="N21" s="225">
        <f>24*60*SUM($M21:$M21)</f>
        <v>35.766666666604578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-05T03:39:31-0700',mode:absolute,to:'2017-12-05T06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4.82E-2</v>
      </c>
      <c r="Z21" s="247">
        <f>RIGHT(H21,LEN(H21)-4)/10000</f>
        <v>23.33</v>
      </c>
      <c r="AA21" s="247">
        <f>ABS(Z21-Y21)</f>
        <v>23.281799999999997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/stypes="app*4006*20171205*"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109-05 --locoid 4006 --swversion DE.1.0.9.0 --startMP 204:482 --initTime 2017-12-05T04:39:31 --startdatetime 2017-12-05T04:45:25 --delay 59 --endMP 204:233300 --enddatetime 2017-12-05T05:21:11 --enforcementcount 0 &gt;&gt;%USERPROFILE%\Documents\GitHub\eaglep3-reporting\EC\2017-12-05-refined-times.txt</v>
      </c>
      <c r="AI21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{"issue":{"subject":"","project_id":79,"tracker_id":40,"status_id":1,"priority_id":2,"assigned_to_id":338,"start_date":"2017-12-05","description":"","custom_fields":[{"id":1,"name":"Subdivision","value":"EC"},{"id":4,"name":"Milepost","value":"23.33"},{"id":17,"name":"Train ID","value":"109-05"},{"id":16,"name":"Locomotive ID","value":"4006"},{"id":130,"name":"Impact","value":""},{"id":150,"name":"Time of Event (Mountain Time)","value":"05:21:11"},{"id":151,"name":"Denver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4006 --day 2017-12-05</v>
      </c>
      <c r="AN21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2017-12-05T03:39:31-0700',mode:absolute,to:'2017-12-05T06:21:11-0700'))&amp;_a=(columns:!('Message%20ID',Summary),filters:!(),index:'emp_*',interval:auto,query:(query_string:(analyze_wildcard:!t,query:'%22rtdc.l.rtdc.4006%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733</v>
      </c>
      <c r="B22" s="225">
        <v>4005</v>
      </c>
      <c r="C22" s="227" t="s">
        <v>192</v>
      </c>
      <c r="D22" s="227" t="s">
        <v>511</v>
      </c>
      <c r="E22" s="226">
        <v>43074.234768518516</v>
      </c>
      <c r="F22" s="226">
        <v>43074.237673611111</v>
      </c>
      <c r="G22" s="225">
        <v>47</v>
      </c>
      <c r="H22" s="227" t="s">
        <v>496</v>
      </c>
      <c r="I22" s="226">
        <v>43074.263842592591</v>
      </c>
      <c r="J22" s="225">
        <v>0</v>
      </c>
      <c r="K22" s="237" t="str">
        <f>IF(ISEVEN(B22),(B22-1)&amp;"/"&amp;B22,B22&amp;"/"&amp;(B22+1))</f>
        <v>4005/4006</v>
      </c>
      <c r="L22" s="245" t="str">
        <f>VLOOKUP(A22,'Trips&amp;Operators'!$C$1:$G$99911,5,FALSE)</f>
        <v>LAMAR NEKESHA</v>
      </c>
      <c r="M22" s="224">
        <f>I22-F22</f>
        <v>2.6168981479713693E-2</v>
      </c>
      <c r="N22" s="225">
        <f>24*60*SUM($M22:$M22)</f>
        <v>37.683333330787718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-05T04:38:04-0700',mode:absolute,to:'2017-12-05T07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23.299299999999999</v>
      </c>
      <c r="Z22" s="247">
        <f>RIGHT(H22,LEN(H22)-4)/10000</f>
        <v>1.9099999999999999E-2</v>
      </c>
      <c r="AA22" s="247">
        <f>ABS(Z22-Y22)</f>
        <v>23.280199999999997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/stypes="app*4005*20171205*"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110-05 --locoid 4005 --swversion DE.1.0.9.0 --startMP 204:232993 --initTime 2017-12-05T05:38:04 --startdatetime 2017-12-05T05:42:15 --delay 47 --endMP 204:191 --enddatetime 2017-12-05T06:19:56 --enforcementcount 0 &gt;&gt;%USERPROFILE%\Documents\GitHub\eaglep3-reporting\EC\2017-12-05-refined-times.txt</v>
      </c>
      <c r="AI22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{"issue":{"subject":"","project_id":79,"tracker_id":40,"status_id":1,"priority_id":2,"assigned_to_id":338,"start_date":"2017-12-05","description":"","custom_fields":[{"id":1,"name":"Subdivision","value":"EC"},{"id":4,"name":"Milepost","value":"0.0191"},{"id":17,"name":"Train ID","value":"110-05"},{"id":16,"name":"Locomotive ID","value":"4005"},{"id":130,"name":"Impact","value":""},{"id":150,"name":"Time of Event (Mountain Time)","value":"06:19:56"},{"id":151,"name":"Denver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4005 --day 2017-12-05</v>
      </c>
      <c r="AN22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-05T04:38:04-0700',mode:absolute,to:'2017-12-05T07:19:56-0700'))&amp;_a=(columns:!('Message%20ID',Summary),filters:!(),index:'emp_*',interval:auto,query:(query_string:(analyze_wildcard:!t,query:'%22rtdc.l.rtdc.4005%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721</v>
      </c>
      <c r="B23" s="225">
        <v>4044</v>
      </c>
      <c r="C23" s="227" t="s">
        <v>192</v>
      </c>
      <c r="D23" s="227" t="s">
        <v>552</v>
      </c>
      <c r="E23" s="226">
        <v>43074.201678240737</v>
      </c>
      <c r="F23" s="226">
        <v>43074.208518518521</v>
      </c>
      <c r="G23" s="225">
        <v>46</v>
      </c>
      <c r="H23" s="227" t="s">
        <v>514</v>
      </c>
      <c r="I23" s="226">
        <v>43074.233530092592</v>
      </c>
      <c r="J23" s="225">
        <v>0</v>
      </c>
      <c r="K23" s="237" t="str">
        <f>IF(ISEVEN(B23),(B23-1)&amp;"/"&amp;B23,B23&amp;"/"&amp;(B23+1))</f>
        <v>4043/4044</v>
      </c>
      <c r="L23" s="245" t="str">
        <f>VLOOKUP(A23,'Trips&amp;Operators'!$C$1:$G$99911,5,FALSE)</f>
        <v>YORK EDGAR</v>
      </c>
      <c r="M23" s="224">
        <f>I23-F23</f>
        <v>2.5011574070958886E-2</v>
      </c>
      <c r="N23" s="225">
        <f>24*60*SUM($M23:$M23)</f>
        <v>36.016666662180796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-05T03:50:25-0700',mode:absolute,to:'2017-12-05T06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4.6600000000000003E-2</v>
      </c>
      <c r="Z23" s="247">
        <f>RIGHT(H23,LEN(H23)-4)/10000</f>
        <v>23.327400000000001</v>
      </c>
      <c r="AA23" s="247">
        <f>ABS(Z23-Y23)</f>
        <v>23.280799999999999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/stypes="app*4044*20171205*"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111-05 --locoid 4044 --swversion DE.1.0.9.0 --startMP 204:466 --initTime 2017-12-05T04:50:25 --startdatetime 2017-12-05T05:00:16 --delay 46 --endMP 204:233274 --enddatetime 2017-12-05T05:36:17 --enforcementcount 0 &gt;&gt;%USERPROFILE%\Documents\GitHub\eaglep3-reporting\EC\2017-12-05-refined-times.txt</v>
      </c>
      <c r="AI23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{"issue":{"subject":"","project_id":79,"tracker_id":40,"status_id":1,"priority_id":2,"assigned_to_id":338,"start_date":"2017-12-05","description":"","custom_fields":[{"id":1,"name":"Subdivision","value":"EC"},{"id":4,"name":"Milepost","value":"23.3274"},{"id":17,"name":"Train ID","value":"111-05"},{"id":16,"name":"Locomotive ID","value":"4044"},{"id":130,"name":"Impact","value":""},{"id":150,"name":"Time of Event (Mountain Time)","value":"05:36:17"},{"id":151,"name":"Denver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4044 --day 2017-12-05</v>
      </c>
      <c r="AN23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-05T03:50:25-0700',mode:absolute,to:'2017-12-05T06:36:17-0700'))&amp;_a=(columns:!('Message%20ID',Summary),filters:!(),index:'emp_*',interval:auto,query:(query_string:(analyze_wildcard:!t,query:'%22rtdc.l.rtdc.4044%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732</v>
      </c>
      <c r="B24" s="225">
        <v>4043</v>
      </c>
      <c r="C24" s="227" t="s">
        <v>192</v>
      </c>
      <c r="D24" s="227" t="s">
        <v>922</v>
      </c>
      <c r="E24" s="226">
        <v>43074.2346412037</v>
      </c>
      <c r="F24" s="226">
        <v>43074.248101851852</v>
      </c>
      <c r="G24" s="225">
        <v>52</v>
      </c>
      <c r="H24" s="227" t="s">
        <v>619</v>
      </c>
      <c r="I24" s="226">
        <v>43074.2737037037</v>
      </c>
      <c r="J24" s="225">
        <v>0</v>
      </c>
      <c r="K24" s="237" t="str">
        <f>IF(ISEVEN(B24),(B24-1)&amp;"/"&amp;B24,B24&amp;"/"&amp;(B24+1))</f>
        <v>4043/4044</v>
      </c>
      <c r="L24" s="245" t="str">
        <f>VLOOKUP(A24,'Trips&amp;Operators'!$C$1:$G$99911,5,FALSE)</f>
        <v>YORK EDGAR</v>
      </c>
      <c r="M24" s="224">
        <f>I24-F24</f>
        <v>2.5601851848477963E-2</v>
      </c>
      <c r="N24" s="225">
        <f>24*60*SUM($M24:$M24)</f>
        <v>36.866666661808267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-05T04:37:53-0700',mode:absolute,to:'2017-12-05T07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23.294599999999999</v>
      </c>
      <c r="Z24" s="247">
        <f>RIGHT(H24,LEN(H24)-4)/10000</f>
        <v>1.7600000000000001E-2</v>
      </c>
      <c r="AA24" s="247">
        <f>ABS(Z24-Y24)</f>
        <v>23.276999999999997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/stypes="app*4043*20171205*"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112-05 --locoid 4043 --swversion DE.1.0.9.0 --startMP 204:232946 --initTime 2017-12-05T05:37:53 --startdatetime 2017-12-05T05:57:16 --delay 52 --endMP 204:176 --enddatetime 2017-12-05T06:34:08 --enforcementcount 0 &gt;&gt;%USERPROFILE%\Documents\GitHub\eaglep3-reporting\EC\2017-12-05-refined-times.txt</v>
      </c>
      <c r="AI24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{"issue":{"subject":"","project_id":79,"tracker_id":40,"status_id":1,"priority_id":2,"assigned_to_id":338,"start_date":"2017-12-05","description":"","custom_fields":[{"id":1,"name":"Subdivision","value":"EC"},{"id":4,"name":"Milepost","value":"0.0176"},{"id":17,"name":"Train ID","value":"112-05"},{"id":16,"name":"Locomotive ID","value":"4043"},{"id":130,"name":"Impact","value":""},{"id":150,"name":"Time of Event (Mountain Time)","value":"06:34:08"},{"id":151,"name":"Denver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4043 --day 2017-12-05</v>
      </c>
      <c r="AN24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-05T04:37:53-0700',mode:absolute,to:'2017-12-05T07:34:08-0700'))&amp;_a=(columns:!('Message%20ID',Summary),filters:!(),index:'emp_*',interval:auto,query:(query_string:(analyze_wildcard:!t,query:'%22rtdc.l.rtdc.4043%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723</v>
      </c>
      <c r="B25" s="225">
        <v>4014</v>
      </c>
      <c r="C25" s="227" t="s">
        <v>192</v>
      </c>
      <c r="D25" s="227" t="s">
        <v>923</v>
      </c>
      <c r="E25" s="226">
        <v>43074.204409722224</v>
      </c>
      <c r="F25" s="226">
        <v>43074.25849537037</v>
      </c>
      <c r="G25" s="225">
        <v>111</v>
      </c>
      <c r="H25" s="227" t="s">
        <v>924</v>
      </c>
      <c r="I25" s="226">
        <v>43074.284444444442</v>
      </c>
      <c r="J25" s="225">
        <v>0</v>
      </c>
      <c r="K25" s="237" t="str">
        <f>IF(ISEVEN(B25),(B25-1)&amp;"/"&amp;B25,B25&amp;"/"&amp;(B25+1))</f>
        <v>4013/4014</v>
      </c>
      <c r="L25" s="245" t="str">
        <f>VLOOKUP(A25,'Trips&amp;Operators'!$C$1:$G$99911,5,FALSE)</f>
        <v>YANAI IAN</v>
      </c>
      <c r="M25" s="224">
        <f>I25-F25</f>
        <v>2.5949074071832001E-2</v>
      </c>
      <c r="N25" s="225">
        <f>24*60*SUM($M25:$M25)</f>
        <v>37.366666663438082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-05T03:54:21-0700',mode:absolute,to:'2017-12-05T07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4.58E-2</v>
      </c>
      <c r="Z25" s="247">
        <f>RIGHT(H25,LEN(H25)-4)/10000</f>
        <v>23.332699999999999</v>
      </c>
      <c r="AA25" s="247">
        <f>ABS(Z25-Y25)</f>
        <v>23.286899999999999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/stypes="app*4014*20171205*" /stext=" 13:.+((SYSTEM_STATE.+slice.+state.+changed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113-05 --locoid 4014 --swversion DE.1.0.9.0 --startMP 204:458 --initTime 2017-12-05T04:54:21 --startdatetime 2017-12-05T06:12:14 --delay 111 --endMP 204:233327 --enddatetime 2017-12-05T06:49:36 --enforcementcount 0 &gt;&gt;%USERPROFILE%\Documents\GitHub\eaglep3-reporting\EC\2017-12-05-refined-times.txt</v>
      </c>
      <c r="AI25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{"issue":{"subject":"","project_id":79,"tracker_id":40,"status_id":1,"priority_id":2,"assigned_to_id":338,"start_date":"2017-12-05","description":"","custom_fields":[{"id":1,"name":"Subdivision","value":"EC"},{"id":4,"name":"Milepost","value":"23.3327"},{"id":17,"name":"Train ID","value":"113-05"},{"id":16,"name":"Locomotive ID","value":"4014"},{"id":130,"name":"Impact","value":""},{"id":150,"name":"Time of Event (Mountain Time)","value":"06:49:36"},{"id":151,"name":"Denver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4014 --day 2017-12-05</v>
      </c>
      <c r="AN25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-05T03:54:21-0700',mode:absolute,to:'2017-12-05T07:49:36-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741</v>
      </c>
      <c r="B26" s="225">
        <v>4013</v>
      </c>
      <c r="C26" s="227" t="s">
        <v>192</v>
      </c>
      <c r="D26" s="227" t="s">
        <v>925</v>
      </c>
      <c r="E26" s="226">
        <v>43074.256377314814</v>
      </c>
      <c r="F26" s="226">
        <v>43074.25849537037</v>
      </c>
      <c r="G26" s="225">
        <v>54</v>
      </c>
      <c r="H26" s="227" t="s">
        <v>624</v>
      </c>
      <c r="I26" s="226">
        <v>43074.284444444442</v>
      </c>
      <c r="J26" s="225">
        <v>0</v>
      </c>
      <c r="K26" s="237" t="str">
        <f>IF(ISEVEN(B26),(B26-1)&amp;"/"&amp;B26,B26&amp;"/"&amp;(B26+1))</f>
        <v>4013/4014</v>
      </c>
      <c r="L26" s="245" t="str">
        <f>VLOOKUP(A26,'Trips&amp;Operators'!$C$1:$G$99911,5,FALSE)</f>
        <v>YANAI IAN</v>
      </c>
      <c r="M26" s="224">
        <f>I26-F26</f>
        <v>2.5949074071832001E-2</v>
      </c>
      <c r="N26" s="225">
        <f>24*60*SUM($M26:$M26)</f>
        <v>37.366666663438082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-05T05:09:11-0700',mode:absolute,to:'2017-12-05T07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23.301100000000002</v>
      </c>
      <c r="Z26" s="247">
        <f>RIGHT(H26,LEN(H26)-4)/10000</f>
        <v>1.4500000000000001E-2</v>
      </c>
      <c r="AA26" s="247">
        <f>ABS(Z26-Y26)</f>
        <v>23.2866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/stypes="app*4013*20171205*"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114-05 --locoid 4013 --swversion DE.1.0.9.0 --startMP 204:233011 --initTime 2017-12-05T06:09:11 --startdatetime 2017-12-05T06:12:14 --delay 54 --endMP 204:145 --enddatetime 2017-12-05T06:49:36 --enforcementcount 0 &gt;&gt;%USERPROFILE%\Documents\GitHub\eaglep3-reporting\EC\2017-12-05-refined-times.txt</v>
      </c>
      <c r="AI26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{"issue":{"subject":"","project_id":79,"tracker_id":40,"status_id":1,"priority_id":2,"assigned_to_id":338,"start_date":"2017-12-05","description":"","custom_fields":[{"id":1,"name":"Subdivision","value":"EC"},{"id":4,"name":"Milepost","value":"0.0145"},{"id":17,"name":"Train ID","value":"114-05"},{"id":16,"name":"Locomotive ID","value":"4013"},{"id":130,"name":"Impact","value":""},{"id":150,"name":"Time of Event (Mountain Time)","value":"06:49:36"},{"id":151,"name":"Denver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4013 --day 2017-12-05</v>
      </c>
      <c r="AN26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-05T05:09:11-0700',mode:absolute,to:'2017-12-05T07:49:36-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727</v>
      </c>
      <c r="B27" s="225">
        <v>4054</v>
      </c>
      <c r="C27" s="227" t="s">
        <v>192</v>
      </c>
      <c r="D27" s="227" t="s">
        <v>491</v>
      </c>
      <c r="E27" s="226">
        <v>43074.224722222221</v>
      </c>
      <c r="F27" s="226">
        <v>43074.22934027778</v>
      </c>
      <c r="G27" s="225">
        <v>60</v>
      </c>
      <c r="H27" s="227" t="s">
        <v>562</v>
      </c>
      <c r="I27" s="226">
        <v>43074.255231481482</v>
      </c>
      <c r="J27" s="225">
        <v>0</v>
      </c>
      <c r="K27" s="237" t="str">
        <f>IF(ISEVEN(B27),(B27-1)&amp;"/"&amp;B27,B27&amp;"/"&amp;(B27+1))</f>
        <v>4053/4054</v>
      </c>
      <c r="L27" s="245" t="str">
        <f>VLOOKUP(A27,'Trips&amp;Operators'!$C$1:$G$99911,5,FALSE)</f>
        <v>HAMMOND JUSTYNN</v>
      </c>
      <c r="M27" s="224">
        <f>I27-F27</f>
        <v>2.5891203702485655E-2</v>
      </c>
      <c r="N27" s="225">
        <f>24*60*SUM($M27:$M27)</f>
        <v>37.283333331579342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-05T04:23:36-0700',mode:absolute,to:'2017-12-05T07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5.1900000000000002E-2</v>
      </c>
      <c r="Z27" s="247">
        <f>RIGHT(H27,LEN(H27)-4)/10000</f>
        <v>23.3264</v>
      </c>
      <c r="AA27" s="247">
        <f>ABS(Z27-Y27)</f>
        <v>23.2745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/stypes="app*4054*20171205*"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115-05 --locoid 4054 --swversion DE.1.0.9.0 --startMP 204:519 --initTime 2017-12-05T05:23:36 --startdatetime 2017-12-05T05:30:15 --delay 60 --endMP 204:233264 --enddatetime 2017-12-05T06:07:32 --enforcementcount 0 &gt;&gt;%USERPROFILE%\Documents\GitHub\eaglep3-reporting\EC\2017-12-05-refined-times.txt</v>
      </c>
      <c r="AI27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{"issue":{"subject":"","project_id":79,"tracker_id":40,"status_id":1,"priority_id":2,"assigned_to_id":338,"start_date":"2017-12-05","description":"","custom_fields":[{"id":1,"name":"Subdivision","value":"EC"},{"id":4,"name":"Milepost","value":"23.3264"},{"id":17,"name":"Train ID","value":"115-05"},{"id":16,"name":"Locomotive ID","value":"4054"},{"id":130,"name":"Impact","value":""},{"id":150,"name":"Time of Event (Mountain Time)","value":"06:07:32"},{"id":151,"name":"Denver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4054 --day 2017-12-05</v>
      </c>
      <c r="AN27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-05T04:23:36-0700',mode:absolute,to:'2017-12-05T07:07:32-0700'))&amp;_a=(columns:!('Message%20ID',Summary),filters:!(),index:'emp_*',interval:auto,query:(query_string:(analyze_wildcard:!t,query:'%22rtdc.l.rtdc.4054%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743</v>
      </c>
      <c r="B28" s="225">
        <v>4053</v>
      </c>
      <c r="C28" s="227" t="s">
        <v>192</v>
      </c>
      <c r="D28" s="227" t="s">
        <v>417</v>
      </c>
      <c r="E28" s="226">
        <v>43074.265069444446</v>
      </c>
      <c r="F28" s="226">
        <v>43074.268946759257</v>
      </c>
      <c r="G28" s="225">
        <v>67</v>
      </c>
      <c r="H28" s="227" t="s">
        <v>926</v>
      </c>
      <c r="I28" s="226">
        <v>43074.295636574076</v>
      </c>
      <c r="J28" s="225">
        <v>0</v>
      </c>
      <c r="K28" s="237" t="str">
        <f>IF(ISEVEN(B28),(B28-1)&amp;"/"&amp;B28,B28&amp;"/"&amp;(B28+1))</f>
        <v>4053/4054</v>
      </c>
      <c r="L28" s="245" t="str">
        <f>VLOOKUP(A28,'Trips&amp;Operators'!$C$1:$G$99911,5,FALSE)</f>
        <v>HAMMOND JUSTYNN</v>
      </c>
      <c r="M28" s="224">
        <f>I28-F28</f>
        <v>2.6689814818382729E-2</v>
      </c>
      <c r="N28" s="225">
        <f>24*60*SUM($M28:$M28)</f>
        <v>38.43333333847113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-05T05:21:42-0700',mode:absolute,to:'2017-12-05T08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23.293199999999999</v>
      </c>
      <c r="Z28" s="247">
        <f>RIGHT(H28,LEN(H28)-4)/10000</f>
        <v>1.8700000000000001E-2</v>
      </c>
      <c r="AA28" s="247">
        <f>ABS(Z28-Y28)</f>
        <v>23.2745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/stypes="app*4053*20171205*"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116-05 --locoid 4053 --swversion DE.1.0.9.0 --startMP 204:232932 --initTime 2017-12-05T06:21:42 --startdatetime 2017-12-05T06:27:17 --delay 67 --endMP 204:187 --enddatetime 2017-12-05T07:05:43 --enforcementcount 0 &gt;&gt;%USERPROFILE%\Documents\GitHub\eaglep3-reporting\EC\2017-12-05-refined-times.txt</v>
      </c>
      <c r="AI28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{"issue":{"subject":"","project_id":79,"tracker_id":40,"status_id":1,"priority_id":2,"assigned_to_id":338,"start_date":"2017-12-05","description":"","custom_fields":[{"id":1,"name":"Subdivision","value":"EC"},{"id":4,"name":"Milepost","value":"0.0187"},{"id":17,"name":"Train ID","value":"116-05"},{"id":16,"name":"Locomotive ID","value":"4053"},{"id":130,"name":"Impact","value":""},{"id":150,"name":"Time of Event (Mountain Time)","value":"07:05:43"},{"id":151,"name":"Denver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4053 --day 2017-12-05</v>
      </c>
      <c r="AN28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-05T05:21:42-0700',mode:absolute,to:'2017-12-05T08:05:43-0700'))&amp;_a=(columns:!('Message%20ID',Summary),filters:!(),index:'emp_*',interval:auto,query:(query_string:(analyze_wildcard:!t,query:'%22rtdc.l.rtdc.4053%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734</v>
      </c>
      <c r="B29" s="225">
        <v>4036</v>
      </c>
      <c r="C29" s="227" t="s">
        <v>192</v>
      </c>
      <c r="D29" s="227" t="s">
        <v>639</v>
      </c>
      <c r="E29" s="226">
        <v>43074.23542824074</v>
      </c>
      <c r="F29" s="226">
        <v>43074.239745370367</v>
      </c>
      <c r="G29" s="225">
        <v>71</v>
      </c>
      <c r="H29" s="227" t="s">
        <v>508</v>
      </c>
      <c r="I29" s="226">
        <v>43074.264791666668</v>
      </c>
      <c r="J29" s="225">
        <v>0</v>
      </c>
      <c r="K29" s="237" t="str">
        <f>IF(ISEVEN(B29),(B29-1)&amp;"/"&amp;B29,B29&amp;"/"&amp;(B29+1))</f>
        <v>4035/4036</v>
      </c>
      <c r="L29" s="245" t="str">
        <f>VLOOKUP(A29,'Trips&amp;Operators'!$C$1:$G$99911,5,FALSE)</f>
        <v>BROWN JACOB</v>
      </c>
      <c r="M29" s="224">
        <f>I29-F29</f>
        <v>2.5046296301297843E-2</v>
      </c>
      <c r="N29" s="225">
        <f>24*60*SUM($M29:$M29)</f>
        <v>36.066666673868895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-05T04:39:01-0700',mode:absolute,to:'2017-12-05T07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5.5899999999999998E-2</v>
      </c>
      <c r="Z29" s="247">
        <f>RIGHT(H29,LEN(H29)-4)/10000</f>
        <v>23.326599999999999</v>
      </c>
      <c r="AA29" s="247">
        <f>ABS(Z29-Y29)</f>
        <v>23.270699999999998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/stypes="app*4036*20171205*"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117-05 --locoid 4036 --swversion DE.1.0.9.0 --startMP 204:559 --initTime 2017-12-05T05:39:01 --startdatetime 2017-12-05T05:45:14 --delay 71 --endMP 204:233266 --enddatetime 2017-12-05T06:21:18 --enforcementcount 0 &gt;&gt;%USERPROFILE%\Documents\GitHub\eaglep3-reporting\EC\2017-12-05-refined-times.txt</v>
      </c>
      <c r="AI29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{"issue":{"subject":"","project_id":79,"tracker_id":40,"status_id":1,"priority_id":2,"assigned_to_id":338,"start_date":"2017-12-05","description":"","custom_fields":[{"id":1,"name":"Subdivision","value":"EC"},{"id":4,"name":"Milepost","value":"23.3266"},{"id":17,"name":"Train ID","value":"117-05"},{"id":16,"name":"Locomotive ID","value":"4036"},{"id":130,"name":"Impact","value":""},{"id":150,"name":"Time of Event (Mountain Time)","value":"06:21:18"},{"id":151,"name":"Denver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4036 --day 2017-12-05</v>
      </c>
      <c r="AN29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-05T04:39:01-0700',mode:absolute,to:'2017-12-05T07:21:18-0700'))&amp;_a=(columns:!('Message%20ID',Summary),filters:!(),index:'emp_*',interval:auto,query:(query_string:(analyze_wildcard:!t,query:'%22rtdc.l.rtdc.4036%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746</v>
      </c>
      <c r="B30" s="225">
        <v>4035</v>
      </c>
      <c r="C30" s="227" t="s">
        <v>192</v>
      </c>
      <c r="D30" s="227" t="s">
        <v>564</v>
      </c>
      <c r="E30" s="226">
        <v>43074.27553240741</v>
      </c>
      <c r="F30" s="226">
        <v>43074.279386574075</v>
      </c>
      <c r="G30" s="225">
        <v>63</v>
      </c>
      <c r="H30" s="227" t="s">
        <v>927</v>
      </c>
      <c r="I30" s="226">
        <v>43074.30572916667</v>
      </c>
      <c r="J30" s="225">
        <v>0</v>
      </c>
      <c r="K30" s="237" t="str">
        <f>IF(ISEVEN(B30),(B30-1)&amp;"/"&amp;B30,B30&amp;"/"&amp;(B30+1))</f>
        <v>4035/4036</v>
      </c>
      <c r="L30" s="245" t="str">
        <f>VLOOKUP(A30,'Trips&amp;Operators'!$C$1:$G$99911,5,FALSE)</f>
        <v>BROWN JACOB</v>
      </c>
      <c r="M30" s="224">
        <f>I30-F30</f>
        <v>2.6342592595028691E-2</v>
      </c>
      <c r="N30" s="225">
        <f>24*60*SUM($M30:$M30)</f>
        <v>37.933333336841315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-05T05:36:46-0700',mode:absolute,to:'2017-12-05T08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23.296199999999999</v>
      </c>
      <c r="Z30" s="247">
        <f>RIGHT(H30,LEN(H30)-4)/10000</f>
        <v>2.23E-2</v>
      </c>
      <c r="AA30" s="247">
        <f>ABS(Z30-Y30)</f>
        <v>23.273899999999998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/stypes="app*4035*20171205*"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118-05 --locoid 4035 --swversion DE.1.0.9.0 --startMP 204:232962 --initTime 2017-12-05T06:36:46 --startdatetime 2017-12-05T06:42:19 --delay 63 --endMP 204:223 --enddatetime 2017-12-05T07:20:15 --enforcementcount 0 &gt;&gt;%USERPROFILE%\Documents\GitHub\eaglep3-reporting\EC\2017-12-05-refined-times.txt</v>
      </c>
      <c r="AI30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{"issue":{"subject":"","project_id":79,"tracker_id":40,"status_id":1,"priority_id":2,"assigned_to_id":338,"start_date":"2017-12-05","description":"","custom_fields":[{"id":1,"name":"Subdivision","value":"EC"},{"id":4,"name":"Milepost","value":"0.0223"},{"id":17,"name":"Train ID","value":"118-05"},{"id":16,"name":"Locomotive ID","value":"4035"},{"id":130,"name":"Impact","value":""},{"id":150,"name":"Time of Event (Mountain Time)","value":"07:20:15"},{"id":151,"name":"Denver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4035 --day 2017-12-05</v>
      </c>
      <c r="AN30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-05T05:36:46-0700',mode:absolute,to:'2017-12-05T08:20:15-0700'))&amp;_a=(columns:!('Message%20ID',Summary),filters:!(),index:'emp_*',interval:auto,query:(query_string:(analyze_wildcard:!t,query:'%22rtdc.l.rtdc.4035%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736</v>
      </c>
      <c r="B31" s="225">
        <v>4060</v>
      </c>
      <c r="C31" s="227" t="s">
        <v>192</v>
      </c>
      <c r="D31" s="227" t="s">
        <v>541</v>
      </c>
      <c r="E31" s="226">
        <v>43074.244432870371</v>
      </c>
      <c r="F31" s="226">
        <v>43074.250185185185</v>
      </c>
      <c r="G31" s="225">
        <v>140</v>
      </c>
      <c r="H31" s="227" t="s">
        <v>532</v>
      </c>
      <c r="I31" s="226">
        <v>43074.275300925925</v>
      </c>
      <c r="J31" s="225">
        <v>0</v>
      </c>
      <c r="K31" s="237" t="str">
        <f>IF(ISEVEN(B31),(B31-1)&amp;"/"&amp;B31,B31&amp;"/"&amp;(B31+1))</f>
        <v>4059/4060</v>
      </c>
      <c r="L31" s="245" t="str">
        <f>VLOOKUP(A31,'Trips&amp;Operators'!$C$1:$G$99911,5,FALSE)</f>
        <v>STARKS ANGELINA</v>
      </c>
      <c r="M31" s="224">
        <f>I31-F31</f>
        <v>2.5115740740147885E-2</v>
      </c>
      <c r="N31" s="225">
        <f>24*60*SUM($M31:$M31)</f>
        <v>36.166666665812954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-05T04:51:59-0700',mode:absolute,to:'2017-12-05T07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4.82E-2</v>
      </c>
      <c r="Z31" s="247">
        <f>RIGHT(H31,LEN(H31)-4)/10000</f>
        <v>23.3291</v>
      </c>
      <c r="AA31" s="247">
        <f>ABS(Z31-Y31)</f>
        <v>23.280899999999999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/stypes="app*4060*20171205*"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119-05 --locoid 4060 --swversion DE.1.0.9.0 --startMP 204:482 --initTime 2017-12-05T05:51:59 --startdatetime 2017-12-05T06:00:16 --delay 140 --endMP 204:233291 --enddatetime 2017-12-05T06:36:26 --enforcementcount 0 &gt;&gt;%USERPROFILE%\Documents\GitHub\eaglep3-reporting\EC\2017-12-05-refined-times.txt</v>
      </c>
      <c r="AI31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{"issue":{"subject":"","project_id":79,"tracker_id":40,"status_id":1,"priority_id":2,"assigned_to_id":338,"start_date":"2017-12-05","description":"","custom_fields":[{"id":1,"name":"Subdivision","value":"EC"},{"id":4,"name":"Milepost","value":"23.3291"},{"id":17,"name":"Train ID","value":"119-05"},{"id":16,"name":"Locomotive ID","value":"4060"},{"id":130,"name":"Impact","value":""},{"id":150,"name":"Time of Event (Mountain Time)","value":"06:36:26"},{"id":151,"name":"Denver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4060 --day 2017-12-05</v>
      </c>
      <c r="AN31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-05T04:51:59-0700',mode:absolute,to:'2017-12-05T07:36:26-0700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678</v>
      </c>
      <c r="B32" s="225">
        <v>4059</v>
      </c>
      <c r="C32" s="227" t="s">
        <v>192</v>
      </c>
      <c r="D32" s="227" t="s">
        <v>928</v>
      </c>
      <c r="E32" s="226">
        <v>43074.279872685183</v>
      </c>
      <c r="F32" s="226">
        <v>43074.290821759256</v>
      </c>
      <c r="G32" s="225">
        <v>73</v>
      </c>
      <c r="H32" s="227" t="s">
        <v>929</v>
      </c>
      <c r="I32" s="226">
        <v>43074.318009259259</v>
      </c>
      <c r="J32" s="225">
        <v>0</v>
      </c>
      <c r="K32" s="237" t="str">
        <f>IF(ISEVEN(B32),(B32-1)&amp;"/"&amp;B32,B32&amp;"/"&amp;(B32+1))</f>
        <v>4059/4060</v>
      </c>
      <c r="L32" s="245" t="str">
        <f>VLOOKUP(A32,'Trips&amp;Operators'!$C$1:$G$99911,5,FALSE)</f>
        <v>STARKS ANGELINA</v>
      </c>
      <c r="M32" s="224">
        <f>I32-F32</f>
        <v>2.718750000349246E-2</v>
      </c>
      <c r="N32" s="225">
        <f>24*60*SUM($M32:$M32)</f>
        <v>39.150000005029142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-05T05:43:01-0700',mode:absolute,to:'2017-12-05T08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23.297699999999999</v>
      </c>
      <c r="Z32" s="247">
        <f>RIGHT(H32,LEN(H32)-4)/10000</f>
        <v>1.49E-2</v>
      </c>
      <c r="AA32" s="247">
        <f>ABS(Z32-Y32)</f>
        <v>23.282799999999998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/stypes="app*4059*20171205*"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120-05 --locoid 4059 --swversion DE.1.0.9.0 --startMP 204:232977 --initTime 2017-12-05T06:43:01 --startdatetime 2017-12-05T06:58:47 --delay 73 --endMP 204:149 --enddatetime 2017-12-05T07:37:56 --enforcementcount 0 &gt;&gt;%USERPROFILE%\Documents\GitHub\eaglep3-reporting\EC\2017-12-05-refined-times.txt</v>
      </c>
      <c r="AI32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{"issue":{"subject":"","project_id":79,"tracker_id":40,"status_id":1,"priority_id":2,"assigned_to_id":338,"start_date":"2017-12-05","description":"","custom_fields":[{"id":1,"name":"Subdivision","value":"EC"},{"id":4,"name":"Milepost","value":"0.0149"},{"id":17,"name":"Train ID","value":"120-05"},{"id":16,"name":"Locomotive ID","value":"4059"},{"id":130,"name":"Impact","value":""},{"id":150,"name":"Time of Event (Mountain Time)","value":"07:37:56"},{"id":151,"name":"Denver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4059 --day 2017-12-05</v>
      </c>
      <c r="AN32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-05T05:43:01-0700',mode:absolute,to:'2017-12-05T08:37:56-0700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740</v>
      </c>
      <c r="B33" s="225">
        <v>4056</v>
      </c>
      <c r="C33" s="227" t="s">
        <v>192</v>
      </c>
      <c r="D33" s="227" t="s">
        <v>544</v>
      </c>
      <c r="E33" s="226">
        <v>43074.254016203704</v>
      </c>
      <c r="F33" s="226">
        <v>43074.260648148149</v>
      </c>
      <c r="G33" s="225">
        <v>55</v>
      </c>
      <c r="H33" s="227" t="s">
        <v>930</v>
      </c>
      <c r="I33" s="226">
        <v>43074.285740740743</v>
      </c>
      <c r="J33" s="225">
        <v>0</v>
      </c>
      <c r="K33" s="237" t="str">
        <f>IF(ISEVEN(B33),(B33-1)&amp;"/"&amp;B33,B33&amp;"/"&amp;(B33+1))</f>
        <v>4055/4056</v>
      </c>
      <c r="L33" s="245" t="str">
        <f>VLOOKUP(A33,'Trips&amp;Operators'!$C$1:$G$99911,5,FALSE)</f>
        <v>BEAM ROSS</v>
      </c>
      <c r="M33" s="224">
        <f>I33-F33</f>
        <v>2.5092592593864538E-2</v>
      </c>
      <c r="N33" s="225">
        <f>24*60*SUM($M33:$M33)</f>
        <v>36.133333335164934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-05T05:05:47-0700',mode:absolute,to:'2017-12-05T07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4.7800000000000002E-2</v>
      </c>
      <c r="Z33" s="247">
        <f>RIGHT(H33,LEN(H33)-4)/10000</f>
        <v>23.331399999999999</v>
      </c>
      <c r="AA33" s="247">
        <f>ABS(Z33-Y33)</f>
        <v>23.2836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/stypes="app*4056*20171205*"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121-05 --locoid 4056 --swversion DE.1.0.9.0 --startMP 204:478 --initTime 2017-12-05T06:05:47 --startdatetime 2017-12-05T06:15:20 --delay 55 --endMP 204:233314 --enddatetime 2017-12-05T06:51:28 --enforcementcount 0 &gt;&gt;%USERPROFILE%\Documents\GitHub\eaglep3-reporting\EC\2017-12-05-refined-times.txt</v>
      </c>
      <c r="AI33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{"issue":{"subject":"","project_id":79,"tracker_id":40,"status_id":1,"priority_id":2,"assigned_to_id":338,"start_date":"2017-12-05","description":"","custom_fields":[{"id":1,"name":"Subdivision","value":"EC"},{"id":4,"name":"Milepost","value":"23.3314"},{"id":17,"name":"Train ID","value":"121-05"},{"id":16,"name":"Locomotive ID","value":"4056"},{"id":130,"name":"Impact","value":""},{"id":150,"name":"Time of Event (Mountain Time)","value":"06:51:28"},{"id":151,"name":"Denver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4056 --day 2017-12-05</v>
      </c>
      <c r="AN33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-05T05:05:47-0700',mode:absolute,to:'2017-12-05T07:51:28-0700'))&amp;_a=(columns:!('Message%20ID',Summary),filters:!(),index:'emp_*',interval:auto,query:(query_string:(analyze_wildcard:!t,query:'%22rtdc.l.rtdc.4056%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748</v>
      </c>
      <c r="B34" s="225">
        <v>4055</v>
      </c>
      <c r="C34" s="227" t="s">
        <v>192</v>
      </c>
      <c r="D34" s="227" t="s">
        <v>511</v>
      </c>
      <c r="E34" s="226">
        <v>43074.286793981482</v>
      </c>
      <c r="F34" s="226">
        <v>43074.300196759257</v>
      </c>
      <c r="G34" s="225">
        <v>61</v>
      </c>
      <c r="H34" s="227" t="s">
        <v>619</v>
      </c>
      <c r="I34" s="226">
        <v>43074.325787037036</v>
      </c>
      <c r="J34" s="225">
        <v>0</v>
      </c>
      <c r="K34" s="237" t="str">
        <f>IF(ISEVEN(B34),(B34-1)&amp;"/"&amp;B34,B34&amp;"/"&amp;(B34+1))</f>
        <v>4055/4056</v>
      </c>
      <c r="L34" s="245" t="str">
        <f>VLOOKUP(A34,'Trips&amp;Operators'!$C$1:$G$99911,5,FALSE)</f>
        <v>BEAM ROSS</v>
      </c>
      <c r="M34" s="224">
        <f>I34-F34</f>
        <v>2.5590277778974269E-2</v>
      </c>
      <c r="N34" s="225">
        <f>24*60*SUM($M34:$M34)</f>
        <v>36.850000001722947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-05T05:52:59-0700',mode:absolute,to:'2017-12-05T08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23.299299999999999</v>
      </c>
      <c r="Z34" s="247">
        <f>RIGHT(H34,LEN(H34)-4)/10000</f>
        <v>1.7600000000000001E-2</v>
      </c>
      <c r="AA34" s="247">
        <f>ABS(Z34-Y34)</f>
        <v>23.281699999999997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/stypes="app*4055*20171205*"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122-05 --locoid 4055 --swversion DE.1.0.9.0 --startMP 204:232993 --initTime 2017-12-05T06:52:59 --startdatetime 2017-12-05T07:12:17 --delay 61 --endMP 204:176 --enddatetime 2017-12-05T07:49:08 --enforcementcount 0 &gt;&gt;%USERPROFILE%\Documents\GitHub\eaglep3-reporting\EC\2017-12-05-refined-times.txt</v>
      </c>
      <c r="AI34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{"issue":{"subject":"","project_id":79,"tracker_id":40,"status_id":1,"priority_id":2,"assigned_to_id":338,"start_date":"2017-12-05","description":"","custom_fields":[{"id":1,"name":"Subdivision","value":"EC"},{"id":4,"name":"Milepost","value":"0.0176"},{"id":17,"name":"Train ID","value":"122-05"},{"id":16,"name":"Locomotive ID","value":"4055"},{"id":130,"name":"Impact","value":""},{"id":150,"name":"Time of Event (Mountain Time)","value":"07:49:08"},{"id":151,"name":"Denver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4055 --day 2017-12-05</v>
      </c>
      <c r="AN34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-05T05:52:59-0700',mode:absolute,to:'2017-12-05T08:49:08-0700'))&amp;_a=(columns:!('Message%20ID',Summary),filters:!(),index:'emp_*',interval:auto,query:(query_string:(analyze_wildcard:!t,query:'%22rtdc.l.rtdc.4055%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742</v>
      </c>
      <c r="B35" s="225">
        <v>4006</v>
      </c>
      <c r="C35" s="227" t="s">
        <v>192</v>
      </c>
      <c r="D35" s="227" t="s">
        <v>618</v>
      </c>
      <c r="E35" s="226">
        <v>43074.264803240738</v>
      </c>
      <c r="F35" s="226">
        <v>43074.270995370367</v>
      </c>
      <c r="G35" s="225">
        <v>59</v>
      </c>
      <c r="H35" s="227" t="s">
        <v>931</v>
      </c>
      <c r="I35" s="226">
        <v>43074.295046296298</v>
      </c>
      <c r="J35" s="225">
        <v>0</v>
      </c>
      <c r="K35" s="237" t="str">
        <f>IF(ISEVEN(B35),(B35-1)&amp;"/"&amp;B35,B35&amp;"/"&amp;(B35+1))</f>
        <v>4005/4006</v>
      </c>
      <c r="L35" s="245" t="str">
        <f>VLOOKUP(A35,'Trips&amp;Operators'!$C$1:$G$99911,5,FALSE)</f>
        <v>LAMAR NEKESHA</v>
      </c>
      <c r="M35" s="224">
        <f>I35-F35</f>
        <v>2.4050925931078382E-2</v>
      </c>
      <c r="N35" s="225">
        <f>24*60*SUM($M35:$M35)</f>
        <v>34.63333334075287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-05T05:21:19-0700',mode:absolute,to:'2017-12-05T08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4.8800000000000003E-2</v>
      </c>
      <c r="Z35" s="247">
        <f>RIGHT(H35,LEN(H35)-4)/10000</f>
        <v>23.328399999999998</v>
      </c>
      <c r="AA35" s="247">
        <f>ABS(Z35-Y35)</f>
        <v>23.279599999999999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/stypes="app*4006*20171205*"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123-05 --locoid 4006 --swversion DE.1.0.9.0 --startMP 204:488 --initTime 2017-12-05T06:21:19 --startdatetime 2017-12-05T06:30:14 --delay 59 --endMP 204:233284 --enddatetime 2017-12-05T07:04:52 --enforcementcount 0 &gt;&gt;%USERPROFILE%\Documents\GitHub\eaglep3-reporting\EC\2017-12-05-refined-times.txt</v>
      </c>
      <c r="AI35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{"issue":{"subject":"","project_id":79,"tracker_id":40,"status_id":1,"priority_id":2,"assigned_to_id":338,"start_date":"2017-12-05","description":"","custom_fields":[{"id":1,"name":"Subdivision","value":"EC"},{"id":4,"name":"Milepost","value":"23.3284"},{"id":17,"name":"Train ID","value":"123-05"},{"id":16,"name":"Locomotive ID","value":"4006"},{"id":130,"name":"Impact","value":""},{"id":150,"name":"Time of Event (Mountain Time)","value":"07:04:52"},{"id":151,"name":"Denver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4006 --day 2017-12-05</v>
      </c>
      <c r="AN35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2017-12-05T05:21:19-0700',mode:absolute,to:'2017-12-05T08:04:52-0700'))&amp;_a=(columns:!('Message%20ID',Summary),filters:!(),index:'emp_*',interval:auto,query:(query_string:(analyze_wildcard:!t,query:'%22rtdc.l.rtdc.4006%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753</v>
      </c>
      <c r="B36" s="225">
        <v>4005</v>
      </c>
      <c r="C36" s="227" t="s">
        <v>192</v>
      </c>
      <c r="D36" s="227" t="s">
        <v>501</v>
      </c>
      <c r="E36" s="226">
        <v>43074.308530092596</v>
      </c>
      <c r="F36" s="226">
        <v>43074.310613425929</v>
      </c>
      <c r="G36" s="225">
        <v>51</v>
      </c>
      <c r="H36" s="227" t="s">
        <v>494</v>
      </c>
      <c r="I36" s="226">
        <v>43074.337534722225</v>
      </c>
      <c r="J36" s="225">
        <v>0</v>
      </c>
      <c r="K36" s="237" t="str">
        <f>IF(ISEVEN(B36),(B36-1)&amp;"/"&amp;B36,B36&amp;"/"&amp;(B36+1))</f>
        <v>4005/4006</v>
      </c>
      <c r="L36" s="245" t="str">
        <f>VLOOKUP(A36,'Trips&amp;Operators'!$C$1:$G$99911,5,FALSE)</f>
        <v>LAMAR NEKESHA</v>
      </c>
      <c r="M36" s="224">
        <f>I36-F36</f>
        <v>2.6921296295768116E-2</v>
      </c>
      <c r="N36" s="225">
        <f>24*60*SUM($M36:$M36)</f>
        <v>38.766666665906087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-05T06:24:17-0700',mode:absolute,to:'2017-12-05T09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23.2971</v>
      </c>
      <c r="Z36" s="247">
        <f>RIGHT(H36,LEN(H36)-4)/10000</f>
        <v>1.8100000000000002E-2</v>
      </c>
      <c r="AA36" s="247">
        <f>ABS(Z36-Y36)</f>
        <v>23.279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/stypes="app*4005*20171205*"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124-05 --locoid 4005 --swversion DE.1.0.9.0 --startMP 204:232971 --initTime 2017-12-05T07:24:17 --startdatetime 2017-12-05T07:27:17 --delay 51 --endMP 204:181 --enddatetime 2017-12-05T08:06:03 --enforcementcount 0 &gt;&gt;%USERPROFILE%\Documents\GitHub\eaglep3-reporting\EC\2017-12-05-refined-times.txt</v>
      </c>
      <c r="AI36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{"issue":{"subject":"","project_id":79,"tracker_id":40,"status_id":1,"priority_id":2,"assigned_to_id":338,"start_date":"2017-12-05","description":"","custom_fields":[{"id":1,"name":"Subdivision","value":"EC"},{"id":4,"name":"Milepost","value":"0.0181"},{"id":17,"name":"Train ID","value":"124-05"},{"id":16,"name":"Locomotive ID","value":"4005"},{"id":130,"name":"Impact","value":""},{"id":150,"name":"Time of Event (Mountain Time)","value":"08:06:03"},{"id":151,"name":"Denver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4005 --day 2017-12-05</v>
      </c>
      <c r="AN36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-05T06:24:17-0700',mode:absolute,to:'2017-12-05T09:06:03-0700'))&amp;_a=(columns:!('Message%20ID',Summary),filters:!(),index:'emp_*',interval:auto,query:(query_string:(analyze_wildcard:!t,query:'%22rtdc.l.rtdc.4005%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745</v>
      </c>
      <c r="B37" s="225">
        <v>4044</v>
      </c>
      <c r="C37" s="227" t="s">
        <v>192</v>
      </c>
      <c r="D37" s="227" t="s">
        <v>932</v>
      </c>
      <c r="E37" s="226">
        <v>43074.274629629632</v>
      </c>
      <c r="F37" s="226">
        <v>43074.28261574074</v>
      </c>
      <c r="G37" s="225">
        <v>42</v>
      </c>
      <c r="H37" s="227" t="s">
        <v>561</v>
      </c>
      <c r="I37" s="226">
        <v>43074.305810185186</v>
      </c>
      <c r="J37" s="225">
        <v>0</v>
      </c>
      <c r="K37" s="237" t="str">
        <f>IF(ISEVEN(B37),(B37-1)&amp;"/"&amp;B37,B37&amp;"/"&amp;(B37+1))</f>
        <v>4043/4044</v>
      </c>
      <c r="L37" s="245" t="str">
        <f>VLOOKUP(A37,'Trips&amp;Operators'!$C$1:$G$99911,5,FALSE)</f>
        <v>YORK EDGAR</v>
      </c>
      <c r="M37" s="224">
        <f>I37-F37</f>
        <v>2.3194444445834961E-2</v>
      </c>
      <c r="N37" s="225">
        <f>24*60*SUM($M37:$M37)</f>
        <v>33.400000002002344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-05T05:35:28-0700',mode:absolute,to:'2017-12-05T08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0.2452</v>
      </c>
      <c r="Z37" s="247">
        <f>RIGHT(H37,LEN(H37)-4)/10000</f>
        <v>23.3276</v>
      </c>
      <c r="AA37" s="247">
        <f>ABS(Z37-Y37)</f>
        <v>23.0824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/stypes="app*4044*20171205*"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125-05 --locoid 4044 --swversion DE.1.0.9.0 --startMP 204:2452 --initTime 2017-12-05T06:35:28 --startdatetime 2017-12-05T06:46:58 --delay 42 --endMP 204:233276 --enddatetime 2017-12-05T07:20:22 --enforcementcount 0 &gt;&gt;%USERPROFILE%\Documents\GitHub\eaglep3-reporting\EC\2017-12-05-refined-times.txt</v>
      </c>
      <c r="AI37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{"issue":{"subject":"","project_id":79,"tracker_id":40,"status_id":1,"priority_id":2,"assigned_to_id":338,"start_date":"2017-12-05","description":"","custom_fields":[{"id":1,"name":"Subdivision","value":"EC"},{"id":4,"name":"Milepost","value":"23.3276"},{"id":17,"name":"Train ID","value":"125-05"},{"id":16,"name":"Locomotive ID","value":"4044"},{"id":130,"name":"Impact","value":""},{"id":150,"name":"Time of Event (Mountain Time)","value":"07:20:22"},{"id":151,"name":"Denver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4044 --day 2017-12-05</v>
      </c>
      <c r="AN37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-05T05:35:28-0700',mode:absolute,to:'2017-12-05T08:20:22-0700'))&amp;_a=(columns:!('Message%20ID',Summary),filters:!(),index:'emp_*',interval:auto,query:(query_string:(analyze_wildcard:!t,query:'%22rtdc.l.rtdc.4044%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679</v>
      </c>
      <c r="B38" s="225">
        <v>4043</v>
      </c>
      <c r="C38" s="227" t="s">
        <v>192</v>
      </c>
      <c r="D38" s="227" t="s">
        <v>612</v>
      </c>
      <c r="E38" s="226">
        <v>43074.316967592589</v>
      </c>
      <c r="F38" s="226">
        <v>43074.321122685185</v>
      </c>
      <c r="G38" s="225">
        <v>63</v>
      </c>
      <c r="H38" s="227" t="s">
        <v>505</v>
      </c>
      <c r="I38" s="226">
        <v>43074.347094907411</v>
      </c>
      <c r="J38" s="225">
        <v>0</v>
      </c>
      <c r="K38" s="237" t="str">
        <f>IF(ISEVEN(B38),(B38-1)&amp;"/"&amp;B38,B38&amp;"/"&amp;(B38+1))</f>
        <v>4043/4044</v>
      </c>
      <c r="L38" s="245" t="str">
        <f>VLOOKUP(A38,'Trips&amp;Operators'!$C$1:$G$99911,5,FALSE)</f>
        <v>YORK EDGAR</v>
      </c>
      <c r="M38" s="224">
        <f>I38-F38</f>
        <v>2.5972222225391306E-2</v>
      </c>
      <c r="N38" s="225">
        <f>24*60*SUM($M38:$M38)</f>
        <v>37.400000004563481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-05T06:36:26-0700',mode:absolute,to:'2017-12-05T09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23.295999999999999</v>
      </c>
      <c r="Z38" s="247">
        <f>RIGHT(H38,LEN(H38)-4)/10000</f>
        <v>1.78E-2</v>
      </c>
      <c r="AA38" s="247">
        <f>ABS(Z38-Y38)</f>
        <v>23.278199999999998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/stypes="app*4043*20171205*"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126-05 --locoid 4043 --swversion DE.1.0.9.0 --startMP 204:232960 --initTime 2017-12-05T07:36:26 --startdatetime 2017-12-05T07:42:25 --delay 63 --endMP 204:178 --enddatetime 2017-12-05T08:19:49 --enforcementcount 0 &gt;&gt;%USERPROFILE%\Documents\GitHub\eaglep3-reporting\EC\2017-12-05-refined-times.txt</v>
      </c>
      <c r="AI38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{"issue":{"subject":"","project_id":79,"tracker_id":40,"status_id":1,"priority_id":2,"assigned_to_id":338,"start_date":"2017-12-05","description":"","custom_fields":[{"id":1,"name":"Subdivision","value":"EC"},{"id":4,"name":"Milepost","value":"0.0178"},{"id":17,"name":"Train ID","value":"126-05"},{"id":16,"name":"Locomotive ID","value":"4043"},{"id":130,"name":"Impact","value":""},{"id":150,"name":"Time of Event (Mountain Time)","value":"08:19:49"},{"id":151,"name":"Denver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4043 --day 2017-12-05</v>
      </c>
      <c r="AN38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-05T06:36:26-0700',mode:absolute,to:'2017-12-05T09:19:49-0700'))&amp;_a=(columns:!('Message%20ID',Summary),filters:!(),index:'emp_*',interval:auto,query:(query_string:(analyze_wildcard:!t,query:'%22rtdc.l.rtdc.4043%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747</v>
      </c>
      <c r="B39" s="225">
        <v>4014</v>
      </c>
      <c r="C39" s="227" t="s">
        <v>192</v>
      </c>
      <c r="D39" s="227" t="s">
        <v>933</v>
      </c>
      <c r="E39" s="226">
        <v>43074.28597222222</v>
      </c>
      <c r="F39" s="226">
        <v>43074.291828703703</v>
      </c>
      <c r="G39" s="225">
        <v>46</v>
      </c>
      <c r="H39" s="227" t="s">
        <v>423</v>
      </c>
      <c r="I39" s="226">
        <v>43074.316377314812</v>
      </c>
      <c r="J39" s="225">
        <v>0</v>
      </c>
      <c r="K39" s="237" t="str">
        <f>IF(ISEVEN(B39),(B39-1)&amp;"/"&amp;B39,B39&amp;"/"&amp;(B39+1))</f>
        <v>4013/4014</v>
      </c>
      <c r="L39" s="245" t="str">
        <f>VLOOKUP(A39,'Trips&amp;Operators'!$C$1:$G$99911,5,FALSE)</f>
        <v>YANAI IAN</v>
      </c>
      <c r="M39" s="224">
        <f>I39-F39</f>
        <v>2.4548611108912155E-2</v>
      </c>
      <c r="N39" s="225">
        <f>24*60*SUM($M39:$M39)</f>
        <v>35.349999996833503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-05T05:51:48-0700',mode:absolute,to:'2017-12-05T08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4.4699999999999997E-2</v>
      </c>
      <c r="Z39" s="247">
        <f>RIGHT(H39,LEN(H39)-4)/10000</f>
        <v>23.329899999999999</v>
      </c>
      <c r="AA39" s="247">
        <f>ABS(Z39-Y39)</f>
        <v>23.2852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/stypes="app*4014*20171205*"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127-05 --locoid 4014 --swversion DE.1.0.9.0 --startMP 204:447 --initTime 2017-12-05T06:51:48 --startdatetime 2017-12-05T07:00:14 --delay 46 --endMP 204:233299 --enddatetime 2017-12-05T07:35:35 --enforcementcount 0 &gt;&gt;%USERPROFILE%\Documents\GitHub\eaglep3-reporting\EC\2017-12-05-refined-times.txt</v>
      </c>
      <c r="AI39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{"issue":{"subject":"","project_id":79,"tracker_id":40,"status_id":1,"priority_id":2,"assigned_to_id":338,"start_date":"2017-12-05","description":"","custom_fields":[{"id":1,"name":"Subdivision","value":"EC"},{"id":4,"name":"Milepost","value":"23.3299"},{"id":17,"name":"Train ID","value":"127-05"},{"id":16,"name":"Locomotive ID","value":"4014"},{"id":130,"name":"Impact","value":""},{"id":150,"name":"Time of Event (Mountain Time)","value":"07:35:35"},{"id":151,"name":"Denver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4014 --day 2017-12-05</v>
      </c>
      <c r="AN39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-05T05:51:48-0700',mode:absolute,to:'2017-12-05T08:35:35-0700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681</v>
      </c>
      <c r="B40" s="225">
        <v>4013</v>
      </c>
      <c r="C40" s="227" t="s">
        <v>192</v>
      </c>
      <c r="D40" s="227" t="s">
        <v>928</v>
      </c>
      <c r="E40" s="226">
        <v>43074.317523148151</v>
      </c>
      <c r="F40" s="226">
        <v>43074.331412037034</v>
      </c>
      <c r="G40" s="225">
        <v>113</v>
      </c>
      <c r="H40" s="227" t="s">
        <v>546</v>
      </c>
      <c r="I40" s="226">
        <v>43074.358182870368</v>
      </c>
      <c r="J40" s="225">
        <v>0</v>
      </c>
      <c r="K40" s="237" t="str">
        <f>IF(ISEVEN(B40),(B40-1)&amp;"/"&amp;B40,B40&amp;"/"&amp;(B40+1))</f>
        <v>4013/4014</v>
      </c>
      <c r="L40" s="245" t="str">
        <f>VLOOKUP(A40,'Trips&amp;Operators'!$C$1:$G$99911,5,FALSE)</f>
        <v>YANAI IAN</v>
      </c>
      <c r="M40" s="224">
        <f>I40-F40</f>
        <v>2.6770833334012423E-2</v>
      </c>
      <c r="N40" s="225">
        <f>24*60*SUM($M40:$M40)</f>
        <v>38.550000000977889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-05T06:37:14-0700',mode:absolute,to:'2017-12-05T09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23.297699999999999</v>
      </c>
      <c r="Z40" s="247">
        <f>RIGHT(H40,LEN(H40)-4)/10000</f>
        <v>1.4999999999999999E-2</v>
      </c>
      <c r="AA40" s="247">
        <f>ABS(Z40-Y40)</f>
        <v>23.282699999999998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/stypes="app*4013*20171205*"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128-05 --locoid 4013 --swversion DE.1.0.9.0 --startMP 204:232977 --initTime 2017-12-05T07:37:14 --startdatetime 2017-12-05T07:57:14 --delay 113 --endMP 204:150 --enddatetime 2017-12-05T08:35:47 --enforcementcount 0 &gt;&gt;%USERPROFILE%\Documents\GitHub\eaglep3-reporting\EC\2017-12-05-refined-times.txt</v>
      </c>
      <c r="AI40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{"issue":{"subject":"","project_id":79,"tracker_id":40,"status_id":1,"priority_id":2,"assigned_to_id":338,"start_date":"2017-12-05","description":"","custom_fields":[{"id":1,"name":"Subdivision","value":"EC"},{"id":4,"name":"Milepost","value":"0.015"},{"id":17,"name":"Train ID","value":"128-05"},{"id":16,"name":"Locomotive ID","value":"4013"},{"id":130,"name":"Impact","value":""},{"id":150,"name":"Time of Event (Mountain Time)","value":"08:35:47"},{"id":151,"name":"Denver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4013 --day 2017-12-05</v>
      </c>
      <c r="AN40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-05T06:37:14-0700',mode:absolute,to:'2017-12-05T09:35:47-0700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751</v>
      </c>
      <c r="B41" s="225">
        <v>4054</v>
      </c>
      <c r="C41" s="227" t="s">
        <v>192</v>
      </c>
      <c r="D41" s="227" t="s">
        <v>547</v>
      </c>
      <c r="E41" s="226">
        <v>43074.297453703701</v>
      </c>
      <c r="F41" s="226">
        <v>43074.302499999998</v>
      </c>
      <c r="G41" s="225">
        <v>49</v>
      </c>
      <c r="H41" s="227" t="s">
        <v>934</v>
      </c>
      <c r="I41" s="226">
        <v>43074.327662037038</v>
      </c>
      <c r="J41" s="225">
        <v>0</v>
      </c>
      <c r="K41" s="237" t="str">
        <f>IF(ISEVEN(B41),(B41-1)&amp;"/"&amp;B41,B41&amp;"/"&amp;(B41+1))</f>
        <v>4053/4054</v>
      </c>
      <c r="L41" s="245" t="str">
        <f>VLOOKUP(A41,'Trips&amp;Operators'!$C$1:$G$99911,5,FALSE)</f>
        <v>HAMMOND JUSTYNN</v>
      </c>
      <c r="M41" s="224">
        <f>I41-F41</f>
        <v>2.5162037039990537E-2</v>
      </c>
      <c r="N41" s="225">
        <f>24*60*SUM($M41:$M41)</f>
        <v>36.233333337586373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-05T06:08:20-0700',mode:absolute,to:'2017-12-05T08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5.04E-2</v>
      </c>
      <c r="Z41" s="247">
        <f>RIGHT(H41,LEN(H41)-4)/10000</f>
        <v>23.3306</v>
      </c>
      <c r="AA41" s="247">
        <f>ABS(Z41-Y41)</f>
        <v>23.280200000000001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/stypes="app*4054*20171205*"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129-05 --locoid 4054 --swversion DE.1.0.9.0 --startMP 204:504 --initTime 2017-12-05T07:08:20 --startdatetime 2017-12-05T07:15:36 --delay 49 --endMP 204:233306 --enddatetime 2017-12-05T07:51:50 --enforcementcount 0 &gt;&gt;%USERPROFILE%\Documents\GitHub\eaglep3-reporting\EC\2017-12-05-refined-times.txt</v>
      </c>
      <c r="AI41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{"issue":{"subject":"","project_id":79,"tracker_id":40,"status_id":1,"priority_id":2,"assigned_to_id":338,"start_date":"2017-12-05","description":"","custom_fields":[{"id":1,"name":"Subdivision","value":"EC"},{"id":4,"name":"Milepost","value":"23.3306"},{"id":17,"name":"Train ID","value":"129-05"},{"id":16,"name":"Locomotive ID","value":"4054"},{"id":130,"name":"Impact","value":""},{"id":150,"name":"Time of Event (Mountain Time)","value":"07:51:50"},{"id":151,"name":"Denver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4054 --day 2017-12-05</v>
      </c>
      <c r="AN41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-05T06:08:20-0700',mode:absolute,to:'2017-12-05T08:51:50-0700'))&amp;_a=(columns:!('Message%20ID',Summary),filters:!(),index:'emp_*',interval:auto,query:(query_string:(analyze_wildcard:!t,query:'%22rtdc.l.rtdc.4054%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760</v>
      </c>
      <c r="B42" s="225">
        <v>4053</v>
      </c>
      <c r="C42" s="227" t="s">
        <v>192</v>
      </c>
      <c r="D42" s="227" t="s">
        <v>928</v>
      </c>
      <c r="E42" s="226">
        <v>43074.336898148147</v>
      </c>
      <c r="F42" s="226">
        <v>43074.341874999998</v>
      </c>
      <c r="G42" s="225">
        <v>81</v>
      </c>
      <c r="H42" s="227" t="s">
        <v>412</v>
      </c>
      <c r="I42" s="226">
        <v>43074.367928240739</v>
      </c>
      <c r="J42" s="225">
        <v>0</v>
      </c>
      <c r="K42" s="237" t="str">
        <f>IF(ISEVEN(B42),(B42-1)&amp;"/"&amp;B42,B42&amp;"/"&amp;(B42+1))</f>
        <v>4053/4054</v>
      </c>
      <c r="L42" s="245" t="str">
        <f>VLOOKUP(A42,'Trips&amp;Operators'!$C$1:$G$99911,5,FALSE)</f>
        <v>HAMMOND JUSTYNN</v>
      </c>
      <c r="M42" s="224">
        <f>I42-F42</f>
        <v>2.6053240741021E-2</v>
      </c>
      <c r="N42" s="225">
        <f>24*60*SUM($M42:$M42)</f>
        <v>37.51666666707024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-05T07:05:08-0700',mode:absolute,to:'2017-12-05T09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23.297699999999999</v>
      </c>
      <c r="Z42" s="247">
        <f>RIGHT(H42,LEN(H42)-4)/10000</f>
        <v>2.12E-2</v>
      </c>
      <c r="AA42" s="247">
        <f>ABS(Z42-Y42)</f>
        <v>23.276499999999999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/stypes="app*4053*20171205*"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130-05 --locoid 4053 --swversion DE.1.0.9.0 --startMP 204:232977 --initTime 2017-12-05T08:05:08 --startdatetime 2017-12-05T08:12:18 --delay 81 --endMP 204:212 --enddatetime 2017-12-05T08:49:49 --enforcementcount 0 &gt;&gt;%USERPROFILE%\Documents\GitHub\eaglep3-reporting\EC\2017-12-05-refined-times.txt</v>
      </c>
      <c r="AI42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{"issue":{"subject":"","project_id":79,"tracker_id":40,"status_id":1,"priority_id":2,"assigned_to_id":338,"start_date":"2017-12-05","description":"","custom_fields":[{"id":1,"name":"Subdivision","value":"EC"},{"id":4,"name":"Milepost","value":"0.0212"},{"id":17,"name":"Train ID","value":"130-05"},{"id":16,"name":"Locomotive ID","value":"4053"},{"id":130,"name":"Impact","value":""},{"id":150,"name":"Time of Event (Mountain Time)","value":"08:49:49"},{"id":151,"name":"Denver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4053 --day 2017-12-05</v>
      </c>
      <c r="AN42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-05T07:05:08-0700',mode:absolute,to:'2017-12-05T09:49:49-0700'))&amp;_a=(columns:!('Message%20ID',Summary),filters:!(),index:'emp_*',interval:auto,query:(query_string:(analyze_wildcard:!t,query:'%22rtdc.l.rtdc.4053%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752</v>
      </c>
      <c r="B43" s="225">
        <v>4036</v>
      </c>
      <c r="C43" s="227" t="s">
        <v>192</v>
      </c>
      <c r="D43" s="227" t="s">
        <v>647</v>
      </c>
      <c r="E43" s="226">
        <v>43074.307881944442</v>
      </c>
      <c r="F43" s="226">
        <v>43074.312696759262</v>
      </c>
      <c r="G43" s="225">
        <v>95</v>
      </c>
      <c r="H43" s="227" t="s">
        <v>931</v>
      </c>
      <c r="I43" s="226">
        <v>43074.336921296293</v>
      </c>
      <c r="J43" s="225">
        <v>0</v>
      </c>
      <c r="K43" s="237" t="str">
        <f>IF(ISEVEN(B43),(B43-1)&amp;"/"&amp;B43,B43&amp;"/"&amp;(B43+1))</f>
        <v>4035/4036</v>
      </c>
      <c r="L43" s="245" t="str">
        <f>VLOOKUP(A43,'Trips&amp;Operators'!$C$1:$G$99911,5,FALSE)</f>
        <v>BROWN JACOB</v>
      </c>
      <c r="M43" s="224">
        <f>I43-F43</f>
        <v>2.4224537031841464E-2</v>
      </c>
      <c r="N43" s="225">
        <f>24*60*SUM($M43:$M43)</f>
        <v>34.883333325851709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-05T06:23:21-0700',mode:absolute,to:'2017-12-05T09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5.4600000000000003E-2</v>
      </c>
      <c r="Z43" s="247">
        <f>RIGHT(H43,LEN(H43)-4)/10000</f>
        <v>23.328399999999998</v>
      </c>
      <c r="AA43" s="247">
        <f>ABS(Z43-Y43)</f>
        <v>23.273799999999998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/stypes="app*4036*20171205*"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131-05 --locoid 4036 --swversion DE.1.0.9.0 --startMP 204:546 --initTime 2017-12-05T07:23:21 --startdatetime 2017-12-05T07:30:17 --delay 95 --endMP 204:233284 --enddatetime 2017-12-05T08:05:10 --enforcementcount 0 &gt;&gt;%USERPROFILE%\Documents\GitHub\eaglep3-reporting\EC\2017-12-05-refined-times.txt</v>
      </c>
      <c r="AI43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{"issue":{"subject":"","project_id":79,"tracker_id":40,"status_id":1,"priority_id":2,"assigned_to_id":338,"start_date":"2017-12-05","description":"","custom_fields":[{"id":1,"name":"Subdivision","value":"EC"},{"id":4,"name":"Milepost","value":"23.3284"},{"id":17,"name":"Train ID","value":"131-05"},{"id":16,"name":"Locomotive ID","value":"4036"},{"id":130,"name":"Impact","value":""},{"id":150,"name":"Time of Event (Mountain Time)","value":"08:05:10"},{"id":151,"name":"Denver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4036 --day 2017-12-05</v>
      </c>
      <c r="AN43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-05T06:23:21-0700',mode:absolute,to:'2017-12-05T09:05:10-0700'))&amp;_a=(columns:!('Message%20ID',Summary),filters:!(),index:'emp_*',interval:auto,query:(query_string:(analyze_wildcard:!t,query:'%22rtdc.l.rtdc.4036%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762</v>
      </c>
      <c r="B44" s="225">
        <v>4035</v>
      </c>
      <c r="C44" s="227" t="s">
        <v>192</v>
      </c>
      <c r="D44" s="227" t="s">
        <v>542</v>
      </c>
      <c r="E44" s="226">
        <v>43074.345833333333</v>
      </c>
      <c r="F44" s="226">
        <v>43074.35224537037</v>
      </c>
      <c r="G44" s="225">
        <v>56</v>
      </c>
      <c r="H44" s="227" t="s">
        <v>531</v>
      </c>
      <c r="I44" s="226">
        <v>43074.378541666665</v>
      </c>
      <c r="J44" s="225">
        <v>0</v>
      </c>
      <c r="K44" s="237" t="str">
        <f>IF(ISEVEN(B44),(B44-1)&amp;"/"&amp;B44,B44&amp;"/"&amp;(B44+1))</f>
        <v>4035/4036</v>
      </c>
      <c r="L44" s="245" t="str">
        <f>VLOOKUP(A44,'Trips&amp;Operators'!$C$1:$G$99911,5,FALSE)</f>
        <v>BROWN JACOB</v>
      </c>
      <c r="M44" s="224">
        <f>I44-F44</f>
        <v>2.6296296295186039E-2</v>
      </c>
      <c r="N44" s="225">
        <f>24*60*SUM($M44:$M44)</f>
        <v>37.866666665067896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-05T07:18:00-0700',mode:absolute,to:'2017-12-05T10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23.296900000000001</v>
      </c>
      <c r="Z44" s="247">
        <f>RIGHT(H44,LEN(H44)-4)/10000</f>
        <v>1.89E-2</v>
      </c>
      <c r="AA44" s="247">
        <f>ABS(Z44-Y44)</f>
        <v>23.278000000000002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/stypes="app*4035*20171205*"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132-05 --locoid 4035 --swversion DE.1.0.9.0 --startMP 204:232969 --initTime 2017-12-05T08:18:00 --startdatetime 2017-12-05T08:27:14 --delay 56 --endMP 204:189 --enddatetime 2017-12-05T09:05:06 --enforcementcount 0 &gt;&gt;%USERPROFILE%\Documents\GitHub\eaglep3-reporting\EC\2017-12-05-refined-times.txt</v>
      </c>
      <c r="AI44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{"issue":{"subject":"","project_id":79,"tracker_id":40,"status_id":1,"priority_id":2,"assigned_to_id":338,"start_date":"2017-12-05","description":"","custom_fields":[{"id":1,"name":"Subdivision","value":"EC"},{"id":4,"name":"Milepost","value":"0.0189"},{"id":17,"name":"Train ID","value":"132-05"},{"id":16,"name":"Locomotive ID","value":"4035"},{"id":130,"name":"Impact","value":""},{"id":150,"name":"Time of Event (Mountain Time)","value":"09:05:06"},{"id":151,"name":"Denver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4035 --day 2017-12-05</v>
      </c>
      <c r="AN44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-05T07:18:00-0700',mode:absolute,to:'2017-12-05T10:05:06-0700'))&amp;_a=(columns:!('Message%20ID',Summary),filters:!(),index:'emp_*',interval:auto,query:(query_string:(analyze_wildcard:!t,query:'%22rtdc.l.rtdc.4035%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756</v>
      </c>
      <c r="B45" s="225">
        <v>4060</v>
      </c>
      <c r="C45" s="227" t="s">
        <v>192</v>
      </c>
      <c r="D45" s="227" t="s">
        <v>935</v>
      </c>
      <c r="E45" s="226">
        <v>43074.321250000001</v>
      </c>
      <c r="F45" s="226">
        <v>43074.323333333334</v>
      </c>
      <c r="G45" s="225">
        <v>86</v>
      </c>
      <c r="H45" s="227" t="s">
        <v>936</v>
      </c>
      <c r="I45" s="226">
        <v>43074.348240740743</v>
      </c>
      <c r="J45" s="225">
        <v>0</v>
      </c>
      <c r="K45" s="237" t="str">
        <f>IF(ISEVEN(B45),(B45-1)&amp;"/"&amp;B45,B45&amp;"/"&amp;(B45+1))</f>
        <v>4059/4060</v>
      </c>
      <c r="L45" s="245" t="str">
        <f>VLOOKUP(A45,'Trips&amp;Operators'!$C$1:$G$99911,5,FALSE)</f>
        <v>THOMPSON LESTER</v>
      </c>
      <c r="M45" s="224">
        <f>I45-F45</f>
        <v>2.4907407409045845E-2</v>
      </c>
      <c r="N45" s="225">
        <f>24*60*SUM($M45:$M45)</f>
        <v>35.866666669026017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-05T06:42:36-0700',mode:absolute,to:'2017-12-05T09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4.3999999999999997E-2</v>
      </c>
      <c r="Z45" s="247">
        <f>RIGHT(H45,LEN(H45)-4)/10000</f>
        <v>23.333600000000001</v>
      </c>
      <c r="AA45" s="247">
        <f>ABS(Z45-Y45)</f>
        <v>23.2896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/stypes="app*4060*20171205*"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133-05 --locoid 4060 --swversion DE.1.0.9.0 --startMP 204:440 --initTime 2017-12-05T07:42:36 --startdatetime 2017-12-05T07:45:36 --delay 86 --endMP 204:233336 --enddatetime 2017-12-05T08:21:28 --enforcementcount 0 &gt;&gt;%USERPROFILE%\Documents\GitHub\eaglep3-reporting\EC\2017-12-05-refined-times.txt</v>
      </c>
      <c r="AI45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{"issue":{"subject":"","project_id":79,"tracker_id":40,"status_id":1,"priority_id":2,"assigned_to_id":338,"start_date":"2017-12-05","description":"","custom_fields":[{"id":1,"name":"Subdivision","value":"EC"},{"id":4,"name":"Milepost","value":"23.3336"},{"id":17,"name":"Train ID","value":"133-05"},{"id":16,"name":"Locomotive ID","value":"4060"},{"id":130,"name":"Impact","value":""},{"id":150,"name":"Time of Event (Mountain Time)","value":"08:21:28"},{"id":151,"name":"Denver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4060 --day 2017-12-05</v>
      </c>
      <c r="AN45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-05T06:42:36-0700',mode:absolute,to:'2017-12-05T09:21:28-0700'))&amp;_a=(columns:!('Message%20ID',Summary),filters:!(),index:'emp_*',interval:auto,query:(query_string:(analyze_wildcard:!t,query:'%22rtdc.l.rtdc.4060%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766</v>
      </c>
      <c r="B46" s="225">
        <v>4059</v>
      </c>
      <c r="C46" s="227" t="s">
        <v>192</v>
      </c>
      <c r="D46" s="227" t="s">
        <v>937</v>
      </c>
      <c r="E46" s="226">
        <v>43074.361168981479</v>
      </c>
      <c r="F46" s="226">
        <v>43074.362766203703</v>
      </c>
      <c r="G46" s="225">
        <v>71</v>
      </c>
      <c r="H46" s="227" t="s">
        <v>406</v>
      </c>
      <c r="I46" s="226">
        <v>43074.389027777775</v>
      </c>
      <c r="J46" s="225">
        <v>0</v>
      </c>
      <c r="K46" s="237" t="str">
        <f>IF(ISEVEN(B46),(B46-1)&amp;"/"&amp;B46,B46&amp;"/"&amp;(B46+1))</f>
        <v>4059/4060</v>
      </c>
      <c r="L46" s="245" t="str">
        <f>VLOOKUP(A46,'Trips&amp;Operators'!$C$1:$G$99911,5,FALSE)</f>
        <v>THOMPSON LESTER</v>
      </c>
      <c r="M46" s="224">
        <f>I46-F46</f>
        <v>2.626157407212304E-2</v>
      </c>
      <c r="N46" s="225">
        <f>24*60*SUM($M46:$M46)</f>
        <v>37.816666663857177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-05T07:40:05-0700',mode:absolute,to:'2017-12-05T10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23.3019</v>
      </c>
      <c r="Z46" s="247">
        <f>RIGHT(H46,LEN(H46)-4)/10000</f>
        <v>2.07E-2</v>
      </c>
      <c r="AA46" s="247">
        <f>ABS(Z46-Y46)</f>
        <v>23.281199999999998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/stypes="app*4059*20171205*"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134-05 --locoid 4059 --swversion DE.1.0.9.0 --startMP 204:233019 --initTime 2017-12-05T08:40:05 --startdatetime 2017-12-05T08:42:23 --delay 71 --endMP 204:207 --enddatetime 2017-12-05T09:20:12 --enforcementcount 0 &gt;&gt;%USERPROFILE%\Documents\GitHub\eaglep3-reporting\EC\2017-12-05-refined-times.txt</v>
      </c>
      <c r="AI46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{"issue":{"subject":"","project_id":79,"tracker_id":40,"status_id":1,"priority_id":2,"assigned_to_id":338,"start_date":"2017-12-05","description":"","custom_fields":[{"id":1,"name":"Subdivision","value":"EC"},{"id":4,"name":"Milepost","value":"0.0207"},{"id":17,"name":"Train ID","value":"134-05"},{"id":16,"name":"Locomotive ID","value":"4059"},{"id":130,"name":"Impact","value":""},{"id":150,"name":"Time of Event (Mountain Time)","value":"09:20:12"},{"id":151,"name":"Denver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4059 --day 2017-12-05</v>
      </c>
      <c r="AN46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-05T07:40:05-0700',mode:absolute,to:'2017-12-05T10:20:12-0700'))&amp;_a=(columns:!('Message%20ID',Summary),filters:!(),index:'emp_*',interval:auto,query:(query_string:(analyze_wildcard:!t,query:'%22rtdc.l.rtdc.4059%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758</v>
      </c>
      <c r="B47" s="225">
        <v>4056</v>
      </c>
      <c r="C47" s="227" t="s">
        <v>192</v>
      </c>
      <c r="D47" s="227" t="s">
        <v>544</v>
      </c>
      <c r="E47" s="226">
        <v>43074.331145833334</v>
      </c>
      <c r="F47" s="226">
        <v>43074.333703703705</v>
      </c>
      <c r="G47" s="225">
        <v>53</v>
      </c>
      <c r="H47" s="227" t="s">
        <v>938</v>
      </c>
      <c r="I47" s="226">
        <v>43074.357835648145</v>
      </c>
      <c r="J47" s="225">
        <v>0</v>
      </c>
      <c r="K47" s="237" t="str">
        <f>IF(ISEVEN(B47),(B47-1)&amp;"/"&amp;B47,B47&amp;"/"&amp;(B47+1))</f>
        <v>4055/4056</v>
      </c>
      <c r="L47" s="245" t="str">
        <f>VLOOKUP(A47,'Trips&amp;Operators'!$C$1:$G$99911,5,FALSE)</f>
        <v>BEAM ROSS</v>
      </c>
      <c r="M47" s="224">
        <f>I47-F47</f>
        <v>2.4131944439432118E-2</v>
      </c>
      <c r="N47" s="225">
        <f>24*60*SUM($M47:$M47)</f>
        <v>34.74999999278225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-05T06:56:51-0700',mode:absolute,to:'2017-12-05T09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4.7800000000000002E-2</v>
      </c>
      <c r="Z47" s="247">
        <f>RIGHT(H47,LEN(H47)-4)/10000</f>
        <v>23.332799999999999</v>
      </c>
      <c r="AA47" s="247">
        <f>ABS(Z47-Y47)</f>
        <v>23.285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/stypes="app*4056*20171205*"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135-05 --locoid 4056 --swversion DE.1.0.9.0 --startMP 204:478 --initTime 2017-12-05T07:56:51 --startdatetime 2017-12-05T08:00:32 --delay 53 --endMP 204:233328 --enddatetime 2017-12-05T08:35:17 --enforcementcount 0 &gt;&gt;%USERPROFILE%\Documents\GitHub\eaglep3-reporting\EC\2017-12-05-refined-times.txt</v>
      </c>
      <c r="AI47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{"issue":{"subject":"","project_id":79,"tracker_id":40,"status_id":1,"priority_id":2,"assigned_to_id":338,"start_date":"2017-12-05","description":"","custom_fields":[{"id":1,"name":"Subdivision","value":"EC"},{"id":4,"name":"Milepost","value":"23.3328"},{"id":17,"name":"Train ID","value":"135-05"},{"id":16,"name":"Locomotive ID","value":"4056"},{"id":130,"name":"Impact","value":""},{"id":150,"name":"Time of Event (Mountain Time)","value":"08:35:17"},{"id":151,"name":"Denver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4056 --day 2017-12-05</v>
      </c>
      <c r="AN47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-05T06:56:51-0700',mode:absolute,to:'2017-12-05T09:35:17-0700'))&amp;_a=(columns:!('Message%20ID',Summary),filters:!(),index:'emp_*',interval:auto,query:(query_string:(analyze_wildcard:!t,query:'%22rtdc.l.rtdc.4056%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767</v>
      </c>
      <c r="B48" s="225">
        <v>4055</v>
      </c>
      <c r="C48" s="227" t="s">
        <v>192</v>
      </c>
      <c r="D48" s="227" t="s">
        <v>614</v>
      </c>
      <c r="E48" s="226">
        <v>43074.361550925925</v>
      </c>
      <c r="F48" s="226">
        <v>43074.373113425929</v>
      </c>
      <c r="G48" s="225">
        <v>47</v>
      </c>
      <c r="H48" s="227" t="s">
        <v>537</v>
      </c>
      <c r="I48" s="226">
        <v>43074.398865740739</v>
      </c>
      <c r="J48" s="225">
        <v>0</v>
      </c>
      <c r="K48" s="237" t="str">
        <f>IF(ISEVEN(B48),(B48-1)&amp;"/"&amp;B48,B48&amp;"/"&amp;(B48+1))</f>
        <v>4055/4056</v>
      </c>
      <c r="L48" s="245" t="str">
        <f>VLOOKUP(A48,'Trips&amp;Operators'!$C$1:$G$99911,5,FALSE)</f>
        <v>BEAM ROSS</v>
      </c>
      <c r="M48" s="224">
        <f>I48-F48</f>
        <v>2.5752314810233656E-2</v>
      </c>
      <c r="N48" s="225">
        <f>24*60*SUM($M48:$M48)</f>
        <v>37.083333326736465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-05T07:40:38-0700',mode:absolute,to:'2017-12-05T10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23.2973</v>
      </c>
      <c r="Z48" s="247">
        <f>RIGHT(H48,LEN(H48)-4)/10000</f>
        <v>1.72E-2</v>
      </c>
      <c r="AA48" s="247">
        <f>ABS(Z48-Y48)</f>
        <v>23.280100000000001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/stypes="app*4055*20171205*"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136-05 --locoid 4055 --swversion DE.1.0.9.0 --startMP 204:232973 --initTime 2017-12-05T08:40:38 --startdatetime 2017-12-05T08:57:17 --delay 47 --endMP 204:172 --enddatetime 2017-12-05T09:34:22 --enforcementcount 0 &gt;&gt;%USERPROFILE%\Documents\GitHub\eaglep3-reporting\EC\2017-12-05-refined-times.txt</v>
      </c>
      <c r="AI48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{"issue":{"subject":"","project_id":79,"tracker_id":40,"status_id":1,"priority_id":2,"assigned_to_id":338,"start_date":"2017-12-05","description":"","custom_fields":[{"id":1,"name":"Subdivision","value":"EC"},{"id":4,"name":"Milepost","value":"0.0172"},{"id":17,"name":"Train ID","value":"136-05"},{"id":16,"name":"Locomotive ID","value":"4055"},{"id":130,"name":"Impact","value":""},{"id":150,"name":"Time of Event (Mountain Time)","value":"09:34:22"},{"id":151,"name":"Denver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4055 --day 2017-12-05</v>
      </c>
      <c r="AN48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-05T07:40:38-0700',mode:absolute,to:'2017-12-05T10:34:22-0700'))&amp;_a=(columns:!('Message%20ID',Summary),filters:!(),index:'emp_*',interval:auto,query:(query_string:(analyze_wildcard:!t,query:'%22rtdc.l.rtdc.4055%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761</v>
      </c>
      <c r="B49" s="225">
        <v>4006</v>
      </c>
      <c r="C49" s="227" t="s">
        <v>192</v>
      </c>
      <c r="D49" s="227" t="s">
        <v>552</v>
      </c>
      <c r="E49" s="226">
        <v>43074.342581018522</v>
      </c>
      <c r="F49" s="226">
        <v>43074.344340277778</v>
      </c>
      <c r="G49" s="225">
        <v>61</v>
      </c>
      <c r="H49" s="227" t="s">
        <v>487</v>
      </c>
      <c r="I49" s="226">
        <v>43074.368784722225</v>
      </c>
      <c r="J49" s="225">
        <v>0</v>
      </c>
      <c r="K49" s="237" t="str">
        <f>IF(ISEVEN(B49),(B49-1)&amp;"/"&amp;B49,B49&amp;"/"&amp;(B49+1))</f>
        <v>4005/4006</v>
      </c>
      <c r="L49" s="245" t="str">
        <f>VLOOKUP(A49,'Trips&amp;Operators'!$C$1:$G$99911,5,FALSE)</f>
        <v>LAMAR NEKESHA</v>
      </c>
      <c r="M49" s="224">
        <f>I49-F49</f>
        <v>2.4444444446999114E-2</v>
      </c>
      <c r="N49" s="225">
        <f>24*60*SUM($M49:$M49)</f>
        <v>35.200000003678724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-05T07:13:19-0700',mode:absolute,to:'2017-12-05T09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4.6600000000000003E-2</v>
      </c>
      <c r="Z49" s="247">
        <f>RIGHT(H49,LEN(H49)-4)/10000</f>
        <v>23.329699999999999</v>
      </c>
      <c r="AA49" s="247">
        <f>ABS(Z49-Y49)</f>
        <v>23.283099999999997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/stypes="app*4006*20171205*"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137-05 --locoid 4006 --swversion DE.1.0.9.0 --startMP 204:466 --initTime 2017-12-05T08:13:19 --startdatetime 2017-12-05T08:15:51 --delay 61 --endMP 204:233297 --enddatetime 2017-12-05T08:51:03 --enforcementcount 0 &gt;&gt;%USERPROFILE%\Documents\GitHub\eaglep3-reporting\EC\2017-12-05-refined-times.txt</v>
      </c>
      <c r="AI49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{"issue":{"subject":"","project_id":79,"tracker_id":40,"status_id":1,"priority_id":2,"assigned_to_id":338,"start_date":"2017-12-05","description":"","custom_fields":[{"id":1,"name":"Subdivision","value":"EC"},{"id":4,"name":"Milepost","value":"23.3297"},{"id":17,"name":"Train ID","value":"137-05"},{"id":16,"name":"Locomotive ID","value":"4006"},{"id":130,"name":"Impact","value":""},{"id":150,"name":"Time of Event (Mountain Time)","value":"08:51:03"},{"id":151,"name":"Denver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4006 --day 2017-12-05</v>
      </c>
      <c r="AN49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-05T07:13:19-0700',mode:absolute,to:'2017-12-05T09:51:03-0700'))&amp;_a=(columns:!('Message%20ID',Summary),filters:!(),index:'emp_*',interval:auto,query:(query_string:(analyze_wildcard:!t,query:'%22rtdc.l.rtdc.4006%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769</v>
      </c>
      <c r="B50" s="225">
        <v>4005</v>
      </c>
      <c r="C50" s="227" t="s">
        <v>192</v>
      </c>
      <c r="D50" s="227" t="s">
        <v>916</v>
      </c>
      <c r="E50" s="226">
        <v>43074.37945601852</v>
      </c>
      <c r="F50" s="226">
        <v>43074.383622685185</v>
      </c>
      <c r="G50" s="225">
        <v>61</v>
      </c>
      <c r="H50" s="227" t="s">
        <v>939</v>
      </c>
      <c r="I50" s="226">
        <v>43074.409224537034</v>
      </c>
      <c r="J50" s="225">
        <v>0</v>
      </c>
      <c r="K50" s="237" t="str">
        <f>IF(ISEVEN(B50),(B50-1)&amp;"/"&amp;B50,B50&amp;"/"&amp;(B50+1))</f>
        <v>4005/4006</v>
      </c>
      <c r="L50" s="245" t="str">
        <f>VLOOKUP(A50,'Trips&amp;Operators'!$C$1:$G$99911,5,FALSE)</f>
        <v>LAMAR NEKESHA</v>
      </c>
      <c r="M50" s="224">
        <f>I50-F50</f>
        <v>2.5601851848477963E-2</v>
      </c>
      <c r="N50" s="225">
        <f>24*60*SUM($M50:$M50)</f>
        <v>36.866666661808267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-05T08:06:25-0700',mode:absolute,to:'2017-12-05T10:49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23.297899999999998</v>
      </c>
      <c r="Z50" s="247">
        <f>RIGHT(H50,LEN(H50)-4)/10000</f>
        <v>1.83E-2</v>
      </c>
      <c r="AA50" s="247">
        <f>ABS(Z50-Y50)</f>
        <v>23.279599999999999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/stypes="app*4005*20171205*"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138-05 --locoid 4005 --swversion DE.1.0.9.0 --startMP 204:232979 --initTime 2017-12-05T09:06:25 --startdatetime 2017-12-05T09:12:25 --delay 61 --endMP 204:183 --enddatetime 2017-12-05T09:49:17 --enforcementcount 0 &gt;&gt;%USERPROFILE%\Documents\GitHub\eaglep3-reporting\EC\2017-12-05-refined-times.txt</v>
      </c>
      <c r="AI50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{"issue":{"subject":"","project_id":79,"tracker_id":40,"status_id":1,"priority_id":2,"assigned_to_id":338,"start_date":"2017-12-05","description":"","custom_fields":[{"id":1,"name":"Subdivision","value":"EC"},{"id":4,"name":"Milepost","value":"0.0183"},{"id":17,"name":"Train ID","value":"138-05"},{"id":16,"name":"Locomotive ID","value":"4005"},{"id":130,"name":"Impact","value":""},{"id":150,"name":"Time of Event (Mountain Time)","value":"09:49:17"},{"id":151,"name":"Denver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4005 --day 2017-12-05</v>
      </c>
      <c r="AN50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-05T08:06:25-0700',mode:absolute,to:'2017-12-05T10:49:17-0700'))&amp;_a=(columns:!('Message%20ID',Summary),filters:!(),index:'emp_*',interval:auto,query:(query_string:(analyze_wildcard:!t,query:'%22rtdc.l.rtdc.4005%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682</v>
      </c>
      <c r="B51" s="225">
        <v>4044</v>
      </c>
      <c r="C51" s="227" t="s">
        <v>192</v>
      </c>
      <c r="D51" s="227" t="s">
        <v>940</v>
      </c>
      <c r="E51" s="226">
        <v>43074.348506944443</v>
      </c>
      <c r="F51" s="226">
        <v>43074.354328703703</v>
      </c>
      <c r="G51" s="225">
        <v>51</v>
      </c>
      <c r="H51" s="227" t="s">
        <v>931</v>
      </c>
      <c r="I51" s="226">
        <v>43074.378194444442</v>
      </c>
      <c r="J51" s="225">
        <v>0</v>
      </c>
      <c r="K51" s="237" t="str">
        <f>IF(ISEVEN(B51),(B51-1)&amp;"/"&amp;B51,B51&amp;"/"&amp;(B51+1))</f>
        <v>4043/4044</v>
      </c>
      <c r="L51" s="245" t="str">
        <f>VLOOKUP(A51,'Trips&amp;Operators'!$C$1:$G$99911,5,FALSE)</f>
        <v>YORK EDGAR</v>
      </c>
      <c r="M51" s="224">
        <f>I51-F51</f>
        <v>2.3865740738983732E-2</v>
      </c>
      <c r="N51" s="225">
        <f>24*60*SUM($M51:$M51)</f>
        <v>34.366666664136574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-05T07:21:51-0700',mode:absolute,to:'2017-12-05T10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4.6699999999999998E-2</v>
      </c>
      <c r="Z51" s="247">
        <f>RIGHT(H51,LEN(H51)-4)/10000</f>
        <v>23.328399999999998</v>
      </c>
      <c r="AA51" s="247">
        <f>ABS(Z51-Y51)</f>
        <v>23.281699999999997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/stypes="app*4044*20171205*"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139-05 --locoid 4044 --swversion DE.1.0.9.0 --startMP 204:467 --initTime 2017-12-05T08:21:51 --startdatetime 2017-12-05T08:30:14 --delay 51 --endMP 204:233284 --enddatetime 2017-12-05T09:04:36 --enforcementcount 0 &gt;&gt;%USERPROFILE%\Documents\GitHub\eaglep3-reporting\EC\2017-12-05-refined-times.txt</v>
      </c>
      <c r="AI51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{"issue":{"subject":"","project_id":79,"tracker_id":40,"status_id":1,"priority_id":2,"assigned_to_id":338,"start_date":"2017-12-05","description":"","custom_fields":[{"id":1,"name":"Subdivision","value":"EC"},{"id":4,"name":"Milepost","value":"23.3284"},{"id":17,"name":"Train ID","value":"139-05"},{"id":16,"name":"Locomotive ID","value":"4044"},{"id":130,"name":"Impact","value":""},{"id":150,"name":"Time of Event (Mountain Time)","value":"09:04:36"},{"id":151,"name":"Denver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4044 --day 2017-12-05</v>
      </c>
      <c r="AN51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-05T07:21:51-0700',mode:absolute,to:'2017-12-05T10:04:36-0700'))&amp;_a=(columns:!('Message%20ID',Summary),filters:!(),index:'emp_*',interval:auto,query:(query_string:(analyze_wildcard:!t,query:'%22rtdc.l.rtdc.4044%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772</v>
      </c>
      <c r="B52" s="225">
        <v>4043</v>
      </c>
      <c r="C52" s="227" t="s">
        <v>192</v>
      </c>
      <c r="D52" s="227" t="s">
        <v>502</v>
      </c>
      <c r="E52" s="226">
        <v>43074.391296296293</v>
      </c>
      <c r="F52" s="226">
        <v>43074.394166666665</v>
      </c>
      <c r="G52" s="225">
        <v>106</v>
      </c>
      <c r="H52" s="227" t="s">
        <v>536</v>
      </c>
      <c r="I52" s="226">
        <v>43074.41988425926</v>
      </c>
      <c r="J52" s="225">
        <v>0</v>
      </c>
      <c r="K52" s="237" t="str">
        <f>IF(ISEVEN(B52),(B52-1)&amp;"/"&amp;B52,B52&amp;"/"&amp;(B52+1))</f>
        <v>4043/4044</v>
      </c>
      <c r="L52" s="245" t="str">
        <f>VLOOKUP(A52,'Trips&amp;Operators'!$C$1:$G$99911,5,FALSE)</f>
        <v>YORK EDGAR</v>
      </c>
      <c r="M52" s="224">
        <f>I52-F52</f>
        <v>2.5717592594446614E-2</v>
      </c>
      <c r="N52" s="225">
        <f>24*60*SUM($M52:$M52)</f>
        <v>37.033333336003125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-05T08:23:28-0700',mode:absolute,to:'2017-12-05T11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23.296500000000002</v>
      </c>
      <c r="Z52" s="247">
        <f>RIGHT(H52,LEN(H52)-4)/10000</f>
        <v>1.7000000000000001E-2</v>
      </c>
      <c r="AA52" s="247">
        <f>ABS(Z52-Y52)</f>
        <v>23.279500000000002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/stypes="app*4043*20171205*"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140-05 --locoid 4043 --swversion DE.1.0.9.0 --startMP 204:232965 --initTime 2017-12-05T09:23:28 --startdatetime 2017-12-05T09:27:36 --delay 106 --endMP 204:170 --enddatetime 2017-12-05T10:04:38 --enforcementcount 0 &gt;&gt;%USERPROFILE%\Documents\GitHub\eaglep3-reporting\EC\2017-12-05-refined-times.txt</v>
      </c>
      <c r="AI52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{"issue":{"subject":"","project_id":79,"tracker_id":40,"status_id":1,"priority_id":2,"assigned_to_id":338,"start_date":"2017-12-05","description":"","custom_fields":[{"id":1,"name":"Subdivision","value":"EC"},{"id":4,"name":"Milepost","value":"0.017"},{"id":17,"name":"Train ID","value":"140-05"},{"id":16,"name":"Locomotive ID","value":"4043"},{"id":130,"name":"Impact","value":""},{"id":150,"name":"Time of Event (Mountain Time)","value":"10:04:38"},{"id":151,"name":"Denver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4043 --day 2017-12-05</v>
      </c>
      <c r="AN52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2017-12-05T08:23:28-0700',mode:absolute,to:'2017-12-05T11:04:38-0700'))&amp;_a=(columns:!('Message%20ID',Summary),filters:!(),index:'emp_*',interval:auto,query:(query_string:(analyze_wildcard:!t,query:'%22rtdc.l.rtdc.4043%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765</v>
      </c>
      <c r="B53" s="225">
        <v>4014</v>
      </c>
      <c r="C53" s="227" t="s">
        <v>192</v>
      </c>
      <c r="D53" s="227" t="s">
        <v>552</v>
      </c>
      <c r="E53" s="226">
        <v>43074.359629629631</v>
      </c>
      <c r="F53" s="226">
        <v>43074.364745370367</v>
      </c>
      <c r="G53" s="225">
        <v>76</v>
      </c>
      <c r="H53" s="227" t="s">
        <v>941</v>
      </c>
      <c r="I53" s="226">
        <v>43074.389537037037</v>
      </c>
      <c r="J53" s="225">
        <v>0</v>
      </c>
      <c r="K53" s="237" t="str">
        <f>IF(ISEVEN(B53),(B53-1)&amp;"/"&amp;B53,B53&amp;"/"&amp;(B53+1))</f>
        <v>4013/4014</v>
      </c>
      <c r="L53" s="245" t="str">
        <f>VLOOKUP(A53,'Trips&amp;Operators'!$C$1:$G$99911,5,FALSE)</f>
        <v>YANAI IAN</v>
      </c>
      <c r="M53" s="224">
        <f>I53-F53</f>
        <v>2.4791666670353152E-2</v>
      </c>
      <c r="N53" s="225">
        <f>24*60*SUM($M53:$M53)</f>
        <v>35.700000005308539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-05T07:37:52-0700',mode:absolute,to:'2017-12-05T10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4.6600000000000003E-2</v>
      </c>
      <c r="Z53" s="247">
        <f>RIGHT(H53,LEN(H53)-4)/10000</f>
        <v>23.3308</v>
      </c>
      <c r="AA53" s="247">
        <f>ABS(Z53-Y53)</f>
        <v>23.284199999999998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/stypes="app*4014*20171205*"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141-05 --locoid 4014 --swversion DE.1.0.9.0 --startMP 204:466 --initTime 2017-12-05T08:37:52 --startdatetime 2017-12-05T08:45:14 --delay 76 --endMP 204:233308 --enddatetime 2017-12-05T09:20:56 --enforcementcount 0 &gt;&gt;%USERPROFILE%\Documents\GitHub\eaglep3-reporting\EC\2017-12-05-refined-times.txt</v>
      </c>
      <c r="AI53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{"issue":{"subject":"","project_id":79,"tracker_id":40,"status_id":1,"priority_id":2,"assigned_to_id":338,"start_date":"2017-12-05","description":"","custom_fields":[{"id":1,"name":"Subdivision","value":"EC"},{"id":4,"name":"Milepost","value":"23.3308"},{"id":17,"name":"Train ID","value":"141-05"},{"id":16,"name":"Locomotive ID","value":"4014"},{"id":130,"name":"Impact","value":""},{"id":150,"name":"Time of Event (Mountain Time)","value":"09:20:56"},{"id":151,"name":"Denver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4014 --day 2017-12-05</v>
      </c>
      <c r="AN53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-05T07:37:52-0700',mode:absolute,to:'2017-12-05T10:20:56-0700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771</v>
      </c>
      <c r="B54" s="225">
        <v>4013</v>
      </c>
      <c r="C54" s="227" t="s">
        <v>192</v>
      </c>
      <c r="D54" s="227" t="s">
        <v>511</v>
      </c>
      <c r="E54" s="226">
        <v>43074.391157407408</v>
      </c>
      <c r="F54" s="226">
        <v>43074.404340277775</v>
      </c>
      <c r="G54" s="225">
        <v>73</v>
      </c>
      <c r="H54" s="227" t="s">
        <v>459</v>
      </c>
      <c r="I54" s="226">
        <v>43074.429988425924</v>
      </c>
      <c r="J54" s="225">
        <v>0</v>
      </c>
      <c r="K54" s="237" t="str">
        <f>IF(ISEVEN(B54),(B54-1)&amp;"/"&amp;B54,B54&amp;"/"&amp;(B54+1))</f>
        <v>4013/4014</v>
      </c>
      <c r="L54" s="245" t="str">
        <f>VLOOKUP(A54,'Trips&amp;Operators'!$C$1:$G$99911,5,FALSE)</f>
        <v>YANAI IAN</v>
      </c>
      <c r="M54" s="224">
        <f>I54-F54</f>
        <v>2.5648148148320615E-2</v>
      </c>
      <c r="N54" s="225">
        <f>24*60*SUM($M54:$M54)</f>
        <v>36.933333333581686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-05T08:23:16-0700',mode:absolute,to:'2017-12-05T11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23.299299999999999</v>
      </c>
      <c r="Z54" s="247">
        <f>RIGHT(H54,LEN(H54)-4)/10000</f>
        <v>1.5800000000000002E-2</v>
      </c>
      <c r="AA54" s="247">
        <f>ABS(Z54-Y54)</f>
        <v>23.2835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/stypes="app*4013*20171205*"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142-05 --locoid 4013 --swversion DE.1.0.9.0 --startMP 204:232993 --initTime 2017-12-05T09:23:16 --startdatetime 2017-12-05T09:42:15 --delay 73 --endMP 204:158 --enddatetime 2017-12-05T10:19:11 --enforcementcount 0 &gt;&gt;%USERPROFILE%\Documents\GitHub\eaglep3-reporting\EC\2017-12-05-refined-times.txt</v>
      </c>
      <c r="AI54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{"issue":{"subject":"","project_id":79,"tracker_id":40,"status_id":1,"priority_id":2,"assigned_to_id":338,"start_date":"2017-12-05","description":"","custom_fields":[{"id":1,"name":"Subdivision","value":"EC"},{"id":4,"name":"Milepost","value":"0.0158"},{"id":17,"name":"Train ID","value":"142-05"},{"id":16,"name":"Locomotive ID","value":"4013"},{"id":130,"name":"Impact","value":""},{"id":150,"name":"Time of Event (Mountain Time)","value":"10:19:11"},{"id":151,"name":"Denver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4013 --day 2017-12-05</v>
      </c>
      <c r="AN54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-05T08:23:16-0700',mode:absolute,to:'2017-12-05T11:19:11-0700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683</v>
      </c>
      <c r="B55" s="225">
        <v>4054</v>
      </c>
      <c r="C55" s="227" t="s">
        <v>192</v>
      </c>
      <c r="D55" s="227" t="s">
        <v>415</v>
      </c>
      <c r="E55" s="226">
        <v>43074.370752314811</v>
      </c>
      <c r="F55" s="226">
        <v>43074.374583333331</v>
      </c>
      <c r="G55" s="225">
        <v>64</v>
      </c>
      <c r="H55" s="227" t="s">
        <v>942</v>
      </c>
      <c r="I55" s="226">
        <v>43074.400497685187</v>
      </c>
      <c r="J55" s="225">
        <v>0</v>
      </c>
      <c r="K55" s="237" t="str">
        <f>IF(ISEVEN(B55),(B55-1)&amp;"/"&amp;B55,B55&amp;"/"&amp;(B55+1))</f>
        <v>4053/4054</v>
      </c>
      <c r="L55" s="245" t="str">
        <f>VLOOKUP(A55,'Trips&amp;Operators'!$C$1:$G$99911,5,FALSE)</f>
        <v>HAMMOND JUSTYNN</v>
      </c>
      <c r="M55" s="224">
        <f>I55-F55</f>
        <v>2.5914351856044959E-2</v>
      </c>
      <c r="N55" s="225">
        <f>24*60*SUM($M55:$M55)</f>
        <v>37.316666672704741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-05T07:53:53-0700',mode:absolute,to:'2017-12-05T10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5.0799999999999998E-2</v>
      </c>
      <c r="Z55" s="247">
        <f>RIGHT(H55,LEN(H55)-4)/10000</f>
        <v>23.328800000000001</v>
      </c>
      <c r="AA55" s="247">
        <f>ABS(Z55-Y55)</f>
        <v>23.278000000000002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/stypes="app*4054*20171205*"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143-05 --locoid 4054 --swversion DE.1.0.9.0 --startMP 204:508 --initTime 2017-12-05T08:53:53 --startdatetime 2017-12-05T08:59:24 --delay 64 --endMP 204:233288 --enddatetime 2017-12-05T09:36:43 --enforcementcount 0 &gt;&gt;%USERPROFILE%\Documents\GitHub\eaglep3-reporting\EC\2017-12-05-refined-times.txt</v>
      </c>
      <c r="AI55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{"issue":{"subject":"","project_id":79,"tracker_id":40,"status_id":1,"priority_id":2,"assigned_to_id":338,"start_date":"2017-12-05","description":"","custom_fields":[{"id":1,"name":"Subdivision","value":"EC"},{"id":4,"name":"Milepost","value":"23.3288"},{"id":17,"name":"Train ID","value":"143-05"},{"id":16,"name":"Locomotive ID","value":"4054"},{"id":130,"name":"Impact","value":""},{"id":150,"name":"Time of Event (Mountain Time)","value":"09:36:43"},{"id":151,"name":"Denver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4054 --day 2017-12-05</v>
      </c>
      <c r="AN55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-05T07:53:53-0700',mode:absolute,to:'2017-12-05T10:36:43-0700'))&amp;_a=(columns:!('Message%20ID',Summary),filters:!(),index:'emp_*',interval:auto,query:(query_string:(analyze_wildcard:!t,query:'%22rtdc.l.rtdc.4054%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684</v>
      </c>
      <c r="B56" s="225">
        <v>4053</v>
      </c>
      <c r="C56" s="227" t="s">
        <v>192</v>
      </c>
      <c r="D56" s="227" t="s">
        <v>943</v>
      </c>
      <c r="E56" s="226">
        <v>43074.412395833337</v>
      </c>
      <c r="F56" s="226">
        <v>43074.414826388886</v>
      </c>
      <c r="G56" s="225">
        <v>60</v>
      </c>
      <c r="H56" s="227" t="s">
        <v>406</v>
      </c>
      <c r="I56" s="226">
        <v>43074.441076388888</v>
      </c>
      <c r="J56" s="225">
        <v>0</v>
      </c>
      <c r="K56" s="237" t="str">
        <f>IF(ISEVEN(B56),(B56-1)&amp;"/"&amp;B56,B56&amp;"/"&amp;(B56+1))</f>
        <v>4053/4054</v>
      </c>
      <c r="L56" s="245" t="str">
        <f>VLOOKUP(A56,'Trips&amp;Operators'!$C$1:$G$99911,5,FALSE)</f>
        <v>HAMMOND JUSTYNN</v>
      </c>
      <c r="M56" s="224">
        <f>I56-F56</f>
        <v>2.6250000002619345E-2</v>
      </c>
      <c r="N56" s="225">
        <f>24*60*SUM($M56:$M56)</f>
        <v>37.800000003771856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-05T08:53:51-0700',mode:absolute,to:'2017-12-05T11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23.2957</v>
      </c>
      <c r="Z56" s="247">
        <f>RIGHT(H56,LEN(H56)-4)/10000</f>
        <v>2.07E-2</v>
      </c>
      <c r="AA56" s="247">
        <f>ABS(Z56-Y56)</f>
        <v>23.274999999999999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/stypes="app*4053*20171205*"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144-05 --locoid 4053 --swversion DE.1.0.9.0 --startMP 204:232957 --initTime 2017-12-05T09:53:51 --startdatetime 2017-12-05T09:57:21 --delay 60 --endMP 204:207 --enddatetime 2017-12-05T10:35:09 --enforcementcount 0 &gt;&gt;%USERPROFILE%\Documents\GitHub\eaglep3-reporting\EC\2017-12-05-refined-times.txt</v>
      </c>
      <c r="AI56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{"issue":{"subject":"","project_id":79,"tracker_id":40,"status_id":1,"priority_id":2,"assigned_to_id":338,"start_date":"2017-12-05","description":"","custom_fields":[{"id":1,"name":"Subdivision","value":"EC"},{"id":4,"name":"Milepost","value":"0.0207"},{"id":17,"name":"Train ID","value":"144-05"},{"id":16,"name":"Locomotive ID","value":"4053"},{"id":130,"name":"Impact","value":""},{"id":150,"name":"Time of Event (Mountain Time)","value":"10:35:09"},{"id":151,"name":"Denver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4053 --day 2017-12-05</v>
      </c>
      <c r="AN56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-05T08:53:51-0700',mode:absolute,to:'2017-12-05T11:35:09-0700'))&amp;_a=(columns:!('Message%20ID',Summary),filters:!(),index:'emp_*',interval:auto,query:(query_string:(analyze_wildcard:!t,query:'%22rtdc.l.rtdc.4053%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770</v>
      </c>
      <c r="B57" s="225">
        <v>4036</v>
      </c>
      <c r="C57" s="227" t="s">
        <v>192</v>
      </c>
      <c r="D57" s="227" t="s">
        <v>618</v>
      </c>
      <c r="E57" s="226">
        <v>43074.38208333333</v>
      </c>
      <c r="F57" s="226">
        <v>43074.385567129626</v>
      </c>
      <c r="G57" s="225">
        <v>50</v>
      </c>
      <c r="H57" s="227" t="s">
        <v>557</v>
      </c>
      <c r="I57" s="226">
        <v>43074.410254629627</v>
      </c>
      <c r="J57" s="225">
        <v>0</v>
      </c>
      <c r="K57" s="237" t="str">
        <f>IF(ISEVEN(B57),(B57-1)&amp;"/"&amp;B57,B57&amp;"/"&amp;(B57+1))</f>
        <v>4035/4036</v>
      </c>
      <c r="L57" s="245" t="str">
        <f>VLOOKUP(A57,'Trips&amp;Operators'!$C$1:$G$99911,5,FALSE)</f>
        <v>BROWN JACOB</v>
      </c>
      <c r="M57" s="224">
        <f>I57-F57</f>
        <v>2.4687500001164153E-2</v>
      </c>
      <c r="N57" s="225">
        <f>24*60*SUM($M57:$M57)</f>
        <v>35.550000001676381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-05T08:10:12-0700',mode:absolute,to:'2017-12-05T10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4.8800000000000003E-2</v>
      </c>
      <c r="Z57" s="247">
        <f>RIGHT(H57,LEN(H57)-4)/10000</f>
        <v>23.328099999999999</v>
      </c>
      <c r="AA57" s="247">
        <f>ABS(Z57-Y57)</f>
        <v>23.279299999999999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/stypes="app*4036*20171205*"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145-05 --locoid 4036 --swversion DE.1.0.9.0 --startMP 204:488 --initTime 2017-12-05T09:10:12 --startdatetime 2017-12-05T09:15:13 --delay 50 --endMP 204:233281 --enddatetime 2017-12-05T09:50:46 --enforcementcount 0 &gt;&gt;%USERPROFILE%\Documents\GitHub\eaglep3-reporting\EC\2017-12-05-refined-times.txt</v>
      </c>
      <c r="AI57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{"issue":{"subject":"","project_id":79,"tracker_id":40,"status_id":1,"priority_id":2,"assigned_to_id":338,"start_date":"2017-12-05","description":"","custom_fields":[{"id":1,"name":"Subdivision","value":"EC"},{"id":4,"name":"Milepost","value":"23.3281"},{"id":17,"name":"Train ID","value":"145-05"},{"id":16,"name":"Locomotive ID","value":"4036"},{"id":130,"name":"Impact","value":""},{"id":150,"name":"Time of Event (Mountain Time)","value":"09:50:46"},{"id":151,"name":"Denver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4036 --day 2017-12-05</v>
      </c>
      <c r="AN57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-05T08:10:12-0700',mode:absolute,to:'2017-12-05T10:50:46-0700'))&amp;_a=(columns:!('Message%20ID',Summary),filters:!(),index:'emp_*',interval:auto,query:(query_string:(analyze_wildcard:!t,query:'%22rtdc.l.rtdc.4036%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685</v>
      </c>
      <c r="B58" s="225">
        <v>4035</v>
      </c>
      <c r="C58" s="227" t="s">
        <v>192</v>
      </c>
      <c r="D58" s="227" t="s">
        <v>545</v>
      </c>
      <c r="E58" s="226">
        <v>43074.41611111111</v>
      </c>
      <c r="F58" s="226">
        <v>43074.425185185188</v>
      </c>
      <c r="G58" s="225">
        <v>72</v>
      </c>
      <c r="H58" s="227" t="s">
        <v>531</v>
      </c>
      <c r="I58" s="226">
        <v>43074.451180555552</v>
      </c>
      <c r="J58" s="225">
        <v>0</v>
      </c>
      <c r="K58" s="237" t="str">
        <f>IF(ISEVEN(B58),(B58-1)&amp;"/"&amp;B58,B58&amp;"/"&amp;(B58+1))</f>
        <v>4035/4036</v>
      </c>
      <c r="L58" s="245" t="str">
        <f>VLOOKUP(A58,'Trips&amp;Operators'!$C$1:$G$99911,5,FALSE)</f>
        <v>BROWN JACOB</v>
      </c>
      <c r="M58" s="224">
        <f>I58-F58</f>
        <v>2.5995370364398696E-2</v>
      </c>
      <c r="N58" s="225">
        <f>24*60*SUM($M58:$M58)</f>
        <v>37.433333324734122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-05T08:59:12-0700',mode:absolute,to:'2017-12-05T11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23.296600000000002</v>
      </c>
      <c r="Z58" s="247">
        <f>RIGHT(H58,LEN(H58)-4)/10000</f>
        <v>1.89E-2</v>
      </c>
      <c r="AA58" s="247">
        <f>ABS(Z58-Y58)</f>
        <v>23.277700000000003</v>
      </c>
      <c r="AB58" s="233" t="str">
        <f>VLOOKUP(A58,Enforcements!$C$7:$K$9,8,0)</f>
        <v>Bulletin (2)</v>
      </c>
      <c r="AC58" s="232" t="str">
        <f>VLOOKUP(A58,Enforcements!$C$7:$E$9,3,0)</f>
        <v>GRADE CROSSING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/stypes="app*4035*20171205*"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146-05 --locoid 4035 --swversion DE.1.0.9.0 --startMP 204:232966 --initTime 2017-12-05T09:59:12 --startdatetime 2017-12-05T10:12:16 --delay 72 --endMP 204:189 --enddatetime 2017-12-05T10:49:42 --enforcementcount 0 &gt;&gt;%USERPROFILE%\Documents\GitHub\eaglep3-reporting\EC\2017-12-05-refined-times.txt</v>
      </c>
      <c r="AI58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{"issue":{"subject":"","project_id":79,"tracker_id":40,"status_id":1,"priority_id":2,"assigned_to_id":338,"start_date":"2017-12-05","description":"","custom_fields":[{"id":1,"name":"Subdivision","value":"EC"},{"id":4,"name":"Milepost","value":"0.0189"},{"id":17,"name":"Train ID","value":"146-05"},{"id":16,"name":"Locomotive ID","value":"4035"},{"id":130,"name":"Impact","value":""},{"id":150,"name":"Time of Event (Mountain Time)","value":"10:49:42"},{"id":151,"name":"Denver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4035 --day 2017-12-05</v>
      </c>
      <c r="AN58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-05T08:59:12-0700',mode:absolute,to:'2017-12-05T11:49:42-0700'))&amp;_a=(columns:!('Message%20ID',Summary),filters:!(),index:'emp_*',interval:auto,query:(query_string:(analyze_wildcard:!t,query:'%22rtdc.l.rtdc.4035%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774</v>
      </c>
      <c r="B59" s="225">
        <v>4060</v>
      </c>
      <c r="C59" s="227" t="s">
        <v>192</v>
      </c>
      <c r="D59" s="227" t="s">
        <v>461</v>
      </c>
      <c r="E59" s="226">
        <v>43074.393900462965</v>
      </c>
      <c r="F59" s="226">
        <v>43074.39644675926</v>
      </c>
      <c r="G59" s="225">
        <v>59</v>
      </c>
      <c r="H59" s="227" t="s">
        <v>944</v>
      </c>
      <c r="I59" s="226">
        <v>43074.421122685184</v>
      </c>
      <c r="J59" s="225">
        <v>0</v>
      </c>
      <c r="K59" s="237" t="str">
        <f>IF(ISEVEN(B59),(B59-1)&amp;"/"&amp;B59,B59&amp;"/"&amp;(B59+1))</f>
        <v>4059/4060</v>
      </c>
      <c r="L59" s="245" t="str">
        <f>VLOOKUP(A59,'Trips&amp;Operators'!$C$1:$G$99911,5,FALSE)</f>
        <v>THOMPSON LESTER</v>
      </c>
      <c r="M59" s="224">
        <f>I59-F59</f>
        <v>2.4675925924384501E-2</v>
      </c>
      <c r="N59" s="225">
        <f>24*60*SUM($M59:$M59)</f>
        <v>35.533333331113681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-05T08:27:13-0700',mode:absolute,to:'2017-12-05T11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5.1999999999999998E-2</v>
      </c>
      <c r="Z59" s="247">
        <f>RIGHT(H59,LEN(H59)-4)/10000</f>
        <v>23.334099999999999</v>
      </c>
      <c r="AA59" s="247">
        <f>ABS(Z59-Y59)</f>
        <v>23.2821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/stypes="app*4060*20171205*"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147-05 --locoid 4060 --swversion DE.1.0.9.0 --startMP 204:520 --initTime 2017-12-05T09:27:13 --startdatetime 2017-12-05T09:30:53 --delay 59 --endMP 204:233341 --enddatetime 2017-12-05T10:06:25 --enforcementcount 0 &gt;&gt;%USERPROFILE%\Documents\GitHub\eaglep3-reporting\EC\2017-12-05-refined-times.txt</v>
      </c>
      <c r="AI59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{"issue":{"subject":"","project_id":79,"tracker_id":40,"status_id":1,"priority_id":2,"assigned_to_id":338,"start_date":"2017-12-05","description":"","custom_fields":[{"id":1,"name":"Subdivision","value":"EC"},{"id":4,"name":"Milepost","value":"23.3341"},{"id":17,"name":"Train ID","value":"147-05"},{"id":16,"name":"Locomotive ID","value":"4060"},{"id":130,"name":"Impact","value":""},{"id":150,"name":"Time of Event (Mountain Time)","value":"10:06:25"},{"id":151,"name":"Denver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4060 --day 2017-12-05</v>
      </c>
      <c r="AN59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-05T08:27:13-0700',mode:absolute,to:'2017-12-05T11:06:25-0700'))&amp;_a=(columns:!('Message%20ID',Summary),filters:!(),index:'emp_*',interval:auto,query:(query_string:(analyze_wildcard:!t,query:'%22rtdc.l.rtdc.4060%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781</v>
      </c>
      <c r="B60" s="225">
        <v>4059</v>
      </c>
      <c r="C60" s="227" t="s">
        <v>192</v>
      </c>
      <c r="D60" s="227" t="s">
        <v>945</v>
      </c>
      <c r="E60" s="226">
        <v>43074.433993055558</v>
      </c>
      <c r="F60" s="226">
        <v>43074.435787037037</v>
      </c>
      <c r="G60" s="225">
        <v>59</v>
      </c>
      <c r="H60" s="227" t="s">
        <v>918</v>
      </c>
      <c r="I60" s="226">
        <v>43074.46234953704</v>
      </c>
      <c r="J60" s="225">
        <v>0</v>
      </c>
      <c r="K60" s="237" t="str">
        <f>IF(ISEVEN(B60),(B60-1)&amp;"/"&amp;B60,B60&amp;"/"&amp;(B60+1))</f>
        <v>4059/4060</v>
      </c>
      <c r="L60" s="245" t="str">
        <f>VLOOKUP(A60,'Trips&amp;Operators'!$C$1:$G$99911,5,FALSE)</f>
        <v>THOMPSON LESTER</v>
      </c>
      <c r="M60" s="224">
        <f>I60-F60</f>
        <v>2.6562500002910383E-2</v>
      </c>
      <c r="N60" s="225">
        <f>24*60*SUM($M60:$M60)</f>
        <v>38.250000004190952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-05T09:24:57-0700',mode:absolute,to:'2017-12-05T12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23.3017</v>
      </c>
      <c r="Z60" s="247">
        <f>RIGHT(H60,LEN(H60)-4)/10000</f>
        <v>1.7399999999999999E-2</v>
      </c>
      <c r="AA60" s="247">
        <f>ABS(Z60-Y60)</f>
        <v>23.284300000000002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/stypes="app*4059*20171205*"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148-05 --locoid 4059 --swversion DE.1.0.9.0 --startMP 204:233017 --initTime 2017-12-05T10:24:57 --startdatetime 2017-12-05T10:27:32 --delay 59 --endMP 204:174 --enddatetime 2017-12-05T11:05:47 --enforcementcount 0 &gt;&gt;%USERPROFILE%\Documents\GitHub\eaglep3-reporting\EC\2017-12-05-refined-times.txt</v>
      </c>
      <c r="AI60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{"issue":{"subject":"","project_id":79,"tracker_id":40,"status_id":1,"priority_id":2,"assigned_to_id":338,"start_date":"2017-12-05","description":"","custom_fields":[{"id":1,"name":"Subdivision","value":"EC"},{"id":4,"name":"Milepost","value":"0.0174"},{"id":17,"name":"Train ID","value":"148-05"},{"id":16,"name":"Locomotive ID","value":"4059"},{"id":130,"name":"Impact","value":""},{"id":150,"name":"Time of Event (Mountain Time)","value":"11:05:47"},{"id":151,"name":"Denver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4059 --day 2017-12-05</v>
      </c>
      <c r="AN60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-05T09:24:57-0700',mode:absolute,to:'2017-12-05T12:05:47-0700'))&amp;_a=(columns:!('Message%20ID',Summary),filters:!(),index:'emp_*',interval:auto,query:(query_string:(analyze_wildcard:!t,query:'%22rtdc.l.rtdc.4059%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775</v>
      </c>
      <c r="B61" s="225">
        <v>4056</v>
      </c>
      <c r="C61" s="227" t="s">
        <v>192</v>
      </c>
      <c r="D61" s="227" t="s">
        <v>485</v>
      </c>
      <c r="E61" s="226">
        <v>43074.401782407411</v>
      </c>
      <c r="F61" s="226">
        <v>43074.4065162037</v>
      </c>
      <c r="G61" s="225">
        <v>64</v>
      </c>
      <c r="H61" s="227" t="s">
        <v>930</v>
      </c>
      <c r="I61" s="226">
        <v>43074.430937500001</v>
      </c>
      <c r="J61" s="225">
        <v>0</v>
      </c>
      <c r="K61" s="237" t="str">
        <f>IF(ISEVEN(B61),(B61-1)&amp;"/"&amp;B61,B61&amp;"/"&amp;(B61+1))</f>
        <v>4055/4056</v>
      </c>
      <c r="L61" s="245" t="str">
        <f>VLOOKUP(A61,'Trips&amp;Operators'!$C$1:$G$99911,5,FALSE)</f>
        <v>BEAM ROSS</v>
      </c>
      <c r="M61" s="224">
        <f>I61-F61</f>
        <v>2.4421296300715767E-2</v>
      </c>
      <c r="N61" s="225">
        <f>24*60*SUM($M61:$M61)</f>
        <v>35.166666673030704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-05T08:38:34-0700',mode:absolute,to:'2017-12-05T11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4.9099999999999998E-2</v>
      </c>
      <c r="Z61" s="247">
        <f>RIGHT(H61,LEN(H61)-4)/10000</f>
        <v>23.331399999999999</v>
      </c>
      <c r="AA61" s="247">
        <f>ABS(Z61-Y61)</f>
        <v>23.282299999999999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149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/stypes="app*4056*20171205*"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149-05 --locoid 4056 --swversion DE.1.0.9.0 --startMP 204:491 --initTime 2017-12-05T09:38:34 --startdatetime 2017-12-05T09:45:23 --delay 64 --endMP 204:233314 --enddatetime 2017-12-05T10:20:33 --enforcementcount 0 &gt;&gt;%USERPROFILE%\Documents\GitHub\eaglep3-reporting\EC\2017-12-05-refined-times.txt</v>
      </c>
      <c r="AI61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{"issue":{"subject":"","project_id":79,"tracker_id":40,"status_id":1,"priority_id":2,"assigned_to_id":338,"start_date":"2017-12-05","description":"","custom_fields":[{"id":1,"name":"Subdivision","value":"EC"},{"id":4,"name":"Milepost","value":"23.3314"},{"id":17,"name":"Train ID","value":"149-05"},{"id":16,"name":"Locomotive ID","value":"4056"},{"id":130,"name":"Impact","value":""},{"id":150,"name":"Time of Event (Mountain Time)","value":"10:20:33"},{"id":151,"name":"Denver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4056 --day 2017-12-05</v>
      </c>
      <c r="AN61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-05T08:38:34-0700',mode:absolute,to:'2017-12-05T11:20:33-0700'))&amp;_a=(columns:!('Message%20ID',Summary),filters:!(),index:'emp_*',interval:auto,query:(query_string:(analyze_wildcard:!t,query:'%22rtdc.l.rtdc.4056%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780</v>
      </c>
      <c r="B62" s="225">
        <v>4055</v>
      </c>
      <c r="C62" s="227" t="s">
        <v>192</v>
      </c>
      <c r="D62" s="227" t="s">
        <v>946</v>
      </c>
      <c r="E62" s="226">
        <v>43074.431805555556</v>
      </c>
      <c r="F62" s="226">
        <v>43074.446076388886</v>
      </c>
      <c r="G62" s="225">
        <v>50</v>
      </c>
      <c r="H62" s="227" t="s">
        <v>656</v>
      </c>
      <c r="I62" s="226">
        <v>43074.471087962964</v>
      </c>
      <c r="J62" s="225">
        <v>0</v>
      </c>
      <c r="K62" s="237" t="str">
        <f>IF(ISEVEN(B62),(B62-1)&amp;"/"&amp;B62,B62&amp;"/"&amp;(B62+1))</f>
        <v>4055/4056</v>
      </c>
      <c r="L62" s="245" t="str">
        <f>VLOOKUP(A62,'Trips&amp;Operators'!$C$1:$G$99911,5,FALSE)</f>
        <v>BEAM ROSS</v>
      </c>
      <c r="M62" s="224">
        <f>I62-F62</f>
        <v>2.5011574078234844E-2</v>
      </c>
      <c r="N62" s="225">
        <f>24*60*SUM($M62:$M62)</f>
        <v>36.016666672658175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-05T09:21:48-0700',mode:absolute,to:'2017-12-05T12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23.301300000000001</v>
      </c>
      <c r="Z62" s="247">
        <f>RIGHT(H62,LEN(H62)-4)/10000</f>
        <v>1.6899999999999998E-2</v>
      </c>
      <c r="AA62" s="247">
        <f>ABS(Z62-Y62)</f>
        <v>23.284400000000002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150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/stypes="app*4055*20171205*"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150-05 --locoid 4055 --swversion DE.1.0.9.0 --startMP 204:233013 --initTime 2017-12-05T10:21:48 --startdatetime 2017-12-05T10:42:21 --delay 50 --endMP 204:169 --enddatetime 2017-12-05T11:18:22 --enforcementcount 0 &gt;&gt;%USERPROFILE%\Documents\GitHub\eaglep3-reporting\EC\2017-12-05-refined-times.txt</v>
      </c>
      <c r="AI62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{"issue":{"subject":"","project_id":79,"tracker_id":40,"status_id":1,"priority_id":2,"assigned_to_id":338,"start_date":"2017-12-05","description":"","custom_fields":[{"id":1,"name":"Subdivision","value":"EC"},{"id":4,"name":"Milepost","value":"0.0169"},{"id":17,"name":"Train ID","value":"150-05"},{"id":16,"name":"Locomotive ID","value":"4055"},{"id":130,"name":"Impact","value":""},{"id":150,"name":"Time of Event (Mountain Time)","value":"11:18:22"},{"id":151,"name":"Denver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4055 --day 2017-12-05</v>
      </c>
      <c r="AN62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-05T09:21:48-0700',mode:absolute,to:'2017-12-05T12:18:22-0700'))&amp;_a=(columns:!('Message%20ID',Summary),filters:!(),index:'emp_*',interval:auto,query:(query_string:(analyze_wildcard:!t,query:'%22rtdc.l.rtdc.4055%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776</v>
      </c>
      <c r="B63" s="225">
        <v>4006</v>
      </c>
      <c r="C63" s="227" t="s">
        <v>192</v>
      </c>
      <c r="D63" s="227" t="s">
        <v>947</v>
      </c>
      <c r="E63" s="226">
        <v>43074.413784722223</v>
      </c>
      <c r="F63" s="226">
        <v>43074.41684027778</v>
      </c>
      <c r="G63" s="225">
        <v>49</v>
      </c>
      <c r="H63" s="227" t="s">
        <v>623</v>
      </c>
      <c r="I63" s="226">
        <v>43074.441041666665</v>
      </c>
      <c r="J63" s="225">
        <v>0</v>
      </c>
      <c r="K63" s="237" t="str">
        <f>IF(ISEVEN(B63),(B63-1)&amp;"/"&amp;B63,B63&amp;"/"&amp;(B63+1))</f>
        <v>4005/4006</v>
      </c>
      <c r="L63" s="245" t="str">
        <f>VLOOKUP(A63,'Trips&amp;Operators'!$C$1:$G$99911,5,FALSE)</f>
        <v>LAMAR NEKESHA</v>
      </c>
      <c r="M63" s="224">
        <f>I63-F63</f>
        <v>2.4201388885558117E-2</v>
      </c>
      <c r="N63" s="225">
        <f>24*60*SUM($M63:$M63)</f>
        <v>34.849999995203689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-05T08:55:51-0700',mode:absolute,to:'2017-12-05T11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4.7699999999999999E-2</v>
      </c>
      <c r="Z63" s="247">
        <f>RIGHT(H63,LEN(H63)-4)/10000</f>
        <v>23.327999999999999</v>
      </c>
      <c r="AA63" s="247">
        <f>ABS(Z63-Y63)</f>
        <v>23.2803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151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/stypes="app*4006*20171205*"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151-05 --locoid 4006 --swversion DE.1.0.9.0 --startMP 204:477 --initTime 2017-12-05T09:55:51 --startdatetime 2017-12-05T10:00:15 --delay 49 --endMP 204:233280 --enddatetime 2017-12-05T10:35:06 --enforcementcount 0 &gt;&gt;%USERPROFILE%\Documents\GitHub\eaglep3-reporting\EC\2017-12-05-refined-times.txt</v>
      </c>
      <c r="AI63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{"issue":{"subject":"","project_id":79,"tracker_id":40,"status_id":1,"priority_id":2,"assigned_to_id":338,"start_date":"2017-12-05","description":"","custom_fields":[{"id":1,"name":"Subdivision","value":"EC"},{"id":4,"name":"Milepost","value":"23.328"},{"id":17,"name":"Train ID","value":"151-05"},{"id":16,"name":"Locomotive ID","value":"4006"},{"id":130,"name":"Impact","value":""},{"id":150,"name":"Time of Event (Mountain Time)","value":"10:35:06"},{"id":151,"name":"Denver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4006 --day 2017-12-05</v>
      </c>
      <c r="AN63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-05T08:55:51-0700',mode:absolute,to:'2017-12-05T11:35:06-0700'))&amp;_a=(columns:!('Message%20ID',Summary),filters:!(),index:'emp_*',interval:auto,query:(query_string:(analyze_wildcard:!t,query:'%22rtdc.l.rtdc.4006%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782</v>
      </c>
      <c r="B64" s="225">
        <v>4005</v>
      </c>
      <c r="C64" s="227" t="s">
        <v>192</v>
      </c>
      <c r="D64" s="227" t="s">
        <v>504</v>
      </c>
      <c r="E64" s="226">
        <v>43074.44258101852</v>
      </c>
      <c r="F64" s="226">
        <v>43074.456423611111</v>
      </c>
      <c r="G64" s="225">
        <v>52</v>
      </c>
      <c r="H64" s="227" t="s">
        <v>531</v>
      </c>
      <c r="I64" s="226">
        <v>43074.482268518521</v>
      </c>
      <c r="J64" s="225">
        <v>0</v>
      </c>
      <c r="K64" s="237" t="str">
        <f>IF(ISEVEN(B64),(B64-1)&amp;"/"&amp;B64,B64&amp;"/"&amp;(B64+1))</f>
        <v>4005/4006</v>
      </c>
      <c r="L64" s="245" t="str">
        <f>VLOOKUP(A64,'Trips&amp;Operators'!$C$1:$G$99911,5,FALSE)</f>
        <v>LAMAR NEKESHA</v>
      </c>
      <c r="M64" s="224">
        <f>I64-F64</f>
        <v>2.584490740991896E-2</v>
      </c>
      <c r="N64" s="225">
        <f>24*60*SUM($M64:$M64)</f>
        <v>37.216666670283303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-05T09:37:19-0700',mode:absolute,to:'2017-12-05T12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23.297799999999999</v>
      </c>
      <c r="Z64" s="247">
        <f>RIGHT(H64,LEN(H64)-4)/10000</f>
        <v>1.89E-2</v>
      </c>
      <c r="AA64" s="247">
        <f>ABS(Z64-Y64)</f>
        <v>23.2789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152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/stypes="app*4005*20171205*"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152-05 --locoid 4005 --swversion DE.1.0.9.0 --startMP 204:232978 --initTime 2017-12-05T10:37:19 --startdatetime 2017-12-05T10:57:15 --delay 52 --endMP 204:189 --enddatetime 2017-12-05T11:34:28 --enforcementcount 0 &gt;&gt;%USERPROFILE%\Documents\GitHub\eaglep3-reporting\EC\2017-12-05-refined-times.txt</v>
      </c>
      <c r="AI64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{"issue":{"subject":"","project_id":79,"tracker_id":40,"status_id":1,"priority_id":2,"assigned_to_id":338,"start_date":"2017-12-05","description":"","custom_fields":[{"id":1,"name":"Subdivision","value":"EC"},{"id":4,"name":"Milepost","value":"0.0189"},{"id":17,"name":"Train ID","value":"152-05"},{"id":16,"name":"Locomotive ID","value":"4005"},{"id":130,"name":"Impact","value":""},{"id":150,"name":"Time of Event (Mountain Time)","value":"11:34:28"},{"id":151,"name":"Denver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4005 --day 2017-12-05</v>
      </c>
      <c r="AN64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-05T09:37:19-0700',mode:absolute,to:'2017-12-05T12:34:28-0700'))&amp;_a=(columns:!('Message%20ID',Summary),filters:!(),index:'emp_*',interval:auto,query:(query_string:(analyze_wildcard:!t,query:'%22rtdc.l.rtdc.4005%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778</v>
      </c>
      <c r="B65" s="225">
        <v>4044</v>
      </c>
      <c r="C65" s="227" t="s">
        <v>192</v>
      </c>
      <c r="D65" s="227" t="s">
        <v>567</v>
      </c>
      <c r="E65" s="226">
        <v>43074.421412037038</v>
      </c>
      <c r="F65" s="226">
        <v>43074.427291666667</v>
      </c>
      <c r="G65" s="225">
        <v>97</v>
      </c>
      <c r="H65" s="227" t="s">
        <v>506</v>
      </c>
      <c r="I65" s="226">
        <v>43074.453900462962</v>
      </c>
      <c r="J65" s="225">
        <v>0</v>
      </c>
      <c r="K65" s="237" t="str">
        <f>IF(ISEVEN(B65),(B65-1)&amp;"/"&amp;B65,B65&amp;"/"&amp;(B65+1))</f>
        <v>4043/4044</v>
      </c>
      <c r="L65" s="245" t="str">
        <f>VLOOKUP(A65,'Trips&amp;Operators'!$C$1:$G$99911,5,FALSE)</f>
        <v>DAVIDSON DAVID</v>
      </c>
      <c r="M65" s="224">
        <f>I65-F65</f>
        <v>2.6608796295477077E-2</v>
      </c>
      <c r="N65" s="225">
        <f>24*60*SUM($M65:$M65)</f>
        <v>38.316666665486991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-05T09:06:50-0700',mode:absolute,to:'2017-12-05T11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4.7100000000000003E-2</v>
      </c>
      <c r="Z65" s="247">
        <f>RIGHT(H65,LEN(H65)-4)/10000</f>
        <v>23.327000000000002</v>
      </c>
      <c r="AA65" s="247">
        <f>ABS(Z65-Y65)</f>
        <v>23.279900000000001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153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/stypes="app*4044*20171205*"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153-05 --locoid 4044 --swversion DE.1.0.9.0 --startMP 204:471 --initTime 2017-12-05T10:06:50 --startdatetime 2017-12-05T10:15:18 --delay 97 --endMP 204:233270 --enddatetime 2017-12-05T10:53:37 --enforcementcount 0 &gt;&gt;%USERPROFILE%\Documents\GitHub\eaglep3-reporting\EC\2017-12-05-refined-times.txt</v>
      </c>
      <c r="AI65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{"issue":{"subject":"","project_id":79,"tracker_id":40,"status_id":1,"priority_id":2,"assigned_to_id":338,"start_date":"2017-12-05","description":"","custom_fields":[{"id":1,"name":"Subdivision","value":"EC"},{"id":4,"name":"Milepost","value":"23.327"},{"id":17,"name":"Train ID","value":"153-05"},{"id":16,"name":"Locomotive ID","value":"4044"},{"id":130,"name":"Impact","value":""},{"id":150,"name":"Time of Event (Mountain Time)","value":"10:53:37"},{"id":151,"name":"Denver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4044 --day 2017-12-05</v>
      </c>
      <c r="AN65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-05T09:06:50-0700',mode:absolute,to:'2017-12-05T11:53:37-0700'))&amp;_a=(columns:!('Message%20ID',Summary),filters:!(),index:'emp_*',interval:auto,query:(query_string:(analyze_wildcard:!t,query:'%22rtdc.l.rtdc.4044%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786</v>
      </c>
      <c r="B66" s="225">
        <v>4043</v>
      </c>
      <c r="C66" s="227" t="s">
        <v>192</v>
      </c>
      <c r="D66" s="227" t="s">
        <v>564</v>
      </c>
      <c r="E66" s="226">
        <v>43074.456331018519</v>
      </c>
      <c r="F66" s="226">
        <v>43074.467164351852</v>
      </c>
      <c r="G66" s="225">
        <v>63</v>
      </c>
      <c r="H66" s="227" t="s">
        <v>948</v>
      </c>
      <c r="I66" s="226">
        <v>43074.49428240741</v>
      </c>
      <c r="J66" s="225">
        <v>0</v>
      </c>
      <c r="K66" s="237" t="str">
        <f>IF(ISEVEN(B66),(B66-1)&amp;"/"&amp;B66,B66&amp;"/"&amp;(B66+1))</f>
        <v>4043/4044</v>
      </c>
      <c r="L66" s="245" t="str">
        <f>VLOOKUP(A66,'Trips&amp;Operators'!$C$1:$G$99911,5,FALSE)</f>
        <v>DAVIDSON DAVID</v>
      </c>
      <c r="M66" s="224">
        <f>I66-F66</f>
        <v>2.7118055557366461E-2</v>
      </c>
      <c r="N66" s="225">
        <f>24*60*SUM($M66:$M66)</f>
        <v>39.050000002607703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-05T09:57:07-0700',mode:absolute,to:'2017-12-05T12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23.296199999999999</v>
      </c>
      <c r="Z66" s="247">
        <f>RIGHT(H66,LEN(H66)-4)/10000</f>
        <v>2.3599999999999999E-2</v>
      </c>
      <c r="AA66" s="247">
        <f>ABS(Z66-Y66)</f>
        <v>23.272600000000001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154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/stypes="app*4043*20171205*"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154-05 --locoid 4043 --swversion DE.1.0.9.0 --startMP 204:232962 --initTime 2017-12-05T10:57:07 --startdatetime 2017-12-05T11:12:43 --delay 63 --endMP 204:236 --enddatetime 2017-12-05T11:51:46 --enforcementcount 0 &gt;&gt;%USERPROFILE%\Documents\GitHub\eaglep3-reporting\EC\2017-12-05-refined-times.txt</v>
      </c>
      <c r="AI66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{"issue":{"subject":"","project_id":79,"tracker_id":40,"status_id":1,"priority_id":2,"assigned_to_id":338,"start_date":"2017-12-05","description":"","custom_fields":[{"id":1,"name":"Subdivision","value":"EC"},{"id":4,"name":"Milepost","value":"0.0236"},{"id":17,"name":"Train ID","value":"154-05"},{"id":16,"name":"Locomotive ID","value":"4043"},{"id":130,"name":"Impact","value":""},{"id":150,"name":"Time of Event (Mountain Time)","value":"11:51:46"},{"id":151,"name":"Denver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4043 --day 2017-12-05</v>
      </c>
      <c r="AN66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-05T09:57:07-0700',mode:absolute,to:'2017-12-05T12:51:46-0700'))&amp;_a=(columns:!('Message%20ID',Summary),filters:!(),index:'emp_*',interval:auto,query:(query_string:(analyze_wildcard:!t,query:'%22rtdc.l.rtdc.4043%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779</v>
      </c>
      <c r="B67" s="225">
        <v>4014</v>
      </c>
      <c r="C67" s="227" t="s">
        <v>192</v>
      </c>
      <c r="D67" s="227" t="s">
        <v>615</v>
      </c>
      <c r="E67" s="226">
        <v>43074.431354166663</v>
      </c>
      <c r="F67" s="226">
        <v>43074.437673611108</v>
      </c>
      <c r="G67" s="225">
        <v>59</v>
      </c>
      <c r="H67" s="227" t="s">
        <v>930</v>
      </c>
      <c r="I67" s="226">
        <v>43074.461608796293</v>
      </c>
      <c r="J67" s="225">
        <v>0</v>
      </c>
      <c r="K67" s="237" t="str">
        <f>IF(ISEVEN(B67),(B67-1)&amp;"/"&amp;B67,B67&amp;"/"&amp;(B67+1))</f>
        <v>4013/4014</v>
      </c>
      <c r="L67" s="245" t="str">
        <f>VLOOKUP(A67,'Trips&amp;Operators'!$C$1:$G$99911,5,FALSE)</f>
        <v>YANAI IAN</v>
      </c>
      <c r="M67" s="224">
        <f>I67-F67</f>
        <v>2.3935185185109731E-2</v>
      </c>
      <c r="N67" s="225">
        <f>24*60*SUM($M67:$M67)</f>
        <v>34.466666666558012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-05T09:21:09-0700',mode:absolute,to:'2017-12-05T12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4.6399999999999997E-2</v>
      </c>
      <c r="Z67" s="247">
        <f>RIGHT(H67,LEN(H67)-4)/10000</f>
        <v>23.331399999999999</v>
      </c>
      <c r="AA67" s="247">
        <f>ABS(Z67-Y67)</f>
        <v>23.285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155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/stypes="app*4014*20171205*"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155-05 --locoid 4014 --swversion DE.1.0.9.0 --startMP 204:464 --initTime 2017-12-05T10:21:09 --startdatetime 2017-12-05T10:30:15 --delay 59 --endMP 204:233314 --enddatetime 2017-12-05T11:04:43 --enforcementcount 0 &gt;&gt;%USERPROFILE%\Documents\GitHub\eaglep3-reporting\EC\2017-12-05-refined-times.txt</v>
      </c>
      <c r="AI67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{"issue":{"subject":"","project_id":79,"tracker_id":40,"status_id":1,"priority_id":2,"assigned_to_id":338,"start_date":"2017-12-05","description":"","custom_fields":[{"id":1,"name":"Subdivision","value":"EC"},{"id":4,"name":"Milepost","value":"23.3314"},{"id":17,"name":"Train ID","value":"155-05"},{"id":16,"name":"Locomotive ID","value":"4014"},{"id":130,"name":"Impact","value":""},{"id":150,"name":"Time of Event (Mountain Time)","value":"11:04:43"},{"id":151,"name":"Denver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4014 --day 2017-12-05</v>
      </c>
      <c r="AN67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-05T09:21:09-0700',mode:absolute,to:'2017-12-05T12:04:43-0700'))&amp;_a=(columns:!('Message%20ID',Summary),filters:!(),index:'emp_*',interval:auto,query:(query_string:(analyze_wildcard:!t,query:'%22rtdc.l.rtdc.4014%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788</v>
      </c>
      <c r="B68" s="225">
        <v>4013</v>
      </c>
      <c r="C68" s="227" t="s">
        <v>192</v>
      </c>
      <c r="D68" s="227" t="s">
        <v>949</v>
      </c>
      <c r="E68" s="226">
        <v>43074.462766203702</v>
      </c>
      <c r="F68" s="226">
        <v>43074.47724537037</v>
      </c>
      <c r="G68" s="225">
        <v>53</v>
      </c>
      <c r="H68" s="227" t="s">
        <v>459</v>
      </c>
      <c r="I68" s="226">
        <v>43074.502835648149</v>
      </c>
      <c r="J68" s="225">
        <v>0</v>
      </c>
      <c r="K68" s="237" t="str">
        <f>IF(ISEVEN(B68),(B68-1)&amp;"/"&amp;B68,B68&amp;"/"&amp;(B68+1))</f>
        <v>4013/4014</v>
      </c>
      <c r="L68" s="245" t="str">
        <f>VLOOKUP(A68,'Trips&amp;Operators'!$C$1:$G$99911,5,FALSE)</f>
        <v>YANAI IAN</v>
      </c>
      <c r="M68" s="224">
        <f>I68-F68</f>
        <v>2.5590277778974269E-2</v>
      </c>
      <c r="N68" s="225">
        <f>24*60*SUM($M68:$M68)</f>
        <v>36.850000001722947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-05T10:06:23-0700',mode:absolute,to:'2017-12-05T13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23.299399999999999</v>
      </c>
      <c r="Z68" s="247">
        <f>RIGHT(H68,LEN(H68)-4)/10000</f>
        <v>1.5800000000000002E-2</v>
      </c>
      <c r="AA68" s="247">
        <f>ABS(Z68-Y68)</f>
        <v>23.2836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156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/stypes="app*4013*20171205*" /stext=" 19:.+((SYSTEM_STATE.+slice.+state.+changed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156-05 --locoid 4013 --swversion DE.1.0.9.0 --startMP 204:232994 --initTime 2017-12-05T11:06:23 --startdatetime 2017-12-05T11:27:14 --delay 53 --endMP 204:158 --enddatetime 2017-12-05T12:04:05 --enforcementcount 0 &gt;&gt;%USERPROFILE%\Documents\GitHub\eaglep3-reporting\EC\2017-12-05-refined-times.txt</v>
      </c>
      <c r="AI68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{"issue":{"subject":"","project_id":79,"tracker_id":40,"status_id":1,"priority_id":2,"assigned_to_id":338,"start_date":"2017-12-05","description":"","custom_fields":[{"id":1,"name":"Subdivision","value":"EC"},{"id":4,"name":"Milepost","value":"0.0158"},{"id":17,"name":"Train ID","value":"156-05"},{"id":16,"name":"Locomotive ID","value":"4013"},{"id":130,"name":"Impact","value":""},{"id":150,"name":"Time of Event (Mountain Time)","value":"12:04:05"},{"id":151,"name":"Denver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4013 --day 2017-12-05</v>
      </c>
      <c r="AN68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-05T10:06:23-0700',mode:absolute,to:'2017-12-05T13:04:05-0700'))&amp;_a=(columns:!('Message%20ID',Summary),filters:!(),index:'emp_*',interval:auto,query:(query_string:(analyze_wildcard:!t,query:'%22rtdc.l.rtdc.4013%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783</v>
      </c>
      <c r="B69" s="225">
        <v>4054</v>
      </c>
      <c r="C69" s="227" t="s">
        <v>192</v>
      </c>
      <c r="D69" s="227" t="s">
        <v>517</v>
      </c>
      <c r="E69" s="226">
        <v>43074.444085648145</v>
      </c>
      <c r="F69" s="226">
        <v>43074.44835648148</v>
      </c>
      <c r="G69" s="225">
        <v>152</v>
      </c>
      <c r="H69" s="227" t="s">
        <v>950</v>
      </c>
      <c r="I69" s="226">
        <v>43074.473993055559</v>
      </c>
      <c r="J69" s="225">
        <v>0</v>
      </c>
      <c r="K69" s="237" t="str">
        <f>IF(ISEVEN(B69),(B69-1)&amp;"/"&amp;B69,B69&amp;"/"&amp;(B69+1))</f>
        <v>4053/4054</v>
      </c>
      <c r="L69" s="245" t="str">
        <f>VLOOKUP(A69,'Trips&amp;Operators'!$C$1:$G$99911,5,FALSE)</f>
        <v>DAVIS MICHAEL</v>
      </c>
      <c r="M69" s="224">
        <f>I69-F69</f>
        <v>2.5636574078816921E-2</v>
      </c>
      <c r="N69" s="225">
        <f>24*60*SUM($M69:$M69)</f>
        <v>36.916666673496366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-05T09:39:29-0700',mode:absolute,to:'2017-12-05T12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5.0200000000000002E-2</v>
      </c>
      <c r="Z69" s="247">
        <f>RIGHT(H69,LEN(H69)-4)/10000</f>
        <v>23.333400000000001</v>
      </c>
      <c r="AA69" s="247">
        <f>ABS(Z69-Y69)</f>
        <v>23.283200000000001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157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/stypes="app*4054*20171205*"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157-05 --locoid 4054 --swversion DE.1.0.9.0 --startMP 204:502 --initTime 2017-12-05T10:39:29 --startdatetime 2017-12-05T10:45:38 --delay 152 --endMP 204:233334 --enddatetime 2017-12-05T11:22:33 --enforcementcount 0 &gt;&gt;%USERPROFILE%\Documents\GitHub\eaglep3-reporting\EC\2017-12-05-refined-times.txt</v>
      </c>
      <c r="AI69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{"issue":{"subject":"","project_id":79,"tracker_id":40,"status_id":1,"priority_id":2,"assigned_to_id":338,"start_date":"2017-12-05","description":"","custom_fields":[{"id":1,"name":"Subdivision","value":"EC"},{"id":4,"name":"Milepost","value":"23.3334"},{"id":17,"name":"Train ID","value":"157-05"},{"id":16,"name":"Locomotive ID","value":"4054"},{"id":130,"name":"Impact","value":""},{"id":150,"name":"Time of Event (Mountain Time)","value":"11:22:33"},{"id":151,"name":"Denver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4054 --day 2017-12-05</v>
      </c>
      <c r="AN69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-05T09:39:29-0700',mode:absolute,to:'2017-12-05T12:22:33-0700'))&amp;_a=(columns:!('Message%20ID',Summary),filters:!(),index:'emp_*',interval:auto,query:(query_string:(analyze_wildcard:!t,query:'%22rtdc.l.rtdc.4054%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795</v>
      </c>
      <c r="B70" s="225">
        <v>4053</v>
      </c>
      <c r="C70" s="227" t="s">
        <v>192</v>
      </c>
      <c r="D70" s="227" t="s">
        <v>951</v>
      </c>
      <c r="E70" s="226">
        <v>43074.485509259262</v>
      </c>
      <c r="F70" s="226">
        <v>43074.487905092596</v>
      </c>
      <c r="G70" s="225">
        <v>76</v>
      </c>
      <c r="H70" s="227" t="s">
        <v>645</v>
      </c>
      <c r="I70" s="226">
        <v>43074.515104166669</v>
      </c>
      <c r="J70" s="225">
        <v>0</v>
      </c>
      <c r="K70" s="237" t="str">
        <f>IF(ISEVEN(B70),(B70-1)&amp;"/"&amp;B70,B70&amp;"/"&amp;(B70+1))</f>
        <v>4053/4054</v>
      </c>
      <c r="L70" s="245" t="str">
        <f>VLOOKUP(A70,'Trips&amp;Operators'!$C$1:$G$99911,5,FALSE)</f>
        <v>DAVIS MICHAEL</v>
      </c>
      <c r="M70" s="224">
        <f>I70-F70</f>
        <v>2.7199074072996154E-2</v>
      </c>
      <c r="N70" s="225">
        <f>24*60*SUM($M70:$M70)</f>
        <v>39.166666665114462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-05T10:39:08-0700',mode:absolute,to:'2017-12-05T13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23.301500000000001</v>
      </c>
      <c r="Z70" s="247">
        <f>RIGHT(H70,LEN(H70)-4)/10000</f>
        <v>2.18E-2</v>
      </c>
      <c r="AA70" s="247">
        <f>ABS(Z70-Y70)</f>
        <v>23.279700000000002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158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/stypes="app*4053*20171205*"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158-05 --locoid 4053 --swversion DE.1.0.9.0 --startMP 204:233015 --initTime 2017-12-05T11:39:08 --startdatetime 2017-12-05T11:42:35 --delay 76 --endMP 204:218 --enddatetime 2017-12-05T12:21:45 --enforcementcount 0 &gt;&gt;%USERPROFILE%\Documents\GitHub\eaglep3-reporting\EC\2017-12-05-refined-times.txt</v>
      </c>
      <c r="AI70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{"issue":{"subject":"","project_id":79,"tracker_id":40,"status_id":1,"priority_id":2,"assigned_to_id":338,"start_date":"2017-12-05","description":"","custom_fields":[{"id":1,"name":"Subdivision","value":"EC"},{"id":4,"name":"Milepost","value":"0.0218"},{"id":17,"name":"Train ID","value":"158-05"},{"id":16,"name":"Locomotive ID","value":"4053"},{"id":130,"name":"Impact","value":""},{"id":150,"name":"Time of Event (Mountain Time)","value":"12:21:45"},{"id":151,"name":"Denver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4053 --day 2017-12-05</v>
      </c>
      <c r="AN70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-05T10:39:08-0700',mode:absolute,to:'2017-12-05T13:21:45-0700'))&amp;_a=(columns:!('Message%20ID',Summary),filters:!(),index:'emp_*',interval:auto,query:(query_string:(analyze_wildcard:!t,query:'%22rtdc.l.rtdc.4053%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785</v>
      </c>
      <c r="B71" s="225">
        <v>4036</v>
      </c>
      <c r="C71" s="227" t="s">
        <v>192</v>
      </c>
      <c r="D71" s="227" t="s">
        <v>556</v>
      </c>
      <c r="E71" s="226">
        <v>43074.454976851855</v>
      </c>
      <c r="F71" s="226">
        <v>43074.458483796298</v>
      </c>
      <c r="G71" s="225">
        <v>54</v>
      </c>
      <c r="H71" s="227" t="s">
        <v>952</v>
      </c>
      <c r="I71" s="226">
        <v>43074.482824074075</v>
      </c>
      <c r="J71" s="225">
        <v>0</v>
      </c>
      <c r="K71" s="237" t="str">
        <f>IF(ISEVEN(B71),(B71-1)&amp;"/"&amp;B71,B71&amp;"/"&amp;(B71+1))</f>
        <v>4035/4036</v>
      </c>
      <c r="L71" s="245" t="str">
        <f>VLOOKUP(A71,'Trips&amp;Operators'!$C$1:$G$99911,5,FALSE)</f>
        <v>BROWN JACOB</v>
      </c>
      <c r="M71" s="224">
        <f>I71-F71</f>
        <v>2.4340277777810115E-2</v>
      </c>
      <c r="N71" s="225">
        <f>24*60*SUM($M71:$M71)</f>
        <v>35.050000000046566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-05T09:55:10-0700',mode:absolute,to:'2017-12-05T12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4.9799999999999997E-2</v>
      </c>
      <c r="Z71" s="247">
        <f>RIGHT(H71,LEN(H71)-4)/10000</f>
        <v>23.3186</v>
      </c>
      <c r="AA71" s="247">
        <f>ABS(Z71-Y71)</f>
        <v>23.268799999999999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159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/stypes="app*4036*20171205*"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159-05 --locoid 4036 --swversion DE.1.0.9.0 --startMP 204:498 --initTime 2017-12-05T10:55:10 --startdatetime 2017-12-05T11:00:13 --delay 54 --endMP 204:233186 --enddatetime 2017-12-05T11:35:16 --enforcementcount 0 &gt;&gt;%USERPROFILE%\Documents\GitHub\eaglep3-reporting\EC\2017-12-05-refined-times.txt</v>
      </c>
      <c r="AI71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{"issue":{"subject":"","project_id":79,"tracker_id":40,"status_id":1,"priority_id":2,"assigned_to_id":338,"start_date":"2017-12-05","description":"","custom_fields":[{"id":1,"name":"Subdivision","value":"EC"},{"id":4,"name":"Milepost","value":"23.3186"},{"id":17,"name":"Train ID","value":"159-05"},{"id":16,"name":"Locomotive ID","value":"4036"},{"id":130,"name":"Impact","value":""},{"id":150,"name":"Time of Event (Mountain Time)","value":"11:35:16"},{"id":151,"name":"Denver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4036 --day 2017-12-05</v>
      </c>
      <c r="AN71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-05T09:55:10-0700',mode:absolute,to:'2017-12-05T12:35:16-0700'))&amp;_a=(columns:!('Message%20ID',Summary),filters:!(),index:'emp_*',interval:auto,query:(query_string:(analyze_wildcard:!t,query:'%22rtdc.l.rtdc.4036%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784</v>
      </c>
      <c r="B72" s="225">
        <v>4035</v>
      </c>
      <c r="C72" s="227" t="s">
        <v>192</v>
      </c>
      <c r="D72" s="227" t="s">
        <v>549</v>
      </c>
      <c r="E72" s="226">
        <v>43074.491932870369</v>
      </c>
      <c r="F72" s="226">
        <v>43074.498124999998</v>
      </c>
      <c r="G72" s="225">
        <v>46</v>
      </c>
      <c r="H72" s="227" t="s">
        <v>509</v>
      </c>
      <c r="I72" s="226">
        <v>43074.524328703701</v>
      </c>
      <c r="J72" s="225">
        <v>0</v>
      </c>
      <c r="K72" s="237" t="str">
        <f>IF(ISEVEN(B72),(B72-1)&amp;"/"&amp;B72,B72&amp;"/"&amp;(B72+1))</f>
        <v>4035/4036</v>
      </c>
      <c r="L72" s="245" t="str">
        <f>VLOOKUP(A72,'Trips&amp;Operators'!$C$1:$G$99911,5,FALSE)</f>
        <v>BROWN JACOB</v>
      </c>
      <c r="M72" s="224">
        <f>I72-F72</f>
        <v>2.6203703702776693E-2</v>
      </c>
      <c r="N72" s="225">
        <f>24*60*SUM($M72:$M72)</f>
        <v>37.733333331998438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-05T10:48:23-0700',mode:absolute,to:'2017-12-05T13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23.286300000000001</v>
      </c>
      <c r="Z72" s="247">
        <f>RIGHT(H72,LEN(H72)-4)/10000</f>
        <v>2.01E-2</v>
      </c>
      <c r="AA72" s="247">
        <f>ABS(Z72-Y72)</f>
        <v>23.266200000000001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160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/stypes="app*4035*20171205*"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160-05 --locoid 4035 --swversion DE.1.0.9.0 --startMP 204:232863 --initTime 2017-12-05T11:48:23 --startdatetime 2017-12-05T11:57:18 --delay 46 --endMP 204:201 --enddatetime 2017-12-05T12:35:02 --enforcementcount 0 &gt;&gt;%USERPROFILE%\Documents\GitHub\eaglep3-reporting\EC\2017-12-05-refined-times.txt</v>
      </c>
      <c r="AI72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{"issue":{"subject":"","project_id":79,"tracker_id":40,"status_id":1,"priority_id":2,"assigned_to_id":338,"start_date":"2017-12-05","description":"","custom_fields":[{"id":1,"name":"Subdivision","value":"EC"},{"id":4,"name":"Milepost","value":"0.0201"},{"id":17,"name":"Train ID","value":"160-05"},{"id":16,"name":"Locomotive ID","value":"4035"},{"id":130,"name":"Impact","value":""},{"id":150,"name":"Time of Event (Mountain Time)","value":"12:35:02"},{"id":151,"name":"Denver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4035 --day 2017-12-05</v>
      </c>
      <c r="AN72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-05T10:48:23-0700',mode:absolute,to:'2017-12-05T13:35:02-0700'))&amp;_a=(columns:!('Message%20ID',Summary),filters:!(),index:'emp_*',interval:auto,query:(query_string:(analyze_wildcard:!t,query:'%22rtdc.l.rtdc.4035%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789</v>
      </c>
      <c r="B73" s="225">
        <v>4060</v>
      </c>
      <c r="C73" s="227" t="s">
        <v>192</v>
      </c>
      <c r="D73" s="227" t="s">
        <v>495</v>
      </c>
      <c r="E73" s="226">
        <v>43074.465833333335</v>
      </c>
      <c r="F73" s="226">
        <v>43074.468981481485</v>
      </c>
      <c r="G73" s="225">
        <v>119</v>
      </c>
      <c r="H73" s="227" t="s">
        <v>953</v>
      </c>
      <c r="I73" s="226">
        <v>43074.493680555555</v>
      </c>
      <c r="J73" s="225">
        <v>0</v>
      </c>
      <c r="K73" s="237" t="str">
        <f>IF(ISEVEN(B73),(B73-1)&amp;"/"&amp;B73,B73&amp;"/"&amp;(B73+1))</f>
        <v>4059/4060</v>
      </c>
      <c r="L73" s="245" t="str">
        <f>VLOOKUP(A73,'Trips&amp;Operators'!$C$1:$G$99911,5,FALSE)</f>
        <v>BRUDER RICHARD</v>
      </c>
      <c r="M73" s="224">
        <f>I73-F73</f>
        <v>2.4699074070667848E-2</v>
      </c>
      <c r="N73" s="225">
        <f>24*60*SUM($M73:$M73)</f>
        <v>35.566666661761701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-05T10:10:48-0700',mode:absolute,to:'2017-12-05T12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4.8399999999999999E-2</v>
      </c>
      <c r="Z73" s="247">
        <f>RIGHT(H73,LEN(H73)-4)/10000</f>
        <v>23.322299999999998</v>
      </c>
      <c r="AA73" s="247">
        <f>ABS(Z73-Y73)</f>
        <v>23.273899999999998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161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/stypes="app*4060*20171205*"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161-05 --locoid 4060 --swversion DE.1.0.9.0 --startMP 204:484 --initTime 2017-12-05T11:10:48 --startdatetime 2017-12-05T11:15:20 --delay 119 --endMP 204:233223 --enddatetime 2017-12-05T11:50:54 --enforcementcount 0 &gt;&gt;%USERPROFILE%\Documents\GitHub\eaglep3-reporting\EC\2017-12-05-refined-times.txt</v>
      </c>
      <c r="AI73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{"issue":{"subject":"","project_id":79,"tracker_id":40,"status_id":1,"priority_id":2,"assigned_to_id":338,"start_date":"2017-12-05","description":"","custom_fields":[{"id":1,"name":"Subdivision","value":"EC"},{"id":4,"name":"Milepost","value":"23.3223"},{"id":17,"name":"Train ID","value":"161-05"},{"id":16,"name":"Locomotive ID","value":"4060"},{"id":130,"name":"Impact","value":""},{"id":150,"name":"Time of Event (Mountain Time)","value":"11:50:54"},{"id":151,"name":"Denver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4060 --day 2017-12-05</v>
      </c>
      <c r="AN73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-05T10:10:48-0700',mode:absolute,to:'2017-12-05T12:50:54-0700'))&amp;_a=(columns:!('Message%20ID',Summary),filters:!(),index:'emp_*',interval:auto,query:(query_string:(analyze_wildcard:!t,query:'%22rtdc.l.rtdc.4060%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799</v>
      </c>
      <c r="B74" s="225">
        <v>4059</v>
      </c>
      <c r="C74" s="227" t="s">
        <v>192</v>
      </c>
      <c r="D74" s="227" t="s">
        <v>954</v>
      </c>
      <c r="E74" s="226">
        <v>43074.505578703705</v>
      </c>
      <c r="F74" s="226">
        <v>43074.508518518516</v>
      </c>
      <c r="G74" s="225">
        <v>137</v>
      </c>
      <c r="H74" s="227" t="s">
        <v>412</v>
      </c>
      <c r="I74" s="226">
        <v>43074.534074074072</v>
      </c>
      <c r="J74" s="225">
        <v>0</v>
      </c>
      <c r="K74" s="237" t="str">
        <f>IF(ISEVEN(B74),(B74-1)&amp;"/"&amp;B74,B74&amp;"/"&amp;(B74+1))</f>
        <v>4059/4060</v>
      </c>
      <c r="L74" s="245" t="str">
        <f>VLOOKUP(A74,'Trips&amp;Operators'!$C$1:$G$99911,5,FALSE)</f>
        <v>BRUDER RICHARD</v>
      </c>
      <c r="M74" s="224">
        <f>I74-F74</f>
        <v>2.5555555555911269E-2</v>
      </c>
      <c r="N74" s="225">
        <f>24*60*SUM($M74:$M74)</f>
        <v>36.800000000512227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-05T11:08:02-0700',mode:absolute,to:'2017-12-05T13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23.2898</v>
      </c>
      <c r="Z74" s="247">
        <f>RIGHT(H74,LEN(H74)-4)/10000</f>
        <v>2.12E-2</v>
      </c>
      <c r="AA74" s="247">
        <f>ABS(Z74-Y74)</f>
        <v>23.268599999999999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162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/stypes="app*4059*20171205*"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162-05 --locoid 4059 --swversion DE.1.0.9.0 --startMP 204:232898 --initTime 2017-12-05T12:08:02 --startdatetime 2017-12-05T12:12:16 --delay 137 --endMP 204:212 --enddatetime 2017-12-05T12:49:04 --enforcementcount 0 &gt;&gt;%USERPROFILE%\Documents\GitHub\eaglep3-reporting\EC\2017-12-05-refined-times.txt</v>
      </c>
      <c r="AI74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{"issue":{"subject":"","project_id":79,"tracker_id":40,"status_id":1,"priority_id":2,"assigned_to_id":338,"start_date":"2017-12-05","description":"","custom_fields":[{"id":1,"name":"Subdivision","value":"EC"},{"id":4,"name":"Milepost","value":"0.0212"},{"id":17,"name":"Train ID","value":"162-05"},{"id":16,"name":"Locomotive ID","value":"4059"},{"id":130,"name":"Impact","value":""},{"id":150,"name":"Time of Event (Mountain Time)","value":"12:49:04"},{"id":151,"name":"Denver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4059 --day 2017-12-05</v>
      </c>
      <c r="AN74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-05T11:08:02-0700',mode:absolute,to:'2017-12-05T13:49:04-0700'))&amp;_a=(columns:!('Message%20ID',Summary),filters:!(),index:'emp_*',interval:auto,query:(query_string:(analyze_wildcard:!t,query:'%22rtdc.l.rtdc.4059%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792</v>
      </c>
      <c r="B75" s="225">
        <v>4056</v>
      </c>
      <c r="C75" s="227" t="s">
        <v>192</v>
      </c>
      <c r="D75" s="227" t="s">
        <v>541</v>
      </c>
      <c r="E75" s="226">
        <v>43074.473263888889</v>
      </c>
      <c r="F75" s="226">
        <v>43074.479432870372</v>
      </c>
      <c r="G75" s="225">
        <v>97</v>
      </c>
      <c r="H75" s="227" t="s">
        <v>955</v>
      </c>
      <c r="I75" s="226">
        <v>43074.503796296296</v>
      </c>
      <c r="J75" s="225">
        <v>0</v>
      </c>
      <c r="K75" s="237" t="str">
        <f>IF(ISEVEN(B75),(B75-1)&amp;"/"&amp;B75,B75&amp;"/"&amp;(B75+1))</f>
        <v>4055/4056</v>
      </c>
      <c r="L75" s="245" t="str">
        <f>VLOOKUP(A75,'Trips&amp;Operators'!$C$1:$G$99911,5,FALSE)</f>
        <v>STEWART MICHAEL</v>
      </c>
      <c r="M75" s="224">
        <f>I75-F75</f>
        <v>2.4363425924093463E-2</v>
      </c>
      <c r="N75" s="225">
        <f>24*60*SUM($M75:$M75)</f>
        <v>35.083333330694586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-05T10:21:30-0700',mode:absolute,to:'2017-12-05T13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4.82E-2</v>
      </c>
      <c r="Z75" s="247">
        <f>RIGHT(H75,LEN(H75)-4)/10000</f>
        <v>23.319500000000001</v>
      </c>
      <c r="AA75" s="247">
        <f>ABS(Z75-Y75)</f>
        <v>23.2713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163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/stypes="app*4056*20171205*"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163-05 --locoid 4056 --swversion DE.1.0.9.0 --startMP 204:482 --initTime 2017-12-05T11:21:30 --startdatetime 2017-12-05T11:30:23 --delay 97 --endMP 204:233195 --enddatetime 2017-12-05T12:05:28 --enforcementcount 0 &gt;&gt;%USERPROFILE%\Documents\GitHub\eaglep3-reporting\EC\2017-12-05-refined-times.txt</v>
      </c>
      <c r="AI75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{"issue":{"subject":"","project_id":79,"tracker_id":40,"status_id":1,"priority_id":2,"assigned_to_id":338,"start_date":"2017-12-05","description":"","custom_fields":[{"id":1,"name":"Subdivision","value":"EC"},{"id":4,"name":"Milepost","value":"23.3195"},{"id":17,"name":"Train ID","value":"163-05"},{"id":16,"name":"Locomotive ID","value":"4056"},{"id":130,"name":"Impact","value":""},{"id":150,"name":"Time of Event (Mountain Time)","value":"12:05:28"},{"id":151,"name":"Denver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4056 --day 2017-12-05</v>
      </c>
      <c r="AN75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-05T10:21:30-0700',mode:absolute,to:'2017-12-05T13:05:28-0700'))&amp;_a=(columns:!('Message%20ID',Summary),filters:!(),index:'emp_*',interval:auto,query:(query_string:(analyze_wildcard:!t,query:'%22rtdc.l.rtdc.4056%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687</v>
      </c>
      <c r="B76" s="225">
        <v>4055</v>
      </c>
      <c r="C76" s="227" t="s">
        <v>192</v>
      </c>
      <c r="D76" s="227" t="s">
        <v>548</v>
      </c>
      <c r="E76" s="226">
        <v>43074.515474537038</v>
      </c>
      <c r="F76" s="226">
        <v>43074.518958333334</v>
      </c>
      <c r="G76" s="225">
        <v>97</v>
      </c>
      <c r="H76" s="227" t="s">
        <v>917</v>
      </c>
      <c r="I76" s="226">
        <v>43074.546180555553</v>
      </c>
      <c r="J76" s="225">
        <v>0</v>
      </c>
      <c r="K76" s="237" t="str">
        <f>IF(ISEVEN(B76),(B76-1)&amp;"/"&amp;B76,B76&amp;"/"&amp;(B76+1))</f>
        <v>4055/4056</v>
      </c>
      <c r="L76" s="245" t="str">
        <f>VLOOKUP(A76,'Trips&amp;Operators'!$C$1:$G$99911,5,FALSE)</f>
        <v>STEWART MICHAEL</v>
      </c>
      <c r="M76" s="224">
        <f>I76-F76</f>
        <v>2.7222222219279502E-2</v>
      </c>
      <c r="N76" s="225">
        <f>24*60*SUM($M76:$M76)</f>
        <v>39.199999995762482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-05T11:22:17-0700',mode:absolute,to:'2017-12-05T14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23.288799999999998</v>
      </c>
      <c r="Z76" s="247">
        <f>RIGHT(H76,LEN(H76)-4)/10000</f>
        <v>2.1999999999999999E-2</v>
      </c>
      <c r="AA76" s="247">
        <f>ABS(Z76-Y76)</f>
        <v>23.2668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164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/stypes="app*4055*20171205*" /stext=" 20:.+((SYSTEM_STATE.+slice.+state.+changed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164-05 --locoid 4055 --swversion DE.1.0.9.0 --startMP 204:232888 --initTime 2017-12-05T12:22:17 --startdatetime 2017-12-05T12:27:18 --delay 97 --endMP 204:220 --enddatetime 2017-12-05T13:06:30 --enforcementcount 0 &gt;&gt;%USERPROFILE%\Documents\GitHub\eaglep3-reporting\EC\2017-12-05-refined-times.txt</v>
      </c>
      <c r="AI76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{"issue":{"subject":"","project_id":79,"tracker_id":40,"status_id":1,"priority_id":2,"assigned_to_id":338,"start_date":"2017-12-05","description":"","custom_fields":[{"id":1,"name":"Subdivision","value":"EC"},{"id":4,"name":"Milepost","value":"0.022"},{"id":17,"name":"Train ID","value":"164-05"},{"id":16,"name":"Locomotive ID","value":"4055"},{"id":130,"name":"Impact","value":""},{"id":150,"name":"Time of Event (Mountain Time)","value":"13:06:30"},{"id":151,"name":"Denver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4055 --day 2017-12-05</v>
      </c>
      <c r="AN76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-05T11:22:17-0700',mode:absolute,to:'2017-12-05T14:06:30-0700'))&amp;_a=(columns:!('Message%20ID',Summary),filters:!(),index:'emp_*',interval:auto,query:(query_string:(analyze_wildcard:!t,query:'%22rtdc.l.rtdc.4055%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794</v>
      </c>
      <c r="B77" s="225">
        <v>4006</v>
      </c>
      <c r="C77" s="227" t="s">
        <v>192</v>
      </c>
      <c r="D77" s="227" t="s">
        <v>519</v>
      </c>
      <c r="E77" s="226">
        <v>43074.483865740738</v>
      </c>
      <c r="F77" s="226">
        <v>43074.48978009259</v>
      </c>
      <c r="G77" s="225">
        <v>111</v>
      </c>
      <c r="H77" s="227" t="s">
        <v>508</v>
      </c>
      <c r="I77" s="226">
        <v>43074.51425925926</v>
      </c>
      <c r="J77" s="225">
        <v>0</v>
      </c>
      <c r="K77" s="237" t="str">
        <f>IF(ISEVEN(B77),(B77-1)&amp;"/"&amp;B77,B77&amp;"/"&amp;(B77+1))</f>
        <v>4005/4006</v>
      </c>
      <c r="L77" s="245" t="str">
        <f>VLOOKUP(A77,'Trips&amp;Operators'!$C$1:$G$99911,5,FALSE)</f>
        <v>LEVIN SCOTT</v>
      </c>
      <c r="M77" s="224">
        <f>I77-F77</f>
        <v>2.4479166670062114E-2</v>
      </c>
      <c r="N77" s="225">
        <f>24*60*SUM($M77:$M77)</f>
        <v>35.250000004889444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-05T10:36:46-0700',mode:absolute,to:'2017-12-05T13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4.8899999999999999E-2</v>
      </c>
      <c r="Z77" s="247">
        <f>RIGHT(H77,LEN(H77)-4)/10000</f>
        <v>23.326599999999999</v>
      </c>
      <c r="AA77" s="247">
        <f>ABS(Z77-Y77)</f>
        <v>23.277699999999999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165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/stypes="app*4006*20171205*"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165-05 --locoid 4006 --swversion DE.1.0.9.0 --startMP 204:489 --initTime 2017-12-05T11:36:46 --startdatetime 2017-12-05T11:45:17 --delay 111 --endMP 204:233266 --enddatetime 2017-12-05T12:20:32 --enforcementcount 0 &gt;&gt;%USERPROFILE%\Documents\GitHub\eaglep3-reporting\EC\2017-12-05-refined-times.txt</v>
      </c>
      <c r="AI77" s="238" t="str">
        <f t="shared" si="6"/>
        <v>echo {"issue":{"subject":"","project_id":79,"tracker_id":40,"status_id":1,"priority_id":2,"assigned_to_id":338,"start_date":"2017-12-05","description":"","custom_fields":[{"id":1,"name":"Subdivision","value":"EC"},{"id":4,"name":"Milepost","value":"23.3266"},{"id":17,"name":"Train ID","value":"165-05"},{"id":16,"name":"Locomotive ID","value":"4006"},{"id":130,"name":"Impact","value":""},{"id":150,"name":"Time of Event (Mountain Time)","value":"12:20:32"},{"id":151,"name":"Denver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4006 --day 2017-12-05</v>
      </c>
      <c r="AN77" s="241" t="str">
        <f t="shared" si="8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2017-12-05T10:36:46-0700',mode:absolute,to:'2017-12-05T13:20:32-0700'))&amp;_a=(columns:!('Message%20ID',Summary),filters:!(),index:'emp_*',interval:auto,query:(query_string:(analyze_wildcard:!t,query:'%22rtdc.l.rtdc.4006%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801</v>
      </c>
      <c r="B78" s="225">
        <v>4005</v>
      </c>
      <c r="C78" s="227" t="s">
        <v>192</v>
      </c>
      <c r="D78" s="227" t="s">
        <v>956</v>
      </c>
      <c r="E78" s="226">
        <v>43074.521944444445</v>
      </c>
      <c r="F78" s="226">
        <v>43074.529363425929</v>
      </c>
      <c r="G78" s="225">
        <v>74</v>
      </c>
      <c r="H78" s="227" t="s">
        <v>957</v>
      </c>
      <c r="I78" s="226">
        <v>43074.555231481485</v>
      </c>
      <c r="J78" s="225">
        <v>0</v>
      </c>
      <c r="K78" s="237" t="str">
        <f>IF(ISEVEN(B78),(B78-1)&amp;"/"&amp;B78,B78&amp;"/"&amp;(B78+1))</f>
        <v>4005/4006</v>
      </c>
      <c r="L78" s="245" t="str">
        <f>VLOOKUP(A78,'Trips&amp;Operators'!$C$1:$G$99911,5,FALSE)</f>
        <v>LEVIN SCOTT</v>
      </c>
      <c r="M78" s="224">
        <f>I78-F78</f>
        <v>2.5868055556202307E-2</v>
      </c>
      <c r="N78" s="225">
        <f>24*60*SUM($M78:$M78)</f>
        <v>37.250000000931323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-05T11:31:36-0700',mode:absolute,to:'2017-12-05T14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23.2943</v>
      </c>
      <c r="Z78" s="247">
        <f>RIGHT(H78,LEN(H78)-4)/10000</f>
        <v>1.38E-2</v>
      </c>
      <c r="AA78" s="247">
        <f>ABS(Z78-Y78)</f>
        <v>23.2805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166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/stypes="app*4005*20171205*"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3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4005 --swversion DE.1.0.9.0 --startMP 204:232943 --initTime 2017-12-05T12:31:36 --startdatetime 2017-12-05T12:42:17 --delay 74 --endMP 204:138 --enddatetime 2017-12-05T13:19:32 --enforcementcount 0 &gt;&gt;%USERPROFILE%\Documents\GitHub\eaglep3-reporting\EC\2017-12-05-refined-times.txt</v>
      </c>
      <c r="AI78" s="238" t="str">
        <f t="shared" ref="AI78:AI143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{"issue":{"subject":"","project_id":79,"tracker_id":40,"status_id":1,"priority_id":2,"assigned_to_id":338,"start_date":"2017-12-05","description":"","custom_fields":[{"id":1,"name":"Subdivision","value":"EC"},{"id":4,"name":"Milepost","value":"0.0138"},{"id":17,"name":"Train ID","value":"166-05"},{"id":16,"name":"Locomotive ID","value":"4005"},{"id":130,"name":"Impact","value":""},{"id":150,"name":"Time of Event (Mountain Time)","value":"13:19:32"},{"id":151,"name":"Denver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3" si="12">"start /low /b "&amp;dls3logs&amp;" --loco "&amp;B78&amp;" --day "&amp;TEXT(F78,"YYYY-MM-DD")</f>
        <v>start /low /b %USERPROFILE%\Documents\GitHub\eaglep3\Utilities\DownloadLogsFromS3.py --loco 4005 --day 2017-12-05</v>
      </c>
      <c r="AN78" s="241" t="str">
        <f t="shared" ref="AN78:AN143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3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-05T11:31:36-0700',mode:absolute,to:'2017-12-05T14:19:32-0700'))&amp;_a=(columns:!('Message%20ID',Summary),filters:!(),index:'emp_*',interval:auto,query:(query_string:(analyze_wildcard:!t,query:'%22rtdc.l.rtdc.4005%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796</v>
      </c>
      <c r="B79" s="225">
        <v>4044</v>
      </c>
      <c r="C79" s="227" t="s">
        <v>192</v>
      </c>
      <c r="D79" s="227" t="s">
        <v>958</v>
      </c>
      <c r="E79" s="226">
        <v>43074.497071759259</v>
      </c>
      <c r="F79" s="226">
        <v>43074.500219907408</v>
      </c>
      <c r="G79" s="225">
        <v>120</v>
      </c>
      <c r="H79" s="227" t="s">
        <v>952</v>
      </c>
      <c r="I79" s="226">
        <v>43074.525706018518</v>
      </c>
      <c r="J79" s="225">
        <v>0</v>
      </c>
      <c r="K79" s="237" t="str">
        <f>IF(ISEVEN(B79),(B79-1)&amp;"/"&amp;B79,B79&amp;"/"&amp;(B79+1))</f>
        <v>4043/4044</v>
      </c>
      <c r="L79" s="245" t="str">
        <f>VLOOKUP(A79,'Trips&amp;Operators'!$C$1:$G$99911,5,FALSE)</f>
        <v>NICHOLAS PLOYSA</v>
      </c>
      <c r="M79" s="224">
        <f>I79-F79</f>
        <v>2.548611110978527E-2</v>
      </c>
      <c r="N79" s="225">
        <f>24*60*SUM($M79:$M79)</f>
        <v>36.699999998090789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-05T10:55:47-0700',mode:absolute,to:'2017-12-05T13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5.4899999999999997E-2</v>
      </c>
      <c r="Z79" s="247">
        <f>RIGHT(H79,LEN(H79)-4)/10000</f>
        <v>23.3186</v>
      </c>
      <c r="AA79" s="247">
        <f>ABS(Z79-Y79)</f>
        <v>23.2637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167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/stypes="app*4044*20171205*"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167-05 --locoid 4044 --swversion DE.1.0.9.0 --startMP 204:549 --initTime 2017-12-05T11:55:47 --startdatetime 2017-12-05T12:00:19 --delay 120 --endMP 204:233186 --enddatetime 2017-12-05T12:37:01 --enforcementcount 0 &gt;&gt;%USERPROFILE%\Documents\GitHub\eaglep3-reporting\EC\2017-12-05-refined-times.txt</v>
      </c>
      <c r="AI79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{"issue":{"subject":"","project_id":79,"tracker_id":40,"status_id":1,"priority_id":2,"assigned_to_id":338,"start_date":"2017-12-05","description":"","custom_fields":[{"id":1,"name":"Subdivision","value":"EC"},{"id":4,"name":"Milepost","value":"23.3186"},{"id":17,"name":"Train ID","value":"167-05"},{"id":16,"name":"Locomotive ID","value":"4044"},{"id":130,"name":"Impact","value":""},{"id":150,"name":"Time of Event (Mountain Time)","value":"12:37:01"},{"id":151,"name":"Denver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4044 --day 2017-12-05</v>
      </c>
      <c r="AN79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2017-12-05T10:55:47-0700',mode:absolute,to:'2017-12-05T13:37:01-0700'))&amp;_a=(columns:!('Message%20ID',Summary),filters:!(),index:'emp_*',interval:auto,query:(query_string:(analyze_wildcard:!t,query:'%22rtdc.l.rtdc.4044%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803</v>
      </c>
      <c r="B80" s="225">
        <v>4043</v>
      </c>
      <c r="C80" s="227" t="s">
        <v>192</v>
      </c>
      <c r="D80" s="227" t="s">
        <v>959</v>
      </c>
      <c r="E80" s="226">
        <v>43074.53570601852</v>
      </c>
      <c r="F80" s="226">
        <v>43074.539849537039</v>
      </c>
      <c r="G80" s="225">
        <v>87</v>
      </c>
      <c r="H80" s="227" t="s">
        <v>630</v>
      </c>
      <c r="I80" s="226">
        <v>43074.567326388889</v>
      </c>
      <c r="J80" s="225">
        <v>0</v>
      </c>
      <c r="K80" s="237" t="str">
        <f>IF(ISEVEN(B80),(B80-1)&amp;"/"&amp;B80,B80&amp;"/"&amp;(B80+1))</f>
        <v>4043/4044</v>
      </c>
      <c r="L80" s="245" t="str">
        <f>VLOOKUP(A80,'Trips&amp;Operators'!$C$1:$G$99911,5,FALSE)</f>
        <v>NICHOLAS PLOYSA</v>
      </c>
      <c r="M80" s="224">
        <f>I80-F80</f>
        <v>2.7476851850224193E-2</v>
      </c>
      <c r="N80" s="225">
        <f>24*60*SUM($M80:$M80)</f>
        <v>39.566666664322838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-05T11:51:25-0700',mode:absolute,to:'2017-12-05T14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23.285399999999999</v>
      </c>
      <c r="Z80" s="247">
        <f>RIGHT(H80,LEN(H80)-4)/10000</f>
        <v>2.5399999999999999E-2</v>
      </c>
      <c r="AA80" s="247">
        <f>ABS(Z80-Y80)</f>
        <v>23.259999999999998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168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/stypes="app*4043*20171205*"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168-05 --locoid 4043 --swversion DE.1.0.9.0 --startMP 204:232854 --initTime 2017-12-05T12:51:25 --startdatetime 2017-12-05T12:57:23 --delay 87 --endMP 204:254 --enddatetime 2017-12-05T13:36:57 --enforcementcount 0 &gt;&gt;%USERPROFILE%\Documents\GitHub\eaglep3-reporting\EC\2017-12-05-refined-times.txt</v>
      </c>
      <c r="AI80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{"issue":{"subject":"","project_id":79,"tracker_id":40,"status_id":1,"priority_id":2,"assigned_to_id":338,"start_date":"2017-12-05","description":"","custom_fields":[{"id":1,"name":"Subdivision","value":"EC"},{"id":4,"name":"Milepost","value":"0.0254"},{"id":17,"name":"Train ID","value":"168-05"},{"id":16,"name":"Locomotive ID","value":"4043"},{"id":130,"name":"Impact","value":""},{"id":150,"name":"Time of Event (Mountain Time)","value":"13:36:57"},{"id":151,"name":"Denver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4043 --day 2017-12-05</v>
      </c>
      <c r="AN80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2017-12-05T11:51:25-0700',mode:absolute,to:'2017-12-05T14:36:57-0700'))&amp;_a=(columns:!('Message%20ID',Summary),filters:!(),index:'emp_*',interval:auto,query:(query_string:(analyze_wildcard:!t,query:'%22rtdc.l.rtdc.4043%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798</v>
      </c>
      <c r="B81" s="225">
        <v>4014</v>
      </c>
      <c r="C81" s="227" t="s">
        <v>192</v>
      </c>
      <c r="D81" s="227" t="s">
        <v>507</v>
      </c>
      <c r="E81" s="226">
        <v>43074.505312499998</v>
      </c>
      <c r="F81" s="226">
        <v>43074.510787037034</v>
      </c>
      <c r="G81" s="225">
        <v>128</v>
      </c>
      <c r="H81" s="227" t="s">
        <v>960</v>
      </c>
      <c r="I81" s="226">
        <v>43074.535474537035</v>
      </c>
      <c r="J81" s="225">
        <v>0</v>
      </c>
      <c r="K81" s="237" t="str">
        <f>IF(ISEVEN(B81),(B81-1)&amp;"/"&amp;B81,B81&amp;"/"&amp;(B81+1))</f>
        <v>4013/4014</v>
      </c>
      <c r="L81" s="245" t="str">
        <f>VLOOKUP(A81,'Trips&amp;Operators'!$C$1:$G$99911,5,FALSE)</f>
        <v>SAFIEF AEIMEN</v>
      </c>
      <c r="M81" s="224">
        <f>I81-F81</f>
        <v>2.4687500001164153E-2</v>
      </c>
      <c r="N81" s="225">
        <f>24*60*SUM($M81:$M81)</f>
        <v>35.550000001676381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-05T11:07:39-0700',mode:absolute,to:'2017-12-05T13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4.5699999999999998E-2</v>
      </c>
      <c r="Z81" s="247">
        <f>RIGHT(H81,LEN(H81)-4)/10000</f>
        <v>23.322900000000001</v>
      </c>
      <c r="AA81" s="247">
        <f>ABS(Z81-Y81)</f>
        <v>23.277200000000001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169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/stypes="app*4014*20171205*"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169-05 --locoid 4014 --swversion DE.1.0.9.0 --startMP 204:457 --initTime 2017-12-05T12:07:39 --startdatetime 2017-12-05T12:15:32 --delay 128 --endMP 204:233229 --enddatetime 2017-12-05T12:51:05 --enforcementcount 0 &gt;&gt;%USERPROFILE%\Documents\GitHub\eaglep3-reporting\EC\2017-12-05-refined-times.txt</v>
      </c>
      <c r="AI81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{"issue":{"subject":"","project_id":79,"tracker_id":40,"status_id":1,"priority_id":2,"assigned_to_id":338,"start_date":"2017-12-05","description":"","custom_fields":[{"id":1,"name":"Subdivision","value":"EC"},{"id":4,"name":"Milepost","value":"23.3229"},{"id":17,"name":"Train ID","value":"169-05"},{"id":16,"name":"Locomotive ID","value":"4014"},{"id":130,"name":"Impact","value":""},{"id":150,"name":"Time of Event (Mountain Time)","value":"12:51:05"},{"id":151,"name":"Denver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4014 --day 2017-12-05</v>
      </c>
      <c r="AN81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2017-12-05T11:07:39-0700',mode:absolute,to:'2017-12-05T13:51:05-0700'))&amp;_a=(columns:!('Message%20ID',Summary),filters:!(),index:'emp_*',interval:auto,query:(query_string:(analyze_wildcard:!t,query:'%22rtdc.l.rtdc.4014%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804</v>
      </c>
      <c r="B82" s="225">
        <v>4013</v>
      </c>
      <c r="C82" s="227" t="s">
        <v>192</v>
      </c>
      <c r="D82" s="227" t="s">
        <v>961</v>
      </c>
      <c r="E82" s="226">
        <v>43074.537488425929</v>
      </c>
      <c r="F82" s="226">
        <v>43074.550196759257</v>
      </c>
      <c r="G82" s="225">
        <v>96</v>
      </c>
      <c r="H82" s="227" t="s">
        <v>488</v>
      </c>
      <c r="I82" s="226">
        <v>43074.575752314813</v>
      </c>
      <c r="J82" s="225">
        <v>0</v>
      </c>
      <c r="K82" s="237" t="str">
        <f>IF(ISEVEN(B82),(B82-1)&amp;"/"&amp;B82,B82&amp;"/"&amp;(B82+1))</f>
        <v>4013/4014</v>
      </c>
      <c r="L82" s="245" t="str">
        <f>VLOOKUP(A82,'Trips&amp;Operators'!$C$1:$G$99911,5,FALSE)</f>
        <v>SAFIEF AEIMEN</v>
      </c>
      <c r="M82" s="224">
        <f>I82-F82</f>
        <v>2.5555555555911269E-2</v>
      </c>
      <c r="N82" s="225">
        <f>24*60*SUM($M82:$M82)</f>
        <v>36.800000000512227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-05T11:53:59-0700',mode:absolute,to:'2017-12-05T14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23.291699999999999</v>
      </c>
      <c r="Z82" s="247">
        <f>RIGHT(H82,LEN(H82)-4)/10000</f>
        <v>2.0899999999999998E-2</v>
      </c>
      <c r="AA82" s="247">
        <f>ABS(Z82-Y82)</f>
        <v>23.270799999999998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170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/stypes="app*4013*20171205*"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170-05 --locoid 4013 --swversion DE.1.0.9.0 --startMP 204:232917 --initTime 2017-12-05T12:53:59 --startdatetime 2017-12-05T13:12:17 --delay 96 --endMP 204:209 --enddatetime 2017-12-05T13:49:05 --enforcementcount 0 &gt;&gt;%USERPROFILE%\Documents\GitHub\eaglep3-reporting\EC\2017-12-05-refined-times.txt</v>
      </c>
      <c r="AI82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{"issue":{"subject":"","project_id":79,"tracker_id":40,"status_id":1,"priority_id":2,"assigned_to_id":338,"start_date":"2017-12-05","description":"","custom_fields":[{"id":1,"name":"Subdivision","value":"EC"},{"id":4,"name":"Milepost","value":"0.0209"},{"id":17,"name":"Train ID","value":"170-05"},{"id":16,"name":"Locomotive ID","value":"4013"},{"id":130,"name":"Impact","value":""},{"id":150,"name":"Time of Event (Mountain Time)","value":"13:49:05"},{"id":151,"name":"Denver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4013 --day 2017-12-05</v>
      </c>
      <c r="AN82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2017-12-05T11:53:59-0700',mode:absolute,to:'2017-12-05T14:49:05-0700'))&amp;_a=(columns:!('Message%20ID',Summary),filters:!(),index:'emp_*',interval:auto,query:(query_string:(analyze_wildcard:!t,query:'%22rtdc.l.rtdc.4013%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800</v>
      </c>
      <c r="B83" s="225">
        <v>4054</v>
      </c>
      <c r="C83" s="227" t="s">
        <v>192</v>
      </c>
      <c r="D83" s="227" t="s">
        <v>462</v>
      </c>
      <c r="E83" s="226">
        <v>43074.518101851849</v>
      </c>
      <c r="F83" s="226">
        <v>43074.521134259259</v>
      </c>
      <c r="G83" s="225">
        <v>68</v>
      </c>
      <c r="H83" s="227" t="s">
        <v>514</v>
      </c>
      <c r="I83" s="226">
        <v>43074.546875</v>
      </c>
      <c r="J83" s="225">
        <v>0</v>
      </c>
      <c r="K83" s="237" t="str">
        <f>IF(ISEVEN(B83),(B83-1)&amp;"/"&amp;B83,B83&amp;"/"&amp;(B83+1))</f>
        <v>4053/4054</v>
      </c>
      <c r="L83" s="245" t="str">
        <f>VLOOKUP(A83,'Trips&amp;Operators'!$C$1:$G$99911,5,FALSE)</f>
        <v>DAVIS MICHAEL</v>
      </c>
      <c r="M83" s="224">
        <f>I83-F83</f>
        <v>2.5740740740729962E-2</v>
      </c>
      <c r="N83" s="225">
        <f>24*60*SUM($M83:$M83)</f>
        <v>37.066666666651145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-05T11:26:04-0700',mode:absolute,to:'2017-12-05T14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5.1700000000000003E-2</v>
      </c>
      <c r="Z83" s="247">
        <f>RIGHT(H83,LEN(H83)-4)/10000</f>
        <v>23.327400000000001</v>
      </c>
      <c r="AA83" s="247">
        <f>ABS(Z83-Y83)</f>
        <v>23.275700000000001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171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/stypes="app*4054*20171205*"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171-05 --locoid 4054 --swversion DE.1.0.9.0 --startMP 204:517 --initTime 2017-12-05T12:26:04 --startdatetime 2017-12-05T12:30:26 --delay 68 --endMP 204:233274 --enddatetime 2017-12-05T13:07:30 --enforcementcount 0 &gt;&gt;%USERPROFILE%\Documents\GitHub\eaglep3-reporting\EC\2017-12-05-refined-times.txt</v>
      </c>
      <c r="AI83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{"issue":{"subject":"","project_id":79,"tracker_id":40,"status_id":1,"priority_id":2,"assigned_to_id":338,"start_date":"2017-12-05","description":"","custom_fields":[{"id":1,"name":"Subdivision","value":"EC"},{"id":4,"name":"Milepost","value":"23.3274"},{"id":17,"name":"Train ID","value":"171-05"},{"id":16,"name":"Locomotive ID","value":"4054"},{"id":130,"name":"Impact","value":""},{"id":150,"name":"Time of Event (Mountain Time)","value":"13:07:30"},{"id":151,"name":"Denver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4054 --day 2017-12-05</v>
      </c>
      <c r="AN83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2017-12-05T11:26:04-0700',mode:absolute,to:'2017-12-05T14:07:30-0700'))&amp;_a=(columns:!('Message%20ID',Summary),filters:!(),index:'emp_*',interval:auto,query:(query_string:(analyze_wildcard:!t,query:'%22rtdc.l.rtdc.4054%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808</v>
      </c>
      <c r="B84" s="225">
        <v>4053</v>
      </c>
      <c r="C84" s="227" t="s">
        <v>192</v>
      </c>
      <c r="D84" s="227" t="s">
        <v>503</v>
      </c>
      <c r="E84" s="226">
        <v>43074.55846064815</v>
      </c>
      <c r="F84" s="226">
        <v>43074.56082175926</v>
      </c>
      <c r="G84" s="225">
        <v>66</v>
      </c>
      <c r="H84" s="227" t="s">
        <v>962</v>
      </c>
      <c r="I84" s="226">
        <v>43074.588900462964</v>
      </c>
      <c r="J84" s="225">
        <v>0</v>
      </c>
      <c r="K84" s="237" t="str">
        <f>IF(ISEVEN(B84),(B84-1)&amp;"/"&amp;B84,B84&amp;"/"&amp;(B84+1))</f>
        <v>4053/4054</v>
      </c>
      <c r="L84" s="245" t="str">
        <f>VLOOKUP(A84,'Trips&amp;Operators'!$C$1:$G$99911,5,FALSE)</f>
        <v>DAVIS MICHAEL</v>
      </c>
      <c r="M84" s="224">
        <f>I84-F84</f>
        <v>2.8078703704522923E-2</v>
      </c>
      <c r="N84" s="225">
        <f>24*60*SUM($M84:$M84)</f>
        <v>40.433333334513009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-05T12:24:11-0700',mode:absolute,to:'2017-12-05T15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23.299600000000002</v>
      </c>
      <c r="Z84" s="247">
        <f>RIGHT(H84,LEN(H84)-4)/10000</f>
        <v>2.2100000000000002E-2</v>
      </c>
      <c r="AA84" s="247">
        <f>ABS(Z84-Y84)</f>
        <v>23.277500000000003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172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/stypes="app*4053*20171205*" /stext=" 21:.+((SYSTEM_STATE.+slice.+state.+changed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172-05 --locoid 4053 --swversion DE.1.0.9.0 --startMP 204:232996 --initTime 2017-12-05T13:24:11 --startdatetime 2017-12-05T13:27:35 --delay 66 --endMP 204:221 --enddatetime 2017-12-05T14:08:01 --enforcementcount 0 &gt;&gt;%USERPROFILE%\Documents\GitHub\eaglep3-reporting\EC\2017-12-05-refined-times.txt</v>
      </c>
      <c r="AI84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{"issue":{"subject":"","project_id":79,"tracker_id":40,"status_id":1,"priority_id":2,"assigned_to_id":338,"start_date":"2017-12-05","description":"","custom_fields":[{"id":1,"name":"Subdivision","value":"EC"},{"id":4,"name":"Milepost","value":"0.0221"},{"id":17,"name":"Train ID","value":"172-05"},{"id":16,"name":"Locomotive ID","value":"4053"},{"id":130,"name":"Impact","value":""},{"id":150,"name":"Time of Event (Mountain Time)","value":"14:08:01"},{"id":151,"name":"Denver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4053 --day 2017-12-05</v>
      </c>
      <c r="AN84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2017-12-05T12:24:11-0700',mode:absolute,to:'2017-12-05T15:08:01-0700'))&amp;_a=(columns:!('Message%20ID',Summary),filters:!(),index:'emp_*',interval:auto,query:(query_string:(analyze_wildcard:!t,query:'%22rtdc.l.rtdc.4053%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802</v>
      </c>
      <c r="B85" s="225">
        <v>4036</v>
      </c>
      <c r="C85" s="227" t="s">
        <v>192</v>
      </c>
      <c r="D85" s="227" t="s">
        <v>503</v>
      </c>
      <c r="E85" s="226">
        <v>43074.55846064815</v>
      </c>
      <c r="F85" s="226">
        <v>43074.531539351854</v>
      </c>
      <c r="G85" s="225">
        <v>66</v>
      </c>
      <c r="H85" s="227" t="s">
        <v>962</v>
      </c>
      <c r="I85" s="226">
        <v>43074.556608796294</v>
      </c>
      <c r="J85" s="225">
        <v>0</v>
      </c>
      <c r="K85" s="237" t="str">
        <f>IF(ISEVEN(B85),(B85-1)&amp;"/"&amp;B85,B85&amp;"/"&amp;(B85+1))</f>
        <v>4035/4036</v>
      </c>
      <c r="L85" s="245" t="str">
        <f>VLOOKUP(A85,'Trips&amp;Operators'!$C$1:$G$99911,5,FALSE)</f>
        <v>SMITH MICHAEL</v>
      </c>
      <c r="M85" s="224">
        <f>I85-F85</f>
        <v>2.5069444440305233E-2</v>
      </c>
      <c r="N85" s="225">
        <f>24*60*SUM($M85:$M85)</f>
        <v>36.099999994039536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-05T12:24:11-0700',mode:absolute,to:'2017-12-05T14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v>5.1700000000000003E-2</v>
      </c>
      <c r="Z85" s="247">
        <v>23.327400000000001</v>
      </c>
      <c r="AA85" s="247">
        <f>ABS(Z85-Y85)</f>
        <v>23.275700000000001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173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/stypes="app*4036*20171205*"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ref="AH85" si="15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173-05 --locoid 4036 --swversion DE.1.0.9.0 --startMP 204:232996 --initTime 2017-12-05T13:24:11 --startdatetime 2017-12-05T12:45:25 --delay 66 --endMP 204:221 --enddatetime 2017-12-05T13:21:31 --enforcementcount 0 &gt;&gt;%USERPROFILE%\Documents\GitHub\eaglep3-reporting\EC\2017-12-05-refined-times.txt</v>
      </c>
      <c r="AI85" s="238" t="str">
        <f t="shared" ref="AI85" si="16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{"issue":{"subject":"","project_id":79,"tracker_id":40,"status_id":1,"priority_id":2,"assigned_to_id":338,"start_date":"2017-12-05","description":"","custom_fields":[{"id":1,"name":"Subdivision","value":"EC"},{"id":4,"name":"Milepost","value":"23.3274"},{"id":17,"name":"Train ID","value":"173-05"},{"id":16,"name":"Locomotive ID","value":"4036"},{"id":130,"name":"Impact","value":""},{"id":150,"name":"Time of Event (Mountain Time)","value":"13:21:31"},{"id":151,"name":"Denver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ref="AM85" si="17">"start /low /b "&amp;dls3logs&amp;" --loco "&amp;B85&amp;" --day "&amp;TEXT(F85,"YYYY-MM-DD")</f>
        <v>start /low /b %USERPROFILE%\Documents\GitHub\eaglep3\Utilities\DownloadLogsFromS3.py --loco 4036 --day 2017-12-05</v>
      </c>
      <c r="AN85" s="241" t="str">
        <f t="shared" ref="AN85" si="18">"echo {""issue"":{""subject"":"""&amp;R85&amp;""",""project_id"":30,""tracker_id"":4,""status_id"":"&amp;redmine_status_wcr&amp;",""priority_id"":"&amp;redmine_priority_wcr&amp;",""assigned_to_id"":"&amp;redmine_assignee_wcr&amp;",""start_date"":"""&amp;TEXT(I85-utc_offset/24,"YYYY-mm-dd")&amp;""",""description"":"""&amp;AJ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ref="AO85" si="19"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Message%20ID',Summary),filters:!(),index:'emp_*',interval:auto,query:"&amp;"(query_string:(analyze_wildcard:!t,query:'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-05T12:24:11-0700',mode:absolute,to:'2017-12-05T14:21:31-0700'))&amp;_a=(columns:!('Message%20ID',Summary),filters:!(),index:'emp_*',interval:auto,query:(query_string:(analyze_wildcard:!t,query:'%22rtdc.l.rtdc.4036%22')),sort:!(Time.ISO8601,asc))</v>
      </c>
      <c r="AP85" s="223"/>
      <c r="AQ85" s="223"/>
      <c r="AR85" s="223"/>
      <c r="AS85" s="223"/>
      <c r="AT85" s="223"/>
      <c r="AU85" s="223"/>
      <c r="AV85" s="223"/>
      <c r="AW85" s="223"/>
      <c r="AX85" s="223"/>
      <c r="AY85" s="223"/>
      <c r="AZ85" s="223"/>
      <c r="BA85" s="223"/>
      <c r="BB85" s="223"/>
      <c r="BC85" s="223"/>
      <c r="BD85" s="223"/>
      <c r="BE85" s="223"/>
      <c r="BF85" s="223"/>
      <c r="BG85" s="223"/>
      <c r="BH85" s="223"/>
      <c r="BI85" s="223"/>
      <c r="BJ85" s="223"/>
      <c r="BK85" s="223"/>
      <c r="BL85" s="223"/>
      <c r="BM85" s="223"/>
      <c r="BN85" s="223"/>
      <c r="BO85" s="223"/>
      <c r="BP85" s="223"/>
      <c r="BQ85" s="223"/>
      <c r="BR85" s="223"/>
      <c r="BS85" s="223"/>
      <c r="BT85" s="223"/>
      <c r="BU85" s="223"/>
      <c r="BV85" s="223"/>
      <c r="BW85" s="223"/>
      <c r="BX85" s="223"/>
      <c r="BY85" s="223"/>
      <c r="BZ85" s="223"/>
      <c r="CA85" s="223"/>
      <c r="CB85" s="223"/>
      <c r="CC85" s="223"/>
      <c r="CD85" s="223"/>
      <c r="CE85" s="223"/>
      <c r="CF85" s="223"/>
      <c r="CG85" s="223"/>
      <c r="CH85" s="223"/>
      <c r="CI85" s="223"/>
      <c r="CJ85" s="223"/>
      <c r="CK85" s="223"/>
      <c r="CL85" s="223"/>
      <c r="CM85" s="223"/>
    </row>
    <row r="86" spans="1:91" s="1" customFormat="1" x14ac:dyDescent="0.25">
      <c r="A86" s="229" t="s">
        <v>810</v>
      </c>
      <c r="B86" s="225">
        <v>4035</v>
      </c>
      <c r="C86" s="227" t="s">
        <v>192</v>
      </c>
      <c r="D86" s="227" t="s">
        <v>559</v>
      </c>
      <c r="E86" s="226">
        <v>43074.563425925924</v>
      </c>
      <c r="F86" s="226">
        <v>43074.571076388886</v>
      </c>
      <c r="G86" s="225">
        <v>74</v>
      </c>
      <c r="H86" s="227" t="s">
        <v>929</v>
      </c>
      <c r="I86" s="226">
        <v>43074.596678240741</v>
      </c>
      <c r="J86" s="225">
        <v>0</v>
      </c>
      <c r="K86" s="237" t="str">
        <f>IF(ISEVEN(B86),(B86-1)&amp;"/"&amp;B86,B86&amp;"/"&amp;(B86+1))</f>
        <v>4035/4036</v>
      </c>
      <c r="L86" s="245" t="str">
        <f>VLOOKUP(A86,'Trips&amp;Operators'!$C$1:$G$99911,5,FALSE)</f>
        <v>SMITH MICHAEL</v>
      </c>
      <c r="M86" s="224">
        <f>I86-F86</f>
        <v>2.5601851855753921E-2</v>
      </c>
      <c r="N86" s="225">
        <f>24*60*SUM($M86:$M86)</f>
        <v>36.866666672285646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-05T12:31:20-0700',mode:absolute,to:'2017-12-05T15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23.290600000000001</v>
      </c>
      <c r="Z86" s="247">
        <f>RIGHT(H86,LEN(H86)-4)/10000</f>
        <v>1.49E-2</v>
      </c>
      <c r="AA86" s="247">
        <f>ABS(Z86-Y86)</f>
        <v>23.275700000000001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174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/stypes="app*4035*20171205*"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174-05 --locoid 4035 --swversion DE.1.0.9.0 --startMP 204:232906 --initTime 2017-12-05T13:31:20 --startdatetime 2017-12-05T13:42:21 --delay 74 --endMP 204:149 --enddatetime 2017-12-05T14:19:13 --enforcementcount 0 &gt;&gt;%USERPROFILE%\Documents\GitHub\eaglep3-reporting\EC\2017-12-05-refined-times.txt</v>
      </c>
      <c r="AI86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{"issue":{"subject":"","project_id":79,"tracker_id":40,"status_id":1,"priority_id":2,"assigned_to_id":338,"start_date":"2017-12-05","description":"","custom_fields":[{"id":1,"name":"Subdivision","value":"EC"},{"id":4,"name":"Milepost","value":"0.0149"},{"id":17,"name":"Train ID","value":"174-05"},{"id":16,"name":"Locomotive ID","value":"4035"},{"id":130,"name":"Impact","value":""},{"id":150,"name":"Time of Event (Mountain Time)","value":"14:19:13"},{"id":151,"name":"Denver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4035 --day 2017-12-05</v>
      </c>
      <c r="AN86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2017-12-05T12:31:20-0700',mode:absolute,to:'2017-12-05T15:19:13-0700'))&amp;_a=(columns:!('Message%20ID',Summary),filters:!(),index:'emp_*',interval:auto,query:(query_string:(analyze_wildcard:!t,query:'%22rtdc.l.rtdc.4035%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805</v>
      </c>
      <c r="B87" s="225">
        <v>4060</v>
      </c>
      <c r="C87" s="227" t="s">
        <v>192</v>
      </c>
      <c r="D87" s="227" t="s">
        <v>418</v>
      </c>
      <c r="E87" s="226">
        <v>43074.538518518515</v>
      </c>
      <c r="F87" s="226">
        <v>43074.54184027778</v>
      </c>
      <c r="G87" s="225">
        <v>80</v>
      </c>
      <c r="H87" s="227" t="s">
        <v>628</v>
      </c>
      <c r="I87" s="226">
        <v>43074.565266203703</v>
      </c>
      <c r="J87" s="225">
        <v>0</v>
      </c>
      <c r="K87" s="237" t="str">
        <f>IF(ISEVEN(B87),(B87-1)&amp;"/"&amp;B87,B87&amp;"/"&amp;(B87+1))</f>
        <v>4059/4060</v>
      </c>
      <c r="L87" s="245" t="str">
        <f>VLOOKUP(A87,'Trips&amp;Operators'!$C$1:$G$99911,5,FALSE)</f>
        <v>BRUDER RICHARD</v>
      </c>
      <c r="M87" s="224">
        <f>I87-F87</f>
        <v>2.3425925923220348E-2</v>
      </c>
      <c r="N87" s="225">
        <f>24*60*SUM($M87:$M87)</f>
        <v>33.733333329437301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-05T11:55:28-0700',mode:absolute,to:'2017-12-05T14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5.3999999999999999E-2</v>
      </c>
      <c r="Z87" s="247">
        <f>RIGHT(H87,LEN(H87)-4)/10000</f>
        <v>23.321300000000001</v>
      </c>
      <c r="AA87" s="247">
        <f>ABS(Z87-Y87)</f>
        <v>23.267300000000002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175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/stypes="app*4060*20171205*"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175-05 --locoid 4060 --swversion DE.1.0.9.0 --startMP 204:540 --initTime 2017-12-05T12:55:28 --startdatetime 2017-12-05T13:00:15 --delay 80 --endMP 204:233213 --enddatetime 2017-12-05T13:33:59 --enforcementcount 0 &gt;&gt;%USERPROFILE%\Documents\GitHub\eaglep3-reporting\EC\2017-12-05-refined-times.txt</v>
      </c>
      <c r="AI87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{"issue":{"subject":"","project_id":79,"tracker_id":40,"status_id":1,"priority_id":2,"assigned_to_id":338,"start_date":"2017-12-05","description":"","custom_fields":[{"id":1,"name":"Subdivision","value":"EC"},{"id":4,"name":"Milepost","value":"23.3213"},{"id":17,"name":"Train ID","value":"175-05"},{"id":16,"name":"Locomotive ID","value":"4060"},{"id":130,"name":"Impact","value":""},{"id":150,"name":"Time of Event (Mountain Time)","value":"13:33:59"},{"id":151,"name":"Denver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4060 --day 2017-12-05</v>
      </c>
      <c r="AN87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2017-12-05T11:55:28-0700',mode:absolute,to:'2017-12-05T14:33:59-0700'))&amp;_a=(columns:!('Message%20ID',Summary),filters:!(),index:'emp_*',interval:auto,query:(query_string:(analyze_wildcard:!t,query:'%22rtdc.l.rtdc.4060%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812</v>
      </c>
      <c r="B88" s="225">
        <v>4059</v>
      </c>
      <c r="C88" s="227" t="s">
        <v>192</v>
      </c>
      <c r="D88" s="227" t="s">
        <v>963</v>
      </c>
      <c r="E88" s="226">
        <v>43074.577905092592</v>
      </c>
      <c r="F88" s="226">
        <v>43074.581435185188</v>
      </c>
      <c r="G88" s="225">
        <v>55</v>
      </c>
      <c r="H88" s="227" t="s">
        <v>645</v>
      </c>
      <c r="I88" s="226">
        <v>43074.60733796296</v>
      </c>
      <c r="J88" s="225">
        <v>0</v>
      </c>
      <c r="K88" s="237" t="str">
        <f>IF(ISEVEN(B88),(B88-1)&amp;"/"&amp;B88,B88&amp;"/"&amp;(B88+1))</f>
        <v>4059/4060</v>
      </c>
      <c r="L88" s="245" t="str">
        <f>VLOOKUP(A88,'Trips&amp;Operators'!$C$1:$G$99911,5,FALSE)</f>
        <v>BRUDER RICHARD</v>
      </c>
      <c r="M88" s="224">
        <f>I88-F88</f>
        <v>2.5902777771989349E-2</v>
      </c>
      <c r="N88" s="225">
        <f>24*60*SUM($M88:$M88)</f>
        <v>37.299999991664663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-05T12:52:11-0700',mode:absolute,to:'2017-12-05T15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23.289000000000001</v>
      </c>
      <c r="Z88" s="247">
        <f>RIGHT(H88,LEN(H88)-4)/10000</f>
        <v>2.18E-2</v>
      </c>
      <c r="AA88" s="247">
        <f>ABS(Z88-Y88)</f>
        <v>23.267200000000003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176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/stypes="app*4059*20171205*"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176-05 --locoid 4059 --swversion DE.1.0.9.0 --startMP 204:232890 --initTime 2017-12-05T13:52:11 --startdatetime 2017-12-05T13:57:16 --delay 55 --endMP 204:218 --enddatetime 2017-12-05T14:34:34 --enforcementcount 0 &gt;&gt;%USERPROFILE%\Documents\GitHub\eaglep3-reporting\EC\2017-12-05-refined-times.txt</v>
      </c>
      <c r="AI88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{"issue":{"subject":"","project_id":79,"tracker_id":40,"status_id":1,"priority_id":2,"assigned_to_id":338,"start_date":"2017-12-05","description":"","custom_fields":[{"id":1,"name":"Subdivision","value":"EC"},{"id":4,"name":"Milepost","value":"0.0218"},{"id":17,"name":"Train ID","value":"176-05"},{"id":16,"name":"Locomotive ID","value":"4059"},{"id":130,"name":"Impact","value":""},{"id":150,"name":"Time of Event (Mountain Time)","value":"14:34:34"},{"id":151,"name":"Denver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4059 --day 2017-12-05</v>
      </c>
      <c r="AN88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2017-12-05T12:52:11-0700',mode:absolute,to:'2017-12-05T15:34:34-0700'))&amp;_a=(columns:!('Message%20ID',Summary),filters:!(),index:'emp_*',interval:auto,query:(query_string:(analyze_wildcard:!t,query:'%22rtdc.l.rtdc.4059%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807</v>
      </c>
      <c r="B89" s="225">
        <v>4056</v>
      </c>
      <c r="C89" s="227" t="s">
        <v>192</v>
      </c>
      <c r="D89" s="227" t="s">
        <v>538</v>
      </c>
      <c r="E89" s="226">
        <v>43074.548159722224</v>
      </c>
      <c r="F89" s="226">
        <v>43074.552349537036</v>
      </c>
      <c r="G89" s="225">
        <v>67</v>
      </c>
      <c r="H89" s="227" t="s">
        <v>964</v>
      </c>
      <c r="I89" s="226">
        <v>43074.576967592591</v>
      </c>
      <c r="J89" s="225">
        <v>0</v>
      </c>
      <c r="K89" s="237" t="str">
        <f>IF(ISEVEN(B89),(B89-1)&amp;"/"&amp;B89,B89&amp;"/"&amp;(B89+1))</f>
        <v>4055/4056</v>
      </c>
      <c r="L89" s="245" t="str">
        <f>VLOOKUP(A89,'Trips&amp;Operators'!$C$1:$G$99911,5,FALSE)</f>
        <v>STEWART MICHAEL</v>
      </c>
      <c r="M89" s="224">
        <f>I89-F89</f>
        <v>2.4618055555038154E-2</v>
      </c>
      <c r="N89" s="225">
        <f>24*60*SUM($M89:$M89)</f>
        <v>35.449999999254942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-05T12:09:21-0700',mode:absolute,to:'2017-12-05T14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5.1299999999999998E-2</v>
      </c>
      <c r="Z89" s="247">
        <f>RIGHT(H89,LEN(H89)-4)/10000</f>
        <v>23.325700000000001</v>
      </c>
      <c r="AA89" s="247">
        <f>ABS(Z89-Y89)</f>
        <v>23.2744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177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/stypes="app*4056*20171205*"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177-05 --locoid 4056 --swversion DE.1.0.9.0 --startMP 204:513 --initTime 2017-12-05T13:09:21 --startdatetime 2017-12-05T13:15:23 --delay 67 --endMP 204:233257 --enddatetime 2017-12-05T13:50:50 --enforcementcount 0 &gt;&gt;%USERPROFILE%\Documents\GitHub\eaglep3-reporting\EC\2017-12-05-refined-times.txt</v>
      </c>
      <c r="AI89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{"issue":{"subject":"","project_id":79,"tracker_id":40,"status_id":1,"priority_id":2,"assigned_to_id":338,"start_date":"2017-12-05","description":"","custom_fields":[{"id":1,"name":"Subdivision","value":"EC"},{"id":4,"name":"Milepost","value":"23.3257"},{"id":17,"name":"Train ID","value":"177-05"},{"id":16,"name":"Locomotive ID","value":"4056"},{"id":130,"name":"Impact","value":""},{"id":150,"name":"Time of Event (Mountain Time)","value":"13:50:50"},{"id":151,"name":"Denver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4056 --day 2017-12-05</v>
      </c>
      <c r="AN89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2017-12-05T12:09:21-0700',mode:absolute,to:'2017-12-05T14:50:50-0700'))&amp;_a=(columns:!('Message%20ID',Summary),filters:!(),index:'emp_*',interval:auto,query:(query_string:(analyze_wildcard:!t,query:'%22rtdc.l.rtdc.4056%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815</v>
      </c>
      <c r="B90" s="225">
        <v>4055</v>
      </c>
      <c r="C90" s="227" t="s">
        <v>192</v>
      </c>
      <c r="D90" s="227" t="s">
        <v>492</v>
      </c>
      <c r="E90" s="226">
        <v>43074.587939814817</v>
      </c>
      <c r="F90" s="226">
        <v>43074.591874999998</v>
      </c>
      <c r="G90" s="225">
        <v>52</v>
      </c>
      <c r="H90" s="227" t="s">
        <v>917</v>
      </c>
      <c r="I90" s="226">
        <v>43074.618159722224</v>
      </c>
      <c r="J90" s="225">
        <v>0</v>
      </c>
      <c r="K90" s="237" t="str">
        <f>IF(ISEVEN(B90),(B90-1)&amp;"/"&amp;B90,B90&amp;"/"&amp;(B90+1))</f>
        <v>4055/4056</v>
      </c>
      <c r="L90" s="245" t="str">
        <f>VLOOKUP(A90,'Trips&amp;Operators'!$C$1:$G$99911,5,FALSE)</f>
        <v>STEWART MICHAEL</v>
      </c>
      <c r="M90" s="224">
        <f>I90-F90</f>
        <v>2.6284722225682344E-2</v>
      </c>
      <c r="N90" s="225">
        <f>24*60*SUM($M90:$M90)</f>
        <v>37.850000004982576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-05T13:06:38-0700',mode:absolute,to:'2017-12-05T15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23.292999999999999</v>
      </c>
      <c r="Z90" s="247">
        <f>RIGHT(H90,LEN(H90)-4)/10000</f>
        <v>2.1999999999999999E-2</v>
      </c>
      <c r="AA90" s="247">
        <f>ABS(Z90-Y90)</f>
        <v>23.271000000000001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178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/stypes="app*4055*20171205*"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178-05 --locoid 4055 --swversion DE.1.0.9.0 --startMP 204:232930 --initTime 2017-12-05T14:06:38 --startdatetime 2017-12-05T14:12:18 --delay 52 --endMP 204:220 --enddatetime 2017-12-05T14:50:09 --enforcementcount 0 &gt;&gt;%USERPROFILE%\Documents\GitHub\eaglep3-reporting\EC\2017-12-05-refined-times.txt</v>
      </c>
      <c r="AI90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{"issue":{"subject":"","project_id":79,"tracker_id":40,"status_id":1,"priority_id":2,"assigned_to_id":338,"start_date":"2017-12-05","description":"","custom_fields":[{"id":1,"name":"Subdivision","value":"EC"},{"id":4,"name":"Milepost","value":"0.022"},{"id":17,"name":"Train ID","value":"178-05"},{"id":16,"name":"Locomotive ID","value":"4055"},{"id":130,"name":"Impact","value":""},{"id":150,"name":"Time of Event (Mountain Time)","value":"14:50:09"},{"id":151,"name":"Denver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4055 --day 2017-12-05</v>
      </c>
      <c r="AN90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2017-12-05T13:06:38-0700',mode:absolute,to:'2017-12-05T15:50:09-0700'))&amp;_a=(columns:!('Message%20ID',Summary),filters:!(),index:'emp_*',interval:auto,query:(query_string:(analyze_wildcard:!t,query:'%22rtdc.l.rtdc.4055%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809</v>
      </c>
      <c r="B91" s="225">
        <v>4006</v>
      </c>
      <c r="C91" s="227" t="s">
        <v>192</v>
      </c>
      <c r="D91" s="227" t="s">
        <v>923</v>
      </c>
      <c r="E91" s="226">
        <v>43074.559537037036</v>
      </c>
      <c r="F91" s="226">
        <v>43074.562777777777</v>
      </c>
      <c r="G91" s="225">
        <v>79</v>
      </c>
      <c r="H91" s="227" t="s">
        <v>965</v>
      </c>
      <c r="I91" s="226">
        <v>43074.586689814816</v>
      </c>
      <c r="J91" s="225">
        <v>0</v>
      </c>
      <c r="K91" s="237" t="str">
        <f>IF(ISEVEN(B91),(B91-1)&amp;"/"&amp;B91,B91&amp;"/"&amp;(B91+1))</f>
        <v>4005/4006</v>
      </c>
      <c r="L91" s="245" t="str">
        <f>VLOOKUP(A91,'Trips&amp;Operators'!$C$1:$G$99911,5,FALSE)</f>
        <v>LEVIN SCOTT</v>
      </c>
      <c r="M91" s="224">
        <f>I91-F91</f>
        <v>2.3912037038826384E-2</v>
      </c>
      <c r="N91" s="225">
        <f>24*60*SUM($M91:$M91)</f>
        <v>34.433333335909992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-05T12:25:44-0700',mode:absolute,to:'2017-12-05T15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4.58E-2</v>
      </c>
      <c r="Z91" s="247">
        <f>RIGHT(H91,LEN(H91)-4)/10000</f>
        <v>23.324300000000001</v>
      </c>
      <c r="AA91" s="247">
        <f>ABS(Z91-Y91)</f>
        <v>23.278500000000001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179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/stypes="app*4006*20171205*"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179-05 --locoid 4006 --swversion DE.1.0.9.0 --startMP 204:458 --initTime 2017-12-05T13:25:44 --startdatetime 2017-12-05T13:30:24 --delay 79 --endMP 204:233243 --enddatetime 2017-12-05T14:04:50 --enforcementcount 0 &gt;&gt;%USERPROFILE%\Documents\GitHub\eaglep3-reporting\EC\2017-12-05-refined-times.txt</v>
      </c>
      <c r="AI91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{"issue":{"subject":"","project_id":79,"tracker_id":40,"status_id":1,"priority_id":2,"assigned_to_id":338,"start_date":"2017-12-05","description":"","custom_fields":[{"id":1,"name":"Subdivision","value":"EC"},{"id":4,"name":"Milepost","value":"23.3243"},{"id":17,"name":"Train ID","value":"179-05"},{"id":16,"name":"Locomotive ID","value":"4006"},{"id":130,"name":"Impact","value":""},{"id":150,"name":"Time of Event (Mountain Time)","value":"14:04:50"},{"id":151,"name":"Denver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4006 --day 2017-12-05</v>
      </c>
      <c r="AN91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2017-12-05T12:25:44-0700',mode:absolute,to:'2017-12-05T15:04:50-0700'))&amp;_a=(columns:!('Message%20ID',Summary),filters:!(),index:'emp_*',interval:auto,query:(query_string:(analyze_wildcard:!t,query:'%22rtdc.l.rtdc.4006%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816</v>
      </c>
      <c r="B92" s="225">
        <v>4005</v>
      </c>
      <c r="C92" s="227" t="s">
        <v>192</v>
      </c>
      <c r="D92" s="227" t="s">
        <v>492</v>
      </c>
      <c r="E92" s="226">
        <v>43074.596562500003</v>
      </c>
      <c r="F92" s="226">
        <v>43074.602303240739</v>
      </c>
      <c r="G92" s="225">
        <v>82</v>
      </c>
      <c r="H92" s="227" t="s">
        <v>649</v>
      </c>
      <c r="I92" s="226">
        <v>43074.628634259258</v>
      </c>
      <c r="J92" s="225">
        <v>0</v>
      </c>
      <c r="K92" s="237" t="str">
        <f>IF(ISEVEN(B92),(B92-1)&amp;"/"&amp;B92,B92&amp;"/"&amp;(B92+1))</f>
        <v>4005/4006</v>
      </c>
      <c r="L92" s="245" t="str">
        <f>VLOOKUP(A92,'Trips&amp;Operators'!$C$1:$G$99911,5,FALSE)</f>
        <v>LEVIN SCOTT</v>
      </c>
      <c r="M92" s="224">
        <f>I92-F92</f>
        <v>2.6331018518249039E-2</v>
      </c>
      <c r="N92" s="225">
        <f>24*60*SUM($M92:$M92)</f>
        <v>37.916666666278616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-05T13:19:03-0700',mode:absolute,to:'2017-12-05T16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23.292999999999999</v>
      </c>
      <c r="Z92" s="247">
        <f>RIGHT(H92,LEN(H92)-4)/10000</f>
        <v>1.54E-2</v>
      </c>
      <c r="AA92" s="247">
        <f>ABS(Z92-Y92)</f>
        <v>23.2776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180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/stypes="app*4005*20171205*" /stext=" 22:.+((SYSTEM_STATE.+slice.+state.+changed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180-05 --locoid 4005 --swversion DE.1.0.9.0 --startMP 204:232930 --initTime 2017-12-05T14:19:03 --startdatetime 2017-12-05T14:27:19 --delay 82 --endMP 204:154 --enddatetime 2017-12-05T15:05:14 --enforcementcount 0 &gt;&gt;%USERPROFILE%\Documents\GitHub\eaglep3-reporting\EC\2017-12-05-refined-times.txt</v>
      </c>
      <c r="AI92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{"issue":{"subject":"","project_id":79,"tracker_id":40,"status_id":1,"priority_id":2,"assigned_to_id":338,"start_date":"2017-12-05","description":"","custom_fields":[{"id":1,"name":"Subdivision","value":"EC"},{"id":4,"name":"Milepost","value":"0.0154"},{"id":17,"name":"Train ID","value":"180-05"},{"id":16,"name":"Locomotive ID","value":"4005"},{"id":130,"name":"Impact","value":""},{"id":150,"name":"Time of Event (Mountain Time)","value":"15:05:14"},{"id":151,"name":"Denver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4005 --day 2017-12-05</v>
      </c>
      <c r="AN92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2017-12-05T13:19:03-0700',mode:absolute,to:'2017-12-05T16:05:14-0700'))&amp;_a=(columns:!('Message%20ID',Summary),filters:!(),index:'emp_*',interval:auto,query:(query_string:(analyze_wildcard:!t,query:'%22rtdc.l.rtdc.4005%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811</v>
      </c>
      <c r="B93" s="225">
        <v>4044</v>
      </c>
      <c r="C93" s="227" t="s">
        <v>192</v>
      </c>
      <c r="D93" s="227" t="s">
        <v>958</v>
      </c>
      <c r="E93" s="226">
        <v>43074.568831018521</v>
      </c>
      <c r="F93" s="226">
        <v>43074.573113425926</v>
      </c>
      <c r="G93" s="225">
        <v>52</v>
      </c>
      <c r="H93" s="227" t="s">
        <v>550</v>
      </c>
      <c r="I93" s="226">
        <v>43074.598252314812</v>
      </c>
      <c r="J93" s="225">
        <v>0</v>
      </c>
      <c r="K93" s="237" t="str">
        <f>IF(ISEVEN(B93),(B93-1)&amp;"/"&amp;B93,B93&amp;"/"&amp;(B93+1))</f>
        <v>4043/4044</v>
      </c>
      <c r="L93" s="245" t="str">
        <f>VLOOKUP(A93,'Trips&amp;Operators'!$C$1:$G$99911,5,FALSE)</f>
        <v>NICHOLAS PLOYSA</v>
      </c>
      <c r="M93" s="224">
        <f>I93-F93</f>
        <v>2.5138888886431232E-2</v>
      </c>
      <c r="N93" s="225">
        <f>24*60*SUM($M93:$M93)</f>
        <v>36.199999996460974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-05T12:39:07-0700',mode:absolute,to:'2017-12-05T15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5.4899999999999997E-2</v>
      </c>
      <c r="Z93" s="247">
        <f>RIGHT(H93,LEN(H93)-4)/10000</f>
        <v>23.322700000000001</v>
      </c>
      <c r="AA93" s="247">
        <f>ABS(Z93-Y93)</f>
        <v>23.267800000000001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181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/stypes="app*4044*20171205*"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181-05 --locoid 4044 --swversion DE.1.0.9.0 --startMP 204:549 --initTime 2017-12-05T13:39:07 --startdatetime 2017-12-05T13:45:17 --delay 52 --endMP 204:233227 --enddatetime 2017-12-05T14:21:29 --enforcementcount 0 &gt;&gt;%USERPROFILE%\Documents\GitHub\eaglep3-reporting\EC\2017-12-05-refined-times.txt</v>
      </c>
      <c r="AI93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{"issue":{"subject":"","project_id":79,"tracker_id":40,"status_id":1,"priority_id":2,"assigned_to_id":338,"start_date":"2017-12-05","description":"","custom_fields":[{"id":1,"name":"Subdivision","value":"EC"},{"id":4,"name":"Milepost","value":"23.3227"},{"id":17,"name":"Train ID","value":"181-05"},{"id":16,"name":"Locomotive ID","value":"4044"},{"id":130,"name":"Impact","value":""},{"id":150,"name":"Time of Event (Mountain Time)","value":"14:21:29"},{"id":151,"name":"Denver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4044 --day 2017-12-05</v>
      </c>
      <c r="AN93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2017-12-05T12:39:07-0700',mode:absolute,to:'2017-12-05T15:21:29-0700'))&amp;_a=(columns:!('Message%20ID',Summary),filters:!(),index:'emp_*',interval:auto,query:(query_string:(analyze_wildcard:!t,query:'%22rtdc.l.rtdc.4044%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818</v>
      </c>
      <c r="B94" s="225">
        <v>4043</v>
      </c>
      <c r="C94" s="227" t="s">
        <v>192</v>
      </c>
      <c r="D94" s="227" t="s">
        <v>629</v>
      </c>
      <c r="E94" s="226">
        <v>43074.60728009259</v>
      </c>
      <c r="F94" s="226">
        <v>43074.612685185188</v>
      </c>
      <c r="G94" s="225">
        <v>74</v>
      </c>
      <c r="H94" s="227" t="s">
        <v>620</v>
      </c>
      <c r="I94" s="226">
        <v>43074.640173611115</v>
      </c>
      <c r="J94" s="225">
        <v>0</v>
      </c>
      <c r="K94" s="237" t="str">
        <f>IF(ISEVEN(B94),(B94-1)&amp;"/"&amp;B94,B94&amp;"/"&amp;(B94+1))</f>
        <v>4043/4044</v>
      </c>
      <c r="L94" s="245" t="str">
        <f>VLOOKUP(A94,'Trips&amp;Operators'!$C$1:$G$99911,5,FALSE)</f>
        <v>NICHOLAS PLOYSA</v>
      </c>
      <c r="M94" s="224">
        <f>I94-F94</f>
        <v>2.7488425927003846E-2</v>
      </c>
      <c r="N94" s="225">
        <f>24*60*SUM($M94:$M94)</f>
        <v>39.583333334885538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-05T13:34:29-0700',mode:absolute,to:'2017-12-05T16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23.2913</v>
      </c>
      <c r="Z94" s="247">
        <f>RIGHT(H94,LEN(H94)-4)/10000</f>
        <v>2.29E-2</v>
      </c>
      <c r="AA94" s="247">
        <f>ABS(Z94-Y94)</f>
        <v>23.2684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182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/stypes="app*4043*20171205*"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182-05 --locoid 4043 --swversion DE.1.0.9.0 --startMP 204:232913 --initTime 2017-12-05T14:34:29 --startdatetime 2017-12-05T14:42:16 --delay 74 --endMP 204:229 --enddatetime 2017-12-05T15:21:51 --enforcementcount 0 &gt;&gt;%USERPROFILE%\Documents\GitHub\eaglep3-reporting\EC\2017-12-05-refined-times.txt</v>
      </c>
      <c r="AI94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{"issue":{"subject":"","project_id":79,"tracker_id":40,"status_id":1,"priority_id":2,"assigned_to_id":338,"start_date":"2017-12-05","description":"","custom_fields":[{"id":1,"name":"Subdivision","value":"EC"},{"id":4,"name":"Milepost","value":"0.0229"},{"id":17,"name":"Train ID","value":"182-05"},{"id":16,"name":"Locomotive ID","value":"4043"},{"id":130,"name":"Impact","value":""},{"id":150,"name":"Time of Event (Mountain Time)","value":"15:21:51"},{"id":151,"name":"Denver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4043 --day 2017-12-05</v>
      </c>
      <c r="AN94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2017-12-05T13:34:29-0700',mode:absolute,to:'2017-12-05T16:21:51-0700'))&amp;_a=(columns:!('Message%20ID',Summary),filters:!(),index:'emp_*',interval:auto,query:(query_string:(analyze_wildcard:!t,query:'%22rtdc.l.rtdc.4043%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813</v>
      </c>
      <c r="B95" s="225">
        <v>4014</v>
      </c>
      <c r="C95" s="227" t="s">
        <v>192</v>
      </c>
      <c r="D95" s="227" t="s">
        <v>634</v>
      </c>
      <c r="E95" s="226">
        <v>43074.580439814818</v>
      </c>
      <c r="F95" s="226">
        <v>43074.583553240744</v>
      </c>
      <c r="G95" s="225">
        <v>66</v>
      </c>
      <c r="H95" s="227" t="s">
        <v>966</v>
      </c>
      <c r="I95" s="226">
        <v>43074.608148148145</v>
      </c>
      <c r="J95" s="225">
        <v>0</v>
      </c>
      <c r="K95" s="237" t="str">
        <f>IF(ISEVEN(B95),(B95-1)&amp;"/"&amp;B95,B95&amp;"/"&amp;(B95+1))</f>
        <v>4013/4014</v>
      </c>
      <c r="L95" s="245" t="str">
        <f>VLOOKUP(A95,'Trips&amp;Operators'!$C$1:$G$99911,5,FALSE)</f>
        <v>SAFIEF AEIMEN</v>
      </c>
      <c r="M95" s="224">
        <f>I95-F95</f>
        <v>2.4594907401478849E-2</v>
      </c>
      <c r="N95" s="225">
        <f>24*60*SUM($M95:$M95)</f>
        <v>35.416666658129543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-05T12:55:50-0700',mode:absolute,to:'2017-12-05T15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5.3100000000000001E-2</v>
      </c>
      <c r="Z95" s="247">
        <f>RIGHT(H95,LEN(H95)-4)/10000</f>
        <v>23.322600000000001</v>
      </c>
      <c r="AA95" s="247">
        <f>ABS(Z95-Y95)</f>
        <v>23.269500000000001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183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/stypes="app*4014*20171205*"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183-05 --locoid 4014 --swversion DE.1.0.9.0 --startMP 204:531 --initTime 2017-12-05T13:55:50 --startdatetime 2017-12-05T14:00:19 --delay 66 --endMP 204:233226 --enddatetime 2017-12-05T14:35:44 --enforcementcount 0 &gt;&gt;%USERPROFILE%\Documents\GitHub\eaglep3-reporting\EC\2017-12-05-refined-times.txt</v>
      </c>
      <c r="AI95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{"issue":{"subject":"","project_id":79,"tracker_id":40,"status_id":1,"priority_id":2,"assigned_to_id":338,"start_date":"2017-12-05","description":"","custom_fields":[{"id":1,"name":"Subdivision","value":"EC"},{"id":4,"name":"Milepost","value":"23.3226"},{"id":17,"name":"Train ID","value":"183-05"},{"id":16,"name":"Locomotive ID","value":"4014"},{"id":130,"name":"Impact","value":""},{"id":150,"name":"Time of Event (Mountain Time)","value":"14:35:44"},{"id":151,"name":"Denver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4014 --day 2017-12-05</v>
      </c>
      <c r="AN95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2017-12-05T12:55:50-0700',mode:absolute,to:'2017-12-05T15:35:44-0700'))&amp;_a=(columns:!('Message%20ID',Summary),filters:!(),index:'emp_*',interval:auto,query:(query_string:(analyze_wildcard:!t,query:'%22rtdc.l.rtdc.4014%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819</v>
      </c>
      <c r="B96" s="225">
        <v>4013</v>
      </c>
      <c r="C96" s="227" t="s">
        <v>192</v>
      </c>
      <c r="D96" s="227" t="s">
        <v>967</v>
      </c>
      <c r="E96" s="226">
        <v>43074.609768518516</v>
      </c>
      <c r="F96" s="226">
        <v>43074.623078703706</v>
      </c>
      <c r="G96" s="225">
        <v>64</v>
      </c>
      <c r="H96" s="227" t="s">
        <v>554</v>
      </c>
      <c r="I96" s="226">
        <v>43074.64880787037</v>
      </c>
      <c r="J96" s="225">
        <v>0</v>
      </c>
      <c r="K96" s="237" t="str">
        <f>IF(ISEVEN(B96),(B96-1)&amp;"/"&amp;B96,B96&amp;"/"&amp;(B96+1))</f>
        <v>4013/4014</v>
      </c>
      <c r="L96" s="245" t="str">
        <f>VLOOKUP(A96,'Trips&amp;Operators'!$C$1:$G$99911,5,FALSE)</f>
        <v>SAFIEF AEIMEN</v>
      </c>
      <c r="M96" s="224">
        <f>I96-F96</f>
        <v>2.5729166663950309E-2</v>
      </c>
      <c r="N96" s="225">
        <f>24*60*SUM($M96:$M96)</f>
        <v>37.049999996088445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-05T13:38:04-0700',mode:absolute,to:'2017-12-05T16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23.288599999999999</v>
      </c>
      <c r="Z96" s="247">
        <f>RIGHT(H96,LEN(H96)-4)/10000</f>
        <v>1.9800000000000002E-2</v>
      </c>
      <c r="AA96" s="247">
        <f>ABS(Z96-Y96)</f>
        <v>23.268799999999999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184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/stypes="app*4013*20171205*"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184-05 --locoid 4013 --swversion DE.1.0.9.0 --startMP 204:232886 --initTime 2017-12-05T14:38:04 --startdatetime 2017-12-05T14:57:14 --delay 64 --endMP 204:198 --enddatetime 2017-12-05T15:34:17 --enforcementcount 0 &gt;&gt;%USERPROFILE%\Documents\GitHub\eaglep3-reporting\EC\2017-12-05-refined-times.txt</v>
      </c>
      <c r="AI96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{"issue":{"subject":"","project_id":79,"tracker_id":40,"status_id":1,"priority_id":2,"assigned_to_id":338,"start_date":"2017-12-05","description":"","custom_fields":[{"id":1,"name":"Subdivision","value":"EC"},{"id":4,"name":"Milepost","value":"0.0198"},{"id":17,"name":"Train ID","value":"184-05"},{"id":16,"name":"Locomotive ID","value":"4013"},{"id":130,"name":"Impact","value":""},{"id":150,"name":"Time of Event (Mountain Time)","value":"15:34:17"},{"id":151,"name":"Denver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4013 --day 2017-12-05</v>
      </c>
      <c r="AN96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2017-12-05T13:38:04-0700',mode:absolute,to:'2017-12-05T16:34:17-0700'))&amp;_a=(columns:!('Message%20ID',Summary),filters:!(),index:'emp_*',interval:auto,query:(query_string:(analyze_wildcard:!t,query:'%22rtdc.l.rtdc.4013%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690</v>
      </c>
      <c r="B97" s="225">
        <v>4054</v>
      </c>
      <c r="C97" s="227" t="s">
        <v>192</v>
      </c>
      <c r="D97" s="227" t="s">
        <v>418</v>
      </c>
      <c r="E97" s="226">
        <v>43074.59170138889</v>
      </c>
      <c r="F97" s="226">
        <v>43074.594166666669</v>
      </c>
      <c r="G97" s="225">
        <v>60</v>
      </c>
      <c r="H97" s="227" t="s">
        <v>921</v>
      </c>
      <c r="I97" s="226">
        <v>43074.621122685188</v>
      </c>
      <c r="J97" s="225">
        <v>0</v>
      </c>
      <c r="K97" s="237" t="str">
        <f>IF(ISEVEN(B97),(B97-1)&amp;"/"&amp;B97,B97&amp;"/"&amp;(B97+1))</f>
        <v>4053/4054</v>
      </c>
      <c r="L97" s="245" t="str">
        <f>VLOOKUP(A97,'Trips&amp;Operators'!$C$1:$G$99911,5,FALSE)</f>
        <v>DAVIS MICHAEL</v>
      </c>
      <c r="M97" s="224">
        <f>I97-F97</f>
        <v>2.6956018518831115E-2</v>
      </c>
      <c r="N97" s="225">
        <f>24*60*SUM($M97:$M97)</f>
        <v>38.816666667116806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-05T13:12:03-0700',mode:absolute,to:'2017-12-05T15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5.3999999999999999E-2</v>
      </c>
      <c r="Z97" s="247">
        <f>RIGHT(H97,LEN(H97)-4)/10000</f>
        <v>23.33</v>
      </c>
      <c r="AA97" s="247">
        <f>ABS(Z97-Y97)</f>
        <v>23.276</v>
      </c>
      <c r="AB97" s="233" t="str">
        <f>VLOOKUP(A97,Enforcements!$C$7:$K$9,8,0)</f>
        <v>Bulletin (2)</v>
      </c>
      <c r="AC97" s="232" t="str">
        <f>VLOOKUP(A97,Enforcements!$C$7:$E$9,3,0)</f>
        <v>GRADE CROSSING</v>
      </c>
      <c r="AD97" s="243">
        <f>VALUE(LEFT(A97,LEN(A97)-3))</f>
        <v>185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/stypes="app*4054*20171205*"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185-05 --locoid 4054 --swversion DE.1.0.9.0 --startMP 204:540 --initTime 2017-12-05T14:12:03 --startdatetime 2017-12-05T14:15:36 --delay 60 --endMP 204:233300 --enddatetime 2017-12-05T14:54:25 --enforcementcount 0 &gt;&gt;%USERPROFILE%\Documents\GitHub\eaglep3-reporting\EC\2017-12-05-refined-times.txt</v>
      </c>
      <c r="AI97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{"issue":{"subject":"","project_id":79,"tracker_id":40,"status_id":1,"priority_id":2,"assigned_to_id":338,"start_date":"2017-12-05","description":"","custom_fields":[{"id":1,"name":"Subdivision","value":"EC"},{"id":4,"name":"Milepost","value":"23.33"},{"id":17,"name":"Train ID","value":"185-05"},{"id":16,"name":"Locomotive ID","value":"4054"},{"id":130,"name":"Impact","value":""},{"id":150,"name":"Time of Event (Mountain Time)","value":"14:54:25"},{"id":151,"name":"Denver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4054 --day 2017-12-05</v>
      </c>
      <c r="AN97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2017-12-05T13:12:03-0700',mode:absolute,to:'2017-12-05T15:54:25-0700'))&amp;_a=(columns:!('Message%20ID',Summary),filters:!(),index:'emp_*',interval:auto,query:(query_string:(analyze_wildcard:!t,query:'%22rtdc.l.rtdc.4054%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825</v>
      </c>
      <c r="B98" s="225">
        <v>4053</v>
      </c>
      <c r="C98" s="227" t="s">
        <v>192</v>
      </c>
      <c r="D98" s="227" t="s">
        <v>968</v>
      </c>
      <c r="E98" s="226">
        <v>43074.631655092591</v>
      </c>
      <c r="F98" s="226">
        <v>43074.633750000001</v>
      </c>
      <c r="G98" s="225">
        <v>56</v>
      </c>
      <c r="H98" s="227" t="s">
        <v>917</v>
      </c>
      <c r="I98" s="226">
        <v>43074.661435185182</v>
      </c>
      <c r="J98" s="225">
        <v>0</v>
      </c>
      <c r="K98" s="237" t="str">
        <f>IF(ISEVEN(B98),(B98-1)&amp;"/"&amp;B98,B98&amp;"/"&amp;(B98+1))</f>
        <v>4053/4054</v>
      </c>
      <c r="L98" s="245" t="str">
        <f>VLOOKUP(A98,'Trips&amp;Operators'!$C$1:$G$99911,5,FALSE)</f>
        <v>DAVIS MICHAEL</v>
      </c>
      <c r="M98" s="224">
        <f>I98-F98</f>
        <v>2.7685185181326233E-2</v>
      </c>
      <c r="N98" s="225">
        <f>24*60*SUM($M98:$M98)</f>
        <v>39.866666661109775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-05T14:09:35-0700',mode:absolute,to:'2017-12-05T16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23.2987</v>
      </c>
      <c r="Z98" s="247">
        <f>RIGHT(H98,LEN(H98)-4)/10000</f>
        <v>2.1999999999999999E-2</v>
      </c>
      <c r="AA98" s="247">
        <f>ABS(Z98-Y98)</f>
        <v>23.276700000000002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186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/stypes="app*4053*20171205*"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186-05 --locoid 4053 --swversion DE.1.0.9.0 --startMP 204:232987 --initTime 2017-12-05T15:09:35 --startdatetime 2017-12-05T15:12:36 --delay 56 --endMP 204:220 --enddatetime 2017-12-05T15:52:28 --enforcementcount 0 &gt;&gt;%USERPROFILE%\Documents\GitHub\eaglep3-reporting\EC\2017-12-05-refined-times.txt</v>
      </c>
      <c r="AI98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{"issue":{"subject":"","project_id":79,"tracker_id":40,"status_id":1,"priority_id":2,"assigned_to_id":338,"start_date":"2017-12-05","description":"","custom_fields":[{"id":1,"name":"Subdivision","value":"EC"},{"id":4,"name":"Milepost","value":"0.022"},{"id":17,"name":"Train ID","value":"186-05"},{"id":16,"name":"Locomotive ID","value":"4053"},{"id":130,"name":"Impact","value":""},{"id":150,"name":"Time of Event (Mountain Time)","value":"15:52:28"},{"id":151,"name":"Denver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4053 --day 2017-12-05</v>
      </c>
      <c r="AN98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2017-12-05T14:09:35-0700',mode:absolute,to:'2017-12-05T16:52:28-0700'))&amp;_a=(columns:!('Message%20ID',Summary),filters:!(),index:'emp_*',interval:auto,query:(query_string:(analyze_wildcard:!t,query:'%22rtdc.l.rtdc.4053%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817</v>
      </c>
      <c r="B99" s="225">
        <v>4036</v>
      </c>
      <c r="C99" s="227" t="s">
        <v>192</v>
      </c>
      <c r="D99" s="227" t="s">
        <v>447</v>
      </c>
      <c r="E99" s="226">
        <v>43074.598310185182</v>
      </c>
      <c r="F99" s="226">
        <v>43074.604618055557</v>
      </c>
      <c r="G99" s="225">
        <v>61</v>
      </c>
      <c r="H99" s="227" t="s">
        <v>969</v>
      </c>
      <c r="I99" s="226">
        <v>43074.629976851851</v>
      </c>
      <c r="J99" s="225">
        <v>0</v>
      </c>
      <c r="K99" s="237" t="str">
        <f>IF(ISEVEN(B99),(B99-1)&amp;"/"&amp;B99,B99&amp;"/"&amp;(B99+1))</f>
        <v>4035/4036</v>
      </c>
      <c r="L99" s="245" t="str">
        <f>VLOOKUP(A99,'Trips&amp;Operators'!$C$1:$G$99911,5,FALSE)</f>
        <v>SMITH MICHAEL</v>
      </c>
      <c r="M99" s="224">
        <f>I99-F99</f>
        <v>2.5358796294312924E-2</v>
      </c>
      <c r="N99" s="225">
        <f>24*60*SUM($M99:$M99)</f>
        <v>36.516666663810611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-05T13:21:34-0700',mode:absolute,to:'2017-12-05T16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4.4600000000000001E-2</v>
      </c>
      <c r="Z99" s="247">
        <f>RIGHT(H99,LEN(H99)-4)/10000</f>
        <v>23.3309</v>
      </c>
      <c r="AA99" s="247">
        <f>ABS(Z99-Y99)</f>
        <v>23.286300000000001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187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/stypes="app*4036*20171205*"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187-05 --locoid 4036 --swversion DE.1.0.9.0 --startMP 204:446 --initTime 2017-12-05T14:21:34 --startdatetime 2017-12-05T14:30:39 --delay 61 --endMP 204:233309 --enddatetime 2017-12-05T15:07:10 --enforcementcount 0 &gt;&gt;%USERPROFILE%\Documents\GitHub\eaglep3-reporting\EC\2017-12-05-refined-times.txt</v>
      </c>
      <c r="AI99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{"issue":{"subject":"","project_id":79,"tracker_id":40,"status_id":1,"priority_id":2,"assigned_to_id":338,"start_date":"2017-12-05","description":"","custom_fields":[{"id":1,"name":"Subdivision","value":"EC"},{"id":4,"name":"Milepost","value":"23.3309"},{"id":17,"name":"Train ID","value":"187-05"},{"id":16,"name":"Locomotive ID","value":"4036"},{"id":130,"name":"Impact","value":""},{"id":150,"name":"Time of Event (Mountain Time)","value":"15:07:10"},{"id":151,"name":"Denver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4036 --day 2017-12-05</v>
      </c>
      <c r="AN99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2017-12-05T13:21:34-0700',mode:absolute,to:'2017-12-05T16:07:10-0700'))&amp;_a=(columns:!('Message%20ID',Summary),filters:!(),index:'emp_*',interval:auto,query:(query_string:(analyze_wildcard:!t,query:'%22rtdc.l.rtdc.4036%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826</v>
      </c>
      <c r="B100" s="225">
        <v>4035</v>
      </c>
      <c r="C100" s="227" t="s">
        <v>192</v>
      </c>
      <c r="D100" s="227" t="s">
        <v>970</v>
      </c>
      <c r="E100" s="226">
        <v>43074.638159722221</v>
      </c>
      <c r="F100" s="226">
        <v>43074.644120370373</v>
      </c>
      <c r="G100" s="225">
        <v>75</v>
      </c>
      <c r="H100" s="227" t="s">
        <v>546</v>
      </c>
      <c r="I100" s="226">
        <v>43074.670057870368</v>
      </c>
      <c r="J100" s="225">
        <v>0</v>
      </c>
      <c r="K100" s="237" t="str">
        <f>IF(ISEVEN(B100),(B100-1)&amp;"/"&amp;B100,B100&amp;"/"&amp;(B100+1))</f>
        <v>4035/4036</v>
      </c>
      <c r="L100" s="245" t="str">
        <f>VLOOKUP(A100,'Trips&amp;Operators'!$C$1:$G$99911,5,FALSE)</f>
        <v>SMITH MICHAEL</v>
      </c>
      <c r="M100" s="224">
        <f>I100-F100</f>
        <v>2.5937499995052349E-2</v>
      </c>
      <c r="N100" s="225">
        <f>24*60*SUM($M100:$M100)</f>
        <v>37.349999992875382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-05T14:18:57-0700',mode:absolute,to:'2017-12-05T17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23.296700000000001</v>
      </c>
      <c r="Z100" s="247">
        <f>RIGHT(H100,LEN(H100)-4)/10000</f>
        <v>1.4999999999999999E-2</v>
      </c>
      <c r="AA100" s="247">
        <f>ABS(Z100-Y100)</f>
        <v>23.281700000000001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188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/stypes="app*4035*20171205*" /stext=" 23:.+((SYSTEM_STATE.+slice.+state.+changed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188-05 --locoid 4035 --swversion DE.1.0.9.0 --startMP 204:232967 --initTime 2017-12-05T15:18:57 --startdatetime 2017-12-05T15:27:32 --delay 75 --endMP 204:150 --enddatetime 2017-12-05T16:04:53 --enforcementcount 0 &gt;&gt;%USERPROFILE%\Documents\GitHub\eaglep3-reporting\EC\2017-12-05-refined-times.txt</v>
      </c>
      <c r="AI100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{"issue":{"subject":"","project_id":79,"tracker_id":40,"status_id":1,"priority_id":2,"assigned_to_id":338,"start_date":"2017-12-05","description":"","custom_fields":[{"id":1,"name":"Subdivision","value":"EC"},{"id":4,"name":"Milepost","value":"0.015"},{"id":17,"name":"Train ID","value":"188-05"},{"id":16,"name":"Locomotive ID","value":"4035"},{"id":130,"name":"Impact","value":""},{"id":150,"name":"Time of Event (Mountain Time)","value":"16:04:53"},{"id":151,"name":"Denver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4035 --day 2017-12-05</v>
      </c>
      <c r="AN100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2017-12-05T14:18:57-0700',mode:absolute,to:'2017-12-05T17:04:53-0700'))&amp;_a=(columns:!('Message%20ID',Summary),filters:!(),index:'emp_*',interval:auto,query:(query_string:(analyze_wildcard:!t,query:'%22rtdc.l.rtdc.4035%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820</v>
      </c>
      <c r="B101" s="225">
        <v>4060</v>
      </c>
      <c r="C101" s="227" t="s">
        <v>192</v>
      </c>
      <c r="D101" s="227" t="s">
        <v>971</v>
      </c>
      <c r="E101" s="226">
        <v>43074.611250000002</v>
      </c>
      <c r="F101" s="226">
        <v>43074.61478009259</v>
      </c>
      <c r="G101" s="225">
        <v>59</v>
      </c>
      <c r="H101" s="227" t="s">
        <v>632</v>
      </c>
      <c r="I101" s="226">
        <v>43074.639270833337</v>
      </c>
      <c r="J101" s="225">
        <v>0</v>
      </c>
      <c r="K101" s="237" t="str">
        <f>IF(ISEVEN(B101),(B101-1)&amp;"/"&amp;B101,B101&amp;"/"&amp;(B101+1))</f>
        <v>4059/4060</v>
      </c>
      <c r="L101" s="245" t="str">
        <f>VLOOKUP(A101,'Trips&amp;Operators'!$C$1:$G$99911,5,FALSE)</f>
        <v>BRUDER RICHARD</v>
      </c>
      <c r="M101" s="224">
        <f>I101-F101</f>
        <v>2.4490740746841766E-2</v>
      </c>
      <c r="N101" s="225">
        <f>24*60*SUM($M101:$M101)</f>
        <v>35.266666675452143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-05T13:40:12-0700',mode:absolute,to:'2017-12-05T16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5.6000000000000001E-2</v>
      </c>
      <c r="Z101" s="247">
        <f>RIGHT(H101,LEN(H101)-4)/10000</f>
        <v>23.3215</v>
      </c>
      <c r="AA101" s="247">
        <f>ABS(Z101-Y101)</f>
        <v>23.265499999999999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189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/stypes="app*4060*20171205*"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189-05 --locoid 4060 --swversion DE.1.0.9.0 --startMP 204:560 --initTime 2017-12-05T14:40:12 --startdatetime 2017-12-05T14:45:17 --delay 59 --endMP 204:233215 --enddatetime 2017-12-05T15:20:33 --enforcementcount 0 &gt;&gt;%USERPROFILE%\Documents\GitHub\eaglep3-reporting\EC\2017-12-05-refined-times.txt</v>
      </c>
      <c r="AI101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{"issue":{"subject":"","project_id":79,"tracker_id":40,"status_id":1,"priority_id":2,"assigned_to_id":338,"start_date":"2017-12-05","description":"","custom_fields":[{"id":1,"name":"Subdivision","value":"EC"},{"id":4,"name":"Milepost","value":"23.3215"},{"id":17,"name":"Train ID","value":"189-05"},{"id":16,"name":"Locomotive ID","value":"4060"},{"id":130,"name":"Impact","value":""},{"id":150,"name":"Time of Event (Mountain Time)","value":"15:20:33"},{"id":151,"name":"Denver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4060 --day 2017-12-05</v>
      </c>
      <c r="AN101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2017-12-05T13:40:12-0700',mode:absolute,to:'2017-12-05T16:20:33-0700'))&amp;_a=(columns:!('Message%20ID',Summary),filters:!(),index:'emp_*',interval:auto,query:(query_string:(analyze_wildcard:!t,query:'%22rtdc.l.rtdc.4060%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830</v>
      </c>
      <c r="B102" s="225">
        <v>4059</v>
      </c>
      <c r="C102" s="227" t="s">
        <v>192</v>
      </c>
      <c r="D102" s="227" t="s">
        <v>637</v>
      </c>
      <c r="E102" s="226">
        <v>43074.65079861111</v>
      </c>
      <c r="F102" s="226">
        <v>43074.654340277775</v>
      </c>
      <c r="G102" s="225">
        <v>57</v>
      </c>
      <c r="H102" s="227" t="s">
        <v>458</v>
      </c>
      <c r="I102" s="226">
        <v>43074.679814814815</v>
      </c>
      <c r="J102" s="225">
        <v>0</v>
      </c>
      <c r="K102" s="237" t="str">
        <f>IF(ISEVEN(B102),(B102-1)&amp;"/"&amp;B102,B102&amp;"/"&amp;(B102+1))</f>
        <v>4059/4060</v>
      </c>
      <c r="L102" s="245" t="str">
        <f>VLOOKUP(A102,'Trips&amp;Operators'!$C$1:$G$99911,5,FALSE)</f>
        <v>BRUDER RICHARD</v>
      </c>
      <c r="M102" s="224">
        <f>I102-F102</f>
        <v>2.5474537040281575E-2</v>
      </c>
      <c r="N102" s="225">
        <f>24*60*SUM($M102:$M102)</f>
        <v>36.683333338005468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-05T14:37:09-0700',mode:absolute,to:'2017-12-05T17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23.290900000000001</v>
      </c>
      <c r="Z102" s="247">
        <f>RIGHT(H102,LEN(H102)-4)/10000</f>
        <v>2.1600000000000001E-2</v>
      </c>
      <c r="AA102" s="247">
        <f>ABS(Z102-Y102)</f>
        <v>23.269300000000001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190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/stypes="app*4059*20171205*"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190-05 --locoid 4059 --swversion DE.1.0.9.0 --startMP 204:232909 --initTime 2017-12-05T15:37:09 --startdatetime 2017-12-05T15:42:15 --delay 57 --endMP 204:216 --enddatetime 2017-12-05T16:18:56 --enforcementcount 0 &gt;&gt;%USERPROFILE%\Documents\GitHub\eaglep3-reporting\EC\2017-12-05-refined-times.txt</v>
      </c>
      <c r="AI102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{"issue":{"subject":"","project_id":79,"tracker_id":40,"status_id":1,"priority_id":2,"assigned_to_id":338,"start_date":"2017-12-05","description":"","custom_fields":[{"id":1,"name":"Subdivision","value":"EC"},{"id":4,"name":"Milepost","value":"0.0216"},{"id":17,"name":"Train ID","value":"190-05"},{"id":16,"name":"Locomotive ID","value":"4059"},{"id":130,"name":"Impact","value":""},{"id":150,"name":"Time of Event (Mountain Time)","value":"16:18:56"},{"id":151,"name":"Denver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4059 --day 2017-12-05</v>
      </c>
      <c r="AN102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2017-12-05T14:37:09-0700',mode:absolute,to:'2017-12-05T17:18:56-0700'))&amp;_a=(columns:!('Message%20ID',Summary),filters:!(),index:'emp_*',interval:auto,query:(query_string:(analyze_wildcard:!t,query:'%22rtdc.l.rtdc.4059%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821</v>
      </c>
      <c r="B103" s="225">
        <v>4056</v>
      </c>
      <c r="C103" s="227" t="s">
        <v>192</v>
      </c>
      <c r="D103" s="227" t="s">
        <v>631</v>
      </c>
      <c r="E103" s="226">
        <v>43074.62023148148</v>
      </c>
      <c r="F103" s="226">
        <v>43074.625254629631</v>
      </c>
      <c r="G103" s="225">
        <v>55</v>
      </c>
      <c r="H103" s="227" t="s">
        <v>635</v>
      </c>
      <c r="I103" s="226">
        <v>43074.650277777779</v>
      </c>
      <c r="J103" s="225">
        <v>0</v>
      </c>
      <c r="K103" s="237" t="str">
        <f>IF(ISEVEN(B103),(B103-1)&amp;"/"&amp;B103,B103&amp;"/"&amp;(B103+1))</f>
        <v>4055/4056</v>
      </c>
      <c r="L103" s="245" t="str">
        <f>VLOOKUP(A103,'Trips&amp;Operators'!$C$1:$G$99911,5,FALSE)</f>
        <v>STEWART MICHAEL</v>
      </c>
      <c r="M103" s="224">
        <f>I103-F103</f>
        <v>2.5023148147738539E-2</v>
      </c>
      <c r="N103" s="225">
        <f>24*60*SUM($M103:$M103)</f>
        <v>36.033333332743496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-05T13:53:08-0700',mode:absolute,to:'2017-12-05T16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5.5100000000000003E-2</v>
      </c>
      <c r="Z103" s="247">
        <f>RIGHT(H103,LEN(H103)-4)/10000</f>
        <v>23.318999999999999</v>
      </c>
      <c r="AA103" s="247">
        <f>ABS(Z103-Y103)</f>
        <v>23.2639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191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/stypes="app*4056*20171205*"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191-05 --locoid 4056 --swversion DE.1.0.9.0 --startMP 204:551 --initTime 2017-12-05T14:53:08 --startdatetime 2017-12-05T15:00:22 --delay 55 --endMP 204:233190 --enddatetime 2017-12-05T15:36:24 --enforcementcount 0 &gt;&gt;%USERPROFILE%\Documents\GitHub\eaglep3-reporting\EC\2017-12-05-refined-times.txt</v>
      </c>
      <c r="AI103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{"issue":{"subject":"","project_id":79,"tracker_id":40,"status_id":1,"priority_id":2,"assigned_to_id":338,"start_date":"2017-12-05","description":"","custom_fields":[{"id":1,"name":"Subdivision","value":"EC"},{"id":4,"name":"Milepost","value":"23.319"},{"id":17,"name":"Train ID","value":"191-05"},{"id":16,"name":"Locomotive ID","value":"4056"},{"id":130,"name":"Impact","value":""},{"id":150,"name":"Time of Event (Mountain Time)","value":"15:36:24"},{"id":151,"name":"Denver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4056 --day 2017-12-05</v>
      </c>
      <c r="AN103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2017-12-05T13:53:08-0700',mode:absolute,to:'2017-12-05T16:36:24-0700'))&amp;_a=(columns:!('Message%20ID',Summary),filters:!(),index:'emp_*',interval:auto,query:(query_string:(analyze_wildcard:!t,query:'%22rtdc.l.rtdc.4056%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9" t="s">
        <v>832</v>
      </c>
      <c r="B104" s="225">
        <v>4055</v>
      </c>
      <c r="C104" s="227" t="s">
        <v>192</v>
      </c>
      <c r="D104" s="227" t="s">
        <v>967</v>
      </c>
      <c r="E104" s="226">
        <v>43074.662627314814</v>
      </c>
      <c r="F104" s="226">
        <v>43074.664803240739</v>
      </c>
      <c r="G104" s="225">
        <v>49</v>
      </c>
      <c r="H104" s="227" t="s">
        <v>531</v>
      </c>
      <c r="I104" s="226">
        <v>43074.691574074073</v>
      </c>
      <c r="J104" s="225">
        <v>0</v>
      </c>
      <c r="K104" s="237" t="str">
        <f>IF(ISEVEN(B104),(B104-1)&amp;"/"&amp;B104,B104&amp;"/"&amp;(B104+1))</f>
        <v>4055/4056</v>
      </c>
      <c r="L104" s="245" t="str">
        <f>VLOOKUP(A104,'Trips&amp;Operators'!$C$1:$G$99911,5,FALSE)</f>
        <v>STEWART MICHAEL</v>
      </c>
      <c r="M104" s="224">
        <f>I104-F104</f>
        <v>2.6770833334012423E-2</v>
      </c>
      <c r="N104" s="225">
        <f>24*60*SUM($M104:$M104)</f>
        <v>38.550000000977889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-05T14:54:11-0700',mode:absolute,to:'2017-12-05T17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23.288599999999999</v>
      </c>
      <c r="Z104" s="247">
        <f>RIGHT(H104,LEN(H104)-4)/10000</f>
        <v>1.89E-2</v>
      </c>
      <c r="AA104" s="247">
        <f>ABS(Z104-Y104)</f>
        <v>23.2697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192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/stypes="app*4055*20171205*"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192-05 --locoid 4055 --swversion DE.1.0.9.0 --startMP 204:232886 --initTime 2017-12-05T15:54:11 --startdatetime 2017-12-05T15:57:19 --delay 49 --endMP 204:189 --enddatetime 2017-12-05T16:35:52 --enforcementcount 0 &gt;&gt;%USERPROFILE%\Documents\GitHub\eaglep3-reporting\EC\2017-12-05-refined-times.txt</v>
      </c>
      <c r="AI104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{"issue":{"subject":"","project_id":79,"tracker_id":40,"status_id":1,"priority_id":2,"assigned_to_id":338,"start_date":"2017-12-05","description":"","custom_fields":[{"id":1,"name":"Subdivision","value":"EC"},{"id":4,"name":"Milepost","value":"0.0189"},{"id":17,"name":"Train ID","value":"192-05"},{"id":16,"name":"Locomotive ID","value":"4055"},{"id":130,"name":"Impact","value":""},{"id":150,"name":"Time of Event (Mountain Time)","value":"16:35:52"},{"id":151,"name":"Denver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4055 --day 2017-12-05</v>
      </c>
      <c r="AN104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2017-12-05T14:54:11-0700',mode:absolute,to:'2017-12-05T17:35:52-0700'))&amp;_a=(columns:!('Message%20ID',Summary),filters:!(),index:'emp_*',interval:auto,query:(query_string:(analyze_wildcard:!t,query:'%22rtdc.l.rtdc.4055%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9" t="s">
        <v>823</v>
      </c>
      <c r="B105" s="225">
        <v>4006</v>
      </c>
      <c r="C105" s="227" t="s">
        <v>192</v>
      </c>
      <c r="D105" s="227" t="s">
        <v>933</v>
      </c>
      <c r="E105" s="226">
        <v>43074.63045138889</v>
      </c>
      <c r="F105" s="226">
        <v>43074.635682870372</v>
      </c>
      <c r="G105" s="225">
        <v>47</v>
      </c>
      <c r="H105" s="227" t="s">
        <v>539</v>
      </c>
      <c r="I105" s="226">
        <v>43074.660254629627</v>
      </c>
      <c r="J105" s="225">
        <v>0</v>
      </c>
      <c r="K105" s="237" t="str">
        <f>IF(ISEVEN(B105),(B105-1)&amp;"/"&amp;B105,B105&amp;"/"&amp;(B105+1))</f>
        <v>4005/4006</v>
      </c>
      <c r="L105" s="245" t="str">
        <f>VLOOKUP(A105,'Trips&amp;Operators'!$C$1:$G$99911,5,FALSE)</f>
        <v>LEVIN SCOTT</v>
      </c>
      <c r="M105" s="224">
        <f>I105-F105</f>
        <v>2.4571759255195502E-2</v>
      </c>
      <c r="N105" s="225">
        <f>24*60*SUM($M105:$M105)</f>
        <v>35.383333327481523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-05T14:07:51-0700',mode:absolute,to:'2017-12-05T16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4.4699999999999997E-2</v>
      </c>
      <c r="Z105" s="247">
        <f>RIGHT(H105,LEN(H105)-4)/10000</f>
        <v>23.325500000000002</v>
      </c>
      <c r="AA105" s="247">
        <f>ABS(Z105-Y105)</f>
        <v>23.280800000000003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193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/stypes="app*4006*20171205*"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193-05 --locoid 4006 --swversion DE.1.0.9.0 --startMP 204:447 --initTime 2017-12-05T15:07:51 --startdatetime 2017-12-05T15:15:23 --delay 47 --endMP 204:233255 --enddatetime 2017-12-05T15:50:46 --enforcementcount 0 &gt;&gt;%USERPROFILE%\Documents\GitHub\eaglep3-reporting\EC\2017-12-05-refined-times.txt</v>
      </c>
      <c r="AI105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{"issue":{"subject":"","project_id":79,"tracker_id":40,"status_id":1,"priority_id":2,"assigned_to_id":338,"start_date":"2017-12-05","description":"","custom_fields":[{"id":1,"name":"Subdivision","value":"EC"},{"id":4,"name":"Milepost","value":"23.3255"},{"id":17,"name":"Train ID","value":"193-05"},{"id":16,"name":"Locomotive ID","value":"4006"},{"id":130,"name":"Impact","value":""},{"id":150,"name":"Time of Event (Mountain Time)","value":"15:50:46"},{"id":151,"name":"Denver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4006 --day 2017-12-05</v>
      </c>
      <c r="AN105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2017-12-05T14:07:51-0700',mode:absolute,to:'2017-12-05T16:50:46-0700'))&amp;_a=(columns:!('Message%20ID',Summary),filters:!(),index:'emp_*',interval:auto,query:(query_string:(analyze_wildcard:!t,query:'%22rtdc.l.rtdc.4006%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9" t="s">
        <v>833</v>
      </c>
      <c r="B106" s="225">
        <v>4005</v>
      </c>
      <c r="C106" s="227" t="s">
        <v>192</v>
      </c>
      <c r="D106" s="227" t="s">
        <v>972</v>
      </c>
      <c r="E106" s="226">
        <v>43074.662465277775</v>
      </c>
      <c r="F106" s="226">
        <v>43074.675173611111</v>
      </c>
      <c r="G106" s="225">
        <v>64</v>
      </c>
      <c r="H106" s="227" t="s">
        <v>536</v>
      </c>
      <c r="I106" s="226">
        <v>43074.701365740744</v>
      </c>
      <c r="J106" s="225">
        <v>0</v>
      </c>
      <c r="K106" s="237" t="str">
        <f>IF(ISEVEN(B106),(B106-1)&amp;"/"&amp;B106,B106&amp;"/"&amp;(B106+1))</f>
        <v>4005/4006</v>
      </c>
      <c r="L106" s="245" t="str">
        <f>VLOOKUP(A106,'Trips&amp;Operators'!$C$1:$G$99911,5,FALSE)</f>
        <v>LEVIN SCOTT</v>
      </c>
      <c r="M106" s="224">
        <f>I106-F106</f>
        <v>2.6192129633272998E-2</v>
      </c>
      <c r="N106" s="225">
        <f>24*60*SUM($M106:$M106)</f>
        <v>37.716666671913117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-05T14:53:57-0700',mode:absolute,to:'2017-12-05T17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23.293800000000001</v>
      </c>
      <c r="Z106" s="247">
        <f>RIGHT(H106,LEN(H106)-4)/10000</f>
        <v>1.7000000000000001E-2</v>
      </c>
      <c r="AA106" s="247">
        <f>ABS(Z106-Y106)</f>
        <v>23.276800000000001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194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/stypes="app*4005*20171205*"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194-05 --locoid 4005 --swversion DE.1.0.9.0 --startMP 204:232938 --initTime 2017-12-05T15:53:57 --startdatetime 2017-12-05T16:12:15 --delay 64 --endMP 204:170 --enddatetime 2017-12-05T16:49:58 --enforcementcount 0 &gt;&gt;%USERPROFILE%\Documents\GitHub\eaglep3-reporting\EC\2017-12-05-refined-times.txt</v>
      </c>
      <c r="AI106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{"issue":{"subject":"","project_id":79,"tracker_id":40,"status_id":1,"priority_id":2,"assigned_to_id":338,"start_date":"2017-12-05","description":"","custom_fields":[{"id":1,"name":"Subdivision","value":"EC"},{"id":4,"name":"Milepost","value":"0.017"},{"id":17,"name":"Train ID","value":"194-05"},{"id":16,"name":"Locomotive ID","value":"4005"},{"id":130,"name":"Impact","value":""},{"id":150,"name":"Time of Event (Mountain Time)","value":"16:49:58"},{"id":151,"name":"Denver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2"/>
        <v>start /low /b %USERPROFILE%\Documents\GitHub\eaglep3\Utilities\DownloadLogsFromS3.py --loco 4005 --day 2017-12-05</v>
      </c>
      <c r="AN106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2017-12-05T14:53:57-0700',mode:absolute,to:'2017-12-05T17:49:58-0700'))&amp;_a=(columns:!('Message%20ID',Summary),filters:!(),index:'emp_*',interval:auto,query:(query_string:(analyze_wildcard:!t,query:'%22rtdc.l.rtdc.4005%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9" t="s">
        <v>827</v>
      </c>
      <c r="B107" s="225">
        <v>4044</v>
      </c>
      <c r="C107" s="227" t="s">
        <v>192</v>
      </c>
      <c r="D107" s="227" t="s">
        <v>415</v>
      </c>
      <c r="E107" s="226">
        <v>43074.641712962963</v>
      </c>
      <c r="F107" s="226">
        <v>43074.646041666667</v>
      </c>
      <c r="G107" s="225">
        <v>69</v>
      </c>
      <c r="H107" s="227" t="s">
        <v>626</v>
      </c>
      <c r="I107" s="226">
        <v>43074.671932870369</v>
      </c>
      <c r="J107" s="225">
        <v>0</v>
      </c>
      <c r="K107" s="237" t="str">
        <f>IF(ISEVEN(B107),(B107-1)&amp;"/"&amp;B107,B107&amp;"/"&amp;(B107+1))</f>
        <v>4043/4044</v>
      </c>
      <c r="L107" s="245" t="str">
        <f>VLOOKUP(A107,'Trips&amp;Operators'!$C$1:$G$99911,5,FALSE)</f>
        <v>NICHOLAS PLOYSA</v>
      </c>
      <c r="M107" s="224">
        <f>I107-F107</f>
        <v>2.5891203702485655E-2</v>
      </c>
      <c r="N107" s="225">
        <f>24*60*SUM($M107:$M107)</f>
        <v>37.283333331579342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-05T14:24:04-0700',mode:absolute,to:'2017-12-05T17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5.0799999999999998E-2</v>
      </c>
      <c r="Z107" s="247">
        <f>RIGHT(H107,LEN(H107)-4)/10000</f>
        <v>23.322399999999998</v>
      </c>
      <c r="AA107" s="247">
        <f>ABS(Z107-Y107)</f>
        <v>23.271599999999999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195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/stypes="app*4044*20171205*"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195-05 --locoid 4044 --swversion DE.1.0.9.0 --startMP 204:508 --initTime 2017-12-05T15:24:04 --startdatetime 2017-12-05T15:30:18 --delay 69 --endMP 204:233224 --enddatetime 2017-12-05T16:07:35 --enforcementcount 0 &gt;&gt;%USERPROFILE%\Documents\GitHub\eaglep3-reporting\EC\2017-12-05-refined-times.txt</v>
      </c>
      <c r="AI107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{"issue":{"subject":"","project_id":79,"tracker_id":40,"status_id":1,"priority_id":2,"assigned_to_id":338,"start_date":"2017-12-05","description":"","custom_fields":[{"id":1,"name":"Subdivision","value":"EC"},{"id":4,"name":"Milepost","value":"23.3224"},{"id":17,"name":"Train ID","value":"195-05"},{"id":16,"name":"Locomotive ID","value":"4044"},{"id":130,"name":"Impact","value":""},{"id":150,"name":"Time of Event (Mountain Time)","value":"16:07:35"},{"id":151,"name":"Denver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4044 --day 2017-12-05</v>
      </c>
      <c r="AN107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2017-12-05T14:24:04-0700',mode:absolute,to:'2017-12-05T17:07:35-0700'))&amp;_a=(columns:!('Message%20ID',Summary),filters:!(),index:'emp_*',interval:auto,query:(query_string:(analyze_wildcard:!t,query:'%22rtdc.l.rtdc.4044%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29" t="s">
        <v>838</v>
      </c>
      <c r="B108" s="225">
        <v>4043</v>
      </c>
      <c r="C108" s="227" t="s">
        <v>192</v>
      </c>
      <c r="D108" s="227" t="s">
        <v>973</v>
      </c>
      <c r="E108" s="226">
        <v>43074.681493055556</v>
      </c>
      <c r="F108" s="226">
        <v>43074.685601851852</v>
      </c>
      <c r="G108" s="225">
        <v>80</v>
      </c>
      <c r="H108" s="227" t="s">
        <v>620</v>
      </c>
      <c r="I108" s="226">
        <v>43074.714050925926</v>
      </c>
      <c r="J108" s="225">
        <v>0</v>
      </c>
      <c r="K108" s="237" t="str">
        <f>IF(ISEVEN(B108),(B108-1)&amp;"/"&amp;B108,B108&amp;"/"&amp;(B108+1))</f>
        <v>4043/4044</v>
      </c>
      <c r="L108" s="245" t="str">
        <f>VLOOKUP(A108,'Trips&amp;Operators'!$C$1:$G$99911,5,FALSE)</f>
        <v>NICHOLAS PLOYSA</v>
      </c>
      <c r="M108" s="224">
        <f>I108-F108</f>
        <v>2.8449074074160308E-2</v>
      </c>
      <c r="N108" s="225">
        <f>24*60*SUM($M108:$M108)</f>
        <v>40.966666666790843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-05T15:21:21-0700',mode:absolute,to:'2017-12-05T18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23.290700000000001</v>
      </c>
      <c r="Z108" s="247">
        <f>RIGHT(H108,LEN(H108)-4)/10000</f>
        <v>2.29E-2</v>
      </c>
      <c r="AA108" s="247">
        <f>ABS(Z108-Y108)</f>
        <v>23.267800000000001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196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/stypes="app*4043*20171206*" /stext=" 00:.+((SYSTEM_STATE.+slice.+state.+changed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196-05 --locoid 4043 --swversion DE.1.0.9.0 --startMP 204:232907 --initTime 2017-12-05T16:21:21 --startdatetime 2017-12-05T16:27:16 --delay 80 --endMP 204:229 --enddatetime 2017-12-05T17:08:14 --enforcementcount 0 &gt;&gt;%USERPROFILE%\Documents\GitHub\eaglep3-reporting\EC\2017-12-05-refined-times.txt</v>
      </c>
      <c r="AI108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{"issue":{"subject":"","project_id":79,"tracker_id":40,"status_id":1,"priority_id":2,"assigned_to_id":338,"start_date":"2017-12-05","description":"","custom_fields":[{"id":1,"name":"Subdivision","value":"EC"},{"id":4,"name":"Milepost","value":"0.0229"},{"id":17,"name":"Train ID","value":"196-05"},{"id":16,"name":"Locomotive ID","value":"4043"},{"id":130,"name":"Impact","value":""},{"id":150,"name":"Time of Event (Mountain Time)","value":"17:08:14"},{"id":151,"name":"Denver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2"/>
        <v>start /low /b %USERPROFILE%\Documents\GitHub\eaglep3\Utilities\DownloadLogsFromS3.py --loco 4043 --day 2017-12-05</v>
      </c>
      <c r="AN108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2017-12-05T15:21:21-0700',mode:absolute,to:'2017-12-05T18:08:14-0700'))&amp;_a=(columns:!('Message%20ID',Summary),filters:!(),index:'emp_*',interval:auto,query:(query_string:(analyze_wildcard:!t,query:'%22rtdc.l.rtdc.4043%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229" t="s">
        <v>831</v>
      </c>
      <c r="B109" s="225">
        <v>4014</v>
      </c>
      <c r="C109" s="227" t="s">
        <v>192</v>
      </c>
      <c r="D109" s="227" t="s">
        <v>556</v>
      </c>
      <c r="E109" s="226">
        <v>43074.653124999997</v>
      </c>
      <c r="F109" s="226">
        <v>43074.656574074077</v>
      </c>
      <c r="G109" s="225">
        <v>67</v>
      </c>
      <c r="H109" s="227" t="s">
        <v>974</v>
      </c>
      <c r="I109" s="226">
        <v>43074.681273148148</v>
      </c>
      <c r="J109" s="225">
        <v>0</v>
      </c>
      <c r="K109" s="237" t="str">
        <f>IF(ISEVEN(B109),(B109-1)&amp;"/"&amp;B109,B109&amp;"/"&amp;(B109+1))</f>
        <v>4013/4014</v>
      </c>
      <c r="L109" s="245" t="str">
        <f>VLOOKUP(A109,'Trips&amp;Operators'!$C$1:$G$99911,5,FALSE)</f>
        <v>SAFIEF AEIMEN</v>
      </c>
      <c r="M109" s="224">
        <f>I109-F109</f>
        <v>2.4699074070667848E-2</v>
      </c>
      <c r="N109" s="225">
        <f>24*60*SUM($M109:$M109)</f>
        <v>35.566666661761701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-05T14:40:30-0700',mode:absolute,to:'2017-12-05T17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4.9799999999999997E-2</v>
      </c>
      <c r="Z109" s="247">
        <f>RIGHT(H109,LEN(H109)-4)/10000</f>
        <v>23.323599999999999</v>
      </c>
      <c r="AA109" s="247">
        <f>ABS(Z109-Y109)</f>
        <v>23.273799999999998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197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/stypes="app*4014*20171205*"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197-05 --locoid 4014 --swversion DE.1.0.9.0 --startMP 204:498 --initTime 2017-12-05T15:40:30 --startdatetime 2017-12-05T15:45:28 --delay 67 --endMP 204:233236 --enddatetime 2017-12-05T16:21:02 --enforcementcount 0 &gt;&gt;%USERPROFILE%\Documents\GitHub\eaglep3-reporting\EC\2017-12-05-refined-times.txt</v>
      </c>
      <c r="AI109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{"issue":{"subject":"","project_id":79,"tracker_id":40,"status_id":1,"priority_id":2,"assigned_to_id":338,"start_date":"2017-12-05","description":"","custom_fields":[{"id":1,"name":"Subdivision","value":"EC"},{"id":4,"name":"Milepost","value":"23.3236"},{"id":17,"name":"Train ID","value":"197-05"},{"id":16,"name":"Locomotive ID","value":"4014"},{"id":130,"name":"Impact","value":""},{"id":150,"name":"Time of Event (Mountain Time)","value":"16:21:02"},{"id":151,"name":"Denver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2"/>
        <v>start /low /b %USERPROFILE%\Documents\GitHub\eaglep3\Utilities\DownloadLogsFromS3.py --loco 4014 --day 2017-12-05</v>
      </c>
      <c r="AN109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2017-12-05T14:40:30-0700',mode:absolute,to:'2017-12-05T17:21:02-0700'))&amp;_a=(columns:!('Message%20ID',Summary),filters:!(),index:'emp_*',interval:auto,query:(query_string:(analyze_wildcard:!t,query:'%22rtdc.l.rtdc.4014%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229" t="s">
        <v>839</v>
      </c>
      <c r="B110" s="225">
        <v>4013</v>
      </c>
      <c r="C110" s="227" t="s">
        <v>192</v>
      </c>
      <c r="D110" s="227" t="s">
        <v>643</v>
      </c>
      <c r="E110" s="226">
        <v>43074.68309027778</v>
      </c>
      <c r="F110" s="226">
        <v>43074.696261574078</v>
      </c>
      <c r="G110" s="225">
        <v>115</v>
      </c>
      <c r="H110" s="227" t="s">
        <v>460</v>
      </c>
      <c r="I110" s="226">
        <v>43074.722418981481</v>
      </c>
      <c r="J110" s="225">
        <v>0</v>
      </c>
      <c r="K110" s="237" t="str">
        <f>IF(ISEVEN(B110),(B110-1)&amp;"/"&amp;B110,B110&amp;"/"&amp;(B110+1))</f>
        <v>4013/4014</v>
      </c>
      <c r="L110" s="245" t="str">
        <f>VLOOKUP(A110,'Trips&amp;Operators'!$C$1:$G$99911,5,FALSE)</f>
        <v>SAFIEF AEIMEN</v>
      </c>
      <c r="M110" s="224">
        <f>I110-F110</f>
        <v>2.6157407402934041E-2</v>
      </c>
      <c r="N110" s="225">
        <f>24*60*SUM($M110:$M110)</f>
        <v>37.666666660225019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-05T15:23:39-0700',mode:absolute,to:'2017-12-05T18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23.2926</v>
      </c>
      <c r="Z110" s="247">
        <f>RIGHT(H110,LEN(H110)-4)/10000</f>
        <v>0.02</v>
      </c>
      <c r="AA110" s="247">
        <f>ABS(Z110-Y110)</f>
        <v>23.272600000000001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198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/stypes="app*4013*20171206*"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198-05 --locoid 4013 --swversion DE.1.0.9.0 --startMP 204:232926 --initTime 2017-12-05T16:23:39 --startdatetime 2017-12-05T16:42:37 --delay 115 --endMP 204:200 --enddatetime 2017-12-05T17:20:17 --enforcementcount 0 &gt;&gt;%USERPROFILE%\Documents\GitHub\eaglep3-reporting\EC\2017-12-05-refined-times.txt</v>
      </c>
      <c r="AI110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{"issue":{"subject":"","project_id":79,"tracker_id":40,"status_id":1,"priority_id":2,"assigned_to_id":338,"start_date":"2017-12-05","description":"","custom_fields":[{"id":1,"name":"Subdivision","value":"EC"},{"id":4,"name":"Milepost","value":"0.02"},{"id":17,"name":"Train ID","value":"198-05"},{"id":16,"name":"Locomotive ID","value":"4013"},{"id":130,"name":"Impact","value":""},{"id":150,"name":"Time of Event (Mountain Time)","value":"17:20:17"},{"id":151,"name":"Denver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4013 --day 2017-12-05</v>
      </c>
      <c r="AN110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2017-12-05T15:23:39-0700',mode:absolute,to:'2017-12-05T18:20:17-0700'))&amp;_a=(columns:!('Message%20ID',Summary),filters:!(),index:'emp_*',interval:auto,query:(query_string:(analyze_wildcard:!t,query:'%22rtdc.l.rtdc.4013%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229" t="s">
        <v>834</v>
      </c>
      <c r="B111" s="225">
        <v>4054</v>
      </c>
      <c r="C111" s="227" t="s">
        <v>192</v>
      </c>
      <c r="D111" s="227" t="s">
        <v>416</v>
      </c>
      <c r="E111" s="226">
        <v>43074.663287037038</v>
      </c>
      <c r="F111" s="226">
        <v>43074.667025462964</v>
      </c>
      <c r="G111" s="225">
        <v>68</v>
      </c>
      <c r="H111" s="227" t="s">
        <v>975</v>
      </c>
      <c r="I111" s="226">
        <v>43074.695092592592</v>
      </c>
      <c r="J111" s="225">
        <v>0</v>
      </c>
      <c r="K111" s="237" t="str">
        <f>IF(ISEVEN(B111),(B111-1)&amp;"/"&amp;B111,B111&amp;"/"&amp;(B111+1))</f>
        <v>4053/4054</v>
      </c>
      <c r="L111" s="245" t="str">
        <f>VLOOKUP(A111,'Trips&amp;Operators'!$C$1:$G$99911,5,FALSE)</f>
        <v>DAVIS MICHAEL</v>
      </c>
      <c r="M111" s="224">
        <f>I111-F111</f>
        <v>2.806712962774327E-2</v>
      </c>
      <c r="N111" s="225">
        <f>24*60*SUM($M111:$M111)</f>
        <v>40.416666663950309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-05T14:55:08-0700',mode:absolute,to:'2017-12-05T17:40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5.11E-2</v>
      </c>
      <c r="Z111" s="247">
        <f>RIGHT(H111,LEN(H111)-4)/10000</f>
        <v>23.324000000000002</v>
      </c>
      <c r="AA111" s="247">
        <f>ABS(Z111-Y111)</f>
        <v>23.2729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199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/stypes="app*4054*20171205*"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199-05 --locoid 4054 --swversion DE.1.0.9.0 --startMP 204:511 --initTime 2017-12-05T15:55:08 --startdatetime 2017-12-05T16:00:31 --delay 68 --endMP 204:233240 --enddatetime 2017-12-05T16:40:56 --enforcementcount 0 &gt;&gt;%USERPROFILE%\Documents\GitHub\eaglep3-reporting\EC\2017-12-05-refined-times.txt</v>
      </c>
      <c r="AI111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{"issue":{"subject":"","project_id":79,"tracker_id":40,"status_id":1,"priority_id":2,"assigned_to_id":338,"start_date":"2017-12-05","description":"","custom_fields":[{"id":1,"name":"Subdivision","value":"EC"},{"id":4,"name":"Milepost","value":"23.324"},{"id":17,"name":"Train ID","value":"199-05"},{"id":16,"name":"Locomotive ID","value":"4054"},{"id":130,"name":"Impact","value":""},{"id":150,"name":"Time of Event (Mountain Time)","value":"16:40:56"},{"id":151,"name":"Denver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4054 --day 2017-12-05</v>
      </c>
      <c r="AN111" s="241" t="str">
        <f t="shared" si="13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23:40:56"},{"id":29,"name":"Sharepoint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2017-12-05T14:55:08-0700',mode:absolute,to:'2017-12-05T17:40:56-0700'))&amp;_a=(columns:!('Message%20ID',Summary),filters:!(),index:'emp_*',interval:auto,query:(query_string:(analyze_wildcard:!t,query:'%22rtdc.l.rtdc.4054%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847</v>
      </c>
      <c r="B112" s="225">
        <v>4053</v>
      </c>
      <c r="C112" s="227" t="s">
        <v>192</v>
      </c>
      <c r="D112" s="227" t="s">
        <v>976</v>
      </c>
      <c r="E112" s="226">
        <v>43074.702233796299</v>
      </c>
      <c r="F112" s="226">
        <v>43074.706863425927</v>
      </c>
      <c r="G112" s="225">
        <v>125</v>
      </c>
      <c r="H112" s="227" t="s">
        <v>927</v>
      </c>
      <c r="I112" s="226">
        <v>43074.734803240739</v>
      </c>
      <c r="J112" s="225">
        <v>0</v>
      </c>
      <c r="K112" s="237" t="str">
        <f>IF(ISEVEN(B112),(B112-1)&amp;"/"&amp;B112,B112&amp;"/"&amp;(B112+1))</f>
        <v>4053/4054</v>
      </c>
      <c r="L112" s="245" t="str">
        <f>VLOOKUP(A112,'Trips&amp;Operators'!$C$1:$G$99911,5,FALSE)</f>
        <v>DAVIS MICHAEL</v>
      </c>
      <c r="M112" s="224">
        <f>I112-F112</f>
        <v>2.7939814812270924E-2</v>
      </c>
      <c r="N112" s="225">
        <f>24*60*SUM($M112:$M112)</f>
        <v>40.233333329670131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-05T15:51:13-0700',mode:absolute,to:'2017-12-05T18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23.2925</v>
      </c>
      <c r="Z112" s="247">
        <f>RIGHT(H112,LEN(H112)-4)/10000</f>
        <v>2.23E-2</v>
      </c>
      <c r="AA112" s="247">
        <f>ABS(Z112-Y112)</f>
        <v>23.270199999999999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200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/stypes="app*4053*20171206*"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200-05 --locoid 4053 --swversion DE.1.0.9.0 --startMP 204:232925 --initTime 2017-12-05T16:51:13 --startdatetime 2017-12-05T16:57:53 --delay 125 --endMP 204:223 --enddatetime 2017-12-05T17:38:07 --enforcementcount 0 &gt;&gt;%USERPROFILE%\Documents\GitHub\eaglep3-reporting\EC\2017-12-05-refined-times.txt</v>
      </c>
      <c r="AI112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{"issue":{"subject":"","project_id":79,"tracker_id":40,"status_id":1,"priority_id":2,"assigned_to_id":338,"start_date":"2017-12-05","description":"","custom_fields":[{"id":1,"name":"Subdivision","value":"EC"},{"id":4,"name":"Milepost","value":"0.0223"},{"id":17,"name":"Train ID","value":"200-05"},{"id":16,"name":"Locomotive ID","value":"4053"},{"id":130,"name":"Impact","value":""},{"id":150,"name":"Time of Event (Mountain Time)","value":"17:38:07"},{"id":151,"name":"Denver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2"/>
        <v>start /low /b %USERPROFILE%\Documents\GitHub\eaglep3\Utilities\DownloadLogsFromS3.py --loco 4053 --day 2017-12-05</v>
      </c>
      <c r="AN112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2017-12-05T15:51:13-0700',mode:absolute,to:'2017-12-05T18:38:07-0700'))&amp;_a=(columns:!('Message%20ID',Summary),filters:!(),index:'emp_*',interval:auto,query:(query_string:(analyze_wildcard:!t,query:'%22rtdc.l.rtdc.4053%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25">
      <c r="A113" s="229" t="s">
        <v>837</v>
      </c>
      <c r="B113" s="225">
        <v>4036</v>
      </c>
      <c r="C113" s="227" t="s">
        <v>192</v>
      </c>
      <c r="D113" s="227" t="s">
        <v>976</v>
      </c>
      <c r="E113" s="226">
        <v>43074.702233796299</v>
      </c>
      <c r="F113" s="226">
        <v>43074.677337962959</v>
      </c>
      <c r="G113" s="225">
        <v>125</v>
      </c>
      <c r="H113" s="227" t="s">
        <v>927</v>
      </c>
      <c r="I113" s="226">
        <v>43074.702407407407</v>
      </c>
      <c r="J113" s="225">
        <v>0</v>
      </c>
      <c r="K113" s="237" t="str">
        <f>IF(ISEVEN(B113),(B113-1)&amp;"/"&amp;B113,B113&amp;"/"&amp;(B113+1))</f>
        <v>4035/4036</v>
      </c>
      <c r="L113" s="245" t="str">
        <f>VLOOKUP(A113,'Trips&amp;Operators'!$C$1:$G$99911,5,FALSE)</f>
        <v>SMITH MICHAEL</v>
      </c>
      <c r="M113" s="224">
        <f>I113-F113</f>
        <v>2.5069444447581191E-2</v>
      </c>
      <c r="N113" s="225">
        <f>24*60*SUM($M113:$M113)</f>
        <v>36.100000004516914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-05T15:51:13-0700',mode:absolute,to:'2017-12-05T17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v>5.11E-2</v>
      </c>
      <c r="Z113" s="247">
        <v>23.324000000000002</v>
      </c>
      <c r="AA113" s="247">
        <f>ABS(Z113-Y113)</f>
        <v>23.2729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201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/stypes="app*4036*20171205*"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ref="AH113" si="20"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201-05 --locoid 4036 --swversion DE.1.0.9.0 --startMP 204:232925 --initTime 2017-12-05T16:51:13 --startdatetime 2017-12-05T16:15:22 --delay 125 --endMP 204:223 --enddatetime 2017-12-05T16:51:28 --enforcementcount 0 &gt;&gt;%USERPROFILE%\Documents\GitHub\eaglep3-reporting\EC\2017-12-05-refined-times.txt</v>
      </c>
      <c r="AI113" s="238" t="str">
        <f t="shared" ref="AI113" si="21"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{"issue":{"subject":"","project_id":79,"tracker_id":40,"status_id":1,"priority_id":2,"assigned_to_id":338,"start_date":"2017-12-05","description":"","custom_fields":[{"id":1,"name":"Subdivision","value":"EC"},{"id":4,"name":"Milepost","value":"23.324"},{"id":17,"name":"Train ID","value":"201-05"},{"id":16,"name":"Locomotive ID","value":"4036"},{"id":130,"name":"Impact","value":""},{"id":150,"name":"Time of Event (Mountain Time)","value":"16:51:28"},{"id":151,"name":"Denver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ref="AM113" si="22">"start /low /b "&amp;dls3logs&amp;" --loco "&amp;B113&amp;" --day "&amp;TEXT(F113,"YYYY-MM-DD")</f>
        <v>start /low /b %USERPROFILE%\Documents\GitHub\eaglep3\Utilities\DownloadLogsFromS3.py --loco 4036 --day 2017-12-05</v>
      </c>
      <c r="AN113" s="241" t="str">
        <f t="shared" ref="AN113" si="23"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ref="AO113" si="24"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-05T15:51:13-0700',mode:absolute,to:'2017-12-05T17:51:28-0700'))&amp;_a=(columns:!('Message%20ID',Summary),filters:!(),index:'emp_*',interval:auto,query:(query_string:(analyze_wildcard:!t,query:'%22rtdc.l.rtdc.4036%22')),sort:!(Time.ISO8601,asc))</v>
      </c>
    </row>
    <row r="114" spans="1:91" s="20" customFormat="1" x14ac:dyDescent="0.25">
      <c r="A114" s="229" t="s">
        <v>853</v>
      </c>
      <c r="B114" s="225">
        <v>4035</v>
      </c>
      <c r="C114" s="227" t="s">
        <v>192</v>
      </c>
      <c r="D114" s="227" t="s">
        <v>961</v>
      </c>
      <c r="E114" s="226">
        <v>43074.709768518522</v>
      </c>
      <c r="F114" s="226">
        <v>43074.716932870368</v>
      </c>
      <c r="G114" s="225">
        <v>66</v>
      </c>
      <c r="H114" s="227" t="s">
        <v>458</v>
      </c>
      <c r="I114" s="226">
        <v>43074.742662037039</v>
      </c>
      <c r="J114" s="225">
        <v>0</v>
      </c>
      <c r="K114" s="237" t="str">
        <f>IF(ISEVEN(B114),(B114-1)&amp;"/"&amp;B114,B114&amp;"/"&amp;(B114+1))</f>
        <v>4035/4036</v>
      </c>
      <c r="L114" s="245" t="str">
        <f>VLOOKUP(A114,'Trips&amp;Operators'!$C$1:$G$99911,5,FALSE)</f>
        <v>SMITH MICHAEL</v>
      </c>
      <c r="M114" s="224">
        <f>I114-F114</f>
        <v>2.5729166671226267E-2</v>
      </c>
      <c r="N114" s="225">
        <f>24*60*SUM($M114:$M114)</f>
        <v>37.050000006565824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-05T16:02:04-0700',mode:absolute,to:'2017-12-05T18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23.291699999999999</v>
      </c>
      <c r="Z114" s="247">
        <f>RIGHT(H114,LEN(H114)-4)/10000</f>
        <v>2.1600000000000001E-2</v>
      </c>
      <c r="AA114" s="247">
        <f>ABS(Z114-Y114)</f>
        <v>23.270099999999999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202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/stypes="app*4035*20171206*"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202-05 --locoid 4035 --swversion DE.1.0.9.0 --startMP 204:232917 --initTime 2017-12-05T17:02:04 --startdatetime 2017-12-05T17:12:23 --delay 66 --endMP 204:216 --enddatetime 2017-12-05T17:49:26 --enforcementcount 0 &gt;&gt;%USERPROFILE%\Documents\GitHub\eaglep3-reporting\EC\2017-12-05-refined-times.txt</v>
      </c>
      <c r="AI114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{"issue":{"subject":"","project_id":79,"tracker_id":40,"status_id":1,"priority_id":2,"assigned_to_id":338,"start_date":"2017-12-05","description":"","custom_fields":[{"id":1,"name":"Subdivision","value":"EC"},{"id":4,"name":"Milepost","value":"0.0216"},{"id":17,"name":"Train ID","value":"202-05"},{"id":16,"name":"Locomotive ID","value":"4035"},{"id":130,"name":"Impact","value":""},{"id":150,"name":"Time of Event (Mountain Time)","value":"17:49:26"},{"id":151,"name":"Denver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4035 --day 2017-12-05</v>
      </c>
      <c r="AN114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2017-12-05T16:02:04-0700',mode:absolute,to:'2017-12-05T18:49:26-0700'))&amp;_a=(columns:!('Message%20ID',Summary),filters:!(),index:'emp_*',interval:auto,query:(query_string:(analyze_wildcard:!t,query:'%22rtdc.l.rtdc.4035%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840</v>
      </c>
      <c r="B115" s="225">
        <v>4060</v>
      </c>
      <c r="C115" s="227" t="s">
        <v>192</v>
      </c>
      <c r="D115" s="227" t="s">
        <v>977</v>
      </c>
      <c r="E115" s="226">
        <v>43074.684155092589</v>
      </c>
      <c r="F115" s="226">
        <v>43074.687685185185</v>
      </c>
      <c r="G115" s="225">
        <v>69</v>
      </c>
      <c r="H115" s="227" t="s">
        <v>628</v>
      </c>
      <c r="I115" s="226">
        <v>43074.713101851848</v>
      </c>
      <c r="J115" s="225">
        <v>0</v>
      </c>
      <c r="K115" s="237" t="str">
        <f>IF(ISEVEN(B115),(B115-1)&amp;"/"&amp;B115,B115&amp;"/"&amp;(B115+1))</f>
        <v>4059/4060</v>
      </c>
      <c r="L115" s="245" t="str">
        <f>VLOOKUP(A115,'Trips&amp;Operators'!$C$1:$G$99911,5,FALSE)</f>
        <v>BRUDER RICHARD</v>
      </c>
      <c r="M115" s="224">
        <f>I115-F115</f>
        <v>2.5416666663659271E-2</v>
      </c>
      <c r="N115" s="225">
        <f>24*60*SUM($M115:$M115)</f>
        <v>36.59999999566935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-05T15:25:11-0700',mode:absolute,to:'2017-12-05T18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5.33E-2</v>
      </c>
      <c r="Z115" s="247">
        <f>RIGHT(H115,LEN(H115)-4)/10000</f>
        <v>23.321300000000001</v>
      </c>
      <c r="AA115" s="247">
        <f>ABS(Z115-Y115)</f>
        <v>23.268000000000001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203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/stypes="app*4060*20171206*"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203-05 --locoid 4060 --swversion DE.1.0.9.0 --startMP 204:533 --initTime 2017-12-05T16:25:11 --startdatetime 2017-12-05T16:30:16 --delay 69 --endMP 204:233213 --enddatetime 2017-12-05T17:06:52 --enforcementcount 0 &gt;&gt;%USERPROFILE%\Documents\GitHub\eaglep3-reporting\EC\2017-12-05-refined-times.txt</v>
      </c>
      <c r="AI115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{"issue":{"subject":"","project_id":79,"tracker_id":40,"status_id":1,"priority_id":2,"assigned_to_id":338,"start_date":"2017-12-05","description":"","custom_fields":[{"id":1,"name":"Subdivision","value":"EC"},{"id":4,"name":"Milepost","value":"23.3213"},{"id":17,"name":"Train ID","value":"203-05"},{"id":16,"name":"Locomotive ID","value":"4060"},{"id":130,"name":"Impact","value":""},{"id":150,"name":"Time of Event (Mountain Time)","value":"17:06:52"},{"id":151,"name":"Denver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4060 --day 2017-12-05</v>
      </c>
      <c r="AN115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2017-12-05T15:25:11-0700',mode:absolute,to:'2017-12-05T18:06:52-0700'))&amp;_a=(columns:!('Message%20ID',Summary),filters:!(),index:'emp_*',interval:auto,query:(query_string:(analyze_wildcard:!t,query:'%22rtdc.l.rtdc.4060%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25">
      <c r="A116" s="229" t="s">
        <v>856</v>
      </c>
      <c r="B116" s="225">
        <v>4059</v>
      </c>
      <c r="C116" s="227" t="s">
        <v>192</v>
      </c>
      <c r="D116" s="227" t="s">
        <v>967</v>
      </c>
      <c r="E116" s="226">
        <v>43074.724074074074</v>
      </c>
      <c r="F116" s="226">
        <v>43074.727280092593</v>
      </c>
      <c r="G116" s="225">
        <v>77</v>
      </c>
      <c r="H116" s="227" t="s">
        <v>917</v>
      </c>
      <c r="I116" s="226">
        <v>43074.753159722219</v>
      </c>
      <c r="J116" s="225">
        <v>0</v>
      </c>
      <c r="K116" s="237" t="str">
        <f>IF(ISEVEN(B116),(B116-1)&amp;"/"&amp;B116,B116&amp;"/"&amp;(B116+1))</f>
        <v>4059/4060</v>
      </c>
      <c r="L116" s="245" t="str">
        <f>VLOOKUP(A116,'Trips&amp;Operators'!$C$1:$G$99911,5,FALSE)</f>
        <v>BRUDER RICHARD</v>
      </c>
      <c r="M116" s="224">
        <f>I116-F116</f>
        <v>2.5879629625706002E-2</v>
      </c>
      <c r="N116" s="225">
        <f>24*60*SUM($M116:$M116)</f>
        <v>37.266666661016643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-05T16:22:40-0700',mode:absolute,to:'2017-12-05T19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23.288599999999999</v>
      </c>
      <c r="Z116" s="247">
        <f>RIGHT(H116,LEN(H116)-4)/10000</f>
        <v>2.1999999999999999E-2</v>
      </c>
      <c r="AA116" s="247">
        <f>ABS(Z116-Y116)</f>
        <v>23.2666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204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/stypes="app*4059*20171206*" /stext=" 01:.+((SYSTEM_STATE.+slice.+state.+changed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204-05 --locoid 4059 --swversion DE.1.0.9.0 --startMP 204:232886 --initTime 2017-12-05T17:22:40 --startdatetime 2017-12-05T17:27:17 --delay 77 --endMP 204:220 --enddatetime 2017-12-05T18:04:33 --enforcementcount 0 &gt;&gt;%USERPROFILE%\Documents\GitHub\eaglep3-reporting\EC\2017-12-05-refined-times.txt</v>
      </c>
      <c r="AI116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{"issue":{"subject":"","project_id":79,"tracker_id":40,"status_id":1,"priority_id":2,"assigned_to_id":338,"start_date":"2017-12-05","description":"","custom_fields":[{"id":1,"name":"Subdivision","value":"EC"},{"id":4,"name":"Milepost","value":"0.022"},{"id":17,"name":"Train ID","value":"204-05"},{"id":16,"name":"Locomotive ID","value":"4059"},{"id":130,"name":"Impact","value":""},{"id":150,"name":"Time of Event (Mountain Time)","value":"18:04:33"},{"id":151,"name":"Denver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2"/>
        <v>start /low /b %USERPROFILE%\Documents\GitHub\eaglep3\Utilities\DownloadLogsFromS3.py --loco 4059 --day 2017-12-05</v>
      </c>
      <c r="AN116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2017-12-05T16:22:40-0700',mode:absolute,to:'2017-12-05T19:04:33-0700'))&amp;_a=(columns:!('Message%20ID',Summary),filters:!(),index:'emp_*',interval:auto,query:(query_string:(analyze_wildcard:!t,query:'%22rtdc.l.rtdc.4059%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843</v>
      </c>
      <c r="B117" s="225">
        <v>4056</v>
      </c>
      <c r="C117" s="227" t="s">
        <v>192</v>
      </c>
      <c r="D117" s="227" t="s">
        <v>513</v>
      </c>
      <c r="E117" s="226">
        <v>43074.693657407406</v>
      </c>
      <c r="F117" s="226">
        <v>43074.698136574072</v>
      </c>
      <c r="G117" s="225">
        <v>57</v>
      </c>
      <c r="H117" s="227" t="s">
        <v>486</v>
      </c>
      <c r="I117" s="226">
        <v>43074.723275462966</v>
      </c>
      <c r="J117" s="225">
        <v>0</v>
      </c>
      <c r="K117" s="237" t="str">
        <f>IF(ISEVEN(B117),(B117-1)&amp;"/"&amp;B117,B117&amp;"/"&amp;(B117+1))</f>
        <v>4055/4056</v>
      </c>
      <c r="L117" s="245" t="str">
        <f>VLOOKUP(A117,'Trips&amp;Operators'!$C$1:$G$99911,5,FALSE)</f>
        <v>STEWART MICHAEL</v>
      </c>
      <c r="M117" s="224">
        <f>I117-F117</f>
        <v>2.513888889370719E-2</v>
      </c>
      <c r="N117" s="225">
        <f>24*60*SUM($M117:$M117)</f>
        <v>36.200000006938353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-05T15:38:52-0700',mode:absolute,to:'2017-12-05T18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5.0599999999999999E-2</v>
      </c>
      <c r="Z117" s="247">
        <f>RIGHT(H117,LEN(H117)-4)/10000</f>
        <v>23.323</v>
      </c>
      <c r="AA117" s="247">
        <f>ABS(Z117-Y117)</f>
        <v>23.272400000000001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205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/stypes="app*4056*20171206*"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205-05 --locoid 4056 --swversion DE.1.0.9.0 --startMP 204:506 --initTime 2017-12-05T16:38:52 --startdatetime 2017-12-05T16:45:19 --delay 57 --endMP 204:233230 --enddatetime 2017-12-05T17:21:31 --enforcementcount 0 &gt;&gt;%USERPROFILE%\Documents\GitHub\eaglep3-reporting\EC\2017-12-05-refined-times.txt</v>
      </c>
      <c r="AI117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{"issue":{"subject":"","project_id":79,"tracker_id":40,"status_id":1,"priority_id":2,"assigned_to_id":338,"start_date":"2017-12-05","description":"","custom_fields":[{"id":1,"name":"Subdivision","value":"EC"},{"id":4,"name":"Milepost","value":"23.323"},{"id":17,"name":"Train ID","value":"205-05"},{"id":16,"name":"Locomotive ID","value":"4056"},{"id":130,"name":"Impact","value":""},{"id":150,"name":"Time of Event (Mountain Time)","value":"17:21:31"},{"id":151,"name":"Denver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12"/>
        <v>start /low /b %USERPROFILE%\Documents\GitHub\eaglep3\Utilities\DownloadLogsFromS3.py --loco 4056 --day 2017-12-05</v>
      </c>
      <c r="AN117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2017-12-05T15:38:52-0700',mode:absolute,to:'2017-12-05T18:21:31-0700'))&amp;_a=(columns:!('Message%20ID',Summary),filters:!(),index:'emp_*',interval:auto,query:(query_string:(analyze_wildcard:!t,query:'%22rtdc.l.rtdc.4056%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859</v>
      </c>
      <c r="B118" s="225">
        <v>4055</v>
      </c>
      <c r="C118" s="227" t="s">
        <v>192</v>
      </c>
      <c r="D118" s="227" t="s">
        <v>515</v>
      </c>
      <c r="E118" s="226">
        <v>43074.732094907406</v>
      </c>
      <c r="F118" s="226">
        <v>43074.737754629627</v>
      </c>
      <c r="G118" s="225">
        <v>55</v>
      </c>
      <c r="H118" s="227" t="s">
        <v>927</v>
      </c>
      <c r="I118" s="226">
        <v>43074.764861111114</v>
      </c>
      <c r="J118" s="225">
        <v>0</v>
      </c>
      <c r="K118" s="237" t="str">
        <f>IF(ISEVEN(B118),(B118-1)&amp;"/"&amp;B118,B118&amp;"/"&amp;(B118+1))</f>
        <v>4055/4056</v>
      </c>
      <c r="L118" s="245" t="str">
        <f>VLOOKUP(A118,'Trips&amp;Operators'!$C$1:$G$99911,5,FALSE)</f>
        <v>STEWART MICHAEL</v>
      </c>
      <c r="M118" s="224">
        <f>I118-F118</f>
        <v>2.7106481487862766E-2</v>
      </c>
      <c r="N118" s="225">
        <f>24*60*SUM($M118:$M118)</f>
        <v>39.033333342522383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-05T16:34:13-0700',mode:absolute,to:'2017-12-05T19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23.292300000000001</v>
      </c>
      <c r="Z118" s="247">
        <f>RIGHT(H118,LEN(H118)-4)/10000</f>
        <v>2.23E-2</v>
      </c>
      <c r="AA118" s="247">
        <f>ABS(Z118-Y118)</f>
        <v>23.27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206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/stypes="app*4055*20171206*"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206-05 --locoid 4055 --swversion DE.1.0.9.0 --startMP 204:232923 --initTime 2017-12-05T17:34:13 --startdatetime 2017-12-05T17:42:22 --delay 55 --endMP 204:223 --enddatetime 2017-12-05T18:21:24 --enforcementcount 0 &gt;&gt;%USERPROFILE%\Documents\GitHub\eaglep3-reporting\EC\2017-12-05-refined-times.txt</v>
      </c>
      <c r="AI118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{"issue":{"subject":"","project_id":79,"tracker_id":40,"status_id":1,"priority_id":2,"assigned_to_id":338,"start_date":"2017-12-05","description":"","custom_fields":[{"id":1,"name":"Subdivision","value":"EC"},{"id":4,"name":"Milepost","value":"0.0223"},{"id":17,"name":"Train ID","value":"206-05"},{"id":16,"name":"Locomotive ID","value":"4055"},{"id":130,"name":"Impact","value":""},{"id":150,"name":"Time of Event (Mountain Time)","value":"18:21:24"},{"id":151,"name":"Denver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2"/>
        <v>start /low /b %USERPROFILE%\Documents\GitHub\eaglep3\Utilities\DownloadLogsFromS3.py --loco 4055 --day 2017-12-05</v>
      </c>
      <c r="AN118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2017-12-05T16:34:13-0700',mode:absolute,to:'2017-12-05T19:21:24-0700'))&amp;_a=(columns:!('Message%20ID',Summary),filters:!(),index:'emp_*',interval:auto,query:(query_string:(analyze_wildcard:!t,query:'%22rtdc.l.rtdc.4055%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848</v>
      </c>
      <c r="B119" s="225">
        <v>4006</v>
      </c>
      <c r="C119" s="227" t="s">
        <v>192</v>
      </c>
      <c r="D119" s="227" t="s">
        <v>923</v>
      </c>
      <c r="E119" s="226">
        <v>43074.705254629633</v>
      </c>
      <c r="F119" s="226">
        <v>43074.70853009259</v>
      </c>
      <c r="G119" s="225">
        <v>86</v>
      </c>
      <c r="H119" s="227" t="s">
        <v>642</v>
      </c>
      <c r="I119" s="226">
        <v>43074.733877314815</v>
      </c>
      <c r="J119" s="225">
        <v>0</v>
      </c>
      <c r="K119" s="237" t="str">
        <f>IF(ISEVEN(B119),(B119-1)&amp;"/"&amp;B119,B119&amp;"/"&amp;(B119+1))</f>
        <v>4005/4006</v>
      </c>
      <c r="L119" s="245" t="str">
        <f>VLOOKUP(A119,'Trips&amp;Operators'!$C$1:$G$99911,5,FALSE)</f>
        <v>LEVIN SCOTT</v>
      </c>
      <c r="M119" s="224">
        <f>I119-F119</f>
        <v>2.5347222224809229E-2</v>
      </c>
      <c r="N119" s="225">
        <f>24*60*SUM($M119:$M119)</f>
        <v>36.50000000372529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-05T15:55:34-0700',mode:absolute,to:'2017-12-05T18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4.58E-2</v>
      </c>
      <c r="Z119" s="247">
        <f>RIGHT(H119,LEN(H119)-4)/10000</f>
        <v>23.325900000000001</v>
      </c>
      <c r="AA119" s="247">
        <f>ABS(Z119-Y119)</f>
        <v>23.280100000000001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207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/stypes="app*4006*20171206*"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207-05 --locoid 4006 --swversion DE.1.0.9.0 --startMP 204:458 --initTime 2017-12-05T16:55:34 --startdatetime 2017-12-05T17:00:17 --delay 86 --endMP 204:233259 --enddatetime 2017-12-05T17:36:47 --enforcementcount 0 &gt;&gt;%USERPROFILE%\Documents\GitHub\eaglep3-reporting\EC\2017-12-05-refined-times.txt</v>
      </c>
      <c r="AI119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{"issue":{"subject":"","project_id":79,"tracker_id":40,"status_id":1,"priority_id":2,"assigned_to_id":338,"start_date":"2017-12-05","description":"","custom_fields":[{"id":1,"name":"Subdivision","value":"EC"},{"id":4,"name":"Milepost","value":"23.3259"},{"id":17,"name":"Train ID","value":"207-05"},{"id":16,"name":"Locomotive ID","value":"4006"},{"id":130,"name":"Impact","value":""},{"id":150,"name":"Time of Event (Mountain Time)","value":"17:36:47"},{"id":151,"name":"Denver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12"/>
        <v>start /low /b %USERPROFILE%\Documents\GitHub\eaglep3\Utilities\DownloadLogsFromS3.py --loco 4006 --day 2017-12-05</v>
      </c>
      <c r="AN119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2017-12-05T15:55:34-0700',mode:absolute,to:'2017-12-05T18:36:47-0700'))&amp;_a=(columns:!('Message%20ID',Summary),filters:!(),index:'emp_*',interval:auto,query:(query_string:(analyze_wildcard:!t,query:'%22rtdc.l.rtdc.4006%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861</v>
      </c>
      <c r="B120" s="225">
        <v>4005</v>
      </c>
      <c r="C120" s="227" t="s">
        <v>192</v>
      </c>
      <c r="D120" s="227" t="s">
        <v>978</v>
      </c>
      <c r="E120" s="226">
        <v>43074.737696759257</v>
      </c>
      <c r="F120" s="226">
        <v>43074.748078703706</v>
      </c>
      <c r="G120" s="225">
        <v>64</v>
      </c>
      <c r="H120" s="227" t="s">
        <v>505</v>
      </c>
      <c r="I120" s="226">
        <v>43074.774317129632</v>
      </c>
      <c r="J120" s="225">
        <v>0</v>
      </c>
      <c r="K120" s="237" t="str">
        <f>IF(ISEVEN(B120),(B120-1)&amp;"/"&amp;B120,B120&amp;"/"&amp;(B120+1))</f>
        <v>4005/4006</v>
      </c>
      <c r="L120" s="245" t="str">
        <f>VLOOKUP(A120,'Trips&amp;Operators'!$C$1:$G$99911,5,FALSE)</f>
        <v>LEVIN SCOTT</v>
      </c>
      <c r="M120" s="224">
        <f>I120-F120</f>
        <v>2.6238425925839692E-2</v>
      </c>
      <c r="N120" s="225">
        <f>24*60*SUM($M120:$M120)</f>
        <v>37.783333333209157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-05T16:42:17-0700',mode:absolute,to:'2017-12-05T19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23.296299999999999</v>
      </c>
      <c r="Z120" s="247">
        <f>RIGHT(H120,LEN(H120)-4)/10000</f>
        <v>1.78E-2</v>
      </c>
      <c r="AA120" s="247">
        <f>ABS(Z120-Y120)</f>
        <v>23.278499999999998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208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/stypes="app*4005*20171206*"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208-05 --locoid 4005 --swversion DE.1.0.9.0 --startMP 204:232963 --initTime 2017-12-05T17:42:17 --startdatetime 2017-12-05T17:57:14 --delay 64 --endMP 204:178 --enddatetime 2017-12-05T18:35:01 --enforcementcount 0 &gt;&gt;%USERPROFILE%\Documents\GitHub\eaglep3-reporting\EC\2017-12-05-refined-times.txt</v>
      </c>
      <c r="AI120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{"issue":{"subject":"","project_id":79,"tracker_id":40,"status_id":1,"priority_id":2,"assigned_to_id":338,"start_date":"2017-12-05","description":"","custom_fields":[{"id":1,"name":"Subdivision","value":"EC"},{"id":4,"name":"Milepost","value":"0.0178"},{"id":17,"name":"Train ID","value":"208-05"},{"id":16,"name":"Locomotive ID","value":"4005"},{"id":130,"name":"Impact","value":""},{"id":150,"name":"Time of Event (Mountain Time)","value":"18:35:01"},{"id":151,"name":"Denver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12"/>
        <v>start /low /b %USERPROFILE%\Documents\GitHub\eaglep3\Utilities\DownloadLogsFromS3.py --loco 4005 --day 2017-12-05</v>
      </c>
      <c r="AN120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2017-12-05T16:42:17-0700',mode:absolute,to:'2017-12-05T19:35:01-0700'))&amp;_a=(columns:!('Message%20ID',Summary),filters:!(),index:'emp_*',interval:auto,query:(query_string:(analyze_wildcard:!t,query:'%22rtdc.l.rtdc.4005%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855</v>
      </c>
      <c r="B121" s="225">
        <v>4044</v>
      </c>
      <c r="C121" s="227" t="s">
        <v>192</v>
      </c>
      <c r="D121" s="227" t="s">
        <v>633</v>
      </c>
      <c r="E121" s="226">
        <v>43074.715509259258</v>
      </c>
      <c r="F121" s="226">
        <v>43074.719004629631</v>
      </c>
      <c r="G121" s="225">
        <v>63</v>
      </c>
      <c r="H121" s="227" t="s">
        <v>540</v>
      </c>
      <c r="I121" s="226">
        <v>43074.744976851849</v>
      </c>
      <c r="J121" s="225">
        <v>0</v>
      </c>
      <c r="K121" s="237" t="str">
        <f>IF(ISEVEN(B121),(B121-1)&amp;"/"&amp;B121,B121&amp;"/"&amp;(B121+1))</f>
        <v>4043/4044</v>
      </c>
      <c r="L121" s="245" t="str">
        <f>VLOOKUP(A121,'Trips&amp;Operators'!$C$1:$G$99911,5,FALSE)</f>
        <v>NICHOLAS PLOYSA</v>
      </c>
      <c r="M121" s="224">
        <f>I121-F121</f>
        <v>2.5972222218115348E-2</v>
      </c>
      <c r="N121" s="225">
        <f>24*60*SUM($M121:$M121)</f>
        <v>37.399999994086102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-05T16:10:20-0700',mode:absolute,to:'2017-12-05T18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5.2200000000000003E-2</v>
      </c>
      <c r="Z121" s="247">
        <f>RIGHT(H121,LEN(H121)-4)/10000</f>
        <v>23.3232</v>
      </c>
      <c r="AA121" s="247">
        <f>ABS(Z121-Y121)</f>
        <v>23.271000000000001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209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/stypes="app*4044*20171206*"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209-05 --locoid 4044 --swversion DE.1.0.9.0 --startMP 204:522 --initTime 2017-12-05T17:10:20 --startdatetime 2017-12-05T17:15:22 --delay 63 --endMP 204:233232 --enddatetime 2017-12-05T17:52:46 --enforcementcount 0 &gt;&gt;%USERPROFILE%\Documents\GitHub\eaglep3-reporting\EC\2017-12-05-refined-times.txt</v>
      </c>
      <c r="AI121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{"issue":{"subject":"","project_id":79,"tracker_id":40,"status_id":1,"priority_id":2,"assigned_to_id":338,"start_date":"2017-12-05","description":"","custom_fields":[{"id":1,"name":"Subdivision","value":"EC"},{"id":4,"name":"Milepost","value":"23.3232"},{"id":17,"name":"Train ID","value":"209-05"},{"id":16,"name":"Locomotive ID","value":"4044"},{"id":130,"name":"Impact","value":""},{"id":150,"name":"Time of Event (Mountain Time)","value":"17:52:46"},{"id":151,"name":"Denver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12"/>
        <v>start /low /b %USERPROFILE%\Documents\GitHub\eaglep3\Utilities\DownloadLogsFromS3.py --loco 4044 --day 2017-12-05</v>
      </c>
      <c r="AN121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2017-12-05T16:10:20-0700',mode:absolute,to:'2017-12-05T18:52:46-0700'))&amp;_a=(columns:!('Message%20ID',Summary),filters:!(),index:'emp_*',interval:auto,query:(query_string:(analyze_wildcard:!t,query:'%22rtdc.l.rtdc.4044%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9" t="s">
        <v>864</v>
      </c>
      <c r="B122" s="225">
        <v>4043</v>
      </c>
      <c r="C122" s="227" t="s">
        <v>192</v>
      </c>
      <c r="D122" s="227" t="s">
        <v>961</v>
      </c>
      <c r="E122" s="226">
        <v>43074.75236111111</v>
      </c>
      <c r="F122" s="226">
        <v>43074.758657407408</v>
      </c>
      <c r="G122" s="225">
        <v>61</v>
      </c>
      <c r="H122" s="227" t="s">
        <v>638</v>
      </c>
      <c r="I122" s="226">
        <v>43074.785358796296</v>
      </c>
      <c r="J122" s="225">
        <v>0</v>
      </c>
      <c r="K122" s="237" t="str">
        <f>IF(ISEVEN(B122),(B122-1)&amp;"/"&amp;B122,B122&amp;"/"&amp;(B122+1))</f>
        <v>4043/4044</v>
      </c>
      <c r="L122" s="245" t="str">
        <f>VLOOKUP(A122,'Trips&amp;Operators'!$C$1:$G$99911,5,FALSE)</f>
        <v>NICHOLAS PLOYSA</v>
      </c>
      <c r="M122" s="224">
        <f>I122-F122</f>
        <v>2.6701388887886424E-2</v>
      </c>
      <c r="N122" s="225">
        <f>24*60*SUM($M122:$M122)</f>
        <v>38.44999999855645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-05T17:03:24-0700',mode:absolute,to:'2017-12-05T19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23.291699999999999</v>
      </c>
      <c r="Z122" s="247">
        <f>RIGHT(H122,LEN(H122)-4)/10000</f>
        <v>2.4899999999999999E-2</v>
      </c>
      <c r="AA122" s="247">
        <f>ABS(Z122-Y122)</f>
        <v>23.2668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210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/stypes="app*4043*20171206*"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210-05 --locoid 4043 --swversion DE.1.0.9.0 --startMP 204:232917 --initTime 2017-12-05T18:03:24 --startdatetime 2017-12-05T18:12:28 --delay 61 --endMP 204:249 --enddatetime 2017-12-05T18:50:55 --enforcementcount 0 &gt;&gt;%USERPROFILE%\Documents\GitHub\eaglep3-reporting\EC\2017-12-05-refined-times.txt</v>
      </c>
      <c r="AI122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{"issue":{"subject":"","project_id":79,"tracker_id":40,"status_id":1,"priority_id":2,"assigned_to_id":338,"start_date":"2017-12-05","description":"","custom_fields":[{"id":1,"name":"Subdivision","value":"EC"},{"id":4,"name":"Milepost","value":"0.0249"},{"id":17,"name":"Train ID","value":"210-05"},{"id":16,"name":"Locomotive ID","value":"4043"},{"id":130,"name":"Impact","value":""},{"id":150,"name":"Time of Event (Mountain Time)","value":"18:50:55"},{"id":151,"name":"Denver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2"/>
        <v>start /low /b %USERPROFILE%\Documents\GitHub\eaglep3\Utilities\DownloadLogsFromS3.py --loco 4043 --day 2017-12-05</v>
      </c>
      <c r="AN122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2017-12-05T17:03:24-0700',mode:absolute,to:'2017-12-05T19:50:55-0700'))&amp;_a=(columns:!('Message%20ID',Summary),filters:!(),index:'emp_*',interval:auto,query:(query_string:(analyze_wildcard:!t,query:'%22rtdc.l.rtdc.4043%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857</v>
      </c>
      <c r="B123" s="225">
        <v>4014</v>
      </c>
      <c r="C123" s="227" t="s">
        <v>192</v>
      </c>
      <c r="D123" s="227" t="s">
        <v>415</v>
      </c>
      <c r="E123" s="226">
        <v>43074.725347222222</v>
      </c>
      <c r="F123" s="226">
        <v>43074.729675925926</v>
      </c>
      <c r="G123" s="225">
        <v>61</v>
      </c>
      <c r="H123" s="227" t="s">
        <v>974</v>
      </c>
      <c r="I123" s="226">
        <v>43074.755462962959</v>
      </c>
      <c r="J123" s="225">
        <v>0</v>
      </c>
      <c r="K123" s="237" t="str">
        <f>IF(ISEVEN(B123),(B123-1)&amp;"/"&amp;B123,B123&amp;"/"&amp;(B123+1))</f>
        <v>4013/4014</v>
      </c>
      <c r="L123" s="245" t="str">
        <f>VLOOKUP(A123,'Trips&amp;Operators'!$C$1:$G$99911,5,FALSE)</f>
        <v>SAFIEF AEIMEN</v>
      </c>
      <c r="M123" s="224">
        <f>I123-F123</f>
        <v>2.5787037033296656E-2</v>
      </c>
      <c r="N123" s="225">
        <f>24*60*SUM($M123:$M123)</f>
        <v>37.133333327947184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-05T16:24:30-0700',mode:absolute,to:'2017-12-05T19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5.0799999999999998E-2</v>
      </c>
      <c r="Z123" s="247">
        <f>RIGHT(H123,LEN(H123)-4)/10000</f>
        <v>23.323599999999999</v>
      </c>
      <c r="AA123" s="247">
        <f>ABS(Z123-Y123)</f>
        <v>23.2728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211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/stypes="app*4014*20171206*"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0"/>
        <v>"%USERPROFILE%\Documents\GitHub\eaglep3\Utilities\RefineRTDCRunTimes.py" --tripid 211-05 --locoid 4014 --swversion DE.1.0.9.0 --startMP 204:508 --initTime 2017-12-05T17:24:30 --startdatetime 2017-12-05T17:30:44 --delay 61 --endMP 204:233236 --enddatetime 2017-12-05T18:07:52 --enforcementcount 0 &gt;&gt;%USERPROFILE%\Documents\GitHub\eaglep3-reporting\EC\2017-12-05-refined-times.txt</v>
      </c>
      <c r="AI123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{"issue":{"subject":"","project_id":79,"tracker_id":40,"status_id":1,"priority_id":2,"assigned_to_id":338,"start_date":"2017-12-05","description":"","custom_fields":[{"id":1,"name":"Subdivision","value":"EC"},{"id":4,"name":"Milepost","value":"23.3236"},{"id":17,"name":"Train ID","value":"211-05"},{"id":16,"name":"Locomotive ID","value":"4014"},{"id":130,"name":"Impact","value":""},{"id":150,"name":"Time of Event (Mountain Time)","value":"18:07:52"},{"id":151,"name":"Denver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2"/>
        <v>start /low /b %USERPROFILE%\Documents\GitHub\eaglep3\Utilities\DownloadLogsFromS3.py --loco 4014 --day 2017-12-05</v>
      </c>
      <c r="AN123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4"/>
        <v>https://d0f6bd738d7f1b3e5a7ca70fe4ff75f0.us-east-1.aws.found.io/app/kibana#/discover/Steve-Slow-Train-Analysis-(2080s-and-2083s)?_g=(refreshInterval:(display:Off,pause:!f,section:0,value:0),time:(from:'2017-12-05T16:24:30-0700',mode:absolute,to:'2017-12-05T19:07:52-0700'))&amp;_a=(columns:!('Message%20ID',Summary),filters:!(),index:'emp_*',interval:auto,query:(query_string:(analyze_wildcard:!t,query:'%22rtdc.l.rtdc.4014%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869</v>
      </c>
      <c r="B124" s="225">
        <v>4013</v>
      </c>
      <c r="C124" s="227" t="s">
        <v>192</v>
      </c>
      <c r="D124" s="227" t="s">
        <v>515</v>
      </c>
      <c r="E124" s="226">
        <v>43074.758935185186</v>
      </c>
      <c r="F124" s="226">
        <v>43074.768958333334</v>
      </c>
      <c r="G124" s="225">
        <v>87</v>
      </c>
      <c r="H124" s="227" t="s">
        <v>406</v>
      </c>
      <c r="I124" s="226">
        <v>43074.794305555559</v>
      </c>
      <c r="J124" s="225">
        <v>0</v>
      </c>
      <c r="K124" s="237" t="str">
        <f>IF(ISEVEN(B124),(B124-1)&amp;"/"&amp;B124,B124&amp;"/"&amp;(B124+1))</f>
        <v>4013/4014</v>
      </c>
      <c r="L124" s="245" t="str">
        <f>VLOOKUP(A124,'Trips&amp;Operators'!$C$1:$G$99911,5,FALSE)</f>
        <v>SAFIEF AEIMEN</v>
      </c>
      <c r="M124" s="224">
        <f>I124-F124</f>
        <v>2.5347222224809229E-2</v>
      </c>
      <c r="N124" s="225">
        <f>24*60*SUM($M124:$M124)</f>
        <v>36.50000000372529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-05T17:12:52-0700',mode:absolute,to:'2017-12-05T20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23.292300000000001</v>
      </c>
      <c r="Z124" s="247">
        <f>RIGHT(H124,LEN(H124)-4)/10000</f>
        <v>2.07E-2</v>
      </c>
      <c r="AA124" s="247">
        <f>ABS(Z124-Y124)</f>
        <v>23.271599999999999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212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/stypes="app*4013*20171206*" /stext=" 02:.+((SYSTEM_STATE.+slice.+state.+changed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212-05 --locoid 4013 --swversion DE.1.0.9.0 --startMP 204:232923 --initTime 2017-12-05T18:12:52 --startdatetime 2017-12-05T18:27:18 --delay 87 --endMP 204:207 --enddatetime 2017-12-05T19:03:48 --enforcementcount 0 &gt;&gt;%USERPROFILE%\Documents\GitHub\eaglep3-reporting\EC\2017-12-05-refined-times.txt</v>
      </c>
      <c r="AI124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{"issue":{"subject":"","project_id":79,"tracker_id":40,"status_id":1,"priority_id":2,"assigned_to_id":338,"start_date":"2017-12-05","description":"","custom_fields":[{"id":1,"name":"Subdivision","value":"EC"},{"id":4,"name":"Milepost","value":"0.0207"},{"id":17,"name":"Train ID","value":"212-05"},{"id":16,"name":"Locomotive ID","value":"4013"},{"id":130,"name":"Impact","value":""},{"id":150,"name":"Time of Event (Mountain Time)","value":"19:03:48"},{"id":151,"name":"Denver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2"/>
        <v>start /low /b %USERPROFILE%\Documents\GitHub\eaglep3\Utilities\DownloadLogsFromS3.py --loco 4013 --day 2017-12-05</v>
      </c>
      <c r="AN124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2017-12-05T17:12:52-0700',mode:absolute,to:'2017-12-05T20:03:48-0700'))&amp;_a=(columns:!('Message%20ID',Summary),filters:!(),index:'emp_*',interval:auto,query:(query_string:(analyze_wildcard:!t,query:'%22rtdc.l.rtdc.4013%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29" t="s">
        <v>860</v>
      </c>
      <c r="B125" s="225">
        <v>4054</v>
      </c>
      <c r="C125" s="227" t="s">
        <v>192</v>
      </c>
      <c r="D125" s="227" t="s">
        <v>533</v>
      </c>
      <c r="E125" s="226">
        <v>43074.737071759257</v>
      </c>
      <c r="F125" s="226">
        <v>43074.73982638889</v>
      </c>
      <c r="G125" s="225">
        <v>74</v>
      </c>
      <c r="H125" s="227" t="s">
        <v>642</v>
      </c>
      <c r="I125" s="226">
        <v>43074.764594907407</v>
      </c>
      <c r="J125" s="225">
        <v>0</v>
      </c>
      <c r="K125" s="237" t="str">
        <f>IF(ISEVEN(B125),(B125-1)&amp;"/"&amp;B125,B125&amp;"/"&amp;(B125+1))</f>
        <v>4053/4054</v>
      </c>
      <c r="L125" s="245" t="str">
        <f>VLOOKUP(A125,'Trips&amp;Operators'!$C$1:$G$99911,5,FALSE)</f>
        <v>LORI SANTOS</v>
      </c>
      <c r="M125" s="224">
        <f>I125-F125</f>
        <v>2.4768518516793847E-2</v>
      </c>
      <c r="N125" s="225">
        <f>24*60*SUM($M125:$M125)</f>
        <v>35.66666666418314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-05T16:41:23-0700',mode:absolute,to:'2017-12-05T19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5.2600000000000001E-2</v>
      </c>
      <c r="Z125" s="247">
        <f>RIGHT(H125,LEN(H125)-4)/10000</f>
        <v>23.325900000000001</v>
      </c>
      <c r="AA125" s="247">
        <f>ABS(Z125-Y125)</f>
        <v>23.273299999999999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213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/stypes="app*4054*20171206*"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213-05 --locoid 4054 --swversion DE.1.0.9.0 --startMP 204:526 --initTime 2017-12-05T17:41:23 --startdatetime 2017-12-05T17:45:21 --delay 74 --endMP 204:233259 --enddatetime 2017-12-05T18:21:01 --enforcementcount 0 &gt;&gt;%USERPROFILE%\Documents\GitHub\eaglep3-reporting\EC\2017-12-05-refined-times.txt</v>
      </c>
      <c r="AI125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{"issue":{"subject":"","project_id":79,"tracker_id":40,"status_id":1,"priority_id":2,"assigned_to_id":338,"start_date":"2017-12-05","description":"","custom_fields":[{"id":1,"name":"Subdivision","value":"EC"},{"id":4,"name":"Milepost","value":"23.3259"},{"id":17,"name":"Train ID","value":"213-05"},{"id":16,"name":"Locomotive ID","value":"4054"},{"id":130,"name":"Impact","value":""},{"id":150,"name":"Time of Event (Mountain Time)","value":"18:21:01"},{"id":151,"name":"Denver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12"/>
        <v>start /low /b %USERPROFILE%\Documents\GitHub\eaglep3\Utilities\DownloadLogsFromS3.py --loco 4054 --day 2017-12-05</v>
      </c>
      <c r="AN125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2017-12-05T16:41:23-0700',mode:absolute,to:'2017-12-05T19:21:01-0700'))&amp;_a=(columns:!('Message%20ID',Summary),filters:!(),index:'emp_*',interval:auto,query:(query_string:(analyze_wildcard:!t,query:'%22rtdc.l.rtdc.4054%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874</v>
      </c>
      <c r="B126" s="225">
        <v>4053</v>
      </c>
      <c r="C126" s="227" t="s">
        <v>192</v>
      </c>
      <c r="D126" s="227" t="s">
        <v>972</v>
      </c>
      <c r="E126" s="226">
        <v>43074.776435185187</v>
      </c>
      <c r="F126" s="226">
        <v>43074.779398148145</v>
      </c>
      <c r="G126" s="225">
        <v>149</v>
      </c>
      <c r="H126" s="227" t="s">
        <v>979</v>
      </c>
      <c r="I126" s="226">
        <v>43074.805254629631</v>
      </c>
      <c r="J126" s="225">
        <v>0</v>
      </c>
      <c r="K126" s="237" t="str">
        <f>IF(ISEVEN(B126),(B126-1)&amp;"/"&amp;B126,B126&amp;"/"&amp;(B126+1))</f>
        <v>4053/4054</v>
      </c>
      <c r="L126" s="245" t="str">
        <f>VLOOKUP(A126,'Trips&amp;Operators'!$C$1:$G$99911,5,FALSE)</f>
        <v>LOZA FIDEL</v>
      </c>
      <c r="M126" s="224">
        <f>I126-F126</f>
        <v>2.5856481486698613E-2</v>
      </c>
      <c r="N126" s="225">
        <f>24*60*SUM($M126:$M126)</f>
        <v>37.233333340846002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-05T17:38:04-0700',mode:absolute,to:'2017-12-05T20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23.293800000000001</v>
      </c>
      <c r="Z126" s="247">
        <f>RIGHT(H126,LEN(H126)-4)/10000</f>
        <v>2.4299999999999999E-2</v>
      </c>
      <c r="AA126" s="247">
        <f>ABS(Z126-Y126)</f>
        <v>23.269500000000001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214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/stypes="app*4053*20171206*"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214-05 --locoid 4053 --swversion DE.1.0.9.0 --startMP 204:232938 --initTime 2017-12-05T18:38:04 --startdatetime 2017-12-05T18:42:20 --delay 149 --endMP 204:243 --enddatetime 2017-12-05T19:19:34 --enforcementcount 0 &gt;&gt;%USERPROFILE%\Documents\GitHub\eaglep3-reporting\EC\2017-12-05-refined-times.txt</v>
      </c>
      <c r="AI126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{"issue":{"subject":"","project_id":79,"tracker_id":40,"status_id":1,"priority_id":2,"assigned_to_id":338,"start_date":"2017-12-05","description":"","custom_fields":[{"id":1,"name":"Subdivision","value":"EC"},{"id":4,"name":"Milepost","value":"0.0243"},{"id":17,"name":"Train ID","value":"214-05"},{"id":16,"name":"Locomotive ID","value":"4053"},{"id":130,"name":"Impact","value":""},{"id":150,"name":"Time of Event (Mountain Time)","value":"19:19:34"},{"id":151,"name":"Denver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2"/>
        <v>start /low /b %USERPROFILE%\Documents\GitHub\eaglep3\Utilities\DownloadLogsFromS3.py --loco 4053 --day 2017-12-05</v>
      </c>
      <c r="AN126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2017-12-05T17:38:04-0700',mode:absolute,to:'2017-12-05T20:19:34-0700'))&amp;_a=(columns:!('Message%20ID',Summary),filters:!(),index:'emp_*',interval:auto,query:(query_string:(analyze_wildcard:!t,query:'%22rtdc.l.rtdc.4053%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862</v>
      </c>
      <c r="B127" s="225">
        <v>4036</v>
      </c>
      <c r="C127" s="227" t="s">
        <v>192</v>
      </c>
      <c r="D127" s="227" t="s">
        <v>980</v>
      </c>
      <c r="E127" s="226">
        <v>43074.744502314818</v>
      </c>
      <c r="F127" s="226">
        <v>43074.750231481485</v>
      </c>
      <c r="G127" s="225">
        <v>62</v>
      </c>
      <c r="H127" s="227" t="s">
        <v>981</v>
      </c>
      <c r="I127" s="226">
        <v>43074.775324074071</v>
      </c>
      <c r="J127" s="225">
        <v>0</v>
      </c>
      <c r="K127" s="237" t="str">
        <f>IF(ISEVEN(B127),(B127-1)&amp;"/"&amp;B127,B127&amp;"/"&amp;(B127+1))</f>
        <v>4035/4036</v>
      </c>
      <c r="L127" s="245" t="str">
        <f>VLOOKUP(A127,'Trips&amp;Operators'!$C$1:$G$99911,5,FALSE)</f>
        <v>SMITH MICHAEL</v>
      </c>
      <c r="M127" s="224">
        <f>I127-F127</f>
        <v>2.509259258658858E-2</v>
      </c>
      <c r="N127" s="225">
        <f>24*60*SUM($M127:$M127)</f>
        <v>36.133333324687555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-05T16:52:05-0700',mode:absolute,to:'2017-12-05T19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0.05</v>
      </c>
      <c r="Z127" s="247">
        <f>RIGHT(H127,LEN(H127)-4)/10000</f>
        <v>23.317399999999999</v>
      </c>
      <c r="AA127" s="247">
        <f>ABS(Z127-Y127)</f>
        <v>23.267399999999999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215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s3://rtdc.mdm.uploadarchive.raw/RTDC4036/ "%USERPROFILE%\AppData\Local\Temp\OnboardLogs"\RTDC4036\2017-12-05 --exclude "*" --recursive --include "*20171205*" &amp; "%USERPROFILE%\Documents\GitHub\mrs-test-scripts\Headless Mode &amp; Sideloading\WalkAndUnGZ.bat" "%USERPROFILE%\AppData\Local\Temp\OnboardLogs"\RTDC4036\2017-12-05 &amp; aws s3 cp s3://rtdc.mdm.uploadarchive.raw/RTDC4036/ "%USERPROFILE%\AppData\Local\Temp\OnboardLogs"\RTDC4036\2017-12-06 --exclude "*" --recursive --include "*20171206*" &amp; "%USERPROFILE%\Documents\GitHub\mrs-test-scripts\Headless Mode &amp; Sideloading\WalkAndUnGZ.bat" "%USERPROFILE%\AppData\Local\Temp\OnboardLogs"\RTDC4036\2017-12-06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/stypes="app*4036*20171206*"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215-05 --locoid 4036 --swversion DE.1.0.9.0 --startMP 204:500 --initTime 2017-12-05T17:52:05 --startdatetime 2017-12-05T18:00:20 --delay 62 --endMP 204:233174 --enddatetime 2017-12-05T18:36:28 --enforcementcount 0 &gt;&gt;%USERPROFILE%\Documents\GitHub\eaglep3-reporting\EC\2017-12-05-refined-times.txt</v>
      </c>
      <c r="AI127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{"issue":{"subject":"","project_id":79,"tracker_id":40,"status_id":1,"priority_id":2,"assigned_to_id":338,"start_date":"2017-12-05","description":"","custom_fields":[{"id":1,"name":"Subdivision","value":"EC"},{"id":4,"name":"Milepost","value":"23.3174"},{"id":17,"name":"Train ID","value":"215-05"},{"id":16,"name":"Locomotive ID","value":"4036"},{"id":130,"name":"Impact","value":""},{"id":150,"name":"Time of Event (Mountain Time)","value":"18:36:28"},{"id":151,"name":"Denver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12"/>
        <v>start /low /b %USERPROFILE%\Documents\GitHub\eaglep3\Utilities\DownloadLogsFromS3.py --loco 4036 --day 2017-12-05</v>
      </c>
      <c r="AN127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2017-12-05T16:52:05-0700',mode:absolute,to:'2017-12-05T19:36:28-0700'))&amp;_a=(columns:!('Message%20ID',Summary),filters:!(),index:'emp_*',interval:auto,query:(query_string:(analyze_wildcard:!t,query:'%22rtdc.l.rtdc.4036%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875</v>
      </c>
      <c r="B128" s="225">
        <v>4035</v>
      </c>
      <c r="C128" s="227" t="s">
        <v>192</v>
      </c>
      <c r="D128" s="227" t="s">
        <v>963</v>
      </c>
      <c r="E128" s="226">
        <v>43074.780648148146</v>
      </c>
      <c r="F128" s="226">
        <v>43074.789837962962</v>
      </c>
      <c r="G128" s="225">
        <v>72</v>
      </c>
      <c r="H128" s="227" t="s">
        <v>627</v>
      </c>
      <c r="I128" s="226">
        <v>43074.815578703703</v>
      </c>
      <c r="J128" s="225">
        <v>0</v>
      </c>
      <c r="K128" s="237" t="str">
        <f>IF(ISEVEN(B128),(B128-1)&amp;"/"&amp;B128,B128&amp;"/"&amp;(B128+1))</f>
        <v>4035/4036</v>
      </c>
      <c r="L128" s="245" t="str">
        <f>VLOOKUP(A128,'Trips&amp;Operators'!$C$1:$G$99911,5,FALSE)</f>
        <v>SMITH MICHAEL</v>
      </c>
      <c r="M128" s="224">
        <f>I128-F128</f>
        <v>2.5740740740729962E-2</v>
      </c>
      <c r="N128" s="225">
        <f>24*60*SUM($M128:$M128)</f>
        <v>37.066666666651145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-05T17:44:08-0700',mode:absolute,to:'2017-12-05T20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23.289000000000001</v>
      </c>
      <c r="Z128" s="247">
        <f>RIGHT(H128,LEN(H128)-4)/10000</f>
        <v>2.3800000000000002E-2</v>
      </c>
      <c r="AA128" s="247">
        <f>ABS(Z128-Y128)</f>
        <v>23.2652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216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/stypes="app*4035*20171206*"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216-05 --locoid 4035 --swversion DE.1.0.9.0 --startMP 204:232890 --initTime 2017-12-05T18:44:08 --startdatetime 2017-12-05T18:57:22 --delay 72 --endMP 204:238 --enddatetime 2017-12-05T19:34:26 --enforcementcount 0 &gt;&gt;%USERPROFILE%\Documents\GitHub\eaglep3-reporting\EC\2017-12-05-refined-times.txt</v>
      </c>
      <c r="AI128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{"issue":{"subject":"","project_id":79,"tracker_id":40,"status_id":1,"priority_id":2,"assigned_to_id":338,"start_date":"2017-12-05","description":"","custom_fields":[{"id":1,"name":"Subdivision","value":"EC"},{"id":4,"name":"Milepost","value":"0.0238"},{"id":17,"name":"Train ID","value":"216-05"},{"id":16,"name":"Locomotive ID","value":"4035"},{"id":130,"name":"Impact","value":""},{"id":150,"name":"Time of Event (Mountain Time)","value":"19:34:26"},{"id":151,"name":"Denver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2"/>
        <v>start /low /b %USERPROFILE%\Documents\GitHub\eaglep3\Utilities\DownloadLogsFromS3.py --loco 4035 --day 2017-12-05</v>
      </c>
      <c r="AN128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2017-12-05T17:44:08-0700',mode:absolute,to:'2017-12-05T20:34:26-0700'))&amp;_a=(columns:!('Message%20ID',Summary),filters:!(),index:'emp_*',interval:auto,query:(query_string:(analyze_wildcard:!t,query:'%22rtdc.l.rtdc.4035%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866</v>
      </c>
      <c r="B129" s="225">
        <v>4060</v>
      </c>
      <c r="C129" s="227" t="s">
        <v>192</v>
      </c>
      <c r="D129" s="227" t="s">
        <v>563</v>
      </c>
      <c r="E129" s="226">
        <v>43074.755648148152</v>
      </c>
      <c r="F129" s="226">
        <v>43074.760844907411</v>
      </c>
      <c r="G129" s="225">
        <v>99</v>
      </c>
      <c r="H129" s="227" t="s">
        <v>532</v>
      </c>
      <c r="I129" s="226">
        <v>43074.785115740742</v>
      </c>
      <c r="J129" s="225">
        <v>0</v>
      </c>
      <c r="K129" s="237" t="str">
        <f>IF(ISEVEN(B129),(B129-1)&amp;"/"&amp;B129,B129&amp;"/"&amp;(B129+1))</f>
        <v>4059/4060</v>
      </c>
      <c r="L129" s="245" t="str">
        <f>VLOOKUP(A129,'Trips&amp;Operators'!$C$1:$G$99911,5,FALSE)</f>
        <v>WEST BRYAN</v>
      </c>
      <c r="M129" s="224">
        <f>I129-F129</f>
        <v>2.4270833331684116E-2</v>
      </c>
      <c r="N129" s="225">
        <f>24*60*SUM($M129:$M129)</f>
        <v>34.949999997625127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-05T17:08:08-0700',mode:absolute,to:'2017-12-05T19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5.4800000000000001E-2</v>
      </c>
      <c r="Z129" s="247">
        <f>RIGHT(H129,LEN(H129)-4)/10000</f>
        <v>23.3291</v>
      </c>
      <c r="AA129" s="247">
        <f>ABS(Z129-Y129)</f>
        <v>23.2743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217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/stypes="app*4060*20171206*"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217-05 --locoid 4060 --swversion DE.1.0.9.0 --startMP 204:548 --initTime 2017-12-05T18:08:08 --startdatetime 2017-12-05T18:15:37 --delay 99 --endMP 204:233291 --enddatetime 2017-12-05T18:50:34 --enforcementcount 0 &gt;&gt;%USERPROFILE%\Documents\GitHub\eaglep3-reporting\EC\2017-12-05-refined-times.txt</v>
      </c>
      <c r="AI129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{"issue":{"subject":"","project_id":79,"tracker_id":40,"status_id":1,"priority_id":2,"assigned_to_id":338,"start_date":"2017-12-05","description":"","custom_fields":[{"id":1,"name":"Subdivision","value":"EC"},{"id":4,"name":"Milepost","value":"23.3291"},{"id":17,"name":"Train ID","value":"217-05"},{"id":16,"name":"Locomotive ID","value":"4060"},{"id":130,"name":"Impact","value":""},{"id":150,"name":"Time of Event (Mountain Time)","value":"18:50:34"},{"id":151,"name":"Denver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2"/>
        <v>start /low /b %USERPROFILE%\Documents\GitHub\eaglep3\Utilities\DownloadLogsFromS3.py --loco 4060 --day 2017-12-05</v>
      </c>
      <c r="AN129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2017-12-05T17:08:08-0700',mode:absolute,to:'2017-12-05T19:50:34-0700'))&amp;_a=(columns:!('Message%20ID',Summary),filters:!(),index:'emp_*',interval:auto,query:(query_string:(analyze_wildcard:!t,query:'%22rtdc.l.rtdc.4060%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877</v>
      </c>
      <c r="B130" s="225">
        <v>4059</v>
      </c>
      <c r="C130" s="227" t="s">
        <v>192</v>
      </c>
      <c r="D130" s="227" t="s">
        <v>616</v>
      </c>
      <c r="E130" s="226">
        <v>43074.790081018517</v>
      </c>
      <c r="F130" s="226">
        <v>43074.800497685188</v>
      </c>
      <c r="G130" s="225">
        <v>85</v>
      </c>
      <c r="H130" s="227" t="s">
        <v>982</v>
      </c>
      <c r="I130" s="226">
        <v>43074.825995370367</v>
      </c>
      <c r="J130" s="225">
        <v>0</v>
      </c>
      <c r="K130" s="237" t="str">
        <f>IF(ISEVEN(B130),(B130-1)&amp;"/"&amp;B130,B130&amp;"/"&amp;(B130+1))</f>
        <v>4059/4060</v>
      </c>
      <c r="L130" s="245" t="str">
        <f>VLOOKUP(A130,'Trips&amp;Operators'!$C$1:$G$99911,5,FALSE)</f>
        <v>WEST BRYAN</v>
      </c>
      <c r="M130" s="224">
        <f>I130-F130</f>
        <v>2.5497685179288965E-2</v>
      </c>
      <c r="N130" s="225">
        <f>24*60*SUM($M130:$M130)</f>
        <v>36.716666658176109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-05T17:57:43-0700',mode:absolute,to:'2017-12-05T20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23.2974</v>
      </c>
      <c r="Z130" s="247">
        <f>RIGHT(H130,LEN(H130)-4)/10000</f>
        <v>2.76E-2</v>
      </c>
      <c r="AA130" s="247">
        <f>ABS(Z130-Y130)</f>
        <v>23.2698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218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/stypes="app*4059*20171206*"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218-05 --locoid 4059 --swversion DE.1.0.9.0 --startMP 204:232974 --initTime 2017-12-05T18:57:43 --startdatetime 2017-12-05T19:12:43 --delay 85 --endMP 204:276 --enddatetime 2017-12-05T19:49:26 --enforcementcount 0 &gt;&gt;%USERPROFILE%\Documents\GitHub\eaglep3-reporting\EC\2017-12-05-refined-times.txt</v>
      </c>
      <c r="AI130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{"issue":{"subject":"","project_id":79,"tracker_id":40,"status_id":1,"priority_id":2,"assigned_to_id":338,"start_date":"2017-12-05","description":"","custom_fields":[{"id":1,"name":"Subdivision","value":"EC"},{"id":4,"name":"Milepost","value":"0.0276"},{"id":17,"name":"Train ID","value":"218-05"},{"id":16,"name":"Locomotive ID","value":"4059"},{"id":130,"name":"Impact","value":""},{"id":150,"name":"Time of Event (Mountain Time)","value":"19:49:26"},{"id":151,"name":"Denver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12"/>
        <v>start /low /b %USERPROFILE%\Documents\GitHub\eaglep3\Utilities\DownloadLogsFromS3.py --loco 4059 --day 2017-12-05</v>
      </c>
      <c r="AN130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2017-12-05T17:57:43-0700',mode:absolute,to:'2017-12-05T20:49:26-0700'))&amp;_a=(columns:!('Message%20ID',Summary),filters:!(),index:'emp_*',interval:auto,query:(query_string:(analyze_wildcard:!t,query:'%22rtdc.l.rtdc.4059%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25">
      <c r="A131" s="229" t="s">
        <v>870</v>
      </c>
      <c r="B131" s="225">
        <v>4056</v>
      </c>
      <c r="C131" s="227" t="s">
        <v>192</v>
      </c>
      <c r="D131" s="227" t="s">
        <v>461</v>
      </c>
      <c r="E131" s="226">
        <v>43074.767627314817</v>
      </c>
      <c r="F131" s="226">
        <v>43074.771053240744</v>
      </c>
      <c r="G131" s="225">
        <v>75</v>
      </c>
      <c r="H131" s="227" t="s">
        <v>561</v>
      </c>
      <c r="I131" s="226">
        <v>43074.796979166669</v>
      </c>
      <c r="J131" s="225">
        <v>0</v>
      </c>
      <c r="K131" s="237" t="str">
        <f>IF(ISEVEN(B131),(B131-1)&amp;"/"&amp;B131,B131&amp;"/"&amp;(B131+1))</f>
        <v>4055/4056</v>
      </c>
      <c r="L131" s="245" t="str">
        <f>VLOOKUP(A131,'Trips&amp;Operators'!$C$1:$G$99911,5,FALSE)</f>
        <v>ANDERS STEVEN</v>
      </c>
      <c r="M131" s="224">
        <f>I131-F131</f>
        <v>2.5925925925548654E-2</v>
      </c>
      <c r="N131" s="225">
        <f>24*60*SUM($M131:$M131)</f>
        <v>37.333333332790062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-05T17:25:23-0700',mode:absolute,to:'2017-12-05T20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5.1999999999999998E-2</v>
      </c>
      <c r="Z131" s="247">
        <f>RIGHT(H131,LEN(H131)-4)/10000</f>
        <v>23.3276</v>
      </c>
      <c r="AA131" s="247">
        <f>ABS(Z131-Y131)</f>
        <v>23.275600000000001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219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/stypes="app*4056*20171206*"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219-05 --locoid 4056 --swversion DE.1.0.9.0 --startMP 204:520 --initTime 2017-12-05T18:25:23 --startdatetime 2017-12-05T18:30:19 --delay 75 --endMP 204:233276 --enddatetime 2017-12-05T19:07:39 --enforcementcount 0 &gt;&gt;%USERPROFILE%\Documents\GitHub\eaglep3-reporting\EC\2017-12-05-refined-times.txt</v>
      </c>
      <c r="AI131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{"issue":{"subject":"","project_id":79,"tracker_id":40,"status_id":1,"priority_id":2,"assigned_to_id":338,"start_date":"2017-12-05","description":"","custom_fields":[{"id":1,"name":"Subdivision","value":"EC"},{"id":4,"name":"Milepost","value":"23.3276"},{"id":17,"name":"Train ID","value":"219-05"},{"id":16,"name":"Locomotive ID","value":"4056"},{"id":130,"name":"Impact","value":""},{"id":150,"name":"Time of Event (Mountain Time)","value":"19:07:39"},{"id":151,"name":"Denver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12"/>
        <v>start /low /b %USERPROFILE%\Documents\GitHub\eaglep3\Utilities\DownloadLogsFromS3.py --loco 4056 --day 2017-12-05</v>
      </c>
      <c r="AN131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2017-12-05T17:25:23-0700',mode:absolute,to:'2017-12-05T20:07:39-0700'))&amp;_a=(columns:!('Message%20ID',Summary),filters:!(),index:'emp_*',interval:auto,query:(query_string:(analyze_wildcard:!t,query:'%22rtdc.l.rtdc.4056%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880</v>
      </c>
      <c r="B132" s="225">
        <v>4055</v>
      </c>
      <c r="C132" s="227" t="s">
        <v>192</v>
      </c>
      <c r="D132" s="227" t="s">
        <v>617</v>
      </c>
      <c r="E132" s="226">
        <v>43074.798634259256</v>
      </c>
      <c r="F132" s="226">
        <v>43074.810636574075</v>
      </c>
      <c r="G132" s="225">
        <v>64</v>
      </c>
      <c r="H132" s="227" t="s">
        <v>962</v>
      </c>
      <c r="I132" s="226">
        <v>43074.836643518516</v>
      </c>
      <c r="J132" s="225">
        <v>0</v>
      </c>
      <c r="K132" s="237" t="str">
        <f>IF(ISEVEN(B132),(B132-1)&amp;"/"&amp;B132,B132&amp;"/"&amp;(B132+1))</f>
        <v>4055/4056</v>
      </c>
      <c r="L132" s="245" t="str">
        <f>VLOOKUP(A132,'Trips&amp;Operators'!$C$1:$G$99911,5,FALSE)</f>
        <v>ANDERS STEVEN</v>
      </c>
      <c r="M132" s="224">
        <f>I132-F132</f>
        <v>2.6006944441178348E-2</v>
      </c>
      <c r="N132" s="225">
        <f>24*60*SUM($M132:$M132)</f>
        <v>37.449999995296821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-05T18:10:02-0700',mode:absolute,to:'2017-12-05T21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23.295000000000002</v>
      </c>
      <c r="Z132" s="247">
        <f>RIGHT(H132,LEN(H132)-4)/10000</f>
        <v>2.2100000000000002E-2</v>
      </c>
      <c r="AA132" s="247">
        <f>ABS(Z132-Y132)</f>
        <v>23.272900000000003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220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/stypes="app*4055*20171206*" /stext=" 03:.+((SYSTEM_STATE.+slice.+state.+changed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220-05 --locoid 4055 --swversion DE.1.0.9.0 --startMP 204:232950 --initTime 2017-12-05T19:10:02 --startdatetime 2017-12-05T19:27:19 --delay 64 --endMP 204:221 --enddatetime 2017-12-05T20:04:46 --enforcementcount 0 &gt;&gt;%USERPROFILE%\Documents\GitHub\eaglep3-reporting\EC\2017-12-05-refined-times.txt</v>
      </c>
      <c r="AI132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{"issue":{"subject":"","project_id":79,"tracker_id":40,"status_id":1,"priority_id":2,"assigned_to_id":338,"start_date":"2017-12-05","description":"","custom_fields":[{"id":1,"name":"Subdivision","value":"EC"},{"id":4,"name":"Milepost","value":"0.0221"},{"id":17,"name":"Train ID","value":"220-05"},{"id":16,"name":"Locomotive ID","value":"4055"},{"id":130,"name":"Impact","value":""},{"id":150,"name":"Time of Event (Mountain Time)","value":"20:04:46"},{"id":151,"name":"Denver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12"/>
        <v>start /low /b %USERPROFILE%\Documents\GitHub\eaglep3\Utilities\DownloadLogsFromS3.py --loco 4055 --day 2017-12-05</v>
      </c>
      <c r="AN132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03:04:46"},{"id":29,"name":"Sharepoint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2017-12-05T18:10:02-0700',mode:absolute,to:'2017-12-05T21:04:46-0700'))&amp;_a=(columns:!('Message%20ID',Summary),filters:!(),index:'emp_*',interval:auto,query:(query_string:(analyze_wildcard:!t,query:'%22rtdc.l.rtdc.4055%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693</v>
      </c>
      <c r="B133" s="225">
        <v>4044</v>
      </c>
      <c r="C133" s="227" t="s">
        <v>192</v>
      </c>
      <c r="D133" s="227" t="s">
        <v>565</v>
      </c>
      <c r="E133" s="226">
        <v>43074.786527777775</v>
      </c>
      <c r="F133" s="226">
        <v>43074.791851851849</v>
      </c>
      <c r="G133" s="225">
        <v>63</v>
      </c>
      <c r="H133" s="227" t="s">
        <v>975</v>
      </c>
      <c r="I133" s="226">
        <v>43074.816157407404</v>
      </c>
      <c r="J133" s="225">
        <v>0</v>
      </c>
      <c r="K133" s="237" t="str">
        <f>IF(ISEVEN(B133),(B133-1)&amp;"/"&amp;B133,B133&amp;"/"&amp;(B133+1))</f>
        <v>4043/4044</v>
      </c>
      <c r="L133" s="245" t="str">
        <f>VLOOKUP(A133,'Trips&amp;Operators'!$C$1:$G$99911,5,FALSE)</f>
        <v>RESPASS AARON</v>
      </c>
      <c r="M133" s="224">
        <f>I133-F133</f>
        <v>2.4305555554747116E-2</v>
      </c>
      <c r="N133" s="225">
        <f>24*60*SUM($M133:$M133)</f>
        <v>34.999999998835847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-05T17:52:36-0700',mode:absolute,to:'2017-12-05T20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5.28E-2</v>
      </c>
      <c r="Z133" s="247">
        <f>RIGHT(H133,LEN(H133)-4)/10000</f>
        <v>23.324000000000002</v>
      </c>
      <c r="AA133" s="247">
        <f>ABS(Z133-Y133)</f>
        <v>23.2712</v>
      </c>
      <c r="AB133" s="233" t="str">
        <f>VLOOKUP(A133,Enforcements!$C$7:$K$9,8,0)</f>
        <v>Bulletin (2)</v>
      </c>
      <c r="AC133" s="232" t="str">
        <f>VLOOKUP(A133,Enforcements!$C$7:$E$9,3,0)</f>
        <v>GRADE CROSSING</v>
      </c>
      <c r="AD133" s="243">
        <f>VALUE(LEFT(A133,LEN(A133)-3))</f>
        <v>221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/stypes="app*4044*20171206*"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221-05 --locoid 4044 --swversion DE.1.0.9.0 --startMP 204:528 --initTime 2017-12-05T18:52:36 --startdatetime 2017-12-05T19:00:16 --delay 63 --endMP 204:233240 --enddatetime 2017-12-05T19:35:16 --enforcementcount 0 &gt;&gt;%USERPROFILE%\Documents\GitHub\eaglep3-reporting\EC\2017-12-05-refined-times.txt</v>
      </c>
      <c r="AI133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{"issue":{"subject":"","project_id":79,"tracker_id":40,"status_id":1,"priority_id":2,"assigned_to_id":338,"start_date":"2017-12-05","description":"","custom_fields":[{"id":1,"name":"Subdivision","value":"EC"},{"id":4,"name":"Milepost","value":"23.324"},{"id":17,"name":"Train ID","value":"221-05"},{"id":16,"name":"Locomotive ID","value":"4044"},{"id":130,"name":"Impact","value":""},{"id":150,"name":"Time of Event (Mountain Time)","value":"19:35:16"},{"id":151,"name":"Denver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2"/>
        <v>start /low /b %USERPROFILE%\Documents\GitHub\eaglep3\Utilities\DownloadLogsFromS3.py --loco 4044 --day 2017-12-05</v>
      </c>
      <c r="AN133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2017-12-05T17:52:36-0700',mode:absolute,to:'2017-12-05T20:35:16-0700'))&amp;_a=(columns:!('Message%20ID',Summary),filters:!(),index:'emp_*',interval:auto,query:(query_string:(analyze_wildcard:!t,query:'%22rtdc.l.rtdc.4044%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882</v>
      </c>
      <c r="B134" s="225">
        <v>4043</v>
      </c>
      <c r="C134" s="227" t="s">
        <v>192</v>
      </c>
      <c r="D134" s="227" t="s">
        <v>492</v>
      </c>
      <c r="E134" s="226">
        <v>43074.827557870369</v>
      </c>
      <c r="F134" s="226">
        <v>43074.831458333334</v>
      </c>
      <c r="G134" s="225">
        <v>75</v>
      </c>
      <c r="H134" s="227" t="s">
        <v>516</v>
      </c>
      <c r="I134" s="226">
        <v>43074.856574074074</v>
      </c>
      <c r="J134" s="225">
        <v>0</v>
      </c>
      <c r="K134" s="237" t="str">
        <f>IF(ISEVEN(B134),(B134-1)&amp;"/"&amp;B134,B134&amp;"/"&amp;(B134+1))</f>
        <v>4043/4044</v>
      </c>
      <c r="L134" s="245" t="str">
        <f>VLOOKUP(A134,'Trips&amp;Operators'!$C$1:$G$99911,5,FALSE)</f>
        <v>RESPASS AARON</v>
      </c>
      <c r="M134" s="224">
        <f>I134-F134</f>
        <v>2.5115740740147885E-2</v>
      </c>
      <c r="N134" s="225">
        <f>24*60*SUM($M134:$M134)</f>
        <v>36.166666665812954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-05T18:51:41-0700',mode:absolute,to:'2017-12-05T21:33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23.292999999999999</v>
      </c>
      <c r="Z134" s="247">
        <f>RIGHT(H134,LEN(H134)-4)/10000</f>
        <v>2.69E-2</v>
      </c>
      <c r="AA134" s="247">
        <f>ABS(Z134-Y134)</f>
        <v>23.266099999999998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222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/stypes="app*4043*20171206*"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222-05 --locoid 4043 --swversion DE.1.0.9.0 --startMP 204:232930 --initTime 2017-12-05T19:51:41 --startdatetime 2017-12-05T19:57:18 --delay 75 --endMP 204:269 --enddatetime 2017-12-05T20:33:28 --enforcementcount 0 &gt;&gt;%USERPROFILE%\Documents\GitHub\eaglep3-reporting\EC\2017-12-05-refined-times.txt</v>
      </c>
      <c r="AI134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{"issue":{"subject":"","project_id":79,"tracker_id":40,"status_id":1,"priority_id":2,"assigned_to_id":338,"start_date":"2017-12-05","description":"","custom_fields":[{"id":1,"name":"Subdivision","value":"EC"},{"id":4,"name":"Milepost","value":"0.0269"},{"id":17,"name":"Train ID","value":"222-05"},{"id":16,"name":"Locomotive ID","value":"4043"},{"id":130,"name":"Impact","value":""},{"id":150,"name":"Time of Event (Mountain Time)","value":"20:33:28"},{"id":151,"name":"Denver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2"/>
        <v>start /low /b %USERPROFILE%\Documents\GitHub\eaglep3\Utilities\DownloadLogsFromS3.py --loco 4043 --day 2017-12-05</v>
      </c>
      <c r="AN134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03:33:28"},{"id":29,"name":"Sharepoint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2017-12-05T18:51:41-0700',mode:absolute,to:'2017-12-05T21:33:28-0700'))&amp;_a=(columns:!('Message%20ID',Summary),filters:!(),index:'emp_*',interval:auto,query:(query_string:(analyze_wildcard:!t,query:'%22rtdc.l.rtdc.4043%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25">
      <c r="A135" s="229" t="s">
        <v>881</v>
      </c>
      <c r="B135" s="225">
        <v>4054</v>
      </c>
      <c r="C135" s="227" t="s">
        <v>192</v>
      </c>
      <c r="D135" s="227" t="s">
        <v>983</v>
      </c>
      <c r="E135" s="226">
        <v>43074.809918981482</v>
      </c>
      <c r="F135" s="226">
        <v>43074.812685185185</v>
      </c>
      <c r="G135" s="225">
        <v>106</v>
      </c>
      <c r="H135" s="227" t="s">
        <v>539</v>
      </c>
      <c r="I135" s="226">
        <v>43074.836886574078</v>
      </c>
      <c r="J135" s="225">
        <v>0</v>
      </c>
      <c r="K135" s="237" t="str">
        <f>IF(ISEVEN(B135),(B135-1)&amp;"/"&amp;B135,B135&amp;"/"&amp;(B135+1))</f>
        <v>4053/4054</v>
      </c>
      <c r="L135" s="245" t="str">
        <f>VLOOKUP(A135,'Trips&amp;Operators'!$C$1:$G$99911,5,FALSE)</f>
        <v>LOZA FIDEL</v>
      </c>
      <c r="M135" s="224">
        <f>I135-F135</f>
        <v>2.4201388892834075E-2</v>
      </c>
      <c r="N135" s="225">
        <f>24*60*SUM($M135:$M135)</f>
        <v>34.850000005681068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-05T18:26:17-0700',mode:absolute,to:'2017-12-05T21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5.57E-2</v>
      </c>
      <c r="Z135" s="247">
        <f>RIGHT(H135,LEN(H135)-4)/10000</f>
        <v>23.325500000000002</v>
      </c>
      <c r="AA135" s="247">
        <f>ABS(Z135-Y135)</f>
        <v>23.2698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223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/stypes="app*4054*20171206*"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223-05 --locoid 4054 --swversion DE.1.0.9.0 --startMP 204:557 --initTime 2017-12-05T19:26:17 --startdatetime 2017-12-05T19:30:16 --delay 106 --endMP 204:233255 --enddatetime 2017-12-05T20:05:07 --enforcementcount 0 &gt;&gt;%USERPROFILE%\Documents\GitHub\eaglep3-reporting\EC\2017-12-05-refined-times.txt</v>
      </c>
      <c r="AI135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{"issue":{"subject":"","project_id":79,"tracker_id":40,"status_id":1,"priority_id":2,"assigned_to_id":338,"start_date":"2017-12-05","description":"","custom_fields":[{"id":1,"name":"Subdivision","value":"EC"},{"id":4,"name":"Milepost","value":"23.3255"},{"id":17,"name":"Train ID","value":"223-05"},{"id":16,"name":"Locomotive ID","value":"4054"},{"id":130,"name":"Impact","value":""},{"id":150,"name":"Time of Event (Mountain Time)","value":"20:05:07"},{"id":151,"name":"Denver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2"/>
        <v>start /low /b %USERPROFILE%\Documents\GitHub\eaglep3\Utilities\DownloadLogsFromS3.py --loco 4054 --day 2017-12-05</v>
      </c>
      <c r="AN135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03:05:07"},{"id":29,"name":"Sharepoint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2017-12-05T18:26:17-0700',mode:absolute,to:'2017-12-05T21:05:07-0700'))&amp;_a=(columns:!('Message%20ID',Summary),filters:!(),index:'emp_*',interval:auto,query:(query_string:(analyze_wildcard:!t,query:'%22rtdc.l.rtdc.4054%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886</v>
      </c>
      <c r="B136" s="225">
        <v>4053</v>
      </c>
      <c r="C136" s="227" t="s">
        <v>192</v>
      </c>
      <c r="D136" s="227" t="s">
        <v>534</v>
      </c>
      <c r="E136" s="226">
        <v>43074.848263888889</v>
      </c>
      <c r="F136" s="226">
        <v>43074.852395833332</v>
      </c>
      <c r="G136" s="225">
        <v>113</v>
      </c>
      <c r="H136" s="227" t="s">
        <v>926</v>
      </c>
      <c r="I136" s="226">
        <v>43074.877766203703</v>
      </c>
      <c r="J136" s="225">
        <v>0</v>
      </c>
      <c r="K136" s="237" t="str">
        <f>IF(ISEVEN(B136),(B136-1)&amp;"/"&amp;B136,B136&amp;"/"&amp;(B136+1))</f>
        <v>4053/4054</v>
      </c>
      <c r="L136" s="245" t="str">
        <f>VLOOKUP(A136,'Trips&amp;Operators'!$C$1:$G$99911,5,FALSE)</f>
        <v>LOZA FIDEL</v>
      </c>
      <c r="M136" s="224">
        <f>I136-F136</f>
        <v>2.5370370371092577E-2</v>
      </c>
      <c r="N136" s="225">
        <f>24*60*SUM($M136:$M136)</f>
        <v>36.53333333437331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-05T19:21:30-0700',mode:absolute,to:'2017-12-05T22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23.294699999999999</v>
      </c>
      <c r="Z136" s="247">
        <f>RIGHT(H136,LEN(H136)-4)/10000</f>
        <v>1.8700000000000001E-2</v>
      </c>
      <c r="AA136" s="247">
        <f>ABS(Z136-Y136)</f>
        <v>23.276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224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/stypes="app*4053*20171206*" /stext=" 04:.+((SYSTEM_STATE.+slice.+state.+changed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224-05 --locoid 4053 --swversion DE.1.0.9.0 --startMP 204:232947 --initTime 2017-12-05T20:21:30 --startdatetime 2017-12-05T20:27:27 --delay 113 --endMP 204:187 --enddatetime 2017-12-05T21:03:59 --enforcementcount 0 &gt;&gt;%USERPROFILE%\Documents\GitHub\eaglep3-reporting\EC\2017-12-05-refined-times.txt</v>
      </c>
      <c r="AI136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{"issue":{"subject":"","project_id":79,"tracker_id":40,"status_id":1,"priority_id":2,"assigned_to_id":338,"start_date":"2017-12-05","description":"","custom_fields":[{"id":1,"name":"Subdivision","value":"EC"},{"id":4,"name":"Milepost","value":"0.0187"},{"id":17,"name":"Train ID","value":"224-05"},{"id":16,"name":"Locomotive ID","value":"4053"},{"id":130,"name":"Impact","value":""},{"id":150,"name":"Time of Event (Mountain Time)","value":"21:03:59"},{"id":151,"name":"Denver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2"/>
        <v>start /low /b %USERPROFILE%\Documents\GitHub\eaglep3\Utilities\DownloadLogsFromS3.py --loco 4053 --day 2017-12-05</v>
      </c>
      <c r="AN136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04:03:59"},{"id":29,"name":"Sharepoint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2017-12-05T19:21:30-0700',mode:absolute,to:'2017-12-05T22:03:59-0700'))&amp;_a=(columns:!('Message%20ID',Summary),filters:!(),index:'emp_*',interval:auto,query:(query_string:(analyze_wildcard:!t,query:'%22rtdc.l.rtdc.4053%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883</v>
      </c>
      <c r="B137" s="225">
        <v>4060</v>
      </c>
      <c r="C137" s="227" t="s">
        <v>192</v>
      </c>
      <c r="D137" s="227" t="s">
        <v>984</v>
      </c>
      <c r="E137" s="226">
        <v>43074.828287037039</v>
      </c>
      <c r="F137" s="226">
        <v>43074.833692129629</v>
      </c>
      <c r="G137" s="225">
        <v>60</v>
      </c>
      <c r="H137" s="227" t="s">
        <v>640</v>
      </c>
      <c r="I137" s="226">
        <v>43074.858101851853</v>
      </c>
      <c r="J137" s="225">
        <v>0</v>
      </c>
      <c r="K137" s="237" t="str">
        <f>IF(ISEVEN(B137),(B137-1)&amp;"/"&amp;B137,B137&amp;"/"&amp;(B137+1))</f>
        <v>4059/4060</v>
      </c>
      <c r="L137" s="245" t="str">
        <f>VLOOKUP(A137,'Trips&amp;Operators'!$C$1:$G$99911,5,FALSE)</f>
        <v>WEST BRYAN</v>
      </c>
      <c r="M137" s="224">
        <f>I137-F137</f>
        <v>2.4409722223936114E-2</v>
      </c>
      <c r="N137" s="225">
        <f>24*60*SUM($M137:$M137)</f>
        <v>35.150000002468005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-05T18:52:44-0700',mode:absolute,to:'2017-12-05T21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5.6800000000000003E-2</v>
      </c>
      <c r="Z137" s="247">
        <f>RIGHT(H137,LEN(H137)-4)/10000</f>
        <v>23.321200000000001</v>
      </c>
      <c r="AA137" s="247">
        <f>ABS(Z137-Y137)</f>
        <v>23.264400000000002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225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/stypes="app*4060*20171206*"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225-05 --locoid 4060 --swversion DE.1.0.9.0 --startMP 204:568 --initTime 2017-12-05T19:52:44 --startdatetime 2017-12-05T20:00:31 --delay 60 --endMP 204:233212 --enddatetime 2017-12-05T20:35:40 --enforcementcount 0 &gt;&gt;%USERPROFILE%\Documents\GitHub\eaglep3-reporting\EC\2017-12-05-refined-times.txt</v>
      </c>
      <c r="AI137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{"issue":{"subject":"","project_id":79,"tracker_id":40,"status_id":1,"priority_id":2,"assigned_to_id":338,"start_date":"2017-12-05","description":"","custom_fields":[{"id":1,"name":"Subdivision","value":"EC"},{"id":4,"name":"Milepost","value":"23.3212"},{"id":17,"name":"Train ID","value":"225-05"},{"id":16,"name":"Locomotive ID","value":"4060"},{"id":130,"name":"Impact","value":""},{"id":150,"name":"Time of Event (Mountain Time)","value":"20:35:40"},{"id":151,"name":"Denver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2"/>
        <v>start /low /b %USERPROFILE%\Documents\GitHub\eaglep3\Utilities\DownloadLogsFromS3.py --loco 4060 --day 2017-12-05</v>
      </c>
      <c r="AN137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2017-12-05T18:52:44-0700',mode:absolute,to:'2017-12-05T21:35:40-0700'))&amp;_a=(columns:!('Message%20ID',Summary),filters:!(),index:'emp_*',interval:auto,query:(query_string:(analyze_wildcard:!t,query:'%22rtdc.l.rtdc.4060%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888</v>
      </c>
      <c r="B138" s="225">
        <v>4059</v>
      </c>
      <c r="C138" s="227" t="s">
        <v>192</v>
      </c>
      <c r="D138" s="227" t="s">
        <v>985</v>
      </c>
      <c r="E138" s="226">
        <v>43074.860543981478</v>
      </c>
      <c r="F138" s="226">
        <v>43074.873553240737</v>
      </c>
      <c r="G138" s="225">
        <v>69</v>
      </c>
      <c r="H138" s="227" t="s">
        <v>625</v>
      </c>
      <c r="I138" s="226">
        <v>43074.899050925924</v>
      </c>
      <c r="J138" s="225">
        <v>0</v>
      </c>
      <c r="K138" s="237" t="str">
        <f>IF(ISEVEN(B138),(B138-1)&amp;"/"&amp;B138,B138&amp;"/"&amp;(B138+1))</f>
        <v>4059/4060</v>
      </c>
      <c r="L138" s="245" t="str">
        <f>VLOOKUP(A138,'Trips&amp;Operators'!$C$1:$G$99911,5,FALSE)</f>
        <v>WEST BRYAN</v>
      </c>
      <c r="M138" s="224">
        <f>I138-F138</f>
        <v>2.5497685186564922E-2</v>
      </c>
      <c r="N138" s="225">
        <f>24*60*SUM($M138:$M138)</f>
        <v>36.716666668653488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-05T19:39:11-0700',mode:absolute,to:'2017-12-05T22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23.289400000000001</v>
      </c>
      <c r="Z138" s="247">
        <f>RIGHT(H138,LEN(H138)-4)/10000</f>
        <v>2.6700000000000002E-2</v>
      </c>
      <c r="AA138" s="247">
        <f>ABS(Z138-Y138)</f>
        <v>23.262699999999999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226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/stypes="app*4059*20171206*"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226-05 --locoid 4059 --swversion DE.1.0.9.0 --startMP 204:232894 --initTime 2017-12-05T20:39:11 --startdatetime 2017-12-05T20:57:55 --delay 69 --endMP 204:267 --enddatetime 2017-12-05T21:34:38 --enforcementcount 0 &gt;&gt;%USERPROFILE%\Documents\GitHub\eaglep3-reporting\EC\2017-12-05-refined-times.txt</v>
      </c>
      <c r="AI138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{"issue":{"subject":"","project_id":79,"tracker_id":40,"status_id":1,"priority_id":2,"assigned_to_id":338,"start_date":"2017-12-05","description":"","custom_fields":[{"id":1,"name":"Subdivision","value":"EC"},{"id":4,"name":"Milepost","value":"0.0267"},{"id":17,"name":"Train ID","value":"226-05"},{"id":16,"name":"Locomotive ID","value":"4059"},{"id":130,"name":"Impact","value":""},{"id":150,"name":"Time of Event (Mountain Time)","value":"21:34:38"},{"id":151,"name":"Denver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12"/>
        <v>start /low /b %USERPROFILE%\Documents\GitHub\eaglep3\Utilities\DownloadLogsFromS3.py --loco 4059 --day 2017-12-05</v>
      </c>
      <c r="AN138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2017-12-05T19:39:11-0700',mode:absolute,to:'2017-12-05T22:34:38-0700'))&amp;_a=(columns:!('Message%20ID',Summary),filters:!(),index:'emp_*',interval:auto,query:(query_string:(analyze_wildcard:!t,query:'%22rtdc.l.rtdc.4059%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885</v>
      </c>
      <c r="B139" s="225">
        <v>4056</v>
      </c>
      <c r="C139" s="227" t="s">
        <v>192</v>
      </c>
      <c r="D139" s="227" t="s">
        <v>977</v>
      </c>
      <c r="E139" s="226">
        <v>43074.844814814816</v>
      </c>
      <c r="F139" s="226">
        <v>43074.854456018518</v>
      </c>
      <c r="G139" s="225">
        <v>51</v>
      </c>
      <c r="H139" s="227" t="s">
        <v>974</v>
      </c>
      <c r="I139" s="226">
        <v>43074.879652777781</v>
      </c>
      <c r="J139" s="225">
        <v>0</v>
      </c>
      <c r="K139" s="237" t="str">
        <f>IF(ISEVEN(B139),(B139-1)&amp;"/"&amp;B139,B139&amp;"/"&amp;(B139+1))</f>
        <v>4055/4056</v>
      </c>
      <c r="L139" s="245" t="str">
        <f>VLOOKUP(A139,'Trips&amp;Operators'!$C$1:$G$99911,5,FALSE)</f>
        <v>ANDERS STEVEN</v>
      </c>
      <c r="M139" s="224">
        <f>I139-F139</f>
        <v>2.5196759263053536E-2</v>
      </c>
      <c r="N139" s="225">
        <f>24*60*SUM($M139:$M139)</f>
        <v>36.283333338797092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-05T19:16:32-0700',mode:absolute,to:'2017-12-05T22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5.33E-2</v>
      </c>
      <c r="Z139" s="247">
        <f>RIGHT(H139,LEN(H139)-4)/10000</f>
        <v>23.323599999999999</v>
      </c>
      <c r="AA139" s="247">
        <f>ABS(Z139-Y139)</f>
        <v>23.270299999999999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227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/stypes="app*4056*20171206*"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227-05 --locoid 4056 --swversion DE.1.0.9.0 --startMP 204:533 --initTime 2017-12-05T20:16:32 --startdatetime 2017-12-05T20:30:25 --delay 51 --endMP 204:233236 --enddatetime 2017-12-05T21:06:42 --enforcementcount 0 &gt;&gt;%USERPROFILE%\Documents\GitHub\eaglep3-reporting\EC\2017-12-05-refined-times.txt</v>
      </c>
      <c r="AI139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{"issue":{"subject":"","project_id":79,"tracker_id":40,"status_id":1,"priority_id":2,"assigned_to_id":338,"start_date":"2017-12-05","description":"","custom_fields":[{"id":1,"name":"Subdivision","value":"EC"},{"id":4,"name":"Milepost","value":"23.3236"},{"id":17,"name":"Train ID","value":"227-05"},{"id":16,"name":"Locomotive ID","value":"4056"},{"id":130,"name":"Impact","value":""},{"id":150,"name":"Time of Event (Mountain Time)","value":"21:06:42"},{"id":151,"name":"Denver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2"/>
        <v>start /low /b %USERPROFILE%\Documents\GitHub\eaglep3\Utilities\DownloadLogsFromS3.py --loco 4056 --day 2017-12-05</v>
      </c>
      <c r="AN139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04:06:42"},{"id":29,"name":"Sharepoint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2017-12-05T19:16:32-0700',mode:absolute,to:'2017-12-05T22:06:42-0700'))&amp;_a=(columns:!('Message%20ID',Summary),filters:!(),index:'emp_*',interval:auto,query:(query_string:(analyze_wildcard:!t,query:'%22rtdc.l.rtdc.4056%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892</v>
      </c>
      <c r="B140" s="225">
        <v>4055</v>
      </c>
      <c r="C140" s="227" t="s">
        <v>192</v>
      </c>
      <c r="D140" s="227" t="s">
        <v>986</v>
      </c>
      <c r="E140" s="226">
        <v>43074.881956018522</v>
      </c>
      <c r="F140" s="226">
        <v>43074.89398148148</v>
      </c>
      <c r="G140" s="225">
        <v>53</v>
      </c>
      <c r="H140" s="227" t="s">
        <v>962</v>
      </c>
      <c r="I140" s="226">
        <v>43074.920671296299</v>
      </c>
      <c r="J140" s="225">
        <v>0</v>
      </c>
      <c r="K140" s="237" t="str">
        <f>IF(ISEVEN(B140),(B140-1)&amp;"/"&amp;B140,B140&amp;"/"&amp;(B140+1))</f>
        <v>4055/4056</v>
      </c>
      <c r="L140" s="245" t="str">
        <f>VLOOKUP(A140,'Trips&amp;Operators'!$C$1:$G$99911,5,FALSE)</f>
        <v>ANDERS STEVEN</v>
      </c>
      <c r="M140" s="224">
        <f>I140-F140</f>
        <v>2.6689814818382729E-2</v>
      </c>
      <c r="N140" s="225">
        <f>24*60*SUM($M140:$M140)</f>
        <v>38.43333333847113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-05T20:10:01-0700',mode:absolute,to:'2017-12-05T23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23.291899999999998</v>
      </c>
      <c r="Z140" s="247">
        <f>RIGHT(H140,LEN(H140)-4)/10000</f>
        <v>2.2100000000000002E-2</v>
      </c>
      <c r="AA140" s="247">
        <f>ABS(Z140-Y140)</f>
        <v>23.2698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228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/stypes="app*4055*20171206*" /stext=" 05:.+((SYSTEM_STATE.+slice.+state.+changed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0"/>
        <v>"%USERPROFILE%\Documents\GitHub\eaglep3\Utilities\RefineRTDCRunTimes.py" --tripid 228-05 --locoid 4055 --swversion DE.1.0.9.0 --startMP 204:232919 --initTime 2017-12-05T21:10:01 --startdatetime 2017-12-05T21:27:20 --delay 53 --endMP 204:221 --enddatetime 2017-12-05T22:05:46 --enforcementcount 0 &gt;&gt;%USERPROFILE%\Documents\GitHub\eaglep3-reporting\EC\2017-12-05-refined-times.txt</v>
      </c>
      <c r="AI140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{"issue":{"subject":"","project_id":79,"tracker_id":40,"status_id":1,"priority_id":2,"assigned_to_id":338,"start_date":"2017-12-05","description":"","custom_fields":[{"id":1,"name":"Subdivision","value":"EC"},{"id":4,"name":"Milepost","value":"0.0221"},{"id":17,"name":"Train ID","value":"228-05"},{"id":16,"name":"Locomotive ID","value":"4055"},{"id":130,"name":"Impact","value":""},{"id":150,"name":"Time of Event (Mountain Time)","value":"22:05:46"},{"id":151,"name":"Denver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12"/>
        <v>start /low /b %USERPROFILE%\Documents\GitHub\eaglep3\Utilities\DownloadLogsFromS3.py --loco 4055 --day 2017-12-05</v>
      </c>
      <c r="AN140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05:05:46"},{"id":29,"name":"Sharepoint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4"/>
        <v>https://d0f6bd738d7f1b3e5a7ca70fe4ff75f0.us-east-1.aws.found.io/app/kibana#/discover/Steve-Slow-Train-Analysis-(2080s-and-2083s)?_g=(refreshInterval:(display:Off,pause:!f,section:0,value:0),time:(from:'2017-12-05T20:10:01-0700',mode:absolute,to:'2017-12-05T23:05:46-0700'))&amp;_a=(columns:!('Message%20ID',Summary),filters:!(),index:'emp_*',interval:auto,query:(query_string:(analyze_wildcard:!t,query:'%22rtdc.l.rtdc.4055%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25">
      <c r="A141" s="229" t="s">
        <v>889</v>
      </c>
      <c r="B141" s="225">
        <v>4044</v>
      </c>
      <c r="C141" s="227" t="s">
        <v>192</v>
      </c>
      <c r="D141" s="227" t="s">
        <v>987</v>
      </c>
      <c r="E141" s="226">
        <v>43074.86314814815</v>
      </c>
      <c r="F141" s="226">
        <v>43074.875289351854</v>
      </c>
      <c r="G141" s="225">
        <v>90</v>
      </c>
      <c r="H141" s="227" t="s">
        <v>988</v>
      </c>
      <c r="I141" s="226">
        <v>43074.899988425925</v>
      </c>
      <c r="J141" s="225">
        <v>0</v>
      </c>
      <c r="K141" s="237" t="str">
        <f>IF(ISEVEN(B141),(B141-1)&amp;"/"&amp;B141,B141&amp;"/"&amp;(B141+1))</f>
        <v>4043/4044</v>
      </c>
      <c r="L141" s="245" t="str">
        <f>VLOOKUP(A141,'Trips&amp;Operators'!$C$1:$G$99911,5,FALSE)</f>
        <v>ZEWDU DEREJE</v>
      </c>
      <c r="M141" s="224">
        <f>I141-F141</f>
        <v>2.4699074070667848E-2</v>
      </c>
      <c r="N141" s="225">
        <f>24*60*SUM($M141:$M141)</f>
        <v>35.566666661761701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-05T19:42:56-0700',mode:absolute,to:'2017-12-05T22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5.7000000000000002E-2</v>
      </c>
      <c r="Z141" s="247">
        <f>RIGHT(H141,LEN(H141)-4)/10000</f>
        <v>23.3261</v>
      </c>
      <c r="AA141" s="247">
        <f>ABS(Z141-Y141)</f>
        <v>23.269100000000002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229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/stypes="app*4044*20171206*"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229-05 --locoid 4044 --swversion DE.1.0.9.0 --startMP 204:570 --initTime 2017-12-05T20:42:56 --startdatetime 2017-12-05T21:00:25 --delay 90 --endMP 204:233261 --enddatetime 2017-12-05T21:35:59 --enforcementcount 0 &gt;&gt;%USERPROFILE%\Documents\GitHub\eaglep3-reporting\EC\2017-12-05-refined-times.txt</v>
      </c>
      <c r="AI141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{"issue":{"subject":"","project_id":79,"tracker_id":40,"status_id":1,"priority_id":2,"assigned_to_id":338,"start_date":"2017-12-05","description":"","custom_fields":[{"id":1,"name":"Subdivision","value":"EC"},{"id":4,"name":"Milepost","value":"23.3261"},{"id":17,"name":"Train ID","value":"229-05"},{"id":16,"name":"Locomotive ID","value":"4044"},{"id":130,"name":"Impact","value":""},{"id":150,"name":"Time of Event (Mountain Time)","value":"21:35:59"},{"id":151,"name":"Denver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2"/>
        <v>start /low /b %USERPROFILE%\Documents\GitHub\eaglep3\Utilities\DownloadLogsFromS3.py --loco 4044 --day 2017-12-05</v>
      </c>
      <c r="AN141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2017-12-05T19:42:56-0700',mode:absolute,to:'2017-12-05T22:35:59-0700'))&amp;_a=(columns:!('Message%20ID',Summary),filters:!(),index:'emp_*',interval:auto,query:(query_string:(analyze_wildcard:!t,query:'%22rtdc.l.rtdc.4044%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896</v>
      </c>
      <c r="B142" s="225">
        <v>4043</v>
      </c>
      <c r="C142" s="227" t="s">
        <v>192</v>
      </c>
      <c r="D142" s="227" t="s">
        <v>622</v>
      </c>
      <c r="E142" s="226">
        <v>43074.908206018517</v>
      </c>
      <c r="F142" s="226">
        <v>43074.914756944447</v>
      </c>
      <c r="G142" s="225">
        <v>85</v>
      </c>
      <c r="H142" s="227" t="s">
        <v>917</v>
      </c>
      <c r="I142" s="226">
        <v>43074.940659722219</v>
      </c>
      <c r="J142" s="225">
        <v>0</v>
      </c>
      <c r="K142" s="237" t="str">
        <f>IF(ISEVEN(B142),(B142-1)&amp;"/"&amp;B142,B142&amp;"/"&amp;(B142+1))</f>
        <v>4043/4044</v>
      </c>
      <c r="L142" s="245" t="str">
        <f>VLOOKUP(A142,'Trips&amp;Operators'!$C$1:$G$99911,5,FALSE)</f>
        <v>ZEWDU DEREJE</v>
      </c>
      <c r="M142" s="224">
        <f>I142-F142</f>
        <v>2.5902777771989349E-2</v>
      </c>
      <c r="N142" s="225">
        <f>24*60*SUM($M142:$M142)</f>
        <v>37.299999991664663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-05T20:47:49-0700',mode:absolute,to:'2017-12-05T23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23.293399999999998</v>
      </c>
      <c r="Z142" s="247">
        <f>RIGHT(H142,LEN(H142)-4)/10000</f>
        <v>2.1999999999999999E-2</v>
      </c>
      <c r="AA142" s="247">
        <f>ABS(Z142-Y142)</f>
        <v>23.2714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230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/stypes="app*4043*20171206*"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0"/>
        <v>"%USERPROFILE%\Documents\GitHub\eaglep3\Utilities\RefineRTDCRunTimes.py" --tripid 230-05 --locoid 4043 --swversion DE.1.0.9.0 --startMP 204:232934 --initTime 2017-12-05T21:47:49 --startdatetime 2017-12-05T21:57:15 --delay 85 --endMP 204:220 --enddatetime 2017-12-05T22:34:33 --enforcementcount 0 &gt;&gt;%USERPROFILE%\Documents\GitHub\eaglep3-reporting\EC\2017-12-05-refined-times.txt</v>
      </c>
      <c r="AI142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{"issue":{"subject":"","project_id":79,"tracker_id":40,"status_id":1,"priority_id":2,"assigned_to_id":338,"start_date":"2017-12-05","description":"","custom_fields":[{"id":1,"name":"Subdivision","value":"EC"},{"id":4,"name":"Milepost","value":"0.022"},{"id":17,"name":"Train ID","value":"230-05"},{"id":16,"name":"Locomotive ID","value":"4043"},{"id":130,"name":"Impact","value":""},{"id":150,"name":"Time of Event (Mountain Time)","value":"22:34:33"},{"id":151,"name":"Denver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2"/>
        <v>start /low /b %USERPROFILE%\Documents\GitHub\eaglep3\Utilities\DownloadLogsFromS3.py --loco 4043 --day 2017-12-05</v>
      </c>
      <c r="AN142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05:34:33"},{"id":29,"name":"Sharepoint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4"/>
        <v>https://d0f6bd738d7f1b3e5a7ca70fe4ff75f0.us-east-1.aws.found.io/app/kibana#/discover/Steve-Slow-Train-Analysis-(2080s-and-2083s)?_g=(refreshInterval:(display:Off,pause:!f,section:0,value:0),time:(from:'2017-12-05T20:47:49-0700',mode:absolute,to:'2017-12-05T23:34:33-0700'))&amp;_a=(columns:!('Message%20ID',Summary),filters:!(),index:'emp_*',interval:auto,query:(query_string:(analyze_wildcard:!t,query:'%22rtdc.l.rtdc.4043%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894</v>
      </c>
      <c r="B143" s="225">
        <v>4054</v>
      </c>
      <c r="C143" s="227" t="s">
        <v>192</v>
      </c>
      <c r="D143" s="227" t="s">
        <v>497</v>
      </c>
      <c r="E143" s="226">
        <v>43074.894189814811</v>
      </c>
      <c r="F143" s="226">
        <v>43074.896064814813</v>
      </c>
      <c r="G143" s="225">
        <v>63</v>
      </c>
      <c r="H143" s="227" t="s">
        <v>628</v>
      </c>
      <c r="I143" s="226">
        <v>43074.920960648145</v>
      </c>
      <c r="J143" s="225">
        <v>0</v>
      </c>
      <c r="K143" s="237" t="str">
        <f>IF(ISEVEN(B143),(B143-1)&amp;"/"&amp;B143,B143&amp;"/"&amp;(B143+1))</f>
        <v>4053/4054</v>
      </c>
      <c r="L143" s="245" t="str">
        <f>VLOOKUP(A143,'Trips&amp;Operators'!$C$1:$G$99911,5,FALSE)</f>
        <v>LORI SANTOS</v>
      </c>
      <c r="M143" s="224">
        <f>I143-F143</f>
        <v>2.4895833332266193E-2</v>
      </c>
      <c r="N143" s="225">
        <f>24*60*SUM($M143:$M143)</f>
        <v>35.849999998463318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-05T20:27:38-0700',mode:absolute,to:'2017-12-05T23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247" t="str">
        <f>IF(AA143&lt;VLOOKUP(AG143,Variables!$AC$3:$AD$8,2,FALSE),"Y","N")</f>
        <v>N</v>
      </c>
      <c r="X143" s="247">
        <f t="shared" ref="X143:X146" si="25">VALUE(LEFT(AD143,4))-VALUE(LEFT(AD142,4))</f>
        <v>1</v>
      </c>
      <c r="Y143" s="247">
        <f>RIGHT(D143,LEN(D143)-4)/10000</f>
        <v>4.8599999999999997E-2</v>
      </c>
      <c r="Z143" s="247">
        <f>RIGHT(H143,LEN(H143)-4)/10000</f>
        <v>23.321300000000001</v>
      </c>
      <c r="AA143" s="247">
        <f>ABS(Z143-Y143)</f>
        <v>23.2727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231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/stypes="app*4054*20171206*"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0"/>
        <v>"%USERPROFILE%\Documents\GitHub\eaglep3\Utilities\RefineRTDCRunTimes.py" --tripid 231-05 --locoid 4054 --swversion DE.1.0.9.0 --startMP 204:486 --initTime 2017-12-05T21:27:38 --startdatetime 2017-12-05T21:30:20 --delay 63 --endMP 204:233213 --enddatetime 2017-12-05T22:06:11 --enforcementcount 0 &gt;&gt;%USERPROFILE%\Documents\GitHub\eaglep3-reporting\EC\2017-12-05-refined-times.txt</v>
      </c>
      <c r="AI143" s="238" t="str">
        <f t="shared" si="11"/>
        <v>echo {"issue":{"subject":"","project_id":79,"tracker_id":40,"status_id":1,"priority_id":2,"assigned_to_id":338,"start_date":"2017-12-05","description":"","custom_fields":[{"id":1,"name":"Subdivision","value":"EC"},{"id":4,"name":"Milepost","value":"23.3213"},{"id":17,"name":"Train ID","value":"231-05"},{"id":16,"name":"Locomotive ID","value":"4054"},{"id":130,"name":"Impact","value":""},{"id":150,"name":"Time of Event (Mountain Time)","value":"22:06:11"},{"id":151,"name":"Denver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12"/>
        <v>start /low /b %USERPROFILE%\Documents\GitHub\eaglep3\Utilities\DownloadLogsFromS3.py --loco 4054 --day 2017-12-05</v>
      </c>
      <c r="AN143" s="241" t="str">
        <f t="shared" si="13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05:06:11"},{"id":29,"name":"Sharepoint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14"/>
        <v>https://d0f6bd738d7f1b3e5a7ca70fe4ff75f0.us-east-1.aws.found.io/app/kibana#/discover/Steve-Slow-Train-Analysis-(2080s-and-2083s)?_g=(refreshInterval:(display:Off,pause:!f,section:0,value:0),time:(from:'2017-12-05T20:27:38-0700',mode:absolute,to:'2017-12-05T23:06:11-0700'))&amp;_a=(columns:!('Message%20ID',Summary),filters:!(),index:'emp_*',interval:auto,query:(query_string:(analyze_wildcard:!t,query:'%22rtdc.l.rtdc.4054%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25">
      <c r="A144" s="229" t="s">
        <v>900</v>
      </c>
      <c r="B144" s="225">
        <v>4053</v>
      </c>
      <c r="C144" s="227" t="s">
        <v>192</v>
      </c>
      <c r="D144" s="227" t="s">
        <v>417</v>
      </c>
      <c r="E144" s="226">
        <v>43074.933749999997</v>
      </c>
      <c r="F144" s="226">
        <v>43074.935601851852</v>
      </c>
      <c r="G144" s="225">
        <v>63</v>
      </c>
      <c r="H144" s="227" t="s">
        <v>982</v>
      </c>
      <c r="I144" s="226">
        <v>43074.961851851855</v>
      </c>
      <c r="J144" s="225">
        <v>0</v>
      </c>
      <c r="K144" s="237" t="str">
        <f>IF(ISEVEN(B144),(B144-1)&amp;"/"&amp;B144,B144&amp;"/"&amp;(B144+1))</f>
        <v>4053/4054</v>
      </c>
      <c r="L144" s="245" t="str">
        <f>VLOOKUP(A144,'Trips&amp;Operators'!$C$1:$G$99911,5,FALSE)</f>
        <v>LORI SANTOS</v>
      </c>
      <c r="M144" s="224">
        <f>I144-F144</f>
        <v>2.6250000002619345E-2</v>
      </c>
      <c r="N144" s="225">
        <f>24*60*SUM($M144:$M144)</f>
        <v>37.800000003771856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-05T21:24:36-0700',mode:absolute,to:'2017-12-06T00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247" t="str">
        <f>IF(AA144&lt;VLOOKUP(AG144,Variables!$AC$3:$AD$8,2,FALSE),"Y","N")</f>
        <v>N</v>
      </c>
      <c r="X144" s="247">
        <f t="shared" si="25"/>
        <v>1</v>
      </c>
      <c r="Y144" s="247">
        <f>RIGHT(D144,LEN(D144)-4)/10000</f>
        <v>23.293199999999999</v>
      </c>
      <c r="Z144" s="247">
        <f>RIGHT(H144,LEN(H144)-4)/10000</f>
        <v>2.76E-2</v>
      </c>
      <c r="AA144" s="247">
        <f>ABS(Z144-Y144)</f>
        <v>23.265599999999999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232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/stypes="app*4053*20171206*" /stext=" 06:.+((SYSTEM_STATE.+slice.+state.+changed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ref="AH144:AH208" si="2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232-05 --locoid 4053 --swversion DE.1.0.9.0 --startMP 204:232932 --initTime 2017-12-05T22:24:36 --startdatetime 2017-12-05T22:27:16 --delay 63 --endMP 204:276 --enddatetime 2017-12-05T23:05:04 --enforcementcount 0 &gt;&gt;%USERPROFILE%\Documents\GitHub\eaglep3-reporting\EC\2017-12-05-refined-times.txt</v>
      </c>
      <c r="AI144" s="238" t="str">
        <f t="shared" ref="AI144:AI208" si="2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{"issue":{"subject":"","project_id":79,"tracker_id":40,"status_id":1,"priority_id":2,"assigned_to_id":338,"start_date":"2017-12-05","description":"","custom_fields":[{"id":1,"name":"Subdivision","value":"EC"},{"id":4,"name":"Milepost","value":"0.0276"},{"id":17,"name":"Train ID","value":"232-05"},{"id":16,"name":"Locomotive ID","value":"4053"},{"id":130,"name":"Impact","value":""},{"id":150,"name":"Time of Event (Mountain Time)","value":"23:05:04"},{"id":151,"name":"Denver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ref="AM144:AM208" si="28">"start /low /b "&amp;dls3logs&amp;" --loco "&amp;B144&amp;" --day "&amp;TEXT(F144,"YYYY-MM-DD")</f>
        <v>start /low /b %USERPROFILE%\Documents\GitHub\eaglep3\Utilities\DownloadLogsFromS3.py --loco 4053 --day 2017-12-05</v>
      </c>
      <c r="AN144" s="241" t="str">
        <f t="shared" ref="AN144:AN208" si="2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06:05:04"},{"id":29,"name":"Sharepoint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ref="AO144:AO208" si="30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-05T21:24:36-0700',mode:absolute,to:'2017-12-06T00:05:04-0700'))&amp;_a=(columns:!('Message%20ID',Summary),filters:!(),index:'emp_*',interval:auto,query:(query_string:(analyze_wildcard:!t,query:'%22rtdc.l.rtdc.4053%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895</v>
      </c>
      <c r="B145" s="225">
        <v>4060</v>
      </c>
      <c r="C145" s="227" t="s">
        <v>192</v>
      </c>
      <c r="D145" s="227" t="s">
        <v>989</v>
      </c>
      <c r="E145" s="226">
        <v>43074.90483796296</v>
      </c>
      <c r="F145" s="226">
        <v>43074.917060185187</v>
      </c>
      <c r="G145" s="225">
        <v>61</v>
      </c>
      <c r="H145" s="227" t="s">
        <v>981</v>
      </c>
      <c r="I145" s="226">
        <v>43074.940960648149</v>
      </c>
      <c r="J145" s="225">
        <v>0</v>
      </c>
      <c r="K145" s="237" t="str">
        <f>IF(ISEVEN(B145),(B145-1)&amp;"/"&amp;B145,B145&amp;"/"&amp;(B145+1))</f>
        <v>4059/4060</v>
      </c>
      <c r="L145" s="245" t="str">
        <f>VLOOKUP(A145,'Trips&amp;Operators'!$C$1:$G$99911,5,FALSE)</f>
        <v>WEST BRYAN</v>
      </c>
      <c r="M145" s="224">
        <f>I145-F145</f>
        <v>2.3900462962046731E-2</v>
      </c>
      <c r="N145" s="225">
        <f>24*60*SUM($M145:$M145)</f>
        <v>34.416666665347293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-05T20:42:58-0700',mode:absolute,to:'2017-12-05T23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5" s="247" t="str">
        <f>IF(AA145&lt;VLOOKUP(AG145,Variables!$AC$3:$AD$8,2,FALSE),"Y","N")</f>
        <v>N</v>
      </c>
      <c r="X145" s="247">
        <f t="shared" si="25"/>
        <v>1</v>
      </c>
      <c r="Y145" s="247">
        <f>RIGHT(D145,LEN(D145)-4)/10000</f>
        <v>5.6399999999999999E-2</v>
      </c>
      <c r="Z145" s="247">
        <f>RIGHT(H145,LEN(H145)-4)/10000</f>
        <v>23.317399999999999</v>
      </c>
      <c r="AA145" s="247">
        <f>ABS(Z145-Y145)</f>
        <v>23.260999999999999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233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s3://rtdc.mdm.uploadarchive.raw/RTDC4060/ "%USERPROFILE%\AppData\Local\Temp\OnboardLogs"\RTDC4060\2017-12-05 --exclude "*" --recursive --include "*20171205*" &amp; "%USERPROFILE%\Documents\GitHub\mrs-test-scripts\Headless Mode &amp; Sideloading\WalkAndUnGZ.bat" "%USERPROFILE%\AppData\Local\Temp\OnboardLogs"\RTDC4060\2017-12-05 &amp; 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/stypes="app*4060*20171206*"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26"/>
        <v>"%USERPROFILE%\Documents\GitHub\eaglep3\Utilities\RefineRTDCRunTimes.py" --tripid 233-05 --locoid 4060 --swversion DE.1.0.9.0 --startMP 204:564 --initTime 2017-12-05T21:42:58 --startdatetime 2017-12-05T22:00:34 --delay 61 --endMP 204:233174 --enddatetime 2017-12-05T22:34:59 --enforcementcount 0 &gt;&gt;%USERPROFILE%\Documents\GitHub\eaglep3-reporting\EC\2017-12-05-refined-times.txt</v>
      </c>
      <c r="AI145" s="238" t="str">
        <f t="shared" si="27"/>
        <v>echo {"issue":{"subject":"","project_id":79,"tracker_id":40,"status_id":1,"priority_id":2,"assigned_to_id":338,"start_date":"2017-12-05","description":"","custom_fields":[{"id":1,"name":"Subdivision","value":"EC"},{"id":4,"name":"Milepost","value":"23.3174"},{"id":17,"name":"Train ID","value":"233-05"},{"id":16,"name":"Locomotive ID","value":"4060"},{"id":130,"name":"Impact","value":""},{"id":150,"name":"Time of Event (Mountain Time)","value":"22:34:59"},{"id":151,"name":"Denver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28"/>
        <v>start /low /b %USERPROFILE%\Documents\GitHub\eaglep3\Utilities\DownloadLogsFromS3.py --loco 4060 --day 2017-12-05</v>
      </c>
      <c r="AN145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05:34:59"},{"id":29,"name":"Sharepoint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30"/>
        <v>https://d0f6bd738d7f1b3e5a7ca70fe4ff75f0.us-east-1.aws.found.io/app/kibana#/discover/Steve-Slow-Train-Analysis-(2080s-and-2083s)?_g=(refreshInterval:(display:Off,pause:!f,section:0,value:0),time:(from:'2017-12-05T20:42:58-0700',mode:absolute,to:'2017-12-05T23:34:59-0700'))&amp;_a=(columns:!('Message%20ID',Summary),filters:!(),index:'emp_*',interval:auto,query:(query_string:(analyze_wildcard:!t,query:'%22rtdc.l.rtdc.4060%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901</v>
      </c>
      <c r="B146" s="225">
        <v>4059</v>
      </c>
      <c r="C146" s="227" t="s">
        <v>192</v>
      </c>
      <c r="D146" s="227" t="s">
        <v>990</v>
      </c>
      <c r="E146" s="226">
        <v>43074.945752314816</v>
      </c>
      <c r="F146" s="226">
        <v>43074.956701388888</v>
      </c>
      <c r="G146" s="225">
        <v>59</v>
      </c>
      <c r="H146" s="227" t="s">
        <v>516</v>
      </c>
      <c r="I146" s="226">
        <v>43074.983020833337</v>
      </c>
      <c r="J146" s="225">
        <v>0</v>
      </c>
      <c r="K146" s="237" t="str">
        <f>IF(ISEVEN(B146),(B146-1)&amp;"/"&amp;B146,B146&amp;"/"&amp;(B146+1))</f>
        <v>4059/4060</v>
      </c>
      <c r="L146" s="245" t="str">
        <f>VLOOKUP(A146,'Trips&amp;Operators'!$C$1:$G$99911,5,FALSE)</f>
        <v>WEST BRYAN</v>
      </c>
      <c r="M146" s="224">
        <f>I146-F146</f>
        <v>2.6319444448745344E-2</v>
      </c>
      <c r="N146" s="225">
        <f>24*60*SUM($M146:$M146)</f>
        <v>37.900000006193295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-05T21:41:53-0700',mode:absolute,to:'2017-12-06T00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6" s="247" t="str">
        <f>IF(AA146&lt;VLOOKUP(AG146,Variables!$AC$3:$AD$8,2,FALSE),"Y","N")</f>
        <v>N</v>
      </c>
      <c r="X146" s="247">
        <f t="shared" si="25"/>
        <v>1</v>
      </c>
      <c r="Y146" s="247">
        <f>RIGHT(D146,LEN(D146)-4)/10000</f>
        <v>23.2879</v>
      </c>
      <c r="Z146" s="247">
        <f>RIGHT(H146,LEN(H146)-4)/10000</f>
        <v>2.69E-2</v>
      </c>
      <c r="AA146" s="247">
        <f>ABS(Z146-Y146)</f>
        <v>23.260999999999999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234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/stypes="app*4059*20171206*"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26"/>
        <v>"%USERPROFILE%\Documents\GitHub\eaglep3\Utilities\RefineRTDCRunTimes.py" --tripid 234-05 --locoid 4059 --swversion DE.1.0.9.0 --startMP 204:232879 --initTime 2017-12-05T22:41:53 --startdatetime 2017-12-05T22:57:39 --delay 59 --endMP 204:269 --enddatetime 2017-12-05T23:35:33 --enforcementcount 0 &gt;&gt;%USERPROFILE%\Documents\GitHub\eaglep3-reporting\EC\2017-12-05-refined-times.txt</v>
      </c>
      <c r="AI146" s="238" t="str">
        <f t="shared" si="27"/>
        <v>echo {"issue":{"subject":"","project_id":79,"tracker_id":40,"status_id":1,"priority_id":2,"assigned_to_id":338,"start_date":"2017-12-05","description":"","custom_fields":[{"id":1,"name":"Subdivision","value":"EC"},{"id":4,"name":"Milepost","value":"0.0269"},{"id":17,"name":"Train ID","value":"234-05"},{"id":16,"name":"Locomotive ID","value":"4059"},{"id":130,"name":"Impact","value":""},{"id":150,"name":"Time of Event (Mountain Time)","value":"23:35:33"},{"id":151,"name":"Denver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28"/>
        <v>start /low /b %USERPROFILE%\Documents\GitHub\eaglep3\Utilities\DownloadLogsFromS3.py --loco 4059 --day 2017-12-05</v>
      </c>
      <c r="AN146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06:35:33"},{"id":29,"name":"Sharepoint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30"/>
        <v>https://d0f6bd738d7f1b3e5a7ca70fe4ff75f0.us-east-1.aws.found.io/app/kibana#/discover/Steve-Slow-Train-Analysis-(2080s-and-2083s)?_g=(refreshInterval:(display:Off,pause:!f,section:0,value:0),time:(from:'2017-12-05T21:41:53-0700',mode:absolute,to:'2017-12-06T00:35:33-0700'))&amp;_a=(columns:!('Message%20ID',Summary),filters:!(),index:'emp_*',interval:auto,query:(query_string:(analyze_wildcard:!t,query:'%22rtdc.l.rtdc.4059%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898</v>
      </c>
      <c r="B147" s="225">
        <v>4056</v>
      </c>
      <c r="C147" s="227" t="s">
        <v>192</v>
      </c>
      <c r="D147" s="227" t="s">
        <v>991</v>
      </c>
      <c r="E147" s="226">
        <v>43074.923090277778</v>
      </c>
      <c r="F147" s="226">
        <v>43074.937754629631</v>
      </c>
      <c r="G147" s="225">
        <v>67</v>
      </c>
      <c r="H147" s="227" t="s">
        <v>506</v>
      </c>
      <c r="I147" s="226">
        <v>43074.962858796294</v>
      </c>
      <c r="J147" s="225">
        <v>0</v>
      </c>
      <c r="K147" s="237" t="str">
        <f>IF(ISEVEN(B147),(B147-1)&amp;"/"&amp;B147,B147&amp;"/"&amp;(B147+1))</f>
        <v>4055/4056</v>
      </c>
      <c r="L147" s="245" t="str">
        <f>VLOOKUP(A147,'Trips&amp;Operators'!$C$1:$G$99911,5,FALSE)</f>
        <v>ANDERS STEVEN</v>
      </c>
      <c r="M147" s="224">
        <f>I147-F147</f>
        <v>2.5104166663368233E-2</v>
      </c>
      <c r="N147" s="225">
        <f>24*60*SUM($M147:$M147)</f>
        <v>36.149999995250255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-05T21:09:15-0700',mode:absolute,to:'2017-12-06T00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5.6599999999999998E-2</v>
      </c>
      <c r="Z147" s="247">
        <f>RIGHT(H147,LEN(H147)-4)/10000</f>
        <v>23.327000000000002</v>
      </c>
      <c r="AA147" s="247">
        <f>ABS(Z147-Y147)</f>
        <v>23.270400000000002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235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s3://rtdc.mdm.uploadarchive.raw/RTDC4056/ "%USERPROFILE%\AppData\Local\Temp\OnboardLogs"\RTDC4056\2017-12-05 --exclude "*" --recursive --include "*20171205*" &amp; "%USERPROFILE%\Documents\GitHub\mrs-test-scripts\Headless Mode &amp; Sideloading\WalkAndUnGZ.bat" "%USERPROFILE%\AppData\Local\Temp\OnboardLogs"\RTDC4056\2017-12-05 &amp; 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/stypes="app*4056*20171206*"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26"/>
        <v>"%USERPROFILE%\Documents\GitHub\eaglep3\Utilities\RefineRTDCRunTimes.py" --tripid 235-05 --locoid 4056 --swversion DE.1.0.9.0 --startMP 204:566 --initTime 2017-12-05T22:09:15 --startdatetime 2017-12-05T22:30:22 --delay 67 --endMP 204:233270 --enddatetime 2017-12-05T23:06:31 --enforcementcount 0 &gt;&gt;%USERPROFILE%\Documents\GitHub\eaglep3-reporting\EC\2017-12-05-refined-times.txt</v>
      </c>
      <c r="AI147" s="238" t="str">
        <f t="shared" si="27"/>
        <v>echo {"issue":{"subject":"","project_id":79,"tracker_id":40,"status_id":1,"priority_id":2,"assigned_to_id":338,"start_date":"2017-12-05","description":"","custom_fields":[{"id":1,"name":"Subdivision","value":"EC"},{"id":4,"name":"Milepost","value":"23.327"},{"id":17,"name":"Train ID","value":"235-05"},{"id":16,"name":"Locomotive ID","value":"4056"},{"id":130,"name":"Impact","value":""},{"id":150,"name":"Time of Event (Mountain Time)","value":"23:06:31"},{"id":151,"name":"Denver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28"/>
        <v>start /low /b %USERPROFILE%\Documents\GitHub\eaglep3\Utilities\DownloadLogsFromS3.py --loco 4056 --day 2017-12-05</v>
      </c>
      <c r="AN147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30"/>
        <v>https://d0f6bd738d7f1b3e5a7ca70fe4ff75f0.us-east-1.aws.found.io/app/kibana#/discover/Steve-Slow-Train-Analysis-(2080s-and-2083s)?_g=(refreshInterval:(display:Off,pause:!f,section:0,value:0),time:(from:'2017-12-05T21:09:15-0700',mode:absolute,to:'2017-12-06T00:06:31-0700'))&amp;_a=(columns:!('Message%20ID',Summary),filters:!(),index:'emp_*',interval:auto,query:(query_string:(analyze_wildcard:!t,query:'%22rtdc.l.rtdc.4056%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903</v>
      </c>
      <c r="B148" s="225">
        <v>4055</v>
      </c>
      <c r="C148" s="227" t="s">
        <v>192</v>
      </c>
      <c r="D148" s="227" t="s">
        <v>417</v>
      </c>
      <c r="E148" s="226">
        <v>43074.966666666667</v>
      </c>
      <c r="F148" s="226">
        <v>43074.977592592593</v>
      </c>
      <c r="G148" s="225">
        <v>58</v>
      </c>
      <c r="H148" s="227" t="s">
        <v>641</v>
      </c>
      <c r="I148" s="226">
        <v>43075.004814814813</v>
      </c>
      <c r="J148" s="225">
        <v>0</v>
      </c>
      <c r="K148" s="237" t="str">
        <f>IF(ISEVEN(B148),(B148-1)&amp;"/"&amp;B148,B148&amp;"/"&amp;(B148+1))</f>
        <v>4055/4056</v>
      </c>
      <c r="L148" s="245" t="str">
        <f>VLOOKUP(A148,'Trips&amp;Operators'!$C$1:$G$99911,5,FALSE)</f>
        <v>ANDERS STEVEN</v>
      </c>
      <c r="M148" s="224">
        <f>I148-F148</f>
        <v>2.7222222219279502E-2</v>
      </c>
      <c r="N148" s="225">
        <f>24*60*SUM($M148:$M148)</f>
        <v>39.199999995762482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-05T22:12:00-0700',mode:absolute,to:'2017-12-06T01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23.293199999999999</v>
      </c>
      <c r="Z148" s="247">
        <f>RIGHT(H148,LEN(H148)-4)/10000</f>
        <v>2.47E-2</v>
      </c>
      <c r="AA148" s="247">
        <f>ABS(Z148-Y148)</f>
        <v>23.2685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236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/stypes="app*4055*20171206*" /stext=" 07:.+((SYSTEM_STATE.+slice.+state.+changed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26"/>
        <v>"%USERPROFILE%\Documents\GitHub\eaglep3\Utilities\RefineRTDCRunTimes.py" --tripid 236-05 --locoid 4055 --swversion DE.1.0.9.0 --startMP 204:232932 --initTime 2017-12-05T23:12:00 --startdatetime 2017-12-05T23:27:44 --delay 58 --endMP 204:247 --enddatetime 2017-12-06T00:06:56 --enforcementcount 0 &gt;&gt;%USERPROFILE%\Documents\GitHub\eaglep3-reporting\EC\2017-12-05-refined-times.txt</v>
      </c>
      <c r="AI148" s="238" t="str">
        <f t="shared" si="27"/>
        <v>echo {"issue":{"subject":"","project_id":79,"tracker_id":40,"status_id":1,"priority_id":2,"assigned_to_id":338,"start_date":"2017-12-06","description":"","custom_fields":[{"id":1,"name":"Subdivision","value":"EC"},{"id":4,"name":"Milepost","value":"0.0247"},{"id":17,"name":"Train ID","value":"236-05"},{"id":16,"name":"Locomotive ID","value":"4055"},{"id":130,"name":"Impact","value":""},{"id":150,"name":"Time of Event (Mountain Time)","value":"00:06:56"},{"id":151,"name":"Denver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28"/>
        <v>start /low /b %USERPROFILE%\Documents\GitHub\eaglep3\Utilities\DownloadLogsFromS3.py --loco 4055 --day 2017-12-05</v>
      </c>
      <c r="AN148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07:06:56"},{"id":29,"name":"Sharepoint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30"/>
        <v>https://d0f6bd738d7f1b3e5a7ca70fe4ff75f0.us-east-1.aws.found.io/app/kibana#/discover/Steve-Slow-Train-Analysis-(2080s-and-2083s)?_g=(refreshInterval:(display:Off,pause:!f,section:0,value:0),time:(from:'2017-12-05T22:12:00-0700',mode:absolute,to:'2017-12-06T01:06:56-0700'))&amp;_a=(columns:!('Message%20ID',Summary),filters:!(),index:'emp_*',interval:auto,query:(query_string:(analyze_wildcard:!t,query:'%22rtdc.l.rtdc.4055%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902</v>
      </c>
      <c r="B149" s="225">
        <v>4044</v>
      </c>
      <c r="C149" s="227" t="s">
        <v>192</v>
      </c>
      <c r="D149" s="227" t="s">
        <v>461</v>
      </c>
      <c r="E149" s="226">
        <v>43074.9528587963</v>
      </c>
      <c r="F149" s="226">
        <v>43074.958541666667</v>
      </c>
      <c r="G149" s="225">
        <v>78</v>
      </c>
      <c r="H149" s="227" t="s">
        <v>992</v>
      </c>
      <c r="I149" s="226">
        <v>43074.982245370367</v>
      </c>
      <c r="J149" s="225">
        <v>0</v>
      </c>
      <c r="K149" s="237" t="str">
        <f>IF(ISEVEN(B149),(B149-1)&amp;"/"&amp;B149,B149&amp;"/"&amp;(B149+1))</f>
        <v>4043/4044</v>
      </c>
      <c r="L149" s="245" t="str">
        <f>VLOOKUP(A149,'Trips&amp;Operators'!$C$1:$G$99911,5,FALSE)</f>
        <v>RESPASS AARON</v>
      </c>
      <c r="M149" s="224">
        <f>I149-F149</f>
        <v>2.3703703700448386E-2</v>
      </c>
      <c r="N149" s="225">
        <f>24*60*SUM($M149:$M149)</f>
        <v>34.133333328645676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-05T21:52:07-0700',mode:absolute,to:'2017-12-06T00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5.1999999999999998E-2</v>
      </c>
      <c r="Z149" s="247">
        <f>RIGHT(H149,LEN(H149)-4)/10000</f>
        <v>23.325099999999999</v>
      </c>
      <c r="AA149" s="247">
        <f>ABS(Z149-Y149)</f>
        <v>23.273099999999999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237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/stypes="app*4044*20171206*"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26"/>
        <v>"%USERPROFILE%\Documents\GitHub\eaglep3\Utilities\RefineRTDCRunTimes.py" --tripid 237-05 --locoid 4044 --swversion DE.1.0.9.0 --startMP 204:520 --initTime 2017-12-05T22:52:07 --startdatetime 2017-12-05T23:00:18 --delay 78 --endMP 204:233251 --enddatetime 2017-12-05T23:34:26 --enforcementcount 0 &gt;&gt;%USERPROFILE%\Documents\GitHub\eaglep3-reporting\EC\2017-12-05-refined-times.txt</v>
      </c>
      <c r="AI149" s="238" t="str">
        <f t="shared" si="27"/>
        <v>echo {"issue":{"subject":"","project_id":79,"tracker_id":40,"status_id":1,"priority_id":2,"assigned_to_id":338,"start_date":"2017-12-05","description":"","custom_fields":[{"id":1,"name":"Subdivision","value":"EC"},{"id":4,"name":"Milepost","value":"23.3251"},{"id":17,"name":"Train ID","value":"237-05"},{"id":16,"name":"Locomotive ID","value":"4044"},{"id":130,"name":"Impact","value":""},{"id":150,"name":"Time of Event (Mountain Time)","value":"23:34:26"},{"id":151,"name":"Denver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28"/>
        <v>start /low /b %USERPROFILE%\Documents\GitHub\eaglep3\Utilities\DownloadLogsFromS3.py --loco 4044 --day 2017-12-05</v>
      </c>
      <c r="AN149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06:34:26"},{"id":29,"name":"Sharepoint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30"/>
        <v>https://d0f6bd738d7f1b3e5a7ca70fe4ff75f0.us-east-1.aws.found.io/app/kibana#/discover/Steve-Slow-Train-Analysis-(2080s-and-2083s)?_g=(refreshInterval:(display:Off,pause:!f,section:0,value:0),time:(from:'2017-12-05T21:52:07-0700',mode:absolute,to:'2017-12-06T00:34:26-0700'))&amp;_a=(columns:!('Message%20ID',Summary),filters:!(),index:'emp_*',interval:auto,query:(query_string:(analyze_wildcard:!t,query:'%22rtdc.l.rtdc.4044%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906</v>
      </c>
      <c r="B150" s="225">
        <v>4043</v>
      </c>
      <c r="C150" s="227" t="s">
        <v>192</v>
      </c>
      <c r="D150" s="227" t="s">
        <v>417</v>
      </c>
      <c r="E150" s="226">
        <v>43074.995671296296</v>
      </c>
      <c r="F150" s="226">
        <v>43074.998055555552</v>
      </c>
      <c r="G150" s="225">
        <v>66</v>
      </c>
      <c r="H150" s="227" t="s">
        <v>993</v>
      </c>
      <c r="I150" s="226">
        <v>43075.023425925923</v>
      </c>
      <c r="J150" s="225">
        <v>0</v>
      </c>
      <c r="K150" s="237" t="str">
        <f>IF(ISEVEN(B150),(B150-1)&amp;"/"&amp;B150,B150&amp;"/"&amp;(B150+1))</f>
        <v>4043/4044</v>
      </c>
      <c r="L150" s="245" t="str">
        <f>VLOOKUP(A150,'Trips&amp;Operators'!$C$1:$G$99911,5,FALSE)</f>
        <v>RESPASS AARON</v>
      </c>
      <c r="M150" s="224">
        <f>I150-F150</f>
        <v>2.5370370371092577E-2</v>
      </c>
      <c r="N150" s="225">
        <f>24*60*SUM($M150:$M150)</f>
        <v>36.53333333437331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-05T22:53:46-0700',mode:absolute,to:'2017-12-06T01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23.293199999999999</v>
      </c>
      <c r="Z150" s="247">
        <f>RIGHT(H150,LEN(H150)-4)/10000</f>
        <v>2.8199999999999999E-2</v>
      </c>
      <c r="AA150" s="247">
        <f>ABS(Z150-Y150)</f>
        <v>23.265000000000001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238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/stypes="app*4043*20171206*"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26"/>
        <v>"%USERPROFILE%\Documents\GitHub\eaglep3\Utilities\RefineRTDCRunTimes.py" --tripid 238-05 --locoid 4043 --swversion DE.1.0.9.0 --startMP 204:232932 --initTime 2017-12-05T23:53:46 --startdatetime 2017-12-05T23:57:12 --delay 66 --endMP 204:282 --enddatetime 2017-12-06T00:33:44 --enforcementcount 0 &gt;&gt;%USERPROFILE%\Documents\GitHub\eaglep3-reporting\EC\2017-12-05-refined-times.txt</v>
      </c>
      <c r="AI150" s="238" t="str">
        <f t="shared" si="27"/>
        <v>echo {"issue":{"subject":"","project_id":79,"tracker_id":40,"status_id":1,"priority_id":2,"assigned_to_id":338,"start_date":"2017-12-06","description":"","custom_fields":[{"id":1,"name":"Subdivision","value":"EC"},{"id":4,"name":"Milepost","value":"0.0282"},{"id":17,"name":"Train ID","value":"238-05"},{"id":16,"name":"Locomotive ID","value":"4043"},{"id":130,"name":"Impact","value":""},{"id":150,"name":"Time of Event (Mountain Time)","value":"00:33:44"},{"id":151,"name":"Denver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28"/>
        <v>start /low /b %USERPROFILE%\Documents\GitHub\eaglep3\Utilities\DownloadLogsFromS3.py --loco 4043 --day 2017-12-05</v>
      </c>
      <c r="AN150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07:33:44"},{"id":29,"name":"Sharepoint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30"/>
        <v>https://d0f6bd738d7f1b3e5a7ca70fe4ff75f0.us-east-1.aws.found.io/app/kibana#/discover/Steve-Slow-Train-Analysis-(2080s-and-2083s)?_g=(refreshInterval:(display:Off,pause:!f,section:0,value:0),time:(from:'2017-12-05T22:53:46-0700',mode:absolute,to:'2017-12-06T01:33:44-0700'))&amp;_a=(columns:!('Message%20ID',Summary),filters:!(),index:'emp_*',interval:auto,query:(query_string:(analyze_wildcard:!t,query:'%22rtdc.l.rtdc.4043%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1071</v>
      </c>
      <c r="B151" s="225">
        <v>4043</v>
      </c>
      <c r="C151" s="227" t="s">
        <v>192</v>
      </c>
      <c r="D151" s="227" t="s">
        <v>417</v>
      </c>
      <c r="E151" s="226">
        <v>43074.995671296296</v>
      </c>
      <c r="F151" s="226">
        <v>43074.998055555552</v>
      </c>
      <c r="G151" s="225">
        <v>66</v>
      </c>
      <c r="H151" s="227" t="s">
        <v>993</v>
      </c>
      <c r="I151" s="226">
        <v>43075.023425925923</v>
      </c>
      <c r="J151" s="225">
        <v>0</v>
      </c>
      <c r="K151" s="237" t="str">
        <f>IF(ISEVEN(B151),(B151-1)&amp;"/"&amp;B151,B151&amp;"/"&amp;(B151+1))</f>
        <v>4043/4044</v>
      </c>
      <c r="L151" s="245" t="e">
        <f>VLOOKUP(A151,'Trips&amp;Operators'!$C$1:$G$99911,5,FALSE)</f>
        <v>#N/A</v>
      </c>
      <c r="M151" s="224">
        <f>I151-F151</f>
        <v>2.5370370371092577E-2</v>
      </c>
      <c r="N151" s="225"/>
      <c r="O151" s="225"/>
      <c r="P151" s="225">
        <v>1</v>
      </c>
      <c r="Q151" s="228"/>
      <c r="R151" s="242" t="s">
        <v>1072</v>
      </c>
      <c r="S151" s="249">
        <f>1/IF(AG151="EC",12,1)*SUM(U151:U151)</f>
        <v>0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-05T22:53:46-0700',mode:absolute,to:'2017-12-06T01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23.293199999999999</v>
      </c>
      <c r="Z151" s="247">
        <f>RIGHT(H151,LEN(H151)-4)/10000</f>
        <v>2.8199999999999999E-2</v>
      </c>
      <c r="AA151" s="247">
        <f>ABS(Z151-Y151)</f>
        <v>23.265000000000001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239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/stypes="app*4043*20171206*"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ref="AH151" si="31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239-05 --locoid 4043 --swversion DE.1.0.9.0 --startMP 204:232932 --initTime 2017-12-05T23:53:46 --startdatetime 2017-12-05T23:57:12 --delay 66 --endMP 204:282 --enddatetime 2017-12-06T00:33:44 --enforcementcount 0 &gt;&gt;%USERPROFILE%\Documents\GitHub\eaglep3-reporting\EC\2017-12-05-refined-times.txt</v>
      </c>
      <c r="AI151" s="238" t="str">
        <f t="shared" ref="AI151" si="32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{"issue":{"subject":"Did not init","project_id":79,"tracker_id":40,"status_id":1,"priority_id":2,"assigned_to_id":338,"start_date":"2017-12-06","description":"","custom_fields":[{"id":1,"name":"Subdivision","value":"EC"},{"id":4,"name":"Milepost","value":"0.0282"},{"id":17,"name":"Train ID","value":"239-05"},{"id":16,"name":"Locomotive ID","value":"4043"},{"id":130,"name":"Impact","value":""},{"id":150,"name":"Time of Event (Mountain Time)","value":"00:33:44"},{"id":151,"name":"Denver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ref="AM151" si="33">"start /low /b "&amp;dls3logs&amp;" --loco "&amp;B151&amp;" --day "&amp;TEXT(F151,"YYYY-MM-DD")</f>
        <v>start /low /b %USERPROFILE%\Documents\GitHub\eaglep3\Utilities\DownloadLogsFromS3.py --loco 4043 --day 2017-12-05</v>
      </c>
      <c r="AN151" s="241" t="str">
        <f t="shared" ref="AN151" si="34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07:33:44"},{"id":29,"name":"Sharepoint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ref="AO151" si="35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-05T22:53:46-0700',mode:absolute,to:'2017-12-06T01:33:44-0700'))&amp;_a=(columns:!('Message%20ID',Summary),filters:!(),index:'emp_*',interval:auto,query:(query_string:(analyze_wildcard:!t,query:'%22rtdc.l.rtdc.4043%22')),sort:!(Time.ISO8601,asc))</v>
      </c>
    </row>
    <row r="152" spans="1:91" s="20" customFormat="1" x14ac:dyDescent="0.25">
      <c r="A152" s="229" t="s">
        <v>907</v>
      </c>
      <c r="B152" s="225">
        <v>4053</v>
      </c>
      <c r="C152" s="227" t="s">
        <v>192</v>
      </c>
      <c r="D152" s="227" t="s">
        <v>417</v>
      </c>
      <c r="E152" s="226">
        <v>43075.01525462963</v>
      </c>
      <c r="F152" s="226">
        <v>43075.018946759257</v>
      </c>
      <c r="G152" s="225">
        <v>71</v>
      </c>
      <c r="H152" s="227" t="s">
        <v>994</v>
      </c>
      <c r="I152" s="226">
        <v>43075.044641203705</v>
      </c>
      <c r="J152" s="225">
        <v>0</v>
      </c>
      <c r="K152" s="237" t="str">
        <f>IF(ISEVEN(B152),(B152-1)&amp;"/"&amp;B152,B152&amp;"/"&amp;(B152+1))</f>
        <v>4053/4054</v>
      </c>
      <c r="L152" s="245" t="str">
        <f>VLOOKUP(A152,'Trips&amp;Operators'!$C$1:$G$99911,5,FALSE)</f>
        <v>LOZA FIDEL</v>
      </c>
      <c r="M152" s="224">
        <f>I152-F152</f>
        <v>2.5694444448163267E-2</v>
      </c>
      <c r="N152" s="225">
        <f>24*60*SUM($M152:$M152)</f>
        <v>37.000000005355105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-05T23:21:58-0700',mode:absolute,to:'2017-12-06T02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247" t="str">
        <f>IF(AA152&lt;VLOOKUP(AG152,Variables!$AC$3:$AD$8,2,FALSE),"Y","N")</f>
        <v>N</v>
      </c>
      <c r="X152" s="247">
        <f t="shared" ref="X152:X153" si="36">VALUE(LEFT(AD152,4))-VALUE(LEFT(AD151,4))</f>
        <v>1</v>
      </c>
      <c r="Y152" s="247">
        <f>RIGHT(D152,LEN(D152)-4)/10000</f>
        <v>23.293199999999999</v>
      </c>
      <c r="Z152" s="247">
        <f>RIGHT(H152,LEN(H152)-4)/10000</f>
        <v>1.9400000000000001E-2</v>
      </c>
      <c r="AA152" s="247">
        <f>ABS(Z152-Y152)</f>
        <v>23.273799999999998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240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 &amp; 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/stypes="app*4053*20171206*" /stext=" 08:.+((SYSTEM_STATE.+slice.+state.+changed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26"/>
        <v>"%USERPROFILE%\Documents\GitHub\eaglep3\Utilities\RefineRTDCRunTimes.py" --tripid 240-05 --locoid 4053 --swversion DE.1.0.9.0 --startMP 204:232932 --initTime 2017-12-06T00:21:58 --startdatetime 2017-12-06T00:27:17 --delay 71 --endMP 204:194 --enddatetime 2017-12-06T01:04:17 --enforcementcount 0 &gt;&gt;%USERPROFILE%\Documents\GitHub\eaglep3-reporting\EC\2017-12-05-refined-times.txt</v>
      </c>
      <c r="AI152" s="238" t="str">
        <f t="shared" si="27"/>
        <v>echo {"issue":{"subject":"","project_id":79,"tracker_id":40,"status_id":1,"priority_id":2,"assigned_to_id":338,"start_date":"2017-12-06","description":"","custom_fields":[{"id":1,"name":"Subdivision","value":"EC"},{"id":4,"name":"Milepost","value":"0.0194"},{"id":17,"name":"Train ID","value":"240-05"},{"id":16,"name":"Locomotive ID","value":"4053"},{"id":130,"name":"Impact","value":""},{"id":150,"name":"Time of Event (Mountain Time)","value":"01:04:17"},{"id":151,"name":"Denver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28"/>
        <v>start /low /b %USERPROFILE%\Documents\GitHub\eaglep3\Utilities\DownloadLogsFromS3.py --loco 4053 --day 2017-12-06</v>
      </c>
      <c r="AN152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08:04:17"},{"id":29,"name":"Sharepoint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30"/>
        <v>https://d0f6bd738d7f1b3e5a7ca70fe4ff75f0.us-east-1.aws.found.io/app/kibana#/discover/Steve-Slow-Train-Analysis-(2080s-and-2083s)?_g=(refreshInterval:(display:Off,pause:!f,section:0,value:0),time:(from:'2017-12-05T23:21:58-0700',mode:absolute,to:'2017-12-06T02:04:17-0700'))&amp;_a=(columns:!('Message%20ID',Summary),filters:!(),index:'emp_*',interval:auto,query:(query_string:(analyze_wildcard:!t,query:'%22rtdc.l.rtdc.4053%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905</v>
      </c>
      <c r="B153" s="225">
        <v>4060</v>
      </c>
      <c r="C153" s="227" t="s">
        <v>192</v>
      </c>
      <c r="D153" s="227" t="s">
        <v>639</v>
      </c>
      <c r="E153" s="226">
        <v>43074.985115740739</v>
      </c>
      <c r="F153" s="226">
        <v>43075.000300925924</v>
      </c>
      <c r="G153" s="225">
        <v>56</v>
      </c>
      <c r="H153" s="227" t="s">
        <v>644</v>
      </c>
      <c r="I153" s="226">
        <v>43075.024108796293</v>
      </c>
      <c r="J153" s="225">
        <v>0</v>
      </c>
      <c r="K153" s="237" t="str">
        <f>IF(ISEVEN(B153),(B153-1)&amp;"/"&amp;B153,B153&amp;"/"&amp;(B153+1))</f>
        <v>4059/4060</v>
      </c>
      <c r="L153" s="245" t="str">
        <f>VLOOKUP(A153,'Trips&amp;Operators'!$C$1:$G$99911,5,FALSE)</f>
        <v>WEST BRYAN</v>
      </c>
      <c r="M153" s="224">
        <f>I153-F153</f>
        <v>2.3807870369637385E-2</v>
      </c>
      <c r="N153" s="225">
        <f>24*60*SUM($M153:$M153)</f>
        <v>34.283333332277834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-05T22:38:34-0700',mode:absolute,to:'2017-12-06T01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3" s="247" t="str">
        <f>IF(AA153&lt;VLOOKUP(AG153,Variables!$AC$3:$AD$8,2,FALSE),"Y","N")</f>
        <v>N</v>
      </c>
      <c r="X153" s="247">
        <f t="shared" si="36"/>
        <v>1</v>
      </c>
      <c r="Y153" s="247">
        <f>RIGHT(D153,LEN(D153)-4)/10000</f>
        <v>5.5899999999999998E-2</v>
      </c>
      <c r="Z153" s="247">
        <f>RIGHT(H153,LEN(H153)-4)/10000</f>
        <v>23.320900000000002</v>
      </c>
      <c r="AA153" s="247">
        <f>ABS(Z153-Y153)</f>
        <v>23.265000000000001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241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 &amp; 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/stypes="app*4060*20171206*"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26"/>
        <v>"%USERPROFILE%\Documents\GitHub\eaglep3\Utilities\RefineRTDCRunTimes.py" --tripid 241-05 --locoid 4060 --swversion DE.1.0.9.0 --startMP 204:559 --initTime 2017-12-05T23:38:34 --startdatetime 2017-12-06T00:00:26 --delay 56 --endMP 204:233209 --enddatetime 2017-12-06T00:34:43 --enforcementcount 0 &gt;&gt;%USERPROFILE%\Documents\GitHub\eaglep3-reporting\EC\2017-12-05-refined-times.txt</v>
      </c>
      <c r="AI153" s="238" t="str">
        <f t="shared" si="27"/>
        <v>echo {"issue":{"subject":"","project_id":79,"tracker_id":40,"status_id":1,"priority_id":2,"assigned_to_id":338,"start_date":"2017-12-06","description":"","custom_fields":[{"id":1,"name":"Subdivision","value":"EC"},{"id":4,"name":"Milepost","value":"23.3209"},{"id":17,"name":"Train ID","value":"241-05"},{"id":16,"name":"Locomotive ID","value":"4060"},{"id":130,"name":"Impact","value":""},{"id":150,"name":"Time of Event (Mountain Time)","value":"00:34:43"},{"id":151,"name":"Denver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28"/>
        <v>start /low /b %USERPROFILE%\Documents\GitHub\eaglep3\Utilities\DownloadLogsFromS3.py --loco 4060 --day 2017-12-06</v>
      </c>
      <c r="AN153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07:34:43"},{"id":29,"name":"Sharepoint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30"/>
        <v>https://d0f6bd738d7f1b3e5a7ca70fe4ff75f0.us-east-1.aws.found.io/app/kibana#/discover/Steve-Slow-Train-Analysis-(2080s-and-2083s)?_g=(refreshInterval:(display:Off,pause:!f,section:0,value:0),time:(from:'2017-12-05T22:38:34-0700',mode:absolute,to:'2017-12-06T01:34:43-0700'))&amp;_a=(columns:!('Message%20ID',Summary),filters:!(),index:'emp_*',interval:auto,query:(query_string:(analyze_wildcard:!t,query:'%22rtdc.l.rtdc.4060%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910</v>
      </c>
      <c r="B154" s="225">
        <v>4059</v>
      </c>
      <c r="C154" s="227" t="s">
        <v>192</v>
      </c>
      <c r="D154" s="227" t="s">
        <v>967</v>
      </c>
      <c r="E154" s="226">
        <v>43075.026886574073</v>
      </c>
      <c r="F154" s="226">
        <v>43075.039930555555</v>
      </c>
      <c r="G154" s="225">
        <v>120</v>
      </c>
      <c r="H154" s="227" t="s">
        <v>995</v>
      </c>
      <c r="I154" s="226">
        <v>43075.06759259259</v>
      </c>
      <c r="J154" s="225">
        <v>0</v>
      </c>
      <c r="K154" s="237" t="str">
        <f>IF(ISEVEN(B154),(B154-1)&amp;"/"&amp;B154,B154&amp;"/"&amp;(B154+1))</f>
        <v>4059/4060</v>
      </c>
      <c r="L154" s="245" t="str">
        <f>VLOOKUP(A154,'Trips&amp;Operators'!$C$1:$G$99911,5,FALSE)</f>
        <v>WEST BRYAN</v>
      </c>
      <c r="M154" s="224">
        <f>I154-F154</f>
        <v>2.7662037035042886E-2</v>
      </c>
      <c r="N154" s="225">
        <f>24*60*SUM($M154:$M154)</f>
        <v>39.833333330461755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-05T23:38:43-0700',mode:absolute,to:'2017-12-06T02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23.288599999999999</v>
      </c>
      <c r="Z154" s="247">
        <f>RIGHT(H154,LEN(H154)-4)/10000</f>
        <v>2.8000000000000001E-2</v>
      </c>
      <c r="AA154" s="247">
        <f>ABS(Z154-Y154)</f>
        <v>23.2606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242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 &amp; 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/stypes="app*4059*20171206*" /stext=" 08:.+((SYSTEM_STATE.+slice.+state.+changed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26"/>
        <v>"%USERPROFILE%\Documents\GitHub\eaglep3\Utilities\RefineRTDCRunTimes.py" --tripid 242-05 --locoid 4059 --swversion DE.1.0.9.0 --startMP 204:232886 --initTime 2017-12-06T00:38:43 --startdatetime 2017-12-06T00:57:30 --delay 120 --endMP 204:280 --enddatetime 2017-12-06T01:37:20 --enforcementcount 0 &gt;&gt;%USERPROFILE%\Documents\GitHub\eaglep3-reporting\EC\2017-12-05-refined-times.txt</v>
      </c>
      <c r="AI154" s="238" t="str">
        <f t="shared" si="27"/>
        <v>echo {"issue":{"subject":"","project_id":79,"tracker_id":40,"status_id":1,"priority_id":2,"assigned_to_id":338,"start_date":"2017-12-06","description":"","custom_fields":[{"id":1,"name":"Subdivision","value":"EC"},{"id":4,"name":"Milepost","value":"0.028"},{"id":17,"name":"Train ID","value":"242-05"},{"id":16,"name":"Locomotive ID","value":"4059"},{"id":130,"name":"Impact","value":""},{"id":150,"name":"Time of Event (Mountain Time)","value":"01:37:20"},{"id":151,"name":"Denver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28"/>
        <v>start /low /b %USERPROFILE%\Documents\GitHub\eaglep3\Utilities\DownloadLogsFromS3.py --loco 4059 --day 2017-12-06</v>
      </c>
      <c r="AN154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08:37:20"},{"id":29,"name":"Sharepoint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30"/>
        <v>https://d0f6bd738d7f1b3e5a7ca70fe4ff75f0.us-east-1.aws.found.io/app/kibana#/discover/Steve-Slow-Train-Analysis-(2080s-and-2083s)?_g=(refreshInterval:(display:Off,pause:!f,section:0,value:0),time:(from:'2017-12-05T23:38:43-0700',mode:absolute,to:'2017-12-06T02:37:20-0700'))&amp;_a=(columns:!('Message%20ID',Summary),filters:!(),index:'emp_*',interval:auto,query:(query_string:(analyze_wildcard:!t,query:'%22rtdc.l.rtdc.4059%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25">
      <c r="A155" s="229" t="s">
        <v>908</v>
      </c>
      <c r="B155" s="225">
        <v>4056</v>
      </c>
      <c r="C155" s="227" t="s">
        <v>192</v>
      </c>
      <c r="D155" s="227" t="s">
        <v>958</v>
      </c>
      <c r="E155" s="226">
        <v>43075.018553240741</v>
      </c>
      <c r="F155" s="226">
        <v>43075.021168981482</v>
      </c>
      <c r="G155" s="225">
        <v>74</v>
      </c>
      <c r="H155" s="227" t="s">
        <v>996</v>
      </c>
      <c r="I155" s="226">
        <v>43075.045949074076</v>
      </c>
      <c r="J155" s="225">
        <v>0</v>
      </c>
      <c r="K155" s="237" t="str">
        <f>IF(ISEVEN(B155),(B155-1)&amp;"/"&amp;B155,B155&amp;"/"&amp;(B155+1))</f>
        <v>4055/4056</v>
      </c>
      <c r="L155" s="245" t="str">
        <f>VLOOKUP(A155,'Trips&amp;Operators'!$C$1:$G$99911,5,FALSE)</f>
        <v>ANDERS STEVEN</v>
      </c>
      <c r="M155" s="224">
        <f>I155-F155</f>
        <v>2.4780092593573499E-2</v>
      </c>
      <c r="N155" s="225">
        <f>24*60*SUM($M155:$M155)</f>
        <v>35.683333334745839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-05T23:26:43-0700',mode:absolute,to:'2017-12-06T02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5.4899999999999997E-2</v>
      </c>
      <c r="Z155" s="247">
        <f>RIGHT(H155,LEN(H155)-4)/10000</f>
        <v>23.3216</v>
      </c>
      <c r="AA155" s="247">
        <f>ABS(Z155-Y155)</f>
        <v>23.2667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243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 &amp; 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/stypes="app*4056*20171206*"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26"/>
        <v>"%USERPROFILE%\Documents\GitHub\eaglep3\Utilities\RefineRTDCRunTimes.py" --tripid 243-05 --locoid 4056 --swversion DE.1.0.9.0 --startMP 204:549 --initTime 2017-12-06T00:26:43 --startdatetime 2017-12-06T00:30:29 --delay 74 --endMP 204:233216 --enddatetime 2017-12-06T01:06:10 --enforcementcount 0 &gt;&gt;%USERPROFILE%\Documents\GitHub\eaglep3-reporting\EC\2017-12-05-refined-times.txt</v>
      </c>
      <c r="AI155" s="238" t="str">
        <f t="shared" si="27"/>
        <v>echo {"issue":{"subject":"","project_id":79,"tracker_id":40,"status_id":1,"priority_id":2,"assigned_to_id":338,"start_date":"2017-12-06","description":"","custom_fields":[{"id":1,"name":"Subdivision","value":"EC"},{"id":4,"name":"Milepost","value":"23.3216"},{"id":17,"name":"Train ID","value":"243-05"},{"id":16,"name":"Locomotive ID","value":"4056"},{"id":130,"name":"Impact","value":""},{"id":150,"name":"Time of Event (Mountain Time)","value":"01:06:10"},{"id":151,"name":"Denver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28"/>
        <v>start /low /b %USERPROFILE%\Documents\GitHub\eaglep3\Utilities\DownloadLogsFromS3.py --loco 4056 --day 2017-12-06</v>
      </c>
      <c r="AN155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08:06:10"},{"id":29,"name":"Sharepoint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30"/>
        <v>https://d0f6bd738d7f1b3e5a7ca70fe4ff75f0.us-east-1.aws.found.io/app/kibana#/discover/Steve-Slow-Train-Analysis-(2080s-and-2083s)?_g=(refreshInterval:(display:Off,pause:!f,section:0,value:0),time:(from:'2017-12-05T23:26:43-0700',mode:absolute,to:'2017-12-06T02:06:10-0700'))&amp;_a=(columns:!('Message%20ID',Summary),filters:!(),index:'emp_*',interval:auto,query:(query_string:(analyze_wildcard:!t,query:'%22rtdc.l.rtdc.4056%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9" t="s">
        <v>912</v>
      </c>
      <c r="B156" s="225">
        <v>4055</v>
      </c>
      <c r="C156" s="227" t="s">
        <v>192</v>
      </c>
      <c r="D156" s="227" t="s">
        <v>555</v>
      </c>
      <c r="E156" s="226">
        <v>43075.048495370371</v>
      </c>
      <c r="F156" s="226">
        <v>43075.060636574075</v>
      </c>
      <c r="G156" s="225">
        <v>73</v>
      </c>
      <c r="H156" s="227" t="s">
        <v>566</v>
      </c>
      <c r="I156" s="226">
        <v>43075.087789351855</v>
      </c>
      <c r="J156" s="225">
        <v>0</v>
      </c>
      <c r="K156" s="237" t="str">
        <f>IF(ISEVEN(B156),(B156-1)&amp;"/"&amp;B156,B156&amp;"/"&amp;(B156+1))</f>
        <v>4055/4056</v>
      </c>
      <c r="L156" s="245" t="str">
        <f>VLOOKUP(A156,'Trips&amp;Operators'!$C$1:$G$99911,5,FALSE)</f>
        <v>ANDERS STEVEN</v>
      </c>
      <c r="M156" s="224">
        <f>I156-F156</f>
        <v>2.715277778042946E-2</v>
      </c>
      <c r="N156" s="225">
        <f>24*60*SUM($M156:$M156)</f>
        <v>39.100000003818423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-06T00:09:50-0700',mode:absolute,to:'2017-12-06T03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23.2942</v>
      </c>
      <c r="Z156" s="247">
        <f>RIGHT(H156,LEN(H156)-4)/10000</f>
        <v>2.3400000000000001E-2</v>
      </c>
      <c r="AA156" s="247">
        <f>ABS(Z156-Y156)</f>
        <v>23.270800000000001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244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 &amp; 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/stypes="app*4055*20171206*" /stext=" 09:.+((SYSTEM_STATE.+slice.+state.+changed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26"/>
        <v>"%USERPROFILE%\Documents\GitHub\eaglep3\Utilities\RefineRTDCRunTimes.py" --tripid 244-05 --locoid 4055 --swversion DE.1.0.9.0 --startMP 204:232942 --initTime 2017-12-06T01:09:50 --startdatetime 2017-12-06T01:27:19 --delay 73 --endMP 204:234 --enddatetime 2017-12-06T02:06:25 --enforcementcount 0 &gt;&gt;%USERPROFILE%\Documents\GitHub\eaglep3-reporting\EC\2017-12-05-refined-times.txt</v>
      </c>
      <c r="AI156" s="238" t="str">
        <f t="shared" si="27"/>
        <v>echo {"issue":{"subject":"","project_id":79,"tracker_id":40,"status_id":1,"priority_id":2,"assigned_to_id":338,"start_date":"2017-12-06","description":"","custom_fields":[{"id":1,"name":"Subdivision","value":"EC"},{"id":4,"name":"Milepost","value":"0.0234"},{"id":17,"name":"Train ID","value":"244-05"},{"id":16,"name":"Locomotive ID","value":"4055"},{"id":130,"name":"Impact","value":""},{"id":150,"name":"Time of Event (Mountain Time)","value":"02:06:25"},{"id":151,"name":"Denver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28"/>
        <v>start /low /b %USERPROFILE%\Documents\GitHub\eaglep3\Utilities\DownloadLogsFromS3.py --loco 4055 --day 2017-12-06</v>
      </c>
      <c r="AN156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09:06:25"},{"id":29,"name":"Sharepoint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30"/>
        <v>https://d0f6bd738d7f1b3e5a7ca70fe4ff75f0.us-east-1.aws.found.io/app/kibana#/discover/Steve-Slow-Train-Analysis-(2080s-and-2083s)?_g=(refreshInterval:(display:Off,pause:!f,section:0,value:0),time:(from:'2017-12-06T00:09:50-0700',mode:absolute,to:'2017-12-06T03:06:25-0700'))&amp;_a=(columns:!('Message%20ID',Summary),filters:!(),index:'emp_*',interval:auto,query:(query_string:(analyze_wildcard:!t,query:'%22rtdc.l.rtdc.4055%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25">
      <c r="A157" s="229" t="s">
        <v>724</v>
      </c>
      <c r="B157" s="225">
        <v>4011</v>
      </c>
      <c r="C157" s="227" t="s">
        <v>192</v>
      </c>
      <c r="D157" s="227" t="s">
        <v>1012</v>
      </c>
      <c r="E157" s="226">
        <v>43074.210439814815</v>
      </c>
      <c r="F157" s="226">
        <v>43074.212638888886</v>
      </c>
      <c r="G157" s="225">
        <v>64</v>
      </c>
      <c r="H157" s="227" t="s">
        <v>1013</v>
      </c>
      <c r="I157" s="226">
        <v>43074.226805555554</v>
      </c>
      <c r="J157" s="225">
        <v>0</v>
      </c>
      <c r="K157" s="237" t="str">
        <f>IF(ISEVEN(B157),(B157-1)&amp;"/"&amp;B157,B157&amp;"/"&amp;(B157+1))</f>
        <v>4011/4012</v>
      </c>
      <c r="L157" s="245" t="str">
        <f>VLOOKUP(A157,'Trips&amp;Operators'!$C$1:$G$99911,5,FALSE)</f>
        <v>DAVIDSON DAVID</v>
      </c>
      <c r="M157" s="224">
        <f>I157-F157</f>
        <v>1.4166666667733807E-2</v>
      </c>
      <c r="N157" s="225">
        <f>24*60*SUM($M157:$M157)</f>
        <v>20.400000001536682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-05T04:03:02-0700',mode:absolute,to:'2017-12-05T06:26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556</v>
      </c>
      <c r="Y157" s="247">
        <f>RIGHT(D157,LEN(D157)-4)/10000</f>
        <v>5.8628</v>
      </c>
      <c r="Z157" s="247">
        <f>RIGHT(H157,LEN(H157)-4)/10000</f>
        <v>9.2999999999999992E-3</v>
      </c>
      <c r="AA157" s="247">
        <f>ABS(Z157-Y157)</f>
        <v>5.8535000000000004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800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/stypes="app*4011*20171205*" /stext=" 12:.+((SYSTEM_STATE.+slice.+state.+changed )|(ment ac)|(multiple cpu faults)|(system.+state.+changed )|(\[timeout)|(PRM\|1\|D)|(kpr)|(kdp)|(train st.+moving)|(\|lc)|(penalty))"</v>
      </c>
      <c r="AG157" s="244" t="str">
        <f>DetSubdiv(A157)</f>
        <v>NW</v>
      </c>
      <c r="AH157" s="236" t="str">
        <f t="shared" si="26"/>
        <v>"%USERPROFILE%\Documents\GitHub\eaglep3\Utilities\RefineRTDCRunTimes.py" --tripid 800-05 --locoid 4011 --swversion DE.1.0.9.0 --startMP 300:58628 --initTime 2017-12-05T05:03:02 --startdatetime 2017-12-05T05:06:12 --delay 64 --endMP 204:93 --enddatetime 2017-12-05T05:26:36 --enforcementcount 0 &gt;&gt;%USERPROFILE%\Documents\GitHub\eaglep3-reporting\EC\2017-12-05-refined-times.txt</v>
      </c>
      <c r="AI157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{"issue":{"subject":"","project_id":79,"tracker_id":40,"status_id":1,"priority_id":2,"assigned_to_id":338,"start_date":"2017-12-05","description":"","custom_fields":[{"id":1,"name":"Subdivision","value":"NW"},{"id":4,"name":"Milepost","value":"0.0093"},{"id":17,"name":"Train ID","value":"800-05"},{"id":16,"name":"Locomotive ID","value":"4011"},{"id":130,"name":"Impact","value":""},{"id":150,"name":"Time of Event (Mountain Time)","value":"05:26:36"},{"id":151,"name":"Denver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28"/>
        <v>start /low /b %USERPROFILE%\Documents\GitHub\eaglep3\Utilities\DownloadLogsFromS3.py --loco 4011 --day 2017-12-05</v>
      </c>
      <c r="AN157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12:26:36"},{"id":29,"name":"Sharepoint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30"/>
        <v>https://d0f6bd738d7f1b3e5a7ca70fe4ff75f0.us-east-1.aws.found.io/app/kibana#/discover/Steve-Slow-Train-Analysis-(2080s-and-2083s)?_g=(refreshInterval:(display:Off,pause:!f,section:0,value:0),time:(from:'2017-12-05T04:03:02-0700',mode:absolute,to:'2017-12-05T06:26:36-0700'))&amp;_a=(columns:!('Message%20ID',Summary),filters:!(),index:'emp_*',interval:auto,query:(query_string:(analyze_wildcard:!t,query:'%22rtdc.l.rtdc.4011%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9" t="s">
        <v>728</v>
      </c>
      <c r="B158" s="225">
        <v>4012</v>
      </c>
      <c r="C158" s="227" t="s">
        <v>192</v>
      </c>
      <c r="D158" s="227" t="s">
        <v>661</v>
      </c>
      <c r="E158" s="226">
        <v>43074.228252314817</v>
      </c>
      <c r="F158" s="226">
        <v>43074.235636574071</v>
      </c>
      <c r="G158" s="225">
        <v>49</v>
      </c>
      <c r="H158" s="227" t="s">
        <v>498</v>
      </c>
      <c r="I158" s="226">
        <v>43074.246030092596</v>
      </c>
      <c r="J158" s="225">
        <v>0</v>
      </c>
      <c r="K158" s="237" t="str">
        <f>IF(ISEVEN(B158),(B158-1)&amp;"/"&amp;B158,B158&amp;"/"&amp;(B158+1))</f>
        <v>4011/4012</v>
      </c>
      <c r="L158" s="245" t="str">
        <f>VLOOKUP(A158,'Trips&amp;Operators'!$C$1:$G$99911,5,FALSE)</f>
        <v>DAVIDSON DAVID</v>
      </c>
      <c r="M158" s="224">
        <f>I158-F158</f>
        <v>1.0393518525233958E-2</v>
      </c>
      <c r="N158" s="225">
        <f>24*60*SUM($M158:$M158)</f>
        <v>14.966666676336899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-05T04:28:41-0700',mode:absolute,to:'2017-12-05T06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4.0800000000000003E-2</v>
      </c>
      <c r="Z158" s="247">
        <f>RIGHT(H158,LEN(H158)-4)/10000</f>
        <v>5.8928000000000003</v>
      </c>
      <c r="AA158" s="247">
        <f>ABS(Z158-Y158)</f>
        <v>5.8520000000000003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801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/stypes="app*4012*20171205*" /stext=" 12:.+((SYSTEM_STATE.+slice.+state.+changed )|(ment ac)|(multiple cpu faults)|(system.+state.+changed )|(\[timeout)|(PRM\|1\|D)|(kpr)|(kdp)|(train st.+moving)|(\|lc)|(penalty))"</v>
      </c>
      <c r="AG158" s="244" t="str">
        <f>DetSubdiv(A158)</f>
        <v>NW</v>
      </c>
      <c r="AH158" s="236" t="str">
        <f t="shared" si="26"/>
        <v>"%USERPROFILE%\Documents\GitHub\eaglep3\Utilities\RefineRTDCRunTimes.py" --tripid 801-05 --locoid 4012 --swversion DE.1.0.9.0 --startMP 204:408 --initTime 2017-12-05T05:28:41 --startdatetime 2017-12-05T05:39:19 --delay 49 --endMP 300:58928 --enddatetime 2017-12-05T05:54:17 --enforcementcount 0 &gt;&gt;%USERPROFILE%\Documents\GitHub\eaglep3-reporting\EC\2017-12-05-refined-times.txt</v>
      </c>
      <c r="AI158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{"issue":{"subject":"","project_id":79,"tracker_id":40,"status_id":1,"priority_id":2,"assigned_to_id":338,"start_date":"2017-12-05","description":"","custom_fields":[{"id":1,"name":"Subdivision","value":"NW"},{"id":4,"name":"Milepost","value":"5.8928"},{"id":17,"name":"Train ID","value":"801-05"},{"id":16,"name":"Locomotive ID","value":"4012"},{"id":130,"name":"Impact","value":""},{"id":150,"name":"Time of Event (Mountain Time)","value":"05:54:17"},{"id":151,"name":"Denver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28"/>
        <v>start /low /b %USERPROFILE%\Documents\GitHub\eaglep3\Utilities\DownloadLogsFromS3.py --loco 4012 --day 2017-12-05</v>
      </c>
      <c r="AN158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30"/>
        <v>https://d0f6bd738d7f1b3e5a7ca70fe4ff75f0.us-east-1.aws.found.io/app/kibana#/discover/Steve-Slow-Train-Analysis-(2080s-and-2083s)?_g=(refreshInterval:(display:Off,pause:!f,section:0,value:0),time:(from:'2017-12-05T04:28:41-0700',mode:absolute,to:'2017-12-05T06:54:17-0700'))&amp;_a=(columns:!('Message%20ID',Summary),filters:!(),index:'emp_*',interval:auto,query:(query_string:(analyze_wildcard:!t,query:'%22rtdc.l.rtdc.4012%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29" t="s">
        <v>739</v>
      </c>
      <c r="B159" s="225">
        <v>4011</v>
      </c>
      <c r="C159" s="227" t="s">
        <v>192</v>
      </c>
      <c r="D159" s="227" t="s">
        <v>657</v>
      </c>
      <c r="E159" s="226">
        <v>43074.247106481482</v>
      </c>
      <c r="F159" s="226">
        <v>43074.258333333331</v>
      </c>
      <c r="G159" s="225">
        <v>51</v>
      </c>
      <c r="H159" s="227" t="s">
        <v>1014</v>
      </c>
      <c r="I159" s="226">
        <v>43074.26834490741</v>
      </c>
      <c r="J159" s="225">
        <v>0</v>
      </c>
      <c r="K159" s="237" t="str">
        <f>IF(ISEVEN(B159),(B159-1)&amp;"/"&amp;B159,B159&amp;"/"&amp;(B159+1))</f>
        <v>4011/4012</v>
      </c>
      <c r="L159" s="245" t="str">
        <f>VLOOKUP(A159,'Trips&amp;Operators'!$C$1:$G$99911,5,FALSE)</f>
        <v>DAVIDSON DAVID</v>
      </c>
      <c r="M159" s="224">
        <f>I159-F159</f>
        <v>1.0011574078816921E-2</v>
      </c>
      <c r="N159" s="225">
        <f>24*60*SUM($M159:$M159)</f>
        <v>14.416666673496366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-05T04:55:50-0700',mode:absolute,to:'2017-12-05T07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f>RIGHT(D159,LEN(D159)-4)/10000</f>
        <v>5.8619000000000003</v>
      </c>
      <c r="Z159" s="247">
        <f>RIGHT(H159,LEN(H159)-4)/10000</f>
        <v>1.0999999999999999E-2</v>
      </c>
      <c r="AA159" s="247">
        <f>ABS(Z159-Y159)</f>
        <v>5.8509000000000002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802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/stypes="app*4011*20171205*" /stext=" 13:.+((SYSTEM_STATE.+slice.+state.+changed )|(ment ac)|(multiple cpu faults)|(system.+state.+changed )|(\[timeout)|(PRM\|1\|D)|(kpr)|(kdp)|(train st.+moving)|(\|lc)|(penalty))"</v>
      </c>
      <c r="AG159" s="244" t="str">
        <f>DetSubdiv(A159)</f>
        <v>NW</v>
      </c>
      <c r="AH159" s="236" t="str">
        <f t="shared" si="26"/>
        <v>"%USERPROFILE%\Documents\GitHub\eaglep3\Utilities\RefineRTDCRunTimes.py" --tripid 802-05 --locoid 4011 --swversion DE.1.0.9.0 --startMP 300:58619 --initTime 2017-12-05T05:55:50 --startdatetime 2017-12-05T06:12:00 --delay 51 --endMP 204:110 --enddatetime 2017-12-05T06:26:25 --enforcementcount 0 &gt;&gt;%USERPROFILE%\Documents\GitHub\eaglep3-reporting\EC\2017-12-05-refined-times.txt</v>
      </c>
      <c r="AI159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{"issue":{"subject":"","project_id":79,"tracker_id":40,"status_id":1,"priority_id":2,"assigned_to_id":338,"start_date":"2017-12-05","description":"","custom_fields":[{"id":1,"name":"Subdivision","value":"NW"},{"id":4,"name":"Milepost","value":"0.011"},{"id":17,"name":"Train ID","value":"802-05"},{"id":16,"name":"Locomotive ID","value":"4011"},{"id":130,"name":"Impact","value":""},{"id":150,"name":"Time of Event (Mountain Time)","value":"06:26:25"},{"id":151,"name":"Denver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28"/>
        <v>start /low /b %USERPROFILE%\Documents\GitHub\eaglep3\Utilities\DownloadLogsFromS3.py --loco 4011 --day 2017-12-05</v>
      </c>
      <c r="AN159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30"/>
        <v>https://d0f6bd738d7f1b3e5a7ca70fe4ff75f0.us-east-1.aws.found.io/app/kibana#/discover/Steve-Slow-Train-Analysis-(2080s-and-2083s)?_g=(refreshInterval:(display:Off,pause:!f,section:0,value:0),time:(from:'2017-12-05T04:55:50-0700',mode:absolute,to:'2017-12-05T07:26:25-0700'))&amp;_a=(columns:!('Message%20ID',Summary),filters:!(),index:'emp_*',interval:auto,query:(query_string:(analyze_wildcard:!t,query:'%22rtdc.l.rtdc.4011%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735</v>
      </c>
      <c r="B160" s="225">
        <v>4004</v>
      </c>
      <c r="C160" s="227" t="s">
        <v>192</v>
      </c>
      <c r="D160" s="227" t="s">
        <v>658</v>
      </c>
      <c r="E160" s="226">
        <v>43074.244074074071</v>
      </c>
      <c r="F160" s="226">
        <v>43074.256423611114</v>
      </c>
      <c r="G160" s="225">
        <v>61</v>
      </c>
      <c r="H160" s="227" t="s">
        <v>660</v>
      </c>
      <c r="I160" s="226">
        <v>43074.266712962963</v>
      </c>
      <c r="J160" s="225">
        <v>0</v>
      </c>
      <c r="K160" s="237" t="str">
        <f>IF(ISEVEN(B160),(B160-1)&amp;"/"&amp;B160,B160&amp;"/"&amp;(B160+1))</f>
        <v>4003/4004</v>
      </c>
      <c r="L160" s="245" t="str">
        <f>VLOOKUP(A160,'Trips&amp;Operators'!$C$1:$G$99911,5,FALSE)</f>
        <v>FORTUNATO FRANK</v>
      </c>
      <c r="M160" s="224">
        <f>I160-F160</f>
        <v>1.0289351848769002E-2</v>
      </c>
      <c r="N160" s="225">
        <f>24*60*SUM($M160:$M160)</f>
        <v>14.816666662227362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-05T04:51:28-0700',mode:absolute,to:'2017-12-05T07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4.3900000000000002E-2</v>
      </c>
      <c r="Z160" s="247">
        <f>RIGHT(H160,LEN(H160)-4)/10000</f>
        <v>5.8960999999999997</v>
      </c>
      <c r="AA160" s="247">
        <f>ABS(Z160-Y160)</f>
        <v>5.8521999999999998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803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/stypes="app*4004*20171205*" /stext=" 13:.+((SYSTEM_STATE.+slice.+state.+changed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26"/>
        <v>"%USERPROFILE%\Documents\GitHub\eaglep3\Utilities\RefineRTDCRunTimes.py" --tripid 803-05 --locoid 4004 --swversion DE.1.0.9.0 --startMP 204:439 --initTime 2017-12-05T05:51:28 --startdatetime 2017-12-05T06:09:15 --delay 61 --endMP 300:58961 --enddatetime 2017-12-05T06:24:04 --enforcementcount 0 &gt;&gt;%USERPROFILE%\Documents\GitHub\eaglep3-reporting\EC\2017-12-05-refined-times.txt</v>
      </c>
      <c r="AI160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{"issue":{"subject":"","project_id":79,"tracker_id":40,"status_id":1,"priority_id":2,"assigned_to_id":338,"start_date":"2017-12-05","description":"","custom_fields":[{"id":1,"name":"Subdivision","value":"NW"},{"id":4,"name":"Milepost","value":"5.8961"},{"id":17,"name":"Train ID","value":"803-05"},{"id":16,"name":"Locomotive ID","value":"4004"},{"id":130,"name":"Impact","value":""},{"id":150,"name":"Time of Event (Mountain Time)","value":"06:24:04"},{"id":151,"name":"Denver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28"/>
        <v>start /low /b %USERPROFILE%\Documents\GitHub\eaglep3\Utilities\DownloadLogsFromS3.py --loco 4004 --day 2017-12-05</v>
      </c>
      <c r="AN160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30"/>
        <v>https://d0f6bd738d7f1b3e5a7ca70fe4ff75f0.us-east-1.aws.found.io/app/kibana#/discover/Steve-Slow-Train-Analysis-(2080s-and-2083s)?_g=(refreshInterval:(display:Off,pause:!f,section:0,value:0),time:(from:'2017-12-05T04:51:28-0700',mode:absolute,to:'2017-12-05T07:24:04-0700'))&amp;_a=(columns:!('Message%20ID',Summary),filters:!(),index:'emp_*',interval:auto,query:(query_string:(analyze_wildcard:!t,query:'%22rtdc.l.rtdc.4004%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9" t="s">
        <v>677</v>
      </c>
      <c r="B161" s="225">
        <v>4003</v>
      </c>
      <c r="C161" s="227" t="s">
        <v>192</v>
      </c>
      <c r="D161" s="227" t="s">
        <v>1015</v>
      </c>
      <c r="E161" s="226">
        <v>43074.267951388887</v>
      </c>
      <c r="F161" s="226">
        <v>43074.279861111114</v>
      </c>
      <c r="G161" s="225">
        <v>46</v>
      </c>
      <c r="H161" s="227" t="s">
        <v>668</v>
      </c>
      <c r="I161" s="226">
        <v>43074.289305555554</v>
      </c>
      <c r="J161" s="225">
        <v>0</v>
      </c>
      <c r="K161" s="237" t="str">
        <f>IF(ISEVEN(B161),(B161-1)&amp;"/"&amp;B161,B161&amp;"/"&amp;(B161+1))</f>
        <v>4003/4004</v>
      </c>
      <c r="L161" s="245" t="str">
        <f>VLOOKUP(A161,'Trips&amp;Operators'!$C$1:$G$99911,5,FALSE)</f>
        <v>FORTUNATO FRANK</v>
      </c>
      <c r="M161" s="224">
        <f>I161-F161</f>
        <v>9.444444440305233E-3</v>
      </c>
      <c r="N161" s="225">
        <f>24*60*SUM($M161:$M161)</f>
        <v>13.599999994039536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-05T05:25:51-0700',mode:absolute,to:'2017-12-05T07:56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5.8644999999999996</v>
      </c>
      <c r="Z161" s="247">
        <f>RIGHT(H161,LEN(H161)-4)/10000</f>
        <v>1.44E-2</v>
      </c>
      <c r="AA161" s="247">
        <f>ABS(Z161-Y161)</f>
        <v>5.8500999999999994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804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/stypes="app*4003*20171205*"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26"/>
        <v>"%USERPROFILE%\Documents\GitHub\eaglep3\Utilities\RefineRTDCRunTimes.py" --tripid 804-05 --locoid 4003 --swversion DE.1.0.9.0 --startMP 300:58645 --initTime 2017-12-05T06:25:51 --startdatetime 2017-12-05T06:43:00 --delay 46 --endMP 204:144 --enddatetime 2017-12-05T06:56:36 --enforcementcount 0 &gt;&gt;%USERPROFILE%\Documents\GitHub\eaglep3-reporting\EC\2017-12-05-refined-times.txt</v>
      </c>
      <c r="AI161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{"issue":{"subject":"","project_id":79,"tracker_id":40,"status_id":1,"priority_id":2,"assigned_to_id":338,"start_date":"2017-12-05","description":"","custom_fields":[{"id":1,"name":"Subdivision","value":"NW"},{"id":4,"name":"Milepost","value":"0.0144"},{"id":17,"name":"Train ID","value":"804-05"},{"id":16,"name":"Locomotive ID","value":"4003"},{"id":130,"name":"Impact","value":""},{"id":150,"name":"Time of Event (Mountain Time)","value":"06:56:36"},{"id":151,"name":"Denver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28"/>
        <v>start /low /b %USERPROFILE%\Documents\GitHub\eaglep3\Utilities\DownloadLogsFromS3.py --loco 4003 --day 2017-12-05</v>
      </c>
      <c r="AN161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30"/>
        <v>https://d0f6bd738d7f1b3e5a7ca70fe4ff75f0.us-east-1.aws.found.io/app/kibana#/discover/Steve-Slow-Train-Analysis-(2080s-and-2083s)?_g=(refreshInterval:(display:Off,pause:!f,section:0,value:0),time:(from:'2017-12-05T05:25:51-0700',mode:absolute,to:'2017-12-05T07:56:36-0700'))&amp;_a=(columns:!('Message%20ID',Summary),filters:!(),index:'emp_*',interval:auto,query:(query_string:(analyze_wildcard:!t,query:'%22rtdc.l.rtdc.4003%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9" t="s">
        <v>744</v>
      </c>
      <c r="B162" s="225">
        <v>4012</v>
      </c>
      <c r="C162" s="227" t="s">
        <v>192</v>
      </c>
      <c r="D162" s="227" t="s">
        <v>1016</v>
      </c>
      <c r="E162" s="226">
        <v>43074.270196759258</v>
      </c>
      <c r="F162" s="226">
        <v>43074.277303240742</v>
      </c>
      <c r="G162" s="225">
        <v>58</v>
      </c>
      <c r="H162" s="227" t="s">
        <v>551</v>
      </c>
      <c r="I162" s="226">
        <v>43074.287638888891</v>
      </c>
      <c r="J162" s="225">
        <v>0</v>
      </c>
      <c r="K162" s="237" t="str">
        <f>IF(ISEVEN(B162),(B162-1)&amp;"/"&amp;B162,B162&amp;"/"&amp;(B162+1))</f>
        <v>4011/4012</v>
      </c>
      <c r="L162" s="245" t="str">
        <f>VLOOKUP(A162,'Trips&amp;Operators'!$C$1:$G$99911,5,FALSE)</f>
        <v>DAVIDSON DAVID</v>
      </c>
      <c r="M162" s="224">
        <f>I162-F162</f>
        <v>1.0335648148611654E-2</v>
      </c>
      <c r="N162" s="225">
        <f>24*60*SUM($M162:$M162)</f>
        <v>14.883333334000781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-05T05:29:05-0700',mode:absolute,to:'2017-12-05T07:54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4.1200000000000001E-2</v>
      </c>
      <c r="Z162" s="247">
        <f>RIGHT(H162,LEN(H162)-4)/10000</f>
        <v>5.8925999999999998</v>
      </c>
      <c r="AA162" s="247">
        <f>ABS(Z162-Y162)</f>
        <v>5.8513999999999999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805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/stypes="app*4012*20171205*"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26"/>
        <v>"%USERPROFILE%\Documents\GitHub\eaglep3\Utilities\RefineRTDCRunTimes.py" --tripid 805-05 --locoid 4012 --swversion DE.1.0.9.0 --startMP 204:412 --initTime 2017-12-05T06:29:05 --startdatetime 2017-12-05T06:39:19 --delay 58 --endMP 300:58926 --enddatetime 2017-12-05T06:54:12 --enforcementcount 0 &gt;&gt;%USERPROFILE%\Documents\GitHub\eaglep3-reporting\EC\2017-12-05-refined-times.txt</v>
      </c>
      <c r="AI162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{"issue":{"subject":"","project_id":79,"tracker_id":40,"status_id":1,"priority_id":2,"assigned_to_id":338,"start_date":"2017-12-05","description":"","custom_fields":[{"id":1,"name":"Subdivision","value":"NW"},{"id":4,"name":"Milepost","value":"5.8926"},{"id":17,"name":"Train ID","value":"805-05"},{"id":16,"name":"Locomotive ID","value":"4012"},{"id":130,"name":"Impact","value":""},{"id":150,"name":"Time of Event (Mountain Time)","value":"06:54:12"},{"id":151,"name":"Denver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28"/>
        <v>start /low /b %USERPROFILE%\Documents\GitHub\eaglep3\Utilities\DownloadLogsFromS3.py --loco 4012 --day 2017-12-05</v>
      </c>
      <c r="AN162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13:54:12"},{"id":29,"name":"Sharepoint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30"/>
        <v>https://d0f6bd738d7f1b3e5a7ca70fe4ff75f0.us-east-1.aws.found.io/app/kibana#/discover/Steve-Slow-Train-Analysis-(2080s-and-2083s)?_g=(refreshInterval:(display:Off,pause:!f,section:0,value:0),time:(from:'2017-12-05T05:29:05-0700',mode:absolute,to:'2017-12-05T07:54:12-0700'))&amp;_a=(columns:!('Message%20ID',Summary),filters:!(),index:'emp_*',interval:auto,query:(query_string:(analyze_wildcard:!t,query:'%22rtdc.l.rtdc.4012%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749</v>
      </c>
      <c r="B163" s="225">
        <v>4011</v>
      </c>
      <c r="C163" s="227" t="s">
        <v>192</v>
      </c>
      <c r="D163" s="227" t="s">
        <v>1017</v>
      </c>
      <c r="E163" s="226">
        <v>43074.288773148146</v>
      </c>
      <c r="F163" s="226">
        <v>43074.3</v>
      </c>
      <c r="G163" s="225">
        <v>62</v>
      </c>
      <c r="H163" s="227" t="s">
        <v>1018</v>
      </c>
      <c r="I163" s="226">
        <v>43074.309861111113</v>
      </c>
      <c r="J163" s="225">
        <v>0</v>
      </c>
      <c r="K163" s="237" t="str">
        <f>IF(ISEVEN(B163),(B163-1)&amp;"/"&amp;B163,B163&amp;"/"&amp;(B163+1))</f>
        <v>4011/4012</v>
      </c>
      <c r="L163" s="245" t="str">
        <f>VLOOKUP(A163,'Trips&amp;Operators'!$C$1:$G$99911,5,FALSE)</f>
        <v>DAVIDSON DAVID</v>
      </c>
      <c r="M163" s="224">
        <f>I163-F163</f>
        <v>9.8611111097852699E-3</v>
      </c>
      <c r="N163" s="225">
        <f>24*60*SUM($M163:$M163)</f>
        <v>14.199999998090789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-05T05:55:50-0700',mode:absolute,to:'2017-12-05T08:26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5.8605999999999998</v>
      </c>
      <c r="Z163" s="247">
        <f>RIGHT(H163,LEN(H163)-4)/10000</f>
        <v>1.1900000000000001E-2</v>
      </c>
      <c r="AA163" s="247">
        <f>ABS(Z163-Y163)</f>
        <v>5.8487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806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/stypes="app*4011*20171205*"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26"/>
        <v>"%USERPROFILE%\Documents\GitHub\eaglep3\Utilities\RefineRTDCRunTimes.py" --tripid 806-05 --locoid 4011 --swversion DE.1.0.9.0 --startMP 300:58606 --initTime 2017-12-05T06:55:50 --startdatetime 2017-12-05T07:12:00 --delay 62 --endMP 204:119 --enddatetime 2017-12-05T07:26:12 --enforcementcount 0 &gt;&gt;%USERPROFILE%\Documents\GitHub\eaglep3-reporting\EC\2017-12-05-refined-times.txt</v>
      </c>
      <c r="AI163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{"issue":{"subject":"","project_id":79,"tracker_id":40,"status_id":1,"priority_id":2,"assigned_to_id":338,"start_date":"2017-12-05","description":"","custom_fields":[{"id":1,"name":"Subdivision","value":"NW"},{"id":4,"name":"Milepost","value":"0.0119"},{"id":17,"name":"Train ID","value":"806-05"},{"id":16,"name":"Locomotive ID","value":"4011"},{"id":130,"name":"Impact","value":""},{"id":150,"name":"Time of Event (Mountain Time)","value":"07:26:12"},{"id":151,"name":"Denver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28"/>
        <v>start /low /b %USERPROFILE%\Documents\GitHub\eaglep3\Utilities\DownloadLogsFromS3.py --loco 4011 --day 2017-12-05</v>
      </c>
      <c r="AN163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30"/>
        <v>https://d0f6bd738d7f1b3e5a7ca70fe4ff75f0.us-east-1.aws.found.io/app/kibana#/discover/Steve-Slow-Train-Analysis-(2080s-and-2083s)?_g=(refreshInterval:(display:Off,pause:!f,section:0,value:0),time:(from:'2017-12-05T05:55:50-0700',mode:absolute,to:'2017-12-05T08:26:12-0700'))&amp;_a=(columns:!('Message%20ID',Summary),filters:!(),index:'emp_*',interval:auto,query:(query_string:(analyze_wildcard:!t,query:'%22rtdc.l.rtdc.4011%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750</v>
      </c>
      <c r="B164" s="225">
        <v>4004</v>
      </c>
      <c r="C164" s="227" t="s">
        <v>192</v>
      </c>
      <c r="D164" s="227" t="s">
        <v>654</v>
      </c>
      <c r="E164" s="226">
        <v>43074.290949074071</v>
      </c>
      <c r="F164" s="226">
        <v>43074.298067129632</v>
      </c>
      <c r="G164" s="225">
        <v>47</v>
      </c>
      <c r="H164" s="227" t="s">
        <v>1019</v>
      </c>
      <c r="I164" s="226">
        <v>43074.30810185185</v>
      </c>
      <c r="J164" s="225">
        <v>0</v>
      </c>
      <c r="K164" s="237" t="str">
        <f>IF(ISEVEN(B164),(B164-1)&amp;"/"&amp;B164,B164&amp;"/"&amp;(B164+1))</f>
        <v>4003/4004</v>
      </c>
      <c r="L164" s="245" t="str">
        <f>VLOOKUP(A164,'Trips&amp;Operators'!$C$1:$G$99911,5,FALSE)</f>
        <v>FORTUNATO FRANK</v>
      </c>
      <c r="M164" s="224">
        <f>I164-F164</f>
        <v>1.003472221782431E-2</v>
      </c>
      <c r="N164" s="225">
        <f>24*60*SUM($M164:$M164)</f>
        <v>14.449999993667006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-05T05:58:58-0700',mode:absolute,to:'2017-12-05T08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4.4999999999999998E-2</v>
      </c>
      <c r="Z164" s="247">
        <f>RIGHT(H164,LEN(H164)-4)/10000</f>
        <v>5.8967000000000001</v>
      </c>
      <c r="AA164" s="247">
        <f>ABS(Z164-Y164)</f>
        <v>5.8517000000000001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807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/stypes="app*4004*20171205*"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26"/>
        <v>"%USERPROFILE%\Documents\GitHub\eaglep3\Utilities\RefineRTDCRunTimes.py" --tripid 807-05 --locoid 4004 --swversion DE.1.0.9.0 --startMP 204:450 --initTime 2017-12-05T06:58:58 --startdatetime 2017-12-05T07:09:13 --delay 47 --endMP 300:58967 --enddatetime 2017-12-05T07:23:40 --enforcementcount 0 &gt;&gt;%USERPROFILE%\Documents\GitHub\eaglep3-reporting\EC\2017-12-05-refined-times.txt</v>
      </c>
      <c r="AI164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{"issue":{"subject":"","project_id":79,"tracker_id":40,"status_id":1,"priority_id":2,"assigned_to_id":338,"start_date":"2017-12-05","description":"","custom_fields":[{"id":1,"name":"Subdivision","value":"NW"},{"id":4,"name":"Milepost","value":"5.8967"},{"id":17,"name":"Train ID","value":"807-05"},{"id":16,"name":"Locomotive ID","value":"4004"},{"id":130,"name":"Impact","value":""},{"id":150,"name":"Time of Event (Mountain Time)","value":"07:23:40"},{"id":151,"name":"Denver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28"/>
        <v>start /low /b %USERPROFILE%\Documents\GitHub\eaglep3\Utilities\DownloadLogsFromS3.py --loco 4004 --day 2017-12-05</v>
      </c>
      <c r="AN164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30"/>
        <v>https://d0f6bd738d7f1b3e5a7ca70fe4ff75f0.us-east-1.aws.found.io/app/kibana#/discover/Steve-Slow-Train-Analysis-(2080s-and-2083s)?_g=(refreshInterval:(display:Off,pause:!f,section:0,value:0),time:(from:'2017-12-05T05:58:58-0700',mode:absolute,to:'2017-12-05T08:23:40-0700'))&amp;_a=(columns:!('Message%20ID',Summary),filters:!(),index:'emp_*',interval:auto,query:(query_string:(analyze_wildcard:!t,query:'%22rtdc.l.rtdc.4004%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754</v>
      </c>
      <c r="B165" s="225">
        <v>4003</v>
      </c>
      <c r="C165" s="227" t="s">
        <v>192</v>
      </c>
      <c r="D165" s="227" t="s">
        <v>1020</v>
      </c>
      <c r="E165" s="226">
        <v>43074.309560185182</v>
      </c>
      <c r="F165" s="226">
        <v>43074.320833333331</v>
      </c>
      <c r="G165" s="225">
        <v>103</v>
      </c>
      <c r="H165" s="227" t="s">
        <v>929</v>
      </c>
      <c r="I165" s="226">
        <v>43074.330509259256</v>
      </c>
      <c r="J165" s="225">
        <v>0</v>
      </c>
      <c r="K165" s="237" t="str">
        <f>IF(ISEVEN(B165),(B165-1)&amp;"/"&amp;B165,B165&amp;"/"&amp;(B165+1))</f>
        <v>4003/4004</v>
      </c>
      <c r="L165" s="245" t="str">
        <f>VLOOKUP(A165,'Trips&amp;Operators'!$C$1:$G$99911,5,FALSE)</f>
        <v>FORTUNATO FRANK</v>
      </c>
      <c r="M165" s="224">
        <f>I165-F165</f>
        <v>9.6759259249665774E-3</v>
      </c>
      <c r="N165" s="225">
        <f>24*60*SUM($M165:$M165)</f>
        <v>13.933333331951872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-05T06:25:46-0700',mode:absolute,to:'2017-12-05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5.8653000000000004</v>
      </c>
      <c r="Z165" s="247">
        <f>RIGHT(H165,LEN(H165)-4)/10000</f>
        <v>1.49E-2</v>
      </c>
      <c r="AA165" s="247">
        <f>ABS(Z165-Y165)</f>
        <v>5.8504000000000005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808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/stypes="app*4003*20171205*" /stext=" 14:.+((SYSTEM_STATE.+slice.+state.+changed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26"/>
        <v>"%USERPROFILE%\Documents\GitHub\eaglep3\Utilities\RefineRTDCRunTimes.py" --tripid 808-05 --locoid 4003 --swversion DE.1.0.9.0 --startMP 300:58653 --initTime 2017-12-05T07:25:46 --startdatetime 2017-12-05T07:42:00 --delay 103 --endMP 204:149 --enddatetime 2017-12-05T07:55:56 --enforcementcount 0 &gt;&gt;%USERPROFILE%\Documents\GitHub\eaglep3-reporting\EC\2017-12-05-refined-times.txt</v>
      </c>
      <c r="AI165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{"issue":{"subject":"","project_id":79,"tracker_id":40,"status_id":1,"priority_id":2,"assigned_to_id":338,"start_date":"2017-12-05","description":"","custom_fields":[{"id":1,"name":"Subdivision","value":"NW"},{"id":4,"name":"Milepost","value":"0.0149"},{"id":17,"name":"Train ID","value":"808-05"},{"id":16,"name":"Locomotive ID","value":"4003"},{"id":130,"name":"Impact","value":""},{"id":150,"name":"Time of Event (Mountain Time)","value":"07:55:56"},{"id":151,"name":"Denver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28"/>
        <v>start /low /b %USERPROFILE%\Documents\GitHub\eaglep3\Utilities\DownloadLogsFromS3.py --loco 4003 --day 2017-12-05</v>
      </c>
      <c r="AN165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30"/>
        <v>https://d0f6bd738d7f1b3e5a7ca70fe4ff75f0.us-east-1.aws.found.io/app/kibana#/discover/Steve-Slow-Train-Analysis-(2080s-and-2083s)?_g=(refreshInterval:(display:Off,pause:!f,section:0,value:0),time:(from:'2017-12-05T06:25:46-0700',mode:absolute,to:'2017-12-05T08:55:56-0700'))&amp;_a=(columns:!('Message%20ID',Summary),filters:!(),index:'emp_*',interval:auto,query:(query_string:(analyze_wildcard:!t,query:'%22rtdc.l.rtdc.4003%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755</v>
      </c>
      <c r="B166" s="225">
        <v>4012</v>
      </c>
      <c r="C166" s="227" t="s">
        <v>192</v>
      </c>
      <c r="D166" s="227" t="s">
        <v>659</v>
      </c>
      <c r="E166" s="226">
        <v>43074.311863425923</v>
      </c>
      <c r="F166" s="226">
        <v>43074.318969907406</v>
      </c>
      <c r="G166" s="225">
        <v>64</v>
      </c>
      <c r="H166" s="227" t="s">
        <v>1021</v>
      </c>
      <c r="I166" s="226">
        <v>43074.328946759262</v>
      </c>
      <c r="J166" s="225">
        <v>0</v>
      </c>
      <c r="K166" s="237" t="str">
        <f>IF(ISEVEN(B166),(B166-1)&amp;"/"&amp;B166,B166&amp;"/"&amp;(B166+1))</f>
        <v>4011/4012</v>
      </c>
      <c r="L166" s="245" t="str">
        <f>VLOOKUP(A166,'Trips&amp;Operators'!$C$1:$G$99911,5,FALSE)</f>
        <v>DAVIDSON DAVID</v>
      </c>
      <c r="M166" s="224">
        <f>I166-F166</f>
        <v>9.976851855753921E-3</v>
      </c>
      <c r="N166" s="225">
        <f>24*60*SUM($M166:$M166)</f>
        <v>14.366666672285646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-05T06:29:05-0700',mode:absolute,to:'2017-12-05T08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4.1700000000000001E-2</v>
      </c>
      <c r="Z166" s="247">
        <f>RIGHT(H166,LEN(H166)-4)/10000</f>
        <v>5.8930999999999996</v>
      </c>
      <c r="AA166" s="247">
        <f>ABS(Z166-Y166)</f>
        <v>5.8513999999999999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809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/stypes="app*4012*20171205*"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26"/>
        <v>"%USERPROFILE%\Documents\GitHub\eaglep3\Utilities\RefineRTDCRunTimes.py" --tripid 809-05 --locoid 4012 --swversion DE.1.0.9.0 --startMP 204:417 --initTime 2017-12-05T07:29:05 --startdatetime 2017-12-05T07:39:19 --delay 64 --endMP 300:58931 --enddatetime 2017-12-05T07:53:41 --enforcementcount 0 &gt;&gt;%USERPROFILE%\Documents\GitHub\eaglep3-reporting\EC\2017-12-05-refined-times.txt</v>
      </c>
      <c r="AI166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{"issue":{"subject":"","project_id":79,"tracker_id":40,"status_id":1,"priority_id":2,"assigned_to_id":338,"start_date":"2017-12-05","description":"","custom_fields":[{"id":1,"name":"Subdivision","value":"NW"},{"id":4,"name":"Milepost","value":"5.8931"},{"id":17,"name":"Train ID","value":"809-05"},{"id":16,"name":"Locomotive ID","value":"4012"},{"id":130,"name":"Impact","value":""},{"id":150,"name":"Time of Event (Mountain Time)","value":"07:53:41"},{"id":151,"name":"Denver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28"/>
        <v>start /low /b %USERPROFILE%\Documents\GitHub\eaglep3\Utilities\DownloadLogsFromS3.py --loco 4012 --day 2017-12-05</v>
      </c>
      <c r="AN166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14:53:41"},{"id":29,"name":"Sharepoint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30"/>
        <v>https://d0f6bd738d7f1b3e5a7ca70fe4ff75f0.us-east-1.aws.found.io/app/kibana#/discover/Steve-Slow-Train-Analysis-(2080s-and-2083s)?_g=(refreshInterval:(display:Off,pause:!f,section:0,value:0),time:(from:'2017-12-05T06:29:05-0700',mode:absolute,to:'2017-12-05T08:53:41-0700'))&amp;_a=(columns:!('Message%20ID',Summary),filters:!(),index:'emp_*',interval:auto,query:(query_string:(analyze_wildcard:!t,query:'%22rtdc.l.rtdc.4012%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757</v>
      </c>
      <c r="B167" s="225">
        <v>4011</v>
      </c>
      <c r="C167" s="227" t="s">
        <v>192</v>
      </c>
      <c r="D167" s="227" t="s">
        <v>655</v>
      </c>
      <c r="E167" s="226">
        <v>43074.330324074072</v>
      </c>
      <c r="F167" s="226">
        <v>43074.341666666667</v>
      </c>
      <c r="G167" s="225">
        <v>60</v>
      </c>
      <c r="H167" s="227" t="s">
        <v>929</v>
      </c>
      <c r="I167" s="226">
        <v>43074.351284722223</v>
      </c>
      <c r="J167" s="225">
        <v>0</v>
      </c>
      <c r="K167" s="237" t="str">
        <f>IF(ISEVEN(B167),(B167-1)&amp;"/"&amp;B167,B167&amp;"/"&amp;(B167+1))</f>
        <v>4011/4012</v>
      </c>
      <c r="L167" s="245" t="str">
        <f>VLOOKUP(A167,'Trips&amp;Operators'!$C$1:$G$99911,5,FALSE)</f>
        <v>DAVIDSON DAVID</v>
      </c>
      <c r="M167" s="224">
        <f>I167-F167</f>
        <v>9.6180555556202307E-3</v>
      </c>
      <c r="N167" s="225">
        <f>24*60*SUM($M167:$M167)</f>
        <v>13.850000000093132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-05T06:55:40-0700',mode:absolute,to:'2017-12-05T09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5.8609</v>
      </c>
      <c r="Z167" s="247">
        <f>RIGHT(H167,LEN(H167)-4)/10000</f>
        <v>1.49E-2</v>
      </c>
      <c r="AA167" s="247">
        <f>ABS(Z167-Y167)</f>
        <v>5.8460000000000001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810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/stypes="app*4011*20171205*" /stext=" 15:.+((SYSTEM_STATE.+slice.+state.+changed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26"/>
        <v>"%USERPROFILE%\Documents\GitHub\eaglep3\Utilities\RefineRTDCRunTimes.py" --tripid 810-05 --locoid 4011 --swversion DE.1.0.9.0 --startMP 300:58609 --initTime 2017-12-05T07:55:40 --startdatetime 2017-12-05T08:12:00 --delay 60 --endMP 204:149 --enddatetime 2017-12-05T08:25:51 --enforcementcount 0 &gt;&gt;%USERPROFILE%\Documents\GitHub\eaglep3-reporting\EC\2017-12-05-refined-times.txt</v>
      </c>
      <c r="AI167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{"issue":{"subject":"","project_id":79,"tracker_id":40,"status_id":1,"priority_id":2,"assigned_to_id":338,"start_date":"2017-12-05","description":"","custom_fields":[{"id":1,"name":"Subdivision","value":"NW"},{"id":4,"name":"Milepost","value":"0.0149"},{"id":17,"name":"Train ID","value":"810-05"},{"id":16,"name":"Locomotive ID","value":"4011"},{"id":130,"name":"Impact","value":""},{"id":150,"name":"Time of Event (Mountain Time)","value":"08:25:51"},{"id":151,"name":"Denver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28"/>
        <v>start /low /b %USERPROFILE%\Documents\GitHub\eaglep3\Utilities\DownloadLogsFromS3.py --loco 4011 --day 2017-12-05</v>
      </c>
      <c r="AN167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30"/>
        <v>https://d0f6bd738d7f1b3e5a7ca70fe4ff75f0.us-east-1.aws.found.io/app/kibana#/discover/Steve-Slow-Train-Analysis-(2080s-and-2083s)?_g=(refreshInterval:(display:Off,pause:!f,section:0,value:0),time:(from:'2017-12-05T06:55:40-0700',mode:absolute,to:'2017-12-05T09:25:51-0700'))&amp;_a=(columns:!('Message%20ID',Summary),filters:!(),index:'emp_*',interval:auto,query:(query_string:(analyze_wildcard:!t,query:'%22rtdc.l.rtdc.4011%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759</v>
      </c>
      <c r="B168" s="225">
        <v>4004</v>
      </c>
      <c r="C168" s="227" t="s">
        <v>192</v>
      </c>
      <c r="D168" s="227" t="s">
        <v>1022</v>
      </c>
      <c r="E168" s="226">
        <v>43074.334733796299</v>
      </c>
      <c r="F168" s="226">
        <v>43074.339745370373</v>
      </c>
      <c r="G168" s="225">
        <v>49</v>
      </c>
      <c r="H168" s="227" t="s">
        <v>1023</v>
      </c>
      <c r="I168" s="226">
        <v>43074.349548611113</v>
      </c>
      <c r="J168" s="225">
        <v>0</v>
      </c>
      <c r="K168" s="237" t="str">
        <f>IF(ISEVEN(B168),(B168-1)&amp;"/"&amp;B168,B168&amp;"/"&amp;(B168+1))</f>
        <v>4003/4004</v>
      </c>
      <c r="L168" s="245" t="str">
        <f>VLOOKUP(A168,'Trips&amp;Operators'!$C$1:$G$99911,5,FALSE)</f>
        <v>FORTUNATO FRANK</v>
      </c>
      <c r="M168" s="224">
        <f>I168-F168</f>
        <v>9.8032407404389232E-3</v>
      </c>
      <c r="N168" s="225">
        <f>24*60*SUM($M168:$M168)</f>
        <v>14.116666666232049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-05T07:02:01-0700',mode:absolute,to:'2017-12-05T09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4.5900000000000003E-2</v>
      </c>
      <c r="Z168" s="247">
        <f>RIGHT(H168,LEN(H168)-4)/10000</f>
        <v>5.8993000000000002</v>
      </c>
      <c r="AA168" s="247">
        <f>ABS(Z168-Y168)</f>
        <v>5.8534000000000006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811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/stypes="app*4004*20171205*" /stext=" 15:.+((SYSTEM_STATE.+slice.+state.+changed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26"/>
        <v>"%USERPROFILE%\Documents\GitHub\eaglep3\Utilities\RefineRTDCRunTimes.py" --tripid 811-05 --locoid 4004 --swversion DE.1.0.9.0 --startMP 204:459 --initTime 2017-12-05T08:02:01 --startdatetime 2017-12-05T08:09:14 --delay 49 --endMP 300:58993 --enddatetime 2017-12-05T08:23:21 --enforcementcount 0 &gt;&gt;%USERPROFILE%\Documents\GitHub\eaglep3-reporting\EC\2017-12-05-refined-times.txt</v>
      </c>
      <c r="AI168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{"issue":{"subject":"","project_id":79,"tracker_id":40,"status_id":1,"priority_id":2,"assigned_to_id":338,"start_date":"2017-12-05","description":"","custom_fields":[{"id":1,"name":"Subdivision","value":"NW"},{"id":4,"name":"Milepost","value":"5.8993"},{"id":17,"name":"Train ID","value":"811-05"},{"id":16,"name":"Locomotive ID","value":"4004"},{"id":130,"name":"Impact","value":""},{"id":150,"name":"Time of Event (Mountain Time)","value":"08:23:21"},{"id":151,"name":"Denver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28"/>
        <v>start /low /b %USERPROFILE%\Documents\GitHub\eaglep3\Utilities\DownloadLogsFromS3.py --loco 4004 --day 2017-12-05</v>
      </c>
      <c r="AN168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30"/>
        <v>https://d0f6bd738d7f1b3e5a7ca70fe4ff75f0.us-east-1.aws.found.io/app/kibana#/discover/Steve-Slow-Train-Analysis-(2080s-and-2083s)?_g=(refreshInterval:(display:Off,pause:!f,section:0,value:0),time:(from:'2017-12-05T07:02:01-0700',mode:absolute,to:'2017-12-05T09:23:21-0700'))&amp;_a=(columns:!('Message%20ID',Summary),filters:!(),index:'emp_*',interval:auto,query:(query_string:(analyze_wildcard:!t,query:'%22rtdc.l.rtdc.4004%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763</v>
      </c>
      <c r="B169" s="225">
        <v>4003</v>
      </c>
      <c r="C169" s="227" t="s">
        <v>192</v>
      </c>
      <c r="D169" s="227" t="s">
        <v>1024</v>
      </c>
      <c r="E169" s="226">
        <v>43074.350925925923</v>
      </c>
      <c r="F169" s="226">
        <v>43074.362500000003</v>
      </c>
      <c r="G169" s="225">
        <v>52</v>
      </c>
      <c r="H169" s="227" t="s">
        <v>1025</v>
      </c>
      <c r="I169" s="226">
        <v>43074.372002314813</v>
      </c>
      <c r="J169" s="225">
        <v>0</v>
      </c>
      <c r="K169" s="237" t="str">
        <f>IF(ISEVEN(B169),(B169-1)&amp;"/"&amp;B169,B169&amp;"/"&amp;(B169+1))</f>
        <v>4003/4004</v>
      </c>
      <c r="L169" s="245" t="str">
        <f>VLOOKUP(A169,'Trips&amp;Operators'!$C$1:$G$99911,5,FALSE)</f>
        <v>FORTUNATO FRANK</v>
      </c>
      <c r="M169" s="224">
        <f>I169-F169</f>
        <v>9.5023148096515797E-3</v>
      </c>
      <c r="N169" s="225">
        <f>24*60*SUM($M169:$M169)</f>
        <v>13.683333325898275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-05T07:25:20-0700',mode:absolute,to:'2017-12-05T09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5.8673000000000002</v>
      </c>
      <c r="Z169" s="247">
        <f>RIGHT(H169,LEN(H169)-4)/10000</f>
        <v>1.7100000000000001E-2</v>
      </c>
      <c r="AA169" s="247">
        <f>ABS(Z169-Y169)</f>
        <v>5.8502000000000001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812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/stypes="app*4003*20171205*" /stext=" 15:.+((SYSTEM_STATE.+slice.+state.+changed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26"/>
        <v>"%USERPROFILE%\Documents\GitHub\eaglep3\Utilities\RefineRTDCRunTimes.py" --tripid 812-05 --locoid 4003 --swversion DE.1.0.9.0 --startMP 300:58673 --initTime 2017-12-05T08:25:20 --startdatetime 2017-12-05T08:42:00 --delay 52 --endMP 204:171 --enddatetime 2017-12-05T08:55:41 --enforcementcount 0 &gt;&gt;%USERPROFILE%\Documents\GitHub\eaglep3-reporting\EC\2017-12-05-refined-times.txt</v>
      </c>
      <c r="AI169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{"issue":{"subject":"","project_id":79,"tracker_id":40,"status_id":1,"priority_id":2,"assigned_to_id":338,"start_date":"2017-12-05","description":"","custom_fields":[{"id":1,"name":"Subdivision","value":"NW"},{"id":4,"name":"Milepost","value":"0.0171"},{"id":17,"name":"Train ID","value":"812-05"},{"id":16,"name":"Locomotive ID","value":"4003"},{"id":130,"name":"Impact","value":""},{"id":150,"name":"Time of Event (Mountain Time)","value":"08:55:41"},{"id":151,"name":"Denver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28"/>
        <v>start /low /b %USERPROFILE%\Documents\GitHub\eaglep3\Utilities\DownloadLogsFromS3.py --loco 4003 --day 2017-12-05</v>
      </c>
      <c r="AN169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30"/>
        <v>https://d0f6bd738d7f1b3e5a7ca70fe4ff75f0.us-east-1.aws.found.io/app/kibana#/discover/Steve-Slow-Train-Analysis-(2080s-and-2083s)?_g=(refreshInterval:(display:Off,pause:!f,section:0,value:0),time:(from:'2017-12-05T07:25:20-0700',mode:absolute,to:'2017-12-05T09:55:41-0700'))&amp;_a=(columns:!('Message%20ID',Summary),filters:!(),index:'emp_*',interval:auto,query:(query_string:(analyze_wildcard:!t,query:'%22rtdc.l.rtdc.4003%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768</v>
      </c>
      <c r="B170" s="225">
        <v>4004</v>
      </c>
      <c r="C170" s="227" t="s">
        <v>192</v>
      </c>
      <c r="D170" s="227" t="s">
        <v>654</v>
      </c>
      <c r="E170" s="226">
        <v>43074.373738425929</v>
      </c>
      <c r="F170" s="226">
        <v>43074.381412037037</v>
      </c>
      <c r="G170" s="225">
        <v>48</v>
      </c>
      <c r="H170" s="227" t="s">
        <v>1026</v>
      </c>
      <c r="I170" s="226">
        <v>43074.391400462962</v>
      </c>
      <c r="J170" s="225">
        <v>0</v>
      </c>
      <c r="K170" s="237" t="str">
        <f>IF(ISEVEN(B170),(B170-1)&amp;"/"&amp;B170,B170&amp;"/"&amp;(B170+1))</f>
        <v>4003/4004</v>
      </c>
      <c r="L170" s="245" t="str">
        <f>VLOOKUP(A170,'Trips&amp;Operators'!$C$1:$G$99911,5,FALSE)</f>
        <v>FORTUNATO FRANK</v>
      </c>
      <c r="M170" s="224">
        <f>I170-F170</f>
        <v>9.9884259252576157E-3</v>
      </c>
      <c r="N170" s="225">
        <f>24*60*SUM($M170:$M170)</f>
        <v>14.383333332370967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-05T07:58:11-0700',mode:absolute,to:'2017-12-05T10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4.4999999999999998E-2</v>
      </c>
      <c r="Z170" s="247">
        <f>RIGHT(H170,LEN(H170)-4)/10000</f>
        <v>5.8959999999999999</v>
      </c>
      <c r="AA170" s="247">
        <f>ABS(Z170-Y170)</f>
        <v>5.851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813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/stypes="app*4004*20171205*" /stext=" 16:.+((SYSTEM_STATE.+slice.+state.+changed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26"/>
        <v>"%USERPROFILE%\Documents\GitHub\eaglep3\Utilities\RefineRTDCRunTimes.py" --tripid 813-05 --locoid 4004 --swversion DE.1.0.9.0 --startMP 204:450 --initTime 2017-12-05T08:58:11 --startdatetime 2017-12-05T09:09:14 --delay 48 --endMP 300:58960 --enddatetime 2017-12-05T09:23:37 --enforcementcount 0 &gt;&gt;%USERPROFILE%\Documents\GitHub\eaglep3-reporting\EC\2017-12-05-refined-times.txt</v>
      </c>
      <c r="AI170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{"issue":{"subject":"","project_id":79,"tracker_id":40,"status_id":1,"priority_id":2,"assigned_to_id":338,"start_date":"2017-12-05","description":"","custom_fields":[{"id":1,"name":"Subdivision","value":"NW"},{"id":4,"name":"Milepost","value":"5.896"},{"id":17,"name":"Train ID","value":"813-05"},{"id":16,"name":"Locomotive ID","value":"4004"},{"id":130,"name":"Impact","value":""},{"id":150,"name":"Time of Event (Mountain Time)","value":"09:23:37"},{"id":151,"name":"Denver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28"/>
        <v>start /low /b %USERPROFILE%\Documents\GitHub\eaglep3\Utilities\DownloadLogsFromS3.py --loco 4004 --day 2017-12-05</v>
      </c>
      <c r="AN170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30"/>
        <v>https://d0f6bd738d7f1b3e5a7ca70fe4ff75f0.us-east-1.aws.found.io/app/kibana#/discover/Steve-Slow-Train-Analysis-(2080s-and-2083s)?_g=(refreshInterval:(display:Off,pause:!f,section:0,value:0),time:(from:'2017-12-05T07:58:11-0700',mode:absolute,to:'2017-12-05T10:23:37-0700'))&amp;_a=(columns:!('Message%20ID',Summary),filters:!(),index:'emp_*',interval:auto,query:(query_string:(analyze_wildcard:!t,query:'%22rtdc.l.rtdc.4004%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773</v>
      </c>
      <c r="B171" s="225">
        <v>4003</v>
      </c>
      <c r="C171" s="227" t="s">
        <v>192</v>
      </c>
      <c r="D171" s="227" t="s">
        <v>1027</v>
      </c>
      <c r="E171" s="226">
        <v>43074.393136574072</v>
      </c>
      <c r="F171" s="226">
        <v>43074.404166666667</v>
      </c>
      <c r="G171" s="225">
        <v>72</v>
      </c>
      <c r="H171" s="227" t="s">
        <v>621</v>
      </c>
      <c r="I171" s="226">
        <v>43074.413657407407</v>
      </c>
      <c r="J171" s="225">
        <v>0</v>
      </c>
      <c r="K171" s="237" t="str">
        <f>IF(ISEVEN(B171),(B171-1)&amp;"/"&amp;B171,B171&amp;"/"&amp;(B171+1))</f>
        <v>4003/4004</v>
      </c>
      <c r="L171" s="245" t="str">
        <f>VLOOKUP(A171,'Trips&amp;Operators'!$C$1:$G$99911,5,FALSE)</f>
        <v>FORTUNATO FRANK</v>
      </c>
      <c r="M171" s="224">
        <f>I171-F171</f>
        <v>9.4907407401478849E-3</v>
      </c>
      <c r="N171" s="225">
        <f>24*60*SUM($M171:$M171)</f>
        <v>13.666666665812954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-05T08:26:07-0700',mode:absolute,to:'2017-12-05T10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5.8655999999999997</v>
      </c>
      <c r="Z171" s="247">
        <f>RIGHT(H171,LEN(H171)-4)/10000</f>
        <v>1.7999999999999999E-2</v>
      </c>
      <c r="AA171" s="247">
        <f>ABS(Z171-Y171)</f>
        <v>5.8475999999999999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814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/stypes="app*4003*20171205*" /stext=" 16:.+((SYSTEM_STATE.+slice.+state.+changed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26"/>
        <v>"%USERPROFILE%\Documents\GitHub\eaglep3\Utilities\RefineRTDCRunTimes.py" --tripid 814-05 --locoid 4003 --swversion DE.1.0.9.0 --startMP 300:58656 --initTime 2017-12-05T09:26:07 --startdatetime 2017-12-05T09:42:00 --delay 72 --endMP 204:180 --enddatetime 2017-12-05T09:55:40 --enforcementcount 0 &gt;&gt;%USERPROFILE%\Documents\GitHub\eaglep3-reporting\EC\2017-12-05-refined-times.txt</v>
      </c>
      <c r="AI171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{"issue":{"subject":"","project_id":79,"tracker_id":40,"status_id":1,"priority_id":2,"assigned_to_id":338,"start_date":"2017-12-05","description":"","custom_fields":[{"id":1,"name":"Subdivision","value":"NW"},{"id":4,"name":"Milepost","value":"0.018"},{"id":17,"name":"Train ID","value":"814-05"},{"id":16,"name":"Locomotive ID","value":"4003"},{"id":130,"name":"Impact","value":""},{"id":150,"name":"Time of Event (Mountain Time)","value":"09:55:40"},{"id":151,"name":"Denver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28"/>
        <v>start /low /b %USERPROFILE%\Documents\GitHub\eaglep3\Utilities\DownloadLogsFromS3.py --loco 4003 --day 2017-12-05</v>
      </c>
      <c r="AN171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16:55:40"},{"id":29,"name":"Sharepoint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30"/>
        <v>https://d0f6bd738d7f1b3e5a7ca70fe4ff75f0.us-east-1.aws.found.io/app/kibana#/discover/Steve-Slow-Train-Analysis-(2080s-and-2083s)?_g=(refreshInterval:(display:Off,pause:!f,section:0,value:0),time:(from:'2017-12-05T08:26:07-0700',mode:absolute,to:'2017-12-05T10:55:40-0700'))&amp;_a=(columns:!('Message%20ID',Summary),filters:!(),index:'emp_*',interval:auto,query:(query_string:(analyze_wildcard:!t,query:'%22rtdc.l.rtdc.4003%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9" t="s">
        <v>777</v>
      </c>
      <c r="B172" s="225">
        <v>4004</v>
      </c>
      <c r="C172" s="227" t="s">
        <v>192</v>
      </c>
      <c r="D172" s="227" t="s">
        <v>1028</v>
      </c>
      <c r="E172" s="226">
        <v>43074.415289351855</v>
      </c>
      <c r="F172" s="226">
        <v>43074.423067129632</v>
      </c>
      <c r="G172" s="225">
        <v>52</v>
      </c>
      <c r="H172" s="227" t="s">
        <v>1029</v>
      </c>
      <c r="I172" s="226">
        <v>43074.433009259257</v>
      </c>
      <c r="J172" s="225">
        <v>0</v>
      </c>
      <c r="K172" s="237" t="str">
        <f>IF(ISEVEN(B172),(B172-1)&amp;"/"&amp;B172,B172&amp;"/"&amp;(B172+1))</f>
        <v>4003/4004</v>
      </c>
      <c r="L172" s="245" t="str">
        <f>VLOOKUP(A172,'Trips&amp;Operators'!$C$1:$G$99911,5,FALSE)</f>
        <v>FORTUNATO FRANK</v>
      </c>
      <c r="M172" s="224">
        <f>I172-F172</f>
        <v>9.9421296254149638E-3</v>
      </c>
      <c r="N172" s="225">
        <f>24*60*SUM($M172:$M172)</f>
        <v>14.316666660597548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-05T08:58:01-0700',mode:absolute,to:'2017-12-05T11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4.7500000000000001E-2</v>
      </c>
      <c r="Z172" s="247">
        <f>RIGHT(H172,LEN(H172)-4)/10000</f>
        <v>5.8975</v>
      </c>
      <c r="AA172" s="247">
        <f>ABS(Z172-Y172)</f>
        <v>5.85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815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/stypes="app*4004*20171205*" /stext=" 17:.+((SYSTEM_STATE.+slice.+state.+changed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26"/>
        <v>"%USERPROFILE%\Documents\GitHub\eaglep3\Utilities\RefineRTDCRunTimes.py" --tripid 815-05 --locoid 4004 --swversion DE.1.0.9.0 --startMP 204:475 --initTime 2017-12-05T09:58:01 --startdatetime 2017-12-05T10:09:13 --delay 52 --endMP 300:58975 --enddatetime 2017-12-05T10:23:32 --enforcementcount 0 &gt;&gt;%USERPROFILE%\Documents\GitHub\eaglep3-reporting\EC\2017-12-05-refined-times.txt</v>
      </c>
      <c r="AI172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{"issue":{"subject":"","project_id":79,"tracker_id":40,"status_id":1,"priority_id":2,"assigned_to_id":338,"start_date":"2017-12-05","description":"","custom_fields":[{"id":1,"name":"Subdivision","value":"NW"},{"id":4,"name":"Milepost","value":"5.8975"},{"id":17,"name":"Train ID","value":"815-05"},{"id":16,"name":"Locomotive ID","value":"4004"},{"id":130,"name":"Impact","value":""},{"id":150,"name":"Time of Event (Mountain Time)","value":"10:23:32"},{"id":151,"name":"Denver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28"/>
        <v>start /low /b %USERPROFILE%\Documents\GitHub\eaglep3\Utilities\DownloadLogsFromS3.py --loco 4004 --day 2017-12-05</v>
      </c>
      <c r="AN172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30"/>
        <v>https://d0f6bd738d7f1b3e5a7ca70fe4ff75f0.us-east-1.aws.found.io/app/kibana#/discover/Steve-Slow-Train-Analysis-(2080s-and-2083s)?_g=(refreshInterval:(display:Off,pause:!f,section:0,value:0),time:(from:'2017-12-05T08:58:01-0700',mode:absolute,to:'2017-12-05T11:23:32-0700'))&amp;_a=(columns:!('Message%20ID',Summary),filters:!(),index:'emp_*',interval:auto,query:(query_string:(analyze_wildcard:!t,query:'%22rtdc.l.rtdc.4004%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9" t="s">
        <v>686</v>
      </c>
      <c r="B173" s="225">
        <v>4003</v>
      </c>
      <c r="C173" s="227" t="s">
        <v>192</v>
      </c>
      <c r="D173" s="227" t="s">
        <v>1030</v>
      </c>
      <c r="E173" s="226">
        <v>43074.434328703705</v>
      </c>
      <c r="F173" s="226">
        <v>43074.445833333331</v>
      </c>
      <c r="G173" s="225">
        <v>47</v>
      </c>
      <c r="H173" s="227" t="s">
        <v>1031</v>
      </c>
      <c r="I173" s="226">
        <v>43074.453518518516</v>
      </c>
      <c r="J173" s="225">
        <v>0</v>
      </c>
      <c r="K173" s="237" t="str">
        <f>IF(ISEVEN(B173),(B173-1)&amp;"/"&amp;B173,B173&amp;"/"&amp;(B173+1))</f>
        <v>4003/4004</v>
      </c>
      <c r="L173" s="245" t="str">
        <f>VLOOKUP(A173,'Trips&amp;Operators'!$C$1:$G$99911,5,FALSE)</f>
        <v>FORTUNATO FRANK</v>
      </c>
      <c r="M173" s="224">
        <f>I173-F173</f>
        <v>7.6851851845276542E-3</v>
      </c>
      <c r="N173" s="225">
        <f>24*60*SUM($M173:$M173)</f>
        <v>11.066666665719822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-05T09:25:26-0700',mode:absolute,to:'2017-12-05T11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3" s="247" t="str">
        <f>IF(AA173&lt;VLOOKUP(AG173,Variables!$AC$3:$AD$8,2,FALSE),"Y","N")</f>
        <v>Y</v>
      </c>
      <c r="X173" s="247">
        <f>VALUE(LEFT(AD173,4))-VALUE(LEFT(AD172,4))</f>
        <v>1</v>
      </c>
      <c r="Y173" s="247">
        <f>RIGHT(D173,LEN(D173)-4)/10000</f>
        <v>5.8659999999999997</v>
      </c>
      <c r="Z173" s="247">
        <f>RIGHT(H173,LEN(H173)-4)/10000</f>
        <v>0.45219999999999999</v>
      </c>
      <c r="AA173" s="247">
        <f>ABS(Z173-Y173)</f>
        <v>5.4137999999999993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816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/stypes="app*4003*20171205*" /stext=" 17:.+((SYSTEM_STATE.+slice.+state.+changed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26"/>
        <v>"%USERPROFILE%\Documents\GitHub\eaglep3\Utilities\RefineRTDCRunTimes.py" --tripid 816-05 --locoid 4003 --swversion DE.1.0.9.0 --startMP 300:58660 --initTime 2017-12-05T10:25:26 --startdatetime 2017-12-05T10:42:00 --delay 47 --endMP 204:4522 --enddatetime 2017-12-05T10:53:04 --enforcementcount 0 &gt;&gt;%USERPROFILE%\Documents\GitHub\eaglep3-reporting\EC\2017-12-05-refined-times.txt</v>
      </c>
      <c r="AI173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{"issue":{"subject":"","project_id":79,"tracker_id":40,"status_id":1,"priority_id":2,"assigned_to_id":338,"start_date":"2017-12-05","description":"","custom_fields":[{"id":1,"name":"Subdivision","value":"NW"},{"id":4,"name":"Milepost","value":"0.4522"},{"id":17,"name":"Train ID","value":"816-05"},{"id":16,"name":"Locomotive ID","value":"4003"},{"id":130,"name":"Impact","value":""},{"id":150,"name":"Time of Event (Mountain Time)","value":"10:53:04"},{"id":151,"name":"Denver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28"/>
        <v>start /low /b %USERPROFILE%\Documents\GitHub\eaglep3\Utilities\DownloadLogsFromS3.py --loco 4003 --day 2017-12-05</v>
      </c>
      <c r="AN173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17:53:04"},{"id":29,"name":"Sharepoint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30"/>
        <v>https://d0f6bd738d7f1b3e5a7ca70fe4ff75f0.us-east-1.aws.found.io/app/kibana#/discover/Steve-Slow-Train-Analysis-(2080s-and-2083s)?_g=(refreshInterval:(display:Off,pause:!f,section:0,value:0),time:(from:'2017-12-05T09:25:26-0700',mode:absolute,to:'2017-12-05T11:53:04-0700'))&amp;_a=(columns:!('Message%20ID',Summary),filters:!(),index:'emp_*',interval:auto,query:(query_string:(analyze_wildcard:!t,query:'%22rtdc.l.rtdc.4003%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787</v>
      </c>
      <c r="B174" s="225">
        <v>4004</v>
      </c>
      <c r="C174" s="227" t="s">
        <v>192</v>
      </c>
      <c r="D174" s="227" t="s">
        <v>663</v>
      </c>
      <c r="E174" s="226">
        <v>43074.457499999997</v>
      </c>
      <c r="F174" s="226">
        <v>43074.464733796296</v>
      </c>
      <c r="G174" s="225">
        <v>48</v>
      </c>
      <c r="H174" s="227" t="s">
        <v>666</v>
      </c>
      <c r="I174" s="226">
        <v>43074.474918981483</v>
      </c>
      <c r="J174" s="225">
        <v>0</v>
      </c>
      <c r="K174" s="237" t="str">
        <f>IF(ISEVEN(B174),(B174-1)&amp;"/"&amp;B174,B174&amp;"/"&amp;(B174+1))</f>
        <v>4003/4004</v>
      </c>
      <c r="L174" s="245" t="str">
        <f>VLOOKUP(A174,'Trips&amp;Operators'!$C$1:$G$99911,5,FALSE)</f>
        <v>FORTUNATO FRANK</v>
      </c>
      <c r="M174" s="224">
        <f>I174-F174</f>
        <v>1.0185185186855961E-2</v>
      </c>
      <c r="N174" s="225">
        <f>24*60*SUM($M174:$M174)</f>
        <v>14.666666669072583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-05T09:58:48-0700',mode:absolute,to:'2017-12-05T12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4.48E-2</v>
      </c>
      <c r="Z174" s="247">
        <f>RIGHT(H174,LEN(H174)-4)/10000</f>
        <v>5.8982000000000001</v>
      </c>
      <c r="AA174" s="247">
        <f>ABS(Z174-Y174)</f>
        <v>5.8533999999999997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817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/stypes="app*4004*20171205*" /stext=" 18:.+((SYSTEM_STATE.+slice.+state.+changed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26"/>
        <v>"%USERPROFILE%\Documents\GitHub\eaglep3\Utilities\RefineRTDCRunTimes.py" --tripid 817-05 --locoid 4004 --swversion DE.1.0.9.0 --startMP 204:448 --initTime 2017-12-05T10:58:48 --startdatetime 2017-12-05T11:09:13 --delay 48 --endMP 300:58982 --enddatetime 2017-12-05T11:23:53 --enforcementcount 0 &gt;&gt;%USERPROFILE%\Documents\GitHub\eaglep3-reporting\EC\2017-12-05-refined-times.txt</v>
      </c>
      <c r="AI174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{"issue":{"subject":"","project_id":79,"tracker_id":40,"status_id":1,"priority_id":2,"assigned_to_id":338,"start_date":"2017-12-05","description":"","custom_fields":[{"id":1,"name":"Subdivision","value":"NW"},{"id":4,"name":"Milepost","value":"5.8982"},{"id":17,"name":"Train ID","value":"817-05"},{"id":16,"name":"Locomotive ID","value":"4004"},{"id":130,"name":"Impact","value":""},{"id":150,"name":"Time of Event (Mountain Time)","value":"11:23:53"},{"id":151,"name":"Denver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28"/>
        <v>start /low /b %USERPROFILE%\Documents\GitHub\eaglep3\Utilities\DownloadLogsFromS3.py --loco 4004 --day 2017-12-05</v>
      </c>
      <c r="AN174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30"/>
        <v>https://d0f6bd738d7f1b3e5a7ca70fe4ff75f0.us-east-1.aws.found.io/app/kibana#/discover/Steve-Slow-Train-Analysis-(2080s-and-2083s)?_g=(refreshInterval:(display:Off,pause:!f,section:0,value:0),time:(from:'2017-12-05T09:58:48-0700',mode:absolute,to:'2017-12-05T12:23:53-0700'))&amp;_a=(columns:!('Message%20ID',Summary),filters:!(),index:'emp_*',interval:auto,query:(query_string:(analyze_wildcard:!t,query:'%22rtdc.l.rtdc.4004%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25">
      <c r="A175" s="229" t="s">
        <v>793</v>
      </c>
      <c r="B175" s="225">
        <v>4003</v>
      </c>
      <c r="C175" s="227" t="s">
        <v>192</v>
      </c>
      <c r="D175" s="227" t="s">
        <v>1032</v>
      </c>
      <c r="E175" s="226">
        <v>43074.476851851854</v>
      </c>
      <c r="F175" s="226">
        <v>43074.487500000003</v>
      </c>
      <c r="G175" s="225">
        <v>84</v>
      </c>
      <c r="H175" s="227" t="s">
        <v>490</v>
      </c>
      <c r="I175" s="226">
        <v>43074.496666666666</v>
      </c>
      <c r="J175" s="225">
        <v>0</v>
      </c>
      <c r="K175" s="237" t="str">
        <f>IF(ISEVEN(B175),(B175-1)&amp;"/"&amp;B175,B175&amp;"/"&amp;(B175+1))</f>
        <v>4003/4004</v>
      </c>
      <c r="L175" s="245" t="str">
        <f>VLOOKUP(A175,'Trips&amp;Operators'!$C$1:$G$99911,5,FALSE)</f>
        <v>FORTUNATO FRANK</v>
      </c>
      <c r="M175" s="224">
        <f>I175-F175</f>
        <v>9.1666666630771942E-3</v>
      </c>
      <c r="N175" s="225">
        <f>24*60*SUM($M175:$M175)</f>
        <v>13.19999999483116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-05T10:26:40-0700',mode:absolute,to:'2017-12-05T12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5.8662000000000001</v>
      </c>
      <c r="Z175" s="247">
        <f>RIGHT(H175,LEN(H175)-4)/10000</f>
        <v>1.6E-2</v>
      </c>
      <c r="AA175" s="247">
        <f>ABS(Z175-Y175)</f>
        <v>5.8502000000000001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818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/stypes="app*4003*20171205*" /stext=" 18:.+((SYSTEM_STATE.+slice.+state.+changed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26"/>
        <v>"%USERPROFILE%\Documents\GitHub\eaglep3\Utilities\RefineRTDCRunTimes.py" --tripid 818-05 --locoid 4003 --swversion DE.1.0.9.0 --startMP 300:58662 --initTime 2017-12-05T11:26:40 --startdatetime 2017-12-05T11:42:00 --delay 84 --endMP 204:160 --enddatetime 2017-12-05T11:55:12 --enforcementcount 0 &gt;&gt;%USERPROFILE%\Documents\GitHub\eaglep3-reporting\EC\2017-12-05-refined-times.txt</v>
      </c>
      <c r="AI175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{"issue":{"subject":"","project_id":79,"tracker_id":40,"status_id":1,"priority_id":2,"assigned_to_id":338,"start_date":"2017-12-05","description":"","custom_fields":[{"id":1,"name":"Subdivision","value":"NW"},{"id":4,"name":"Milepost","value":"0.016"},{"id":17,"name":"Train ID","value":"818-05"},{"id":16,"name":"Locomotive ID","value":"4003"},{"id":130,"name":"Impact","value":""},{"id":150,"name":"Time of Event (Mountain Time)","value":"11:55:12"},{"id":151,"name":"Denver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28"/>
        <v>start /low /b %USERPROFILE%\Documents\GitHub\eaglep3\Utilities\DownloadLogsFromS3.py --loco 4003 --day 2017-12-05</v>
      </c>
      <c r="AN175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18:55:12"},{"id":29,"name":"Sharepoint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30"/>
        <v>https://d0f6bd738d7f1b3e5a7ca70fe4ff75f0.us-east-1.aws.found.io/app/kibana#/discover/Steve-Slow-Train-Analysis-(2080s-and-2083s)?_g=(refreshInterval:(display:Off,pause:!f,section:0,value:0),time:(from:'2017-12-05T10:26:40-0700',mode:absolute,to:'2017-12-05T12:55:12-0700'))&amp;_a=(columns:!('Message%20ID',Summary),filters:!(),index:'emp_*',interval:auto,query:(query_string:(analyze_wildcard:!t,query:'%22rtdc.l.rtdc.4003%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25">
      <c r="A176" s="229" t="s">
        <v>797</v>
      </c>
      <c r="B176" s="225">
        <v>4004</v>
      </c>
      <c r="C176" s="227" t="s">
        <v>192</v>
      </c>
      <c r="D176" s="227" t="s">
        <v>510</v>
      </c>
      <c r="E176" s="226">
        <v>43074.49832175926</v>
      </c>
      <c r="F176" s="226">
        <v>43074.506527777776</v>
      </c>
      <c r="G176" s="225">
        <v>57</v>
      </c>
      <c r="H176" s="227" t="s">
        <v>1033</v>
      </c>
      <c r="I176" s="226">
        <v>43074.516979166663</v>
      </c>
      <c r="J176" s="225">
        <v>0</v>
      </c>
      <c r="K176" s="237" t="str">
        <f>IF(ISEVEN(B176),(B176-1)&amp;"/"&amp;B176,B176&amp;"/"&amp;(B176+1))</f>
        <v>4003/4004</v>
      </c>
      <c r="L176" s="245" t="str">
        <f>VLOOKUP(A176,'Trips&amp;Operators'!$C$1:$G$99911,5,FALSE)</f>
        <v>FORTUNATO FRANK</v>
      </c>
      <c r="M176" s="224">
        <f>I176-F176</f>
        <v>1.0451388887304347E-2</v>
      </c>
      <c r="N176" s="225">
        <f>24*60*SUM($M176:$M176)</f>
        <v>15.04999999771826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-05T10:57:35-0700',mode:absolute,to:'2017-12-05T13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4.4400000000000002E-2</v>
      </c>
      <c r="Z176" s="247">
        <f>RIGHT(H176,LEN(H176)-4)/10000</f>
        <v>5.8978000000000002</v>
      </c>
      <c r="AA176" s="247">
        <f>ABS(Z176-Y176)</f>
        <v>5.8533999999999997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819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/stypes="app*4004*20171205*" /stext=" 19:.+((SYSTEM_STATE.+slice.+state.+changed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26"/>
        <v>"%USERPROFILE%\Documents\GitHub\eaglep3\Utilities\RefineRTDCRunTimes.py" --tripid 819-05 --locoid 4004 --swversion DE.1.0.9.0 --startMP 204:444 --initTime 2017-12-05T11:57:35 --startdatetime 2017-12-05T12:09:24 --delay 57 --endMP 300:58978 --enddatetime 2017-12-05T12:24:27 --enforcementcount 0 &gt;&gt;%USERPROFILE%\Documents\GitHub\eaglep3-reporting\EC\2017-12-05-refined-times.txt</v>
      </c>
      <c r="AI176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{"issue":{"subject":"","project_id":79,"tracker_id":40,"status_id":1,"priority_id":2,"assigned_to_id":338,"start_date":"2017-12-05","description":"","custom_fields":[{"id":1,"name":"Subdivision","value":"NW"},{"id":4,"name":"Milepost","value":"5.8978"},{"id":17,"name":"Train ID","value":"819-05"},{"id":16,"name":"Locomotive ID","value":"4004"},{"id":130,"name":"Impact","value":""},{"id":150,"name":"Time of Event (Mountain Time)","value":"12:24:27"},{"id":151,"name":"Denver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28"/>
        <v>start /low /b %USERPROFILE%\Documents\GitHub\eaglep3\Utilities\DownloadLogsFromS3.py --loco 4004 --day 2017-12-05</v>
      </c>
      <c r="AN176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30"/>
        <v>https://d0f6bd738d7f1b3e5a7ca70fe4ff75f0.us-east-1.aws.found.io/app/kibana#/discover/Steve-Slow-Train-Analysis-(2080s-and-2083s)?_g=(refreshInterval:(display:Off,pause:!f,section:0,value:0),time:(from:'2017-12-05T10:57:35-0700',mode:absolute,to:'2017-12-05T13:24:27-0700'))&amp;_a=(columns:!('Message%20ID',Summary),filters:!(),index:'emp_*',interval:auto,query:(query_string:(analyze_wildcard:!t,query:'%22rtdc.l.rtdc.4004%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688</v>
      </c>
      <c r="B177" s="225">
        <v>4003</v>
      </c>
      <c r="C177" s="227" t="s">
        <v>192</v>
      </c>
      <c r="D177" s="227" t="s">
        <v>1034</v>
      </c>
      <c r="E177" s="226">
        <v>43074.518206018518</v>
      </c>
      <c r="F177" s="226">
        <v>43074.529166666667</v>
      </c>
      <c r="G177" s="225">
        <v>48</v>
      </c>
      <c r="H177" s="227" t="s">
        <v>1035</v>
      </c>
      <c r="I177" s="226">
        <v>43074.537083333336</v>
      </c>
      <c r="J177" s="225">
        <v>0</v>
      </c>
      <c r="K177" s="237" t="str">
        <f>IF(ISEVEN(B177),(B177-1)&amp;"/"&amp;B177,B177&amp;"/"&amp;(B177+1))</f>
        <v>4003/4004</v>
      </c>
      <c r="L177" s="245" t="str">
        <f>VLOOKUP(A177,'Trips&amp;Operators'!$C$1:$G$99911,5,FALSE)</f>
        <v>FORTUNATO FRANK</v>
      </c>
      <c r="M177" s="224">
        <f>I177-F177</f>
        <v>7.9166666691889986E-3</v>
      </c>
      <c r="N177" s="225">
        <f>24*60*SUM($M177:$M177)</f>
        <v>11.400000003632158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-05T11:26:13-0700',mode:absolute,to:'2017-12-05T13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7" s="247" t="str">
        <f>IF(AA177&lt;VLOOKUP(AG177,Variables!$AC$3:$AD$8,2,FALSE),"Y","N")</f>
        <v>Y</v>
      </c>
      <c r="X177" s="247">
        <f>VALUE(LEFT(AD177,4))-VALUE(LEFT(AD176,4))</f>
        <v>1</v>
      </c>
      <c r="Y177" s="247">
        <f>RIGHT(D177,LEN(D177)-4)/10000</f>
        <v>5.8663999999999996</v>
      </c>
      <c r="Z177" s="247">
        <f>RIGHT(H177,LEN(H177)-4)/10000</f>
        <v>0.4511</v>
      </c>
      <c r="AA177" s="247">
        <f>ABS(Z177-Y177)</f>
        <v>5.4152999999999993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820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/stypes="app*4003*20171205*" /stext=" 19:.+((SYSTEM_STATE.+slice.+state.+changed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26"/>
        <v>"%USERPROFILE%\Documents\GitHub\eaglep3\Utilities\RefineRTDCRunTimes.py" --tripid 820-05 --locoid 4003 --swversion DE.1.0.9.0 --startMP 300:58664 --initTime 2017-12-05T12:26:13 --startdatetime 2017-12-05T12:42:00 --delay 48 --endMP 204:4511 --enddatetime 2017-12-05T12:53:24 --enforcementcount 0 &gt;&gt;%USERPROFILE%\Documents\GitHub\eaglep3-reporting\EC\2017-12-05-refined-times.txt</v>
      </c>
      <c r="AI177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{"issue":{"subject":"","project_id":79,"tracker_id":40,"status_id":1,"priority_id":2,"assigned_to_id":338,"start_date":"2017-12-05","description":"","custom_fields":[{"id":1,"name":"Subdivision","value":"NW"},{"id":4,"name":"Milepost","value":"0.4511"},{"id":17,"name":"Train ID","value":"820-05"},{"id":16,"name":"Locomotive ID","value":"4003"},{"id":130,"name":"Impact","value":""},{"id":150,"name":"Time of Event (Mountain Time)","value":"12:53:24"},{"id":151,"name":"Denver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28"/>
        <v>start /low /b %USERPROFILE%\Documents\GitHub\eaglep3\Utilities\DownloadLogsFromS3.py --loco 4003 --day 2017-12-05</v>
      </c>
      <c r="AN177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19:53:24"},{"id":29,"name":"Sharepoint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30"/>
        <v>https://d0f6bd738d7f1b3e5a7ca70fe4ff75f0.us-east-1.aws.found.io/app/kibana#/discover/Steve-Slow-Train-Analysis-(2080s-and-2083s)?_g=(refreshInterval:(display:Off,pause:!f,section:0,value:0),time:(from:'2017-12-05T11:26:13-0700',mode:absolute,to:'2017-12-05T13:53:24-0700'))&amp;_a=(columns:!('Message%20ID',Summary),filters:!(),index:'emp_*',interval:auto,query:(query_string:(analyze_wildcard:!t,query:'%22rtdc.l.rtdc.4003%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806</v>
      </c>
      <c r="B178" s="225">
        <v>4004</v>
      </c>
      <c r="C178" s="227" t="s">
        <v>192</v>
      </c>
      <c r="D178" s="227" t="s">
        <v>1036</v>
      </c>
      <c r="E178" s="226">
        <v>43074.541956018518</v>
      </c>
      <c r="F178" s="226">
        <v>43074.548113425924</v>
      </c>
      <c r="G178" s="225">
        <v>79</v>
      </c>
      <c r="H178" s="227" t="s">
        <v>551</v>
      </c>
      <c r="I178" s="226">
        <v>43074.558356481481</v>
      </c>
      <c r="J178" s="225">
        <v>0</v>
      </c>
      <c r="K178" s="237" t="str">
        <f>IF(ISEVEN(B178),(B178-1)&amp;"/"&amp;B178,B178&amp;"/"&amp;(B178+1))</f>
        <v>4003/4004</v>
      </c>
      <c r="L178" s="245" t="str">
        <f>VLOOKUP(A178,'Trips&amp;Operators'!$C$1:$G$99911,5,FALSE)</f>
        <v>LONG FULLER</v>
      </c>
      <c r="M178" s="224">
        <f>I178-F178</f>
        <v>1.0243055556202307E-2</v>
      </c>
      <c r="N178" s="225">
        <f>24*60*SUM($M178:$M178)</f>
        <v>14.750000000931323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-05T12:00:25-0700',mode:absolute,to:'2017-12-05T14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4.41E-2</v>
      </c>
      <c r="Z178" s="247">
        <f>RIGHT(H178,LEN(H178)-4)/10000</f>
        <v>5.8925999999999998</v>
      </c>
      <c r="AA178" s="247">
        <f>ABS(Z178-Y178)</f>
        <v>5.8484999999999996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821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/stypes="app*4004*20171205*" /stext=" 20:.+((SYSTEM_STATE.+slice.+state.+changed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26"/>
        <v>"%USERPROFILE%\Documents\GitHub\eaglep3\Utilities\RefineRTDCRunTimes.py" --tripid 821-05 --locoid 4004 --swversion DE.1.0.9.0 --startMP 204:441 --initTime 2017-12-05T13:00:25 --startdatetime 2017-12-05T13:09:17 --delay 79 --endMP 300:58926 --enddatetime 2017-12-05T13:24:02 --enforcementcount 0 &gt;&gt;%USERPROFILE%\Documents\GitHub\eaglep3-reporting\EC\2017-12-05-refined-times.txt</v>
      </c>
      <c r="AI178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{"issue":{"subject":"","project_id":79,"tracker_id":40,"status_id":1,"priority_id":2,"assigned_to_id":338,"start_date":"2017-12-05","description":"","custom_fields":[{"id":1,"name":"Subdivision","value":"NW"},{"id":4,"name":"Milepost","value":"5.8926"},{"id":17,"name":"Train ID","value":"821-05"},{"id":16,"name":"Locomotive ID","value":"4004"},{"id":130,"name":"Impact","value":""},{"id":150,"name":"Time of Event (Mountain Time)","value":"13:24:02"},{"id":151,"name":"Denver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28"/>
        <v>start /low /b %USERPROFILE%\Documents\GitHub\eaglep3\Utilities\DownloadLogsFromS3.py --loco 4004 --day 2017-12-05</v>
      </c>
      <c r="AN178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30"/>
        <v>https://d0f6bd738d7f1b3e5a7ca70fe4ff75f0.us-east-1.aws.found.io/app/kibana#/discover/Steve-Slow-Train-Analysis-(2080s-and-2083s)?_g=(refreshInterval:(display:Off,pause:!f,section:0,value:0),time:(from:'2017-12-05T12:00:25-0700',mode:absolute,to:'2017-12-05T14:24:02-0700'))&amp;_a=(columns:!('Message%20ID',Summary),filters:!(),index:'emp_*',interval:auto,query:(query_string:(analyze_wildcard:!t,query:'%22rtdc.l.rtdc.4004%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689</v>
      </c>
      <c r="B179" s="225">
        <v>4003</v>
      </c>
      <c r="C179" s="227" t="s">
        <v>192</v>
      </c>
      <c r="D179" s="227" t="s">
        <v>657</v>
      </c>
      <c r="E179" s="226">
        <v>43074.562245370369</v>
      </c>
      <c r="F179" s="226">
        <v>43074.570833333331</v>
      </c>
      <c r="G179" s="225">
        <v>81</v>
      </c>
      <c r="H179" s="227" t="s">
        <v>929</v>
      </c>
      <c r="I179" s="226">
        <v>43074.581770833334</v>
      </c>
      <c r="J179" s="225">
        <v>0</v>
      </c>
      <c r="K179" s="237" t="str">
        <f>IF(ISEVEN(B179),(B179-1)&amp;"/"&amp;B179,B179&amp;"/"&amp;(B179+1))</f>
        <v>4003/4004</v>
      </c>
      <c r="L179" s="245" t="str">
        <f>VLOOKUP(A179,'Trips&amp;Operators'!$C$1:$G$99911,5,FALSE)</f>
        <v>LONG FULLER</v>
      </c>
      <c r="M179" s="224">
        <f>I179-F179</f>
        <v>1.0937500002910383E-2</v>
      </c>
      <c r="N179" s="225">
        <f>24*60*SUM($M179:$M179)</f>
        <v>15.750000004190952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-05T12:29:38-0700',mode:absolute,to:'2017-12-05T14:57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5.8619000000000003</v>
      </c>
      <c r="Z179" s="247">
        <f>RIGHT(H179,LEN(H179)-4)/10000</f>
        <v>1.49E-2</v>
      </c>
      <c r="AA179" s="247">
        <f>ABS(Z179-Y179)</f>
        <v>5.8470000000000004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822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/stypes="app*4003*20171205*" /stext=" 20:.+((SYSTEM_STATE.+slice.+state.+changed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26"/>
        <v>"%USERPROFILE%\Documents\GitHub\eaglep3\Utilities\RefineRTDCRunTimes.py" --tripid 822-05 --locoid 4003 --swversion DE.1.0.9.0 --startMP 300:58619 --initTime 2017-12-05T13:29:38 --startdatetime 2017-12-05T13:42:00 --delay 81 --endMP 204:149 --enddatetime 2017-12-05T13:57:45 --enforcementcount 0 &gt;&gt;%USERPROFILE%\Documents\GitHub\eaglep3-reporting\EC\2017-12-05-refined-times.txt</v>
      </c>
      <c r="AI179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{"issue":{"subject":"","project_id":79,"tracker_id":40,"status_id":1,"priority_id":2,"assigned_to_id":338,"start_date":"2017-12-05","description":"","custom_fields":[{"id":1,"name":"Subdivision","value":"NW"},{"id":4,"name":"Milepost","value":"0.0149"},{"id":17,"name":"Train ID","value":"822-05"},{"id":16,"name":"Locomotive ID","value":"4003"},{"id":130,"name":"Impact","value":""},{"id":150,"name":"Time of Event (Mountain Time)","value":"13:57:45"},{"id":151,"name":"Denver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28"/>
        <v>start /low /b %USERPROFILE%\Documents\GitHub\eaglep3\Utilities\DownloadLogsFromS3.py --loco 4003 --day 2017-12-05</v>
      </c>
      <c r="AN179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20:57:45"},{"id":29,"name":"Sharepoint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30"/>
        <v>https://d0f6bd738d7f1b3e5a7ca70fe4ff75f0.us-east-1.aws.found.io/app/kibana#/discover/Steve-Slow-Train-Analysis-(2080s-and-2083s)?_g=(refreshInterval:(display:Off,pause:!f,section:0,value:0),time:(from:'2017-12-05T12:29:38-0700',mode:absolute,to:'2017-12-05T14:57:45-0700'))&amp;_a=(columns:!('Message%20ID',Summary),filters:!(),index:'emp_*',interval:auto,query:(query_string:(analyze_wildcard:!t,query:'%22rtdc.l.rtdc.4003%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814</v>
      </c>
      <c r="B180" s="225">
        <v>4004</v>
      </c>
      <c r="C180" s="227" t="s">
        <v>192</v>
      </c>
      <c r="D180" s="227" t="s">
        <v>658</v>
      </c>
      <c r="E180" s="226">
        <v>43074.585729166669</v>
      </c>
      <c r="F180" s="226">
        <v>43074.589745370373</v>
      </c>
      <c r="G180" s="225">
        <v>60</v>
      </c>
      <c r="H180" s="227" t="s">
        <v>498</v>
      </c>
      <c r="I180" s="226">
        <v>43074.599363425928</v>
      </c>
      <c r="J180" s="225">
        <v>0</v>
      </c>
      <c r="K180" s="237" t="str">
        <f>IF(ISEVEN(B180),(B180-1)&amp;"/"&amp;B180,B180&amp;"/"&amp;(B180+1))</f>
        <v>4003/4004</v>
      </c>
      <c r="L180" s="245" t="str">
        <f>VLOOKUP(A180,'Trips&amp;Operators'!$C$1:$G$99911,5,FALSE)</f>
        <v>LONG FULLER</v>
      </c>
      <c r="M180" s="224">
        <f>I180-F180</f>
        <v>9.6180555556202307E-3</v>
      </c>
      <c r="N180" s="225">
        <f>24*60*SUM($M180:$M180)</f>
        <v>13.850000000093132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-05T13:03:27-0700',mode:absolute,to:'2017-12-05T15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4.3900000000000002E-2</v>
      </c>
      <c r="Z180" s="247">
        <f>RIGHT(H180,LEN(H180)-4)/10000</f>
        <v>5.8928000000000003</v>
      </c>
      <c r="AA180" s="247">
        <f>ABS(Z180-Y180)</f>
        <v>5.8489000000000004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823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/stypes="app*4004*20171205*" /stext=" 21:.+((SYSTEM_STATE.+slice.+state.+changed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26"/>
        <v>"%USERPROFILE%\Documents\GitHub\eaglep3\Utilities\RefineRTDCRunTimes.py" --tripid 823-05 --locoid 4004 --swversion DE.1.0.9.0 --startMP 204:439 --initTime 2017-12-05T14:03:27 --startdatetime 2017-12-05T14:09:14 --delay 60 --endMP 300:58928 --enddatetime 2017-12-05T14:23:05 --enforcementcount 0 &gt;&gt;%USERPROFILE%\Documents\GitHub\eaglep3-reporting\EC\2017-12-05-refined-times.txt</v>
      </c>
      <c r="AI180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{"issue":{"subject":"","project_id":79,"tracker_id":40,"status_id":1,"priority_id":2,"assigned_to_id":338,"start_date":"2017-12-05","description":"","custom_fields":[{"id":1,"name":"Subdivision","value":"NW"},{"id":4,"name":"Milepost","value":"5.8928"},{"id":17,"name":"Train ID","value":"823-05"},{"id":16,"name":"Locomotive ID","value":"4004"},{"id":130,"name":"Impact","value":""},{"id":150,"name":"Time of Event (Mountain Time)","value":"14:23:05"},{"id":151,"name":"Denver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28"/>
        <v>start /low /b %USERPROFILE%\Documents\GitHub\eaglep3\Utilities\DownloadLogsFromS3.py --loco 4004 --day 2017-12-05</v>
      </c>
      <c r="AN180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30"/>
        <v>https://d0f6bd738d7f1b3e5a7ca70fe4ff75f0.us-east-1.aws.found.io/app/kibana#/discover/Steve-Slow-Train-Analysis-(2080s-and-2083s)?_g=(refreshInterval:(display:Off,pause:!f,section:0,value:0),time:(from:'2017-12-05T13:03:27-0700',mode:absolute,to:'2017-12-05T15:23:05-0700'))&amp;_a=(columns:!('Message%20ID',Summary),filters:!(),index:'emp_*',interval:auto,query:(query_string:(analyze_wildcard:!t,query:'%22rtdc.l.rtdc.4004%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691</v>
      </c>
      <c r="B181" s="225">
        <v>4003</v>
      </c>
      <c r="C181" s="227" t="s">
        <v>192</v>
      </c>
      <c r="D181" s="227" t="s">
        <v>655</v>
      </c>
      <c r="E181" s="226">
        <v>43074.600231481483</v>
      </c>
      <c r="F181" s="226">
        <v>43074.612500000003</v>
      </c>
      <c r="G181" s="225">
        <v>53</v>
      </c>
      <c r="H181" s="227" t="s">
        <v>1037</v>
      </c>
      <c r="I181" s="226">
        <v>43074.6172337963</v>
      </c>
      <c r="J181" s="225">
        <v>0</v>
      </c>
      <c r="K181" s="237" t="str">
        <f>IF(ISEVEN(B181),(B181-1)&amp;"/"&amp;B181,B181&amp;"/"&amp;(B181+1))</f>
        <v>4003/4004</v>
      </c>
      <c r="L181" s="245" t="str">
        <f>VLOOKUP(A181,'Trips&amp;Operators'!$C$1:$G$99911,5,FALSE)</f>
        <v>LONG FULLER</v>
      </c>
      <c r="M181" s="224">
        <f>I181-F181</f>
        <v>4.7337962969322689E-3</v>
      </c>
      <c r="N181" s="225"/>
      <c r="O181" s="225"/>
      <c r="P181" s="225">
        <f>24*60*SUM($M181:$M181)</f>
        <v>6.8166666675824672</v>
      </c>
      <c r="Q181" s="228"/>
      <c r="R181" s="242" t="s">
        <v>450</v>
      </c>
      <c r="S181" s="249">
        <f>1/IF(AG181="EC",12,1)*SUM(U181:U181)</f>
        <v>0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-05T13:24:20-0700',mode:absolute,to:'2017-12-05T15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1" s="247" t="str">
        <f>IF(AA181&lt;VLOOKUP(AG181,Variables!$AC$3:$AD$8,2,FALSE),"Y","N")</f>
        <v>Y</v>
      </c>
      <c r="X181" s="247">
        <f>VALUE(LEFT(AD181,4))-VALUE(LEFT(AD180,4))</f>
        <v>1</v>
      </c>
      <c r="Y181" s="247">
        <f>RIGHT(D181,LEN(D181)-4)/10000</f>
        <v>5.8609</v>
      </c>
      <c r="Z181" s="247">
        <f>RIGHT(H181,LEN(H181)-4)/10000</f>
        <v>2.2658</v>
      </c>
      <c r="AA181" s="247">
        <f>ABS(Z181-Y181)</f>
        <v>3.5951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824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/stypes="app*4003*20171205*" /stext=" 21:.+((SYSTEM_STATE.+slice.+state.+changed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26"/>
        <v>"%USERPROFILE%\Documents\GitHub\eaglep3\Utilities\RefineRTDCRunTimes.py" --tripid 824-05 --locoid 4003 --swversion DE.1.0.9.0 --startMP 300:58609 --initTime 2017-12-05T14:24:20 --startdatetime 2017-12-05T14:42:00 --delay 53 --endMP 300:22658 --enddatetime 2017-12-05T14:48:49 --enforcementcount 0 &gt;&gt;%USERPROFILE%\Documents\GitHub\eaglep3-reporting\EC\2017-12-05-refined-times.txt</v>
      </c>
      <c r="AI181" s="238" t="str">
        <f t="shared" si="27"/>
        <v>echo {"issue":{"subject":"Wi-MAX data drop","project_id":79,"tracker_id":40,"status_id":1,"priority_id":2,"assigned_to_id":338,"start_date":"2017-12-05","description":"","custom_fields":[{"id":1,"name":"Subdivision","value":"NW"},{"id":4,"name":"Milepost","value":"2.2658"},{"id":17,"name":"Train ID","value":"824-05"},{"id":16,"name":"Locomotive ID","value":"4003"},{"id":130,"name":"Impact","value":""},{"id":150,"name":"Time of Event (Mountain Time)","value":"14:48:49"},{"id":151,"name":"Denver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28"/>
        <v>start /low /b %USERPROFILE%\Documents\GitHub\eaglep3\Utilities\DownloadLogsFromS3.py --loco 4003 --day 2017-12-05</v>
      </c>
      <c r="AN181" s="241" t="str">
        <f t="shared" si="29"/>
        <v>echo {"issue":{"subject":"Wi-MAX data drop","project_id":30,"tracker_id":4,"status_id":1,"priority_id":1,"assigned_to_id":10,"start_date":"2017-12-05","description":"","custom_fields":[{"id":30,"name":"Category","value":"Issue"},{"id":3,"name":"Functional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21:48:49"},{"id":29,"name":"Sharepoint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30"/>
        <v>https://d0f6bd738d7f1b3e5a7ca70fe4ff75f0.us-east-1.aws.found.io/app/kibana#/discover/Steve-Slow-Train-Analysis-(2080s-and-2083s)?_g=(refreshInterval:(display:Off,pause:!f,section:0,value:0),time:(from:'2017-12-05T13:24:20-0700',mode:absolute,to:'2017-12-05T15:48:49-0700'))&amp;_a=(columns:!('Message%20ID',Summary),filters:!(),index:'emp_*',interval:auto,query:(query_string:(analyze_wildcard:!t,query:'%22rtdc.l.rtdc.4003%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25">
      <c r="A182" s="229" t="s">
        <v>822</v>
      </c>
      <c r="B182" s="225">
        <v>4004</v>
      </c>
      <c r="C182" s="227" t="s">
        <v>192</v>
      </c>
      <c r="D182" s="227" t="s">
        <v>552</v>
      </c>
      <c r="E182" s="226">
        <v>43074.627430555556</v>
      </c>
      <c r="F182" s="226">
        <v>43074.631643518522</v>
      </c>
      <c r="G182" s="225">
        <v>71</v>
      </c>
      <c r="H182" s="227" t="s">
        <v>1021</v>
      </c>
      <c r="I182" s="226">
        <v>43074.642361111109</v>
      </c>
      <c r="J182" s="225">
        <v>0</v>
      </c>
      <c r="K182" s="237" t="str">
        <f>IF(ISEVEN(B182),(B182-1)&amp;"/"&amp;B182,B182&amp;"/"&amp;(B182+1))</f>
        <v>4003/4004</v>
      </c>
      <c r="L182" s="245" t="str">
        <f>VLOOKUP(A182,'Trips&amp;Operators'!$C$1:$G$99911,5,FALSE)</f>
        <v>LONG FULLER</v>
      </c>
      <c r="M182" s="224">
        <f>I182-F182</f>
        <v>1.0717592587752733E-2</v>
      </c>
      <c r="N182" s="225">
        <f>24*60*SUM($M182:$M182)</f>
        <v>15.433333326363936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-05T14:03:30-0700',mode:absolute,to:'2017-12-05T16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4.6600000000000003E-2</v>
      </c>
      <c r="Z182" s="247">
        <f>RIGHT(H182,LEN(H182)-4)/10000</f>
        <v>5.8930999999999996</v>
      </c>
      <c r="AA182" s="247">
        <f>ABS(Z182-Y182)</f>
        <v>5.8464999999999998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825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/stypes="app*4004*20171205*" /stext=" 22:.+((SYSTEM_STATE.+slice.+state.+changed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26"/>
        <v>"%USERPROFILE%\Documents\GitHub\eaglep3\Utilities\RefineRTDCRunTimes.py" --tripid 825-05 --locoid 4004 --swversion DE.1.0.9.0 --startMP 204:466 --initTime 2017-12-05T15:03:30 --startdatetime 2017-12-05T15:09:34 --delay 71 --endMP 300:58931 --enddatetime 2017-12-05T15:25:00 --enforcementcount 0 &gt;&gt;%USERPROFILE%\Documents\GitHub\eaglep3-reporting\EC\2017-12-05-refined-times.txt</v>
      </c>
      <c r="AI182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{"issue":{"subject":"","project_id":79,"tracker_id":40,"status_id":1,"priority_id":2,"assigned_to_id":338,"start_date":"2017-12-05","description":"","custom_fields":[{"id":1,"name":"Subdivision","value":"NW"},{"id":4,"name":"Milepost","value":"5.8931"},{"id":17,"name":"Train ID","value":"825-05"},{"id":16,"name":"Locomotive ID","value":"4004"},{"id":130,"name":"Impact","value":""},{"id":150,"name":"Time of Event (Mountain Time)","value":"15:25:00"},{"id":151,"name":"Denver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28"/>
        <v>start /low /b %USERPROFILE%\Documents\GitHub\eaglep3\Utilities\DownloadLogsFromS3.py --loco 4004 --day 2017-12-05</v>
      </c>
      <c r="AN182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30"/>
        <v>https://d0f6bd738d7f1b3e5a7ca70fe4ff75f0.us-east-1.aws.found.io/app/kibana#/discover/Steve-Slow-Train-Analysis-(2080s-and-2083s)?_g=(refreshInterval:(display:Off,pause:!f,section:0,value:0),time:(from:'2017-12-05T14:03:30-0700',mode:absolute,to:'2017-12-05T16:25:00-0700'))&amp;_a=(columns:!('Message%20ID',Summary),filters:!(),index:'emp_*',interval:auto,query:(query_string:(analyze_wildcard:!t,query:'%22rtdc.l.rtdc.4004%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25">
      <c r="A183" s="229" t="s">
        <v>828</v>
      </c>
      <c r="B183" s="225">
        <v>4003</v>
      </c>
      <c r="C183" s="227" t="s">
        <v>192</v>
      </c>
      <c r="D183" s="227" t="s">
        <v>1038</v>
      </c>
      <c r="E183" s="226">
        <v>43074.64366898148</v>
      </c>
      <c r="F183" s="226">
        <v>43074.654166666667</v>
      </c>
      <c r="G183" s="225">
        <v>64</v>
      </c>
      <c r="H183" s="227" t="s">
        <v>1039</v>
      </c>
      <c r="I183" s="226">
        <v>43074.663634259261</v>
      </c>
      <c r="J183" s="225">
        <v>0</v>
      </c>
      <c r="K183" s="237" t="str">
        <f>IF(ISEVEN(B183),(B183-1)&amp;"/"&amp;B183,B183&amp;"/"&amp;(B183+1))</f>
        <v>4003/4004</v>
      </c>
      <c r="L183" s="245" t="str">
        <f>VLOOKUP(A183,'Trips&amp;Operators'!$C$1:$G$99911,5,FALSE)</f>
        <v>LONG FULLER</v>
      </c>
      <c r="M183" s="224">
        <f>I183-F183</f>
        <v>9.4675925938645378E-3</v>
      </c>
      <c r="N183" s="225">
        <f>24*60*SUM($M183:$M183)</f>
        <v>13.633333335164934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-05T14:26:53-0700',mode:absolute,to:'2017-12-05T16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5.8613</v>
      </c>
      <c r="Z183" s="247">
        <f>RIGHT(H183,LEN(H183)-4)/10000</f>
        <v>1.7299999999999999E-2</v>
      </c>
      <c r="AA183" s="247">
        <f>ABS(Z183-Y183)</f>
        <v>5.8440000000000003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826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/stypes="app*4003*20171205*" /stext=" 22:.+((SYSTEM_STATE.+slice.+state.+changed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26"/>
        <v>"%USERPROFILE%\Documents\GitHub\eaglep3\Utilities\RefineRTDCRunTimes.py" --tripid 826-05 --locoid 4003 --swversion DE.1.0.9.0 --startMP 300:58613 --initTime 2017-12-05T15:26:53 --startdatetime 2017-12-05T15:42:00 --delay 64 --endMP 204:173 --enddatetime 2017-12-05T15:55:38 --enforcementcount 0 &gt;&gt;%USERPROFILE%\Documents\GitHub\eaglep3-reporting\EC\2017-12-05-refined-times.txt</v>
      </c>
      <c r="AI183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{"issue":{"subject":"","project_id":79,"tracker_id":40,"status_id":1,"priority_id":2,"assigned_to_id":338,"start_date":"2017-12-05","description":"","custom_fields":[{"id":1,"name":"Subdivision","value":"NW"},{"id":4,"name":"Milepost","value":"0.0173"},{"id":17,"name":"Train ID","value":"826-05"},{"id":16,"name":"Locomotive ID","value":"4003"},{"id":130,"name":"Impact","value":""},{"id":150,"name":"Time of Event (Mountain Time)","value":"15:55:38"},{"id":151,"name":"Denver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28"/>
        <v>start /low /b %USERPROFILE%\Documents\GitHub\eaglep3\Utilities\DownloadLogsFromS3.py --loco 4003 --day 2017-12-05</v>
      </c>
      <c r="AN183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30"/>
        <v>https://d0f6bd738d7f1b3e5a7ca70fe4ff75f0.us-east-1.aws.found.io/app/kibana#/discover/Steve-Slow-Train-Analysis-(2080s-and-2083s)?_g=(refreshInterval:(display:Off,pause:!f,section:0,value:0),time:(from:'2017-12-05T14:26:53-0700',mode:absolute,to:'2017-12-05T16:55:38-0700'))&amp;_a=(columns:!('Message%20ID',Summary),filters:!(),index:'emp_*',interval:auto,query:(query_string:(analyze_wildcard:!t,query:'%22rtdc.l.rtdc.4003%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829</v>
      </c>
      <c r="B184" s="225">
        <v>4012</v>
      </c>
      <c r="C184" s="227" t="s">
        <v>192</v>
      </c>
      <c r="D184" s="227" t="s">
        <v>663</v>
      </c>
      <c r="E184" s="226">
        <v>43074.646215277775</v>
      </c>
      <c r="F184" s="226">
        <v>43074.652361111112</v>
      </c>
      <c r="G184" s="225">
        <v>150</v>
      </c>
      <c r="H184" s="227" t="s">
        <v>665</v>
      </c>
      <c r="I184" s="226">
        <v>43074.662604166668</v>
      </c>
      <c r="J184" s="225">
        <v>0</v>
      </c>
      <c r="K184" s="237" t="str">
        <f>IF(ISEVEN(B184),(B184-1)&amp;"/"&amp;B184,B184&amp;"/"&amp;(B184+1))</f>
        <v>4011/4012</v>
      </c>
      <c r="L184" s="245" t="str">
        <f>VLOOKUP(A184,'Trips&amp;Operators'!$C$1:$G$99911,5,FALSE)</f>
        <v>AUSTIN THOMPSON</v>
      </c>
      <c r="M184" s="224">
        <f>I184-F184</f>
        <v>1.0243055556202307E-2</v>
      </c>
      <c r="N184" s="225">
        <f>24*60*SUM($M184:$M184)</f>
        <v>14.750000000931323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-05T14:30:33-0700',mode:absolute,to:'2017-12-05T16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4.48E-2</v>
      </c>
      <c r="Z184" s="247">
        <f>RIGHT(H184,LEN(H184)-4)/10000</f>
        <v>5.8956</v>
      </c>
      <c r="AA184" s="247">
        <f>ABS(Z184-Y184)</f>
        <v>5.8507999999999996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827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/stypes="app*4012*20171205*" /stext=" 22:.+((SYSTEM_STATE.+slice.+state.+changed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26"/>
        <v>"%USERPROFILE%\Documents\GitHub\eaglep3\Utilities\RefineRTDCRunTimes.py" --tripid 827-05 --locoid 4012 --swversion DE.1.0.9.0 --startMP 204:448 --initTime 2017-12-05T15:30:33 --startdatetime 2017-12-05T15:39:24 --delay 150 --endMP 300:58956 --enddatetime 2017-12-05T15:54:09 --enforcementcount 0 &gt;&gt;%USERPROFILE%\Documents\GitHub\eaglep3-reporting\EC\2017-12-05-refined-times.txt</v>
      </c>
      <c r="AI184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{"issue":{"subject":"","project_id":79,"tracker_id":40,"status_id":1,"priority_id":2,"assigned_to_id":338,"start_date":"2017-12-05","description":"","custom_fields":[{"id":1,"name":"Subdivision","value":"NW"},{"id":4,"name":"Milepost","value":"5.8956"},{"id":17,"name":"Train ID","value":"827-05"},{"id":16,"name":"Locomotive ID","value":"4012"},{"id":130,"name":"Impact","value":""},{"id":150,"name":"Time of Event (Mountain Time)","value":"15:54:09"},{"id":151,"name":"Denver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28"/>
        <v>start /low /b %USERPROFILE%\Documents\GitHub\eaglep3\Utilities\DownloadLogsFromS3.py --loco 4012 --day 2017-12-05</v>
      </c>
      <c r="AN184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30"/>
        <v>https://d0f6bd738d7f1b3e5a7ca70fe4ff75f0.us-east-1.aws.found.io/app/kibana#/discover/Steve-Slow-Train-Analysis-(2080s-and-2083s)?_g=(refreshInterval:(display:Off,pause:!f,section:0,value:0),time:(from:'2017-12-05T14:30:33-0700',mode:absolute,to:'2017-12-05T16:54:09-0700'))&amp;_a=(columns:!('Message%20ID',Summary),filters:!(),index:'emp_*',interval:auto,query:(query_string:(analyze_wildcard:!t,query:'%22rtdc.l.rtdc.4012%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835</v>
      </c>
      <c r="B185" s="225">
        <v>4011</v>
      </c>
      <c r="C185" s="227" t="s">
        <v>192</v>
      </c>
      <c r="D185" s="227" t="s">
        <v>669</v>
      </c>
      <c r="E185" s="226">
        <v>43074.663541666669</v>
      </c>
      <c r="F185" s="226">
        <v>43074.675000000003</v>
      </c>
      <c r="G185" s="225">
        <v>60</v>
      </c>
      <c r="H185" s="227" t="s">
        <v>653</v>
      </c>
      <c r="I185" s="226">
        <v>43074.683969907404</v>
      </c>
      <c r="J185" s="225">
        <v>0</v>
      </c>
      <c r="K185" s="237" t="str">
        <f>IF(ISEVEN(B185),(B185-1)&amp;"/"&amp;B185,B185&amp;"/"&amp;(B185+1))</f>
        <v>4011/4012</v>
      </c>
      <c r="L185" s="245" t="str">
        <f>VLOOKUP(A185,'Trips&amp;Operators'!$C$1:$G$99911,5,FALSE)</f>
        <v>AUSTIN THOMPSON</v>
      </c>
      <c r="M185" s="224">
        <f>I185-F185</f>
        <v>8.9699074014788494E-3</v>
      </c>
      <c r="N185" s="225">
        <f>24*60*SUM($M185:$M185)</f>
        <v>12.916666658129543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-05T14:55:30-0700',mode:absolute,to:'2017-12-05T17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5.8639999999999999</v>
      </c>
      <c r="Z185" s="247">
        <f>RIGHT(H185,LEN(H185)-4)/10000</f>
        <v>1.4200000000000001E-2</v>
      </c>
      <c r="AA185" s="247">
        <f>ABS(Z185-Y185)</f>
        <v>5.8498000000000001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828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/stypes="app*4011*20171205*" /stext=" 23:.+((SYSTEM_STATE.+slice.+state.+changed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26"/>
        <v>"%USERPROFILE%\Documents\GitHub\eaglep3\Utilities\RefineRTDCRunTimes.py" --tripid 828-05 --locoid 4011 --swversion DE.1.0.9.0 --startMP 300:58640 --initTime 2017-12-05T15:55:30 --startdatetime 2017-12-05T16:12:00 --delay 60 --endMP 204:142 --enddatetime 2017-12-05T16:24:55 --enforcementcount 0 &gt;&gt;%USERPROFILE%\Documents\GitHub\eaglep3-reporting\EC\2017-12-05-refined-times.txt</v>
      </c>
      <c r="AI185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{"issue":{"subject":"","project_id":79,"tracker_id":40,"status_id":1,"priority_id":2,"assigned_to_id":338,"start_date":"2017-12-05","description":"","custom_fields":[{"id":1,"name":"Subdivision","value":"NW"},{"id":4,"name":"Milepost","value":"0.0142"},{"id":17,"name":"Train ID","value":"828-05"},{"id":16,"name":"Locomotive ID","value":"4011"},{"id":130,"name":"Impact","value":""},{"id":150,"name":"Time of Event (Mountain Time)","value":"16:24:55"},{"id":151,"name":"Denver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28"/>
        <v>start /low /b %USERPROFILE%\Documents\GitHub\eaglep3\Utilities\DownloadLogsFromS3.py --loco 4011 --day 2017-12-05</v>
      </c>
      <c r="AN185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30"/>
        <v>https://d0f6bd738d7f1b3e5a7ca70fe4ff75f0.us-east-1.aws.found.io/app/kibana#/discover/Steve-Slow-Train-Analysis-(2080s-and-2083s)?_g=(refreshInterval:(display:Off,pause:!f,section:0,value:0),time:(from:'2017-12-05T14:55:30-0700',mode:absolute,to:'2017-12-05T17:24:55-0700'))&amp;_a=(columns:!('Message%20ID',Summary),filters:!(),index:'emp_*',interval:auto,query:(query_string:(analyze_wildcard:!t,query:'%22rtdc.l.rtdc.4011%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836</v>
      </c>
      <c r="B186" s="225">
        <v>4004</v>
      </c>
      <c r="C186" s="227" t="s">
        <v>192</v>
      </c>
      <c r="D186" s="227" t="s">
        <v>510</v>
      </c>
      <c r="E186" s="226">
        <v>43074.665243055555</v>
      </c>
      <c r="F186" s="226">
        <v>43074.673113425924</v>
      </c>
      <c r="G186" s="225">
        <v>138</v>
      </c>
      <c r="H186" s="227" t="s">
        <v>553</v>
      </c>
      <c r="I186" s="226">
        <v>43074.684131944443</v>
      </c>
      <c r="J186" s="225">
        <v>0</v>
      </c>
      <c r="K186" s="237" t="str">
        <f>IF(ISEVEN(B186),(B186-1)&amp;"/"&amp;B186,B186&amp;"/"&amp;(B186+1))</f>
        <v>4003/4004</v>
      </c>
      <c r="L186" s="245" t="str">
        <f>VLOOKUP(A186,'Trips&amp;Operators'!$C$1:$G$99911,5,FALSE)</f>
        <v>LONG FULLER</v>
      </c>
      <c r="M186" s="224">
        <f>I186-F186</f>
        <v>1.1018518518540077E-2</v>
      </c>
      <c r="N186" s="225">
        <f>24*60*SUM($M186:$M186)</f>
        <v>15.866666666697711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-05T14:57:57-0700',mode:absolute,to:'2017-12-05T17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4.4400000000000002E-2</v>
      </c>
      <c r="Z186" s="247">
        <f>RIGHT(H186,LEN(H186)-4)/10000</f>
        <v>5.8921999999999999</v>
      </c>
      <c r="AA186" s="247">
        <f>ABS(Z186-Y186)</f>
        <v>5.8477999999999994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829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/stypes="app*4004*20171205*" /stext=" 23:.+((SYSTEM_STATE.+slice.+state.+changed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26"/>
        <v>"%USERPROFILE%\Documents\GitHub\eaglep3\Utilities\RefineRTDCRunTimes.py" --tripid 829-05 --locoid 4004 --swversion DE.1.0.9.0 --startMP 204:444 --initTime 2017-12-05T15:57:57 --startdatetime 2017-12-05T16:09:17 --delay 138 --endMP 300:58922 --enddatetime 2017-12-05T16:25:09 --enforcementcount 0 &gt;&gt;%USERPROFILE%\Documents\GitHub\eaglep3-reporting\EC\2017-12-05-refined-times.txt</v>
      </c>
      <c r="AI186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{"issue":{"subject":"","project_id":79,"tracker_id":40,"status_id":1,"priority_id":2,"assigned_to_id":338,"start_date":"2017-12-05","description":"","custom_fields":[{"id":1,"name":"Subdivision","value":"NW"},{"id":4,"name":"Milepost","value":"5.8922"},{"id":17,"name":"Train ID","value":"829-05"},{"id":16,"name":"Locomotive ID","value":"4004"},{"id":130,"name":"Impact","value":""},{"id":150,"name":"Time of Event (Mountain Time)","value":"16:25:09"},{"id":151,"name":"Denver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28"/>
        <v>start /low /b %USERPROFILE%\Documents\GitHub\eaglep3\Utilities\DownloadLogsFromS3.py --loco 4004 --day 2017-12-05</v>
      </c>
      <c r="AN186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30"/>
        <v>https://d0f6bd738d7f1b3e5a7ca70fe4ff75f0.us-east-1.aws.found.io/app/kibana#/discover/Steve-Slow-Train-Analysis-(2080s-and-2083s)?_g=(refreshInterval:(display:Off,pause:!f,section:0,value:0),time:(from:'2017-12-05T14:57:57-0700',mode:absolute,to:'2017-12-05T17:25:09-0700'))&amp;_a=(columns:!('Message%20ID',Summary),filters:!(),index:'emp_*',interval:auto,query:(query_string:(analyze_wildcard:!t,query:'%22rtdc.l.rtdc.4004%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841</v>
      </c>
      <c r="B187" s="225">
        <v>4003</v>
      </c>
      <c r="C187" s="227" t="s">
        <v>192</v>
      </c>
      <c r="D187" s="227" t="s">
        <v>1038</v>
      </c>
      <c r="E187" s="226">
        <v>43074.685243055559</v>
      </c>
      <c r="F187" s="226">
        <v>43074.695833333331</v>
      </c>
      <c r="G187" s="225">
        <v>61</v>
      </c>
      <c r="H187" s="227" t="s">
        <v>652</v>
      </c>
      <c r="I187" s="226">
        <v>43074.705740740741</v>
      </c>
      <c r="J187" s="225">
        <v>0</v>
      </c>
      <c r="K187" s="237" t="str">
        <f>IF(ISEVEN(B187),(B187-1)&amp;"/"&amp;B187,B187&amp;"/"&amp;(B187+1))</f>
        <v>4003/4004</v>
      </c>
      <c r="L187" s="245" t="str">
        <f>VLOOKUP(A187,'Trips&amp;Operators'!$C$1:$G$99911,5,FALSE)</f>
        <v>LONG FULLER</v>
      </c>
      <c r="M187" s="224">
        <f>I187-F187</f>
        <v>9.9074074096279219E-3</v>
      </c>
      <c r="N187" s="225">
        <f>24*60*SUM($M187:$M187)</f>
        <v>14.266666669864208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-05T15:26:45-0700',mode:absolute,to:'2017-12-05T17:56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5.8613</v>
      </c>
      <c r="Z187" s="247">
        <f>RIGHT(H187,LEN(H187)-4)/10000</f>
        <v>1.4E-2</v>
      </c>
      <c r="AA187" s="247">
        <f>ABS(Z187-Y187)</f>
        <v>5.8472999999999997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830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/stypes="app*4003*20171205*" /stext=" 23:.+((SYSTEM_STATE.+slice.+state.+changed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26"/>
        <v>"%USERPROFILE%\Documents\GitHub\eaglep3\Utilities\RefineRTDCRunTimes.py" --tripid 830-05 --locoid 4003 --swversion DE.1.0.9.0 --startMP 300:58613 --initTime 2017-12-05T16:26:45 --startdatetime 2017-12-05T16:42:00 --delay 61 --endMP 204:140 --enddatetime 2017-12-05T16:56:16 --enforcementcount 0 &gt;&gt;%USERPROFILE%\Documents\GitHub\eaglep3-reporting\EC\2017-12-05-refined-times.txt</v>
      </c>
      <c r="AI187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{"issue":{"subject":"","project_id":79,"tracker_id":40,"status_id":1,"priority_id":2,"assigned_to_id":338,"start_date":"2017-12-05","description":"","custom_fields":[{"id":1,"name":"Subdivision","value":"NW"},{"id":4,"name":"Milepost","value":"0.014"},{"id":17,"name":"Train ID","value":"830-05"},{"id":16,"name":"Locomotive ID","value":"4003"},{"id":130,"name":"Impact","value":""},{"id":150,"name":"Time of Event (Mountain Time)","value":"16:56:16"},{"id":151,"name":"Denver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28"/>
        <v>start /low /b %USERPROFILE%\Documents\GitHub\eaglep3\Utilities\DownloadLogsFromS3.py --loco 4003 --day 2017-12-05</v>
      </c>
      <c r="AN187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23:56:16"},{"id":29,"name":"Sharepoint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30"/>
        <v>https://d0f6bd738d7f1b3e5a7ca70fe4ff75f0.us-east-1.aws.found.io/app/kibana#/discover/Steve-Slow-Train-Analysis-(2080s-and-2083s)?_g=(refreshInterval:(display:Off,pause:!f,section:0,value:0),time:(from:'2017-12-05T15:26:45-0700',mode:absolute,to:'2017-12-05T17:56:16-0700'))&amp;_a=(columns:!('Message%20ID',Summary),filters:!(),index:'emp_*',interval:auto,query:(query_string:(analyze_wildcard:!t,query:'%22rtdc.l.rtdc.4003%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25">
      <c r="A188" s="229" t="s">
        <v>842</v>
      </c>
      <c r="B188" s="225">
        <v>4012</v>
      </c>
      <c r="C188" s="227" t="s">
        <v>192</v>
      </c>
      <c r="D188" s="227" t="s">
        <v>613</v>
      </c>
      <c r="E188" s="226">
        <v>43074.687511574077</v>
      </c>
      <c r="F188" s="226">
        <v>43074.707905092589</v>
      </c>
      <c r="G188" s="225">
        <v>63</v>
      </c>
      <c r="H188" s="227" t="s">
        <v>1040</v>
      </c>
      <c r="I188" s="226">
        <v>43074.724988425929</v>
      </c>
      <c r="J188" s="225">
        <v>0</v>
      </c>
      <c r="K188" s="237" t="str">
        <f>IF(ISEVEN(B188),(B188-1)&amp;"/"&amp;B188,B188&amp;"/"&amp;(B188+1))</f>
        <v>4011/4012</v>
      </c>
      <c r="L188" s="245" t="str">
        <f>VLOOKUP(A188,'Trips&amp;Operators'!$C$1:$G$99911,5,FALSE)</f>
        <v>AUSTIN THOMPSON</v>
      </c>
      <c r="M188" s="224">
        <f>I188-F188</f>
        <v>1.708333333954215E-2</v>
      </c>
      <c r="N188" s="225">
        <f>24*60*SUM($M188:$M188)</f>
        <v>24.600000008940697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-05T15:30:01-0700',mode:absolute,to:'2017-12-05T18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4.3499999999999997E-2</v>
      </c>
      <c r="Z188" s="247">
        <f>RIGHT(H188,LEN(H188)-4)/10000</f>
        <v>5.8933</v>
      </c>
      <c r="AA188" s="247">
        <f>ABS(Z188-Y188)</f>
        <v>5.8498000000000001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831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/stypes="app*4012*20171206*" /stext=" 00:.+((SYSTEM_STATE.+slice.+state.+changed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26"/>
        <v>"%USERPROFILE%\Documents\GitHub\eaglep3\Utilities\RefineRTDCRunTimes.py" --tripid 831-05 --locoid 4012 --swversion DE.1.0.9.0 --startMP 204:435 --initTime 2017-12-05T16:30:01 --startdatetime 2017-12-05T16:59:23 --delay 63 --endMP 300:58933 --enddatetime 2017-12-05T17:23:59 --enforcementcount 0 &gt;&gt;%USERPROFILE%\Documents\GitHub\eaglep3-reporting\EC\2017-12-05-refined-times.txt</v>
      </c>
      <c r="AI188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{"issue":{"subject":"","project_id":79,"tracker_id":40,"status_id":1,"priority_id":2,"assigned_to_id":338,"start_date":"2017-12-05","description":"","custom_fields":[{"id":1,"name":"Subdivision","value":"NW"},{"id":4,"name":"Milepost","value":"5.8933"},{"id":17,"name":"Train ID","value":"831-05"},{"id":16,"name":"Locomotive ID","value":"4012"},{"id":130,"name":"Impact","value":""},{"id":150,"name":"Time of Event (Mountain Time)","value":"17:23:59"},{"id":151,"name":"Denver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28"/>
        <v>start /low /b %USERPROFILE%\Documents\GitHub\eaglep3\Utilities\DownloadLogsFromS3.py --loco 4012 --day 2017-12-05</v>
      </c>
      <c r="AN188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30"/>
        <v>https://d0f6bd738d7f1b3e5a7ca70fe4ff75f0.us-east-1.aws.found.io/app/kibana#/discover/Steve-Slow-Train-Analysis-(2080s-and-2083s)?_g=(refreshInterval:(display:Off,pause:!f,section:0,value:0),time:(from:'2017-12-05T15:30:01-0700',mode:absolute,to:'2017-12-05T18:23:59-0700'))&amp;_a=(columns:!('Message%20ID',Summary),filters:!(),index:'emp_*',interval:auto,query:(query_string:(analyze_wildcard:!t,query:'%22rtdc.l.rtdc.4012%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25">
      <c r="A189" s="229" t="s">
        <v>849</v>
      </c>
      <c r="B189" s="225">
        <v>4011</v>
      </c>
      <c r="C189" s="227" t="s">
        <v>192</v>
      </c>
      <c r="D189" s="227" t="s">
        <v>657</v>
      </c>
      <c r="E189" s="226">
        <v>43074.706574074073</v>
      </c>
      <c r="F189" s="226">
        <v>43074.707905092589</v>
      </c>
      <c r="G189" s="225">
        <v>58</v>
      </c>
      <c r="H189" s="227" t="s">
        <v>653</v>
      </c>
      <c r="I189" s="226">
        <v>43074.724988425929</v>
      </c>
      <c r="J189" s="225">
        <v>0</v>
      </c>
      <c r="K189" s="237" t="str">
        <f>IF(ISEVEN(B189),(B189-1)&amp;"/"&amp;B189,B189&amp;"/"&amp;(B189+1))</f>
        <v>4011/4012</v>
      </c>
      <c r="L189" s="245" t="str">
        <f>VLOOKUP(A189,'Trips&amp;Operators'!$C$1:$G$99911,5,FALSE)</f>
        <v>AUSTIN THOMPSON</v>
      </c>
      <c r="M189" s="224">
        <f>I189-F189</f>
        <v>1.708333333954215E-2</v>
      </c>
      <c r="N189" s="225">
        <f>24*60*SUM($M189:$M189)</f>
        <v>24.600000008940697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-05T15:57:28-0700',mode:absolute,to:'2017-12-05T18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5.8619000000000003</v>
      </c>
      <c r="Z189" s="247">
        <f>RIGHT(H189,LEN(H189)-4)/10000</f>
        <v>1.4200000000000001E-2</v>
      </c>
      <c r="AA189" s="247">
        <f>ABS(Z189-Y189)</f>
        <v>5.8477000000000006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832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/stypes="app*4011*20171206*" /stext=" 00:.+((SYSTEM_STATE.+slice.+state.+changed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26"/>
        <v>"%USERPROFILE%\Documents\GitHub\eaglep3\Utilities\RefineRTDCRunTimes.py" --tripid 832-05 --locoid 4011 --swversion DE.1.0.9.0 --startMP 300:58619 --initTime 2017-12-05T16:57:28 --startdatetime 2017-12-05T16:59:23 --delay 58 --endMP 204:142 --enddatetime 2017-12-05T17:23:59 --enforcementcount 0 &gt;&gt;%USERPROFILE%\Documents\GitHub\eaglep3-reporting\EC\2017-12-05-refined-times.txt</v>
      </c>
      <c r="AI189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{"issue":{"subject":"","project_id":79,"tracker_id":40,"status_id":1,"priority_id":2,"assigned_to_id":338,"start_date":"2017-12-05","description":"","custom_fields":[{"id":1,"name":"Subdivision","value":"NW"},{"id":4,"name":"Milepost","value":"0.0142"},{"id":17,"name":"Train ID","value":"832-05"},{"id":16,"name":"Locomotive ID","value":"4011"},{"id":130,"name":"Impact","value":""},{"id":150,"name":"Time of Event (Mountain Time)","value":"17:23:59"},{"id":151,"name":"Denver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28"/>
        <v>start /low /b %USERPROFILE%\Documents\GitHub\eaglep3\Utilities\DownloadLogsFromS3.py --loco 4011 --day 2017-12-05</v>
      </c>
      <c r="AN189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30"/>
        <v>https://d0f6bd738d7f1b3e5a7ca70fe4ff75f0.us-east-1.aws.found.io/app/kibana#/discover/Steve-Slow-Train-Analysis-(2080s-and-2083s)?_g=(refreshInterval:(display:Off,pause:!f,section:0,value:0),time:(from:'2017-12-05T15:57:28-0700',mode:absolute,to:'2017-12-05T18:23:59-0700'))&amp;_a=(columns:!('Message%20ID',Summary),filters:!(),index:'emp_*',interval:auto,query:(query_string:(analyze_wildcard:!t,query:'%22rtdc.l.rtdc.4011%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25">
      <c r="A190" s="229" t="s">
        <v>854</v>
      </c>
      <c r="B190" s="225">
        <v>4004</v>
      </c>
      <c r="C190" s="227" t="s">
        <v>192</v>
      </c>
      <c r="D190" s="227" t="s">
        <v>654</v>
      </c>
      <c r="E190" s="226">
        <v>43074.710694444446</v>
      </c>
      <c r="F190" s="226">
        <v>43074.714733796296</v>
      </c>
      <c r="G190" s="225">
        <v>75</v>
      </c>
      <c r="H190" s="227" t="s">
        <v>449</v>
      </c>
      <c r="I190" s="226">
        <v>43074.725289351853</v>
      </c>
      <c r="J190" s="225">
        <v>0</v>
      </c>
      <c r="K190" s="237" t="str">
        <f>IF(ISEVEN(B190),(B190-1)&amp;"/"&amp;B190,B190&amp;"/"&amp;(B190+1))</f>
        <v>4003/4004</v>
      </c>
      <c r="L190" s="245" t="str">
        <f>VLOOKUP(A190,'Trips&amp;Operators'!$C$1:$G$99911,5,FALSE)</f>
        <v>LONG FULLER</v>
      </c>
      <c r="M190" s="224">
        <f>I190-F190</f>
        <v>1.0555555556493346E-2</v>
      </c>
      <c r="N190" s="225">
        <f>24*60*SUM($M190:$M190)</f>
        <v>15.200000001350418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-05T16:03:24-0700',mode:absolute,to:'2017-12-05T18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4.4999999999999998E-2</v>
      </c>
      <c r="Z190" s="247">
        <f>RIGHT(H190,LEN(H190)-4)/10000</f>
        <v>5.8929</v>
      </c>
      <c r="AA190" s="247">
        <f>ABS(Z190-Y190)</f>
        <v>5.8479000000000001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833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/stypes="app*4004*20171206*" /stext=" 00:.+((SYSTEM_STATE.+slice.+state.+changed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26"/>
        <v>"%USERPROFILE%\Documents\GitHub\eaglep3\Utilities\RefineRTDCRunTimes.py" --tripid 833-05 --locoid 4004 --swversion DE.1.0.9.0 --startMP 204:450 --initTime 2017-12-05T17:03:24 --startdatetime 2017-12-05T17:09:13 --delay 75 --endMP 300:58929 --enddatetime 2017-12-05T17:24:25 --enforcementcount 0 &gt;&gt;%USERPROFILE%\Documents\GitHub\eaglep3-reporting\EC\2017-12-05-refined-times.txt</v>
      </c>
      <c r="AI190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{"issue":{"subject":"","project_id":79,"tracker_id":40,"status_id":1,"priority_id":2,"assigned_to_id":338,"start_date":"2017-12-05","description":"","custom_fields":[{"id":1,"name":"Subdivision","value":"NW"},{"id":4,"name":"Milepost","value":"5.8929"},{"id":17,"name":"Train ID","value":"833-05"},{"id":16,"name":"Locomotive ID","value":"4004"},{"id":130,"name":"Impact","value":""},{"id":150,"name":"Time of Event (Mountain Time)","value":"17:24:25"},{"id":151,"name":"Denver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28"/>
        <v>start /low /b %USERPROFILE%\Documents\GitHub\eaglep3\Utilities\DownloadLogsFromS3.py --loco 4004 --day 2017-12-05</v>
      </c>
      <c r="AN190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30"/>
        <v>https://d0f6bd738d7f1b3e5a7ca70fe4ff75f0.us-east-1.aws.found.io/app/kibana#/discover/Steve-Slow-Train-Analysis-(2080s-and-2083s)?_g=(refreshInterval:(display:Off,pause:!f,section:0,value:0),time:(from:'2017-12-05T16:03:24-0700',mode:absolute,to:'2017-12-05T18:24:25-0700'))&amp;_a=(columns:!('Message%20ID',Summary),filters:!(),index:'emp_*',interval:auto,query:(query_string:(analyze_wildcard:!t,query:'%22rtdc.l.rtdc.4004%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9" t="s">
        <v>858</v>
      </c>
      <c r="B191" s="225">
        <v>4003</v>
      </c>
      <c r="C191" s="227" t="s">
        <v>192</v>
      </c>
      <c r="D191" s="227" t="s">
        <v>1041</v>
      </c>
      <c r="E191" s="226">
        <v>43074.726284722223</v>
      </c>
      <c r="F191" s="226">
        <v>43074.737500000003</v>
      </c>
      <c r="G191" s="225">
        <v>56</v>
      </c>
      <c r="H191" s="227" t="s">
        <v>1042</v>
      </c>
      <c r="I191" s="226">
        <v>43074.747476851851</v>
      </c>
      <c r="J191" s="225">
        <v>0</v>
      </c>
      <c r="K191" s="237" t="str">
        <f>IF(ISEVEN(B191),(B191-1)&amp;"/"&amp;B191,B191&amp;"/"&amp;(B191+1))</f>
        <v>4003/4004</v>
      </c>
      <c r="L191" s="245" t="str">
        <f>VLOOKUP(A191,'Trips&amp;Operators'!$C$1:$G$99911,5,FALSE)</f>
        <v>LONG FULLER</v>
      </c>
      <c r="M191" s="224">
        <f>I191-F191</f>
        <v>9.9768518484779634E-3</v>
      </c>
      <c r="N191" s="225">
        <f>24*60*SUM($M191:$M191)</f>
        <v>14.366666661808267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-05T16:25:51-0700',mode:absolute,to:'2017-12-05T18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5.8611000000000004</v>
      </c>
      <c r="Z191" s="247">
        <f>RIGHT(H191,LEN(H191)-4)/10000</f>
        <v>1.46E-2</v>
      </c>
      <c r="AA191" s="247">
        <f>ABS(Z191-Y191)</f>
        <v>5.8465000000000007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834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/stypes="app*4003*20171206*" /stext=" 00:.+((SYSTEM_STATE.+slice.+state.+changed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26"/>
        <v>"%USERPROFILE%\Documents\GitHub\eaglep3\Utilities\RefineRTDCRunTimes.py" --tripid 834-05 --locoid 4003 --swversion DE.1.0.9.0 --startMP 300:58611 --initTime 2017-12-05T17:25:51 --startdatetime 2017-12-05T17:42:00 --delay 56 --endMP 204:146 --enddatetime 2017-12-05T17:56:22 --enforcementcount 0 &gt;&gt;%USERPROFILE%\Documents\GitHub\eaglep3-reporting\EC\2017-12-05-refined-times.txt</v>
      </c>
      <c r="AI191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{"issue":{"subject":"","project_id":79,"tracker_id":40,"status_id":1,"priority_id":2,"assigned_to_id":338,"start_date":"2017-12-05","description":"","custom_fields":[{"id":1,"name":"Subdivision","value":"NW"},{"id":4,"name":"Milepost","value":"0.0146"},{"id":17,"name":"Train ID","value":"834-05"},{"id":16,"name":"Locomotive ID","value":"4003"},{"id":130,"name":"Impact","value":""},{"id":150,"name":"Time of Event (Mountain Time)","value":"17:56:22"},{"id":151,"name":"Denver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28"/>
        <v>start /low /b %USERPROFILE%\Documents\GitHub\eaglep3\Utilities\DownloadLogsFromS3.py --loco 4003 --day 2017-12-05</v>
      </c>
      <c r="AN191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30"/>
        <v>https://d0f6bd738d7f1b3e5a7ca70fe4ff75f0.us-east-1.aws.found.io/app/kibana#/discover/Steve-Slow-Train-Analysis-(2080s-and-2083s)?_g=(refreshInterval:(display:Off,pause:!f,section:0,value:0),time:(from:'2017-12-05T16:25:51-0700',mode:absolute,to:'2017-12-05T18:56:22-0700'))&amp;_a=(columns:!('Message%20ID',Summary),filters:!(),index:'emp_*',interval:auto,query:(query_string:(analyze_wildcard:!t,query:'%22rtdc.l.rtdc.4003%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692</v>
      </c>
      <c r="B192" s="225">
        <v>4012</v>
      </c>
      <c r="C192" s="227" t="s">
        <v>192</v>
      </c>
      <c r="D192" s="227" t="s">
        <v>658</v>
      </c>
      <c r="E192" s="226">
        <v>43074.730717592596</v>
      </c>
      <c r="F192" s="226">
        <v>43074.735648148147</v>
      </c>
      <c r="G192" s="225">
        <v>70</v>
      </c>
      <c r="H192" s="227" t="s">
        <v>662</v>
      </c>
      <c r="I192" s="226">
        <v>43074.746863425928</v>
      </c>
      <c r="J192" s="225">
        <v>0</v>
      </c>
      <c r="K192" s="237" t="str">
        <f>IF(ISEVEN(B192),(B192-1)&amp;"/"&amp;B192,B192&amp;"/"&amp;(B192+1))</f>
        <v>4011/4012</v>
      </c>
      <c r="L192" s="245" t="str">
        <f>VLOOKUP(A192,'Trips&amp;Operators'!$C$1:$G$99911,5,FALSE)</f>
        <v>AUSTIN THOMPSON</v>
      </c>
      <c r="M192" s="224">
        <f>I192-F192</f>
        <v>1.1215277780138422E-2</v>
      </c>
      <c r="N192" s="225">
        <f>24*60*SUM($M192:$M192)</f>
        <v>16.150000003399327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-05T16:32:14-0700',mode:absolute,to:'2017-12-05T18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4.3900000000000002E-2</v>
      </c>
      <c r="Z192" s="247">
        <f>RIGHT(H192,LEN(H192)-4)/10000</f>
        <v>5.8945999999999996</v>
      </c>
      <c r="AA192" s="247">
        <f>ABS(Z192-Y192)</f>
        <v>5.8506999999999998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835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/stypes="app*4012*20171206*" /stext=" 00:.+((SYSTEM_STATE.+slice.+state.+changed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26"/>
        <v>"%USERPROFILE%\Documents\GitHub\eaglep3\Utilities\RefineRTDCRunTimes.py" --tripid 835-05 --locoid 4012 --swversion DE.1.0.9.0 --startMP 204:439 --initTime 2017-12-05T17:32:14 --startdatetime 2017-12-05T17:39:20 --delay 70 --endMP 300:58946 --enddatetime 2017-12-05T17:55:29 --enforcementcount 0 &gt;&gt;%USERPROFILE%\Documents\GitHub\eaglep3-reporting\EC\2017-12-05-refined-times.txt</v>
      </c>
      <c r="AI192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{"issue":{"subject":"","project_id":79,"tracker_id":40,"status_id":1,"priority_id":2,"assigned_to_id":338,"start_date":"2017-12-05","description":"","custom_fields":[{"id":1,"name":"Subdivision","value":"NW"},{"id":4,"name":"Milepost","value":"5.8946"},{"id":17,"name":"Train ID","value":"835-05"},{"id":16,"name":"Locomotive ID","value":"4012"},{"id":130,"name":"Impact","value":""},{"id":150,"name":"Time of Event (Mountain Time)","value":"17:55:29"},{"id":151,"name":"Denver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28"/>
        <v>start /low /b %USERPROFILE%\Documents\GitHub\eaglep3\Utilities\DownloadLogsFromS3.py --loco 4012 --day 2017-12-05</v>
      </c>
      <c r="AN192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30"/>
        <v>https://d0f6bd738d7f1b3e5a7ca70fe4ff75f0.us-east-1.aws.found.io/app/kibana#/discover/Steve-Slow-Train-Analysis-(2080s-and-2083s)?_g=(refreshInterval:(display:Off,pause:!f,section:0,value:0),time:(from:'2017-12-05T16:32:14-0700',mode:absolute,to:'2017-12-05T18:55:29-0700'))&amp;_a=(columns:!('Message%20ID',Summary),filters:!(),index:'emp_*',interval:auto,query:(query_string:(analyze_wildcard:!t,query:'%22rtdc.l.rtdc.4012%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863</v>
      </c>
      <c r="B193" s="225">
        <v>4011</v>
      </c>
      <c r="C193" s="227" t="s">
        <v>192</v>
      </c>
      <c r="D193" s="227" t="s">
        <v>658</v>
      </c>
      <c r="E193" s="226">
        <v>43074.730717592596</v>
      </c>
      <c r="F193" s="226">
        <v>43074.759074074071</v>
      </c>
      <c r="G193" s="225">
        <v>70</v>
      </c>
      <c r="H193" s="227" t="s">
        <v>662</v>
      </c>
      <c r="I193" s="226">
        <v>43074.767187500001</v>
      </c>
      <c r="J193" s="225">
        <v>0</v>
      </c>
      <c r="K193" s="237" t="str">
        <f>IF(ISEVEN(B193),(B193-1)&amp;"/"&amp;B193,B193&amp;"/"&amp;(B193+1))</f>
        <v>4011/4012</v>
      </c>
      <c r="L193" s="245" t="str">
        <f>VLOOKUP(A193,'Trips&amp;Operators'!$C$1:$G$99911,5,FALSE)</f>
        <v>AUSTIN THOMPSON</v>
      </c>
      <c r="M193" s="224">
        <f>I193-F193</f>
        <v>8.1134259307873435E-3</v>
      </c>
      <c r="N193" s="225">
        <f>24*60*SUM($M193:$M193)</f>
        <v>11.683333340333775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-05T16:32:14-0700',mode:absolute,to:'2017-12-05T19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v>5.8611000000000004</v>
      </c>
      <c r="Z193" s="247">
        <v>1.46E-2</v>
      </c>
      <c r="AA193" s="247">
        <f>ABS(Z193-Y193)</f>
        <v>5.8465000000000007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836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/stypes="app*4011*20171206*" /stext=" 01:.+((SYSTEM_STATE.+slice.+state.+changed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ref="AH193" si="37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836-05 --locoid 4011 --swversion DE.1.0.9.0 --startMP 204:439 --initTime 2017-12-05T17:32:14 --startdatetime 2017-12-05T18:13:04 --delay 70 --endMP 300:58946 --enddatetime 2017-12-05T18:24:45 --enforcementcount 0 &gt;&gt;%USERPROFILE%\Documents\GitHub\eaglep3-reporting\EC\2017-12-05-refined-times.txt</v>
      </c>
      <c r="AI193" s="238" t="str">
        <f t="shared" ref="AI193" si="38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{"issue":{"subject":"","project_id":79,"tracker_id":40,"status_id":1,"priority_id":2,"assigned_to_id":338,"start_date":"2017-12-05","description":"","custom_fields":[{"id":1,"name":"Subdivision","value":"NW"},{"id":4,"name":"Milepost","value":"0.0146"},{"id":17,"name":"Train ID","value":"836-05"},{"id":16,"name":"Locomotive ID","value":"4011"},{"id":130,"name":"Impact","value":""},{"id":150,"name":"Time of Event (Mountain Time)","value":"18:24:45"},{"id":151,"name":"Denver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ref="AM193" si="39">"start /low /b "&amp;dls3logs&amp;" --loco "&amp;B193&amp;" --day "&amp;TEXT(F193,"YYYY-MM-DD")</f>
        <v>start /low /b %USERPROFILE%\Documents\GitHub\eaglep3\Utilities\DownloadLogsFromS3.py --loco 4011 --day 2017-12-05</v>
      </c>
      <c r="AN193" s="241" t="str">
        <f t="shared" ref="AN193" si="40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ref="AO193" si="41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-05T16:32:14-0700',mode:absolute,to:'2017-12-05T19:24:45-0700'))&amp;_a=(columns:!('Message%20ID',Summary),filters:!(),index:'emp_*',interval:auto,query:(query_string:(analyze_wildcard:!t,query:'%22rtdc.l.rtdc.4011%22')),sort:!(Time.ISO8601,asc))</v>
      </c>
    </row>
    <row r="194" spans="1:91" s="20" customFormat="1" x14ac:dyDescent="0.25">
      <c r="A194" s="229" t="s">
        <v>865</v>
      </c>
      <c r="B194" s="225">
        <v>4004</v>
      </c>
      <c r="C194" s="227" t="s">
        <v>192</v>
      </c>
      <c r="D194" s="227" t="s">
        <v>654</v>
      </c>
      <c r="E194" s="226">
        <v>43074.753171296295</v>
      </c>
      <c r="F194" s="226">
        <v>43074.756435185183</v>
      </c>
      <c r="G194" s="225">
        <v>68</v>
      </c>
      <c r="H194" s="227" t="s">
        <v>551</v>
      </c>
      <c r="I194" s="226">
        <v>43074.76798611111</v>
      </c>
      <c r="J194" s="225">
        <v>0</v>
      </c>
      <c r="K194" s="237" t="str">
        <f>IF(ISEVEN(B194),(B194-1)&amp;"/"&amp;B194,B194&amp;"/"&amp;(B194+1))</f>
        <v>4003/4004</v>
      </c>
      <c r="L194" s="245" t="str">
        <f>VLOOKUP(A194,'Trips&amp;Operators'!$C$1:$G$99911,5,FALSE)</f>
        <v>LONG FULLER</v>
      </c>
      <c r="M194" s="224">
        <f>I194-F194</f>
        <v>1.1550925926712807E-2</v>
      </c>
      <c r="N194" s="225">
        <f>24*60*SUM($M194:$M194)</f>
        <v>16.633333334466442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-05T17:04:34-0700',mode:absolute,to:'2017-12-05T19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4.4999999999999998E-2</v>
      </c>
      <c r="Z194" s="247">
        <f>RIGHT(H194,LEN(H194)-4)/10000</f>
        <v>5.8925999999999998</v>
      </c>
      <c r="AA194" s="247">
        <f>ABS(Z194-Y194)</f>
        <v>5.8475999999999999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837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/stypes="app*4004*20171206*" /stext=" 01:.+((SYSTEM_STATE.+slice.+state.+changed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26"/>
        <v>"%USERPROFILE%\Documents\GitHub\eaglep3\Utilities\RefineRTDCRunTimes.py" --tripid 837-05 --locoid 4004 --swversion DE.1.0.9.0 --startMP 204:450 --initTime 2017-12-05T18:04:34 --startdatetime 2017-12-05T18:09:16 --delay 68 --endMP 300:58926 --enddatetime 2017-12-05T18:25:54 --enforcementcount 0 &gt;&gt;%USERPROFILE%\Documents\GitHub\eaglep3-reporting\EC\2017-12-05-refined-times.txt</v>
      </c>
      <c r="AI194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{"issue":{"subject":"","project_id":79,"tracker_id":40,"status_id":1,"priority_id":2,"assigned_to_id":338,"start_date":"2017-12-05","description":"","custom_fields":[{"id":1,"name":"Subdivision","value":"NW"},{"id":4,"name":"Milepost","value":"5.8926"},{"id":17,"name":"Train ID","value":"837-05"},{"id":16,"name":"Locomotive ID","value":"4004"},{"id":130,"name":"Impact","value":""},{"id":150,"name":"Time of Event (Mountain Time)","value":"18:25:54"},{"id":151,"name":"Denver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28"/>
        <v>start /low /b %USERPROFILE%\Documents\GitHub\eaglep3\Utilities\DownloadLogsFromS3.py --loco 4004 --day 2017-12-05</v>
      </c>
      <c r="AN194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30"/>
        <v>https://d0f6bd738d7f1b3e5a7ca70fe4ff75f0.us-east-1.aws.found.io/app/kibana#/discover/Steve-Slow-Train-Analysis-(2080s-and-2083s)?_g=(refreshInterval:(display:Off,pause:!f,section:0,value:0),time:(from:'2017-12-05T17:04:34-0700',mode:absolute,to:'2017-12-05T19:25:54-0700'))&amp;_a=(columns:!('Message%20ID',Summary),filters:!(),index:'emp_*',interval:auto,query:(query_string:(analyze_wildcard:!t,query:'%22rtdc.l.rtdc.4004%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871</v>
      </c>
      <c r="B195" s="225">
        <v>4003</v>
      </c>
      <c r="C195" s="227" t="s">
        <v>192</v>
      </c>
      <c r="D195" s="227" t="s">
        <v>1043</v>
      </c>
      <c r="E195" s="226">
        <v>43074.76939814815</v>
      </c>
      <c r="F195" s="226">
        <v>43074.779166666667</v>
      </c>
      <c r="G195" s="225">
        <v>67</v>
      </c>
      <c r="H195" s="227" t="s">
        <v>1044</v>
      </c>
      <c r="I195" s="226">
        <v>43074.789583333331</v>
      </c>
      <c r="J195" s="225">
        <v>0</v>
      </c>
      <c r="K195" s="237" t="str">
        <f>IF(ISEVEN(B195),(B195-1)&amp;"/"&amp;B195,B195&amp;"/"&amp;(B195+1))</f>
        <v>4003/4004</v>
      </c>
      <c r="L195" s="245" t="str">
        <f>VLOOKUP(A195,'Trips&amp;Operators'!$C$1:$G$99911,5,FALSE)</f>
        <v>LONG FULLER</v>
      </c>
      <c r="M195" s="224">
        <f>I195-F195</f>
        <v>1.0416666664241347E-2</v>
      </c>
      <c r="N195" s="225">
        <f>24*60*SUM($M195:$M195)</f>
        <v>14.99999999650754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-05T17:27:56-0700',mode:absolute,to:'2017-12-05T19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5.8616999999999999</v>
      </c>
      <c r="Z195" s="247">
        <f>RIGHT(H195,LEN(H195)-4)/10000</f>
        <v>1.6199999999999999E-2</v>
      </c>
      <c r="AA195" s="247">
        <f>ABS(Z195-Y195)</f>
        <v>5.8454999999999995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838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/stypes="app*4003*20171206*" /stext=" 01:.+((SYSTEM_STATE.+slice.+state.+changed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26"/>
        <v>"%USERPROFILE%\Documents\GitHub\eaglep3\Utilities\RefineRTDCRunTimes.py" --tripid 838-05 --locoid 4003 --swversion DE.1.0.9.0 --startMP 300:58617 --initTime 2017-12-05T18:27:56 --startdatetime 2017-12-05T18:42:00 --delay 67 --endMP 204:162 --enddatetime 2017-12-05T18:57:00 --enforcementcount 0 &gt;&gt;%USERPROFILE%\Documents\GitHub\eaglep3-reporting\EC\2017-12-05-refined-times.txt</v>
      </c>
      <c r="AI195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{"issue":{"subject":"","project_id":79,"tracker_id":40,"status_id":1,"priority_id":2,"assigned_to_id":338,"start_date":"2017-12-05","description":"","custom_fields":[{"id":1,"name":"Subdivision","value":"NW"},{"id":4,"name":"Milepost","value":"0.0162"},{"id":17,"name":"Train ID","value":"838-05"},{"id":16,"name":"Locomotive ID","value":"4003"},{"id":130,"name":"Impact","value":""},{"id":150,"name":"Time of Event (Mountain Time)","value":"18:57:00"},{"id":151,"name":"Denver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28"/>
        <v>start /low /b %USERPROFILE%\Documents\GitHub\eaglep3\Utilities\DownloadLogsFromS3.py --loco 4003 --day 2017-12-05</v>
      </c>
      <c r="AN195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30"/>
        <v>https://d0f6bd738d7f1b3e5a7ca70fe4ff75f0.us-east-1.aws.found.io/app/kibana#/discover/Steve-Slow-Train-Analysis-(2080s-and-2083s)?_g=(refreshInterval:(display:Off,pause:!f,section:0,value:0),time:(from:'2017-12-05T17:27:56-0700',mode:absolute,to:'2017-12-05T19:57:00-0700'))&amp;_a=(columns:!('Message%20ID',Summary),filters:!(),index:'emp_*',interval:auto,query:(query_string:(analyze_wildcard:!t,query:'%22rtdc.l.rtdc.4003%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872</v>
      </c>
      <c r="B196" s="225">
        <v>4012</v>
      </c>
      <c r="C196" s="227" t="s">
        <v>192</v>
      </c>
      <c r="D196" s="227" t="s">
        <v>654</v>
      </c>
      <c r="E196" s="226">
        <v>43074.771874999999</v>
      </c>
      <c r="F196" s="226">
        <v>43074.777280092596</v>
      </c>
      <c r="G196" s="225">
        <v>72</v>
      </c>
      <c r="H196" s="227" t="s">
        <v>651</v>
      </c>
      <c r="I196" s="226">
        <v>43074.788321759261</v>
      </c>
      <c r="J196" s="225">
        <v>0</v>
      </c>
      <c r="K196" s="237" t="str">
        <f>IF(ISEVEN(B196),(B196-1)&amp;"/"&amp;B196,B196&amp;"/"&amp;(B196+1))</f>
        <v>4011/4012</v>
      </c>
      <c r="L196" s="245" t="str">
        <f>VLOOKUP(A196,'Trips&amp;Operators'!$C$1:$G$99911,5,FALSE)</f>
        <v>AUSTIN THOMPSON</v>
      </c>
      <c r="M196" s="224">
        <f>I196-F196</f>
        <v>1.1041666664823424E-2</v>
      </c>
      <c r="N196" s="225">
        <f>24*60*SUM($M196:$M196)</f>
        <v>15.899999997345731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-05T17:31:30-0700',mode:absolute,to:'2017-12-05T19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4.4999999999999998E-2</v>
      </c>
      <c r="Z196" s="247">
        <f>RIGHT(H196,LEN(H196)-4)/10000</f>
        <v>5.8924000000000003</v>
      </c>
      <c r="AA196" s="247">
        <f>ABS(Z196-Y196)</f>
        <v>5.8474000000000004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839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/stypes="app*4012*20171206*" /stext=" 01:.+((SYSTEM_STATE.+slice.+state.+changed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26"/>
        <v>"%USERPROFILE%\Documents\GitHub\eaglep3\Utilities\RefineRTDCRunTimes.py" --tripid 839-05 --locoid 4012 --swversion DE.1.0.9.0 --startMP 204:450 --initTime 2017-12-05T18:31:30 --startdatetime 2017-12-05T18:39:17 --delay 72 --endMP 300:58924 --enddatetime 2017-12-05T18:55:11 --enforcementcount 0 &gt;&gt;%USERPROFILE%\Documents\GitHub\eaglep3-reporting\EC\2017-12-05-refined-times.txt</v>
      </c>
      <c r="AI196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{"issue":{"subject":"","project_id":79,"tracker_id":40,"status_id":1,"priority_id":2,"assigned_to_id":338,"start_date":"2017-12-05","description":"","custom_fields":[{"id":1,"name":"Subdivision","value":"NW"},{"id":4,"name":"Milepost","value":"5.8924"},{"id":17,"name":"Train ID","value":"839-05"},{"id":16,"name":"Locomotive ID","value":"4012"},{"id":130,"name":"Impact","value":""},{"id":150,"name":"Time of Event (Mountain Time)","value":"18:55:11"},{"id":151,"name":"Denver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28"/>
        <v>start /low /b %USERPROFILE%\Documents\GitHub\eaglep3\Utilities\DownloadLogsFromS3.py --loco 4012 --day 2017-12-05</v>
      </c>
      <c r="AN196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30"/>
        <v>https://d0f6bd738d7f1b3e5a7ca70fe4ff75f0.us-east-1.aws.found.io/app/kibana#/discover/Steve-Slow-Train-Analysis-(2080s-and-2083s)?_g=(refreshInterval:(display:Off,pause:!f,section:0,value:0),time:(from:'2017-12-05T17:31:30-0700',mode:absolute,to:'2017-12-05T19:55:11-0700'))&amp;_a=(columns:!('Message%20ID',Summary),filters:!(),index:'emp_*',interval:auto,query:(query_string:(analyze_wildcard:!t,query:'%22rtdc.l.rtdc.4012%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695</v>
      </c>
      <c r="B197" s="225">
        <v>4003</v>
      </c>
      <c r="C197" s="227" t="s">
        <v>192</v>
      </c>
      <c r="D197" s="227" t="s">
        <v>1045</v>
      </c>
      <c r="E197" s="226">
        <v>43074.810995370368</v>
      </c>
      <c r="F197" s="226">
        <v>43074.820833333331</v>
      </c>
      <c r="G197" s="225">
        <v>83</v>
      </c>
      <c r="H197" s="227" t="s">
        <v>1046</v>
      </c>
      <c r="I197" s="226">
        <v>43074.831597222219</v>
      </c>
      <c r="J197" s="225">
        <v>0</v>
      </c>
      <c r="K197" s="237" t="str">
        <f>IF(ISEVEN(B197),(B197-1)&amp;"/"&amp;B197,B197&amp;"/"&amp;(B197+1))</f>
        <v>4003/4004</v>
      </c>
      <c r="L197" s="245" t="str">
        <f>VLOOKUP(A197,'Trips&amp;Operators'!$C$1:$G$99911,5,FALSE)</f>
        <v>LONG FULLER</v>
      </c>
      <c r="M197" s="224">
        <f>I197-F197</f>
        <v>1.0763888887595385E-2</v>
      </c>
      <c r="N197" s="225">
        <f>24*60*SUM($M197:$M197)</f>
        <v>15.499999998137355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-05T18:27:50-0700',mode:absolute,to:'2017-12-05T20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5.8620999999999999</v>
      </c>
      <c r="Z197" s="247">
        <f>RIGHT(H197,LEN(H197)-4)/10000</f>
        <v>1.3299999999999999E-2</v>
      </c>
      <c r="AA197" s="247">
        <f>ABS(Z197-Y197)</f>
        <v>5.8487999999999998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840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/stypes="app*4003*20171206*" /stext=" 02:.+((SYSTEM_STATE.+slice.+state.+changed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26"/>
        <v>"%USERPROFILE%\Documents\GitHub\eaglep3\Utilities\RefineRTDCRunTimes.py" --tripid 840-05 --locoid 4003 --swversion DE.1.0.9.0 --startMP 300:58621 --initTime 2017-12-05T19:27:50 --startdatetime 2017-12-05T19:42:00 --delay 83 --endMP 204:133 --enddatetime 2017-12-05T19:57:30 --enforcementcount 0 &gt;&gt;%USERPROFILE%\Documents\GitHub\eaglep3-reporting\EC\2017-12-05-refined-times.txt</v>
      </c>
      <c r="AI197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{"issue":{"subject":"","project_id":79,"tracker_id":40,"status_id":1,"priority_id":2,"assigned_to_id":338,"start_date":"2017-12-05","description":"","custom_fields":[{"id":1,"name":"Subdivision","value":"NW"},{"id":4,"name":"Milepost","value":"0.0133"},{"id":17,"name":"Train ID","value":"840-05"},{"id":16,"name":"Locomotive ID","value":"4003"},{"id":130,"name":"Impact","value":""},{"id":150,"name":"Time of Event (Mountain Time)","value":"19:57:30"},{"id":151,"name":"Denver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28"/>
        <v>start /low /b %USERPROFILE%\Documents\GitHub\eaglep3\Utilities\DownloadLogsFromS3.py --loco 4003 --day 2017-12-05</v>
      </c>
      <c r="AN197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30"/>
        <v>https://d0f6bd738d7f1b3e5a7ca70fe4ff75f0.us-east-1.aws.found.io/app/kibana#/discover/Steve-Slow-Train-Analysis-(2080s-and-2083s)?_g=(refreshInterval:(display:Off,pause:!f,section:0,value:0),time:(from:'2017-12-05T18:27:50-0700',mode:absolute,to:'2017-12-05T20:57:30-0700'))&amp;_a=(columns:!('Message%20ID',Summary),filters:!(),index:'emp_*',interval:auto,query:(query_string:(analyze_wildcard:!t,query:'%22rtdc.l.rtdc.4003%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878</v>
      </c>
      <c r="B198" s="225">
        <v>4004</v>
      </c>
      <c r="C198" s="227" t="s">
        <v>192</v>
      </c>
      <c r="D198" s="227" t="s">
        <v>654</v>
      </c>
      <c r="E198" s="226">
        <v>43074.790983796294</v>
      </c>
      <c r="F198" s="226">
        <v>43074.798113425924</v>
      </c>
      <c r="G198" s="225">
        <v>113</v>
      </c>
      <c r="H198" s="227" t="s">
        <v>1047</v>
      </c>
      <c r="I198" s="226">
        <v>43074.809733796297</v>
      </c>
      <c r="J198" s="225">
        <v>0</v>
      </c>
      <c r="K198" s="237" t="str">
        <f>IF(ISEVEN(B198),(B198-1)&amp;"/"&amp;B198,B198&amp;"/"&amp;(B198+1))</f>
        <v>4003/4004</v>
      </c>
      <c r="L198" s="245" t="str">
        <f>VLOOKUP(A198,'Trips&amp;Operators'!$C$1:$G$99911,5,FALSE)</f>
        <v>LONG FULLER</v>
      </c>
      <c r="M198" s="224">
        <f>I198-F198</f>
        <v>1.1620370372838806E-2</v>
      </c>
      <c r="N198" s="225">
        <f>24*60*SUM($M198:$M198)</f>
        <v>16.733333336887881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-05T17:59:01-0700',mode:absolute,to:'2017-12-05T20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8" s="247" t="str">
        <f>IF(AA198&lt;VLOOKUP(AG198,Variables!$AC$3:$AD$8,2,FALSE),"Y","N")</f>
        <v>N</v>
      </c>
      <c r="X198" s="247">
        <f>VALUE(LEFT(AD198,4))-VALUE(LEFT(AD197,4))</f>
        <v>1</v>
      </c>
      <c r="Y198" s="247">
        <f>RIGHT(D198,LEN(D198)-4)/10000</f>
        <v>4.4999999999999998E-2</v>
      </c>
      <c r="Z198" s="247">
        <f>RIGHT(H198,LEN(H198)-4)/10000</f>
        <v>5.8943000000000003</v>
      </c>
      <c r="AA198" s="247">
        <f>ABS(Z198-Y198)</f>
        <v>5.8493000000000004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841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/stypes="app*4004*20171206*" /stext=" 02:.+((SYSTEM_STATE.+slice.+state.+changed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26"/>
        <v>"%USERPROFILE%\Documents\GitHub\eaglep3\Utilities\RefineRTDCRunTimes.py" --tripid 841-05 --locoid 4004 --swversion DE.1.0.9.0 --startMP 204:450 --initTime 2017-12-05T18:59:01 --startdatetime 2017-12-05T19:09:17 --delay 113 --endMP 300:58943 --enddatetime 2017-12-05T19:26:01 --enforcementcount 0 &gt;&gt;%USERPROFILE%\Documents\GitHub\eaglep3-reporting\EC\2017-12-05-refined-times.txt</v>
      </c>
      <c r="AI198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{"issue":{"subject":"","project_id":79,"tracker_id":40,"status_id":1,"priority_id":2,"assigned_to_id":338,"start_date":"2017-12-05","description":"","custom_fields":[{"id":1,"name":"Subdivision","value":"NW"},{"id":4,"name":"Milepost","value":"5.8943"},{"id":17,"name":"Train ID","value":"841-05"},{"id":16,"name":"Locomotive ID","value":"4004"},{"id":130,"name":"Impact","value":""},{"id":150,"name":"Time of Event (Mountain Time)","value":"19:26:01"},{"id":151,"name":"Denver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28"/>
        <v>start /low /b %USERPROFILE%\Documents\GitHub\eaglep3\Utilities\DownloadLogsFromS3.py --loco 4004 --day 2017-12-05</v>
      </c>
      <c r="AN198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30"/>
        <v>https://d0f6bd738d7f1b3e5a7ca70fe4ff75f0.us-east-1.aws.found.io/app/kibana#/discover/Steve-Slow-Train-Analysis-(2080s-and-2083s)?_g=(refreshInterval:(display:Off,pause:!f,section:0,value:0),time:(from:'2017-12-05T17:59:01-0700',mode:absolute,to:'2017-12-05T20:26:01-0700'))&amp;_a=(columns:!('Message%20ID',Summary),filters:!(),index:'emp_*',interval:auto,query:(query_string:(analyze_wildcard:!t,query:'%22rtdc.l.rtdc.4004%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887</v>
      </c>
      <c r="B199" s="225">
        <v>4003</v>
      </c>
      <c r="C199" s="227" t="s">
        <v>192</v>
      </c>
      <c r="D199" s="227" t="s">
        <v>1041</v>
      </c>
      <c r="E199" s="226">
        <v>43074.850775462961</v>
      </c>
      <c r="F199" s="226">
        <v>43074.862500000003</v>
      </c>
      <c r="G199" s="225">
        <v>55</v>
      </c>
      <c r="H199" s="227" t="s">
        <v>1048</v>
      </c>
      <c r="I199" s="226">
        <v>43074.871620370373</v>
      </c>
      <c r="J199" s="225">
        <v>0</v>
      </c>
      <c r="K199" s="237" t="str">
        <f>IF(ISEVEN(B199),(B199-1)&amp;"/"&amp;B199,B199&amp;"/"&amp;(B199+1))</f>
        <v>4003/4004</v>
      </c>
      <c r="L199" s="245" t="str">
        <f>VLOOKUP(A199,'Trips&amp;Operators'!$C$1:$G$99911,5,FALSE)</f>
        <v>LONG FULLER</v>
      </c>
      <c r="M199" s="224">
        <f>I199-F199</f>
        <v>9.1203703705104999E-3</v>
      </c>
      <c r="N199" s="225">
        <f>24*60*SUM($M199:$M199)</f>
        <v>13.13333333353512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-05T19:25:07-0700',mode:absolute,to:'2017-12-05T21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9" s="247" t="str">
        <f>IF(AA199&lt;VLOOKUP(AG199,Variables!$AC$3:$AD$8,2,FALSE),"Y","N")</f>
        <v>N</v>
      </c>
      <c r="X199" s="247">
        <f>VALUE(LEFT(AD199,4))-VALUE(LEFT(AD198,4))</f>
        <v>1</v>
      </c>
      <c r="Y199" s="247">
        <f>RIGHT(D199,LEN(D199)-4)/10000</f>
        <v>5.8611000000000004</v>
      </c>
      <c r="Z199" s="247">
        <f>RIGHT(H199,LEN(H199)-4)/10000</f>
        <v>1.37E-2</v>
      </c>
      <c r="AA199" s="247">
        <f>ABS(Z199-Y199)</f>
        <v>5.8474000000000004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842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/stypes="app*4003*20171206*" /stext=" 03:.+((SYSTEM_STATE.+slice.+state.+changed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26"/>
        <v>"%USERPROFILE%\Documents\GitHub\eaglep3\Utilities\RefineRTDCRunTimes.py" --tripid 842-05 --locoid 4003 --swversion DE.1.0.9.0 --startMP 300:58611 --initTime 2017-12-05T20:25:07 --startdatetime 2017-12-05T20:42:00 --delay 55 --endMP 204:137 --enddatetime 2017-12-05T20:55:08 --enforcementcount 0 &gt;&gt;%USERPROFILE%\Documents\GitHub\eaglep3-reporting\EC\2017-12-05-refined-times.txt</v>
      </c>
      <c r="AI199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{"issue":{"subject":"","project_id":79,"tracker_id":40,"status_id":1,"priority_id":2,"assigned_to_id":338,"start_date":"2017-12-05","description":"","custom_fields":[{"id":1,"name":"Subdivision","value":"NW"},{"id":4,"name":"Milepost","value":"0.0137"},{"id":17,"name":"Train ID","value":"842-05"},{"id":16,"name":"Locomotive ID","value":"4003"},{"id":130,"name":"Impact","value":""},{"id":150,"name":"Time of Event (Mountain Time)","value":"20:55:08"},{"id":151,"name":"Denver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28"/>
        <v>start /low /b %USERPROFILE%\Documents\GitHub\eaglep3\Utilities\DownloadLogsFromS3.py --loco 4003 --day 2017-12-05</v>
      </c>
      <c r="AN199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30"/>
        <v>https://d0f6bd738d7f1b3e5a7ca70fe4ff75f0.us-east-1.aws.found.io/app/kibana#/discover/Steve-Slow-Train-Analysis-(2080s-and-2083s)?_g=(refreshInterval:(display:Off,pause:!f,section:0,value:0),time:(from:'2017-12-05T19:25:07-0700',mode:absolute,to:'2017-12-05T21:55:08-0700'))&amp;_a=(columns:!('Message%20ID',Summary),filters:!(),index:'emp_*',interval:auto,query:(query_string:(analyze_wildcard:!t,query:'%22rtdc.l.rtdc.4003%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25">
      <c r="A200" s="229" t="s">
        <v>884</v>
      </c>
      <c r="B200" s="225">
        <v>4004</v>
      </c>
      <c r="C200" s="227" t="s">
        <v>192</v>
      </c>
      <c r="D200" s="227" t="s">
        <v>510</v>
      </c>
      <c r="E200" s="226">
        <v>43074.834699074076</v>
      </c>
      <c r="F200" s="226">
        <v>43074.839745370373</v>
      </c>
      <c r="G200" s="225">
        <v>57</v>
      </c>
      <c r="H200" s="227" t="s">
        <v>1040</v>
      </c>
      <c r="I200" s="226">
        <v>43074.849722222221</v>
      </c>
      <c r="J200" s="225">
        <v>0</v>
      </c>
      <c r="K200" s="237" t="str">
        <f>IF(ISEVEN(B200),(B200-1)&amp;"/"&amp;B200,B200&amp;"/"&amp;(B200+1))</f>
        <v>4003/4004</v>
      </c>
      <c r="L200" s="245" t="str">
        <f>VLOOKUP(A200,'Trips&amp;Operators'!$C$1:$G$99911,5,FALSE)</f>
        <v>LONG FULLER</v>
      </c>
      <c r="M200" s="224">
        <f>I200-F200</f>
        <v>9.9768518484779634E-3</v>
      </c>
      <c r="N200" s="225">
        <f>24*60*SUM($M200:$M200)</f>
        <v>14.366666661808267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-05T19:01:58-0700',mode:absolute,to:'2017-12-05T21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4.4400000000000002E-2</v>
      </c>
      <c r="Z200" s="247">
        <f>RIGHT(H200,LEN(H200)-4)/10000</f>
        <v>5.8933</v>
      </c>
      <c r="AA200" s="247">
        <f>ABS(Z200-Y200)</f>
        <v>5.8488999999999995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843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/stypes="app*4004*20171206*" /stext=" 03:.+((SYSTEM_STATE.+slice.+state.+changed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26"/>
        <v>"%USERPROFILE%\Documents\GitHub\eaglep3\Utilities\RefineRTDCRunTimes.py" --tripid 843-05 --locoid 4004 --swversion DE.1.0.9.0 --startMP 204:444 --initTime 2017-12-05T20:01:58 --startdatetime 2017-12-05T20:09:14 --delay 57 --endMP 300:58933 --enddatetime 2017-12-05T20:23:36 --enforcementcount 0 &gt;&gt;%USERPROFILE%\Documents\GitHub\eaglep3-reporting\EC\2017-12-05-refined-times.txt</v>
      </c>
      <c r="AI200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{"issue":{"subject":"","project_id":79,"tracker_id":40,"status_id":1,"priority_id":2,"assigned_to_id":338,"start_date":"2017-12-05","description":"","custom_fields":[{"id":1,"name":"Subdivision","value":"NW"},{"id":4,"name":"Milepost","value":"5.8933"},{"id":17,"name":"Train ID","value":"843-05"},{"id":16,"name":"Locomotive ID","value":"4004"},{"id":130,"name":"Impact","value":""},{"id":150,"name":"Time of Event (Mountain Time)","value":"20:23:36"},{"id":151,"name":"Denver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28"/>
        <v>start /low /b %USERPROFILE%\Documents\GitHub\eaglep3\Utilities\DownloadLogsFromS3.py --loco 4004 --day 2017-12-05</v>
      </c>
      <c r="AN200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03:23:36"},{"id":29,"name":"Sharepoint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30"/>
        <v>https://d0f6bd738d7f1b3e5a7ca70fe4ff75f0.us-east-1.aws.found.io/app/kibana#/discover/Steve-Slow-Train-Analysis-(2080s-and-2083s)?_g=(refreshInterval:(display:Off,pause:!f,section:0,value:0),time:(from:'2017-12-05T19:01:58-0700',mode:absolute,to:'2017-12-05T21:23:36-0700'))&amp;_a=(columns:!('Message%20ID',Summary),filters:!(),index:'emp_*',interval:auto,query:(query_string:(analyze_wildcard:!t,query:'%22rtdc.l.rtdc.4004%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893</v>
      </c>
      <c r="B201" s="225">
        <v>4003</v>
      </c>
      <c r="C201" s="227" t="s">
        <v>192</v>
      </c>
      <c r="D201" s="227" t="s">
        <v>1045</v>
      </c>
      <c r="E201" s="226">
        <v>43074.891585648147</v>
      </c>
      <c r="F201" s="226">
        <v>43074.904166666667</v>
      </c>
      <c r="G201" s="225">
        <v>65</v>
      </c>
      <c r="H201" s="227" t="s">
        <v>1049</v>
      </c>
      <c r="I201" s="226">
        <v>43074.912546296298</v>
      </c>
      <c r="J201" s="225">
        <v>0</v>
      </c>
      <c r="K201" s="237" t="str">
        <f>IF(ISEVEN(B201),(B201-1)&amp;"/"&amp;B201,B201&amp;"/"&amp;(B201+1))</f>
        <v>4003/4004</v>
      </c>
      <c r="L201" s="245" t="str">
        <f>VLOOKUP(A201,'Trips&amp;Operators'!$C$1:$G$99911,5,FALSE)</f>
        <v>STAMBAUGH JAMES</v>
      </c>
      <c r="M201" s="224">
        <f>I201-F201</f>
        <v>8.3796296312357299E-3</v>
      </c>
      <c r="N201" s="225">
        <f>24*60*SUM($M201:$M201)</f>
        <v>12.066666668979451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-05T20:23:53-0700',mode:absolute,to:'2017-12-05T22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5.8620999999999999</v>
      </c>
      <c r="Z201" s="247">
        <f>RIGHT(H201,LEN(H201)-4)/10000</f>
        <v>1.5299999999999999E-2</v>
      </c>
      <c r="AA201" s="247">
        <f>ABS(Z201-Y201)</f>
        <v>5.8468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844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/stypes="app*4003*20171206*" /stext=" 04:.+((SYSTEM_STATE.+slice.+state.+changed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26"/>
        <v>"%USERPROFILE%\Documents\GitHub\eaglep3\Utilities\RefineRTDCRunTimes.py" --tripid 844-05 --locoid 4003 --swversion DE.1.0.9.0 --startMP 300:58621 --initTime 2017-12-05T21:23:53 --startdatetime 2017-12-05T21:42:00 --delay 65 --endMP 204:153 --enddatetime 2017-12-05T21:54:04 --enforcementcount 0 &gt;&gt;%USERPROFILE%\Documents\GitHub\eaglep3-reporting\EC\2017-12-05-refined-times.txt</v>
      </c>
      <c r="AI201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{"issue":{"subject":"","project_id":79,"tracker_id":40,"status_id":1,"priority_id":2,"assigned_to_id":338,"start_date":"2017-12-05","description":"","custom_fields":[{"id":1,"name":"Subdivision","value":"NW"},{"id":4,"name":"Milepost","value":"0.0153"},{"id":17,"name":"Train ID","value":"844-05"},{"id":16,"name":"Locomotive ID","value":"4003"},{"id":130,"name":"Impact","value":""},{"id":150,"name":"Time of Event (Mountain Time)","value":"21:54:04"},{"id":151,"name":"Denver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28"/>
        <v>start /low /b %USERPROFILE%\Documents\GitHub\eaglep3\Utilities\DownloadLogsFromS3.py --loco 4003 --day 2017-12-05</v>
      </c>
      <c r="AN201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04:54:04"},{"id":29,"name":"Sharepoint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30"/>
        <v>https://d0f6bd738d7f1b3e5a7ca70fe4ff75f0.us-east-1.aws.found.io/app/kibana#/discover/Steve-Slow-Train-Analysis-(2080s-and-2083s)?_g=(refreshInterval:(display:Off,pause:!f,section:0,value:0),time:(from:'2017-12-05T20:23:53-0700',mode:absolute,to:'2017-12-05T22:54:04-0700'))&amp;_a=(columns:!('Message%20ID',Summary),filters:!(),index:'emp_*',interval:auto,query:(query_string:(analyze_wildcard:!t,query:'%22rtdc.l.rtdc.4003%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697</v>
      </c>
      <c r="B202" s="225">
        <v>4004</v>
      </c>
      <c r="C202" s="227" t="s">
        <v>192</v>
      </c>
      <c r="D202" s="227" t="s">
        <v>613</v>
      </c>
      <c r="E202" s="226">
        <v>43074.874560185184</v>
      </c>
      <c r="F202" s="226">
        <v>43074.881458333337</v>
      </c>
      <c r="G202" s="225">
        <v>59</v>
      </c>
      <c r="H202" s="227" t="s">
        <v>664</v>
      </c>
      <c r="I202" s="226">
        <v>43074.890625</v>
      </c>
      <c r="J202" s="225">
        <v>0</v>
      </c>
      <c r="K202" s="237" t="str">
        <f>IF(ISEVEN(B202),(B202-1)&amp;"/"&amp;B202,B202&amp;"/"&amp;(B202+1))</f>
        <v>4003/4004</v>
      </c>
      <c r="L202" s="245" t="str">
        <f>VLOOKUP(A202,'Trips&amp;Operators'!$C$1:$G$99911,5,FALSE)</f>
        <v>STAMBAUGH JAMES</v>
      </c>
      <c r="M202" s="224">
        <f>I202-F202</f>
        <v>9.1666666630771942E-3</v>
      </c>
      <c r="N202" s="225">
        <f>24*60*SUM($M202:$M202)</f>
        <v>13.19999999483116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-05T19:59:22-0700',mode:absolute,to:'2017-12-05T22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4.3499999999999997E-2</v>
      </c>
      <c r="Z202" s="247">
        <f>RIGHT(H202,LEN(H202)-4)/10000</f>
        <v>5.8940999999999999</v>
      </c>
      <c r="AA202" s="247">
        <f>ABS(Z202-Y202)</f>
        <v>5.8506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845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/stypes="app*4004*20171206*" /stext=" 04:.+((SYSTEM_STATE.+slice.+state.+changed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26"/>
        <v>"%USERPROFILE%\Documents\GitHub\eaglep3\Utilities\RefineRTDCRunTimes.py" --tripid 845-05 --locoid 4004 --swversion DE.1.0.9.0 --startMP 204:435 --initTime 2017-12-05T20:59:22 --startdatetime 2017-12-05T21:09:18 --delay 59 --endMP 300:58941 --enddatetime 2017-12-05T21:22:30 --enforcementcount 0 &gt;&gt;%USERPROFILE%\Documents\GitHub\eaglep3-reporting\EC\2017-12-05-refined-times.txt</v>
      </c>
      <c r="AI202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{"issue":{"subject":"","project_id":79,"tracker_id":40,"status_id":1,"priority_id":2,"assigned_to_id":338,"start_date":"2017-12-05","description":"","custom_fields":[{"id":1,"name":"Subdivision","value":"NW"},{"id":4,"name":"Milepost","value":"5.8941"},{"id":17,"name":"Train ID","value":"845-05"},{"id":16,"name":"Locomotive ID","value":"4004"},{"id":130,"name":"Impact","value":""},{"id":150,"name":"Time of Event (Mountain Time)","value":"21:22:30"},{"id":151,"name":"Denver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28"/>
        <v>start /low /b %USERPROFILE%\Documents\GitHub\eaglep3\Utilities\DownloadLogsFromS3.py --loco 4004 --day 2017-12-05</v>
      </c>
      <c r="AN202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04:22:30"},{"id":29,"name":"Sharepoint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30"/>
        <v>https://d0f6bd738d7f1b3e5a7ca70fe4ff75f0.us-east-1.aws.found.io/app/kibana#/discover/Steve-Slow-Train-Analysis-(2080s-and-2083s)?_g=(refreshInterval:(display:Off,pause:!f,section:0,value:0),time:(from:'2017-12-05T19:59:22-0700',mode:absolute,to:'2017-12-05T22:22:30-0700'))&amp;_a=(columns:!('Message%20ID',Summary),filters:!(),index:'emp_*',interval:auto,query:(query_string:(analyze_wildcard:!t,query:'%22rtdc.l.rtdc.4004%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899</v>
      </c>
      <c r="B203" s="225">
        <v>4003</v>
      </c>
      <c r="C203" s="227" t="s">
        <v>192</v>
      </c>
      <c r="D203" s="227" t="s">
        <v>1050</v>
      </c>
      <c r="E203" s="226">
        <v>43074.933738425927</v>
      </c>
      <c r="F203" s="226">
        <v>43074.945833333331</v>
      </c>
      <c r="G203" s="225">
        <v>59</v>
      </c>
      <c r="H203" s="227" t="s">
        <v>652</v>
      </c>
      <c r="I203" s="226">
        <v>43074.954641203702</v>
      </c>
      <c r="J203" s="225">
        <v>0</v>
      </c>
      <c r="K203" s="237" t="str">
        <f>IF(ISEVEN(B203),(B203-1)&amp;"/"&amp;B203,B203&amp;"/"&amp;(B203+1))</f>
        <v>4003/4004</v>
      </c>
      <c r="L203" s="245" t="str">
        <f>VLOOKUP(A203,'Trips&amp;Operators'!$C$1:$G$99911,5,FALSE)</f>
        <v>AUSTIN THOMPSON</v>
      </c>
      <c r="M203" s="224">
        <f>I203-F203</f>
        <v>8.8078703702194616E-3</v>
      </c>
      <c r="N203" s="225">
        <f>24*60*SUM($M203:$M203)</f>
        <v>12.683333333116025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-05T21:24:35-0700',mode:absolute,to:'2017-12-05T23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5.8632</v>
      </c>
      <c r="Z203" s="247">
        <f>RIGHT(H203,LEN(H203)-4)/10000</f>
        <v>1.4E-2</v>
      </c>
      <c r="AA203" s="247">
        <f>ABS(Z203-Y203)</f>
        <v>5.8491999999999997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846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/stypes="app*4003*20171206*" /stext=" 05:.+((SYSTEM_STATE.+slice.+state.+changed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26"/>
        <v>"%USERPROFILE%\Documents\GitHub\eaglep3\Utilities\RefineRTDCRunTimes.py" --tripid 846-05 --locoid 4003 --swversion DE.1.0.9.0 --startMP 300:58632 --initTime 2017-12-05T22:24:35 --startdatetime 2017-12-05T22:42:00 --delay 59 --endMP 204:140 --enddatetime 2017-12-05T22:54:41 --enforcementcount 0 &gt;&gt;%USERPROFILE%\Documents\GitHub\eaglep3-reporting\EC\2017-12-05-refined-times.txt</v>
      </c>
      <c r="AI203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{"issue":{"subject":"","project_id":79,"tracker_id":40,"status_id":1,"priority_id":2,"assigned_to_id":338,"start_date":"2017-12-05","description":"","custom_fields":[{"id":1,"name":"Subdivision","value":"NW"},{"id":4,"name":"Milepost","value":"0.014"},{"id":17,"name":"Train ID","value":"846-05"},{"id":16,"name":"Locomotive ID","value":"4003"},{"id":130,"name":"Impact","value":""},{"id":150,"name":"Time of Event (Mountain Time)","value":"22:54:41"},{"id":151,"name":"Denver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28"/>
        <v>start /low /b %USERPROFILE%\Documents\GitHub\eaglep3\Utilities\DownloadLogsFromS3.py --loco 4003 --day 2017-12-05</v>
      </c>
      <c r="AN203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05:54:41"},{"id":29,"name":"Sharepoint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30"/>
        <v>https://d0f6bd738d7f1b3e5a7ca70fe4ff75f0.us-east-1.aws.found.io/app/kibana#/discover/Steve-Slow-Train-Analysis-(2080s-and-2083s)?_g=(refreshInterval:(display:Off,pause:!f,section:0,value:0),time:(from:'2017-12-05T21:24:35-0700',mode:absolute,to:'2017-12-05T23:54:41-0700'))&amp;_a=(columns:!('Message%20ID',Summary),filters:!(),index:'emp_*',interval:auto,query:(query_string:(analyze_wildcard:!t,query:'%22rtdc.l.rtdc.4003%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897</v>
      </c>
      <c r="B204" s="225">
        <v>4004</v>
      </c>
      <c r="C204" s="227" t="s">
        <v>192</v>
      </c>
      <c r="D204" s="227" t="s">
        <v>1022</v>
      </c>
      <c r="E204" s="226">
        <v>43074.914282407408</v>
      </c>
      <c r="F204" s="226">
        <v>43074.923101851855</v>
      </c>
      <c r="G204" s="225">
        <v>164</v>
      </c>
      <c r="H204" s="227" t="s">
        <v>667</v>
      </c>
      <c r="I204" s="226">
        <v>43074.932870370372</v>
      </c>
      <c r="J204" s="225">
        <v>0</v>
      </c>
      <c r="K204" s="237" t="str">
        <f>IF(ISEVEN(B204),(B204-1)&amp;"/"&amp;B204,B204&amp;"/"&amp;(B204+1))</f>
        <v>4003/4004</v>
      </c>
      <c r="L204" s="245" t="str">
        <f>VLOOKUP(A204,'Trips&amp;Operators'!$C$1:$G$99911,5,FALSE)</f>
        <v>AUSTIN THOMPSON</v>
      </c>
      <c r="M204" s="224">
        <f>I204-F204</f>
        <v>9.7685185173759237E-3</v>
      </c>
      <c r="N204" s="225">
        <f>24*60*SUM($M204:$M204)</f>
        <v>14.06666666502133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-05T20:56:34-0700',mode:absolute,to:'2017-12-05T23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4.5900000000000003E-2</v>
      </c>
      <c r="Z204" s="247">
        <f>RIGHT(H204,LEN(H204)-4)/10000</f>
        <v>5.8948</v>
      </c>
      <c r="AA204" s="247">
        <f>ABS(Z204-Y204)</f>
        <v>5.8489000000000004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847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/stypes="app*4004*20171206*" /stext=" 05:.+((SYSTEM_STATE.+slice.+state.+changed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26"/>
        <v>"%USERPROFILE%\Documents\GitHub\eaglep3\Utilities\RefineRTDCRunTimes.py" --tripid 847-05 --locoid 4004 --swversion DE.1.0.9.0 --startMP 204:459 --initTime 2017-12-05T21:56:34 --startdatetime 2017-12-05T22:09:16 --delay 164 --endMP 300:58948 --enddatetime 2017-12-05T22:23:20 --enforcementcount 0 &gt;&gt;%USERPROFILE%\Documents\GitHub\eaglep3-reporting\EC\2017-12-05-refined-times.txt</v>
      </c>
      <c r="AI204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{"issue":{"subject":"","project_id":79,"tracker_id":40,"status_id":1,"priority_id":2,"assigned_to_id":338,"start_date":"2017-12-05","description":"","custom_fields":[{"id":1,"name":"Subdivision","value":"NW"},{"id":4,"name":"Milepost","value":"5.8948"},{"id":17,"name":"Train ID","value":"847-05"},{"id":16,"name":"Locomotive ID","value":"4004"},{"id":130,"name":"Impact","value":""},{"id":150,"name":"Time of Event (Mountain Time)","value":"22:23:20"},{"id":151,"name":"Denver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28"/>
        <v>start /low /b %USERPROFILE%\Documents\GitHub\eaglep3\Utilities\DownloadLogsFromS3.py --loco 4004 --day 2017-12-05</v>
      </c>
      <c r="AN204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05:23:20"},{"id":29,"name":"Sharepoint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30"/>
        <v>https://d0f6bd738d7f1b3e5a7ca70fe4ff75f0.us-east-1.aws.found.io/app/kibana#/discover/Steve-Slow-Train-Analysis-(2080s-and-2083s)?_g=(refreshInterval:(display:Off,pause:!f,section:0,value:0),time:(from:'2017-12-05T20:56:34-0700',mode:absolute,to:'2017-12-05T23:23:20-0700'))&amp;_a=(columns:!('Message%20ID',Summary),filters:!(),index:'emp_*',interval:auto,query:(query_string:(analyze_wildcard:!t,query:'%22rtdc.l.rtdc.4004%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698</v>
      </c>
      <c r="B205" s="225">
        <v>4004</v>
      </c>
      <c r="C205" s="227" t="s">
        <v>192</v>
      </c>
      <c r="D205" s="227" t="s">
        <v>658</v>
      </c>
      <c r="E205" s="226">
        <v>43074.960833333331</v>
      </c>
      <c r="F205" s="226">
        <v>43074.964733796296</v>
      </c>
      <c r="G205" s="225">
        <v>62</v>
      </c>
      <c r="H205" s="227" t="s">
        <v>449</v>
      </c>
      <c r="I205" s="226">
        <v>43074.974768518521</v>
      </c>
      <c r="J205" s="225">
        <v>0</v>
      </c>
      <c r="K205" s="237" t="str">
        <f>IF(ISEVEN(B205),(B205-1)&amp;"/"&amp;B205,B205&amp;"/"&amp;(B205+1))</f>
        <v>4003/4004</v>
      </c>
      <c r="L205" s="245" t="str">
        <f>VLOOKUP(A205,'Trips&amp;Operators'!$C$1:$G$99911,5,FALSE)</f>
        <v>AUSTIN THOMPSON</v>
      </c>
      <c r="M205" s="224">
        <f>I205-F205</f>
        <v>1.0034722225100268E-2</v>
      </c>
      <c r="N205" s="225">
        <f>24*60*SUM($M205:$M205)</f>
        <v>14.450000004144385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-05T22:03:36-0700',mode:absolute,to:'2017-12-06T00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5" s="247" t="str">
        <f>IF(AA205&lt;VLOOKUP(AG205,Variables!$AC$3:$AD$8,2,FALSE),"Y","N")</f>
        <v>N</v>
      </c>
      <c r="X205" s="247">
        <f>VALUE(LEFT(AD205,4))-VALUE(LEFT(AD204,4))</f>
        <v>2</v>
      </c>
      <c r="Y205" s="247">
        <f>RIGHT(D205,LEN(D205)-4)/10000</f>
        <v>4.3900000000000002E-2</v>
      </c>
      <c r="Z205" s="247">
        <f>RIGHT(H205,LEN(H205)-4)/10000</f>
        <v>5.8929</v>
      </c>
      <c r="AA205" s="247">
        <f>ABS(Z205-Y205)</f>
        <v>5.8490000000000002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849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/stypes="app*4004*20171206*" /stext=" 06:.+((SYSTEM_STATE.+slice.+state.+changed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26"/>
        <v>"%USERPROFILE%\Documents\GitHub\eaglep3\Utilities\RefineRTDCRunTimes.py" --tripid 849-05 --locoid 4004 --swversion DE.1.0.9.0 --startMP 204:439 --initTime 2017-12-05T23:03:36 --startdatetime 2017-12-05T23:09:13 --delay 62 --endMP 300:58929 --enddatetime 2017-12-05T23:23:40 --enforcementcount 0 &gt;&gt;%USERPROFILE%\Documents\GitHub\eaglep3-reporting\EC\2017-12-05-refined-times.txt</v>
      </c>
      <c r="AI205" s="238" t="str">
        <f t="shared" si="27"/>
        <v>echo {"issue":{"subject":"","project_id":79,"tracker_id":40,"status_id":1,"priority_id":2,"assigned_to_id":338,"start_date":"2017-12-05","description":"","custom_fields":[{"id":1,"name":"Subdivision","value":"NW"},{"id":4,"name":"Milepost","value":"5.8929"},{"id":17,"name":"Train ID","value":"849-05"},{"id":16,"name":"Locomotive ID","value":"4004"},{"id":130,"name":"Impact","value":""},{"id":150,"name":"Time of Event (Mountain Time)","value":"23:23:40"},{"id":151,"name":"Denver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28"/>
        <v>start /low /b %USERPROFILE%\Documents\GitHub\eaglep3\Utilities\DownloadLogsFromS3.py --loco 4004 --day 2017-12-05</v>
      </c>
      <c r="AN205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06:23:40"},{"id":29,"name":"Sharepoint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30"/>
        <v>https://d0f6bd738d7f1b3e5a7ca70fe4ff75f0.us-east-1.aws.found.io/app/kibana#/discover/Steve-Slow-Train-Analysis-(2080s-and-2083s)?_g=(refreshInterval:(display:Off,pause:!f,section:0,value:0),time:(from:'2017-12-05T22:03:36-0700',mode:absolute,to:'2017-12-06T00:23:40-0700'))&amp;_a=(columns:!('Message%20ID',Summary),filters:!(),index:'emp_*',interval:auto,query:(query_string:(analyze_wildcard:!t,query:'%22rtdc.l.rtdc.4004%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701</v>
      </c>
      <c r="B206" s="225">
        <v>4015</v>
      </c>
      <c r="C206" s="227" t="s">
        <v>192</v>
      </c>
      <c r="D206" s="227" t="s">
        <v>997</v>
      </c>
      <c r="E206" s="226">
        <v>43074.116168981483</v>
      </c>
      <c r="F206" s="226">
        <v>43074.118738425925</v>
      </c>
      <c r="G206" s="225">
        <v>58</v>
      </c>
      <c r="H206" s="227" t="s">
        <v>998</v>
      </c>
      <c r="I206" s="226">
        <v>43074.122719907406</v>
      </c>
      <c r="J206" s="225">
        <v>0</v>
      </c>
      <c r="K206" s="237" t="str">
        <f>IF(ISEVEN(B206),(B206-1)&amp;"/"&amp;B206,B206&amp;"/"&amp;(B206+1))</f>
        <v>4015/4016</v>
      </c>
      <c r="L206" s="245" t="str">
        <f>VLOOKUP(A206,'Trips&amp;Operators'!$C$1:$G$99911,5,FALSE)</f>
        <v>YORK EDGAR</v>
      </c>
      <c r="M206" s="224">
        <f>I206-F206</f>
        <v>3.9814814808778465E-3</v>
      </c>
      <c r="N206" s="225">
        <f>24*60*SUM($M206:$M206)</f>
        <v>5.7333333324640989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-05T01:47:17-0700',mode:absolute,to:'2017-12-05T03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-549</v>
      </c>
      <c r="Y206" s="247">
        <f>RIGHT(D206,LEN(D206)-4)/10000</f>
        <v>1.9883</v>
      </c>
      <c r="Z206" s="247">
        <f>RIGHT(H206,LEN(H206)-4)/10000</f>
        <v>1.52E-2</v>
      </c>
      <c r="AA206" s="247">
        <f>ABS(Z206-Y206)</f>
        <v>1.9730999999999999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300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s3://rtdc.mdm.uploadarchive.raw/RTDC4015/ "%USERPROFILE%\AppData\Local\Temp\OnboardLogs"\RTDC4015\2017-12-05 --exclude "*" --recursive --include "*20171205*" &amp; "%USERPROFILE%\Documents\GitHub\mrs-test-scripts\Headless Mode &amp; Sideloading\WalkAndUnGZ.bat" "%USERPROFILE%\AppData\Local\Temp\OnboardLogs"\RTDC4015\2017-12-05 &amp; 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/stypes="app*4015*20171205*" /stext=" 09:.+((SYSTEM_STATE.+slice.+state.+changed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26"/>
        <v>"%USERPROFILE%\Documents\GitHub\eaglep3\Utilities\RefineRTDCRunTimes.py" --tripid 300-05 --locoid 4015 --swversion DE.1.0.9.0 --startMP 300:19883 --initTime 2017-12-05T02:47:17 --startdatetime 2017-12-05T02:50:59 --delay 58 --endMP 204:152 --enddatetime 2017-12-05T02:56:43 --enforcementcount 0 &gt;&gt;%USERPROFILE%\Documents\GitHub\eaglep3-reporting\EC\2017-12-05-refined-times.txt</v>
      </c>
      <c r="AI206" s="238" t="str">
        <f t="shared" si="27"/>
        <v>echo {"issue":{"subject":"","project_id":79,"tracker_id":40,"status_id":1,"priority_id":2,"assigned_to_id":338,"start_date":"2017-12-05","description":"","custom_fields":[{"id":1,"name":"Subdivision","value":"Other"},{"id":4,"name":"Milepost","value":"0.0152"},{"id":17,"name":"Train ID","value":"300-05"},{"id":16,"name":"Locomotive ID","value":"4015"},{"id":130,"name":"Impact","value":""},{"id":150,"name":"Time of Event (Mountain Time)","value":"02:56:43"},{"id":151,"name":"Denver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28"/>
        <v>start /low /b %USERPROFILE%\Documents\GitHub\eaglep3\Utilities\DownloadLogsFromS3.py --loco 4015 --day 2017-12-05</v>
      </c>
      <c r="AN206" s="241" t="str">
        <f t="shared" si="29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09:56:43"},{"id":29,"name":"Sharepoint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30"/>
        <v>https://d0f6bd738d7f1b3e5a7ca70fe4ff75f0.us-east-1.aws.found.io/app/kibana#/discover/Steve-Slow-Train-Analysis-(2080s-and-2083s)?_g=(refreshInterval:(display:Off,pause:!f,section:0,value:0),time:(from:'2017-12-05T01:47:17-0700',mode:absolute,to:'2017-12-05T03:56:43-0700'))&amp;_a=(columns:!('Message%20ID',Summary),filters:!(),index:'emp_*',interval:auto,query:(query_string:(analyze_wildcard:!t,query:'%22rtdc.l.rtdc.4015%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873</v>
      </c>
      <c r="B207" s="225">
        <v>4006</v>
      </c>
      <c r="C207" s="227" t="s">
        <v>192</v>
      </c>
      <c r="D207" s="227" t="s">
        <v>541</v>
      </c>
      <c r="E207" s="226">
        <v>43074.775752314818</v>
      </c>
      <c r="F207" s="226">
        <v>43074.776990740742</v>
      </c>
      <c r="G207" s="225">
        <v>72</v>
      </c>
      <c r="H207" s="227" t="s">
        <v>424</v>
      </c>
      <c r="I207" s="226">
        <v>43074.782905092594</v>
      </c>
      <c r="J207" s="225">
        <v>0</v>
      </c>
      <c r="K207" s="237" t="str">
        <f>IF(ISEVEN(B207),(B207-1)&amp;"/"&amp;B207,B207&amp;"/"&amp;(B207+1))</f>
        <v>4005/4006</v>
      </c>
      <c r="L207" s="245" t="str">
        <f>VLOOKUP(A207,'Trips&amp;Operators'!$C$1:$G$99911,5,FALSE)</f>
        <v>LEVIN SCOTT</v>
      </c>
      <c r="M207" s="224">
        <f>I207-F207</f>
        <v>5.914351851970423E-3</v>
      </c>
      <c r="N207" s="225">
        <f>24*60*SUM($M207:$M207)</f>
        <v>8.5166666668374091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-05T17:37:05-0700',mode:absolute,to:'2017-12-05T19:47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4.82E-2</v>
      </c>
      <c r="Z207" s="247">
        <f>RIGHT(H207,LEN(H207)-4)/10000</f>
        <v>2.3346</v>
      </c>
      <c r="AA207" s="247">
        <f>ABS(Z207-Y207)</f>
        <v>2.2864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301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s3://rtdc.mdm.uploadarchive.raw/RTDC4006/ "%USERPROFILE%\AppData\Local\Temp\OnboardLogs"\RTDC4006\2017-12-05 --exclude "*" --recursive --include "*20171205*" &amp; "%USERPROFILE%\Documents\GitHub\mrs-test-scripts\Headless Mode &amp; Sideloading\WalkAndUnGZ.bat" "%USERPROFILE%\AppData\Local\Temp\OnboardLogs"\RTDC4006\2017-12-05 &amp; 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/stypes="app*4006*20171206*" /stext=" 01:.+((SYSTEM_STATE.+slice.+state.+changed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26"/>
        <v>"%USERPROFILE%\Documents\GitHub\eaglep3\Utilities\RefineRTDCRunTimes.py" --tripid 301-05 --locoid 4006 --swversion DE.1.0.9.0 --startMP 204:482 --initTime 2017-12-05T18:37:05 --startdatetime 2017-12-05T18:38:52 --delay 72 --endMP 300:23346 --enddatetime 2017-12-05T18:47:23 --enforcementcount 0 &gt;&gt;%USERPROFILE%\Documents\GitHub\eaglep3-reporting\EC\2017-12-05-refined-times.txt</v>
      </c>
      <c r="AI207" s="238" t="str">
        <f t="shared" si="27"/>
        <v>echo {"issue":{"subject":"","project_id":79,"tracker_id":40,"status_id":1,"priority_id":2,"assigned_to_id":338,"start_date":"2017-12-05","description":"","custom_fields":[{"id":1,"name":"Subdivision","value":"Other"},{"id":4,"name":"Milepost","value":"2.3346"},{"id":17,"name":"Train ID","value":"301-05"},{"id":16,"name":"Locomotive ID","value":"4006"},{"id":130,"name":"Impact","value":""},{"id":150,"name":"Time of Event (Mountain Time)","value":"18:47:23"},{"id":151,"name":"Denver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28"/>
        <v>start /low /b %USERPROFILE%\Documents\GitHub\eaglep3\Utilities\DownloadLogsFromS3.py --loco 4006 --day 2017-12-05</v>
      </c>
      <c r="AN207" s="241" t="str">
        <f t="shared" si="29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01:47:23"},{"id":29,"name":"Sharepoint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0"/>
        <v>https://d0f6bd738d7f1b3e5a7ca70fe4ff75f0.us-east-1.aws.found.io/app/kibana#/discover/Steve-Slow-Train-Analysis-(2080s-and-2083s)?_g=(refreshInterval:(display:Off,pause:!f,section:0,value:0),time:(from:'2017-12-05T17:37:05-0700',mode:absolute,to:'2017-12-05T19:47:23-0700'))&amp;_a=(columns:!('Message%20ID',Summary),filters:!(),index:'emp_*',interval:auto,query:(query_string:(analyze_wildcard:!t,query:'%22rtdc.l.rtdc.4006%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706</v>
      </c>
      <c r="B208" s="225">
        <v>4053</v>
      </c>
      <c r="C208" s="227" t="s">
        <v>192</v>
      </c>
      <c r="D208" s="227" t="s">
        <v>558</v>
      </c>
      <c r="E208" s="226">
        <v>43074.139849537038</v>
      </c>
      <c r="F208" s="226">
        <v>25568.708333333332</v>
      </c>
      <c r="G208" s="225">
        <v>90</v>
      </c>
      <c r="H208" s="227" t="s">
        <v>917</v>
      </c>
      <c r="I208" s="226">
        <v>25568.708333333332</v>
      </c>
      <c r="J208" s="225">
        <v>0</v>
      </c>
      <c r="K208" s="237" t="str">
        <f>IF(ISEVEN(B208),(B208-1)&amp;"/"&amp;B208,B208&amp;"/"&amp;(B208+1))</f>
        <v>4053/4054</v>
      </c>
      <c r="L208" s="245" t="str">
        <f>VLOOKUP(A208,'Trips&amp;Operators'!$C$1:$G$99911,5,FALSE)</f>
        <v>HAMMOND JUSTYNN</v>
      </c>
      <c r="M208" s="224">
        <f>I208-F208</f>
        <v>0</v>
      </c>
      <c r="N208" s="225">
        <f>24*60*SUM($M208:$M208)</f>
        <v>0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-05T02:21:23-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23.2972</v>
      </c>
      <c r="Z208" s="247">
        <f>RIGHT(H208,LEN(H208)-4)/10000</f>
        <v>2.1999999999999999E-2</v>
      </c>
      <c r="AA208" s="247">
        <f>ABS(Z208-Y208)</f>
        <v>23.275200000000002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302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/stypes="app*4053*19700101*" /stext=" 00:.+((SYSTEM_STATE.+slice.+state.+changed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26"/>
        <v>"%USERPROFILE%\Documents\GitHub\eaglep3\Utilities\RefineRTDCRunTimes.py" --tripid 302-05 --locoid 4053 --swversion DE.1.0.9.0 --startMP 204:232972 --initTime 2017-12-05T03:21:23 --startdatetime 1969-12-31T17:00:00 --delay 90 --endMP 204:220 --enddatetime 1969-12-31T17:00:00 --enforcementcount 0 &gt;&gt;%USERPROFILE%\Documents\GitHub\eaglep3-reporting\EC\2017-12-05-refined-times.txt</v>
      </c>
      <c r="AI208" s="238" t="str">
        <f t="shared" si="27"/>
        <v>echo {"issue":{"subject":"","project_id":79,"tracker_id":40,"status_id":1,"priority_id":2,"assigned_to_id":338,"start_date":"1969-12-31","description":"","custom_fields":[{"id":1,"name":"Subdivision","value":"Other"},{"id":4,"name":"Milepost","value":"0.022"},{"id":17,"name":"Train ID","value":"302-05"},{"id":16,"name":"Locomotive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28"/>
        <v>start /low /b %USERPROFILE%\Documents\GitHub\eaglep3\Utilities\DownloadLogsFromS3.py --loco 4053 --day 1969-12-31</v>
      </c>
      <c r="AN208" s="241" t="str">
        <f t="shared" si="2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30"/>
        <v>https://d0f6bd738d7f1b3e5a7ca70fe4ff75f0.us-east-1.aws.found.io/app/kibana#/discover/Steve-Slow-Train-Analysis-(2080s-and-2083s)?_g=(refreshInterval:(display:Off,pause:!f,section:0,value:0),time:(from:'2017-12-05T02:21:23-0700',mode:absolute,to:'1969-12-31T18:00:00-0700'))&amp;_a=(columns:!('Message%20ID',Summary),filters:!(),index:'emp_*',interval:auto,query:(query_string:(analyze_wildcard:!t,query:'%22rtdc.l.rtdc.4053%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879</v>
      </c>
      <c r="B209" s="225">
        <v>4014</v>
      </c>
      <c r="C209" s="227" t="s">
        <v>192</v>
      </c>
      <c r="D209" s="227" t="s">
        <v>415</v>
      </c>
      <c r="E209" s="226">
        <v>43074.796516203707</v>
      </c>
      <c r="F209" s="226">
        <v>43074.797997685186</v>
      </c>
      <c r="G209" s="225">
        <v>64</v>
      </c>
      <c r="H209" s="227" t="s">
        <v>646</v>
      </c>
      <c r="I209" s="226">
        <v>43074.804629629631</v>
      </c>
      <c r="J209" s="225">
        <v>0</v>
      </c>
      <c r="K209" s="237" t="str">
        <f>IF(ISEVEN(B209),(B209-1)&amp;"/"&amp;B209,B209&amp;"/"&amp;(B209+1))</f>
        <v>4013/4014</v>
      </c>
      <c r="L209" s="245" t="str">
        <f>VLOOKUP(A209,'Trips&amp;Operators'!$C$1:$G$99911,5,FALSE)</f>
        <v>SAFIEF AEIMEN</v>
      </c>
      <c r="M209" s="224">
        <f>I209-F209</f>
        <v>6.6319444449618459E-3</v>
      </c>
      <c r="N209" s="225">
        <f>24*60*SUM($M209:$M209)</f>
        <v>9.5500000007450581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-05T18:06:59-0700',mode:absolute,to:'2017-12-05T20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5.0799999999999998E-2</v>
      </c>
      <c r="Z209" s="247">
        <f>RIGHT(H209,LEN(H209)-4)/10000</f>
        <v>2.3298999999999999</v>
      </c>
      <c r="AA209" s="247">
        <f>ABS(Z209-Y209)</f>
        <v>2.2790999999999997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303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s3://rtdc.mdm.uploadarchive.raw/RTDC4014/ "%USERPROFILE%\AppData\Local\Temp\OnboardLogs"\RTDC4014\2017-12-05 --exclude "*" --recursive --include "*20171205*" &amp; "%USERPROFILE%\Documents\GitHub\mrs-test-scripts\Headless Mode &amp; Sideloading\WalkAndUnGZ.bat" "%USERPROFILE%\AppData\Local\Temp\OnboardLogs"\RTDC4014\2017-12-05 &amp; aws s3 cp s3://rtdc.mdm.uploadarchive.raw/RTDC4014/ "%USERPROFILE%\AppData\Local\Temp\OnboardLogs"\RTDC4014\2017-12-06 --exclude "*" --recursive --include "*20171206*" &amp; "%USERPROFILE%\Documents\GitHub\mrs-test-scripts\Headless Mode &amp; Sideloading\WalkAndUnGZ.bat" "%USERPROFILE%\AppData\Local\Temp\OnboardLogs"\RTDC4014\2017-12-06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/stypes="app*4014*20171206*" /stext=" 02:.+((SYSTEM_STATE.+slice.+state.+changed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ref="AH209:AH230" si="42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303-05 --locoid 4014 --swversion DE.1.0.9.0 --startMP 204:508 --initTime 2017-12-05T19:06:59 --startdatetime 2017-12-05T19:09:07 --delay 64 --endMP 300:23299 --enddatetime 2017-12-05T19:18:40 --enforcementcount 0 &gt;&gt;%USERPROFILE%\Documents\GitHub\eaglep3-reporting\EC\2017-12-05-refined-times.txt</v>
      </c>
      <c r="AI209" s="238" t="str">
        <f t="shared" ref="AI209:AI230" si="43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{"issue":{"subject":"","project_id":79,"tracker_id":40,"status_id":1,"priority_id":2,"assigned_to_id":338,"start_date":"2017-12-05","description":"","custom_fields":[{"id":1,"name":"Subdivision","value":"Other"},{"id":4,"name":"Milepost","value":"2.3299"},{"id":17,"name":"Train ID","value":"303-05"},{"id":16,"name":"Locomotive ID","value":"4014"},{"id":130,"name":"Impact","value":""},{"id":150,"name":"Time of Event (Mountain Time)","value":"19:18:40"},{"id":151,"name":"Denver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ref="AM209:AM230" si="44">"start /low /b "&amp;dls3logs&amp;" --loco "&amp;B209&amp;" --day "&amp;TEXT(F209,"YYYY-MM-DD")</f>
        <v>start /low /b %USERPROFILE%\Documents\GitHub\eaglep3\Utilities\DownloadLogsFromS3.py --loco 4014 --day 2017-12-05</v>
      </c>
      <c r="AN209" s="241" t="str">
        <f t="shared" ref="AN209:AN230" si="45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ref="AO209:AO230" si="46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-05T18:06:59-0700',mode:absolute,to:'2017-12-05T20:18:40-0700'))&amp;_a=(columns:!('Message%20ID',Summary),filters:!(),index:'emp_*',interval:auto,query:(query_string:(analyze_wildcard:!t,query:'%22rtdc.l.rtdc.4014%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709</v>
      </c>
      <c r="B210" s="225">
        <v>4059</v>
      </c>
      <c r="C210" s="227" t="s">
        <v>192</v>
      </c>
      <c r="D210" s="227" t="s">
        <v>999</v>
      </c>
      <c r="E210" s="226">
        <v>43074.16196759259</v>
      </c>
      <c r="F210" s="226">
        <v>43074.165972222225</v>
      </c>
      <c r="G210" s="225">
        <v>79</v>
      </c>
      <c r="H210" s="227" t="s">
        <v>554</v>
      </c>
      <c r="I210" s="226">
        <v>43074.172060185185</v>
      </c>
      <c r="J210" s="225">
        <v>0</v>
      </c>
      <c r="K210" s="237" t="str">
        <f>IF(ISEVEN(B210),(B210-1)&amp;"/"&amp;B210,B210&amp;"/"&amp;(B210+1))</f>
        <v>4059/4060</v>
      </c>
      <c r="L210" s="245" t="str">
        <f>VLOOKUP(A210,'Trips&amp;Operators'!$C$1:$G$99911,5,FALSE)</f>
        <v>THOMPSON LESTER</v>
      </c>
      <c r="M210" s="224">
        <f>I210-F210</f>
        <v>6.0879629600094631E-3</v>
      </c>
      <c r="N210" s="225">
        <f>24*60*SUM($M210:$M210)</f>
        <v>8.7666666624136269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-05T02:53:14-0700',mode:absolute,to:'2017-12-05T05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2.3531</v>
      </c>
      <c r="Z210" s="247">
        <f>RIGHT(H210,LEN(H210)-4)/10000</f>
        <v>1.9800000000000002E-2</v>
      </c>
      <c r="AA210" s="247">
        <f>ABS(Z210-Y210)</f>
        <v>2.3332999999999999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304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/stypes="app*4059*20171205*" /stext=" 11:.+((SYSTEM_STATE.+slice.+state.+changed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42"/>
        <v>"%USERPROFILE%\Documents\GitHub\eaglep3\Utilities\RefineRTDCRunTimes.py" --tripid 304-05 --locoid 4059 --swversion DE.1.0.9.0 --startMP 300:23531 --initTime 2017-12-05T03:53:14 --startdatetime 2017-12-05T03:59:00 --delay 79 --endMP 204:198 --enddatetime 2017-12-05T04:07:46 --enforcementcount 0 &gt;&gt;%USERPROFILE%\Documents\GitHub\eaglep3-reporting\EC\2017-12-05-refined-times.txt</v>
      </c>
      <c r="AI210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{"issue":{"subject":"","project_id":79,"tracker_id":40,"status_id":1,"priority_id":2,"assigned_to_id":338,"start_date":"2017-12-05","description":"","custom_fields":[{"id":1,"name":"Subdivision","value":"Other"},{"id":4,"name":"Milepost","value":"0.0198"},{"id":17,"name":"Train ID","value":"304-05"},{"id":16,"name":"Locomotive ID","value":"4059"},{"id":130,"name":"Impact","value":""},{"id":150,"name":"Time of Event (Mountain Time)","value":"04:07:46"},{"id":151,"name":"Denver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44"/>
        <v>start /low /b %USERPROFILE%\Documents\GitHub\eaglep3\Utilities\DownloadLogsFromS3.py --loco 4059 --day 2017-12-05</v>
      </c>
      <c r="AN210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46"/>
        <v>https://d0f6bd738d7f1b3e5a7ca70fe4ff75f0.us-east-1.aws.found.io/app/kibana#/discover/Steve-Slow-Train-Analysis-(2080s-and-2083s)?_g=(refreshInterval:(display:Off,pause:!f,section:0,value:0),time:(from:'2017-12-05T02:53:14-0700',mode:absolute,to:'2017-12-05T05:07:46-0700'))&amp;_a=(columns:!('Message%20ID',Summary),filters:!(),index:'emp_*',interval:auto,query:(query_string:(analyze_wildcard:!t,query:'%22rtdc.l.rtdc.4059%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712</v>
      </c>
      <c r="B211" s="225">
        <v>4055</v>
      </c>
      <c r="C211" s="227" t="s">
        <v>192</v>
      </c>
      <c r="D211" s="227" t="s">
        <v>1000</v>
      </c>
      <c r="E211" s="226">
        <v>43074.174201388887</v>
      </c>
      <c r="F211" s="226">
        <v>43074.177187499998</v>
      </c>
      <c r="G211" s="225">
        <v>70</v>
      </c>
      <c r="H211" s="227" t="s">
        <v>490</v>
      </c>
      <c r="I211" s="226">
        <v>43074.18178240741</v>
      </c>
      <c r="J211" s="225">
        <v>0</v>
      </c>
      <c r="K211" s="237" t="str">
        <f>IF(ISEVEN(B211),(B211-1)&amp;"/"&amp;B211,B211&amp;"/"&amp;(B211+1))</f>
        <v>4055/4056</v>
      </c>
      <c r="L211" s="245" t="str">
        <f>VLOOKUP(A211,'Trips&amp;Operators'!$C$1:$G$99911,5,FALSE)</f>
        <v>BEAM ROSS</v>
      </c>
      <c r="M211" s="224">
        <f>I211-F211</f>
        <v>4.5949074119562283E-3</v>
      </c>
      <c r="N211" s="225">
        <f>24*60*SUM($M211:$M211)</f>
        <v>6.6166666732169688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-05T03:10:51-0700',mode:absolute,to:'2017-12-05T05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2</v>
      </c>
      <c r="Y211" s="247">
        <f>RIGHT(D211,LEN(D211)-4)/10000</f>
        <v>2.1825000000000001</v>
      </c>
      <c r="Z211" s="247">
        <f>RIGHT(H211,LEN(H211)-4)/10000</f>
        <v>1.6E-2</v>
      </c>
      <c r="AA211" s="247">
        <f>ABS(Z211-Y211)</f>
        <v>2.1665000000000001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306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/stypes="app*4055*20171205*" /stext=" 11:.+((SYSTEM_STATE.+slice.+state.+changed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42"/>
        <v>"%USERPROFILE%\Documents\GitHub\eaglep3\Utilities\RefineRTDCRunTimes.py" --tripid 306-05 --locoid 4055 --swversion DE.1.0.9.0 --startMP 300:21825 --initTime 2017-12-05T04:10:51 --startdatetime 2017-12-05T04:15:09 --delay 70 --endMP 204:160 --enddatetime 2017-12-05T04:21:46 --enforcementcount 0 &gt;&gt;%USERPROFILE%\Documents\GitHub\eaglep3-reporting\EC\2017-12-05-refined-times.txt</v>
      </c>
      <c r="AI211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{"issue":{"subject":"","project_id":79,"tracker_id":40,"status_id":1,"priority_id":2,"assigned_to_id":338,"start_date":"2017-12-05","description":"","custom_fields":[{"id":1,"name":"Subdivision","value":"Other"},{"id":4,"name":"Milepost","value":"0.016"},{"id":17,"name":"Train ID","value":"306-05"},{"id":16,"name":"Locomotive ID","value":"4055"},{"id":130,"name":"Impact","value":""},{"id":150,"name":"Time of Event (Mountain Time)","value":"04:21:46"},{"id":151,"name":"Denver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44"/>
        <v>start /low /b %USERPROFILE%\Documents\GitHub\eaglep3\Utilities\DownloadLogsFromS3.py --loco 4055 --day 2017-12-05</v>
      </c>
      <c r="AN211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46"/>
        <v>https://d0f6bd738d7f1b3e5a7ca70fe4ff75f0.us-east-1.aws.found.io/app/kibana#/discover/Steve-Slow-Train-Analysis-(2080s-and-2083s)?_g=(refreshInterval:(display:Off,pause:!f,section:0,value:0),time:(from:'2017-12-05T03:10:51-0700',mode:absolute,to:'2017-12-05T05:21:46-0700'))&amp;_a=(columns:!('Message%20ID',Summary),filters:!(),index:'emp_*',interval:auto,query:(query_string:(analyze_wildcard:!t,query:'%22rtdc.l.rtdc.4055%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25">
      <c r="A212" s="229" t="s">
        <v>911</v>
      </c>
      <c r="B212" s="225">
        <v>4054</v>
      </c>
      <c r="C212" s="227" t="s">
        <v>192</v>
      </c>
      <c r="D212" s="227" t="s">
        <v>556</v>
      </c>
      <c r="E212" s="226">
        <v>43075.046944444446</v>
      </c>
      <c r="F212" s="226">
        <v>43075.049583333333</v>
      </c>
      <c r="G212" s="225">
        <v>71</v>
      </c>
      <c r="H212" s="227" t="s">
        <v>568</v>
      </c>
      <c r="I212" s="226">
        <v>43075.057233796295</v>
      </c>
      <c r="J212" s="225">
        <v>0</v>
      </c>
      <c r="K212" s="237" t="str">
        <f>IF(ISEVEN(B212),(B212-1)&amp;"/"&amp;B212,B212&amp;"/"&amp;(B212+1))</f>
        <v>4053/4054</v>
      </c>
      <c r="L212" s="245" t="str">
        <f>VLOOKUP(A212,'Trips&amp;Operators'!$C$1:$G$99911,5,FALSE)</f>
        <v>LORI SANTOS</v>
      </c>
      <c r="M212" s="224">
        <f>I212-F212</f>
        <v>7.6504629614646547E-3</v>
      </c>
      <c r="N212" s="225">
        <f>24*60*SUM($M212:$M212)</f>
        <v>11.016666664509103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-06T00:07:36-0700',mode:absolute,to:'2017-12-06T02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4.9799999999999997E-2</v>
      </c>
      <c r="Z212" s="247">
        <f>RIGHT(H212,LEN(H212)-4)/10000</f>
        <v>2.3308</v>
      </c>
      <c r="AA212" s="247">
        <f>ABS(Z212-Y212)</f>
        <v>2.2810000000000001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307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 &amp; 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/stypes="app*4054*20171206*" /stext=" 08:.+((SYSTEM_STATE.+slice.+state.+changed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42"/>
        <v>"%USERPROFILE%\Documents\GitHub\eaglep3\Utilities\RefineRTDCRunTimes.py" --tripid 307-05 --locoid 4054 --swversion DE.1.0.9.0 --startMP 204:498 --initTime 2017-12-06T01:07:36 --startdatetime 2017-12-06T01:11:24 --delay 71 --endMP 300:23308 --enddatetime 2017-12-06T01:22:25 --enforcementcount 0 &gt;&gt;%USERPROFILE%\Documents\GitHub\eaglep3-reporting\EC\2017-12-05-refined-times.txt</v>
      </c>
      <c r="AI212" s="238" t="str">
        <f t="shared" si="43"/>
        <v>echo {"issue":{"subject":"","project_id":79,"tracker_id":40,"status_id":1,"priority_id":2,"assigned_to_id":338,"start_date":"2017-12-06","description":"","custom_fields":[{"id":1,"name":"Subdivision","value":"Other"},{"id":4,"name":"Milepost","value":"2.3308"},{"id":17,"name":"Train ID","value":"307-05"},{"id":16,"name":"Locomotive ID","value":"4054"},{"id":130,"name":"Impact","value":""},{"id":150,"name":"Time of Event (Mountain Time)","value":"01:22:25"},{"id":151,"name":"Denver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44"/>
        <v>start /low /b %USERPROFILE%\Documents\GitHub\eaglep3\Utilities\DownloadLogsFromS3.py --loco 4054 --day 2017-12-06</v>
      </c>
      <c r="AN212" s="241" t="str">
        <f t="shared" si="45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08:22:25"},{"id":29,"name":"Sharepoint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46"/>
        <v>https://d0f6bd738d7f1b3e5a7ca70fe4ff75f0.us-east-1.aws.found.io/app/kibana#/discover/Steve-Slow-Train-Analysis-(2080s-and-2083s)?_g=(refreshInterval:(display:Off,pause:!f,section:0,value:0),time:(from:'2017-12-06T00:07:36-0700',mode:absolute,to:'2017-12-06T02:22:25-0700'))&amp;_a=(columns:!('Message%20ID',Summary),filters:!(),index:'emp_*',interval:auto,query:(query_string:(analyze_wildcard:!t,query:'%22rtdc.l.rtdc.4054%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715</v>
      </c>
      <c r="B213" s="225">
        <v>4005</v>
      </c>
      <c r="C213" s="227" t="s">
        <v>192</v>
      </c>
      <c r="D213" s="227" t="s">
        <v>1001</v>
      </c>
      <c r="E213" s="226">
        <v>43074.182314814818</v>
      </c>
      <c r="F213" s="226">
        <v>43074.187314814815</v>
      </c>
      <c r="G213" s="225">
        <v>74</v>
      </c>
      <c r="H213" s="227" t="s">
        <v>518</v>
      </c>
      <c r="I213" s="226">
        <v>43074.192141203705</v>
      </c>
      <c r="J213" s="225">
        <v>0</v>
      </c>
      <c r="K213" s="237" t="str">
        <f>IF(ISEVEN(B213),(B213-1)&amp;"/"&amp;B213,B213&amp;"/"&amp;(B213+1))</f>
        <v>4005/4006</v>
      </c>
      <c r="L213" s="245" t="str">
        <f>VLOOKUP(A213,'Trips&amp;Operators'!$C$1:$G$99911,5,FALSE)</f>
        <v>LAMAR NEKESHA</v>
      </c>
      <c r="M213" s="224">
        <f>I213-F213</f>
        <v>4.8263888893416151E-3</v>
      </c>
      <c r="N213" s="225">
        <f>24*60*SUM($M213:$M213)</f>
        <v>6.9500000006519258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-05T03:22:32-0700',mode:absolute,to:'2017-12-05T05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2.2284000000000002</v>
      </c>
      <c r="Z213" s="247">
        <f>RIGHT(H213,LEN(H213)-4)/10000</f>
        <v>1.9199999999999998E-2</v>
      </c>
      <c r="AA213" s="247">
        <f>ABS(Z213-Y213)</f>
        <v>2.2092000000000001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308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s3://rtdc.mdm.uploadarchive.raw/RTDC4005/ "%USERPROFILE%\AppData\Local\Temp\OnboardLogs"\RTDC4005\2017-12-05 --exclude "*" --recursive --include "*20171205*" &amp; "%USERPROFILE%\Documents\GitHub\mrs-test-scripts\Headless Mode &amp; Sideloading\WalkAndUnGZ.bat" "%USERPROFILE%\AppData\Local\Temp\OnboardLogs"\RTDC4005\2017-12-05 &amp; 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/stypes="app*4005*20171205*" /stext=" 11:.+((SYSTEM_STATE.+slice.+state.+changed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42"/>
        <v>"%USERPROFILE%\Documents\GitHub\eaglep3\Utilities\RefineRTDCRunTimes.py" --tripid 308-05 --locoid 4005 --swversion DE.1.0.9.0 --startMP 300:22284 --initTime 2017-12-05T04:22:32 --startdatetime 2017-12-05T04:29:44 --delay 74 --endMP 204:192 --enddatetime 2017-12-05T04:36:41 --enforcementcount 0 &gt;&gt;%USERPROFILE%\Documents\GitHub\eaglep3-reporting\EC\2017-12-05-refined-times.txt</v>
      </c>
      <c r="AI213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{"issue":{"subject":"","project_id":79,"tracker_id":40,"status_id":1,"priority_id":2,"assigned_to_id":338,"start_date":"2017-12-05","description":"","custom_fields":[{"id":1,"name":"Subdivision","value":"Other"},{"id":4,"name":"Milepost","value":"0.0192"},{"id":17,"name":"Train ID","value":"308-05"},{"id":16,"name":"Locomotive ID","value":"4005"},{"id":130,"name":"Impact","value":""},{"id":150,"name":"Time of Event (Mountain Time)","value":"04:36:41"},{"id":151,"name":"Denver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44"/>
        <v>start /low /b %USERPROFILE%\Documents\GitHub\eaglep3\Utilities\DownloadLogsFromS3.py --loco 4005 --day 2017-12-05</v>
      </c>
      <c r="AN213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46"/>
        <v>https://d0f6bd738d7f1b3e5a7ca70fe4ff75f0.us-east-1.aws.found.io/app/kibana#/discover/Steve-Slow-Train-Analysis-(2080s-and-2083s)?_g=(refreshInterval:(display:Off,pause:!f,section:0,value:0),time:(from:'2017-12-05T03:22:32-0700',mode:absolute,to:'2017-12-05T05:36:41-0700'))&amp;_a=(columns:!('Message%20ID',Summary),filters:!(),index:'emp_*',interval:auto,query:(query_string:(analyze_wildcard:!t,query:'%22rtdc.l.rtdc.4005%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913</v>
      </c>
      <c r="B214" s="225">
        <v>4060</v>
      </c>
      <c r="C214" s="227" t="s">
        <v>192</v>
      </c>
      <c r="D214" s="227" t="s">
        <v>650</v>
      </c>
      <c r="E214" s="226">
        <v>43075.069340277776</v>
      </c>
      <c r="F214" s="226">
        <v>43075.071412037039</v>
      </c>
      <c r="G214" s="225">
        <v>72</v>
      </c>
      <c r="H214" s="227" t="s">
        <v>424</v>
      </c>
      <c r="I214" s="226">
        <v>43075.080787037034</v>
      </c>
      <c r="J214" s="225">
        <v>0</v>
      </c>
      <c r="K214" s="237" t="str">
        <f>IF(ISEVEN(B214),(B214-1)&amp;"/"&amp;B214,B214&amp;"/"&amp;(B214+1))</f>
        <v>4059/4060</v>
      </c>
      <c r="L214" s="245" t="str">
        <f>VLOOKUP(A214,'Trips&amp;Operators'!$C$1:$G$99911,5,FALSE)</f>
        <v>WEST BRYAN</v>
      </c>
      <c r="M214" s="224">
        <f>I214-F214</f>
        <v>9.3749999941792339E-3</v>
      </c>
      <c r="N214" s="225">
        <f>24*60*SUM($M214:$M214)</f>
        <v>13.499999991618097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-06T00:39:51-0700',mode:absolute,to:'2017-12-06T02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5.79E-2</v>
      </c>
      <c r="Z214" s="247">
        <f>RIGHT(H214,LEN(H214)-4)/10000</f>
        <v>2.3346</v>
      </c>
      <c r="AA214" s="247">
        <f>ABS(Z214-Y214)</f>
        <v>2.2766999999999999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309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s3://rtdc.mdm.uploadarchive.raw/RTDC4060/ "%USERPROFILE%\AppData\Local\Temp\OnboardLogs"\RTDC4060\2017-12-06 --exclude "*" --recursive --include "*20171206*" &amp; "%USERPROFILE%\Documents\GitHub\mrs-test-scripts\Headless Mode &amp; Sideloading\WalkAndUnGZ.bat" "%USERPROFILE%\AppData\Local\Temp\OnboardLogs"\RTDC4060\2017-12-06 &amp; 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/stypes="app*4060*20171206*" /stext=" 08:.+((SYSTEM_STATE.+slice.+state.+changed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42"/>
        <v>"%USERPROFILE%\Documents\GitHub\eaglep3\Utilities\RefineRTDCRunTimes.py" --tripid 309-05 --locoid 4060 --swversion DE.1.0.9.0 --startMP 204:579 --initTime 2017-12-06T01:39:51 --startdatetime 2017-12-06T01:42:50 --delay 72 --endMP 300:23346 --enddatetime 2017-12-06T01:56:20 --enforcementcount 0 &gt;&gt;%USERPROFILE%\Documents\GitHub\eaglep3-reporting\EC\2017-12-05-refined-times.txt</v>
      </c>
      <c r="AI214" s="238" t="str">
        <f t="shared" si="43"/>
        <v>echo {"issue":{"subject":"","project_id":79,"tracker_id":40,"status_id":1,"priority_id":2,"assigned_to_id":338,"start_date":"2017-12-06","description":"","custom_fields":[{"id":1,"name":"Subdivision","value":"Other"},{"id":4,"name":"Milepost","value":"2.3346"},{"id":17,"name":"Train ID","value":"309-05"},{"id":16,"name":"Locomotive ID","value":"4060"},{"id":130,"name":"Impact","value":""},{"id":150,"name":"Time of Event (Mountain Time)","value":"01:56:20"},{"id":151,"name":"Denver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44"/>
        <v>start /low /b %USERPROFILE%\Documents\GitHub\eaglep3\Utilities\DownloadLogsFromS3.py --loco 4060 --day 2017-12-06</v>
      </c>
      <c r="AN214" s="241" t="str">
        <f t="shared" si="45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08:56:20"},{"id":29,"name":"Sharepoint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46"/>
        <v>https://d0f6bd738d7f1b3e5a7ca70fe4ff75f0.us-east-1.aws.found.io/app/kibana#/discover/Steve-Slow-Train-Analysis-(2080s-and-2083s)?_g=(refreshInterval:(display:Off,pause:!f,section:0,value:0),time:(from:'2017-12-06T00:39:51-0700',mode:absolute,to:'2017-12-06T02:56:20-0700'))&amp;_a=(columns:!('Message%20ID',Summary),filters:!(),index:'emp_*',interval:auto,query:(query_string:(analyze_wildcard:!t,query:'%22rtdc.l.rtdc.4060%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719</v>
      </c>
      <c r="B215" s="225">
        <v>4013</v>
      </c>
      <c r="C215" s="227" t="s">
        <v>192</v>
      </c>
      <c r="D215" s="227" t="s">
        <v>1002</v>
      </c>
      <c r="E215" s="226">
        <v>43074.195428240739</v>
      </c>
      <c r="F215" s="226">
        <v>43074.197824074072</v>
      </c>
      <c r="G215" s="225">
        <v>60</v>
      </c>
      <c r="H215" s="227" t="s">
        <v>490</v>
      </c>
      <c r="I215" s="226">
        <v>43074.203206018516</v>
      </c>
      <c r="J215" s="225">
        <v>0</v>
      </c>
      <c r="K215" s="237" t="str">
        <f>IF(ISEVEN(B215),(B215-1)&amp;"/"&amp;B215,B215&amp;"/"&amp;(B215+1))</f>
        <v>4013/4014</v>
      </c>
      <c r="L215" s="245" t="str">
        <f>VLOOKUP(A215,'Trips&amp;Operators'!$C$1:$G$99911,5,FALSE)</f>
        <v>YANAI IAN</v>
      </c>
      <c r="M215" s="224">
        <f>I215-F215</f>
        <v>5.3819444437976927E-3</v>
      </c>
      <c r="N215" s="225">
        <f>24*60*SUM($M215:$M215)</f>
        <v>7.7499999990686774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-05T03:41:25-0700',mode:absolute,to:'2017-12-05T05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2.3738999999999999</v>
      </c>
      <c r="Z215" s="247">
        <f>RIGHT(H215,LEN(H215)-4)/10000</f>
        <v>1.6E-2</v>
      </c>
      <c r="AA215" s="247">
        <f>ABS(Z215-Y215)</f>
        <v>2.3578999999999999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310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/stypes="app*4013*20171205*" /stext=" 11:.+((SYSTEM_STATE.+slice.+state.+changed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42"/>
        <v>"%USERPROFILE%\Documents\GitHub\eaglep3\Utilities\RefineRTDCRunTimes.py" --tripid 310-05 --locoid 4013 --swversion DE.1.0.9.0 --startMP 300:23739 --initTime 2017-12-05T04:41:25 --startdatetime 2017-12-05T04:44:52 --delay 60 --endMP 204:160 --enddatetime 2017-12-05T04:52:37 --enforcementcount 0 &gt;&gt;%USERPROFILE%\Documents\GitHub\eaglep3-reporting\EC\2017-12-05-refined-times.txt</v>
      </c>
      <c r="AI215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{"issue":{"subject":"","project_id":79,"tracker_id":40,"status_id":1,"priority_id":2,"assigned_to_id":338,"start_date":"2017-12-05","description":"","custom_fields":[{"id":1,"name":"Subdivision","value":"Other"},{"id":4,"name":"Milepost","value":"0.016"},{"id":17,"name":"Train ID","value":"310-05"},{"id":16,"name":"Locomotive ID","value":"4013"},{"id":130,"name":"Impact","value":""},{"id":150,"name":"Time of Event (Mountain Time)","value":"04:52:37"},{"id":151,"name":"Denver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44"/>
        <v>start /low /b %USERPROFILE%\Documents\GitHub\eaglep3\Utilities\DownloadLogsFromS3.py --loco 4013 --day 2017-12-05</v>
      </c>
      <c r="AN215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46"/>
        <v>https://d0f6bd738d7f1b3e5a7ca70fe4ff75f0.us-east-1.aws.found.io/app/kibana#/discover/Steve-Slow-Train-Analysis-(2080s-and-2083s)?_g=(refreshInterval:(display:Off,pause:!f,section:0,value:0),time:(from:'2017-12-05T03:41:25-0700',mode:absolute,to:'2017-12-05T05:52:37-0700'))&amp;_a=(columns:!('Message%20ID',Summary),filters:!(),index:'emp_*',interval:auto,query:(query_string:(analyze_wildcard:!t,query:'%22rtdc.l.rtdc.4013%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914</v>
      </c>
      <c r="B216" s="225">
        <v>4056</v>
      </c>
      <c r="C216" s="227" t="s">
        <v>192</v>
      </c>
      <c r="D216" s="227" t="s">
        <v>636</v>
      </c>
      <c r="E216" s="226">
        <v>43075.089548611111</v>
      </c>
      <c r="F216" s="226">
        <v>43075.091666666667</v>
      </c>
      <c r="G216" s="225">
        <v>58</v>
      </c>
      <c r="H216" s="227" t="s">
        <v>646</v>
      </c>
      <c r="I216" s="226">
        <v>43075.101388888892</v>
      </c>
      <c r="J216" s="225">
        <v>0</v>
      </c>
      <c r="K216" s="237" t="str">
        <f>IF(ISEVEN(B216),(B216-1)&amp;"/"&amp;B216,B216&amp;"/"&amp;(B216+1))</f>
        <v>4055/4056</v>
      </c>
      <c r="L216" s="245" t="str">
        <f>VLOOKUP(A216,'Trips&amp;Operators'!$C$1:$G$99911,5,FALSE)</f>
        <v>ANDERS STEVEN</v>
      </c>
      <c r="M216" s="224">
        <f>I216-F216</f>
        <v>9.7222222248092294E-3</v>
      </c>
      <c r="N216" s="225">
        <f>24*60*SUM($M216:$M216)</f>
        <v>14.00000000372529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-06T01:08:57-0700',mode:absolute,to:'2017-12-06T03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5.5500000000000001E-2</v>
      </c>
      <c r="Z216" s="247">
        <f>RIGHT(H216,LEN(H216)-4)/10000</f>
        <v>2.3298999999999999</v>
      </c>
      <c r="AA216" s="247">
        <f>ABS(Z216-Y216)</f>
        <v>2.2744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311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s3://rtdc.mdm.uploadarchive.raw/RTDC4056/ "%USERPROFILE%\AppData\Local\Temp\OnboardLogs"\RTDC4056\2017-12-06 --exclude "*" --recursive --include "*20171206*" &amp; "%USERPROFILE%\Documents\GitHub\mrs-test-scripts\Headless Mode &amp; Sideloading\WalkAndUnGZ.bat" "%USERPROFILE%\AppData\Local\Temp\OnboardLogs"\RTDC4056\2017-12-06 &amp; 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/stypes="app*4056*20171206*" /stext=" 09:.+((SYSTEM_STATE.+slice.+state.+changed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42"/>
        <v>"%USERPROFILE%\Documents\GitHub\eaglep3\Utilities\RefineRTDCRunTimes.py" --tripid 311-05 --locoid 4056 --swversion DE.1.0.9.0 --startMP 204:555 --initTime 2017-12-06T02:08:57 --startdatetime 2017-12-06T02:12:00 --delay 58 --endMP 300:23299 --enddatetime 2017-12-06T02:26:00 --enforcementcount 0 &gt;&gt;%USERPROFILE%\Documents\GitHub\eaglep3-reporting\EC\2017-12-05-refined-times.txt</v>
      </c>
      <c r="AI216" s="238" t="str">
        <f t="shared" si="43"/>
        <v>echo {"issue":{"subject":"","project_id":79,"tracker_id":40,"status_id":1,"priority_id":2,"assigned_to_id":338,"start_date":"2017-12-06","description":"","custom_fields":[{"id":1,"name":"Subdivision","value":"Other"},{"id":4,"name":"Milepost","value":"2.3299"},{"id":17,"name":"Train ID","value":"311-05"},{"id":16,"name":"Locomotive ID","value":"4056"},{"id":130,"name":"Impact","value":""},{"id":150,"name":"Time of Event (Mountain Time)","value":"02:26:00"},{"id":151,"name":"Denver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44"/>
        <v>start /low /b %USERPROFILE%\Documents\GitHub\eaglep3\Utilities\DownloadLogsFromS3.py --loco 4056 --day 2017-12-06</v>
      </c>
      <c r="AN216" s="241" t="str">
        <f t="shared" si="45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09:26:00"},{"id":29,"name":"Sharepoint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46"/>
        <v>https://d0f6bd738d7f1b3e5a7ca70fe4ff75f0.us-east-1.aws.found.io/app/kibana#/discover/Steve-Slow-Train-Analysis-(2080s-and-2083s)?_g=(refreshInterval:(display:Off,pause:!f,section:0,value:0),time:(from:'2017-12-06T01:08:57-0700',mode:absolute,to:'2017-12-06T03:26:00-0700'))&amp;_a=(columns:!('Message%20ID',Summary),filters:!(),index:'emp_*',interval:auto,query:(query_string:(analyze_wildcard:!t,query:'%22rtdc.l.rtdc.4056%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25">
      <c r="A217" s="229" t="s">
        <v>726</v>
      </c>
      <c r="B217" s="225">
        <v>4035</v>
      </c>
      <c r="C217" s="227" t="s">
        <v>192</v>
      </c>
      <c r="D217" s="227" t="s">
        <v>1003</v>
      </c>
      <c r="E217" s="226">
        <v>43074.220289351855</v>
      </c>
      <c r="F217" s="226">
        <v>43074.223298611112</v>
      </c>
      <c r="G217" s="225">
        <v>83</v>
      </c>
      <c r="H217" s="227" t="s">
        <v>625</v>
      </c>
      <c r="I217" s="226">
        <v>43074.229363425926</v>
      </c>
      <c r="J217" s="225">
        <v>0</v>
      </c>
      <c r="K217" s="237" t="str">
        <f>IF(ISEVEN(B217),(B217-1)&amp;"/"&amp;B217,B217&amp;"/"&amp;(B217+1))</f>
        <v>4035/4036</v>
      </c>
      <c r="L217" s="245" t="str">
        <f>VLOOKUP(A217,'Trips&amp;Operators'!$C$1:$G$99911,5,FALSE)</f>
        <v>BROWN JACOB</v>
      </c>
      <c r="M217" s="224">
        <f>I217-F217</f>
        <v>6.064814813726116E-3</v>
      </c>
      <c r="N217" s="225">
        <f>24*60*SUM($M217:$M217)</f>
        <v>8.733333331765607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-05T04:17:13-0700',mode:absolute,to:'2017-12-05T06:30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2.3584000000000001</v>
      </c>
      <c r="Z217" s="247">
        <f>RIGHT(H217,LEN(H217)-4)/10000</f>
        <v>2.6700000000000002E-2</v>
      </c>
      <c r="AA217" s="247">
        <f>ABS(Z217-Y217)</f>
        <v>2.3317000000000001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312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/stypes="app*4035*20171205*" /stext=" 12:.+((SYSTEM_STATE.+slice.+state.+changed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42"/>
        <v>"%USERPROFILE%\Documents\GitHub\eaglep3\Utilities\RefineRTDCRunTimes.py" --tripid 312-05 --locoid 4035 --swversion DE.1.0.9.0 --startMP 300:23584 --initTime 2017-12-05T05:17:13 --startdatetime 2017-12-05T05:21:33 --delay 83 --endMP 204:267 --enddatetime 2017-12-05T05:30:17 --enforcementcount 0 &gt;&gt;%USERPROFILE%\Documents\GitHub\eaglep3-reporting\EC\2017-12-05-refined-times.txt</v>
      </c>
      <c r="AI217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{"issue":{"subject":"","project_id":79,"tracker_id":40,"status_id":1,"priority_id":2,"assigned_to_id":338,"start_date":"2017-12-05","description":"","custom_fields":[{"id":1,"name":"Subdivision","value":"Other"},{"id":4,"name":"Milepost","value":"0.0267"},{"id":17,"name":"Train ID","value":"312-05"},{"id":16,"name":"Locomotive ID","value":"4035"},{"id":130,"name":"Impact","value":""},{"id":150,"name":"Time of Event (Mountain Time)","value":"05:30:17"},{"id":151,"name":"Denver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44"/>
        <v>start /low /b %USERPROFILE%\Documents\GitHub\eaglep3\Utilities\DownloadLogsFromS3.py --loco 4035 --day 2017-12-05</v>
      </c>
      <c r="AN217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12:30:17"},{"id":29,"name":"Sharepoint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46"/>
        <v>https://d0f6bd738d7f1b3e5a7ca70fe4ff75f0.us-east-1.aws.found.io/app/kibana#/discover/Steve-Slow-Train-Analysis-(2080s-and-2083s)?_g=(refreshInterval:(display:Off,pause:!f,section:0,value:0),time:(from:'2017-12-05T04:17:13-0700',mode:absolute,to:'2017-12-05T06:30:17-0700'))&amp;_a=(columns:!('Message%20ID',Summary),filters:!(),index:'emp_*',interval:auto,query:(query_string:(analyze_wildcard:!t,query:'%22rtdc.l.rtdc.4035%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909</v>
      </c>
      <c r="B218" s="225">
        <v>4044</v>
      </c>
      <c r="C218" s="227" t="s">
        <v>192</v>
      </c>
      <c r="D218" s="227" t="s">
        <v>648</v>
      </c>
      <c r="E218" s="226">
        <v>43075.024594907409</v>
      </c>
      <c r="F218" s="226">
        <v>43075.026250000003</v>
      </c>
      <c r="G218" s="225">
        <v>84</v>
      </c>
      <c r="H218" s="227" t="s">
        <v>1004</v>
      </c>
      <c r="I218" s="226">
        <v>43075.033321759256</v>
      </c>
      <c r="J218" s="225">
        <v>0</v>
      </c>
      <c r="K218" s="237" t="str">
        <f>IF(ISEVEN(B218),(B218-1)&amp;"/"&amp;B218,B218&amp;"/"&amp;(B218+1))</f>
        <v>4043/4044</v>
      </c>
      <c r="L218" s="245" t="str">
        <f>VLOOKUP(A218,'Trips&amp;Operators'!$C$1:$G$99911,5,FALSE)</f>
        <v>RESPASS AARON</v>
      </c>
      <c r="M218" s="224">
        <f>I218-F218</f>
        <v>7.0717592534492724E-3</v>
      </c>
      <c r="N218" s="225">
        <f>24*60*SUM($M218:$M218)</f>
        <v>10.183333324966952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-05T23:35:25-0700',mode:absolute,to:'2017-12-06T01:47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5.8799999999999998E-2</v>
      </c>
      <c r="Z218" s="247">
        <f>RIGHT(H218,LEN(H218)-4)/10000</f>
        <v>2.3313999999999999</v>
      </c>
      <c r="AA218" s="247">
        <f>ABS(Z218-Y218)</f>
        <v>2.2725999999999997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313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 &amp; 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/stypes="app*4044*20171206*" /stext=" 07:.+((SYSTEM_STATE.+slice.+state.+changed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42"/>
        <v>"%USERPROFILE%\Documents\GitHub\eaglep3\Utilities\RefineRTDCRunTimes.py" --tripid 313-05 --locoid 4044 --swversion DE.1.0.9.0 --startMP 204:588 --initTime 2017-12-06T00:35:25 --startdatetime 2017-12-06T00:37:48 --delay 84 --endMP 300:23314 --enddatetime 2017-12-06T00:47:59 --enforcementcount 0 &gt;&gt;%USERPROFILE%\Documents\GitHub\eaglep3-reporting\EC\2017-12-05-refined-times.txt</v>
      </c>
      <c r="AI218" s="238" t="str">
        <f t="shared" si="43"/>
        <v>echo {"issue":{"subject":"","project_id":79,"tracker_id":40,"status_id":1,"priority_id":2,"assigned_to_id":338,"start_date":"2017-12-06","description":"","custom_fields":[{"id":1,"name":"Subdivision","value":"Other"},{"id":4,"name":"Milepost","value":"2.3314"},{"id":17,"name":"Train ID","value":"313-05"},{"id":16,"name":"Locomotive ID","value":"4044"},{"id":130,"name":"Impact","value":""},{"id":150,"name":"Time of Event (Mountain Time)","value":"00:47:59"},{"id":151,"name":"Denver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44"/>
        <v>start /low /b %USERPROFILE%\Documents\GitHub\eaglep3\Utilities\DownloadLogsFromS3.py --loco 4044 --day 2017-12-06</v>
      </c>
      <c r="AN218" s="241" t="str">
        <f t="shared" si="45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07:47:59"},{"id":29,"name":"Sharepoint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46"/>
        <v>https://d0f6bd738d7f1b3e5a7ca70fe4ff75f0.us-east-1.aws.found.io/app/kibana#/discover/Steve-Slow-Train-Analysis-(2080s-and-2083s)?_g=(refreshInterval:(display:Off,pause:!f,section:0,value:0),time:(from:'2017-12-05T23:35:25-0700',mode:absolute,to:'2017-12-06T01:47:59-0700'))&amp;_a=(columns:!('Message%20ID',Summary),filters:!(),index:'emp_*',interval:auto,query:(query_string:(analyze_wildcard:!t,query:'%22rtdc.l.rtdc.4044%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720</v>
      </c>
      <c r="B219" s="225">
        <v>4012</v>
      </c>
      <c r="C219" s="227" t="s">
        <v>192</v>
      </c>
      <c r="D219" s="227" t="s">
        <v>1051</v>
      </c>
      <c r="E219" s="226">
        <v>43074.198761574073</v>
      </c>
      <c r="F219" s="226">
        <v>43074.2030787037</v>
      </c>
      <c r="G219" s="225">
        <v>128</v>
      </c>
      <c r="H219" s="227" t="s">
        <v>664</v>
      </c>
      <c r="I219" s="226">
        <v>43074.208819444444</v>
      </c>
      <c r="J219" s="225">
        <v>0</v>
      </c>
      <c r="K219" s="237" t="str">
        <f>IF(ISEVEN(B219),(B219-1)&amp;"/"&amp;B219,B219&amp;"/"&amp;(B219+1))</f>
        <v>4011/4012</v>
      </c>
      <c r="L219" s="245" t="str">
        <f>VLOOKUP(A219,'Trips&amp;Operators'!$C$1:$G$99911,5,FALSE)</f>
        <v>DAVIDSON DAVID</v>
      </c>
      <c r="M219" s="224">
        <f>I219-F219</f>
        <v>5.7407407439313829E-3</v>
      </c>
      <c r="N219" s="225">
        <f>24*60*SUM($M219:$M219)</f>
        <v>8.2666666712611914</v>
      </c>
      <c r="O219" s="225"/>
      <c r="P219" s="225"/>
      <c r="Q219" s="228"/>
      <c r="R219" s="242"/>
      <c r="S219" s="249">
        <f>1/IF(AG219="EC",12,1)*SUM(U219:U219)</f>
        <v>0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-05T03:46:13-0700',mode:absolute,to:'2017-12-05T06:00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588</v>
      </c>
      <c r="Y219" s="247">
        <f>RIGHT(D219,LEN(D219)-4)/10000</f>
        <v>3.0398000000000001</v>
      </c>
      <c r="Z219" s="247">
        <f>RIGHT(H219,LEN(H219)-4)/10000</f>
        <v>5.8940999999999999</v>
      </c>
      <c r="AA219" s="247">
        <f>ABS(Z219-Y219)</f>
        <v>2.8542999999999998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901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/stypes="app*4012*20171205*" /stext=" 12:.+((SYSTEM_STATE.+slice.+state.+changed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42"/>
        <v>"%USERPROFILE%\Documents\GitHub\eaglep3\Utilities\RefineRTDCRunTimes.py" --tripid 901-05 --locoid 4012 --swversion DE.1.0.9.0 --startMP 300:30398 --initTime 2017-12-05T04:46:13 --startdatetime 2017-12-05T04:52:26 --delay 128 --endMP 300:58941 --enddatetime 2017-12-05T05:00:42 --enforcementcount 0 &gt;&gt;%USERPROFILE%\Documents\GitHub\eaglep3-reporting\EC\2017-12-05-refined-times.txt</v>
      </c>
      <c r="AI219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{"issue":{"subject":"","project_id":79,"tracker_id":40,"status_id":1,"priority_id":2,"assigned_to_id":338,"start_date":"2017-12-05","description":"","custom_fields":[{"id":1,"name":"Subdivision","value":"Other"},{"id":4,"name":"Milepost","value":"5.8941"},{"id":17,"name":"Train ID","value":"901-05"},{"id":16,"name":"Locomotive ID","value":"4012"},{"id":130,"name":"Impact","value":""},{"id":150,"name":"Time of Event (Mountain Time)","value":"05:00:42"},{"id":151,"name":"Denver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44"/>
        <v>start /low /b %USERPROFILE%\Documents\GitHub\eaglep3\Utilities\DownloadLogsFromS3.py --loco 4012 --day 2017-12-05</v>
      </c>
      <c r="AN219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12:00:42"},{"id":29,"name":"Sharepoint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46"/>
        <v>https://d0f6bd738d7f1b3e5a7ca70fe4ff75f0.us-east-1.aws.found.io/app/kibana#/discover/Steve-Slow-Train-Analysis-(2080s-and-2083s)?_g=(refreshInterval:(display:Off,pause:!f,section:0,value:0),time:(from:'2017-12-05T03:46:13-0700',mode:absolute,to:'2017-12-05T06:00:42-0700'))&amp;_a=(columns:!('Message%20ID',Summary),filters:!(),index:'emp_*',interval:auto,query:(query_string:(analyze_wildcard:!t,query:'%22rtdc.l.rtdc.4012%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729</v>
      </c>
      <c r="B220" s="225">
        <v>4003</v>
      </c>
      <c r="C220" s="227" t="s">
        <v>192</v>
      </c>
      <c r="D220" s="227" t="s">
        <v>1052</v>
      </c>
      <c r="E220" s="226">
        <v>43074.233136574076</v>
      </c>
      <c r="F220" s="226">
        <v>43074.236585648148</v>
      </c>
      <c r="G220" s="225">
        <v>65</v>
      </c>
      <c r="H220" s="227" t="s">
        <v>929</v>
      </c>
      <c r="I220" s="226">
        <v>43074.242349537039</v>
      </c>
      <c r="J220" s="225">
        <v>0</v>
      </c>
      <c r="K220" s="237" t="str">
        <f>IF(ISEVEN(B220),(B220-1)&amp;"/"&amp;B220,B220&amp;"/"&amp;(B220+1))</f>
        <v>4003/4004</v>
      </c>
      <c r="L220" s="245" t="str">
        <f>VLOOKUP(A220,'Trips&amp;Operators'!$C$1:$G$99911,5,FALSE)</f>
        <v>FORTUNATO FRANK</v>
      </c>
      <c r="M220" s="224">
        <f>I220-F220</f>
        <v>5.7638888902147301E-3</v>
      </c>
      <c r="N220" s="225">
        <f>24*60*SUM($M220:$M220)</f>
        <v>8.3000000019092113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-05T04:35:43-0700',mode:absolute,to:'2017-12-05T06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1</v>
      </c>
      <c r="Y220" s="247">
        <f>RIGHT(D220,LEN(D220)-4)/10000</f>
        <v>2.3677000000000001</v>
      </c>
      <c r="Z220" s="247">
        <f>RIGHT(H220,LEN(H220)-4)/10000</f>
        <v>1.49E-2</v>
      </c>
      <c r="AA220" s="247">
        <f>ABS(Z220-Y220)</f>
        <v>2.3528000000000002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902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/stypes="app*4003*20171205*" /stext=" 12:.+((SYSTEM_STATE.+slice.+state.+changed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42"/>
        <v>"%USERPROFILE%\Documents\GitHub\eaglep3\Utilities\RefineRTDCRunTimes.py" --tripid 902-05 --locoid 4003 --swversion DE.1.0.9.0 --startMP 300:23677 --initTime 2017-12-05T05:35:43 --startdatetime 2017-12-05T05:40:41 --delay 65 --endMP 204:149 --enddatetime 2017-12-05T05:48:59 --enforcementcount 0 &gt;&gt;%USERPROFILE%\Documents\GitHub\eaglep3-reporting\EC\2017-12-05-refined-times.txt</v>
      </c>
      <c r="AI220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{"issue":{"subject":"","project_id":79,"tracker_id":40,"status_id":1,"priority_id":2,"assigned_to_id":338,"start_date":"2017-12-05","description":"","custom_fields":[{"id":1,"name":"Subdivision","value":"Other"},{"id":4,"name":"Milepost","value":"0.0149"},{"id":17,"name":"Train ID","value":"902-05"},{"id":16,"name":"Locomotive ID","value":"4003"},{"id":130,"name":"Impact","value":""},{"id":150,"name":"Time of Event (Mountain Time)","value":"05:48:59"},{"id":151,"name":"Denver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44"/>
        <v>start /low /b %USERPROFILE%\Documents\GitHub\eaglep3\Utilities\DownloadLogsFromS3.py --loco 4003 --day 2017-12-05</v>
      </c>
      <c r="AN220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12:48:59"},{"id":29,"name":"Sharepoint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46"/>
        <v>https://d0f6bd738d7f1b3e5a7ca70fe4ff75f0.us-east-1.aws.found.io/app/kibana#/discover/Steve-Slow-Train-Analysis-(2080s-and-2083s)?_g=(refreshInterval:(display:Off,pause:!f,section:0,value:0),time:(from:'2017-12-05T04:35:43-0700',mode:absolute,to:'2017-12-05T06:48:59-0700'))&amp;_a=(columns:!('Message%20ID',Summary),filters:!(),index:'emp_*',interval:auto,query:(query_string:(analyze_wildcard:!t,query:'%22rtdc.l.rtdc.4003%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764</v>
      </c>
      <c r="B221" s="225">
        <v>4012</v>
      </c>
      <c r="C221" s="227" t="s">
        <v>192</v>
      </c>
      <c r="D221" s="227" t="s">
        <v>1053</v>
      </c>
      <c r="E221" s="226">
        <v>43074.353379629632</v>
      </c>
      <c r="F221" s="226">
        <v>43074.355138888888</v>
      </c>
      <c r="G221" s="225">
        <v>51</v>
      </c>
      <c r="H221" s="227" t="s">
        <v>1054</v>
      </c>
      <c r="I221" s="226">
        <v>43074.362523148149</v>
      </c>
      <c r="J221" s="225">
        <v>0</v>
      </c>
      <c r="K221" s="237" t="str">
        <f>IF(ISEVEN(B221),(B221-1)&amp;"/"&amp;B221,B221&amp;"/"&amp;(B221+1))</f>
        <v>4011/4012</v>
      </c>
      <c r="L221" s="245" t="str">
        <f>VLOOKUP(A221,'Trips&amp;Operators'!$C$1:$G$99911,5,FALSE)</f>
        <v>DAVIDSON DAVID</v>
      </c>
      <c r="M221" s="224">
        <f>I221-F221</f>
        <v>7.3842592610162683E-3</v>
      </c>
      <c r="N221" s="225">
        <f>24*60*SUM($M221:$M221)</f>
        <v>10.633333335863426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-12-05T07:28:52-0700',mode:absolute,to:'2017-12-05T09:42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4.6800000000000001E-2</v>
      </c>
      <c r="Z221" s="247">
        <f>RIGHT(H221,LEN(H221)-4)/10000</f>
        <v>2.4216000000000002</v>
      </c>
      <c r="AA221" s="247">
        <f>ABS(Z221-Y221)</f>
        <v>2.3748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903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/stypes="app*4012*20171205*" /stext=" 15:.+((SYSTEM_STATE.+slice.+state.+changed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42"/>
        <v>"%USERPROFILE%\Documents\GitHub\eaglep3\Utilities\RefineRTDCRunTimes.py" --tripid 903-05 --locoid 4012 --swversion DE.1.0.9.0 --startMP 204:468 --initTime 2017-12-05T08:28:52 --startdatetime 2017-12-05T08:31:24 --delay 51 --endMP 300:24216 --enddatetime 2017-12-05T08:42:02 --enforcementcount 0 &gt;&gt;%USERPROFILE%\Documents\GitHub\eaglep3-reporting\EC\2017-12-05-refined-times.txt</v>
      </c>
      <c r="AI221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{"issue":{"subject":"","project_id":79,"tracker_id":40,"status_id":1,"priority_id":2,"assigned_to_id":338,"start_date":"2017-12-05","description":"","custom_fields":[{"id":1,"name":"Subdivision","value":"Other"},{"id":4,"name":"Milepost","value":"2.4216"},{"id":17,"name":"Train ID","value":"903-05"},{"id":16,"name":"Locomotive ID","value":"4012"},{"id":130,"name":"Impact","value":""},{"id":150,"name":"Time of Event (Mountain Time)","value":"08:42:02"},{"id":151,"name":"Denver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44"/>
        <v>start /low /b %USERPROFILE%\Documents\GitHub\eaglep3\Utilities\DownloadLogsFromS3.py --loco 4012 --day 2017-12-05</v>
      </c>
      <c r="AN221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15:42:02"},{"id":29,"name":"Sharepoint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46"/>
        <v>https://d0f6bd738d7f1b3e5a7ca70fe4ff75f0.us-east-1.aws.found.io/app/kibana#/discover/Steve-Slow-Train-Analysis-(2080s-and-2083s)?_g=(refreshInterval:(display:Off,pause:!f,section:0,value:0),time:(from:'2017-12-05T07:28:52-0700',mode:absolute,to:'2017-12-05T09:42:02-0700'))&amp;_a=(columns:!('Message%20ID',Summary),filters:!(),index:'emp_*',interval:auto,query:(query_string:(analyze_wildcard:!t,query:'%22rtdc.l.rtdc.4012%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9" t="s">
        <v>824</v>
      </c>
      <c r="B222" s="225">
        <v>4011</v>
      </c>
      <c r="C222" s="227" t="s">
        <v>192</v>
      </c>
      <c r="D222" s="227" t="s">
        <v>1055</v>
      </c>
      <c r="E222" s="226">
        <v>43074.636157407411</v>
      </c>
      <c r="F222" s="226">
        <v>43074.637372685182</v>
      </c>
      <c r="G222" s="225">
        <v>58</v>
      </c>
      <c r="H222" s="227" t="s">
        <v>1056</v>
      </c>
      <c r="I222" s="226">
        <v>43074.642430555556</v>
      </c>
      <c r="J222" s="225">
        <v>0</v>
      </c>
      <c r="K222" s="237" t="str">
        <f>IF(ISEVEN(B222),(B222-1)&amp;"/"&amp;B222,B222&amp;"/"&amp;(B222+1))</f>
        <v>4011/4012</v>
      </c>
      <c r="L222" s="245" t="str">
        <f>VLOOKUP(A222,'Trips&amp;Operators'!$C$1:$G$99911,5,FALSE)</f>
        <v>AUSTIN THOMPSON</v>
      </c>
      <c r="M222" s="224">
        <f>I222-F222</f>
        <v>5.0578703740029596E-3</v>
      </c>
      <c r="N222" s="225">
        <f>24*60*SUM($M222:$M222)</f>
        <v>7.2833333385642618</v>
      </c>
      <c r="O222" s="225"/>
      <c r="P222" s="225"/>
      <c r="Q222" s="228"/>
      <c r="R222" s="242"/>
      <c r="S222" s="249">
        <f>1/IF(AG222="EC",12,1)*SUM(U222:U222)</f>
        <v>1</v>
      </c>
      <c r="T222" s="242" t="str">
        <f>IF(ISEVEN(LEFT(AD222,4)),"Southbound","NorthBound")</f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-12-05T14:16:04-0700',mode:absolute,to:'2017-12-05T16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1</v>
      </c>
      <c r="Y222" s="247">
        <f>RIGHT(D222,LEN(D222)-4)/10000</f>
        <v>2.2852999999999999</v>
      </c>
      <c r="Z222" s="247">
        <f>RIGHT(H222,LEN(H222)-4)/10000</f>
        <v>1.5100000000000001E-2</v>
      </c>
      <c r="AA222" s="247">
        <f>ABS(Z222-Y222)</f>
        <v>2.2702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904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/stypes="app*4011*20171205*" /stext=" 22:.+((SYSTEM_STATE.+slice.+state.+changed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42"/>
        <v>"%USERPROFILE%\Documents\GitHub\eaglep3\Utilities\RefineRTDCRunTimes.py" --tripid 904-05 --locoid 4011 --swversion DE.1.0.9.0 --startMP 300:22853 --initTime 2017-12-05T15:16:04 --startdatetime 2017-12-05T15:17:49 --delay 58 --endMP 204:151 --enddatetime 2017-12-05T15:25:06 --enforcementcount 0 &gt;&gt;%USERPROFILE%\Documents\GitHub\eaglep3-reporting\EC\2017-12-05-refined-times.txt</v>
      </c>
      <c r="AI222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{"issue":{"subject":"","project_id":79,"tracker_id":40,"status_id":1,"priority_id":2,"assigned_to_id":338,"start_date":"2017-12-05","description":"","custom_fields":[{"id":1,"name":"Subdivision","value":"Other"},{"id":4,"name":"Milepost","value":"0.0151"},{"id":17,"name":"Train ID","value":"904-05"},{"id":16,"name":"Locomotive ID","value":"4011"},{"id":130,"name":"Impact","value":""},{"id":150,"name":"Time of Event (Mountain Time)","value":"15:25:06"},{"id":151,"name":"Denver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44"/>
        <v>start /low /b %USERPROFILE%\Documents\GitHub\eaglep3\Utilities\DownloadLogsFromS3.py --loco 4011 --day 2017-12-05</v>
      </c>
      <c r="AN222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46"/>
        <v>https://d0f6bd738d7f1b3e5a7ca70fe4ff75f0.us-east-1.aws.found.io/app/kibana#/discover/Steve-Slow-Train-Analysis-(2080s-and-2083s)?_g=(refreshInterval:(display:Off,pause:!f,section:0,value:0),time:(from:'2017-12-05T14:16:04-0700',mode:absolute,to:'2017-12-05T16:25:06-0700'))&amp;_a=(columns:!('Message%20ID',Summary),filters:!(),index:'emp_*',interval:auto,query:(query_string:(analyze_wildcard:!t,query:'%22rtdc.l.rtdc.4011%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9" t="s">
        <v>824</v>
      </c>
      <c r="B223" s="225">
        <v>4011</v>
      </c>
      <c r="C223" s="227" t="s">
        <v>192</v>
      </c>
      <c r="D223" s="227" t="s">
        <v>1057</v>
      </c>
      <c r="E223" s="226">
        <v>43074.630891203706</v>
      </c>
      <c r="F223" s="226">
        <v>43074.637372685182</v>
      </c>
      <c r="G223" s="225">
        <v>78</v>
      </c>
      <c r="H223" s="227" t="s">
        <v>1057</v>
      </c>
      <c r="I223" s="226">
        <v>43074.642430555556</v>
      </c>
      <c r="J223" s="225">
        <v>0</v>
      </c>
      <c r="K223" s="237" t="str">
        <f>IF(ISEVEN(B223),(B223-1)&amp;"/"&amp;B223,B223&amp;"/"&amp;(B223+1))</f>
        <v>4011/4012</v>
      </c>
      <c r="L223" s="245" t="str">
        <f>VLOOKUP(A223,'Trips&amp;Operators'!$C$1:$G$99911,5,FALSE)</f>
        <v>AUSTIN THOMPSON</v>
      </c>
      <c r="M223" s="224">
        <f>I223-F223</f>
        <v>5.0578703740029596E-3</v>
      </c>
      <c r="N223" s="225">
        <f>24*60*SUM($M223:$M223)</f>
        <v>7.2833333385642618</v>
      </c>
      <c r="O223" s="225"/>
      <c r="P223" s="225"/>
      <c r="Q223" s="228"/>
      <c r="R223" s="242"/>
      <c r="S223" s="249">
        <f>1/IF(AG223="EC",12,1)*SUM(U223:U223)</f>
        <v>0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-12-05T14:08:29-0700',mode:absolute,to:'2017-12-05T16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0</v>
      </c>
      <c r="Y223" s="247">
        <f>RIGHT(D223,LEN(D223)-4)/10000</f>
        <v>2.5129000000000001</v>
      </c>
      <c r="Z223" s="247">
        <f>RIGHT(H223,LEN(H223)-4)/10000</f>
        <v>2.5129000000000001</v>
      </c>
      <c r="AA223" s="247">
        <f>ABS(Z223-Y223)</f>
        <v>0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904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/stypes="app*4011*20171205*" /stext=" 22:.+((SYSTEM_STATE.+slice.+state.+changed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42"/>
        <v>"%USERPROFILE%\Documents\GitHub\eaglep3\Utilities\RefineRTDCRunTimes.py" --tripid 904-05 --locoid 4011 --swversion DE.1.0.9.0 --startMP 300:25129 --initTime 2017-12-05T15:08:29 --startdatetime 2017-12-05T15:17:49 --delay 78 --endMP 300:25129 --enddatetime 2017-12-05T15:25:06 --enforcementcount 0 &gt;&gt;%USERPROFILE%\Documents\GitHub\eaglep3-reporting\EC\2017-12-05-refined-times.txt</v>
      </c>
      <c r="AI223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{"issue":{"subject":"","project_id":79,"tracker_id":40,"status_id":1,"priority_id":2,"assigned_to_id":338,"start_date":"2017-12-05","description":"","custom_fields":[{"id":1,"name":"Subdivision","value":"Other"},{"id":4,"name":"Milepost","value":"2.5129"},{"id":17,"name":"Train ID","value":"904-05"},{"id":16,"name":"Locomotive ID","value":"4011"},{"id":130,"name":"Impact","value":""},{"id":150,"name":"Time of Event (Mountain Time)","value":"15:25:06"},{"id":151,"name":"Denver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44"/>
        <v>start /low /b %USERPROFILE%\Documents\GitHub\eaglep3\Utilities\DownloadLogsFromS3.py --loco 4011 --day 2017-12-05</v>
      </c>
      <c r="AN223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22:25:06"},{"id":29,"name":"Sharepoint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46"/>
        <v>https://d0f6bd738d7f1b3e5a7ca70fe4ff75f0.us-east-1.aws.found.io/app/kibana#/discover/Steve-Slow-Train-Analysis-(2080s-and-2083s)?_g=(refreshInterval:(display:Off,pause:!f,section:0,value:0),time:(from:'2017-12-05T14:08:29-0700',mode:absolute,to:'2017-12-05T16:25:06-0700'))&amp;_a=(columns:!('Message%20ID',Summary),filters:!(),index:'emp_*',interval:auto,query:(query_string:(analyze_wildcard:!t,query:'%22rtdc.l.rtdc.4011%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876</v>
      </c>
      <c r="B224" s="225">
        <v>4011</v>
      </c>
      <c r="C224" s="227" t="s">
        <v>192</v>
      </c>
      <c r="D224" s="227" t="s">
        <v>655</v>
      </c>
      <c r="E224" s="226">
        <v>43074.788946759261</v>
      </c>
      <c r="F224" s="226">
        <v>43074.79010416667</v>
      </c>
      <c r="G224" s="225">
        <v>59</v>
      </c>
      <c r="H224" s="227" t="s">
        <v>1058</v>
      </c>
      <c r="I224" s="226">
        <v>43074.79583333333</v>
      </c>
      <c r="J224" s="225">
        <v>0</v>
      </c>
      <c r="K224" s="237" t="str">
        <f>IF(ISEVEN(B224),(B224-1)&amp;"/"&amp;B224,B224&amp;"/"&amp;(B224+1))</f>
        <v>4011/4012</v>
      </c>
      <c r="L224" s="245" t="str">
        <f>VLOOKUP(A224,'Trips&amp;Operators'!$C$1:$G$99911,5,FALSE)</f>
        <v>AUSTIN THOMPSON</v>
      </c>
      <c r="M224" s="224">
        <f>I224-F224</f>
        <v>5.7291666598757729E-3</v>
      </c>
      <c r="N224" s="225">
        <f>24*60*SUM($M224:$M224)</f>
        <v>8.249999990221113</v>
      </c>
      <c r="O224" s="225"/>
      <c r="P224" s="225"/>
      <c r="Q224" s="228"/>
      <c r="R224" s="242"/>
      <c r="S224" s="249">
        <f>1/IF(AG224="EC",12,1)*SUM(U224:U224)</f>
        <v>0</v>
      </c>
      <c r="T224" s="242" t="str">
        <f>IF(ISEVEN(LEFT(AD224,4)),"Southbound","NorthBound")</f>
        <v>Southbound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-12-05T17:56:05-0700',mode:absolute,to:'2017-12-05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2</v>
      </c>
      <c r="Y224" s="247">
        <f>RIGHT(D224,LEN(D224)-4)/10000</f>
        <v>5.8609</v>
      </c>
      <c r="Z224" s="247">
        <f>RIGHT(H224,LEN(H224)-4)/10000</f>
        <v>2.8759000000000001</v>
      </c>
      <c r="AA224" s="247">
        <f>ABS(Z224-Y224)</f>
        <v>2.9849999999999999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906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 &amp; aws s3 cp s3://rtdc.mdm.uploadarchive.raw/RTDC4011/ "%USERPROFILE%\AppData\Local\Temp\OnboardLogs"\RTDC4011\2017-12-06 --exclude "*" --recursive --include "*20171206*" &amp; "%USERPROFILE%\Documents\GitHub\mrs-test-scripts\Headless Mode &amp; Sideloading\WalkAndUnGZ.bat" "%USERPROFILE%\AppData\Local\Temp\OnboardLogs"\RTDC4011\2017-12-06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/stypes="app*4011*20171206*" /stext=" 02:.+((SYSTEM_STATE.+slice.+state.+changed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42"/>
        <v>"%USERPROFILE%\Documents\GitHub\eaglep3\Utilities\RefineRTDCRunTimes.py" --tripid 906-05 --locoid 4011 --swversion DE.1.0.9.0 --startMP 300:58609 --initTime 2017-12-05T18:56:05 --startdatetime 2017-12-05T18:57:45 --delay 59 --endMP 300:28759 --enddatetime 2017-12-05T19:06:00 --enforcementcount 0 &gt;&gt;%USERPROFILE%\Documents\GitHub\eaglep3-reporting\EC\2017-12-05-refined-times.txt</v>
      </c>
      <c r="AI224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{"issue":{"subject":"","project_id":79,"tracker_id":40,"status_id":1,"priority_id":2,"assigned_to_id":338,"start_date":"2017-12-05","description":"","custom_fields":[{"id":1,"name":"Subdivision","value":"Other"},{"id":4,"name":"Milepost","value":"2.8759"},{"id":17,"name":"Train ID","value":"906-05"},{"id":16,"name":"Locomotive ID","value":"4011"},{"id":130,"name":"Impact","value":""},{"id":150,"name":"Time of Event (Mountain Time)","value":"19:06:00"},{"id":151,"name":"Denver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44"/>
        <v>start /low /b %USERPROFILE%\Documents\GitHub\eaglep3\Utilities\DownloadLogsFromS3.py --loco 4011 --day 2017-12-05</v>
      </c>
      <c r="AN224" s="241" t="str">
        <f t="shared" si="45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46"/>
        <v>https://d0f6bd738d7f1b3e5a7ca70fe4ff75f0.us-east-1.aws.found.io/app/kibana#/discover/Steve-Slow-Train-Analysis-(2080s-and-2083s)?_g=(refreshInterval:(display:Off,pause:!f,section:0,value:0),time:(from:'2017-12-05T17:56:05-0700',mode:absolute,to:'2017-12-05T20:06:00-0700'))&amp;_a=(columns:!('Message%20ID',Summary),filters:!(),index:'emp_*',interval:auto,query:(query_string:(analyze_wildcard:!t,query:'%22rtdc.l.rtdc.4011%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25">
      <c r="A225" s="229" t="s">
        <v>904</v>
      </c>
      <c r="B225" s="225">
        <v>4003</v>
      </c>
      <c r="C225" s="227" t="s">
        <v>192</v>
      </c>
      <c r="D225" s="227" t="s">
        <v>1043</v>
      </c>
      <c r="E225" s="226">
        <v>43074.975578703707</v>
      </c>
      <c r="F225" s="226">
        <v>43074.976898148147</v>
      </c>
      <c r="G225" s="225">
        <v>57</v>
      </c>
      <c r="H225" s="227" t="s">
        <v>670</v>
      </c>
      <c r="I225" s="226">
        <v>43074.986377314817</v>
      </c>
      <c r="J225" s="225">
        <v>0</v>
      </c>
      <c r="K225" s="237" t="str">
        <f>IF(ISEVEN(B225),(B225-1)&amp;"/"&amp;B225,B225&amp;"/"&amp;(B225+1))</f>
        <v>4003/4004</v>
      </c>
      <c r="L225" s="245" t="str">
        <f>VLOOKUP(A225,'Trips&amp;Operators'!$C$1:$G$99911,5,FALSE)</f>
        <v>AUSTIN THOMPSON</v>
      </c>
      <c r="M225" s="224">
        <f>I225-F225</f>
        <v>9.4791666706441902E-3</v>
      </c>
      <c r="N225" s="225">
        <f>24*60*SUM($M225:$M225)</f>
        <v>13.650000005727634</v>
      </c>
      <c r="O225" s="225"/>
      <c r="P225" s="225"/>
      <c r="Q225" s="228"/>
      <c r="R225" s="242"/>
      <c r="S225" s="249">
        <f>1/IF(AG225="EC",12,1)*SUM(U225:U225)</f>
        <v>0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-12-05T22:24:50-0700',mode:absolute,to:'2017-12-06T00:40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2</v>
      </c>
      <c r="Y225" s="247">
        <f>RIGHT(D225,LEN(D225)-4)/10000</f>
        <v>5.8616999999999999</v>
      </c>
      <c r="Z225" s="247">
        <f>RIGHT(H225,LEN(H225)-4)/10000</f>
        <v>2.8769999999999998</v>
      </c>
      <c r="AA225" s="247">
        <f>ABS(Z225-Y225)</f>
        <v>2.9847000000000001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908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/stypes="app*4003*20171206*" /stext=" 06:.+((SYSTEM_STATE.+slice.+state.+changed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42"/>
        <v>"%USERPROFILE%\Documents\GitHub\eaglep3\Utilities\RefineRTDCRunTimes.py" --tripid 908-05 --locoid 4003 --swversion DE.1.0.9.0 --startMP 300:58617 --initTime 2017-12-05T23:24:50 --startdatetime 2017-12-05T23:26:44 --delay 57 --endMP 300:28770 --enddatetime 2017-12-05T23:40:23 --enforcementcount 0 &gt;&gt;%USERPROFILE%\Documents\GitHub\eaglep3-reporting\EC\2017-12-05-refined-times.txt</v>
      </c>
      <c r="AI225" s="238" t="str">
        <f t="shared" si="43"/>
        <v>echo {"issue":{"subject":"","project_id":79,"tracker_id":40,"status_id":1,"priority_id":2,"assigned_to_id":338,"start_date":"2017-12-05","description":"","custom_fields":[{"id":1,"name":"Subdivision","value":"Other"},{"id":4,"name":"Milepost","value":"2.877"},{"id":17,"name":"Train ID","value":"908-05"},{"id":16,"name":"Locomotive ID","value":"4003"},{"id":130,"name":"Impact","value":""},{"id":150,"name":"Time of Event (Mountain Time)","value":"23:40:23"},{"id":151,"name":"Denver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231"/>
      <c r="AL225" s="231"/>
      <c r="AM225" s="240" t="str">
        <f t="shared" si="44"/>
        <v>start /low /b %USERPROFILE%\Documents\GitHub\eaglep3\Utilities\DownloadLogsFromS3.py --loco 4003 --day 2017-12-05</v>
      </c>
      <c r="AN225" s="241" t="str">
        <f t="shared" si="45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06:40:23"},{"id":29,"name":"Sharepoint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46"/>
        <v>https://d0f6bd738d7f1b3e5a7ca70fe4ff75f0.us-east-1.aws.found.io/app/kibana#/discover/Steve-Slow-Train-Analysis-(2080s-and-2083s)?_g=(refreshInterval:(display:Off,pause:!f,section:0,value:0),time:(from:'2017-12-05T22:24:50-0700',mode:absolute,to:'2017-12-06T00:40:23-0700'))&amp;_a=(columns:!('Message%20ID',Summary),filters:!(),index:'emp_*',interval:auto,query:(query_string:(analyze_wildcard:!t,query:'%22rtdc.l.rtdc.4003%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9" t="s">
        <v>705</v>
      </c>
      <c r="B226" s="225">
        <v>4015</v>
      </c>
      <c r="C226" s="227" t="s">
        <v>192</v>
      </c>
      <c r="D226" s="227" t="s">
        <v>1005</v>
      </c>
      <c r="E226" s="226">
        <v>43074.139791666668</v>
      </c>
      <c r="F226" s="226">
        <v>43074.141099537039</v>
      </c>
      <c r="G226" s="225">
        <v>59</v>
      </c>
      <c r="H226" s="227" t="s">
        <v>1006</v>
      </c>
      <c r="I226" s="226">
        <v>43074.14203703704</v>
      </c>
      <c r="J226" s="225">
        <v>0</v>
      </c>
      <c r="K226" s="237" t="str">
        <f>IF(ISEVEN(B226),(B226-1)&amp;"/"&amp;B226,B226&amp;"/"&amp;(B226+1))</f>
        <v>4015/4016</v>
      </c>
      <c r="L226" s="245" t="str">
        <f>VLOOKUP(A226,'Trips&amp;Operators'!$C$1:$G$99911,5,FALSE)</f>
        <v>SPECTOR MICHAEL</v>
      </c>
      <c r="M226" s="224">
        <f>I226-F226</f>
        <v>9.3750000087311491E-4</v>
      </c>
      <c r="N226" s="225">
        <f>24*60*SUM($M226:$M226)</f>
        <v>1.3500000012572855</v>
      </c>
      <c r="O226" s="225"/>
      <c r="P226" s="225"/>
      <c r="Q226" s="228"/>
      <c r="R226" s="242"/>
      <c r="S226" s="249">
        <f>1/IF(AG226="EC",12,1)*SUM(U226:U226)</f>
        <v>0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-12-05T02:21:18-0700',mode:absolute,to:'2017-12-05T04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-858</v>
      </c>
      <c r="Y226" s="247">
        <f>RIGHT(D226,LEN(D226)-4)/10000</f>
        <v>0.32490000000000002</v>
      </c>
      <c r="Z226" s="247">
        <f>RIGHT(H226,LEN(H226)-4)/10000</f>
        <v>0.1182</v>
      </c>
      <c r="AA226" s="247">
        <f>ABS(Z226-Y226)</f>
        <v>0.20670000000000002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50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s3://rtdc.mdm.uploadarchive.raw/RTDC4015/ "%USERPROFILE%\AppData\Local\Temp\OnboardLogs"\RTDC4015\2017-12-05 --exclude "*" --recursive --include "*20171205*" &amp; "%USERPROFILE%\Documents\GitHub\mrs-test-scripts\Headless Mode &amp; Sideloading\WalkAndUnGZ.bat" "%USERPROFILE%\AppData\Local\Temp\OnboardLogs"\RTDC4015\2017-12-05 &amp; 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/stypes="app*4015*20171205*" /stext=" 10:.+((SYSTEM_STATE.+slice.+state.+changed )|(ment ac)|(multiple cpu faults)|(system.+state.+changed )|(\[timeout)|(PRM\|1\|D)|(kpr)|(kdp)|(train st.+moving)|(\|lc)|(penalty))"</v>
      </c>
      <c r="AG226" s="244" t="str">
        <f>DetSubdiv(A226)</f>
        <v>Shuttle/Test</v>
      </c>
      <c r="AH226" s="236" t="str">
        <f t="shared" si="42"/>
        <v>"%USERPROFILE%\Documents\GitHub\eaglep3\Utilities\RefineRTDCRunTimes.py" --tripid 50-05 --locoid 4015 --swversion DE.1.0.9.0 --startMP 204:3249 --initTime 2017-12-05T03:21:18 --startdatetime 2017-12-05T03:23:11 --delay 59 --endMP 204:1182 --enddatetime 2017-12-05T03:24:32 --enforcementcount 0 &gt;&gt;%USERPROFILE%\Documents\GitHub\eaglep3-reporting\EC\2017-12-05-refined-times.txt</v>
      </c>
      <c r="AI226" s="238" t="str">
        <f t="shared" si="43"/>
        <v>echo {"issue":{"subject":"","project_id":79,"tracker_id":40,"status_id":1,"priority_id":2,"assigned_to_id":338,"start_date":"2017-12-05","description":"","custom_fields":[{"id":1,"name":"Subdivision","value":"Shuttle/Test"},{"id":4,"name":"Milepost","value":"0.1182"},{"id":17,"name":"Train ID","value":"50-05"},{"id":16,"name":"Locomotive ID","value":"4015"},{"id":130,"name":"Impact","value":""},{"id":150,"name":"Time of Event (Mountain Time)","value":"03:24:32"},{"id":151,"name":"Denver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44"/>
        <v>start /low /b %USERPROFILE%\Documents\GitHub\eaglep3\Utilities\DownloadLogsFromS3.py --loco 4015 --day 2017-12-05</v>
      </c>
      <c r="AN226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46"/>
        <v>https://d0f6bd738d7f1b3e5a7ca70fe4ff75f0.us-east-1.aws.found.io/app/kibana#/discover/Steve-Slow-Train-Analysis-(2080s-and-2083s)?_g=(refreshInterval:(display:Off,pause:!f,section:0,value:0),time:(from:'2017-12-05T02:21:18-0700',mode:absolute,to:'2017-12-05T04:24:32-0700'))&amp;_a=(columns:!('Message%20ID',Summary),filters:!(),index:'emp_*',interval:auto,query:(query_string:(analyze_wildcard:!t,query:'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9" t="s">
        <v>703</v>
      </c>
      <c r="B227" s="225">
        <v>4016</v>
      </c>
      <c r="C227" s="227" t="s">
        <v>192</v>
      </c>
      <c r="D227" s="227" t="s">
        <v>1007</v>
      </c>
      <c r="E227" s="226">
        <v>43074.124131944445</v>
      </c>
      <c r="F227" s="226">
        <v>43074.137569444443</v>
      </c>
      <c r="G227" s="225">
        <v>72</v>
      </c>
      <c r="H227" s="227" t="s">
        <v>1008</v>
      </c>
      <c r="I227" s="226">
        <v>43074.138668981483</v>
      </c>
      <c r="J227" s="225">
        <v>0</v>
      </c>
      <c r="K227" s="237" t="str">
        <f>IF(ISEVEN(B227),(B227-1)&amp;"/"&amp;B227,B227&amp;"/"&amp;(B227+1))</f>
        <v>4015/4016</v>
      </c>
      <c r="L227" s="245" t="str">
        <f>VLOOKUP(A227,'Trips&amp;Operators'!$C$1:$G$99911,5,FALSE)</f>
        <v>SPECTOR MICHAEL</v>
      </c>
      <c r="M227" s="224">
        <f>I227-F227</f>
        <v>1.0995370394084603E-3</v>
      </c>
      <c r="N227" s="225">
        <f>24*60*SUM($M227:$M227)</f>
        <v>1.5833333367481828</v>
      </c>
      <c r="O227" s="225"/>
      <c r="P227" s="225"/>
      <c r="Q227" s="228"/>
      <c r="R227" s="242"/>
      <c r="S227" s="249">
        <f>1/IF(AG227="EC",12,1)*SUM(U227:U227)</f>
        <v>0</v>
      </c>
      <c r="T227" s="242" t="str">
        <f>IF(ISEVEN(LEFT(AD227,4)),"Southbound","NorthBound")</f>
        <v>NorthBound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-12-05T01:58:45-0700',mode:absolute,to:'2017-12-05T04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1</v>
      </c>
      <c r="Y227" s="247">
        <f>RIGHT(D227,LEN(D227)-4)/10000</f>
        <v>4.2000000000000003E-2</v>
      </c>
      <c r="Z227" s="247">
        <f>RIGHT(H227,LEN(H227)-4)/10000</f>
        <v>0.35799999999999998</v>
      </c>
      <c r="AA227" s="247">
        <f>ABS(Z227-Y227)</f>
        <v>0.316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51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s3://rtdc.mdm.uploadarchive.raw/RTDC4016/ "%USERPROFILE%\AppData\Local\Temp\OnboardLogs"\RTDC4016\2017-12-05 --exclude "*" --recursive --include "*20171205*" &amp; "%USERPROFILE%\Documents\GitHub\mrs-test-scripts\Headless Mode &amp; Sideloading\WalkAndUnGZ.bat" "%USERPROFILE%\AppData\Local\Temp\OnboardLogs"\RTDC4016\2017-12-05 &amp; 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/stypes="app*4016*20171205*" /stext=" 10:.+((SYSTEM_STATE.+slice.+state.+changed )|(ment ac)|(multiple cpu faults)|(system.+state.+changed )|(\[timeout)|(PRM\|1\|D)|(kpr)|(kdp)|(train st.+moving)|(\|lc)|(penalty))"</v>
      </c>
      <c r="AG227" s="244" t="str">
        <f>DetSubdiv(A227)</f>
        <v>Shuttle/Test</v>
      </c>
      <c r="AH227" s="236" t="str">
        <f t="shared" si="42"/>
        <v>"%USERPROFILE%\Documents\GitHub\eaglep3\Utilities\RefineRTDCRunTimes.py" --tripid 51-05 --locoid 4016 --swversion DE.1.0.9.0 --startMP 204:420 --initTime 2017-12-05T02:58:45 --startdatetime 2017-12-05T03:18:06 --delay 72 --endMP 204:3580 --enddatetime 2017-12-05T03:19:41 --enforcementcount 0 &gt;&gt;%USERPROFILE%\Documents\GitHub\eaglep3-reporting\EC\2017-12-05-refined-times.txt</v>
      </c>
      <c r="AI227" s="238" t="str">
        <f t="shared" si="43"/>
        <v>echo {"issue":{"subject":"","project_id":79,"tracker_id":40,"status_id":1,"priority_id":2,"assigned_to_id":338,"start_date":"2017-12-05","description":"","custom_fields":[{"id":1,"name":"Subdivision","value":"Shuttle/Test"},{"id":4,"name":"Milepost","value":"0.358"},{"id":17,"name":"Train ID","value":"51-05"},{"id":16,"name":"Locomotive ID","value":"4016"},{"id":130,"name":"Impact","value":""},{"id":150,"name":"Time of Event (Mountain Time)","value":"03:19:41"},{"id":151,"name":"Denver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44"/>
        <v>start /low /b %USERPROFILE%\Documents\GitHub\eaglep3\Utilities\DownloadLogsFromS3.py --loco 4016 --day 2017-12-05</v>
      </c>
      <c r="AN227" s="241" t="str">
        <f t="shared" si="45"/>
        <v>echo {"issue":{"subject":"","project_id":30,"tracker_id":4,"status_id":1,"priority_id":1,"assigned_to_id":10,"start_date":"2017-12-05","description":"","custom_fields":[{"id":30,"name":"Category","value":"Issue"},{"id":3,"name":"Functional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UTC","value":"2017-12-05 10:19:41"},{"id":29,"name":"Sharepoint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46"/>
        <v>https://d0f6bd738d7f1b3e5a7ca70fe4ff75f0.us-east-1.aws.found.io/app/kibana#/discover/Steve-Slow-Train-Analysis-(2080s-and-2083s)?_g=(refreshInterval:(display:Off,pause:!f,section:0,value:0),time:(from:'2017-12-05T01:58:45-0700',mode:absolute,to:'2017-12-05T04:19:41-0700'))&amp;_a=(columns:!('Message%20ID',Summary),filters:!(),index:'emp_*',interval:auto,query:(query_string:(analyze_wildcard:!t,query:'%22rtdc.l.rtdc.4016%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703</v>
      </c>
      <c r="B228" s="225">
        <v>4019</v>
      </c>
      <c r="C228" s="227" t="s">
        <v>192</v>
      </c>
      <c r="D228" s="227" t="s">
        <v>1009</v>
      </c>
      <c r="E228" s="226">
        <v>43074.736909722225</v>
      </c>
      <c r="F228" s="226">
        <v>43074.741122685184</v>
      </c>
      <c r="G228" s="225">
        <v>202</v>
      </c>
      <c r="H228" s="227" t="s">
        <v>1010</v>
      </c>
      <c r="I228" s="226">
        <v>43074.745682870373</v>
      </c>
      <c r="J228" s="225">
        <v>0</v>
      </c>
      <c r="K228" s="237" t="str">
        <f>IF(ISEVEN(B228),(B228-1)&amp;"/"&amp;B228,B228&amp;"/"&amp;(B228+1))</f>
        <v>4019/4020</v>
      </c>
      <c r="L228" s="245" t="str">
        <f>VLOOKUP(A228,'Trips&amp;Operators'!$C$1:$G$99911,5,FALSE)</f>
        <v>SPECTOR MICHAEL</v>
      </c>
      <c r="M228" s="224">
        <f>I228-F228</f>
        <v>4.5601851888932288E-3</v>
      </c>
      <c r="N228" s="225">
        <f>24*60*SUM($M228:$M228)</f>
        <v>6.5666666720062494</v>
      </c>
      <c r="O228" s="225"/>
      <c r="P228" s="225"/>
      <c r="Q228" s="228"/>
      <c r="R228" s="242"/>
      <c r="S228" s="249">
        <f>1/IF(AG228="EC",12,1)*SUM(U228:U228)</f>
        <v>0</v>
      </c>
      <c r="T228" s="242" t="str">
        <f>IF(ISEVEN(LEFT(AD228,4)),"Southbound","NorthBound")</f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-12-05T16:41:09-0700',mode:absolute,to:'2017-12-05T18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0</v>
      </c>
      <c r="Y228" s="247">
        <f>RIGHT(D228,LEN(D228)-4)/10000</f>
        <v>2.2200000000000002</v>
      </c>
      <c r="Z228" s="247">
        <f>RIGHT(H228,LEN(H228)-4)/10000</f>
        <v>0.106</v>
      </c>
      <c r="AA228" s="247">
        <f>ABS(Z228-Y228)</f>
        <v>2.1140000000000003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51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s3://rtdc.mdm.uploadarchive.raw/RTDC4019/ "%USERPROFILE%\AppData\Local\Temp\OnboardLogs"\RTDC4019\2017-12-05 --exclude "*" --recursive --include "*20171205*" &amp; "%USERPROFILE%\Documents\GitHub\mrs-test-scripts\Headless Mode &amp; Sideloading\WalkAndUnGZ.bat" "%USERPROFILE%\AppData\Local\Temp\OnboardLogs"\RTDC4019\2017-12-05 &amp; aws s3 cp s3://rtdc.mdm.uploadarchive.raw/RTDC4019/ "%USERPROFILE%\AppData\Local\Temp\OnboardLogs"\RTDC4019\2017-12-06 --exclude "*" --recursive --include "*20171206*" &amp; "%USERPROFILE%\Documents\GitHub\mrs-test-scripts\Headless Mode &amp; Sideloading\WalkAndUnGZ.bat" "%USERPROFILE%\AppData\Local\Temp\OnboardLogs"\RTDC4019\2017-12-06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/stypes="app*4019*20171206*" /stext=" 00:.+((SYSTEM_STATE.+slice.+state.+changed )|(ment ac)|(multiple cpu faults)|(system.+state.+changed )|(\[timeout)|(PRM\|1\|D)|(kpr)|(kdp)|(train st.+moving)|(\|lc)|(penalty))"</v>
      </c>
      <c r="AG228" s="244" t="str">
        <f>DetSubdiv(A228)</f>
        <v>Shuttle/Test</v>
      </c>
      <c r="AH228" s="236" t="str">
        <f t="shared" si="42"/>
        <v>"%USERPROFILE%\Documents\GitHub\eaglep3\Utilities\RefineRTDCRunTimes.py" --tripid 51-05 --locoid 4019 --swversion DE.1.0.9.0 --startMP 300:22200 --initTime 2017-12-05T17:41:09 --startdatetime 2017-12-05T17:47:13 --delay 202 --endMP 204:1060 --enddatetime 2017-12-05T17:53:47 --enforcementcount 0 &gt;&gt;%USERPROFILE%\Documents\GitHub\eaglep3-reporting\EC\2017-12-05-refined-times.txt</v>
      </c>
      <c r="AI228" s="238" t="str">
        <f t="shared" si="43"/>
        <v>echo {"issue":{"subject":"","project_id":79,"tracker_id":40,"status_id":1,"priority_id":2,"assigned_to_id":338,"start_date":"2017-12-05","description":"","custom_fields":[{"id":1,"name":"Subdivision","value":"Shuttle/Test"},{"id":4,"name":"Milepost","value":"0.106"},{"id":17,"name":"Train ID","value":"51-05"},{"id":16,"name":"Locomotive ID","value":"4019"},{"id":130,"name":"Impact","value":""},{"id":150,"name":"Time of Event (Mountain Time)","value":"17:53:47"},{"id":151,"name":"Denver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44"/>
        <v>start /low /b %USERPROFILE%\Documents\GitHub\eaglep3\Utilities\DownloadLogsFromS3.py --loco 4019 --day 2017-12-05</v>
      </c>
      <c r="AN228" s="241" t="str">
        <f t="shared" si="45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46"/>
        <v>https://d0f6bd738d7f1b3e5a7ca70fe4ff75f0.us-east-1.aws.found.io/app/kibana#/discover/Steve-Slow-Train-Analysis-(2080s-and-2083s)?_g=(refreshInterval:(display:Off,pause:!f,section:0,value:0),time:(from:'2017-12-05T16:41:09-0700',mode:absolute,to:'2017-12-05T18:53:47-0700'))&amp;_a=(columns:!('Message%20ID',Summary),filters:!(),index:'emp_*',interval:auto,query:(query_string:(analyze_wildcard:!t,query:'%22rtdc.l.rtdc.4019%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25">
      <c r="A229" s="229" t="s">
        <v>844</v>
      </c>
      <c r="B229" s="225">
        <v>4016</v>
      </c>
      <c r="C229" s="227" t="s">
        <v>192</v>
      </c>
      <c r="D229" s="227" t="s">
        <v>1009</v>
      </c>
      <c r="E229" s="226">
        <v>43074.736909722225</v>
      </c>
      <c r="F229" s="226">
        <v>43074.741122685184</v>
      </c>
      <c r="G229" s="225">
        <v>202</v>
      </c>
      <c r="H229" s="227" t="s">
        <v>1010</v>
      </c>
      <c r="I229" s="226">
        <v>43074.745682870373</v>
      </c>
      <c r="J229" s="225">
        <v>0</v>
      </c>
      <c r="K229" s="237" t="str">
        <f>IF(ISEVEN(B229),(B229-1)&amp;"/"&amp;B229,B229&amp;"/"&amp;(B229+1))</f>
        <v>4015/4016</v>
      </c>
      <c r="L229" s="245" t="str">
        <f>VLOOKUP(A229,'Trips&amp;Operators'!$C$1:$G$99911,5,FALSE)</f>
        <v>DE LA ROSA ALEX</v>
      </c>
      <c r="M229" s="224">
        <f>I229-F229</f>
        <v>4.5601851888932288E-3</v>
      </c>
      <c r="N229" s="225"/>
      <c r="O229" s="225"/>
      <c r="P229" s="225">
        <f>24*60*SUM($M229:$M229)</f>
        <v>6.5666666720062494</v>
      </c>
      <c r="Q229" s="228"/>
      <c r="R229" s="242" t="s">
        <v>1073</v>
      </c>
      <c r="S229" s="249">
        <f>1/IF(AG229="EC",12,1)*SUM(U229:U229)</f>
        <v>0</v>
      </c>
      <c r="T229" s="242" t="str">
        <f>IF(ISEVEN(LEFT(AD229,4)),"Southbound","NorthBound")</f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-12-05T16:41:09-0700',mode:absolute,to:'2017-12-05T18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24</v>
      </c>
      <c r="Y229" s="247">
        <f>RIGHT(D229,LEN(D229)-4)/10000</f>
        <v>2.2200000000000002</v>
      </c>
      <c r="Z229" s="247">
        <f>RIGHT(H229,LEN(H229)-4)/10000</f>
        <v>0.106</v>
      </c>
      <c r="AA229" s="247">
        <f>ABS(Z229-Y229)</f>
        <v>2.1140000000000003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75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s3://rtdc.mdm.uploadarchive.raw/RTDC4016/ "%USERPROFILE%\AppData\Local\Temp\OnboardLogs"\RTDC4016\2017-12-05 --exclude "*" --recursive --include "*20171205*" &amp; "%USERPROFILE%\Documents\GitHub\mrs-test-scripts\Headless Mode &amp; Sideloading\WalkAndUnGZ.bat" "%USERPROFILE%\AppData\Local\Temp\OnboardLogs"\RTDC4016\2017-12-05 &amp; 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/stypes="app*4016*20171206*" /stext=" 00:.+((SYSTEM_STATE.+slice.+state.+changed )|(ment ac)|(multiple cpu faults)|(system.+state.+changed )|(\[timeout)|(PRM\|1\|D)|(kpr)|(kdp)|(train st.+moving)|(\|lc)|(penalty))"</v>
      </c>
      <c r="AG229" s="244" t="str">
        <f>DetSubdiv(A229)</f>
        <v>Shuttle/Test</v>
      </c>
      <c r="AH229" s="236" t="str">
        <f t="shared" ref="AH229" si="47">refinertdcruntimes&amp;" --tripid "&amp;A229&amp;" --locoid "&amp;B229&amp;" --swversion "&amp;C229&amp;" --startMP "&amp;D229&amp;" --initTime "&amp;TEXT(E229,"yyyy-mm-ddTHH:MM:SS")&amp;" --startdatetime "&amp;TEXT(F229,"yyyy-mm-ddTHH:MM:SS")&amp;" --delay "&amp;G229&amp;" --endMP "&amp;H229&amp;" --enddatetime "&amp;TEXT(I229,"yyyy-mm-ddTHH:MM:SS")&amp;" --enforcementcount "&amp;J229&amp;IF(outputrefinedruntimes," &gt;&gt;"&amp;RefinedRTDCRunTimesOutputFile,"")</f>
        <v>"%USERPROFILE%\Documents\GitHub\eaglep3\Utilities\RefineRTDCRunTimes.py" --tripid 75-05 --locoid 4016 --swversion DE.1.0.9.0 --startMP 300:22200 --initTime 2017-12-05T17:41:09 --startdatetime 2017-12-05T17:47:13 --delay 202 --endMP 204:1060 --enddatetime 2017-12-05T17:53:47 --enforcementcount 0 &gt;&gt;%USERPROFILE%\Documents\GitHub\eaglep3-reporting\EC\2017-12-05-refined-times.txt</v>
      </c>
      <c r="AI229" s="238" t="str">
        <f t="shared" ref="AI229" si="48">"echo {""issue"":{""subject"":"""&amp;R229&amp;""",""project_id"":79,""tracker_id"":40,""status_id"":"&amp;redmine_status&amp;",""priority_id"":"&amp;redmine_priority&amp;",""assigned_to_id"":"&amp;redmine_assignee&amp;",""start_date"":"""&amp;TEXT(I229,"YYYY-mm-dd")&amp;""",""description"":"""&amp;AJ229&amp;""",""custom_fields"":[{""id"":1,""name"":""Subdivision"",""value"":"""&amp;AG229&amp;"""},{""id"":4,""name"":""Milepost"",""value"":"""&amp;Z229&amp;"""},{""id"":17,""name"":""Train ID"",""value"":"""&amp;A229&amp;"""},{""id"":16,""name"":""Locomotive ID"",""value"":"""&amp;B229&amp;"""},{""id"":130,""name"":""Impact"",""value"":"""&amp;AK229&amp;"""},{""id"":150,""name"":""Time of Event (Mountain Time)"",""value"":"""&amp;TEXT(I229,"hh:mm:ss")&amp;"""},{""id"":151,""name"":""Denver Issue ID"",""value"":"""&amp;"""},{""id"":178,""name"":""Operational Impact"",""value"":"""&amp;redmine_op_impact&amp;"""},{""id"":179,""name"":""Denver Segment Assigned"",""value"":"""&amp;AL229&amp;"""}]}}"&amp;" | curl --insecure -X POST -H ""Content-Type: application/json"" -H ""X-Redmine-API-Key: "&amp;redm_api_key&amp;""" "&amp;redm_url&amp;" --data @-"</f>
        <v>echo {"issue":{"subject":"Poor GPS @ DUS","project_id":79,"tracker_id":40,"status_id":1,"priority_id":2,"assigned_to_id":338,"start_date":"2017-12-05","description":"","custom_fields":[{"id":1,"name":"Subdivision","value":"Shuttle/Test"},{"id":4,"name":"Milepost","value":"0.106"},{"id":17,"name":"Train ID","value":"75-05"},{"id":16,"name":"Locomotive ID","value":"4016"},{"id":130,"name":"Impact","value":""},{"id":150,"name":"Time of Event (Mountain Time)","value":"17:53:47"},{"id":151,"name":"Denver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1"/>
      <c r="AL229" s="231"/>
      <c r="AM229" s="240" t="str">
        <f t="shared" ref="AM229" si="49">"start /low /b "&amp;dls3logs&amp;" --loco "&amp;B229&amp;" --day "&amp;TEXT(F229,"YYYY-MM-DD")</f>
        <v>start /low /b %USERPROFILE%\Documents\GitHub\eaglep3\Utilities\DownloadLogsFromS3.py --loco 4016 --day 2017-12-05</v>
      </c>
      <c r="AN229" s="241" t="str">
        <f t="shared" ref="AN229" si="50">"echo {""issue"":{""subject"":"""&amp;R229&amp;""",""project_id"":30,""tracker_id"":4,""status_id"":"&amp;redmine_status_wcr&amp;",""priority_id"":"&amp;redmine_priority_wcr&amp;",""assigned_to_id"":"&amp;redmine_assignee_wcr&amp;",""start_date"":"""&amp;TEXT(I229-utc_offset/24,"YYYY-mm-dd")&amp;""",""description"":"""&amp;AJ229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@ DUS","project_id":30,"tracker_id":4,"status_id":1,"priority_id":1,"assigned_to_id":10,"start_date":"2017-12-06","description":"","custom_fields":[{"id":30,"name":"Category","value":"Issue"},{"id":3,"name":"Functional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ref="AO229" si="51"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Message%20ID',Summary),filters:!(),index:'emp_*',interval:auto,query:"&amp;"(query_string:(analyze_wildcard:!t,query:'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-12-05T16:41:09-0700',mode:absolute,to:'2017-12-05T18:53:47-0700'))&amp;_a=(columns:!('Message%20ID',Summary),filters:!(),index:'emp_*',interval:auto,query:(query_string:(analyze_wildcard:!t,query:'%22rtdc.l.rtdc.4016%22')),sort:!(Time.ISO8601,asc))</v>
      </c>
    </row>
    <row r="230" spans="1:91" s="20" customFormat="1" x14ac:dyDescent="0.25">
      <c r="A230" s="229" t="s">
        <v>851</v>
      </c>
      <c r="B230" s="225">
        <v>4024</v>
      </c>
      <c r="C230" s="227" t="s">
        <v>192</v>
      </c>
      <c r="D230" s="227" t="s">
        <v>1011</v>
      </c>
      <c r="E230" s="226">
        <v>43074.706956018519</v>
      </c>
      <c r="F230" s="226">
        <v>43074.725613425922</v>
      </c>
      <c r="G230" s="225">
        <v>98</v>
      </c>
      <c r="H230" s="227" t="s">
        <v>448</v>
      </c>
      <c r="I230" s="226">
        <v>43074.731747685182</v>
      </c>
      <c r="J230" s="225">
        <v>0</v>
      </c>
      <c r="K230" s="237" t="str">
        <f>IF(ISEVEN(B230),(B230-1)&amp;"/"&amp;B230,B230&amp;"/"&amp;(B230+1))</f>
        <v>4023/4024</v>
      </c>
      <c r="L230" s="245" t="str">
        <f>VLOOKUP(A230,'Trips&amp;Operators'!$C$1:$G$99911,5,FALSE)</f>
        <v>NEWELL JAMES</v>
      </c>
      <c r="M230" s="224">
        <f>I230-F230</f>
        <v>6.1342592598521151E-3</v>
      </c>
      <c r="N230" s="225"/>
      <c r="O230" s="225"/>
      <c r="P230" s="225">
        <f>24*60*SUM($M230:$M230)</f>
        <v>8.8333333341870457</v>
      </c>
      <c r="Q230" s="228"/>
      <c r="R230" s="242" t="s">
        <v>672</v>
      </c>
      <c r="S230" s="249">
        <f>1/IF(AG230="EC",12,1)*SUM(U230:U230)</f>
        <v>1</v>
      </c>
      <c r="T230" s="242" t="str">
        <f>IF(ISEVEN(LEFT(AD230,4)),"Southbound","NorthBound")</f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-12-05T15:58:01-0700',mode:absolute,to:'2017-12-05T18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0" s="247" t="str">
        <f>IF(AA230&lt;VLOOKUP(AG230,Variables!$AC$3:$AD$8,2,FALSE),"Y","N")</f>
        <v>Y</v>
      </c>
      <c r="X230" s="247">
        <f>VALUE(LEFT(AD230,4))-VALUE(LEFT(AD228,4))</f>
        <v>26</v>
      </c>
      <c r="Y230" s="247">
        <f>RIGHT(D230,LEN(D230)-4)/10000</f>
        <v>0.1147</v>
      </c>
      <c r="Z230" s="247">
        <f>RIGHT(H230,LEN(H230)-4)/10000</f>
        <v>2.3306</v>
      </c>
      <c r="AA230" s="247">
        <f>ABS(Z230-Y230)</f>
        <v>2.2159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77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s3://rtdc.mdm.uploadarchive.raw/RTDC4024/ "%USERPROFILE%\AppData\Local\Temp\OnboardLogs"\RTDC4024\2017-12-05 --exclude "*" --recursive --include "*20171205*" &amp; "%USERPROFILE%\Documents\GitHub\mrs-test-scripts\Headless Mode &amp; Sideloading\WalkAndUnGZ.bat" "%USERPROFILE%\AppData\Local\Temp\OnboardLogs"\RTDC4024\2017-12-05 &amp; aws s3 cp s3://rtdc.mdm.uploadarchive.raw/RTDC4024/ "%USERPROFILE%\AppData\Local\Temp\OnboardLogs"\RTDC4024\2017-12-06 --exclude "*" --recursive --include "*20171206*" &amp; "%USERPROFILE%\Documents\GitHub\mrs-test-scripts\Headless Mode &amp; Sideloading\WalkAndUnGZ.bat" "%USERPROFILE%\AppData\Local\Temp\OnboardLogs"\RTDC4024\2017-12-06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/stypes="app*4024*20171206*" /stext=" 00:.+((SYSTEM_STATE.+slice.+state.+changed )|(ment ac)|(multiple cpu faults)|(system.+state.+changed )|(\[timeout)|(PRM\|1\|D)|(kpr)|(kdp)|(train st.+moving)|(\|lc)|(penalty))"</v>
      </c>
      <c r="AG230" s="244" t="str">
        <f>DetSubdiv(A230)</f>
        <v>Shuttle/Test</v>
      </c>
      <c r="AH230" s="236" t="str">
        <f t="shared" si="42"/>
        <v>"%USERPROFILE%\Documents\GitHub\eaglep3\Utilities\RefineRTDCRunTimes.py" --tripid 77-05 --locoid 4024 --swversion DE.1.0.9.0 --startMP 204:1147 --initTime 2017-12-05T16:58:01 --startdatetime 2017-12-05T17:24:53 --delay 98 --endMP 300:23306 --enddatetime 2017-12-05T17:33:43 --enforcementcount 0 &gt;&gt;%USERPROFILE%\Documents\GitHub\eaglep3-reporting\EC\2017-12-05-refined-times.txt</v>
      </c>
      <c r="AI230" s="238" t="str">
        <f t="shared" si="43"/>
        <v>echo {"issue":{"subject":"Main 3 departure","project_id":79,"tracker_id":40,"status_id":1,"priority_id":2,"assigned_to_id":338,"start_date":"2017-12-05","description":"","custom_fields":[{"id":1,"name":"Subdivision","value":"Shuttle/Test"},{"id":4,"name":"Milepost","value":"2.3306"},{"id":17,"name":"Train ID","value":"77-05"},{"id":16,"name":"Locomotive ID","value":"4024"},{"id":130,"name":"Impact","value":""},{"id":150,"name":"Time of Event (Mountain Time)","value":"17:33:43"},{"id":151,"name":"Denver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44"/>
        <v>start /low /b %USERPROFILE%\Documents\GitHub\eaglep3\Utilities\DownloadLogsFromS3.py --loco 4024 --day 2017-12-05</v>
      </c>
      <c r="AN230" s="241" t="str">
        <f t="shared" si="45"/>
        <v>echo {"issue":{"subject":"Main 3 departure","project_id":30,"tracker_id":4,"status_id":1,"priority_id":1,"assigned_to_id":10,"start_date":"2017-12-06","description":"","custom_fields":[{"id":30,"name":"Category","value":"Issue"},{"id":3,"name":"Functional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00:33:43"},{"id":29,"name":"Sharepoint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46"/>
        <v>https://d0f6bd738d7f1b3e5a7ca70fe4ff75f0.us-east-1.aws.found.io/app/kibana#/discover/Steve-Slow-Train-Analysis-(2080s-and-2083s)?_g=(refreshInterval:(display:Off,pause:!f,section:0,value:0),time:(from:'2017-12-05T15:58:01-0700',mode:absolute,to:'2017-12-05T18:33:43-0700'))&amp;_a=(columns:!('Message%20ID',Summary),filters:!(),index:'emp_*',interval:auto,query:(query_string:(analyze_wildcard:!t,query:'%22rtdc.l.rtdc.4024%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3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s="20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4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4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4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4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4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4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4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4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4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4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</sheetData>
  <autoFilter ref="A12:AG524">
    <sortState ref="A13:AG524">
      <sortCondition ref="AG13:AG230"/>
      <sortCondition ref="AD13:AD230"/>
    </sortState>
  </autoFilter>
  <sortState ref="A13:AN429">
    <sortCondition ref="AG13:AG429"/>
    <sortCondition ref="AD13:AD429"/>
  </sortState>
  <mergeCells count="1">
    <mergeCell ref="A11:P11"/>
  </mergeCells>
  <conditionalFormatting sqref="W11:W12 W530:X1048576 W13:X230">
    <cfRule type="cellIs" dxfId="6" priority="465" operator="equal">
      <formula>"Y"</formula>
    </cfRule>
  </conditionalFormatting>
  <conditionalFormatting sqref="X530:X1048576 X13:X230">
    <cfRule type="cellIs" dxfId="5" priority="448" operator="greaterThan">
      <formula>1</formula>
    </cfRule>
  </conditionalFormatting>
  <conditionalFormatting sqref="X530:X1048576 X12:X230">
    <cfRule type="cellIs" dxfId="4" priority="445" operator="equal">
      <formula>0</formula>
    </cfRule>
  </conditionalFormatting>
  <conditionalFormatting sqref="A13:S230">
    <cfRule type="expression" dxfId="3" priority="439" stopIfTrue="1">
      <formula>$P13&gt;0</formula>
    </cfRule>
    <cfRule type="expression" dxfId="2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2"/>
  <sheetViews>
    <sheetView topLeftCell="A2" zoomScaleNormal="100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6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6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19">
        <f>COUNTIF($O$7:$O$144,"=Y")</f>
        <v>7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0">
        <f>COUNTA($O$7:$O$144)-O2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4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- 2017-12-05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8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3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79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43074.796006944445</v>
      </c>
      <c r="B7" s="30" t="s">
        <v>425</v>
      </c>
      <c r="C7" s="30" t="s">
        <v>693</v>
      </c>
      <c r="D7" s="30" t="s">
        <v>49</v>
      </c>
      <c r="E7" s="30" t="s">
        <v>183</v>
      </c>
      <c r="F7" s="42">
        <v>160</v>
      </c>
      <c r="G7" s="42">
        <v>222</v>
      </c>
      <c r="H7" s="42">
        <v>26624</v>
      </c>
      <c r="I7" s="42">
        <v>27105</v>
      </c>
      <c r="J7" s="30" t="s">
        <v>184</v>
      </c>
      <c r="K7" s="42">
        <v>27053</v>
      </c>
      <c r="L7" s="131" t="s">
        <v>50</v>
      </c>
      <c r="M7" s="132">
        <f>CONVERT((I7-K7)/10000,"mi","ft")*IF(L7="Increasing Mileposts (1)",-1,1)</f>
        <v>-27.456</v>
      </c>
      <c r="N7" s="133" t="str">
        <f>VLOOKUP(C7,'Trips&amp;Operators'!$C$1:$G$99911,5,FALSE)</f>
        <v>RESPASS AARON</v>
      </c>
      <c r="O7" s="174" t="s">
        <v>178</v>
      </c>
      <c r="P7" s="239" t="s">
        <v>699</v>
      </c>
      <c r="Q7" s="30"/>
      <c r="R7" s="81" t="str">
        <f>VLOOKUP(C7,'Train Runs'!$A$13:$AE$10183,31,0)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S7" s="84" t="str">
        <f>VLOOKUP(C7,'Train Runs'!$A$13:$AE$10183,22,0)</f>
        <v>https://d0f6bd738d7f1b3e5a7ca70fe4ff75f0.us-east-1.aws.found.io/app/kibana#/discover/Steve-Slow-Train-Analysis-(2080s-and-2083s)?_g=(refreshInterval:(display:Off,pause:!f,section:0,value:0),time:(from:'2017-12-05T17:52:36-0700',mode:absolute,to:'2017-12-05T20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/stypes="*4044*201712060*" /stext=" 02:.+((SYSTEM_STATE.+slice.+state.+changed )|(ment ac)|(multiple cpu faults)|(system.+state.+changed )|(\[timeout)|(PRM\|1\|D)|(kpr)|(kdp)|(train st.+moving)|(\|lc)|(penalty))"</v>
      </c>
      <c r="U7" s="9" t="str">
        <f>MID(B7,13,4)</f>
        <v>4044</v>
      </c>
      <c r="V7" s="31">
        <f>A7-utc_offset/24</f>
        <v>43075.087673611109</v>
      </c>
      <c r="W7" s="45" t="str">
        <f>DetSubdiv(C7)</f>
        <v>EC</v>
      </c>
      <c r="X7" s="22">
        <f>VALUE(LEFT(C7,LEN(C7)-3))</f>
        <v>221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Arrival","project_id":79,"tracker_id":40,"status_id":1,"priority_id":2,"assigned_to_id":338,"start_date":"2017-12-05","description":"","custom_fields":[{"id":1,"name":"Subdivision","value":"EC"},{"id":4,"name":"Milepost","value":"2.7053"},{"id":17,"name":"Train ID","value":"221-05"},{"id":16,"name":"Locomotive ID","value":"4044"},{"id":130,"name":"Impact","value":""},{"id":150,"name":"Time of Event (Mountain Time)","value":"19:06:15"},{"id":151,"name":"Denver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/c/Users/stu/AppData/Local/Temp/OnboardLogs/RTDC4044 --include="*4044*201712060*"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"%USERPROFILE%\AppData\Local\Temp\OnboardLogs"\RTDC4044\*4044*201712060* &gt;&gt; 2017-12-05-SliceDisagreementCheck.txt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4044 --day 2017-12-06</v>
      </c>
    </row>
    <row r="8" spans="1:32" s="1" customFormat="1" x14ac:dyDescent="0.25">
      <c r="A8" s="31">
        <v>43074.599745370368</v>
      </c>
      <c r="B8" s="30" t="s">
        <v>500</v>
      </c>
      <c r="C8" s="30" t="s">
        <v>690</v>
      </c>
      <c r="D8" s="30" t="s">
        <v>49</v>
      </c>
      <c r="E8" s="30" t="s">
        <v>183</v>
      </c>
      <c r="F8" s="42">
        <v>0</v>
      </c>
      <c r="G8" s="42">
        <v>173</v>
      </c>
      <c r="H8" s="42">
        <v>30732</v>
      </c>
      <c r="I8" s="42">
        <v>30861</v>
      </c>
      <c r="J8" s="30" t="s">
        <v>184</v>
      </c>
      <c r="K8" s="42">
        <v>30830</v>
      </c>
      <c r="L8" s="131" t="s">
        <v>50</v>
      </c>
      <c r="M8" s="132">
        <f>CONVERT((I8-K8)/10000,"mi","ft")*IF(L8="Increasing Mileposts (1)",-1,1)</f>
        <v>-16.367999999999999</v>
      </c>
      <c r="N8" s="133" t="str">
        <f>VLOOKUP(C8,'Trips&amp;Operators'!$C$1:$G$99911,5,FALSE)</f>
        <v>DAVIS MICHAEL</v>
      </c>
      <c r="O8" s="174" t="s">
        <v>178</v>
      </c>
      <c r="P8" s="239" t="s">
        <v>699</v>
      </c>
      <c r="Q8" s="30"/>
      <c r="R8" s="81" t="str">
        <f>VLOOKUP(C8,'Train Runs'!$A$13:$AE$10183,31,0)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S8" s="84" t="str">
        <f>VLOOKUP(C8,'Train Runs'!$A$13:$AE$10183,22,0)</f>
        <v>https://d0f6bd738d7f1b3e5a7ca70fe4ff75f0.us-east-1.aws.found.io/app/kibana#/discover/Steve-Slow-Train-Analysis-(2080s-and-2083s)?_g=(refreshInterval:(display:Off,pause:!f,section:0,value:0),time:(from:'2017-12-05T13:12:03-0700',mode:absolute,to:'2017-12-05T15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/stypes="*4054*201712052*" /stext=" 21:.+((SYSTEM_STATE.+slice.+state.+changed )|(ment ac)|(multiple cpu faults)|(system.+state.+changed )|(\[timeout)|(PRM\|1\|D)|(kpr)|(kdp)|(train st.+moving)|(\|lc)|(penalty))"</v>
      </c>
      <c r="U8" s="9" t="str">
        <f>MID(B8,13,4)</f>
        <v>4054</v>
      </c>
      <c r="V8" s="31">
        <f>A8-utc_offset/24</f>
        <v>43074.891412037032</v>
      </c>
      <c r="W8" s="45" t="str">
        <f>DetSubdiv(C8)</f>
        <v>EC</v>
      </c>
      <c r="X8" s="228">
        <f>VALUE(LEFT(C8,LEN(C8)-3))</f>
        <v>185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Arrival","project_id":79,"tracker_id":40,"status_id":1,"priority_id":2,"assigned_to_id":338,"start_date":"2017-12-05","description":"","custom_fields":[{"id":1,"name":"Subdivision","value":"EC"},{"id":4,"name":"Milepost","value":"3.083"},{"id":17,"name":"Train ID","value":"185-05"},{"id":16,"name":"Locomotive ID","value":"4054"},{"id":130,"name":"Impact","value":""},{"id":150,"name":"Time of Event (Mountain Time)","value":"14:23:38"},{"id":151,"name":"Denver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/c/Users/stu/AppData/Local/Temp/OnboardLogs/RTDC4054 --include="*4054*201712052*"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"%USERPROFILE%\AppData\Local\Temp\OnboardLogs"\RTDC4054\*4054*201712052* &gt;&gt; 2017-12-05-SliceDisagreementCheck.txt</v>
      </c>
      <c r="AE8" s="144" t="str">
        <f t="shared" ref="AE8:AE26" si="1">"start /low /b "&amp;dls3logs&amp;" --loco "&amp;U8&amp;" --day "&amp;TEXT(V8,"YYYY-MM-DD")</f>
        <v>start /low /b %USERPROFILE%\Documents\GitHub\eaglep3\Utilities\DownloadLogsFromS3.py --loco 4054 --day 2017-12-05</v>
      </c>
    </row>
    <row r="9" spans="1:32" s="1" customFormat="1" x14ac:dyDescent="0.25">
      <c r="A9" s="31">
        <v>43074.442291666666</v>
      </c>
      <c r="B9" s="30" t="s">
        <v>364</v>
      </c>
      <c r="C9" s="30" t="s">
        <v>685</v>
      </c>
      <c r="D9" s="30" t="s">
        <v>49</v>
      </c>
      <c r="E9" s="30" t="s">
        <v>183</v>
      </c>
      <c r="F9" s="42">
        <v>0</v>
      </c>
      <c r="G9" s="42">
        <v>451</v>
      </c>
      <c r="H9" s="42">
        <v>53439</v>
      </c>
      <c r="I9" s="42">
        <v>52340</v>
      </c>
      <c r="J9" s="30" t="s">
        <v>184</v>
      </c>
      <c r="K9" s="42">
        <v>53277</v>
      </c>
      <c r="L9" s="131" t="s">
        <v>51</v>
      </c>
      <c r="M9" s="132">
        <f>CONVERT((I9-K9)/10000,"mi","ft")*IF(L9="Increasing Mileposts (1)",-1,1)</f>
        <v>-494.73599999999999</v>
      </c>
      <c r="N9" s="133" t="str">
        <f>VLOOKUP(C9,'Trips&amp;Operators'!$C$1:$G$99911,5,FALSE)</f>
        <v>BROWN JACOB</v>
      </c>
      <c r="O9" s="174" t="s">
        <v>178</v>
      </c>
      <c r="P9" s="239" t="s">
        <v>699</v>
      </c>
      <c r="Q9" s="30"/>
      <c r="R9" s="81" t="str">
        <f>VLOOKUP(C9,'Train Runs'!$A$13:$AE$10183,31,0)</f>
        <v>aws s3 cp s3://rtdc.mdm.uploadarchive.raw/RTDC4035/ "%USERPROFILE%\AppData\Local\Temp\OnboardLogs"\RTDC4035\2017-12-05 --exclude "*" --recursive --include "*20171205*" &amp; "%USERPROFILE%\Documents\GitHub\mrs-test-scripts\Headless Mode &amp; Sideloading\WalkAndUnGZ.bat" "%USERPROFILE%\AppData\Local\Temp\OnboardLogs"\RTDC4035\2017-12-05 &amp; aws s3 cp s3://rtdc.mdm.uploadarchive.raw/RTDC4035/ "%USERPROFILE%\AppData\Local\Temp\OnboardLogs"\RTDC4035\2017-12-06 --exclude "*" --recursive --include "*20171206*" &amp; "%USERPROFILE%\Documents\GitHub\mrs-test-scripts\Headless Mode &amp; Sideloading\WalkAndUnGZ.bat" "%USERPROFILE%\AppData\Local\Temp\OnboardLogs"\RTDC4035\2017-12-06</v>
      </c>
      <c r="S9" s="84" t="str">
        <f>VLOOKUP(C9,'Train Runs'!$A$13:$AE$10183,22,0)</f>
        <v>https://d0f6bd738d7f1b3e5a7ca70fe4ff75f0.us-east-1.aws.found.io/app/kibana#/discover/Steve-Slow-Train-Analysis-(2080s-and-2083s)?_g=(refreshInterval:(display:Off,pause:!f,section:0,value:0),time:(from:'2017-12-05T08:59:12-0700',mode:absolute,to:'2017-12-05T11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/stypes="*4035*201712051*" /stext=" 17:.+((SYSTEM_STATE.+slice.+state.+changed )|(ment ac)|(multiple cpu faults)|(system.+state.+changed )|(\[timeout)|(PRM\|1\|D)|(kpr)|(kdp)|(train st.+moving)|(\|lc)|(penalty))"</v>
      </c>
      <c r="U9" s="9" t="str">
        <f>MID(B9,13,4)</f>
        <v>4035</v>
      </c>
      <c r="V9" s="31">
        <f>A9-utc_offset/24</f>
        <v>43074.733958333331</v>
      </c>
      <c r="W9" s="45" t="str">
        <f>DetSubdiv(C9)</f>
        <v>EC</v>
      </c>
      <c r="X9" s="228">
        <f>VALUE(LEFT(C9,LEN(C9)-3))</f>
        <v>146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Arrival","project_id":79,"tracker_id":40,"status_id":1,"priority_id":2,"assigned_to_id":338,"start_date":"2017-12-05","description":"","custom_fields":[{"id":1,"name":"Subdivision","value":"EC"},{"id":4,"name":"Milepost","value":"5.3277"},{"id":17,"name":"Train ID","value":"146-05"},{"id":16,"name":"Locomotive ID","value":"4035"},{"id":130,"name":"Impact","value":""},{"id":150,"name":"Time of Event (Mountain Time)","value":"10:36:54"},{"id":151,"name":"Denver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/c/Users/stu/AppData/Local/Temp/OnboardLogs/RTDC4035 --include="*4035*201712051*"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"%USERPROFILE%\AppData\Local\Temp\OnboardLogs"\RTDC4035\*4035*201712051* &gt;&gt; 2017-12-05-SliceDisagreementCheck.txt</v>
      </c>
      <c r="AE9" s="144" t="str">
        <f t="shared" si="1"/>
        <v>start /low /b %USERPROFILE%\Documents\GitHub\eaglep3\Utilities\DownloadLogsFromS3.py --loco 4035 --day 2017-12-05</v>
      </c>
    </row>
    <row r="10" spans="1:32" x14ac:dyDescent="0.25">
      <c r="A10" s="31">
        <v>43074.535694444443</v>
      </c>
      <c r="B10" s="30" t="s">
        <v>351</v>
      </c>
      <c r="C10" s="30" t="s">
        <v>687</v>
      </c>
      <c r="D10" s="30" t="s">
        <v>49</v>
      </c>
      <c r="E10" s="30" t="s">
        <v>183</v>
      </c>
      <c r="F10" s="42">
        <v>140</v>
      </c>
      <c r="G10" s="42">
        <v>192</v>
      </c>
      <c r="H10" s="42">
        <v>63721</v>
      </c>
      <c r="I10" s="42">
        <v>63470</v>
      </c>
      <c r="J10" s="30" t="s">
        <v>184</v>
      </c>
      <c r="K10" s="42">
        <v>63309</v>
      </c>
      <c r="L10" s="131" t="s">
        <v>51</v>
      </c>
      <c r="M10" s="132">
        <f>CONVERT((I10-K10)/10000,"mi","ft")*IF(L10="Increasing Mileposts (1)",-1,1)</f>
        <v>85.007999999999996</v>
      </c>
      <c r="N10" s="133" t="str">
        <f>VLOOKUP(C10,'Trips&amp;Operators'!$C$1:$G$99911,5,FALSE)</f>
        <v>STEWART MICHAEL</v>
      </c>
      <c r="O10" s="174" t="s">
        <v>178</v>
      </c>
      <c r="P10" s="239" t="s">
        <v>699</v>
      </c>
      <c r="Q10" s="30"/>
      <c r="R10" s="81" t="str">
        <f>VLOOKUP(C10,'Train Runs'!$A$13:$AE$10183,31,0)</f>
        <v>aws s3 cp s3://rtdc.mdm.uploadarchive.raw/RTDC4055/ "%USERPROFILE%\AppData\Local\Temp\OnboardLogs"\RTDC4055\2017-12-05 --exclude "*" --recursive --include "*20171205*" &amp; "%USERPROFILE%\Documents\GitHub\mrs-test-scripts\Headless Mode &amp; Sideloading\WalkAndUnGZ.bat" "%USERPROFILE%\AppData\Local\Temp\OnboardLogs"\RTDC4055\2017-12-05 &amp; aws s3 cp s3://rtdc.mdm.uploadarchive.raw/RTDC4055/ "%USERPROFILE%\AppData\Local\Temp\OnboardLogs"\RTDC4055\2017-12-06 --exclude "*" --recursive --include "*20171206*" &amp; "%USERPROFILE%\Documents\GitHub\mrs-test-scripts\Headless Mode &amp; Sideloading\WalkAndUnGZ.bat" "%USERPROFILE%\AppData\Local\Temp\OnboardLogs"\RTDC4055\2017-12-06</v>
      </c>
      <c r="S10" s="84" t="str">
        <f>VLOOKUP(C10,'Train Runs'!$A$13:$AE$10183,22,0)</f>
        <v>https://d0f6bd738d7f1b3e5a7ca70fe4ff75f0.us-east-1.aws.found.io/app/kibana#/discover/Steve-Slow-Train-Analysis-(2080s-and-2083s)?_g=(refreshInterval:(display:Off,pause:!f,section:0,value:0),time:(from:'2017-12-05T11:22:17-0700',mode:absolute,to:'2017-12-05T14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/stypes="*4055*201712051*" /stext=" 19:.+((SYSTEM_STATE.+slice.+state.+changed )|(ment ac)|(multiple cpu faults)|(system.+state.+changed )|(\[timeout)|(PRM\|1\|D)|(kpr)|(kdp)|(train st.+moving)|(\|lc)|(penalty))"</v>
      </c>
      <c r="U10" s="9" t="str">
        <f>MID(B10,13,4)</f>
        <v>4055</v>
      </c>
      <c r="V10" s="31">
        <f>A10-utc_offset/24</f>
        <v>43074.827361111107</v>
      </c>
      <c r="W10" s="45" t="str">
        <f>DetSubdiv(C10)</f>
        <v>EC</v>
      </c>
      <c r="X10" s="228">
        <f>VALUE(LEFT(C10,LEN(C10)-3))</f>
        <v>164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Arrival","project_id":79,"tracker_id":40,"status_id":1,"priority_id":2,"assigned_to_id":338,"start_date":"2017-12-05","description":"","custom_fields":[{"id":1,"name":"Subdivision","value":"EC"},{"id":4,"name":"Milepost","value":"6.3309"},{"id":17,"name":"Train ID","value":"164-05"},{"id":16,"name":"Locomotive ID","value":"4055"},{"id":130,"name":"Impact","value":""},{"id":150,"name":"Time of Event (Mountain Time)","value":"12:51:24"},{"id":151,"name":"Denver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/c/Users/stu/AppData/Local/Temp/OnboardLogs/RTDC4055 --include="*4055*201712051*"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"%USERPROFILE%\AppData\Local\Temp\OnboardLogs"\RTDC4055\*4055*201712051* &gt;&gt; 2017-12-05-SliceDisagreementCheck.txt</v>
      </c>
      <c r="AE10" s="144" t="str">
        <f t="shared" si="1"/>
        <v>start /low /b %USERPROFILE%\Documents\GitHub\eaglep3\Utilities\DownloadLogsFromS3.py --loco 4055 --day 2017-12-05</v>
      </c>
      <c r="AF10" s="1"/>
    </row>
    <row r="11" spans="1:32" x14ac:dyDescent="0.25">
      <c r="A11" s="31">
        <v>43074.43136574074</v>
      </c>
      <c r="B11" s="30" t="s">
        <v>499</v>
      </c>
      <c r="C11" s="30" t="s">
        <v>684</v>
      </c>
      <c r="D11" s="30" t="s">
        <v>49</v>
      </c>
      <c r="E11" s="30" t="s">
        <v>183</v>
      </c>
      <c r="F11" s="42">
        <v>240</v>
      </c>
      <c r="G11" s="42">
        <v>296</v>
      </c>
      <c r="H11" s="42">
        <v>63379</v>
      </c>
      <c r="I11" s="42">
        <v>62735</v>
      </c>
      <c r="J11" s="30" t="s">
        <v>184</v>
      </c>
      <c r="K11" s="42">
        <v>63309</v>
      </c>
      <c r="L11" s="131" t="s">
        <v>51</v>
      </c>
      <c r="M11" s="132">
        <f>CONVERT((I11-K11)/10000,"mi","ft")*IF(L11="Increasing Mileposts (1)",-1,1)</f>
        <v>-303.072</v>
      </c>
      <c r="N11" s="133" t="str">
        <f>VLOOKUP(C11,'Trips&amp;Operators'!$C$1:$G$99911,5,FALSE)</f>
        <v>HAMMOND JUSTYNN</v>
      </c>
      <c r="O11" s="174" t="s">
        <v>178</v>
      </c>
      <c r="P11" s="239" t="s">
        <v>699</v>
      </c>
      <c r="Q11" s="30"/>
      <c r="R11" s="81" t="str">
        <f>VLOOKUP(C11,'Train Runs'!$A$13:$AE$10183,31,0)</f>
        <v>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 &amp; aws s3 cp s3://rtdc.mdm.uploadarchive.raw/RTDC4053/ "%USERPROFILE%\AppData\Local\Temp\OnboardLogs"\RTDC4053\2017-12-06 --exclude "*" --recursive --include "*20171206*" &amp; "%USERPROFILE%\Documents\GitHub\mrs-test-scripts\Headless Mode &amp; Sideloading\WalkAndUnGZ.bat" "%USERPROFILE%\AppData\Local\Temp\OnboardLogs"\RTDC4053\2017-12-06</v>
      </c>
      <c r="S11" s="84" t="str">
        <f>VLOOKUP(C11,'Train Runs'!$A$13:$AE$10183,22,0)</f>
        <v>https://d0f6bd738d7f1b3e5a7ca70fe4ff75f0.us-east-1.aws.found.io/app/kibana#/discover/Steve-Slow-Train-Analysis-(2080s-and-2083s)?_g=(refreshInterval:(display:Off,pause:!f,section:0,value:0),time:(from:'2017-12-05T08:53:51-0700',mode:absolute,to:'2017-12-05T11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/stypes="*4053*201712051*" /stext=" 17:.+((SYSTEM_STATE.+slice.+state.+changed )|(ment ac)|(multiple cpu faults)|(system.+state.+changed )|(\[timeout)|(PRM\|1\|D)|(kpr)|(kdp)|(train st.+moving)|(\|lc)|(penalty))"</v>
      </c>
      <c r="U11" s="9" t="str">
        <f>MID(B11,13,4)</f>
        <v>4053</v>
      </c>
      <c r="V11" s="31">
        <f>A11-utc_offset/24</f>
        <v>43074.723032407404</v>
      </c>
      <c r="W11" s="45" t="str">
        <f>DetSubdiv(C11)</f>
        <v>EC</v>
      </c>
      <c r="X11" s="228">
        <f>VALUE(LEFT(C11,LEN(C11)-3))</f>
        <v>144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Arrival","project_id":79,"tracker_id":40,"status_id":1,"priority_id":2,"assigned_to_id":338,"start_date":"2017-12-05","description":"","custom_fields":[{"id":1,"name":"Subdivision","value":"EC"},{"id":4,"name":"Milepost","value":"6.3309"},{"id":17,"name":"Train ID","value":"144-05"},{"id":16,"name":"Locomotive ID","value":"4053"},{"id":130,"name":"Impact","value":""},{"id":150,"name":"Time of Event (Mountain Time)","value":"10:21:10"},{"id":151,"name":"Denver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/c/Users/stu/AppData/Local/Temp/OnboardLogs/RTDC4053 --include="*4053*201712051*"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"%USERPROFILE%\AppData\Local\Temp\OnboardLogs"\RTDC4053\*4053*201712051* &gt;&gt; 2017-12-05-SliceDisagreementCheck.txt</v>
      </c>
      <c r="AE11" s="144" t="str">
        <f t="shared" si="1"/>
        <v>start /low /b %USERPROFILE%\Documents\GitHub\eaglep3\Utilities\DownloadLogsFromS3.py --loco 4053 --day 2017-12-05</v>
      </c>
      <c r="AF11" s="1"/>
    </row>
    <row r="12" spans="1:32" x14ac:dyDescent="0.25">
      <c r="A12" s="31">
        <v>43074.313333333332</v>
      </c>
      <c r="B12" s="30" t="s">
        <v>674</v>
      </c>
      <c r="C12" s="30" t="s">
        <v>678</v>
      </c>
      <c r="D12" s="30" t="s">
        <v>49</v>
      </c>
      <c r="E12" s="30" t="s">
        <v>190</v>
      </c>
      <c r="F12" s="42">
        <v>300</v>
      </c>
      <c r="G12" s="42">
        <v>505</v>
      </c>
      <c r="H12" s="42">
        <v>24412</v>
      </c>
      <c r="I12" s="42">
        <v>22534</v>
      </c>
      <c r="J12" s="30" t="s">
        <v>191</v>
      </c>
      <c r="K12" s="42">
        <v>21848</v>
      </c>
      <c r="L12" s="131" t="s">
        <v>51</v>
      </c>
      <c r="M12" s="132">
        <f>CONVERT((I12-K12)/10000,"mi","ft")*IF(L12="Increasing Mileposts (1)",-1,1)</f>
        <v>362.20800000000003</v>
      </c>
      <c r="N12" s="133" t="str">
        <f>VLOOKUP(C12,'Trips&amp;Operators'!$C$1:$G$99911,5,FALSE)</f>
        <v>STARKS ANGELINA</v>
      </c>
      <c r="O12" s="174" t="s">
        <v>178</v>
      </c>
      <c r="P12" s="239"/>
      <c r="Q12" s="30"/>
      <c r="R12" s="81" t="str">
        <f>VLOOKUP(C12,'Train Runs'!$A$13:$AE$10183,31,0)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S12" s="84" t="str">
        <f>VLOOKUP(C12,'Train Runs'!$A$13:$AE$10183,22,0)</f>
        <v>https://d0f6bd738d7f1b3e5a7ca70fe4ff75f0.us-east-1.aws.found.io/app/kibana#/discover/Steve-Slow-Train-Analysis-(2080s-and-2083s)?_g=(refreshInterval:(display:Off,pause:!f,section:0,value:0),time:(from:'2017-12-05T05:43:01-0700',mode:absolute,to:'2017-12-05T08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/stypes="*4059*201712051*" /stext=" 14:.+((SYSTEM_STATE.+slice.+state.+changed )|(ment ac)|(multiple cpu faults)|(system.+state.+changed )|(\[timeout)|(PRM\|1\|D)|(kpr)|(kdp)|(train st.+moving)|(\|lc)|(penalty))"</v>
      </c>
      <c r="U12" s="9" t="str">
        <f>MID(B12,13,4)</f>
        <v>4059</v>
      </c>
      <c r="V12" s="31">
        <f>A12-utc_offset/24</f>
        <v>43074.604999999996</v>
      </c>
      <c r="W12" s="45" t="str">
        <f>DetSubdiv(C12)</f>
        <v>EC</v>
      </c>
      <c r="X12" s="228">
        <f>VALUE(LEFT(C12,LEN(C12)-3))</f>
        <v>120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{"issue":{"subject":"","project_id":79,"tracker_id":40,"status_id":1,"priority_id":2,"assigned_to_id":338,"start_date":"2017-12-05","description":"","custom_fields":[{"id":1,"name":"Subdivision","value":"EC"},{"id":4,"name":"Milepost","value":"2.1848"},{"id":17,"name":"Train ID","value":"120-05"},{"id":16,"name":"Locomotive ID","value":"4059"},{"id":130,"name":"Impact","value":""},{"id":150,"name":"Time of Event (Mountain Time)","value":"07:31:12"},{"id":151,"name":"Denver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/c/Users/stu/AppData/Local/Temp/OnboardLogs/RTDC4059 --include="*4059*201712051*"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"%USERPROFILE%\AppData\Local\Temp\OnboardLogs"\RTDC4059\*4059*201712051* &gt;&gt; 2017-12-05-SliceDisagreementCheck.txt</v>
      </c>
      <c r="AE12" s="144" t="str">
        <f t="shared" si="1"/>
        <v>start /low /b %USERPROFILE%\Documents\GitHub\eaglep3\Utilities\DownloadLogsFromS3.py --loco 4059 --day 2017-12-05</v>
      </c>
      <c r="AF12" s="1"/>
    </row>
    <row r="13" spans="1:32" x14ac:dyDescent="0.25">
      <c r="A13" s="31">
        <v>43074.397997685184</v>
      </c>
      <c r="B13" s="30" t="s">
        <v>500</v>
      </c>
      <c r="C13" s="30" t="s">
        <v>683</v>
      </c>
      <c r="D13" s="30" t="s">
        <v>49</v>
      </c>
      <c r="E13" s="30" t="s">
        <v>190</v>
      </c>
      <c r="F13" s="42">
        <v>550</v>
      </c>
      <c r="G13" s="42">
        <v>769</v>
      </c>
      <c r="H13" s="42">
        <v>217781</v>
      </c>
      <c r="I13" s="42">
        <v>221816</v>
      </c>
      <c r="J13" s="30" t="s">
        <v>191</v>
      </c>
      <c r="K13" s="42">
        <v>222090</v>
      </c>
      <c r="L13" s="131" t="s">
        <v>50</v>
      </c>
      <c r="M13" s="132">
        <f>CONVERT((I13-K13)/10000,"mi","ft")*IF(L13="Increasing Mileposts (1)",-1,1)</f>
        <v>144.672</v>
      </c>
      <c r="N13" s="133" t="str">
        <f>VLOOKUP(C13,'Trips&amp;Operators'!$C$1:$G$99911,5,FALSE)</f>
        <v>HAMMOND JUSTYNN</v>
      </c>
      <c r="O13" s="174" t="s">
        <v>178</v>
      </c>
      <c r="P13" s="239"/>
      <c r="Q13" s="30"/>
      <c r="R13" s="81" t="str">
        <f>VLOOKUP(C13,'Train Runs'!$A$13:$AE$10183,31,0)</f>
        <v>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 &amp; aws s3 cp s3://rtdc.mdm.uploadarchive.raw/RTDC4054/ "%USERPROFILE%\AppData\Local\Temp\OnboardLogs"\RTDC4054\2017-12-06 --exclude "*" --recursive --include "*20171206*" &amp; "%USERPROFILE%\Documents\GitHub\mrs-test-scripts\Headless Mode &amp; Sideloading\WalkAndUnGZ.bat" "%USERPROFILE%\AppData\Local\Temp\OnboardLogs"\RTDC4054\2017-12-06</v>
      </c>
      <c r="S13" s="84" t="str">
        <f>VLOOKUP(C13,'Train Runs'!$A$13:$AE$10183,22,0)</f>
        <v>https://d0f6bd738d7f1b3e5a7ca70fe4ff75f0.us-east-1.aws.found.io/app/kibana#/discover/Steve-Slow-Train-Analysis-(2080s-and-2083s)?_g=(refreshInterval:(display:Off,pause:!f,section:0,value:0),time:(from:'2017-12-05T07:53:53-0700',mode:absolute,to:'2017-12-05T10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/stypes="*4054*201712051*" /stext=" 16:.+((SYSTEM_STATE.+slice.+state.+changed )|(ment ac)|(multiple cpu faults)|(system.+state.+changed )|(\[timeout)|(PRM\|1\|D)|(kpr)|(kdp)|(train st.+moving)|(\|lc)|(penalty))"</v>
      </c>
      <c r="U13" s="9" t="str">
        <f>MID(B13,13,4)</f>
        <v>4054</v>
      </c>
      <c r="V13" s="31">
        <f>A13-utc_offset/24</f>
        <v>43074.689664351848</v>
      </c>
      <c r="W13" s="45" t="str">
        <f>DetSubdiv(C13)</f>
        <v>EC</v>
      </c>
      <c r="X13" s="228">
        <f>VALUE(LEFT(C13,LEN(C13)-3))</f>
        <v>143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{"issue":{"subject":"","project_id":79,"tracker_id":40,"status_id":1,"priority_id":2,"assigned_to_id":338,"start_date":"2017-12-05","description":"","custom_fields":[{"id":1,"name":"Subdivision","value":"EC"},{"id":4,"name":"Milepost","value":"22.209"},{"id":17,"name":"Train ID","value":"143-05"},{"id":16,"name":"Locomotive ID","value":"4054"},{"id":130,"name":"Impact","value":""},{"id":150,"name":"Time of Event (Mountain Time)","value":"09:33:07"},{"id":151,"name":"Denver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/c/Users/stu/AppData/Local/Temp/OnboardLogs/RTDC4054 --include="*4054*201712051*"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"%USERPROFILE%\AppData\Local\Temp\OnboardLogs"\RTDC4054\*4054*201712051* &gt;&gt; 2017-12-05-SliceDisagreementCheck.txt</v>
      </c>
      <c r="AE13" s="144" t="str">
        <f t="shared" si="1"/>
        <v>start /low /b %USERPROFILE%\Documents\GitHub\eaglep3\Utilities\DownloadLogsFromS3.py --loco 4054 --day 2017-12-05</v>
      </c>
      <c r="AF13" s="1"/>
    </row>
    <row r="14" spans="1:32" x14ac:dyDescent="0.25">
      <c r="A14" s="31">
        <v>43074.218935185185</v>
      </c>
      <c r="B14" s="30" t="s">
        <v>674</v>
      </c>
      <c r="C14" s="30" t="s">
        <v>675</v>
      </c>
      <c r="D14" s="30" t="s">
        <v>95</v>
      </c>
      <c r="E14" s="30" t="s">
        <v>190</v>
      </c>
      <c r="F14" s="42">
        <v>350</v>
      </c>
      <c r="G14" s="42">
        <v>402</v>
      </c>
      <c r="H14" s="42">
        <v>225134</v>
      </c>
      <c r="I14" s="42">
        <v>223923</v>
      </c>
      <c r="J14" s="30" t="s">
        <v>191</v>
      </c>
      <c r="K14" s="42">
        <v>230436</v>
      </c>
      <c r="L14" s="131" t="s">
        <v>51</v>
      </c>
      <c r="M14" s="132">
        <f>CONVERT((I14-K14)/10000,"mi","ft")*IF(L14="Increasing Mileposts (1)",-1,1)</f>
        <v>-3438.864</v>
      </c>
      <c r="N14" s="133" t="str">
        <f>VLOOKUP(C14,'Trips&amp;Operators'!$C$1:$G$99911,5,FALSE)</f>
        <v>THOMPSON LESTER</v>
      </c>
      <c r="O14" s="174" t="s">
        <v>178</v>
      </c>
      <c r="P14" s="239"/>
      <c r="Q14" s="30"/>
      <c r="R14" s="81" t="str">
        <f>VLOOKUP(C14,'Train Runs'!$A$13:$AE$10183,31,0)</f>
        <v>aws s3 cp s3://rtdc.mdm.uploadarchive.raw/RTDC4059/ "%USERPROFILE%\AppData\Local\Temp\OnboardLogs"\RTDC4059\2017-12-05 --exclude "*" --recursive --include "*20171205*" &amp; "%USERPROFILE%\Documents\GitHub\mrs-test-scripts\Headless Mode &amp; Sideloading\WalkAndUnGZ.bat" "%USERPROFILE%\AppData\Local\Temp\OnboardLogs"\RTDC4059\2017-12-05 &amp; aws s3 cp s3://rtdc.mdm.uploadarchive.raw/RTDC4059/ "%USERPROFILE%\AppData\Local\Temp\OnboardLogs"\RTDC4059\2017-12-06 --exclude "*" --recursive --include "*20171206*" &amp; "%USERPROFILE%\Documents\GitHub\mrs-test-scripts\Headless Mode &amp; Sideloading\WalkAndUnGZ.bat" "%USERPROFILE%\AppData\Local\Temp\OnboardLogs"\RTDC4059\2017-12-06</v>
      </c>
      <c r="S14" s="84" t="str">
        <f>VLOOKUP(C14,'Train Runs'!$A$13:$AE$10183,22,0)</f>
        <v>https://d0f6bd738d7f1b3e5a7ca70fe4ff75f0.us-east-1.aws.found.io/app/kibana#/discover/Steve-Slow-Train-Analysis-(2080s-and-2083s)?_g=(refreshInterval:(display:Off,pause:!f,section:0,value:0),time:(from:'2017-12-05T04:08:30-0700',mode:absolute,to:'2017-12-05T06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/stypes="*4059*201712051*" /stext=" 12:.+((SYSTEM_STATE.+slice.+state.+changed )|(ment ac)|(multiple cpu faults)|(system.+state.+changed )|(\[timeout)|(PRM\|1\|D)|(kpr)|(kdp)|(train st.+moving)|(\|lc)|(penalty))"</v>
      </c>
      <c r="U14" s="9" t="str">
        <f>MID(B14,13,4)</f>
        <v>4059</v>
      </c>
      <c r="V14" s="31">
        <f>A14-utc_offset/24</f>
        <v>43074.510601851849</v>
      </c>
      <c r="W14" s="45" t="str">
        <f>DetSubdiv(C14)</f>
        <v>EC</v>
      </c>
      <c r="X14" s="228">
        <f>VALUE(LEFT(C14,LEN(C14)-3))</f>
        <v>106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{"issue":{"subject":"","project_id":79,"tracker_id":40,"status_id":1,"priority_id":2,"assigned_to_id":338,"start_date":"2017-12-05","description":"","custom_fields":[{"id":1,"name":"Subdivision","value":"EC"},{"id":4,"name":"Milepost","value":"23.0436"},{"id":17,"name":"Train ID","value":"106-05"},{"id":16,"name":"Locomotive ID","value":"4059"},{"id":130,"name":"Impact","value":""},{"id":150,"name":"Time of Event (Mountain Time)","value":"05:15:16"},{"id":151,"name":"Denver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/c/Users/stu/AppData/Local/Temp/OnboardLogs/RTDC4059 --include="*4059*201712051*"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"%USERPROFILE%\AppData\Local\Temp\OnboardLogs"\RTDC4059\*4059*201712051* &gt;&gt; 2017-12-05-SliceDisagreementCheck.txt</v>
      </c>
      <c r="AE14" s="144" t="str">
        <f t="shared" si="1"/>
        <v>start /low /b %USERPROFILE%\Documents\GitHub\eaglep3\Utilities\DownloadLogsFromS3.py --loco 4059 --day 2017-12-05</v>
      </c>
      <c r="AF14" s="1"/>
    </row>
    <row r="15" spans="1:32" x14ac:dyDescent="0.25">
      <c r="A15" s="31">
        <v>43074.332326388889</v>
      </c>
      <c r="B15" s="30" t="s">
        <v>426</v>
      </c>
      <c r="C15" s="30" t="s">
        <v>679</v>
      </c>
      <c r="D15" s="30" t="s">
        <v>49</v>
      </c>
      <c r="E15" s="30" t="s">
        <v>354</v>
      </c>
      <c r="F15" s="42">
        <v>0</v>
      </c>
      <c r="G15" s="42">
        <v>141</v>
      </c>
      <c r="H15" s="42">
        <v>111211</v>
      </c>
      <c r="I15" s="42">
        <v>110974</v>
      </c>
      <c r="J15" s="30" t="s">
        <v>355</v>
      </c>
      <c r="K15" s="42">
        <v>110714</v>
      </c>
      <c r="L15" s="131" t="s">
        <v>51</v>
      </c>
      <c r="M15" s="132">
        <f>CONVERT((I15-K15)/10000,"mi","ft")*IF(L15="Increasing Mileposts (1)",-1,1)</f>
        <v>137.28</v>
      </c>
      <c r="N15" s="133" t="str">
        <f>VLOOKUP(C15,'Trips&amp;Operators'!$C$1:$G$99911,5,FALSE)</f>
        <v>YORK EDGAR</v>
      </c>
      <c r="O15" s="174" t="s">
        <v>348</v>
      </c>
      <c r="P15" s="239" t="s">
        <v>450</v>
      </c>
      <c r="Q15" s="30"/>
      <c r="R15" s="81" t="str">
        <f>VLOOKUP(C15,'Train Runs'!$A$13:$AE$10183,31,0)</f>
        <v>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 &amp; aws s3 cp s3://rtdc.mdm.uploadarchive.raw/RTDC4043/ "%USERPROFILE%\AppData\Local\Temp\OnboardLogs"\RTDC4043\2017-12-06 --exclude "*" --recursive --include "*20171206*" &amp; "%USERPROFILE%\Documents\GitHub\mrs-test-scripts\Headless Mode &amp; Sideloading\WalkAndUnGZ.bat" "%USERPROFILE%\AppData\Local\Temp\OnboardLogs"\RTDC4043\2017-12-06</v>
      </c>
      <c r="S15" s="84" t="str">
        <f>VLOOKUP(C15,'Train Runs'!$A$13:$AE$10183,22,0)</f>
        <v>https://d0f6bd738d7f1b3e5a7ca70fe4ff75f0.us-east-1.aws.found.io/app/kibana#/discover/Steve-Slow-Train-Analysis-(2080s-and-2083s)?_g=(refreshInterval:(display:Off,pause:!f,section:0,value:0),time:(from:'2017-12-05T06:36:26-0700',mode:absolute,to:'2017-12-05T09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/stypes="*4043*201712051*" /stext=" 14:.+((SYSTEM_STATE.+slice.+state.+changed )|(ment ac)|(multiple cpu faults)|(system.+state.+changed )|(\[timeout)|(PRM\|1\|D)|(kpr)|(kdp)|(train st.+moving)|(\|lc)|(penalty))"</v>
      </c>
      <c r="U15" s="9" t="str">
        <f>MID(B15,13,4)</f>
        <v>4043</v>
      </c>
      <c r="V15" s="31">
        <f>A15-utc_offset/24</f>
        <v>43074.623993055553</v>
      </c>
      <c r="W15" s="45" t="str">
        <f>DetSubdiv(C15)</f>
        <v>EC</v>
      </c>
      <c r="X15" s="228">
        <f>VALUE(LEFT(C15,LEN(C15)-3))</f>
        <v>126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drop","project_id":79,"tracker_id":40,"status_id":1,"priority_id":2,"assigned_to_id":338,"start_date":"2017-12-05","description":"","custom_fields":[{"id":1,"name":"Subdivision","value":"EC"},{"id":4,"name":"Milepost","value":"11.0714"},{"id":17,"name":"Train ID","value":"126-05"},{"id":16,"name":"Locomotive ID","value":"4043"},{"id":130,"name":"Impact","value":""},{"id":150,"name":"Time of Event (Mountain Time)","value":"07:58:33"},{"id":151,"name":"Denver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/c/Users/stu/AppData/Local/Temp/OnboardLogs/RTDC4043 --include="*4043*201712051*"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"%USERPROFILE%\AppData\Local\Temp\OnboardLogs"\RTDC4043\*4043*201712051* &gt;&gt; 2017-12-05-SliceDisagreementCheck.txt</v>
      </c>
      <c r="AE15" s="144" t="str">
        <f t="shared" si="1"/>
        <v>start /low /b %USERPROFILE%\Documents\GitHub\eaglep3\Utilities\DownloadLogsFromS3.py --loco 4043 --day 2017-12-05</v>
      </c>
      <c r="AF15" s="1"/>
    </row>
    <row r="16" spans="1:32" x14ac:dyDescent="0.25">
      <c r="A16" s="31">
        <v>43074.3437037037</v>
      </c>
      <c r="B16" s="30" t="s">
        <v>680</v>
      </c>
      <c r="C16" s="30" t="s">
        <v>681</v>
      </c>
      <c r="D16" s="30" t="s">
        <v>95</v>
      </c>
      <c r="E16" s="30" t="s">
        <v>569</v>
      </c>
      <c r="F16" s="42">
        <v>0</v>
      </c>
      <c r="G16" s="42">
        <v>658</v>
      </c>
      <c r="H16" s="42">
        <v>104585</v>
      </c>
      <c r="I16" s="42">
        <v>102117</v>
      </c>
      <c r="J16" s="30" t="s">
        <v>570</v>
      </c>
      <c r="K16" s="42">
        <v>104776</v>
      </c>
      <c r="L16" s="131" t="s">
        <v>51</v>
      </c>
      <c r="M16" s="132">
        <f>CONVERT((I16-K16)/10000,"mi","ft")*IF(L16="Increasing Mileposts (1)",-1,1)</f>
        <v>-1403.9520000000002</v>
      </c>
      <c r="N16" s="133" t="str">
        <f>VLOOKUP(C16,'Trips&amp;Operators'!$C$1:$G$99911,5,FALSE)</f>
        <v>YANAI IAN</v>
      </c>
      <c r="O16" s="174" t="s">
        <v>348</v>
      </c>
      <c r="P16" s="239" t="s">
        <v>450</v>
      </c>
      <c r="Q16" s="30"/>
      <c r="R16" s="81" t="str">
        <f>VLOOKUP(C16,'Train Runs'!$A$13:$AE$10183,31,0)</f>
        <v>aws s3 cp s3://rtdc.mdm.uploadarchive.raw/RTDC4013/ "%USERPROFILE%\AppData\Local\Temp\OnboardLogs"\RTDC4013\2017-12-05 --exclude "*" --recursive --include "*20171205*" &amp; "%USERPROFILE%\Documents\GitHub\mrs-test-scripts\Headless Mode &amp; Sideloading\WalkAndUnGZ.bat" "%USERPROFILE%\AppData\Local\Temp\OnboardLogs"\RTDC4013\2017-12-05 &amp; aws s3 cp s3://rtdc.mdm.uploadarchive.raw/RTDC4013/ "%USERPROFILE%\AppData\Local\Temp\OnboardLogs"\RTDC4013\2017-12-06 --exclude "*" --recursive --include "*20171206*" &amp; "%USERPROFILE%\Documents\GitHub\mrs-test-scripts\Headless Mode &amp; Sideloading\WalkAndUnGZ.bat" "%USERPROFILE%\AppData\Local\Temp\OnboardLogs"\RTDC4013\2017-12-06</v>
      </c>
      <c r="S16" s="84" t="str">
        <f>VLOOKUP(C16,'Train Runs'!$A$13:$AE$10183,22,0)</f>
        <v>https://d0f6bd738d7f1b3e5a7ca70fe4ff75f0.us-east-1.aws.found.io/app/kibana#/discover/Steve-Slow-Train-Analysis-(2080s-and-2083s)?_g=(refreshInterval:(display:Off,pause:!f,section:0,value:0),time:(from:'2017-12-05T06:37:14-0700',mode:absolute,to:'2017-12-05T09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/stypes="*4013*201712051*" /stext=" 15:.+((SYSTEM_STATE.+slice.+state.+changed )|(ment ac)|(multiple cpu faults)|(system.+state.+changed )|(\[timeout)|(PRM\|1\|D)|(kpr)|(kdp)|(train st.+moving)|(\|lc)|(penalty))"</v>
      </c>
      <c r="U16" s="9" t="str">
        <f>MID(B16,13,4)</f>
        <v>4013</v>
      </c>
      <c r="V16" s="31">
        <f>A16-utc_offset/24</f>
        <v>43074.635370370364</v>
      </c>
      <c r="W16" s="45" t="str">
        <f>DetSubdiv(C16)</f>
        <v>EC</v>
      </c>
      <c r="X16" s="228">
        <f>VALUE(LEFT(C16,LEN(C16)-3))</f>
        <v>128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drop","project_id":79,"tracker_id":40,"status_id":1,"priority_id":2,"assigned_to_id":338,"start_date":"2017-12-05","description":"","custom_fields":[{"id":1,"name":"Subdivision","value":"EC"},{"id":4,"name":"Milepost","value":"10.4776"},{"id":17,"name":"Train ID","value":"128-05"},{"id":16,"name":"Locomotive ID","value":"4013"},{"id":130,"name":"Impact","value":""},{"id":150,"name":"Time of Event (Mountain Time)","value":"08:14:56"},{"id":151,"name":"Denver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/c/Users/stu/AppData/Local/Temp/OnboardLogs/RTDC4013 --include="*4013*201712051*"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"%USERPROFILE%\AppData\Local\Temp\OnboardLogs"\RTDC4013\*4013*201712051* &gt;&gt; 2017-12-05-SliceDisagreementCheck.txt</v>
      </c>
      <c r="AE16" s="144" t="str">
        <f t="shared" si="1"/>
        <v>start /low /b %USERPROFILE%\Documents\GitHub\eaglep3\Utilities\DownloadLogsFromS3.py --loco 4013 --day 2017-12-05</v>
      </c>
      <c r="AF16" s="1"/>
    </row>
    <row r="17" spans="1:32" x14ac:dyDescent="0.25">
      <c r="A17" s="31">
        <v>43074.368784722225</v>
      </c>
      <c r="B17" s="30" t="s">
        <v>425</v>
      </c>
      <c r="C17" s="30" t="s">
        <v>682</v>
      </c>
      <c r="D17" s="30" t="s">
        <v>49</v>
      </c>
      <c r="E17" s="30" t="s">
        <v>569</v>
      </c>
      <c r="F17" s="42">
        <v>0</v>
      </c>
      <c r="G17" s="42">
        <v>575</v>
      </c>
      <c r="H17" s="42">
        <v>122305</v>
      </c>
      <c r="I17" s="42">
        <v>124876</v>
      </c>
      <c r="J17" s="30" t="s">
        <v>570</v>
      </c>
      <c r="K17" s="42">
        <v>126678</v>
      </c>
      <c r="L17" s="131" t="s">
        <v>50</v>
      </c>
      <c r="M17" s="132">
        <f>CONVERT((I17-K17)/10000,"mi","ft")*IF(L17="Increasing Mileposts (1)",-1,1)</f>
        <v>951.45600000000002</v>
      </c>
      <c r="N17" s="133" t="str">
        <f>VLOOKUP(C17,'Trips&amp;Operators'!$C$1:$G$99911,5,FALSE)</f>
        <v>YORK EDGAR</v>
      </c>
      <c r="O17" s="174" t="s">
        <v>348</v>
      </c>
      <c r="P17" s="239" t="s">
        <v>450</v>
      </c>
      <c r="Q17" s="30"/>
      <c r="R17" s="81" t="str">
        <f>VLOOKUP(C17,'Train Runs'!$A$13:$AE$10183,31,0)</f>
        <v>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 &amp; aws s3 cp s3://rtdc.mdm.uploadarchive.raw/RTDC4044/ "%USERPROFILE%\AppData\Local\Temp\OnboardLogs"\RTDC4044\2017-12-06 --exclude "*" --recursive --include "*20171206*" &amp; "%USERPROFILE%\Documents\GitHub\mrs-test-scripts\Headless Mode &amp; Sideloading\WalkAndUnGZ.bat" "%USERPROFILE%\AppData\Local\Temp\OnboardLogs"\RTDC4044\2017-12-06</v>
      </c>
      <c r="S17" s="84" t="str">
        <f>VLOOKUP(C17,'Train Runs'!$A$13:$AE$10183,22,0)</f>
        <v>https://d0f6bd738d7f1b3e5a7ca70fe4ff75f0.us-east-1.aws.found.io/app/kibana#/discover/Steve-Slow-Train-Analysis-(2080s-and-2083s)?_g=(refreshInterval:(display:Off,pause:!f,section:0,value:0),time:(from:'2017-12-05T07:21:51-0700',mode:absolute,to:'2017-12-05T10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/stypes="*4044*201712051*" /stext=" 15:.+((SYSTEM_STATE.+slice.+state.+changed )|(ment ac)|(multiple cpu faults)|(system.+state.+changed )|(\[timeout)|(PRM\|1\|D)|(kpr)|(kdp)|(train st.+moving)|(\|lc)|(penalty))"</v>
      </c>
      <c r="U17" s="9" t="str">
        <f>MID(B17,13,4)</f>
        <v>4044</v>
      </c>
      <c r="V17" s="31">
        <f>A17-utc_offset/24</f>
        <v>43074.660451388889</v>
      </c>
      <c r="W17" s="45" t="str">
        <f>DetSubdiv(C17)</f>
        <v>EC</v>
      </c>
      <c r="X17" s="228">
        <f>VALUE(LEFT(C17,LEN(C17)-3))</f>
        <v>139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drop","project_id":79,"tracker_id":40,"status_id":1,"priority_id":2,"assigned_to_id":338,"start_date":"2017-12-05","description":"","custom_fields":[{"id":1,"name":"Subdivision","value":"EC"},{"id":4,"name":"Milepost","value":"12.6678"},{"id":17,"name":"Train ID","value":"139-05"},{"id":16,"name":"Locomotive ID","value":"4044"},{"id":130,"name":"Impact","value":""},{"id":150,"name":"Time of Event (Mountain Time)","value":"08:51:03"},{"id":151,"name":"Denver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/c/Users/stu/AppData/Local/Temp/OnboardLogs/RTDC4044 --include="*4044*201712051*"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"%USERPROFILE%\AppData\Local\Temp\OnboardLogs"\RTDC4044\*4044*201712051* &gt;&gt; 2017-12-05-SliceDisagreementCheck.txt</v>
      </c>
      <c r="AE17" s="144" t="str">
        <f t="shared" si="1"/>
        <v>start /low /b %USERPROFILE%\Documents\GitHub\eaglep3\Utilities\DownloadLogsFromS3.py --loco 4044 --day 2017-12-05</v>
      </c>
      <c r="AF17" s="1"/>
    </row>
    <row r="18" spans="1:32" x14ac:dyDescent="0.25">
      <c r="A18" s="31">
        <v>43074.285509259258</v>
      </c>
      <c r="B18" s="30" t="s">
        <v>676</v>
      </c>
      <c r="C18" s="30" t="s">
        <v>677</v>
      </c>
      <c r="D18" s="30" t="s">
        <v>49</v>
      </c>
      <c r="E18" s="30" t="s">
        <v>183</v>
      </c>
      <c r="F18" s="42">
        <v>0</v>
      </c>
      <c r="G18" s="42">
        <v>315</v>
      </c>
      <c r="H18" s="42">
        <v>11256</v>
      </c>
      <c r="I18" s="42">
        <v>10249</v>
      </c>
      <c r="J18" s="30" t="s">
        <v>184</v>
      </c>
      <c r="K18" s="42">
        <v>10988</v>
      </c>
      <c r="L18" s="131" t="s">
        <v>51</v>
      </c>
      <c r="M18" s="132">
        <f>CONVERT((I18-K18)/10000,"mi","ft")*IF(L18="Increasing Mileposts (1)",-1,1)</f>
        <v>-390.19200000000001</v>
      </c>
      <c r="N18" s="133" t="str">
        <f>VLOOKUP(C18,'Trips&amp;Operators'!$C$1:$G$99911,5,FALSE)</f>
        <v>FORTUNATO FRANK</v>
      </c>
      <c r="O18" s="174" t="s">
        <v>178</v>
      </c>
      <c r="P18" s="239" t="s">
        <v>699</v>
      </c>
      <c r="Q18" s="30"/>
      <c r="R18" s="81" t="str">
        <f>VLOOKUP(C18,'Train Runs'!$A$13:$AE$10183,31,0)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S18" s="84" t="str">
        <f>VLOOKUP(C18,'Train Runs'!$A$13:$AE$10183,22,0)</f>
        <v>https://d0f6bd738d7f1b3e5a7ca70fe4ff75f0.us-east-1.aws.found.io/app/kibana#/discover/Steve-Slow-Train-Analysis-(2080s-and-2083s)?_g=(refreshInterval:(display:Off,pause:!f,section:0,value:0),time:(from:'2017-12-05T05:25:51-0700',mode:absolute,to:'2017-12-05T07:56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/stypes="*4003*201712051*" /stext=" 13:.+((SYSTEM_STATE.+slice.+state.+changed )|(ment ac)|(multiple cpu faults)|(system.+state.+changed )|(\[timeout)|(PRM\|1\|D)|(kpr)|(kdp)|(train st.+moving)|(\|lc)|(penalty))"</v>
      </c>
      <c r="U18" s="9" t="str">
        <f>MID(B18,13,4)</f>
        <v>4003</v>
      </c>
      <c r="V18" s="31">
        <f>A18-utc_offset/24</f>
        <v>43074.577175925922</v>
      </c>
      <c r="W18" s="45" t="str">
        <f>DetSubdiv(C18)</f>
        <v>NW</v>
      </c>
      <c r="X18" s="228">
        <f>VALUE(LEFT(C18,LEN(C18)-3))</f>
        <v>804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Arrival","project_id":79,"tracker_id":40,"status_id":1,"priority_id":2,"assigned_to_id":338,"start_date":"2017-12-05","description":"","custom_fields":[{"id":1,"name":"Subdivision","value":"NW"},{"id":4,"name":"Milepost","value":"1.0988"},{"id":17,"name":"Train ID","value":"804-05"},{"id":16,"name":"Locomotive ID","value":"4003"},{"id":130,"name":"Impact","value":""},{"id":150,"name":"Time of Event (Mountain Time)","value":"06:51:08"},{"id":151,"name":"Denver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/c/Users/stu/AppData/Local/Temp/OnboardLogs/RTDC4003 --include="*4003*201712051*"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"%USERPROFILE%\AppData\Local\Temp\OnboardLogs"\RTDC4003\*4003*201712051* &gt;&gt; 2017-12-05-SliceDisagreementCheck.txt</v>
      </c>
      <c r="AE18" s="144" t="str">
        <f t="shared" si="1"/>
        <v>start /low /b %USERPROFILE%\Documents\GitHub\eaglep3\Utilities\DownloadLogsFromS3.py --loco 4003 --day 2017-12-05</v>
      </c>
      <c r="AF18" s="1"/>
    </row>
    <row r="19" spans="1:32" x14ac:dyDescent="0.25">
      <c r="A19" s="31">
        <v>43074.742743055554</v>
      </c>
      <c r="B19" s="30" t="s">
        <v>366</v>
      </c>
      <c r="C19" s="30" t="s">
        <v>692</v>
      </c>
      <c r="D19" s="30" t="s">
        <v>95</v>
      </c>
      <c r="E19" s="30" t="s">
        <v>190</v>
      </c>
      <c r="F19" s="42">
        <v>400</v>
      </c>
      <c r="G19" s="42">
        <v>454</v>
      </c>
      <c r="H19" s="42">
        <v>43790</v>
      </c>
      <c r="I19" s="42">
        <v>45277</v>
      </c>
      <c r="J19" s="30" t="s">
        <v>191</v>
      </c>
      <c r="K19" s="42">
        <v>41797</v>
      </c>
      <c r="L19" s="131" t="s">
        <v>50</v>
      </c>
      <c r="M19" s="132">
        <f>CONVERT((I19-K19)/10000,"mi","ft")*IF(L19="Increasing Mileposts (1)",-1,1)</f>
        <v>-1837.44</v>
      </c>
      <c r="N19" s="133" t="str">
        <f>VLOOKUP(C19,'Trips&amp;Operators'!$C$1:$G$99911,5,FALSE)</f>
        <v>AUSTIN THOMPSON</v>
      </c>
      <c r="O19" s="174" t="s">
        <v>178</v>
      </c>
      <c r="P19" s="239"/>
      <c r="Q19" s="30"/>
      <c r="R19" s="81" t="str">
        <f>VLOOKUP(C19,'Train Runs'!$A$13:$AE$10183,31,0)</f>
        <v>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 &amp; aws s3 cp s3://rtdc.mdm.uploadarchive.raw/RTDC4012/ "%USERPROFILE%\AppData\Local\Temp\OnboardLogs"\RTDC4012\2017-12-06 --exclude "*" --recursive --include "*20171206*" &amp; "%USERPROFILE%\Documents\GitHub\mrs-test-scripts\Headless Mode &amp; Sideloading\WalkAndUnGZ.bat" "%USERPROFILE%\AppData\Local\Temp\OnboardLogs"\RTDC4012\2017-12-06</v>
      </c>
      <c r="S19" s="84" t="str">
        <f>VLOOKUP(C19,'Train Runs'!$A$13:$AE$10183,22,0)</f>
        <v>https://d0f6bd738d7f1b3e5a7ca70fe4ff75f0.us-east-1.aws.found.io/app/kibana#/discover/Steve-Slow-Train-Analysis-(2080s-and-2083s)?_g=(refreshInterval:(display:Off,pause:!f,section:0,value:0),time:(from:'2017-12-05T16:32:14-0700',mode:absolute,to:'2017-12-05T18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/stypes="*4012*201712060*" /stext=" 00:.+((SYSTEM_STATE.+slice.+state.+changed )|(ment ac)|(multiple cpu faults)|(system.+state.+changed )|(\[timeout)|(PRM\|1\|D)|(kpr)|(kdp)|(train st.+moving)|(\|lc)|(penalty))"</v>
      </c>
      <c r="U19" s="9" t="str">
        <f>MID(B19,13,4)</f>
        <v>4012</v>
      </c>
      <c r="V19" s="31">
        <f>A19-utc_offset/24</f>
        <v>43075.034409722219</v>
      </c>
      <c r="W19" s="45" t="str">
        <f>DetSubdiv(C19)</f>
        <v>NW</v>
      </c>
      <c r="X19" s="228">
        <f>VALUE(LEFT(C19,LEN(C19)-3))</f>
        <v>835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{"issue":{"subject":"","project_id":79,"tracker_id":40,"status_id":1,"priority_id":2,"assigned_to_id":338,"start_date":"2017-12-05","description":"","custom_fields":[{"id":1,"name":"Subdivision","value":"NW"},{"id":4,"name":"Milepost","value":"4.1797"},{"id":17,"name":"Train ID","value":"835-05"},{"id":16,"name":"Locomotive ID","value":"4012"},{"id":130,"name":"Impact","value":""},{"id":150,"name":"Time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/c/Users/stu/AppData/Local/Temp/OnboardLogs/RTDC4012 --include="*4012*201712060*"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"%USERPROFILE%\AppData\Local\Temp\OnboardLogs"\RTDC4012\*4012*201712060* &gt;&gt; 2017-12-05-SliceDisagreementCheck.txt</v>
      </c>
      <c r="AE19" s="144" t="str">
        <f t="shared" si="1"/>
        <v>start /low /b %USERPROFILE%\Documents\GitHub\eaglep3\Utilities\DownloadLogsFromS3.py --loco 4012 --day 2017-12-06</v>
      </c>
      <c r="AF19" s="1"/>
    </row>
    <row r="20" spans="1:32" x14ac:dyDescent="0.25">
      <c r="A20" s="31">
        <v>43074.453518518516</v>
      </c>
      <c r="B20" s="30" t="s">
        <v>676</v>
      </c>
      <c r="C20" s="30" t="s">
        <v>686</v>
      </c>
      <c r="D20" s="30" t="s">
        <v>95</v>
      </c>
      <c r="E20" s="30" t="s">
        <v>354</v>
      </c>
      <c r="F20" s="42">
        <v>0</v>
      </c>
      <c r="G20" s="42">
        <v>100</v>
      </c>
      <c r="H20" s="42">
        <v>4772</v>
      </c>
      <c r="I20" s="42">
        <v>4649</v>
      </c>
      <c r="J20" s="30" t="s">
        <v>355</v>
      </c>
      <c r="K20" s="42">
        <v>4798</v>
      </c>
      <c r="L20" s="131" t="s">
        <v>51</v>
      </c>
      <c r="M20" s="132">
        <f>CONVERT((I20-K20)/10000,"mi","ft")*IF(L20="Increasing Mileposts (1)",-1,1)</f>
        <v>-78.671999999999997</v>
      </c>
      <c r="N20" s="133" t="str">
        <f>VLOOKUP(C20,'Trips&amp;Operators'!$C$1:$G$99911,5,FALSE)</f>
        <v>FORTUNATO FRANK</v>
      </c>
      <c r="O20" s="174" t="s">
        <v>348</v>
      </c>
      <c r="P20" s="239" t="s">
        <v>673</v>
      </c>
      <c r="Q20" s="30"/>
      <c r="R20" s="81" t="str">
        <f>VLOOKUP(C20,'Train Runs'!$A$13:$AE$10183,31,0)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S20" s="84" t="str">
        <f>VLOOKUP(C20,'Train Runs'!$A$13:$AE$10183,22,0)</f>
        <v>https://d0f6bd738d7f1b3e5a7ca70fe4ff75f0.us-east-1.aws.found.io/app/kibana#/discover/Steve-Slow-Train-Analysis-(2080s-and-2083s)?_g=(refreshInterval:(display:Off,pause:!f,section:0,value:0),time:(from:'2017-12-05T09:25:26-0700',mode:absolute,to:'2017-12-05T11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/stypes="*4003*201712051*" /stext=" 17:.+((SYSTEM_STATE.+slice.+state.+changed )|(ment ac)|(multiple cpu faults)|(system.+state.+changed )|(\[timeout)|(PRM\|1\|D)|(kpr)|(kdp)|(train st.+moving)|(\|lc)|(penalty))"</v>
      </c>
      <c r="U20" s="9" t="str">
        <f>MID(B20,13,4)</f>
        <v>4003</v>
      </c>
      <c r="V20" s="31">
        <f>A20-utc_offset/24</f>
        <v>43074.74518518518</v>
      </c>
      <c r="W20" s="45" t="str">
        <f>DetSubdiv(C20)</f>
        <v>NW</v>
      </c>
      <c r="X20" s="228">
        <f>VALUE(LEFT(C20,LEN(C20)-3))</f>
        <v>816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Wewatta","project_id":79,"tracker_id":40,"status_id":1,"priority_id":2,"assigned_to_id":338,"start_date":"2017-12-05","description":"","custom_fields":[{"id":1,"name":"Subdivision","value":"NW"},{"id":4,"name":"Milepost","value":"0.4798"},{"id":17,"name":"Train ID","value":"816-05"},{"id":16,"name":"Locomotive ID","value":"4003"},{"id":130,"name":"Impact","value":""},{"id":150,"name":"Time of Event (Mountain Time)","value":"10:53:04"},{"id":151,"name":"Denver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/c/Users/stu/AppData/Local/Temp/OnboardLogs/RTDC4003 --include="*4003*201712051*"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"%USERPROFILE%\AppData\Local\Temp\OnboardLogs"\RTDC4003\*4003*201712051* &gt;&gt; 2017-12-05-SliceDisagreementCheck.txt</v>
      </c>
      <c r="AE20" s="144" t="str">
        <f t="shared" si="1"/>
        <v>start /low /b %USERPROFILE%\Documents\GitHub\eaglep3\Utilities\DownloadLogsFromS3.py --loco 4003 --day 2017-12-05</v>
      </c>
      <c r="AF20" s="1"/>
    </row>
    <row r="21" spans="1:32" x14ac:dyDescent="0.25">
      <c r="A21" s="31">
        <v>43074.536979166667</v>
      </c>
      <c r="B21" s="30" t="s">
        <v>676</v>
      </c>
      <c r="C21" s="30" t="s">
        <v>688</v>
      </c>
      <c r="D21" s="30" t="s">
        <v>95</v>
      </c>
      <c r="E21" s="30" t="s">
        <v>354</v>
      </c>
      <c r="F21" s="42">
        <v>0</v>
      </c>
      <c r="G21" s="42">
        <v>98</v>
      </c>
      <c r="H21" s="42">
        <v>4781</v>
      </c>
      <c r="I21" s="42">
        <v>4619</v>
      </c>
      <c r="J21" s="30" t="s">
        <v>355</v>
      </c>
      <c r="K21" s="42">
        <v>4798</v>
      </c>
      <c r="L21" s="131" t="s">
        <v>51</v>
      </c>
      <c r="M21" s="132">
        <f>CONVERT((I21-K21)/10000,"mi","ft")*IF(L21="Increasing Mileposts (1)",-1,1)</f>
        <v>-94.512</v>
      </c>
      <c r="N21" s="133" t="str">
        <f>VLOOKUP(C21,'Trips&amp;Operators'!$C$1:$G$99911,5,FALSE)</f>
        <v>FORTUNATO FRANK</v>
      </c>
      <c r="O21" s="174" t="s">
        <v>348</v>
      </c>
      <c r="P21" s="239" t="s">
        <v>673</v>
      </c>
      <c r="Q21" s="30"/>
      <c r="R21" s="81" t="str">
        <f>VLOOKUP(C21,'Train Runs'!$A$13:$AE$10183,31,0)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S21" s="84" t="str">
        <f>VLOOKUP(C21,'Train Runs'!$A$13:$AE$10183,22,0)</f>
        <v>https://d0f6bd738d7f1b3e5a7ca70fe4ff75f0.us-east-1.aws.found.io/app/kibana#/discover/Steve-Slow-Train-Analysis-(2080s-and-2083s)?_g=(refreshInterval:(display:Off,pause:!f,section:0,value:0),time:(from:'2017-12-05T11:26:13-0700',mode:absolute,to:'2017-12-05T13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/stypes="*4003*201712051*" /stext=" 19:.+((SYSTEM_STATE.+slice.+state.+changed )|(ment ac)|(multiple cpu faults)|(system.+state.+changed )|(\[timeout)|(PRM\|1\|D)|(kpr)|(kdp)|(train st.+moving)|(\|lc)|(penalty))"</v>
      </c>
      <c r="U21" s="9" t="str">
        <f>MID(B21,13,4)</f>
        <v>4003</v>
      </c>
      <c r="V21" s="31">
        <f>A21-utc_offset/24</f>
        <v>43074.828645833331</v>
      </c>
      <c r="W21" s="45" t="str">
        <f>DetSubdiv(C21)</f>
        <v>NW</v>
      </c>
      <c r="X21" s="228">
        <f>VALUE(LEFT(C21,LEN(C21)-3))</f>
        <v>820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Wewatta","project_id":79,"tracker_id":40,"status_id":1,"priority_id":2,"assigned_to_id":338,"start_date":"2017-12-05","description":"","custom_fields":[{"id":1,"name":"Subdivision","value":"NW"},{"id":4,"name":"Milepost","value":"0.4798"},{"id":17,"name":"Train ID","value":"820-05"},{"id":16,"name":"Locomotive ID","value":"4003"},{"id":130,"name":"Impact","value":""},{"id":150,"name":"Time of Event (Mountain Time)","value":"12:53:15"},{"id":151,"name":"Denver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/c/Users/stu/AppData/Local/Temp/OnboardLogs/RTDC4003 --include="*4003*201712051*"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"%USERPROFILE%\AppData\Local\Temp\OnboardLogs"\RTDC4003\*4003*201712051* &gt;&gt; 2017-12-05-SliceDisagreementCheck.txt</v>
      </c>
      <c r="AE21" s="144" t="str">
        <f t="shared" si="1"/>
        <v>start /low /b %USERPROFILE%\Documents\GitHub\eaglep3\Utilities\DownloadLogsFromS3.py --loco 4003 --day 2017-12-05</v>
      </c>
      <c r="AF21" s="1"/>
    </row>
    <row r="22" spans="1:32" x14ac:dyDescent="0.25">
      <c r="A22" s="31">
        <v>43074.577106481483</v>
      </c>
      <c r="B22" s="30" t="s">
        <v>676</v>
      </c>
      <c r="C22" s="30" t="s">
        <v>689</v>
      </c>
      <c r="D22" s="30" t="s">
        <v>49</v>
      </c>
      <c r="E22" s="30" t="s">
        <v>354</v>
      </c>
      <c r="F22" s="42">
        <v>0</v>
      </c>
      <c r="G22" s="42">
        <v>229</v>
      </c>
      <c r="H22" s="42">
        <v>11265</v>
      </c>
      <c r="I22" s="42">
        <v>10887</v>
      </c>
      <c r="J22" s="30" t="s">
        <v>355</v>
      </c>
      <c r="K22" s="42">
        <v>11018</v>
      </c>
      <c r="L22" s="131" t="s">
        <v>51</v>
      </c>
      <c r="M22" s="132">
        <f>CONVERT((I22-K22)/10000,"mi","ft")*IF(L22="Increasing Mileposts (1)",-1,1)</f>
        <v>-69.168000000000006</v>
      </c>
      <c r="N22" s="133" t="str">
        <f>VLOOKUP(C22,'Trips&amp;Operators'!$C$1:$G$99911,5,FALSE)</f>
        <v>LONG FULLER</v>
      </c>
      <c r="O22" s="174" t="s">
        <v>348</v>
      </c>
      <c r="P22" s="239" t="s">
        <v>450</v>
      </c>
      <c r="Q22" s="30"/>
      <c r="R22" s="81" t="str">
        <f>VLOOKUP(C22,'Train Runs'!$A$13:$AE$10183,31,0)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S22" s="84" t="str">
        <f>VLOOKUP(C22,'Train Runs'!$A$13:$AE$10183,22,0)</f>
        <v>https://d0f6bd738d7f1b3e5a7ca70fe4ff75f0.us-east-1.aws.found.io/app/kibana#/discover/Steve-Slow-Train-Analysis-(2080s-and-2083s)?_g=(refreshInterval:(display:Off,pause:!f,section:0,value:0),time:(from:'2017-12-05T12:29:38-0700',mode:absolute,to:'2017-12-05T14:57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/stypes="*4003*201712052*" /stext=" 20:.+((SYSTEM_STATE.+slice.+state.+changed )|(ment ac)|(multiple cpu faults)|(system.+state.+changed )|(\[timeout)|(PRM\|1\|D)|(kpr)|(kdp)|(train st.+moving)|(\|lc)|(penalty))"</v>
      </c>
      <c r="U22" s="9" t="str">
        <f>MID(B22,13,4)</f>
        <v>4003</v>
      </c>
      <c r="V22" s="31">
        <f>A22-utc_offset/24</f>
        <v>43074.868773148148</v>
      </c>
      <c r="W22" s="45" t="str">
        <f>DetSubdiv(C22)</f>
        <v>NW</v>
      </c>
      <c r="X22" s="228">
        <f>VALUE(LEFT(C22,LEN(C22)-3))</f>
        <v>822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drop","project_id":79,"tracker_id":40,"status_id":1,"priority_id":2,"assigned_to_id":338,"start_date":"2017-12-05","description":"","custom_fields":[{"id":1,"name":"Subdivision","value":"NW"},{"id":4,"name":"Milepost","value":"1.1018"},{"id":17,"name":"Train ID","value":"822-05"},{"id":16,"name":"Locomotive ID","value":"4003"},{"id":130,"name":"Impact","value":""},{"id":150,"name":"Time of Event (Mountain Time)","value":"13:51:02"},{"id":151,"name":"Denver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/c/Users/stu/AppData/Local/Temp/OnboardLogs/RTDC4003 --include="*4003*201712052*"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"%USERPROFILE%\AppData\Local\Temp\OnboardLogs"\RTDC4003\*4003*201712052* &gt;&gt; 2017-12-05-SliceDisagreementCheck.txt</v>
      </c>
      <c r="AE22" s="144" t="str">
        <f t="shared" si="1"/>
        <v>start /low /b %USERPROFILE%\Documents\GitHub\eaglep3\Utilities\DownloadLogsFromS3.py --loco 4003 --day 2017-12-05</v>
      </c>
      <c r="AF22" s="1"/>
    </row>
    <row r="23" spans="1:32" x14ac:dyDescent="0.25">
      <c r="A23" s="31">
        <v>43074.617222222223</v>
      </c>
      <c r="B23" s="30" t="s">
        <v>676</v>
      </c>
      <c r="C23" s="30" t="s">
        <v>691</v>
      </c>
      <c r="D23" s="30" t="s">
        <v>95</v>
      </c>
      <c r="E23" s="30" t="s">
        <v>569</v>
      </c>
      <c r="F23" s="42">
        <v>0</v>
      </c>
      <c r="G23" s="42">
        <v>307</v>
      </c>
      <c r="H23" s="42">
        <v>23184</v>
      </c>
      <c r="I23" s="42">
        <v>22622</v>
      </c>
      <c r="J23" s="30" t="s">
        <v>570</v>
      </c>
      <c r="K23" s="42">
        <v>24235</v>
      </c>
      <c r="L23" s="131" t="s">
        <v>51</v>
      </c>
      <c r="M23" s="132">
        <f>CONVERT((I23-K23)/10000,"mi","ft")*IF(L23="Increasing Mileposts (1)",-1,1)</f>
        <v>-851.66399999999999</v>
      </c>
      <c r="N23" s="133" t="str">
        <f>VLOOKUP(C23,'Trips&amp;Operators'!$C$1:$G$99911,5,FALSE)</f>
        <v>LONG FULLER</v>
      </c>
      <c r="O23" s="174" t="s">
        <v>348</v>
      </c>
      <c r="P23" s="239" t="s">
        <v>450</v>
      </c>
      <c r="Q23" s="30"/>
      <c r="R23" s="81" t="str">
        <f>VLOOKUP(C23,'Train Runs'!$A$13:$AE$10183,31,0)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S23" s="84" t="str">
        <f>VLOOKUP(C23,'Train Runs'!$A$13:$AE$10183,22,0)</f>
        <v>https://d0f6bd738d7f1b3e5a7ca70fe4ff75f0.us-east-1.aws.found.io/app/kibana#/discover/Steve-Slow-Train-Analysis-(2080s-and-2083s)?_g=(refreshInterval:(display:Off,pause:!f,section:0,value:0),time:(from:'2017-12-05T13:24:20-0700',mode:absolute,to:'2017-12-05T15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/stypes="*4003*201712052*" /stext=" 21:.+((SYSTEM_STATE.+slice.+state.+changed )|(ment ac)|(multiple cpu faults)|(system.+state.+changed )|(\[timeout)|(PRM\|1\|D)|(kpr)|(kdp)|(train st.+moving)|(\|lc)|(penalty))"</v>
      </c>
      <c r="U23" s="9" t="str">
        <f>MID(B23,13,4)</f>
        <v>4003</v>
      </c>
      <c r="V23" s="31">
        <f>A23-utc_offset/24</f>
        <v>43074.908888888887</v>
      </c>
      <c r="W23" s="45" t="str">
        <f>DetSubdiv(C23)</f>
        <v>NW</v>
      </c>
      <c r="X23" s="228">
        <f>VALUE(LEFT(C23,LEN(C23)-3))</f>
        <v>824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drop","project_id":79,"tracker_id":40,"status_id":1,"priority_id":2,"assigned_to_id":338,"start_date":"2017-12-05","description":"","custom_fields":[{"id":1,"name":"Subdivision","value":"NW"},{"id":4,"name":"Milepost","value":"2.4235"},{"id":17,"name":"Train ID","value":"824-05"},{"id":16,"name":"Locomotive ID","value":"4003"},{"id":130,"name":"Impact","value":""},{"id":150,"name":"Time of Event (Mountain Time)","value":"14:48:48"},{"id":151,"name":"Denver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/c/Users/stu/AppData/Local/Temp/OnboardLogs/RTDC4003 --include="*4003*201712052*"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"%USERPROFILE%\AppData\Local\Temp\OnboardLogs"\RTDC4003\*4003*201712052* &gt;&gt; 2017-12-05-SliceDisagreementCheck.txt</v>
      </c>
      <c r="AE23" s="144" t="str">
        <f t="shared" si="1"/>
        <v>start /low /b %USERPROFILE%\Documents\GitHub\eaglep3\Utilities\DownloadLogsFromS3.py --loco 4003 --day 2017-12-05</v>
      </c>
      <c r="AF23" s="1"/>
    </row>
    <row r="24" spans="1:32" x14ac:dyDescent="0.25">
      <c r="A24" s="31">
        <v>43074.831585648149</v>
      </c>
      <c r="B24" s="30" t="s">
        <v>676</v>
      </c>
      <c r="C24" s="30" t="s">
        <v>695</v>
      </c>
      <c r="D24" s="30" t="s">
        <v>49</v>
      </c>
      <c r="E24" s="30" t="s">
        <v>452</v>
      </c>
      <c r="F24" s="42">
        <v>0</v>
      </c>
      <c r="G24" s="42">
        <v>100</v>
      </c>
      <c r="H24" s="42">
        <v>327</v>
      </c>
      <c r="I24" s="42">
        <v>222</v>
      </c>
      <c r="J24" s="30" t="s">
        <v>453</v>
      </c>
      <c r="K24" s="42">
        <v>1</v>
      </c>
      <c r="L24" s="131" t="s">
        <v>51</v>
      </c>
      <c r="M24" s="132">
        <f>CONVERT((I24-K24)/10000,"mi","ft")*IF(L24="Increasing Mileposts (1)",-1,1)</f>
        <v>116.688</v>
      </c>
      <c r="N24" s="133" t="str">
        <f>VLOOKUP(C24,'Trips&amp;Operators'!$C$1:$G$99911,5,FALSE)</f>
        <v>LONG FULLER</v>
      </c>
      <c r="O24" s="174" t="s">
        <v>178</v>
      </c>
      <c r="P24" s="239"/>
      <c r="Q24" s="30"/>
      <c r="R24" s="81" t="str">
        <f>VLOOKUP(C24,'Train Runs'!$A$13:$AE$10183,31,0)</f>
        <v>aws s3 cp s3://rtdc.mdm.uploadarchive.raw/RTDC4003/ "%USERPROFILE%\AppData\Local\Temp\OnboardLogs"\RTDC4003\2017-12-05 --exclude "*" --recursive --include "*20171205*" &amp; "%USERPROFILE%\Documents\GitHub\mrs-test-scripts\Headless Mode &amp; Sideloading\WalkAndUnGZ.bat" "%USERPROFILE%\AppData\Local\Temp\OnboardLogs"\RTDC4003\2017-12-05 &amp; 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</v>
      </c>
      <c r="S24" s="84" t="str">
        <f>VLOOKUP(C24,'Train Runs'!$A$13:$AE$10183,22,0)</f>
        <v>https://d0f6bd738d7f1b3e5a7ca70fe4ff75f0.us-east-1.aws.found.io/app/kibana#/discover/Steve-Slow-Train-Analysis-(2080s-and-2083s)?_g=(refreshInterval:(display:Off,pause:!f,section:0,value:0),time:(from:'2017-12-05T18:27:50-0700',mode:absolute,to:'2017-12-05T20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/stypes="*4003*201712060*" /stext=" 02:.+((SYSTEM_STATE.+slice.+state.+changed )|(ment ac)|(multiple cpu faults)|(system.+state.+changed )|(\[timeout)|(PRM\|1\|D)|(kpr)|(kdp)|(train st.+moving)|(\|lc)|(penalty))"</v>
      </c>
      <c r="U24" s="9" t="str">
        <f>MID(B24,13,4)</f>
        <v>4003</v>
      </c>
      <c r="V24" s="31">
        <f>A24-utc_offset/24</f>
        <v>43075.123252314814</v>
      </c>
      <c r="W24" s="45" t="str">
        <f>DetSubdiv(C24)</f>
        <v>NW</v>
      </c>
      <c r="X24" s="228">
        <f>VALUE(LEFT(C24,LEN(C24)-3))</f>
        <v>840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{"issue":{"subject":"","project_id":79,"tracker_id":40,"status_id":1,"priority_id":2,"assigned_to_id":338,"start_date":"2017-12-05","description":"","custom_fields":[{"id":1,"name":"Subdivision","value":"NW"},{"id":4,"name":"Milepost","value":"0.0001"},{"id":17,"name":"Train ID","value":"840-05"},{"id":16,"name":"Locomotive ID","value":"4003"},{"id":130,"name":"Impact","value":""},{"id":150,"name":"Time of Event (Mountain Time)","value":"19:57:29"},{"id":151,"name":"Denver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/c/Users/stu/AppData/Local/Temp/OnboardLogs/RTDC4003 --include="*4003*201712060*"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"%USERPROFILE%\AppData\Local\Temp\OnboardLogs"\RTDC4003\*4003*201712060* &gt;&gt; 2017-12-05-SliceDisagreementCheck.txt</v>
      </c>
      <c r="AE24" s="144" t="str">
        <f t="shared" si="1"/>
        <v>start /low /b %USERPROFILE%\Documents\GitHub\eaglep3\Utilities\DownloadLogsFromS3.py --loco 4003 --day 2017-12-06</v>
      </c>
      <c r="AF24" s="1"/>
    </row>
    <row r="25" spans="1:32" x14ac:dyDescent="0.25">
      <c r="A25" s="31">
        <v>43074.973819444444</v>
      </c>
      <c r="B25" s="30" t="s">
        <v>696</v>
      </c>
      <c r="C25" s="30" t="s">
        <v>698</v>
      </c>
      <c r="D25" s="30" t="s">
        <v>49</v>
      </c>
      <c r="E25" s="30" t="s">
        <v>452</v>
      </c>
      <c r="F25" s="42">
        <v>0</v>
      </c>
      <c r="G25" s="42">
        <v>132</v>
      </c>
      <c r="H25" s="42">
        <v>57971</v>
      </c>
      <c r="I25" s="42">
        <v>58112</v>
      </c>
      <c r="J25" s="30" t="s">
        <v>453</v>
      </c>
      <c r="K25" s="42">
        <v>59048</v>
      </c>
      <c r="L25" s="131" t="s">
        <v>50</v>
      </c>
      <c r="M25" s="132">
        <f>CONVERT((I25-K25)/10000,"mi","ft")*IF(L25="Increasing Mileposts (1)",-1,1)</f>
        <v>494.20800000000003</v>
      </c>
      <c r="N25" s="133" t="str">
        <f>VLOOKUP(C25,'Trips&amp;Operators'!$C$1:$G$99911,5,FALSE)</f>
        <v>AUSTIN THOMPSON</v>
      </c>
      <c r="O25" s="174" t="s">
        <v>178</v>
      </c>
      <c r="P25" s="239"/>
      <c r="Q25" s="30"/>
      <c r="R25" s="81" t="str">
        <f>VLOOKUP(C25,'Train Runs'!$A$13:$AE$10183,31,0)</f>
        <v>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 &amp; 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</v>
      </c>
      <c r="S25" s="84" t="str">
        <f>VLOOKUP(C25,'Train Runs'!$A$13:$AE$10183,22,0)</f>
        <v>https://d0f6bd738d7f1b3e5a7ca70fe4ff75f0.us-east-1.aws.found.io/app/kibana#/discover/Steve-Slow-Train-Analysis-(2080s-and-2083s)?_g=(refreshInterval:(display:Off,pause:!f,section:0,value:0),time:(from:'2017-12-05T22:03:36-0700',mode:absolute,to:'2017-12-06T00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/stypes="*4004*201712060*" /stext=" 06:.+((SYSTEM_STATE.+slice.+state.+changed )|(ment ac)|(multiple cpu faults)|(system.+state.+changed )|(\[timeout)|(PRM\|1\|D)|(kpr)|(kdp)|(train st.+moving)|(\|lc)|(penalty))"</v>
      </c>
      <c r="U25" s="9" t="str">
        <f>MID(B25,13,4)</f>
        <v>4004</v>
      </c>
      <c r="V25" s="31">
        <f>A25-utc_offset/24</f>
        <v>43075.265486111108</v>
      </c>
      <c r="W25" s="45" t="str">
        <f>DetSubdiv(C25)</f>
        <v>NW</v>
      </c>
      <c r="X25" s="228">
        <f>VALUE(LEFT(C25,LEN(C25)-3))</f>
        <v>849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{"issue":{"subject":"","project_id":79,"tracker_id":40,"status_id":1,"priority_id":2,"assigned_to_id":338,"start_date":"2017-12-05","description":"","custom_fields":[{"id":1,"name":"Subdivision","value":"NW"},{"id":4,"name":"Milepost","value":"5.9048"},{"id":17,"name":"Train ID","value":"849-05"},{"id":16,"name":"Locomotive ID","value":"4004"},{"id":130,"name":"Impact","value":""},{"id":150,"name":"Time of Event (Mountain Time)","value":"23:22:18"},{"id":151,"name":"Denver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/c/Users/stu/AppData/Local/Temp/OnboardLogs/RTDC4004 --include="*4004*201712060*"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"%USERPROFILE%\AppData\Local\Temp\OnboardLogs"\RTDC4004\*4004*201712060* &gt;&gt; 2017-12-05-SliceDisagreementCheck.txt</v>
      </c>
      <c r="AE25" s="144" t="str">
        <f t="shared" si="1"/>
        <v>start /low /b %USERPROFILE%\Documents\GitHub\eaglep3\Utilities\DownloadLogsFromS3.py --loco 4004 --day 2017-12-06</v>
      </c>
      <c r="AF25" s="1"/>
    </row>
    <row r="26" spans="1:32" x14ac:dyDescent="0.25">
      <c r="A26" s="31">
        <v>43074.822800925926</v>
      </c>
      <c r="B26" s="30" t="s">
        <v>363</v>
      </c>
      <c r="C26" s="30" t="s">
        <v>694</v>
      </c>
      <c r="D26" s="30" t="s">
        <v>49</v>
      </c>
      <c r="E26" s="30" t="s">
        <v>354</v>
      </c>
      <c r="F26" s="42">
        <v>0</v>
      </c>
      <c r="G26" s="42">
        <v>449</v>
      </c>
      <c r="H26" s="42">
        <v>11912</v>
      </c>
      <c r="I26" s="42">
        <v>13497</v>
      </c>
      <c r="J26" s="30" t="s">
        <v>355</v>
      </c>
      <c r="K26" s="42">
        <v>13677</v>
      </c>
      <c r="L26" s="131" t="s">
        <v>50</v>
      </c>
      <c r="M26" s="132">
        <f>CONVERT((I26-K26)/10000,"mi","ft")*IF(L26="Increasing Mileposts (1)",-1,1)</f>
        <v>95.04</v>
      </c>
      <c r="N26" s="133" t="str">
        <f>VLOOKUP(C26,'Trips&amp;Operators'!$C$1:$G$99911,5,FALSE)</f>
        <v>SMITH MICHAEL</v>
      </c>
      <c r="O26" s="174" t="s">
        <v>178</v>
      </c>
      <c r="P26" s="239"/>
      <c r="Q26" s="30"/>
      <c r="R26" s="81" t="e">
        <f>VLOOKUP(C26,'Train Runs'!$A$13:$AE$10183,31,0)</f>
        <v>#N/A</v>
      </c>
      <c r="S26" s="84" t="e">
        <f>VLOOKUP(C26,'Train Runs'!$A$13:$AE$10183,22,0)</f>
        <v>#N/A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/stypes="*4036*201712060*" /stext=" 02:.+((SYSTEM_STATE.+slice.+state.+changed )|(ment ac)|(multiple cpu faults)|(system.+state.+changed )|(\[timeout)|(PRM\|1\|D)|(kpr)|(kdp)|(train st.+moving)|(\|lc)|(penalty))"</v>
      </c>
      <c r="U26" s="9" t="str">
        <f>MID(B26,13,4)</f>
        <v>4036</v>
      </c>
      <c r="V26" s="31">
        <f>A26-utc_offset/24</f>
        <v>43075.11446759259</v>
      </c>
      <c r="W26" s="45" t="str">
        <f>DetSubdiv(C26)</f>
        <v>Other</v>
      </c>
      <c r="X26" s="228">
        <f>VALUE(LEFT(C26,LEN(C26)-3))</f>
        <v>305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{"issue":{"subject":"","project_id":79,"tracker_id":40,"status_id":1,"priority_id":2,"assigned_to_id":338,"start_date":"2017-12-05","description":"","custom_fields":[{"id":1,"name":"Subdivision","value":"Other"},{"id":4,"name":"Milepost","value":"1.3677"},{"id":17,"name":"Train ID","value":"305-05"},{"id":16,"name":"Locomotive ID","value":"4036"},{"id":130,"name":"Impact","value":""},{"id":150,"name":"Time of Event (Mountain Time)","value":"19:44:50"},{"id":151,"name":"Denver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/c/Users/stu/AppData/Local/Temp/OnboardLogs/RTDC4036 --include="*4036*201712060*"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"%USERPROFILE%\AppData\Local\Temp\OnboardLogs"\RTDC4036\*4036*201712060* &gt;&gt; 2017-12-05-SliceDisagreementCheck.txt</v>
      </c>
      <c r="AE26" s="144" t="str">
        <f t="shared" si="1"/>
        <v>start /low /b %USERPROFILE%\Documents\GitHub\eaglep3\Utilities\DownloadLogsFromS3.py --loco 4036 --day 2017-12-06</v>
      </c>
      <c r="AF26" s="1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</sheetData>
  <autoFilter ref="A6:AC15">
    <sortState ref="A7:AC26">
      <sortCondition ref="W7:W26"/>
      <sortCondition ref="E7:E26"/>
      <sortCondition ref="K7:K26"/>
      <sortCondition ref="F7:F26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3:O1048576 O7:O26">
    <cfRule type="cellIs" dxfId="10" priority="42" operator="equal">
      <formula>"Y"</formula>
    </cfRule>
  </conditionalFormatting>
  <conditionalFormatting sqref="O2:O3">
    <cfRule type="cellIs" dxfId="9" priority="33" operator="equal">
      <formula>"Y"</formula>
    </cfRule>
  </conditionalFormatting>
  <conditionalFormatting sqref="A7:P26">
    <cfRule type="expression" dxfId="8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AA7:AA26</xm:sqref>
        </x14:dataValidation>
        <x14:dataValidation type="list" allowBlank="1" showInputMessage="1" showErrorMessage="1">
          <x14:formula1>
            <xm:f>'Redmine List Values'!$C$2:$C$15</xm:f>
          </x14:formula1>
          <xm:sqref>AB7:AB26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1" t="str">
        <f>"Trips that did not appear in PTC Data "&amp;TEXT(Variables!$A$2,"YYYY-mm-dd")</f>
        <v>Trips that did not appear in PTC Data 2017-12-05</v>
      </c>
      <c r="C1" s="251"/>
      <c r="D1" s="251"/>
      <c r="E1" s="251"/>
      <c r="F1" s="251"/>
      <c r="I1" s="187"/>
    </row>
    <row r="2" spans="1:10" s="23" customFormat="1" ht="45" x14ac:dyDescent="0.25">
      <c r="A2" s="221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/>
      <c r="B3" s="42" t="str">
        <f>A3&amp;"-"&amp;IF(DAY(Variables!$A$2)&lt;10,0,"")&amp;DAY(Variables!$A$2)</f>
        <v>-05</v>
      </c>
      <c r="C3" s="134"/>
      <c r="D3" s="222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Runs'!$A$13:$A$100180,1,FALSE)</f>
        <v>#N/A</v>
      </c>
    </row>
    <row r="4" spans="1:10" x14ac:dyDescent="0.25">
      <c r="A4" s="196"/>
      <c r="B4" s="42" t="str">
        <f>A4&amp;"-"&amp;IF(DAY(Variables!$A$2)&lt;10,0,"")&amp;DAY(Variables!$A$2)</f>
        <v>-05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Runs'!$A$13:$A$100180,1,FALSE)</f>
        <v>#N/A</v>
      </c>
    </row>
    <row r="5" spans="1:10" x14ac:dyDescent="0.25">
      <c r="A5" s="196"/>
      <c r="B5" s="42" t="str">
        <f>A5&amp;"-"&amp;IF(DAY(Variables!$A$2)&lt;10,0,"")&amp;DAY(Variables!$A$2)</f>
        <v>-05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Runs'!$A$13:$A$100180,1,FALSE)</f>
        <v>#N/A</v>
      </c>
    </row>
    <row r="6" spans="1:10" x14ac:dyDescent="0.25">
      <c r="A6" s="196"/>
      <c r="B6" s="42" t="str">
        <f>A6&amp;"-"&amp;IF(DAY(Variables!$A$2)&lt;10,0,"")&amp;DAY(Variables!$A$2)</f>
        <v>-05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Runs'!$A$13:$A$100180,1,FALSE)</f>
        <v>#N/A</v>
      </c>
    </row>
    <row r="7" spans="1:10" x14ac:dyDescent="0.25">
      <c r="A7" s="196"/>
      <c r="B7" s="42" t="str">
        <f>A7&amp;"-"&amp;IF(DAY(Variables!$A$2)&lt;10,0,"")&amp;DAY(Variables!$A$2)</f>
        <v>-05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Runs'!$A$13:$A$100180,1,FALSE)</f>
        <v>#N/A</v>
      </c>
    </row>
    <row r="8" spans="1:10" x14ac:dyDescent="0.25">
      <c r="A8" s="196"/>
      <c r="B8" s="42" t="str">
        <f>A8&amp;"-"&amp;IF(DAY(Variables!$A$2)&lt;10,0,"")&amp;DAY(Variables!$A$2)</f>
        <v>-05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Runs'!$A$13:$A$100180,1,FALSE)</f>
        <v>#N/A</v>
      </c>
    </row>
    <row r="9" spans="1:10" x14ac:dyDescent="0.25">
      <c r="A9" s="196"/>
      <c r="B9" s="42" t="str">
        <f>A9&amp;"-"&amp;IF(DAY(Variables!$A$2)&lt;10,0,"")&amp;DAY(Variables!$A$2)</f>
        <v>-05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Runs'!$A$13:$A$100180,1,FALSE)</f>
        <v>#N/A</v>
      </c>
    </row>
    <row r="10" spans="1:10" x14ac:dyDescent="0.25">
      <c r="A10" s="196"/>
      <c r="B10" s="42" t="str">
        <f>A10&amp;"-"&amp;IF(DAY(Variables!$A$2)&lt;10,0,"")&amp;DAY(Variables!$A$2)</f>
        <v>-05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Runs'!$A$13:$A$100180,1,FALSE)</f>
        <v>#N/A</v>
      </c>
    </row>
    <row r="11" spans="1:10" x14ac:dyDescent="0.25">
      <c r="A11" s="196"/>
      <c r="B11" s="42" t="str">
        <f>A11&amp;"-"&amp;IF(DAY(Variables!$A$2)&lt;10,0,"")&amp;DAY(Variables!$A$2)</f>
        <v>-05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Runs'!$A$13:$A$100180,1,FALSE)</f>
        <v>#N/A</v>
      </c>
    </row>
    <row r="12" spans="1:10" x14ac:dyDescent="0.25">
      <c r="A12" s="196"/>
      <c r="B12" s="42" t="str">
        <f>A12&amp;"-"&amp;IF(DAY(Variables!$A$2)&lt;10,0,"")&amp;DAY(Variables!$A$2)</f>
        <v>-05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Runs'!$A$13:$A$100180,1,FALSE)</f>
        <v>#N/A</v>
      </c>
    </row>
    <row r="13" spans="1:10" x14ac:dyDescent="0.25">
      <c r="A13" s="196"/>
      <c r="B13" s="42" t="str">
        <f>A13&amp;"-"&amp;IF(DAY(Variables!$A$2)&lt;10,0,"")&amp;DAY(Variables!$A$2)</f>
        <v>-05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Runs'!$A$13:$A$100180,1,FALSE)</f>
        <v>#N/A</v>
      </c>
    </row>
    <row r="14" spans="1:10" x14ac:dyDescent="0.25">
      <c r="A14" s="196"/>
      <c r="B14" s="42" t="str">
        <f>A14&amp;"-"&amp;IF(DAY(Variables!$A$2)&lt;10,0,"")&amp;DAY(Variables!$A$2)</f>
        <v>-05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Runs'!$A$13:$A$100180,1,FALSE)</f>
        <v>#N/A</v>
      </c>
    </row>
    <row r="15" spans="1:10" x14ac:dyDescent="0.25">
      <c r="A15" s="196"/>
      <c r="B15" s="42" t="str">
        <f>A15&amp;"-"&amp;IF(DAY(Variables!$A$2)&lt;10,0,"")&amp;DAY(Variables!$A$2)</f>
        <v>-05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Runs'!$A$13:$A$100180,1,FALSE)</f>
        <v>#N/A</v>
      </c>
    </row>
    <row r="16" spans="1:10" x14ac:dyDescent="0.25">
      <c r="A16" s="196"/>
      <c r="B16" s="42" t="str">
        <f>A16&amp;"-"&amp;IF(DAY(Variables!$A$2)&lt;10,0,"")&amp;DAY(Variables!$A$2)</f>
        <v>-05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Runs'!$A$13:$A$100180,1,FALSE)</f>
        <v>#N/A</v>
      </c>
    </row>
    <row r="17" spans="1:10" x14ac:dyDescent="0.25">
      <c r="A17" s="196"/>
      <c r="B17" s="42" t="str">
        <f>A17&amp;"-"&amp;IF(DAY(Variables!$A$2)&lt;10,0,"")&amp;DAY(Variables!$A$2)</f>
        <v>-05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Runs'!$A$13:$A$100180,1,FALSE)</f>
        <v>#N/A</v>
      </c>
    </row>
    <row r="18" spans="1:10" x14ac:dyDescent="0.25">
      <c r="A18" s="196"/>
      <c r="B18" s="42" t="str">
        <f>A18&amp;"-"&amp;IF(DAY(Variables!$A$2)&lt;10,0,"")&amp;DAY(Variables!$A$2)</f>
        <v>-05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Runs'!$A$13:$A$100180,1,FALSE)</f>
        <v>#N/A</v>
      </c>
    </row>
    <row r="19" spans="1:10" x14ac:dyDescent="0.25">
      <c r="A19" s="196"/>
      <c r="B19" s="42"/>
      <c r="C19" s="134"/>
      <c r="D19" s="152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4"/>
      <c r="D20" s="152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4"/>
      <c r="D21" s="152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4"/>
      <c r="D22" s="152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4"/>
      <c r="D23" s="152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4"/>
      <c r="D24" s="152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4"/>
      <c r="D25" s="152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4"/>
      <c r="D26" s="152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4"/>
      <c r="D27" s="152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4"/>
      <c r="D28" s="152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4"/>
      <c r="D29" s="152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4"/>
      <c r="D30" s="152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4"/>
      <c r="D31" s="152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4"/>
      <c r="D32" s="152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4"/>
      <c r="D33" s="152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4"/>
      <c r="D34" s="152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4"/>
      <c r="D35" s="152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4"/>
      <c r="D36" s="152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4"/>
      <c r="D37" s="152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4"/>
      <c r="D38" s="152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4"/>
      <c r="D39" s="152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4"/>
      <c r="D40" s="152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4"/>
      <c r="D41" s="152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4"/>
      <c r="D42" s="152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4"/>
      <c r="D43" s="152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4"/>
      <c r="D44" s="152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4"/>
      <c r="D45" s="152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4"/>
      <c r="D46" s="152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4"/>
      <c r="D47" s="152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4"/>
      <c r="D48" s="152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4"/>
      <c r="D49" s="152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4"/>
      <c r="D50" s="152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4"/>
      <c r="D51" s="152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4"/>
      <c r="D52" s="152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4"/>
      <c r="D53" s="152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4"/>
      <c r="D54" s="152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4"/>
      <c r="D55" s="152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4"/>
      <c r="D56" s="152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4"/>
      <c r="D57" s="152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4"/>
      <c r="D58" s="152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4"/>
      <c r="D59" s="152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4"/>
      <c r="D60" s="152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4"/>
      <c r="D61" s="152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4"/>
      <c r="D62" s="152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4"/>
      <c r="D63" s="152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4"/>
      <c r="D64" s="152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4"/>
      <c r="D65" s="152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4"/>
      <c r="D66" s="152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4"/>
      <c r="D67" s="152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4"/>
      <c r="D68" s="152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4"/>
      <c r="D69" s="152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4"/>
      <c r="D70" s="152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4"/>
      <c r="D71" s="152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4"/>
      <c r="D72" s="152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4"/>
      <c r="D73" s="152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4"/>
      <c r="D74" s="152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43074.034837962965</v>
      </c>
      <c r="B2" s="20" t="s">
        <v>358</v>
      </c>
      <c r="C2" s="20" t="s">
        <v>571</v>
      </c>
      <c r="D2" s="137">
        <v>3220000</v>
      </c>
      <c r="E2" s="20" t="s">
        <v>370</v>
      </c>
      <c r="F2" s="20" t="s">
        <v>371</v>
      </c>
      <c r="G2" s="8" t="str">
        <f>E2&amp;" "&amp;F2</f>
        <v>RESPASS AARON</v>
      </c>
      <c r="H2" t="str">
        <f>MID(B2,13,4)</f>
        <v>4007</v>
      </c>
    </row>
    <row r="3" spans="1:8" x14ac:dyDescent="0.25">
      <c r="A3" s="8">
        <v>43074.047951388886</v>
      </c>
      <c r="B3" s="20" t="s">
        <v>580</v>
      </c>
      <c r="C3" s="20" t="s">
        <v>608</v>
      </c>
      <c r="D3" s="137">
        <v>890000</v>
      </c>
      <c r="E3" s="20" t="s">
        <v>344</v>
      </c>
      <c r="F3" s="20" t="s">
        <v>345</v>
      </c>
      <c r="G3" s="8" t="str">
        <f t="shared" ref="G3:G66" si="0">E3&amp;" "&amp;F3</f>
        <v>LOZA FIDEL</v>
      </c>
      <c r="H3" s="20" t="str">
        <f t="shared" ref="H3:H66" si="1">MID(B3,13,4)</f>
        <v>4064</v>
      </c>
    </row>
    <row r="4" spans="1:8" x14ac:dyDescent="0.25">
      <c r="A4" s="8">
        <v>43074.054861111108</v>
      </c>
      <c r="B4" s="20" t="s">
        <v>520</v>
      </c>
      <c r="C4" s="20" t="s">
        <v>609</v>
      </c>
      <c r="D4" s="137">
        <v>3040000</v>
      </c>
      <c r="E4" s="20" t="s">
        <v>365</v>
      </c>
      <c r="F4" s="20" t="s">
        <v>421</v>
      </c>
      <c r="G4" s="8" t="str">
        <f t="shared" si="0"/>
        <v>WILLIAMS DONTE</v>
      </c>
      <c r="H4" s="20" t="str">
        <f t="shared" si="1"/>
        <v>4009</v>
      </c>
    </row>
    <row r="5" spans="1:8" x14ac:dyDescent="0.25">
      <c r="A5" s="8">
        <v>43074.067465277774</v>
      </c>
      <c r="B5" s="20" t="s">
        <v>356</v>
      </c>
      <c r="C5" s="20" t="s">
        <v>610</v>
      </c>
      <c r="D5" s="137">
        <v>3220000</v>
      </c>
      <c r="E5" s="20" t="s">
        <v>370</v>
      </c>
      <c r="F5" s="20" t="s">
        <v>371</v>
      </c>
      <c r="G5" s="8" t="str">
        <f t="shared" si="0"/>
        <v>RESPASS AARON</v>
      </c>
      <c r="H5" s="20" t="str">
        <f t="shared" si="1"/>
        <v>4008</v>
      </c>
    </row>
    <row r="6" spans="1:8" x14ac:dyDescent="0.25">
      <c r="A6" s="8">
        <v>43074.088437500002</v>
      </c>
      <c r="B6" s="20" t="s">
        <v>521</v>
      </c>
      <c r="C6" s="20" t="s">
        <v>611</v>
      </c>
      <c r="D6" s="137">
        <v>3040000</v>
      </c>
      <c r="E6" s="20" t="s">
        <v>365</v>
      </c>
      <c r="F6" s="20" t="s">
        <v>421</v>
      </c>
      <c r="G6" s="8" t="str">
        <f t="shared" si="0"/>
        <v>WILLIAMS DONTE</v>
      </c>
      <c r="H6" s="20" t="str">
        <f t="shared" si="1"/>
        <v>4010</v>
      </c>
    </row>
    <row r="7" spans="1:8" x14ac:dyDescent="0.25">
      <c r="A7" s="8">
        <v>43074.116631944446</v>
      </c>
      <c r="B7" s="20" t="s">
        <v>700</v>
      </c>
      <c r="C7" s="20" t="s">
        <v>701</v>
      </c>
      <c r="D7" s="137">
        <v>1830000</v>
      </c>
      <c r="E7" s="20" t="s">
        <v>346</v>
      </c>
      <c r="F7" s="20" t="s">
        <v>347</v>
      </c>
      <c r="G7" s="8" t="str">
        <f t="shared" si="0"/>
        <v>YORK EDGAR</v>
      </c>
      <c r="H7" s="20" t="str">
        <f t="shared" si="1"/>
        <v>4015</v>
      </c>
    </row>
    <row r="8" spans="1:8" x14ac:dyDescent="0.25">
      <c r="A8" s="8">
        <v>43074.124699074076</v>
      </c>
      <c r="B8" s="20" t="s">
        <v>702</v>
      </c>
      <c r="C8" s="20" t="s">
        <v>703</v>
      </c>
      <c r="D8" s="137">
        <v>1090000</v>
      </c>
      <c r="E8" s="20" t="s">
        <v>573</v>
      </c>
      <c r="F8" s="20" t="s">
        <v>352</v>
      </c>
      <c r="G8" s="8" t="str">
        <f t="shared" si="0"/>
        <v>SPECTOR MICHAEL</v>
      </c>
      <c r="H8" s="20" t="str">
        <f t="shared" si="1"/>
        <v>4016</v>
      </c>
    </row>
    <row r="9" spans="1:8" ht="15.75" thickBot="1" x14ac:dyDescent="0.3">
      <c r="A9" s="24">
        <v>43074.125578703701</v>
      </c>
      <c r="B9" s="20" t="s">
        <v>425</v>
      </c>
      <c r="C9" s="20" t="s">
        <v>704</v>
      </c>
      <c r="D9" s="137">
        <v>1830000</v>
      </c>
      <c r="E9" s="20" t="s">
        <v>346</v>
      </c>
      <c r="F9" s="20" t="s">
        <v>347</v>
      </c>
      <c r="G9" s="8" t="str">
        <f t="shared" si="0"/>
        <v>YORK EDGAR</v>
      </c>
      <c r="H9" s="20" t="str">
        <f t="shared" si="1"/>
        <v>4044</v>
      </c>
    </row>
    <row r="10" spans="1:8" x14ac:dyDescent="0.25">
      <c r="A10" s="8">
        <v>43074.14025462963</v>
      </c>
      <c r="B10" s="20" t="s">
        <v>700</v>
      </c>
      <c r="C10" s="20" t="s">
        <v>705</v>
      </c>
      <c r="D10" s="137">
        <v>1090000</v>
      </c>
      <c r="E10" s="20" t="s">
        <v>573</v>
      </c>
      <c r="F10" s="20" t="s">
        <v>352</v>
      </c>
      <c r="G10" s="8" t="str">
        <f t="shared" si="0"/>
        <v>SPECTOR MICHAEL</v>
      </c>
      <c r="H10" s="20" t="str">
        <f t="shared" si="1"/>
        <v>4015</v>
      </c>
    </row>
    <row r="11" spans="1:8" x14ac:dyDescent="0.25">
      <c r="A11" s="8">
        <v>43074.140636574077</v>
      </c>
      <c r="B11" s="20" t="s">
        <v>499</v>
      </c>
      <c r="C11" s="20" t="s">
        <v>706</v>
      </c>
      <c r="D11" s="137">
        <v>3680000</v>
      </c>
      <c r="E11" s="20" t="s">
        <v>574</v>
      </c>
      <c r="F11" s="20" t="s">
        <v>575</v>
      </c>
      <c r="G11" s="8" t="str">
        <f t="shared" si="0"/>
        <v>HAMMOND JUSTYNN</v>
      </c>
      <c r="H11" s="20" t="str">
        <f t="shared" si="1"/>
        <v>4053</v>
      </c>
    </row>
    <row r="12" spans="1:8" x14ac:dyDescent="0.25">
      <c r="A12" s="8">
        <v>43074.150219907409</v>
      </c>
      <c r="B12" s="20" t="s">
        <v>500</v>
      </c>
      <c r="C12" s="20" t="s">
        <v>707</v>
      </c>
      <c r="D12" s="137">
        <v>3680000</v>
      </c>
      <c r="E12" s="20" t="s">
        <v>574</v>
      </c>
      <c r="F12" s="20" t="s">
        <v>575</v>
      </c>
      <c r="G12" s="8" t="str">
        <f t="shared" si="0"/>
        <v>HAMMOND JUSTYNN</v>
      </c>
      <c r="H12" s="20" t="str">
        <f t="shared" si="1"/>
        <v>4054</v>
      </c>
    </row>
    <row r="13" spans="1:8" x14ac:dyDescent="0.25">
      <c r="A13" s="8">
        <v>43074.161365740743</v>
      </c>
      <c r="B13" s="20" t="s">
        <v>426</v>
      </c>
      <c r="C13" s="20" t="s">
        <v>708</v>
      </c>
      <c r="D13" s="137">
        <v>1830000</v>
      </c>
      <c r="E13" s="20" t="s">
        <v>346</v>
      </c>
      <c r="F13" s="20" t="s">
        <v>347</v>
      </c>
      <c r="G13" s="8" t="str">
        <f t="shared" si="0"/>
        <v>YORK EDGAR</v>
      </c>
      <c r="H13" s="20" t="str">
        <f t="shared" si="1"/>
        <v>4043</v>
      </c>
    </row>
    <row r="14" spans="1:8" x14ac:dyDescent="0.25">
      <c r="A14" s="8">
        <v>43074.162627314814</v>
      </c>
      <c r="B14" s="20" t="s">
        <v>674</v>
      </c>
      <c r="C14" s="20" t="s">
        <v>709</v>
      </c>
      <c r="D14" s="137">
        <v>3120000</v>
      </c>
      <c r="E14" s="20" t="s">
        <v>522</v>
      </c>
      <c r="F14" s="20" t="s">
        <v>523</v>
      </c>
      <c r="G14" s="8" t="str">
        <f t="shared" si="0"/>
        <v>THOMPSON LESTER</v>
      </c>
      <c r="H14" s="20" t="str">
        <f t="shared" si="1"/>
        <v>4059</v>
      </c>
    </row>
    <row r="15" spans="1:8" x14ac:dyDescent="0.25">
      <c r="A15" s="8">
        <v>43074.174074074072</v>
      </c>
      <c r="B15" s="20" t="s">
        <v>710</v>
      </c>
      <c r="C15" s="20" t="s">
        <v>711</v>
      </c>
      <c r="D15" s="137">
        <v>3120000</v>
      </c>
      <c r="E15" s="20" t="s">
        <v>522</v>
      </c>
      <c r="F15" s="20" t="s">
        <v>523</v>
      </c>
      <c r="G15" s="8" t="str">
        <f t="shared" si="0"/>
        <v>THOMPSON LESTER</v>
      </c>
      <c r="H15" s="20" t="str">
        <f t="shared" si="1"/>
        <v>4060</v>
      </c>
    </row>
    <row r="16" spans="1:8" x14ac:dyDescent="0.25">
      <c r="A16" s="8">
        <v>43074.174791666665</v>
      </c>
      <c r="B16" s="20" t="s">
        <v>351</v>
      </c>
      <c r="C16" s="20" t="s">
        <v>712</v>
      </c>
      <c r="D16" s="137">
        <v>1340000</v>
      </c>
      <c r="E16" s="20" t="s">
        <v>713</v>
      </c>
      <c r="F16" s="20" t="s">
        <v>714</v>
      </c>
      <c r="G16" s="8" t="str">
        <f t="shared" si="0"/>
        <v>BEAM ROSS</v>
      </c>
      <c r="H16" s="20" t="str">
        <f t="shared" si="1"/>
        <v>4055</v>
      </c>
    </row>
    <row r="17" spans="1:8" x14ac:dyDescent="0.25">
      <c r="A17" s="8">
        <v>43074.182951388888</v>
      </c>
      <c r="B17" s="20" t="s">
        <v>465</v>
      </c>
      <c r="C17" s="20" t="s">
        <v>715</v>
      </c>
      <c r="D17" s="137">
        <v>3090000</v>
      </c>
      <c r="E17" s="20" t="s">
        <v>524</v>
      </c>
      <c r="F17" s="20" t="s">
        <v>525</v>
      </c>
      <c r="G17" s="8" t="str">
        <f t="shared" si="0"/>
        <v>LAMAR NEKESHA</v>
      </c>
      <c r="H17" s="20" t="str">
        <f t="shared" si="1"/>
        <v>4005</v>
      </c>
    </row>
    <row r="18" spans="1:8" x14ac:dyDescent="0.25">
      <c r="A18" s="8">
        <v>43074.183969907404</v>
      </c>
      <c r="B18" s="20" t="s">
        <v>413</v>
      </c>
      <c r="C18" s="20" t="s">
        <v>716</v>
      </c>
      <c r="D18" s="137">
        <v>1340000</v>
      </c>
      <c r="E18" s="20" t="s">
        <v>713</v>
      </c>
      <c r="F18" s="20" t="s">
        <v>714</v>
      </c>
      <c r="G18" s="8" t="str">
        <f t="shared" si="0"/>
        <v>BEAM ROSS</v>
      </c>
      <c r="H18" s="20" t="str">
        <f t="shared" si="1"/>
        <v>4056</v>
      </c>
    </row>
    <row r="19" spans="1:8" x14ac:dyDescent="0.25">
      <c r="A19" s="8">
        <v>43074.192106481481</v>
      </c>
      <c r="B19" s="20" t="s">
        <v>499</v>
      </c>
      <c r="C19" s="20" t="s">
        <v>717</v>
      </c>
      <c r="D19" s="137">
        <v>3680000</v>
      </c>
      <c r="E19" s="20" t="s">
        <v>574</v>
      </c>
      <c r="F19" s="20" t="s">
        <v>575</v>
      </c>
      <c r="G19" s="8" t="str">
        <f t="shared" si="0"/>
        <v>HAMMOND JUSTYNN</v>
      </c>
      <c r="H19" s="20" t="str">
        <f t="shared" si="1"/>
        <v>4053</v>
      </c>
    </row>
    <row r="20" spans="1:8" x14ac:dyDescent="0.25">
      <c r="A20" s="8">
        <v>43074.19458333333</v>
      </c>
      <c r="B20" s="20" t="s">
        <v>467</v>
      </c>
      <c r="C20" s="20" t="s">
        <v>718</v>
      </c>
      <c r="D20" s="137">
        <v>3090000</v>
      </c>
      <c r="E20" s="20" t="s">
        <v>524</v>
      </c>
      <c r="F20" s="20" t="s">
        <v>525</v>
      </c>
      <c r="G20" s="8" t="str">
        <f t="shared" si="0"/>
        <v>LAMAR NEKESHA</v>
      </c>
      <c r="H20" s="20" t="str">
        <f t="shared" si="1"/>
        <v>4006</v>
      </c>
    </row>
    <row r="21" spans="1:8" x14ac:dyDescent="0.25">
      <c r="A21" s="8">
        <v>43074.195891203701</v>
      </c>
      <c r="B21" s="20" t="s">
        <v>680</v>
      </c>
      <c r="C21" s="20" t="s">
        <v>719</v>
      </c>
      <c r="D21" s="137">
        <v>1230000</v>
      </c>
      <c r="E21" s="20" t="s">
        <v>578</v>
      </c>
      <c r="F21" s="20" t="s">
        <v>579</v>
      </c>
      <c r="G21" s="8" t="str">
        <f t="shared" si="0"/>
        <v>YANAI IAN</v>
      </c>
      <c r="H21" s="20" t="str">
        <f t="shared" si="1"/>
        <v>4013</v>
      </c>
    </row>
    <row r="22" spans="1:8" x14ac:dyDescent="0.25">
      <c r="A22" s="26">
        <v>43074.200023148151</v>
      </c>
      <c r="B22" s="20" t="s">
        <v>366</v>
      </c>
      <c r="C22" s="20" t="s">
        <v>720</v>
      </c>
      <c r="D22" s="137">
        <v>2600000</v>
      </c>
      <c r="E22" s="20" t="s">
        <v>577</v>
      </c>
      <c r="F22" s="20" t="s">
        <v>411</v>
      </c>
      <c r="G22" s="8" t="str">
        <f t="shared" si="0"/>
        <v>DAVIDSON DAVID</v>
      </c>
      <c r="H22" s="20" t="str">
        <f t="shared" si="1"/>
        <v>4012</v>
      </c>
    </row>
    <row r="23" spans="1:8" x14ac:dyDescent="0.25">
      <c r="A23" s="8">
        <v>43074.202002314814</v>
      </c>
      <c r="B23" s="20" t="s">
        <v>425</v>
      </c>
      <c r="C23" s="20" t="s">
        <v>721</v>
      </c>
      <c r="D23" s="137">
        <v>1830000</v>
      </c>
      <c r="E23" s="20" t="s">
        <v>346</v>
      </c>
      <c r="F23" s="20" t="s">
        <v>347</v>
      </c>
      <c r="G23" s="8" t="str">
        <f t="shared" si="0"/>
        <v>YORK EDGAR</v>
      </c>
      <c r="H23" s="20" t="str">
        <f t="shared" si="1"/>
        <v>4044</v>
      </c>
    </row>
    <row r="24" spans="1:8" x14ac:dyDescent="0.25">
      <c r="A24" s="8">
        <v>43074.205312500002</v>
      </c>
      <c r="B24" s="20" t="s">
        <v>722</v>
      </c>
      <c r="C24" s="20" t="s">
        <v>723</v>
      </c>
      <c r="D24" s="137">
        <v>1230000</v>
      </c>
      <c r="E24" s="20" t="s">
        <v>578</v>
      </c>
      <c r="F24" s="20" t="s">
        <v>579</v>
      </c>
      <c r="G24" s="8" t="str">
        <f t="shared" si="0"/>
        <v>YANAI IAN</v>
      </c>
      <c r="H24" s="20" t="str">
        <f t="shared" si="1"/>
        <v>4014</v>
      </c>
    </row>
    <row r="25" spans="1:8" x14ac:dyDescent="0.25">
      <c r="A25" s="8">
        <v>43074.2109375</v>
      </c>
      <c r="B25" s="20" t="s">
        <v>367</v>
      </c>
      <c r="C25" s="20" t="s">
        <v>724</v>
      </c>
      <c r="D25" s="137">
        <v>2600000</v>
      </c>
      <c r="E25" s="20" t="s">
        <v>577</v>
      </c>
      <c r="F25" s="20" t="s">
        <v>411</v>
      </c>
      <c r="G25" s="8" t="str">
        <f t="shared" si="0"/>
        <v>DAVIDSON DAVID</v>
      </c>
      <c r="H25" s="20" t="str">
        <f t="shared" si="1"/>
        <v>4011</v>
      </c>
    </row>
    <row r="26" spans="1:8" x14ac:dyDescent="0.25">
      <c r="A26" s="8">
        <v>43074.21361111111</v>
      </c>
      <c r="B26" s="20" t="s">
        <v>351</v>
      </c>
      <c r="C26" s="20" t="s">
        <v>725</v>
      </c>
      <c r="D26" s="137">
        <v>1340000</v>
      </c>
      <c r="E26" s="20" t="s">
        <v>713</v>
      </c>
      <c r="F26" s="20" t="s">
        <v>714</v>
      </c>
      <c r="G26" s="8" t="str">
        <f t="shared" si="0"/>
        <v>BEAM ROSS</v>
      </c>
      <c r="H26" s="20" t="str">
        <f t="shared" si="1"/>
        <v>4055</v>
      </c>
    </row>
    <row r="27" spans="1:8" x14ac:dyDescent="0.25">
      <c r="A27" s="8">
        <v>43074.214618055557</v>
      </c>
      <c r="B27" s="20" t="s">
        <v>674</v>
      </c>
      <c r="C27" s="20" t="s">
        <v>675</v>
      </c>
      <c r="D27" s="137">
        <v>3120000</v>
      </c>
      <c r="E27" s="20" t="s">
        <v>522</v>
      </c>
      <c r="F27" s="20" t="s">
        <v>523</v>
      </c>
      <c r="G27" s="8" t="str">
        <f t="shared" si="0"/>
        <v>THOMPSON LESTER</v>
      </c>
      <c r="H27" s="20" t="str">
        <f t="shared" si="1"/>
        <v>4059</v>
      </c>
    </row>
    <row r="28" spans="1:8" x14ac:dyDescent="0.25">
      <c r="A28" s="8">
        <v>43074.220763888887</v>
      </c>
      <c r="B28" s="20" t="s">
        <v>364</v>
      </c>
      <c r="C28" s="20" t="s">
        <v>726</v>
      </c>
      <c r="D28" s="137">
        <v>2270000</v>
      </c>
      <c r="E28" s="20" t="s">
        <v>581</v>
      </c>
      <c r="F28" s="20" t="s">
        <v>582</v>
      </c>
      <c r="G28" s="8" t="str">
        <f t="shared" si="0"/>
        <v>BROWN JACOB</v>
      </c>
      <c r="H28" s="20" t="str">
        <f t="shared" si="1"/>
        <v>4035</v>
      </c>
    </row>
    <row r="29" spans="1:8" x14ac:dyDescent="0.25">
      <c r="A29" s="8">
        <v>43074.225127314814</v>
      </c>
      <c r="B29" s="20" t="s">
        <v>500</v>
      </c>
      <c r="C29" s="20" t="s">
        <v>727</v>
      </c>
      <c r="D29" s="137">
        <v>3680000</v>
      </c>
      <c r="E29" s="20" t="s">
        <v>574</v>
      </c>
      <c r="F29" s="20" t="s">
        <v>575</v>
      </c>
      <c r="G29" s="8" t="str">
        <f t="shared" si="0"/>
        <v>HAMMOND JUSTYNN</v>
      </c>
      <c r="H29" s="20" t="str">
        <f t="shared" si="1"/>
        <v>4054</v>
      </c>
    </row>
    <row r="30" spans="1:8" x14ac:dyDescent="0.25">
      <c r="A30" s="8">
        <v>43074.22859953704</v>
      </c>
      <c r="B30" s="20" t="s">
        <v>366</v>
      </c>
      <c r="C30" s="20" t="s">
        <v>728</v>
      </c>
      <c r="D30" s="137">
        <v>2600000</v>
      </c>
      <c r="E30" s="20" t="s">
        <v>577</v>
      </c>
      <c r="F30" s="20" t="s">
        <v>411</v>
      </c>
      <c r="G30" s="8" t="str">
        <f t="shared" si="0"/>
        <v>DAVIDSON DAVID</v>
      </c>
      <c r="H30" s="20" t="str">
        <f t="shared" si="1"/>
        <v>4012</v>
      </c>
    </row>
    <row r="31" spans="1:8" x14ac:dyDescent="0.25">
      <c r="A31" s="8">
        <v>43074.233599537038</v>
      </c>
      <c r="B31" s="20" t="s">
        <v>676</v>
      </c>
      <c r="C31" s="20" t="s">
        <v>729</v>
      </c>
      <c r="D31" s="137">
        <v>3000000</v>
      </c>
      <c r="E31" s="20" t="s">
        <v>730</v>
      </c>
      <c r="F31" s="20" t="s">
        <v>731</v>
      </c>
      <c r="G31" s="8" t="str">
        <f t="shared" si="0"/>
        <v>FORTUNATO FRANK</v>
      </c>
      <c r="H31" s="20" t="str">
        <f t="shared" si="1"/>
        <v>4003</v>
      </c>
    </row>
    <row r="32" spans="1:8" x14ac:dyDescent="0.25">
      <c r="A32" s="8">
        <v>43074.235034722224</v>
      </c>
      <c r="B32" s="20" t="s">
        <v>426</v>
      </c>
      <c r="C32" s="20" t="s">
        <v>732</v>
      </c>
      <c r="D32" s="137">
        <v>1830000</v>
      </c>
      <c r="E32" s="20" t="s">
        <v>346</v>
      </c>
      <c r="F32" s="20" t="s">
        <v>347</v>
      </c>
      <c r="G32" s="8" t="str">
        <f t="shared" si="0"/>
        <v>YORK EDGAR</v>
      </c>
      <c r="H32" s="20" t="str">
        <f t="shared" si="1"/>
        <v>4043</v>
      </c>
    </row>
    <row r="33" spans="1:8" x14ac:dyDescent="0.25">
      <c r="A33" s="8">
        <v>43074.23510416667</v>
      </c>
      <c r="B33" s="20" t="s">
        <v>465</v>
      </c>
      <c r="C33" s="20" t="s">
        <v>733</v>
      </c>
      <c r="D33" s="137">
        <v>3090000</v>
      </c>
      <c r="E33" s="20" t="s">
        <v>524</v>
      </c>
      <c r="F33" s="20" t="s">
        <v>525</v>
      </c>
      <c r="G33" s="8" t="str">
        <f t="shared" si="0"/>
        <v>LAMAR NEKESHA</v>
      </c>
      <c r="H33" s="20" t="str">
        <f t="shared" si="1"/>
        <v>4005</v>
      </c>
    </row>
    <row r="34" spans="1:8" x14ac:dyDescent="0.25">
      <c r="A34" s="8">
        <v>43074.235983796294</v>
      </c>
      <c r="B34" s="20" t="s">
        <v>363</v>
      </c>
      <c r="C34" s="20" t="s">
        <v>734</v>
      </c>
      <c r="D34" s="137">
        <v>2270000</v>
      </c>
      <c r="E34" s="20" t="s">
        <v>581</v>
      </c>
      <c r="F34" s="20" t="s">
        <v>582</v>
      </c>
      <c r="G34" s="8" t="str">
        <f t="shared" si="0"/>
        <v>BROWN JACOB</v>
      </c>
      <c r="H34" s="20" t="str">
        <f t="shared" si="1"/>
        <v>4036</v>
      </c>
    </row>
    <row r="35" spans="1:8" x14ac:dyDescent="0.25">
      <c r="A35" s="8">
        <v>43074.244583333333</v>
      </c>
      <c r="B35" s="20" t="s">
        <v>696</v>
      </c>
      <c r="C35" s="20" t="s">
        <v>735</v>
      </c>
      <c r="D35" s="137">
        <v>3000000</v>
      </c>
      <c r="E35" s="20" t="s">
        <v>730</v>
      </c>
      <c r="F35" s="20" t="s">
        <v>731</v>
      </c>
      <c r="G35" s="8" t="str">
        <f t="shared" si="0"/>
        <v>FORTUNATO FRANK</v>
      </c>
      <c r="H35" s="20" t="str">
        <f t="shared" si="1"/>
        <v>4004</v>
      </c>
    </row>
    <row r="36" spans="1:8" x14ac:dyDescent="0.25">
      <c r="A36" s="8">
        <v>43074.245196759257</v>
      </c>
      <c r="B36" s="20" t="s">
        <v>680</v>
      </c>
      <c r="C36" s="20" t="s">
        <v>723</v>
      </c>
      <c r="D36" s="137">
        <v>1230000</v>
      </c>
      <c r="E36" s="20" t="s">
        <v>578</v>
      </c>
      <c r="F36" s="20" t="s">
        <v>579</v>
      </c>
      <c r="G36" s="8" t="str">
        <f t="shared" si="0"/>
        <v>YANAI IAN</v>
      </c>
      <c r="H36" s="20" t="str">
        <f t="shared" si="1"/>
        <v>4013</v>
      </c>
    </row>
    <row r="37" spans="1:8" x14ac:dyDescent="0.25">
      <c r="A37" s="8">
        <v>43074.245706018519</v>
      </c>
      <c r="B37" s="20" t="s">
        <v>710</v>
      </c>
      <c r="C37" s="20" t="s">
        <v>736</v>
      </c>
      <c r="D37" s="137">
        <v>1110000</v>
      </c>
      <c r="E37" s="20" t="s">
        <v>737</v>
      </c>
      <c r="F37" s="20" t="s">
        <v>738</v>
      </c>
      <c r="G37" s="8" t="str">
        <f t="shared" si="0"/>
        <v>STARKS ANGELINA</v>
      </c>
      <c r="H37" s="20" t="str">
        <f t="shared" si="1"/>
        <v>4060</v>
      </c>
    </row>
    <row r="38" spans="1:8" x14ac:dyDescent="0.25">
      <c r="A38" s="8">
        <v>43074.247465277775</v>
      </c>
      <c r="B38" s="20" t="s">
        <v>367</v>
      </c>
      <c r="C38" s="20" t="s">
        <v>739</v>
      </c>
      <c r="D38" s="137">
        <v>2600000</v>
      </c>
      <c r="E38" s="20" t="s">
        <v>577</v>
      </c>
      <c r="F38" s="20" t="s">
        <v>411</v>
      </c>
      <c r="G38" s="8" t="str">
        <f t="shared" si="0"/>
        <v>DAVIDSON DAVID</v>
      </c>
      <c r="H38" s="20" t="str">
        <f t="shared" si="1"/>
        <v>4011</v>
      </c>
    </row>
    <row r="39" spans="1:8" x14ac:dyDescent="0.25">
      <c r="A39" s="8">
        <v>43074.254421296297</v>
      </c>
      <c r="B39" s="20" t="s">
        <v>413</v>
      </c>
      <c r="C39" s="20" t="s">
        <v>740</v>
      </c>
      <c r="D39" s="137">
        <v>1340000</v>
      </c>
      <c r="E39" s="20" t="s">
        <v>713</v>
      </c>
      <c r="F39" s="20" t="s">
        <v>714</v>
      </c>
      <c r="G39" s="8" t="str">
        <f t="shared" si="0"/>
        <v>BEAM ROSS</v>
      </c>
      <c r="H39" s="20" t="str">
        <f t="shared" si="1"/>
        <v>4056</v>
      </c>
    </row>
    <row r="40" spans="1:8" x14ac:dyDescent="0.25">
      <c r="A40" s="8">
        <v>43074.256805555553</v>
      </c>
      <c r="B40" s="25" t="s">
        <v>680</v>
      </c>
      <c r="C40" s="20" t="s">
        <v>741</v>
      </c>
      <c r="D40" s="137">
        <v>1230000</v>
      </c>
      <c r="E40" s="20" t="s">
        <v>578</v>
      </c>
      <c r="F40" s="20" t="s">
        <v>579</v>
      </c>
      <c r="G40" s="8" t="str">
        <f t="shared" si="0"/>
        <v>YANAI IAN</v>
      </c>
      <c r="H40" s="20" t="str">
        <f t="shared" si="1"/>
        <v>4013</v>
      </c>
    </row>
    <row r="41" spans="1:8" x14ac:dyDescent="0.25">
      <c r="A41" s="8">
        <v>43074.265277777777</v>
      </c>
      <c r="B41" s="20" t="s">
        <v>467</v>
      </c>
      <c r="C41" s="20" t="s">
        <v>742</v>
      </c>
      <c r="D41" s="137">
        <v>3090000</v>
      </c>
      <c r="E41" s="20" t="s">
        <v>524</v>
      </c>
      <c r="F41" s="20" t="s">
        <v>525</v>
      </c>
      <c r="G41" s="8" t="str">
        <f t="shared" si="0"/>
        <v>LAMAR NEKESHA</v>
      </c>
      <c r="H41" s="20" t="str">
        <f t="shared" si="1"/>
        <v>4006</v>
      </c>
    </row>
    <row r="42" spans="1:8" x14ac:dyDescent="0.25">
      <c r="A42" s="8">
        <v>43074.265590277777</v>
      </c>
      <c r="B42" s="20" t="s">
        <v>499</v>
      </c>
      <c r="C42" s="20" t="s">
        <v>743</v>
      </c>
      <c r="D42" s="137">
        <v>3680000</v>
      </c>
      <c r="E42" s="20" t="s">
        <v>574</v>
      </c>
      <c r="F42" s="20" t="s">
        <v>575</v>
      </c>
      <c r="G42" s="8" t="str">
        <f t="shared" si="0"/>
        <v>HAMMOND JUSTYNN</v>
      </c>
      <c r="H42" s="20" t="str">
        <f t="shared" si="1"/>
        <v>4053</v>
      </c>
    </row>
    <row r="43" spans="1:8" x14ac:dyDescent="0.25">
      <c r="A43" s="8">
        <v>43074.268275462964</v>
      </c>
      <c r="B43" s="20" t="s">
        <v>676</v>
      </c>
      <c r="C43" s="20" t="s">
        <v>677</v>
      </c>
      <c r="D43" s="137">
        <v>3000000</v>
      </c>
      <c r="E43" s="20" t="s">
        <v>730</v>
      </c>
      <c r="F43" s="20" t="s">
        <v>731</v>
      </c>
      <c r="G43" s="8" t="str">
        <f t="shared" si="0"/>
        <v>FORTUNATO FRANK</v>
      </c>
      <c r="H43" s="20" t="str">
        <f t="shared" si="1"/>
        <v>4003</v>
      </c>
    </row>
    <row r="44" spans="1:8" x14ac:dyDescent="0.25">
      <c r="A44" s="8">
        <v>43074.270636574074</v>
      </c>
      <c r="B44" s="20" t="s">
        <v>366</v>
      </c>
      <c r="C44" s="20" t="s">
        <v>744</v>
      </c>
      <c r="D44" s="137">
        <v>2600000</v>
      </c>
      <c r="E44" s="20" t="s">
        <v>577</v>
      </c>
      <c r="F44" s="20" t="s">
        <v>411</v>
      </c>
      <c r="G44" s="8" t="str">
        <f t="shared" si="0"/>
        <v>DAVIDSON DAVID</v>
      </c>
      <c r="H44" s="20" t="str">
        <f t="shared" si="1"/>
        <v>4012</v>
      </c>
    </row>
    <row r="45" spans="1:8" x14ac:dyDescent="0.25">
      <c r="A45" s="8">
        <v>43074.274907407409</v>
      </c>
      <c r="B45" s="20" t="s">
        <v>425</v>
      </c>
      <c r="C45" s="20" t="s">
        <v>745</v>
      </c>
      <c r="D45" s="137">
        <v>1830000</v>
      </c>
      <c r="E45" s="20" t="s">
        <v>346</v>
      </c>
      <c r="F45" s="20" t="s">
        <v>347</v>
      </c>
      <c r="G45" s="8" t="str">
        <f t="shared" si="0"/>
        <v>YORK EDGAR</v>
      </c>
      <c r="H45" s="20" t="str">
        <f t="shared" si="1"/>
        <v>4044</v>
      </c>
    </row>
    <row r="46" spans="1:8" x14ac:dyDescent="0.25">
      <c r="A46" s="8">
        <v>43074.276053240741</v>
      </c>
      <c r="B46" s="20" t="s">
        <v>364</v>
      </c>
      <c r="C46" s="20" t="s">
        <v>746</v>
      </c>
      <c r="D46" s="137">
        <v>2270000</v>
      </c>
      <c r="E46" s="20" t="s">
        <v>581</v>
      </c>
      <c r="F46" s="20" t="s">
        <v>582</v>
      </c>
      <c r="G46" s="8" t="str">
        <f t="shared" si="0"/>
        <v>BROWN JACOB</v>
      </c>
      <c r="H46" s="20" t="str">
        <f t="shared" si="1"/>
        <v>4035</v>
      </c>
    </row>
    <row r="47" spans="1:8" x14ac:dyDescent="0.25">
      <c r="A47" s="8">
        <v>43074.280497685184</v>
      </c>
      <c r="B47" s="20" t="s">
        <v>674</v>
      </c>
      <c r="C47" s="20" t="s">
        <v>678</v>
      </c>
      <c r="D47" s="137">
        <v>1110000</v>
      </c>
      <c r="E47" s="20" t="s">
        <v>737</v>
      </c>
      <c r="F47" s="20" t="s">
        <v>738</v>
      </c>
      <c r="G47" s="8" t="str">
        <f t="shared" si="0"/>
        <v>STARKS ANGELINA</v>
      </c>
      <c r="H47" s="20" t="str">
        <f t="shared" si="1"/>
        <v>4059</v>
      </c>
    </row>
    <row r="48" spans="1:8" x14ac:dyDescent="0.25">
      <c r="A48" s="8">
        <v>43074.286296296297</v>
      </c>
      <c r="B48" s="20" t="s">
        <v>722</v>
      </c>
      <c r="C48" s="20" t="s">
        <v>747</v>
      </c>
      <c r="D48" s="137">
        <v>1230000</v>
      </c>
      <c r="E48" s="20" t="s">
        <v>578</v>
      </c>
      <c r="F48" s="20" t="s">
        <v>579</v>
      </c>
      <c r="G48" s="8" t="str">
        <f t="shared" si="0"/>
        <v>YANAI IAN</v>
      </c>
      <c r="H48" s="20" t="str">
        <f t="shared" si="1"/>
        <v>4014</v>
      </c>
    </row>
    <row r="49" spans="1:8" x14ac:dyDescent="0.25">
      <c r="A49" s="8">
        <v>43074.287280092591</v>
      </c>
      <c r="B49" s="20" t="s">
        <v>351</v>
      </c>
      <c r="C49" s="20" t="s">
        <v>748</v>
      </c>
      <c r="D49" s="137">
        <v>1340000</v>
      </c>
      <c r="E49" s="20" t="s">
        <v>713</v>
      </c>
      <c r="F49" s="20" t="s">
        <v>714</v>
      </c>
      <c r="G49" s="8" t="str">
        <f t="shared" si="0"/>
        <v>BEAM ROSS</v>
      </c>
      <c r="H49" s="20" t="str">
        <f t="shared" si="1"/>
        <v>4055</v>
      </c>
    </row>
    <row r="50" spans="1:8" x14ac:dyDescent="0.25">
      <c r="A50" s="8">
        <v>43074.289201388892</v>
      </c>
      <c r="B50" s="20" t="s">
        <v>367</v>
      </c>
      <c r="C50" s="20" t="s">
        <v>749</v>
      </c>
      <c r="D50" s="137">
        <v>2600000</v>
      </c>
      <c r="E50" s="20" t="s">
        <v>577</v>
      </c>
      <c r="F50" s="20" t="s">
        <v>411</v>
      </c>
      <c r="G50" s="8" t="str">
        <f t="shared" si="0"/>
        <v>DAVIDSON DAVID</v>
      </c>
      <c r="H50" s="20" t="str">
        <f t="shared" si="1"/>
        <v>4011</v>
      </c>
    </row>
    <row r="51" spans="1:8" x14ac:dyDescent="0.25">
      <c r="A51" s="8">
        <v>43074.291273148148</v>
      </c>
      <c r="B51" s="20" t="s">
        <v>696</v>
      </c>
      <c r="C51" s="20" t="s">
        <v>750</v>
      </c>
      <c r="D51" s="137">
        <v>3000000</v>
      </c>
      <c r="E51" s="20" t="s">
        <v>730</v>
      </c>
      <c r="F51" s="20" t="s">
        <v>731</v>
      </c>
      <c r="G51" s="8" t="str">
        <f t="shared" si="0"/>
        <v>FORTUNATO FRANK</v>
      </c>
      <c r="H51" s="20" t="str">
        <f t="shared" si="1"/>
        <v>4004</v>
      </c>
    </row>
    <row r="52" spans="1:8" x14ac:dyDescent="0.25">
      <c r="A52" s="8">
        <v>43074.297812500001</v>
      </c>
      <c r="B52" s="20" t="s">
        <v>500</v>
      </c>
      <c r="C52" s="20" t="s">
        <v>751</v>
      </c>
      <c r="D52" s="137">
        <v>3680000</v>
      </c>
      <c r="E52" s="20" t="s">
        <v>574</v>
      </c>
      <c r="F52" s="20" t="s">
        <v>575</v>
      </c>
      <c r="G52" s="8" t="str">
        <f t="shared" si="0"/>
        <v>HAMMOND JUSTYNN</v>
      </c>
      <c r="H52" s="20" t="str">
        <f t="shared" si="1"/>
        <v>4054</v>
      </c>
    </row>
    <row r="53" spans="1:8" x14ac:dyDescent="0.25">
      <c r="A53" s="8">
        <v>43074.308738425927</v>
      </c>
      <c r="B53" s="20" t="s">
        <v>363</v>
      </c>
      <c r="C53" s="20" t="s">
        <v>752</v>
      </c>
      <c r="D53" s="137">
        <v>2270000</v>
      </c>
      <c r="E53" s="20" t="s">
        <v>581</v>
      </c>
      <c r="F53" s="20" t="s">
        <v>582</v>
      </c>
      <c r="G53" s="8" t="str">
        <f t="shared" si="0"/>
        <v>BROWN JACOB</v>
      </c>
      <c r="H53" s="20" t="str">
        <f t="shared" si="1"/>
        <v>4036</v>
      </c>
    </row>
    <row r="54" spans="1:8" x14ac:dyDescent="0.25">
      <c r="A54" s="8">
        <v>43074.308877314812</v>
      </c>
      <c r="B54" s="20" t="s">
        <v>465</v>
      </c>
      <c r="C54" s="20" t="s">
        <v>753</v>
      </c>
      <c r="D54" s="137">
        <v>3090000</v>
      </c>
      <c r="E54" s="20" t="s">
        <v>524</v>
      </c>
      <c r="F54" s="20" t="s">
        <v>525</v>
      </c>
      <c r="G54" s="8" t="str">
        <f t="shared" si="0"/>
        <v>LAMAR NEKESHA</v>
      </c>
      <c r="H54" s="20" t="str">
        <f t="shared" si="1"/>
        <v>4005</v>
      </c>
    </row>
    <row r="55" spans="1:8" x14ac:dyDescent="0.25">
      <c r="A55" s="8">
        <v>43074.310081018521</v>
      </c>
      <c r="B55" s="20" t="s">
        <v>676</v>
      </c>
      <c r="C55" s="20" t="s">
        <v>754</v>
      </c>
      <c r="D55" s="137">
        <v>3000000</v>
      </c>
      <c r="E55" s="20" t="s">
        <v>730</v>
      </c>
      <c r="F55" s="20" t="s">
        <v>731</v>
      </c>
      <c r="G55" s="8" t="str">
        <f t="shared" si="0"/>
        <v>FORTUNATO FRANK</v>
      </c>
      <c r="H55" s="20" t="str">
        <f t="shared" si="1"/>
        <v>4003</v>
      </c>
    </row>
    <row r="56" spans="1:8" x14ac:dyDescent="0.25">
      <c r="A56" s="8">
        <v>43074.312372685185</v>
      </c>
      <c r="B56" s="20" t="s">
        <v>366</v>
      </c>
      <c r="C56" s="20" t="s">
        <v>755</v>
      </c>
      <c r="D56" s="137">
        <v>2600000</v>
      </c>
      <c r="E56" s="20" t="s">
        <v>577</v>
      </c>
      <c r="F56" s="20" t="s">
        <v>411</v>
      </c>
      <c r="G56" s="8" t="str">
        <f t="shared" si="0"/>
        <v>DAVIDSON DAVID</v>
      </c>
      <c r="H56" s="20" t="str">
        <f t="shared" si="1"/>
        <v>4012</v>
      </c>
    </row>
    <row r="57" spans="1:8" x14ac:dyDescent="0.25">
      <c r="A57" s="8">
        <v>43074.317453703705</v>
      </c>
      <c r="B57" s="20" t="s">
        <v>426</v>
      </c>
      <c r="C57" s="20" t="s">
        <v>679</v>
      </c>
      <c r="D57" s="137">
        <v>1830000</v>
      </c>
      <c r="E57" s="20" t="s">
        <v>346</v>
      </c>
      <c r="F57" s="20" t="s">
        <v>347</v>
      </c>
      <c r="G57" s="8" t="str">
        <f t="shared" si="0"/>
        <v>YORK EDGAR</v>
      </c>
      <c r="H57" s="20" t="str">
        <f t="shared" si="1"/>
        <v>4043</v>
      </c>
    </row>
    <row r="58" spans="1:8" x14ac:dyDescent="0.25">
      <c r="A58" s="8">
        <v>43074.318101851852</v>
      </c>
      <c r="B58" s="20" t="s">
        <v>680</v>
      </c>
      <c r="C58" s="20" t="s">
        <v>681</v>
      </c>
      <c r="D58" s="137">
        <v>1230000</v>
      </c>
      <c r="E58" s="20" t="s">
        <v>578</v>
      </c>
      <c r="F58" s="20" t="s">
        <v>579</v>
      </c>
      <c r="G58" s="8" t="str">
        <f t="shared" si="0"/>
        <v>YANAI IAN</v>
      </c>
      <c r="H58" s="20" t="str">
        <f t="shared" si="1"/>
        <v>4013</v>
      </c>
    </row>
    <row r="59" spans="1:8" x14ac:dyDescent="0.25">
      <c r="A59" s="8">
        <v>43074.321979166663</v>
      </c>
      <c r="B59" s="20" t="s">
        <v>710</v>
      </c>
      <c r="C59" s="20" t="s">
        <v>756</v>
      </c>
      <c r="D59" s="137">
        <v>3120000</v>
      </c>
      <c r="E59" s="20" t="s">
        <v>522</v>
      </c>
      <c r="F59" s="20" t="s">
        <v>523</v>
      </c>
      <c r="G59" s="8" t="str">
        <f t="shared" si="0"/>
        <v>THOMPSON LESTER</v>
      </c>
      <c r="H59" s="20" t="str">
        <f t="shared" si="1"/>
        <v>4060</v>
      </c>
    </row>
    <row r="60" spans="1:8" x14ac:dyDescent="0.25">
      <c r="A60" s="8">
        <v>43074.33079861111</v>
      </c>
      <c r="B60" s="20" t="s">
        <v>367</v>
      </c>
      <c r="C60" s="20" t="s">
        <v>757</v>
      </c>
      <c r="D60" s="137">
        <v>2600000</v>
      </c>
      <c r="E60" s="20" t="s">
        <v>577</v>
      </c>
      <c r="F60" s="20" t="s">
        <v>411</v>
      </c>
      <c r="G60" s="8" t="str">
        <f t="shared" si="0"/>
        <v>DAVIDSON DAVID</v>
      </c>
      <c r="H60" s="20" t="str">
        <f t="shared" si="1"/>
        <v>4011</v>
      </c>
    </row>
    <row r="61" spans="1:8" x14ac:dyDescent="0.25">
      <c r="A61" s="8">
        <v>43074.33153935185</v>
      </c>
      <c r="B61" s="20" t="s">
        <v>413</v>
      </c>
      <c r="C61" s="20" t="s">
        <v>758</v>
      </c>
      <c r="D61" s="137">
        <v>1340000</v>
      </c>
      <c r="E61" s="20" t="s">
        <v>713</v>
      </c>
      <c r="F61" s="20" t="s">
        <v>714</v>
      </c>
      <c r="G61" s="8" t="str">
        <f t="shared" si="0"/>
        <v>BEAM ROSS</v>
      </c>
      <c r="H61" s="20" t="str">
        <f t="shared" si="1"/>
        <v>4056</v>
      </c>
    </row>
    <row r="62" spans="1:8" x14ac:dyDescent="0.25">
      <c r="A62" s="8">
        <v>43074.335057870368</v>
      </c>
      <c r="B62" s="20" t="s">
        <v>696</v>
      </c>
      <c r="C62" s="20" t="s">
        <v>759</v>
      </c>
      <c r="D62" s="137">
        <v>3000000</v>
      </c>
      <c r="E62" s="20" t="s">
        <v>730</v>
      </c>
      <c r="F62" s="20" t="s">
        <v>731</v>
      </c>
      <c r="G62" s="8" t="str">
        <f t="shared" si="0"/>
        <v>FORTUNATO FRANK</v>
      </c>
      <c r="H62" s="20" t="str">
        <f t="shared" si="1"/>
        <v>4004</v>
      </c>
    </row>
    <row r="63" spans="1:8" x14ac:dyDescent="0.25">
      <c r="A63" s="8">
        <v>43074.337337962963</v>
      </c>
      <c r="B63" s="20" t="s">
        <v>499</v>
      </c>
      <c r="C63" s="20" t="s">
        <v>760</v>
      </c>
      <c r="D63" s="137">
        <v>3680000</v>
      </c>
      <c r="E63" s="20" t="s">
        <v>574</v>
      </c>
      <c r="F63" s="20" t="s">
        <v>575</v>
      </c>
      <c r="G63" s="8" t="str">
        <f t="shared" si="0"/>
        <v>HAMMOND JUSTYNN</v>
      </c>
      <c r="H63" s="20" t="str">
        <f t="shared" si="1"/>
        <v>4053</v>
      </c>
    </row>
    <row r="64" spans="1:8" x14ac:dyDescent="0.25">
      <c r="A64" s="26">
        <v>43074.34306712963</v>
      </c>
      <c r="B64" s="20" t="s">
        <v>467</v>
      </c>
      <c r="C64" s="20" t="s">
        <v>761</v>
      </c>
      <c r="D64" s="137">
        <v>3090000</v>
      </c>
      <c r="E64" s="20" t="s">
        <v>524</v>
      </c>
      <c r="F64" s="20" t="s">
        <v>525</v>
      </c>
      <c r="G64" s="8" t="str">
        <f t="shared" si="0"/>
        <v>LAMAR NEKESHA</v>
      </c>
      <c r="H64" s="20" t="str">
        <f t="shared" si="1"/>
        <v>4006</v>
      </c>
    </row>
    <row r="65" spans="1:8" x14ac:dyDescent="0.25">
      <c r="A65" s="8">
        <v>43074.346238425926</v>
      </c>
      <c r="B65" s="20" t="s">
        <v>364</v>
      </c>
      <c r="C65" s="20" t="s">
        <v>762</v>
      </c>
      <c r="D65" s="137">
        <v>2270000</v>
      </c>
      <c r="E65" s="20" t="s">
        <v>581</v>
      </c>
      <c r="F65" s="20" t="s">
        <v>582</v>
      </c>
      <c r="G65" s="8" t="str">
        <f t="shared" si="0"/>
        <v>BROWN JACOB</v>
      </c>
      <c r="H65" s="20" t="str">
        <f t="shared" si="1"/>
        <v>4035</v>
      </c>
    </row>
    <row r="66" spans="1:8" x14ac:dyDescent="0.25">
      <c r="A66" s="8">
        <v>43074.348900462966</v>
      </c>
      <c r="B66" s="20" t="s">
        <v>425</v>
      </c>
      <c r="C66" s="20" t="s">
        <v>682</v>
      </c>
      <c r="D66" s="137">
        <v>1830000</v>
      </c>
      <c r="E66" s="20" t="s">
        <v>346</v>
      </c>
      <c r="F66" s="20" t="s">
        <v>347</v>
      </c>
      <c r="G66" s="8" t="str">
        <f t="shared" si="0"/>
        <v>YORK EDGAR</v>
      </c>
      <c r="H66" s="20" t="str">
        <f t="shared" si="1"/>
        <v>4044</v>
      </c>
    </row>
    <row r="67" spans="1:8" x14ac:dyDescent="0.25">
      <c r="A67" s="8">
        <v>43074.351319444446</v>
      </c>
      <c r="B67" s="20" t="s">
        <v>676</v>
      </c>
      <c r="C67" s="20" t="s">
        <v>763</v>
      </c>
      <c r="D67" s="137">
        <v>3000000</v>
      </c>
      <c r="E67" s="20" t="s">
        <v>730</v>
      </c>
      <c r="F67" s="20" t="s">
        <v>731</v>
      </c>
      <c r="G67" s="8" t="str">
        <f t="shared" ref="G67:G130" si="2">E67&amp;" "&amp;F67</f>
        <v>FORTUNATO FRANK</v>
      </c>
      <c r="H67" s="20" t="str">
        <f t="shared" ref="H67:H130" si="3">MID(B67,13,4)</f>
        <v>4003</v>
      </c>
    </row>
    <row r="68" spans="1:8" x14ac:dyDescent="0.25">
      <c r="A68" s="8">
        <v>43074.353750000002</v>
      </c>
      <c r="B68" s="20" t="s">
        <v>366</v>
      </c>
      <c r="C68" s="20" t="s">
        <v>764</v>
      </c>
      <c r="D68" s="137">
        <v>2600000</v>
      </c>
      <c r="E68" s="20" t="s">
        <v>577</v>
      </c>
      <c r="F68" s="20" t="s">
        <v>411</v>
      </c>
      <c r="G68" s="8" t="str">
        <f t="shared" si="2"/>
        <v>DAVIDSON DAVID</v>
      </c>
      <c r="H68" s="20" t="str">
        <f t="shared" si="3"/>
        <v>4012</v>
      </c>
    </row>
    <row r="69" spans="1:8" x14ac:dyDescent="0.25">
      <c r="A69" s="8">
        <v>43074.360289351855</v>
      </c>
      <c r="B69" s="20" t="s">
        <v>722</v>
      </c>
      <c r="C69" s="20" t="s">
        <v>765</v>
      </c>
      <c r="D69" s="137">
        <v>1230000</v>
      </c>
      <c r="E69" s="20" t="s">
        <v>578</v>
      </c>
      <c r="F69" s="20" t="s">
        <v>579</v>
      </c>
      <c r="G69" s="8" t="str">
        <f t="shared" si="2"/>
        <v>YANAI IAN</v>
      </c>
      <c r="H69" s="20" t="str">
        <f t="shared" si="3"/>
        <v>4014</v>
      </c>
    </row>
    <row r="70" spans="1:8" x14ac:dyDescent="0.25">
      <c r="A70" s="8">
        <v>43074.361747685187</v>
      </c>
      <c r="B70" s="20" t="s">
        <v>674</v>
      </c>
      <c r="C70" s="20" t="s">
        <v>766</v>
      </c>
      <c r="D70" s="137">
        <v>3120000</v>
      </c>
      <c r="E70" s="20" t="s">
        <v>522</v>
      </c>
      <c r="F70" s="20" t="s">
        <v>523</v>
      </c>
      <c r="G70" s="8" t="str">
        <f t="shared" si="2"/>
        <v>THOMPSON LESTER</v>
      </c>
      <c r="H70" s="20" t="str">
        <f t="shared" si="3"/>
        <v>4059</v>
      </c>
    </row>
    <row r="71" spans="1:8" x14ac:dyDescent="0.25">
      <c r="A71" s="8">
        <v>43074.361886574072</v>
      </c>
      <c r="B71" s="20" t="s">
        <v>351</v>
      </c>
      <c r="C71" s="20" t="s">
        <v>767</v>
      </c>
      <c r="D71" s="137">
        <v>1340000</v>
      </c>
      <c r="E71" s="20" t="s">
        <v>713</v>
      </c>
      <c r="F71" s="20" t="s">
        <v>714</v>
      </c>
      <c r="G71" s="8" t="str">
        <f t="shared" si="2"/>
        <v>BEAM ROSS</v>
      </c>
      <c r="H71" s="20" t="str">
        <f t="shared" si="3"/>
        <v>4055</v>
      </c>
    </row>
    <row r="72" spans="1:8" x14ac:dyDescent="0.25">
      <c r="A72" s="8">
        <v>43074.37127314815</v>
      </c>
      <c r="B72" s="20" t="s">
        <v>500</v>
      </c>
      <c r="C72" s="20" t="s">
        <v>683</v>
      </c>
      <c r="D72" s="137">
        <v>3680000</v>
      </c>
      <c r="E72" s="20" t="s">
        <v>574</v>
      </c>
      <c r="F72" s="20" t="s">
        <v>575</v>
      </c>
      <c r="G72" s="8" t="str">
        <f t="shared" si="2"/>
        <v>HAMMOND JUSTYNN</v>
      </c>
      <c r="H72" s="20" t="str">
        <f t="shared" si="3"/>
        <v>4054</v>
      </c>
    </row>
    <row r="73" spans="1:8" x14ac:dyDescent="0.25">
      <c r="A73" s="8">
        <v>43074.374085648145</v>
      </c>
      <c r="B73" s="20" t="s">
        <v>696</v>
      </c>
      <c r="C73" s="20" t="s">
        <v>768</v>
      </c>
      <c r="D73" s="137">
        <v>3000000</v>
      </c>
      <c r="E73" s="20" t="s">
        <v>730</v>
      </c>
      <c r="F73" s="20" t="s">
        <v>731</v>
      </c>
      <c r="G73" s="8" t="str">
        <f t="shared" si="2"/>
        <v>FORTUNATO FRANK</v>
      </c>
      <c r="H73" s="20" t="str">
        <f t="shared" si="3"/>
        <v>4004</v>
      </c>
    </row>
    <row r="74" spans="1:8" x14ac:dyDescent="0.25">
      <c r="A74" s="8">
        <v>43074.379953703705</v>
      </c>
      <c r="B74" s="20" t="s">
        <v>465</v>
      </c>
      <c r="C74" s="20" t="s">
        <v>769</v>
      </c>
      <c r="D74" s="137">
        <v>3090000</v>
      </c>
      <c r="E74" s="20" t="s">
        <v>524</v>
      </c>
      <c r="F74" s="20" t="s">
        <v>525</v>
      </c>
      <c r="G74" s="8" t="str">
        <f t="shared" si="2"/>
        <v>LAMAR NEKESHA</v>
      </c>
      <c r="H74" s="20" t="str">
        <f t="shared" si="3"/>
        <v>4005</v>
      </c>
    </row>
    <row r="75" spans="1:8" x14ac:dyDescent="0.25">
      <c r="A75" s="8">
        <v>43074.382418981484</v>
      </c>
      <c r="B75" s="20" t="s">
        <v>363</v>
      </c>
      <c r="C75" s="20" t="s">
        <v>770</v>
      </c>
      <c r="D75" s="137">
        <v>2270000</v>
      </c>
      <c r="E75" s="20" t="s">
        <v>581</v>
      </c>
      <c r="F75" s="20" t="s">
        <v>582</v>
      </c>
      <c r="G75" s="8" t="str">
        <f t="shared" si="2"/>
        <v>BROWN JACOB</v>
      </c>
      <c r="H75" s="20" t="str">
        <f t="shared" si="3"/>
        <v>4036</v>
      </c>
    </row>
    <row r="76" spans="1:8" x14ac:dyDescent="0.25">
      <c r="A76" s="8">
        <v>43074.391805555555</v>
      </c>
      <c r="B76" s="20" t="s">
        <v>680</v>
      </c>
      <c r="C76" s="20" t="s">
        <v>771</v>
      </c>
      <c r="D76" s="137">
        <v>1230000</v>
      </c>
      <c r="E76" s="20" t="s">
        <v>578</v>
      </c>
      <c r="F76" s="20" t="s">
        <v>579</v>
      </c>
      <c r="G76" s="8" t="str">
        <f t="shared" si="2"/>
        <v>YANAI IAN</v>
      </c>
      <c r="H76" s="20" t="str">
        <f t="shared" si="3"/>
        <v>4013</v>
      </c>
    </row>
    <row r="77" spans="1:8" x14ac:dyDescent="0.25">
      <c r="A77" s="8">
        <v>43074.392245370371</v>
      </c>
      <c r="B77" s="20" t="s">
        <v>426</v>
      </c>
      <c r="C77" s="20" t="s">
        <v>772</v>
      </c>
      <c r="D77" s="137">
        <v>1830000</v>
      </c>
      <c r="E77" s="20" t="s">
        <v>346</v>
      </c>
      <c r="F77" s="20" t="s">
        <v>347</v>
      </c>
      <c r="G77" s="8" t="str">
        <f t="shared" si="2"/>
        <v>YORK EDGAR</v>
      </c>
      <c r="H77" s="20" t="str">
        <f t="shared" si="3"/>
        <v>4043</v>
      </c>
    </row>
    <row r="78" spans="1:8" x14ac:dyDescent="0.25">
      <c r="A78" s="8">
        <v>43074.393761574072</v>
      </c>
      <c r="B78" s="20" t="s">
        <v>676</v>
      </c>
      <c r="C78" s="20" t="s">
        <v>773</v>
      </c>
      <c r="D78" s="137">
        <v>3000000</v>
      </c>
      <c r="E78" s="20" t="s">
        <v>730</v>
      </c>
      <c r="F78" s="20" t="s">
        <v>731</v>
      </c>
      <c r="G78" s="8" t="str">
        <f t="shared" si="2"/>
        <v>FORTUNATO FRANK</v>
      </c>
      <c r="H78" s="20" t="str">
        <f t="shared" si="3"/>
        <v>4003</v>
      </c>
    </row>
    <row r="79" spans="1:8" x14ac:dyDescent="0.25">
      <c r="A79" s="8">
        <v>43074.39435185185</v>
      </c>
      <c r="B79" s="20" t="s">
        <v>710</v>
      </c>
      <c r="C79" s="20" t="s">
        <v>774</v>
      </c>
      <c r="D79" s="137">
        <v>3120000</v>
      </c>
      <c r="E79" s="20" t="s">
        <v>522</v>
      </c>
      <c r="F79" s="20" t="s">
        <v>523</v>
      </c>
      <c r="G79" s="8" t="str">
        <f t="shared" si="2"/>
        <v>THOMPSON LESTER</v>
      </c>
      <c r="H79" s="20" t="str">
        <f t="shared" si="3"/>
        <v>4060</v>
      </c>
    </row>
    <row r="80" spans="1:8" x14ac:dyDescent="0.25">
      <c r="A80" s="8">
        <v>43074.402106481481</v>
      </c>
      <c r="B80" s="20" t="s">
        <v>413</v>
      </c>
      <c r="C80" s="20" t="s">
        <v>775</v>
      </c>
      <c r="D80" s="137">
        <v>1340000</v>
      </c>
      <c r="E80" s="20" t="s">
        <v>713</v>
      </c>
      <c r="F80" s="20" t="s">
        <v>714</v>
      </c>
      <c r="G80" s="8" t="str">
        <f t="shared" si="2"/>
        <v>BEAM ROSS</v>
      </c>
      <c r="H80" s="20" t="str">
        <f t="shared" si="3"/>
        <v>4056</v>
      </c>
    </row>
    <row r="81" spans="1:8" x14ac:dyDescent="0.25">
      <c r="A81" s="8">
        <v>43074.412870370368</v>
      </c>
      <c r="B81" s="20" t="s">
        <v>499</v>
      </c>
      <c r="C81" s="20" t="s">
        <v>684</v>
      </c>
      <c r="D81" s="137">
        <v>3680000</v>
      </c>
      <c r="E81" s="20" t="s">
        <v>574</v>
      </c>
      <c r="F81" s="20" t="s">
        <v>575</v>
      </c>
      <c r="G81" s="8" t="str">
        <f t="shared" si="2"/>
        <v>HAMMOND JUSTYNN</v>
      </c>
      <c r="H81" s="20" t="str">
        <f t="shared" si="3"/>
        <v>4053</v>
      </c>
    </row>
    <row r="82" spans="1:8" x14ac:dyDescent="0.25">
      <c r="A82" s="8">
        <v>43074.414143518516</v>
      </c>
      <c r="B82" s="20" t="s">
        <v>467</v>
      </c>
      <c r="C82" s="20" t="s">
        <v>776</v>
      </c>
      <c r="D82" s="137">
        <v>3090000</v>
      </c>
      <c r="E82" s="20" t="s">
        <v>524</v>
      </c>
      <c r="F82" s="20" t="s">
        <v>525</v>
      </c>
      <c r="G82" s="8" t="str">
        <f t="shared" si="2"/>
        <v>LAMAR NEKESHA</v>
      </c>
      <c r="H82" s="20" t="str">
        <f t="shared" si="3"/>
        <v>4006</v>
      </c>
    </row>
    <row r="83" spans="1:8" x14ac:dyDescent="0.25">
      <c r="A83" s="8">
        <v>43074.415671296294</v>
      </c>
      <c r="B83" s="20" t="s">
        <v>696</v>
      </c>
      <c r="C83" s="20" t="s">
        <v>777</v>
      </c>
      <c r="D83" s="137">
        <v>3000000</v>
      </c>
      <c r="E83" s="20" t="s">
        <v>730</v>
      </c>
      <c r="F83" s="20" t="s">
        <v>731</v>
      </c>
      <c r="G83" s="8" t="str">
        <f t="shared" si="2"/>
        <v>FORTUNATO FRANK</v>
      </c>
      <c r="H83" s="20" t="str">
        <f t="shared" si="3"/>
        <v>4004</v>
      </c>
    </row>
    <row r="84" spans="1:8" x14ac:dyDescent="0.25">
      <c r="A84" s="8">
        <v>43074.416724537034</v>
      </c>
      <c r="B84" s="20" t="s">
        <v>364</v>
      </c>
      <c r="C84" s="20" t="s">
        <v>685</v>
      </c>
      <c r="D84" s="137">
        <v>2270000</v>
      </c>
      <c r="E84" s="20" t="s">
        <v>581</v>
      </c>
      <c r="F84" s="20" t="s">
        <v>582</v>
      </c>
      <c r="G84" s="8" t="str">
        <f t="shared" si="2"/>
        <v>BROWN JACOB</v>
      </c>
      <c r="H84" s="20" t="str">
        <f t="shared" si="3"/>
        <v>4035</v>
      </c>
    </row>
    <row r="85" spans="1:8" x14ac:dyDescent="0.25">
      <c r="A85" s="8">
        <v>43074.42224537037</v>
      </c>
      <c r="B85" s="20" t="s">
        <v>425</v>
      </c>
      <c r="C85" s="20" t="s">
        <v>778</v>
      </c>
      <c r="D85" s="137">
        <v>2600000</v>
      </c>
      <c r="E85" s="20" t="s">
        <v>577</v>
      </c>
      <c r="F85" s="20" t="s">
        <v>411</v>
      </c>
      <c r="G85" s="8" t="str">
        <f t="shared" si="2"/>
        <v>DAVIDSON DAVID</v>
      </c>
      <c r="H85" s="20" t="str">
        <f t="shared" si="3"/>
        <v>4044</v>
      </c>
    </row>
    <row r="86" spans="1:8" x14ac:dyDescent="0.25">
      <c r="A86" s="8">
        <v>43074.431817129633</v>
      </c>
      <c r="B86" s="20" t="s">
        <v>722</v>
      </c>
      <c r="C86" s="20" t="s">
        <v>779</v>
      </c>
      <c r="D86" s="137">
        <v>1230000</v>
      </c>
      <c r="E86" s="20" t="s">
        <v>578</v>
      </c>
      <c r="F86" s="20" t="s">
        <v>579</v>
      </c>
      <c r="G86" s="8" t="str">
        <f t="shared" si="2"/>
        <v>YANAI IAN</v>
      </c>
      <c r="H86" s="20" t="str">
        <f t="shared" si="3"/>
        <v>4014</v>
      </c>
    </row>
    <row r="87" spans="1:8" x14ac:dyDescent="0.25">
      <c r="A87" s="8">
        <v>43074.432141203702</v>
      </c>
      <c r="B87" s="20" t="s">
        <v>351</v>
      </c>
      <c r="C87" s="20" t="s">
        <v>780</v>
      </c>
      <c r="D87" s="137">
        <v>1340000</v>
      </c>
      <c r="E87" s="20" t="s">
        <v>713</v>
      </c>
      <c r="F87" s="20" t="s">
        <v>714</v>
      </c>
      <c r="G87" s="8" t="str">
        <f t="shared" si="2"/>
        <v>BEAM ROSS</v>
      </c>
      <c r="H87" s="20" t="str">
        <f t="shared" si="3"/>
        <v>4055</v>
      </c>
    </row>
    <row r="88" spans="1:8" x14ac:dyDescent="0.25">
      <c r="A88" s="8">
        <v>43074.43445601852</v>
      </c>
      <c r="B88" s="20" t="s">
        <v>674</v>
      </c>
      <c r="C88" s="20" t="s">
        <v>781</v>
      </c>
      <c r="D88" s="137">
        <v>3120000</v>
      </c>
      <c r="E88" s="20" t="s">
        <v>522</v>
      </c>
      <c r="F88" s="20" t="s">
        <v>523</v>
      </c>
      <c r="G88" s="8" t="str">
        <f t="shared" si="2"/>
        <v>THOMPSON LESTER</v>
      </c>
      <c r="H88" s="20" t="str">
        <f t="shared" si="3"/>
        <v>4059</v>
      </c>
    </row>
    <row r="89" spans="1:8" x14ac:dyDescent="0.25">
      <c r="A89" s="8">
        <v>43074.434675925928</v>
      </c>
      <c r="B89" s="20" t="s">
        <v>676</v>
      </c>
      <c r="C89" s="20" t="s">
        <v>686</v>
      </c>
      <c r="D89" s="137">
        <v>3000000</v>
      </c>
      <c r="E89" s="20" t="s">
        <v>730</v>
      </c>
      <c r="F89" s="20" t="s">
        <v>731</v>
      </c>
      <c r="G89" s="8" t="str">
        <f t="shared" si="2"/>
        <v>FORTUNATO FRANK</v>
      </c>
      <c r="H89" s="20" t="str">
        <f t="shared" si="3"/>
        <v>4003</v>
      </c>
    </row>
    <row r="90" spans="1:8" x14ac:dyDescent="0.25">
      <c r="A90" s="8">
        <v>43074.442974537036</v>
      </c>
      <c r="B90" s="20" t="s">
        <v>465</v>
      </c>
      <c r="C90" s="20" t="s">
        <v>782</v>
      </c>
      <c r="D90" s="137">
        <v>3090000</v>
      </c>
      <c r="E90" s="20" t="s">
        <v>524</v>
      </c>
      <c r="F90" s="20" t="s">
        <v>525</v>
      </c>
      <c r="G90" s="8" t="str">
        <f t="shared" si="2"/>
        <v>LAMAR NEKESHA</v>
      </c>
      <c r="H90" s="20" t="str">
        <f t="shared" si="3"/>
        <v>4005</v>
      </c>
    </row>
    <row r="91" spans="1:8" x14ac:dyDescent="0.25">
      <c r="A91" s="8">
        <v>43074.445625</v>
      </c>
      <c r="B91" s="20" t="s">
        <v>500</v>
      </c>
      <c r="C91" s="20" t="s">
        <v>783</v>
      </c>
      <c r="D91" s="137">
        <v>920000</v>
      </c>
      <c r="E91" s="20" t="s">
        <v>526</v>
      </c>
      <c r="F91" s="20" t="s">
        <v>352</v>
      </c>
      <c r="G91" s="8" t="str">
        <f t="shared" si="2"/>
        <v>DAVIS MICHAEL</v>
      </c>
      <c r="H91" s="20" t="str">
        <f t="shared" si="3"/>
        <v>4054</v>
      </c>
    </row>
    <row r="92" spans="1:8" x14ac:dyDescent="0.25">
      <c r="A92" s="8">
        <v>43074.454791666663</v>
      </c>
      <c r="B92" s="20" t="s">
        <v>363</v>
      </c>
      <c r="C92" s="20" t="s">
        <v>784</v>
      </c>
      <c r="D92" s="137">
        <v>2270000</v>
      </c>
      <c r="E92" s="20" t="s">
        <v>581</v>
      </c>
      <c r="F92" s="20" t="s">
        <v>582</v>
      </c>
      <c r="G92" s="8" t="str">
        <f t="shared" si="2"/>
        <v>BROWN JACOB</v>
      </c>
      <c r="H92" s="20" t="str">
        <f t="shared" si="3"/>
        <v>4036</v>
      </c>
    </row>
    <row r="93" spans="1:8" x14ac:dyDescent="0.25">
      <c r="A93" s="8">
        <v>43074.455381944441</v>
      </c>
      <c r="B93" s="20" t="s">
        <v>363</v>
      </c>
      <c r="C93" s="20" t="s">
        <v>785</v>
      </c>
      <c r="D93" s="137">
        <v>2270000</v>
      </c>
      <c r="E93" s="20" t="s">
        <v>581</v>
      </c>
      <c r="F93" s="20" t="s">
        <v>582</v>
      </c>
      <c r="G93" s="8" t="str">
        <f t="shared" si="2"/>
        <v>BROWN JACOB</v>
      </c>
      <c r="H93" s="20" t="str">
        <f t="shared" si="3"/>
        <v>4036</v>
      </c>
    </row>
    <row r="94" spans="1:8" x14ac:dyDescent="0.25">
      <c r="A94" s="8">
        <v>43074.456817129627</v>
      </c>
      <c r="B94" s="20" t="s">
        <v>426</v>
      </c>
      <c r="C94" s="20" t="s">
        <v>786</v>
      </c>
      <c r="D94" s="137">
        <v>2600000</v>
      </c>
      <c r="E94" s="20" t="s">
        <v>577</v>
      </c>
      <c r="F94" s="20" t="s">
        <v>411</v>
      </c>
      <c r="G94" s="8" t="str">
        <f t="shared" si="2"/>
        <v>DAVIDSON DAVID</v>
      </c>
      <c r="H94" s="20" t="str">
        <f t="shared" si="3"/>
        <v>4043</v>
      </c>
    </row>
    <row r="95" spans="1:8" x14ac:dyDescent="0.25">
      <c r="A95" s="8">
        <v>43074.45784722222</v>
      </c>
      <c r="B95" s="20" t="s">
        <v>696</v>
      </c>
      <c r="C95" s="20" t="s">
        <v>787</v>
      </c>
      <c r="D95" s="137">
        <v>3000000</v>
      </c>
      <c r="E95" s="20" t="s">
        <v>730</v>
      </c>
      <c r="F95" s="20" t="s">
        <v>731</v>
      </c>
      <c r="G95" s="8" t="str">
        <f t="shared" si="2"/>
        <v>FORTUNATO FRANK</v>
      </c>
      <c r="H95" s="20" t="str">
        <f t="shared" si="3"/>
        <v>4004</v>
      </c>
    </row>
    <row r="96" spans="1:8" x14ac:dyDescent="0.25">
      <c r="A96" s="8">
        <v>43074.463148148148</v>
      </c>
      <c r="B96" s="20" t="s">
        <v>680</v>
      </c>
      <c r="C96" s="20" t="s">
        <v>788</v>
      </c>
      <c r="D96" s="137">
        <v>1230000</v>
      </c>
      <c r="E96" s="20" t="s">
        <v>578</v>
      </c>
      <c r="F96" s="20" t="s">
        <v>579</v>
      </c>
      <c r="G96" s="8" t="str">
        <f t="shared" si="2"/>
        <v>YANAI IAN</v>
      </c>
      <c r="H96" s="20" t="str">
        <f t="shared" si="3"/>
        <v>4013</v>
      </c>
    </row>
    <row r="97" spans="1:8" x14ac:dyDescent="0.25">
      <c r="A97" s="8">
        <v>43074.466956018521</v>
      </c>
      <c r="B97" s="20" t="s">
        <v>710</v>
      </c>
      <c r="C97" s="20" t="s">
        <v>789</v>
      </c>
      <c r="D97" s="137">
        <v>1770000</v>
      </c>
      <c r="E97" s="20" t="s">
        <v>790</v>
      </c>
      <c r="F97" s="20" t="s">
        <v>791</v>
      </c>
      <c r="G97" s="8" t="str">
        <f t="shared" si="2"/>
        <v>BRUDER RICHARD</v>
      </c>
      <c r="H97" s="20" t="str">
        <f t="shared" si="3"/>
        <v>4060</v>
      </c>
    </row>
    <row r="98" spans="1:8" x14ac:dyDescent="0.25">
      <c r="A98" s="8">
        <v>43074.474097222221</v>
      </c>
      <c r="B98" s="20" t="s">
        <v>413</v>
      </c>
      <c r="C98" s="20" t="s">
        <v>792</v>
      </c>
      <c r="D98" s="137">
        <v>880000</v>
      </c>
      <c r="E98" s="20" t="s">
        <v>414</v>
      </c>
      <c r="F98" s="20" t="s">
        <v>352</v>
      </c>
      <c r="G98" s="8" t="str">
        <f t="shared" si="2"/>
        <v>STEWART MICHAEL</v>
      </c>
      <c r="H98" s="20" t="str">
        <f t="shared" si="3"/>
        <v>4056</v>
      </c>
    </row>
    <row r="99" spans="1:8" x14ac:dyDescent="0.25">
      <c r="A99" s="8">
        <v>43074.477592592593</v>
      </c>
      <c r="B99" s="20" t="s">
        <v>676</v>
      </c>
      <c r="C99" s="20" t="s">
        <v>793</v>
      </c>
      <c r="D99" s="137">
        <v>3000000</v>
      </c>
      <c r="E99" s="20" t="s">
        <v>730</v>
      </c>
      <c r="F99" s="20" t="s">
        <v>731</v>
      </c>
      <c r="G99" s="8" t="str">
        <f t="shared" si="2"/>
        <v>FORTUNATO FRANK</v>
      </c>
      <c r="H99" s="20" t="str">
        <f t="shared" si="3"/>
        <v>4003</v>
      </c>
    </row>
    <row r="100" spans="1:8" x14ac:dyDescent="0.25">
      <c r="A100" s="8">
        <v>43074.484930555554</v>
      </c>
      <c r="B100" s="20" t="s">
        <v>467</v>
      </c>
      <c r="C100" s="20" t="s">
        <v>794</v>
      </c>
      <c r="D100" s="137">
        <v>1300000</v>
      </c>
      <c r="E100" s="20" t="s">
        <v>587</v>
      </c>
      <c r="F100" s="20" t="s">
        <v>588</v>
      </c>
      <c r="G100" s="8" t="str">
        <f t="shared" si="2"/>
        <v>LEVIN SCOTT</v>
      </c>
      <c r="H100" s="20" t="str">
        <f t="shared" si="3"/>
        <v>4006</v>
      </c>
    </row>
    <row r="101" spans="1:8" x14ac:dyDescent="0.25">
      <c r="A101" s="8">
        <v>43074.486145833333</v>
      </c>
      <c r="B101" s="20" t="s">
        <v>499</v>
      </c>
      <c r="C101" s="20" t="s">
        <v>795</v>
      </c>
      <c r="D101" s="137">
        <v>920000</v>
      </c>
      <c r="E101" s="20" t="s">
        <v>526</v>
      </c>
      <c r="F101" s="20" t="s">
        <v>352</v>
      </c>
      <c r="G101" s="8" t="str">
        <f t="shared" si="2"/>
        <v>DAVIS MICHAEL</v>
      </c>
      <c r="H101" s="20" t="str">
        <f t="shared" si="3"/>
        <v>4053</v>
      </c>
    </row>
    <row r="102" spans="1:8" x14ac:dyDescent="0.25">
      <c r="A102" s="8">
        <v>43074.492256944446</v>
      </c>
      <c r="B102" s="20" t="s">
        <v>364</v>
      </c>
      <c r="C102" s="20" t="s">
        <v>784</v>
      </c>
      <c r="D102" s="137">
        <v>2270000</v>
      </c>
      <c r="E102" s="20" t="s">
        <v>581</v>
      </c>
      <c r="F102" s="20" t="s">
        <v>582</v>
      </c>
      <c r="G102" s="8" t="str">
        <f t="shared" si="2"/>
        <v>BROWN JACOB</v>
      </c>
      <c r="H102" s="20" t="str">
        <f t="shared" si="3"/>
        <v>4035</v>
      </c>
    </row>
    <row r="103" spans="1:8" x14ac:dyDescent="0.25">
      <c r="A103" s="8">
        <v>43074.497870370367</v>
      </c>
      <c r="B103" s="20" t="s">
        <v>425</v>
      </c>
      <c r="C103" s="20" t="s">
        <v>796</v>
      </c>
      <c r="D103" s="137">
        <v>3790000</v>
      </c>
      <c r="E103" s="20" t="s">
        <v>583</v>
      </c>
      <c r="F103" s="20" t="s">
        <v>584</v>
      </c>
      <c r="G103" s="8" t="str">
        <f t="shared" si="2"/>
        <v>NICHOLAS PLOYSA</v>
      </c>
      <c r="H103" s="20" t="str">
        <f t="shared" si="3"/>
        <v>4044</v>
      </c>
    </row>
    <row r="104" spans="1:8" x14ac:dyDescent="0.25">
      <c r="A104" s="8">
        <v>43074.498773148145</v>
      </c>
      <c r="B104" s="20" t="s">
        <v>696</v>
      </c>
      <c r="C104" s="20" t="s">
        <v>797</v>
      </c>
      <c r="D104" s="137">
        <v>3000000</v>
      </c>
      <c r="E104" s="20" t="s">
        <v>730</v>
      </c>
      <c r="F104" s="20" t="s">
        <v>731</v>
      </c>
      <c r="G104" s="8" t="str">
        <f t="shared" si="2"/>
        <v>FORTUNATO FRANK</v>
      </c>
      <c r="H104" s="20" t="str">
        <f t="shared" si="3"/>
        <v>4004</v>
      </c>
    </row>
    <row r="105" spans="1:8" x14ac:dyDescent="0.25">
      <c r="A105" s="8">
        <v>43074.50644675926</v>
      </c>
      <c r="B105" s="20" t="s">
        <v>722</v>
      </c>
      <c r="C105" s="20" t="s">
        <v>798</v>
      </c>
      <c r="D105" s="137">
        <v>2630000</v>
      </c>
      <c r="E105" s="20" t="s">
        <v>527</v>
      </c>
      <c r="F105" s="20" t="s">
        <v>528</v>
      </c>
      <c r="G105" s="8" t="str">
        <f t="shared" si="2"/>
        <v>SAFIEF AEIMEN</v>
      </c>
      <c r="H105" s="20" t="str">
        <f t="shared" si="3"/>
        <v>4014</v>
      </c>
    </row>
    <row r="106" spans="1:8" x14ac:dyDescent="0.25">
      <c r="A106" s="8">
        <v>43074.506469907406</v>
      </c>
      <c r="B106" s="20" t="s">
        <v>674</v>
      </c>
      <c r="C106" s="20" t="s">
        <v>799</v>
      </c>
      <c r="D106" s="137">
        <v>1770000</v>
      </c>
      <c r="E106" s="20" t="s">
        <v>790</v>
      </c>
      <c r="F106" s="20" t="s">
        <v>791</v>
      </c>
      <c r="G106" s="8" t="str">
        <f t="shared" si="2"/>
        <v>BRUDER RICHARD</v>
      </c>
      <c r="H106" s="20" t="str">
        <f t="shared" si="3"/>
        <v>4059</v>
      </c>
    </row>
    <row r="107" spans="1:8" x14ac:dyDescent="0.25">
      <c r="A107" s="8">
        <v>43074.516284722224</v>
      </c>
      <c r="B107" s="20" t="s">
        <v>351</v>
      </c>
      <c r="C107" s="20" t="s">
        <v>687</v>
      </c>
      <c r="D107" s="137">
        <v>880000</v>
      </c>
      <c r="E107" s="20" t="s">
        <v>414</v>
      </c>
      <c r="F107" s="20" t="s">
        <v>352</v>
      </c>
      <c r="G107" s="8" t="str">
        <f t="shared" si="2"/>
        <v>STEWART MICHAEL</v>
      </c>
      <c r="H107" s="20" t="str">
        <f t="shared" si="3"/>
        <v>4055</v>
      </c>
    </row>
    <row r="108" spans="1:8" x14ac:dyDescent="0.25">
      <c r="A108" s="8">
        <v>43074.518530092595</v>
      </c>
      <c r="B108" s="20" t="s">
        <v>676</v>
      </c>
      <c r="C108" s="20" t="s">
        <v>688</v>
      </c>
      <c r="D108" s="137">
        <v>3000000</v>
      </c>
      <c r="E108" s="20" t="s">
        <v>730</v>
      </c>
      <c r="F108" s="20" t="s">
        <v>731</v>
      </c>
      <c r="G108" s="8" t="str">
        <f t="shared" si="2"/>
        <v>FORTUNATO FRANK</v>
      </c>
      <c r="H108" s="20" t="str">
        <f t="shared" si="3"/>
        <v>4003</v>
      </c>
    </row>
    <row r="109" spans="1:8" x14ac:dyDescent="0.25">
      <c r="A109" s="8">
        <v>43074.518634259257</v>
      </c>
      <c r="B109" s="20" t="s">
        <v>500</v>
      </c>
      <c r="C109" s="20" t="s">
        <v>800</v>
      </c>
      <c r="D109" s="137">
        <v>920000</v>
      </c>
      <c r="E109" s="20" t="s">
        <v>526</v>
      </c>
      <c r="F109" s="20" t="s">
        <v>352</v>
      </c>
      <c r="G109" s="8" t="str">
        <f t="shared" si="2"/>
        <v>DAVIS MICHAEL</v>
      </c>
      <c r="H109" s="20" t="str">
        <f t="shared" si="3"/>
        <v>4054</v>
      </c>
    </row>
    <row r="110" spans="1:8" x14ac:dyDescent="0.25">
      <c r="A110" s="8">
        <v>43074.522569444445</v>
      </c>
      <c r="B110" s="20" t="s">
        <v>465</v>
      </c>
      <c r="C110" s="20" t="s">
        <v>801</v>
      </c>
      <c r="D110" s="137">
        <v>1300000</v>
      </c>
      <c r="E110" s="20" t="s">
        <v>587</v>
      </c>
      <c r="F110" s="20" t="s">
        <v>588</v>
      </c>
      <c r="G110" s="8" t="str">
        <f t="shared" si="2"/>
        <v>LEVIN SCOTT</v>
      </c>
      <c r="H110" s="20" t="str">
        <f t="shared" si="3"/>
        <v>4005</v>
      </c>
    </row>
    <row r="111" spans="1:8" x14ac:dyDescent="0.25">
      <c r="A111" s="8">
        <v>43074.527766203704</v>
      </c>
      <c r="B111" s="20" t="s">
        <v>363</v>
      </c>
      <c r="C111" s="20" t="s">
        <v>802</v>
      </c>
      <c r="D111" s="137">
        <v>2230000</v>
      </c>
      <c r="E111" s="20" t="s">
        <v>529</v>
      </c>
      <c r="F111" s="20" t="s">
        <v>352</v>
      </c>
      <c r="G111" s="8" t="str">
        <f t="shared" si="2"/>
        <v>SMITH MICHAEL</v>
      </c>
      <c r="H111" s="20" t="str">
        <f t="shared" si="3"/>
        <v>4036</v>
      </c>
    </row>
    <row r="112" spans="1:8" x14ac:dyDescent="0.25">
      <c r="A112" s="8">
        <v>43074.536469907405</v>
      </c>
      <c r="B112" s="20" t="s">
        <v>426</v>
      </c>
      <c r="C112" s="20" t="s">
        <v>803</v>
      </c>
      <c r="D112" s="137">
        <v>3790000</v>
      </c>
      <c r="E112" s="20" t="s">
        <v>583</v>
      </c>
      <c r="F112" s="20" t="s">
        <v>584</v>
      </c>
      <c r="G112" s="8" t="str">
        <f t="shared" si="2"/>
        <v>NICHOLAS PLOYSA</v>
      </c>
      <c r="H112" s="20" t="str">
        <f t="shared" si="3"/>
        <v>4043</v>
      </c>
    </row>
    <row r="113" spans="1:8" x14ac:dyDescent="0.25">
      <c r="A113" s="8">
        <v>43074.538356481484</v>
      </c>
      <c r="B113" s="20" t="s">
        <v>680</v>
      </c>
      <c r="C113" s="20" t="s">
        <v>804</v>
      </c>
      <c r="D113" s="137">
        <v>2630000</v>
      </c>
      <c r="E113" s="20" t="s">
        <v>527</v>
      </c>
      <c r="F113" s="20" t="s">
        <v>528</v>
      </c>
      <c r="G113" s="8" t="str">
        <f t="shared" si="2"/>
        <v>SAFIEF AEIMEN</v>
      </c>
      <c r="H113" s="20" t="str">
        <f t="shared" si="3"/>
        <v>4013</v>
      </c>
    </row>
    <row r="114" spans="1:8" x14ac:dyDescent="0.25">
      <c r="A114" s="8">
        <v>43074.539201388892</v>
      </c>
      <c r="B114" s="20" t="s">
        <v>710</v>
      </c>
      <c r="C114" s="20" t="s">
        <v>805</v>
      </c>
      <c r="D114" s="137">
        <v>1770000</v>
      </c>
      <c r="E114" s="20" t="s">
        <v>790</v>
      </c>
      <c r="F114" s="20" t="s">
        <v>791</v>
      </c>
      <c r="G114" s="8" t="str">
        <f t="shared" si="2"/>
        <v>BRUDER RICHARD</v>
      </c>
      <c r="H114" s="20" t="str">
        <f t="shared" si="3"/>
        <v>4060</v>
      </c>
    </row>
    <row r="115" spans="1:8" x14ac:dyDescent="0.25">
      <c r="A115" s="8">
        <v>43074.542650462965</v>
      </c>
      <c r="B115" s="20" t="s">
        <v>696</v>
      </c>
      <c r="C115" s="20" t="s">
        <v>806</v>
      </c>
      <c r="D115" s="137">
        <v>3840000</v>
      </c>
      <c r="E115" s="20" t="s">
        <v>585</v>
      </c>
      <c r="F115" s="20" t="s">
        <v>586</v>
      </c>
      <c r="G115" s="8" t="str">
        <f t="shared" si="2"/>
        <v>LONG FULLER</v>
      </c>
      <c r="H115" s="20" t="str">
        <f t="shared" si="3"/>
        <v>4004</v>
      </c>
    </row>
    <row r="116" spans="1:8" x14ac:dyDescent="0.25">
      <c r="A116" s="8">
        <v>43074.548703703702</v>
      </c>
      <c r="B116" s="20" t="s">
        <v>413</v>
      </c>
      <c r="C116" s="20" t="s">
        <v>807</v>
      </c>
      <c r="D116" s="137">
        <v>880000</v>
      </c>
      <c r="E116" s="20" t="s">
        <v>414</v>
      </c>
      <c r="F116" s="20" t="s">
        <v>352</v>
      </c>
      <c r="G116" s="8" t="str">
        <f t="shared" si="2"/>
        <v>STEWART MICHAEL</v>
      </c>
      <c r="H116" s="20" t="str">
        <f t="shared" si="3"/>
        <v>4056</v>
      </c>
    </row>
    <row r="117" spans="1:8" x14ac:dyDescent="0.25">
      <c r="A117" s="8">
        <v>43074.558993055558</v>
      </c>
      <c r="B117" s="20" t="s">
        <v>499</v>
      </c>
      <c r="C117" s="20" t="s">
        <v>808</v>
      </c>
      <c r="D117" s="137">
        <v>920000</v>
      </c>
      <c r="E117" s="20" t="s">
        <v>526</v>
      </c>
      <c r="F117" s="20" t="s">
        <v>352</v>
      </c>
      <c r="G117" s="8" t="str">
        <f t="shared" si="2"/>
        <v>DAVIS MICHAEL</v>
      </c>
      <c r="H117" s="20" t="str">
        <f t="shared" si="3"/>
        <v>4053</v>
      </c>
    </row>
    <row r="118" spans="1:8" x14ac:dyDescent="0.25">
      <c r="A118" s="8">
        <v>43074.56013888889</v>
      </c>
      <c r="B118" s="20" t="s">
        <v>467</v>
      </c>
      <c r="C118" s="20" t="s">
        <v>809</v>
      </c>
      <c r="D118" s="137">
        <v>1300000</v>
      </c>
      <c r="E118" s="20" t="s">
        <v>587</v>
      </c>
      <c r="F118" s="20" t="s">
        <v>588</v>
      </c>
      <c r="G118" s="8" t="str">
        <f t="shared" si="2"/>
        <v>LEVIN SCOTT</v>
      </c>
      <c r="H118" s="20" t="str">
        <f t="shared" si="3"/>
        <v>4006</v>
      </c>
    </row>
    <row r="119" spans="1:8" x14ac:dyDescent="0.25">
      <c r="A119" s="8">
        <v>43074.562962962962</v>
      </c>
      <c r="B119" s="20" t="s">
        <v>676</v>
      </c>
      <c r="C119" s="20" t="s">
        <v>689</v>
      </c>
      <c r="D119" s="137">
        <v>3840000</v>
      </c>
      <c r="E119" s="20" t="s">
        <v>585</v>
      </c>
      <c r="F119" s="20" t="s">
        <v>586</v>
      </c>
      <c r="G119" s="8" t="str">
        <f t="shared" si="2"/>
        <v>LONG FULLER</v>
      </c>
      <c r="H119" s="20" t="str">
        <f t="shared" si="3"/>
        <v>4003</v>
      </c>
    </row>
    <row r="120" spans="1:8" x14ac:dyDescent="0.25">
      <c r="A120" s="8">
        <v>43074.564062500001</v>
      </c>
      <c r="B120" s="20" t="s">
        <v>364</v>
      </c>
      <c r="C120" s="20" t="s">
        <v>810</v>
      </c>
      <c r="D120" s="137">
        <v>2230000</v>
      </c>
      <c r="E120" s="20" t="s">
        <v>529</v>
      </c>
      <c r="F120" s="20" t="s">
        <v>352</v>
      </c>
      <c r="G120" s="8" t="str">
        <f t="shared" si="2"/>
        <v>SMITH MICHAEL</v>
      </c>
      <c r="H120" s="20" t="str">
        <f t="shared" si="3"/>
        <v>4035</v>
      </c>
    </row>
    <row r="121" spans="1:8" x14ac:dyDescent="0.25">
      <c r="A121" s="8">
        <v>43074.569212962961</v>
      </c>
      <c r="B121" s="20" t="s">
        <v>425</v>
      </c>
      <c r="C121" s="20" t="s">
        <v>811</v>
      </c>
      <c r="D121" s="137">
        <v>3790000</v>
      </c>
      <c r="E121" s="20" t="s">
        <v>583</v>
      </c>
      <c r="F121" s="20" t="s">
        <v>584</v>
      </c>
      <c r="G121" s="8" t="str">
        <f t="shared" si="2"/>
        <v>NICHOLAS PLOYSA</v>
      </c>
      <c r="H121" s="20" t="str">
        <f t="shared" si="3"/>
        <v>4044</v>
      </c>
    </row>
    <row r="122" spans="1:8" x14ac:dyDescent="0.25">
      <c r="A122" s="8">
        <v>43074.578298611108</v>
      </c>
      <c r="B122" s="25" t="s">
        <v>674</v>
      </c>
      <c r="C122" s="20" t="s">
        <v>812</v>
      </c>
      <c r="D122" s="137">
        <v>1770000</v>
      </c>
      <c r="E122" s="20" t="s">
        <v>790</v>
      </c>
      <c r="F122" s="20" t="s">
        <v>791</v>
      </c>
      <c r="G122" s="8" t="str">
        <f t="shared" si="2"/>
        <v>BRUDER RICHARD</v>
      </c>
      <c r="H122" s="20" t="str">
        <f t="shared" si="3"/>
        <v>4059</v>
      </c>
    </row>
    <row r="123" spans="1:8" x14ac:dyDescent="0.25">
      <c r="A123" s="8">
        <v>43074.580960648149</v>
      </c>
      <c r="B123" s="20" t="s">
        <v>722</v>
      </c>
      <c r="C123" s="20" t="s">
        <v>813</v>
      </c>
      <c r="D123" s="137">
        <v>2630000</v>
      </c>
      <c r="E123" s="20" t="s">
        <v>527</v>
      </c>
      <c r="F123" s="20" t="s">
        <v>528</v>
      </c>
      <c r="G123" s="8" t="str">
        <f t="shared" si="2"/>
        <v>SAFIEF AEIMEN</v>
      </c>
      <c r="H123" s="20" t="str">
        <f t="shared" si="3"/>
        <v>4014</v>
      </c>
    </row>
    <row r="124" spans="1:8" x14ac:dyDescent="0.25">
      <c r="A124" s="8">
        <v>43074.586192129631</v>
      </c>
      <c r="B124" s="20" t="s">
        <v>696</v>
      </c>
      <c r="C124" s="20" t="s">
        <v>814</v>
      </c>
      <c r="D124" s="137">
        <v>3840000</v>
      </c>
      <c r="E124" s="20" t="s">
        <v>585</v>
      </c>
      <c r="F124" s="20" t="s">
        <v>586</v>
      </c>
      <c r="G124" s="8" t="str">
        <f t="shared" si="2"/>
        <v>LONG FULLER</v>
      </c>
      <c r="H124" s="20" t="str">
        <f t="shared" si="3"/>
        <v>4004</v>
      </c>
    </row>
    <row r="125" spans="1:8" x14ac:dyDescent="0.25">
      <c r="A125" s="8">
        <v>43074.588321759256</v>
      </c>
      <c r="B125" s="20" t="s">
        <v>351</v>
      </c>
      <c r="C125" s="20" t="s">
        <v>815</v>
      </c>
      <c r="D125" s="137">
        <v>880000</v>
      </c>
      <c r="E125" s="20" t="s">
        <v>414</v>
      </c>
      <c r="F125" s="20" t="s">
        <v>352</v>
      </c>
      <c r="G125" s="8" t="str">
        <f t="shared" si="2"/>
        <v>STEWART MICHAEL</v>
      </c>
      <c r="H125" s="20" t="str">
        <f t="shared" si="3"/>
        <v>4055</v>
      </c>
    </row>
    <row r="126" spans="1:8" x14ac:dyDescent="0.25">
      <c r="A126" s="8">
        <v>43074.592175925929</v>
      </c>
      <c r="B126" s="20" t="s">
        <v>500</v>
      </c>
      <c r="C126" s="20" t="s">
        <v>690</v>
      </c>
      <c r="D126" s="137">
        <v>920000</v>
      </c>
      <c r="E126" s="20" t="s">
        <v>526</v>
      </c>
      <c r="F126" s="20" t="s">
        <v>352</v>
      </c>
      <c r="G126" s="8" t="str">
        <f t="shared" si="2"/>
        <v>DAVIS MICHAEL</v>
      </c>
      <c r="H126" s="20" t="str">
        <f t="shared" si="3"/>
        <v>4054</v>
      </c>
    </row>
    <row r="127" spans="1:8" x14ac:dyDescent="0.25">
      <c r="A127" s="8">
        <v>43074.597268518519</v>
      </c>
      <c r="B127" s="20" t="s">
        <v>465</v>
      </c>
      <c r="C127" s="20" t="s">
        <v>816</v>
      </c>
      <c r="D127" s="137">
        <v>1300000</v>
      </c>
      <c r="E127" s="20" t="s">
        <v>587</v>
      </c>
      <c r="F127" s="20" t="s">
        <v>588</v>
      </c>
      <c r="G127" s="8" t="str">
        <f t="shared" si="2"/>
        <v>LEVIN SCOTT</v>
      </c>
      <c r="H127" s="20" t="str">
        <f t="shared" si="3"/>
        <v>4005</v>
      </c>
    </row>
    <row r="128" spans="1:8" x14ac:dyDescent="0.25">
      <c r="A128" s="8">
        <v>43074.598761574074</v>
      </c>
      <c r="B128" s="20" t="s">
        <v>363</v>
      </c>
      <c r="C128" s="20" t="s">
        <v>817</v>
      </c>
      <c r="D128" s="137">
        <v>2230000</v>
      </c>
      <c r="E128" s="20" t="s">
        <v>529</v>
      </c>
      <c r="F128" s="20" t="s">
        <v>352</v>
      </c>
      <c r="G128" s="8" t="str">
        <f t="shared" si="2"/>
        <v>SMITH MICHAEL</v>
      </c>
      <c r="H128" s="20" t="str">
        <f t="shared" si="3"/>
        <v>4036</v>
      </c>
    </row>
    <row r="129" spans="1:8" x14ac:dyDescent="0.25">
      <c r="A129" s="8">
        <v>43074.600636574076</v>
      </c>
      <c r="B129" s="20" t="s">
        <v>676</v>
      </c>
      <c r="C129" s="20" t="s">
        <v>691</v>
      </c>
      <c r="D129" s="137">
        <v>3840000</v>
      </c>
      <c r="E129" s="20" t="s">
        <v>585</v>
      </c>
      <c r="F129" s="20" t="s">
        <v>586</v>
      </c>
      <c r="G129" s="8" t="str">
        <f t="shared" si="2"/>
        <v>LONG FULLER</v>
      </c>
      <c r="H129" s="20" t="str">
        <f t="shared" si="3"/>
        <v>4003</v>
      </c>
    </row>
    <row r="130" spans="1:8" x14ac:dyDescent="0.25">
      <c r="A130" s="8">
        <v>43074.607905092591</v>
      </c>
      <c r="B130" s="20" t="s">
        <v>426</v>
      </c>
      <c r="C130" s="20" t="s">
        <v>818</v>
      </c>
      <c r="D130" s="137">
        <v>3790000</v>
      </c>
      <c r="E130" s="20" t="s">
        <v>583</v>
      </c>
      <c r="F130" s="20" t="s">
        <v>584</v>
      </c>
      <c r="G130" s="8" t="str">
        <f t="shared" si="2"/>
        <v>NICHOLAS PLOYSA</v>
      </c>
      <c r="H130" s="20" t="str">
        <f t="shared" si="3"/>
        <v>4043</v>
      </c>
    </row>
    <row r="131" spans="1:8" x14ac:dyDescent="0.25">
      <c r="A131" s="8">
        <v>43074.610231481478</v>
      </c>
      <c r="B131" s="20" t="s">
        <v>680</v>
      </c>
      <c r="C131" s="20" t="s">
        <v>819</v>
      </c>
      <c r="D131" s="137">
        <v>2630000</v>
      </c>
      <c r="E131" s="20" t="s">
        <v>527</v>
      </c>
      <c r="F131" s="20" t="s">
        <v>528</v>
      </c>
      <c r="G131" s="8" t="str">
        <f t="shared" ref="G131:G194" si="4">E131&amp;" "&amp;F131</f>
        <v>SAFIEF AEIMEN</v>
      </c>
      <c r="H131" s="20" t="str">
        <f t="shared" ref="H131:H194" si="5">MID(B131,13,4)</f>
        <v>4013</v>
      </c>
    </row>
    <row r="132" spans="1:8" x14ac:dyDescent="0.25">
      <c r="A132" s="8">
        <v>43074.611678240741</v>
      </c>
      <c r="B132" s="20" t="s">
        <v>710</v>
      </c>
      <c r="C132" s="20" t="s">
        <v>820</v>
      </c>
      <c r="D132" s="137">
        <v>1770000</v>
      </c>
      <c r="E132" s="20" t="s">
        <v>790</v>
      </c>
      <c r="F132" s="20" t="s">
        <v>791</v>
      </c>
      <c r="G132" s="8" t="str">
        <f t="shared" si="4"/>
        <v>BRUDER RICHARD</v>
      </c>
      <c r="H132" s="20" t="str">
        <f t="shared" si="5"/>
        <v>4060</v>
      </c>
    </row>
    <row r="133" spans="1:8" x14ac:dyDescent="0.25">
      <c r="A133" s="8">
        <v>43074.62060185185</v>
      </c>
      <c r="B133" s="20" t="s">
        <v>413</v>
      </c>
      <c r="C133" s="20" t="s">
        <v>821</v>
      </c>
      <c r="D133" s="137">
        <v>880000</v>
      </c>
      <c r="E133" s="20" t="s">
        <v>414</v>
      </c>
      <c r="F133" s="20" t="s">
        <v>352</v>
      </c>
      <c r="G133" s="8" t="str">
        <f t="shared" si="4"/>
        <v>STEWART MICHAEL</v>
      </c>
      <c r="H133" s="20" t="str">
        <f t="shared" si="5"/>
        <v>4056</v>
      </c>
    </row>
    <row r="134" spans="1:8" x14ac:dyDescent="0.25">
      <c r="A134" s="8">
        <v>43074.628032407411</v>
      </c>
      <c r="B134" s="20" t="s">
        <v>696</v>
      </c>
      <c r="C134" s="20" t="s">
        <v>822</v>
      </c>
      <c r="D134" s="137">
        <v>3840000</v>
      </c>
      <c r="E134" s="20" t="s">
        <v>585</v>
      </c>
      <c r="F134" s="20" t="s">
        <v>586</v>
      </c>
      <c r="G134" s="8" t="str">
        <f t="shared" si="4"/>
        <v>LONG FULLER</v>
      </c>
      <c r="H134" s="20" t="str">
        <f t="shared" si="5"/>
        <v>4004</v>
      </c>
    </row>
    <row r="135" spans="1:8" x14ac:dyDescent="0.25">
      <c r="A135" s="8">
        <v>43074.630787037036</v>
      </c>
      <c r="B135" s="20" t="s">
        <v>467</v>
      </c>
      <c r="C135" s="20" t="s">
        <v>823</v>
      </c>
      <c r="D135" s="137">
        <v>1300000</v>
      </c>
      <c r="E135" s="20" t="s">
        <v>587</v>
      </c>
      <c r="F135" s="20" t="s">
        <v>588</v>
      </c>
      <c r="G135" s="8" t="str">
        <f t="shared" si="4"/>
        <v>LEVIN SCOTT</v>
      </c>
      <c r="H135" s="20" t="str">
        <f t="shared" si="5"/>
        <v>4006</v>
      </c>
    </row>
    <row r="136" spans="1:8" x14ac:dyDescent="0.25">
      <c r="A136" s="8">
        <v>43074.631539351853</v>
      </c>
      <c r="B136" s="20" t="s">
        <v>367</v>
      </c>
      <c r="C136" s="20" t="s">
        <v>824</v>
      </c>
      <c r="D136" s="137">
        <v>3700000</v>
      </c>
      <c r="E136" s="20" t="s">
        <v>589</v>
      </c>
      <c r="F136" s="20" t="s">
        <v>522</v>
      </c>
      <c r="G136" s="8" t="str">
        <f t="shared" si="4"/>
        <v>AUSTIN THOMPSON</v>
      </c>
      <c r="H136" s="20" t="str">
        <f t="shared" si="5"/>
        <v>4011</v>
      </c>
    </row>
    <row r="137" spans="1:8" x14ac:dyDescent="0.25">
      <c r="A137" s="8">
        <v>43074.632048611114</v>
      </c>
      <c r="B137" s="20" t="s">
        <v>499</v>
      </c>
      <c r="C137" s="20" t="s">
        <v>825</v>
      </c>
      <c r="D137" s="137">
        <v>920000</v>
      </c>
      <c r="E137" s="20" t="s">
        <v>526</v>
      </c>
      <c r="F137" s="20" t="s">
        <v>352</v>
      </c>
      <c r="G137" s="8" t="str">
        <f t="shared" si="4"/>
        <v>DAVIS MICHAEL</v>
      </c>
      <c r="H137" s="20" t="str">
        <f t="shared" si="5"/>
        <v>4053</v>
      </c>
    </row>
    <row r="138" spans="1:8" x14ac:dyDescent="0.25">
      <c r="A138" s="8">
        <v>43074.636597222219</v>
      </c>
      <c r="B138" s="20" t="s">
        <v>367</v>
      </c>
      <c r="C138" s="20" t="s">
        <v>824</v>
      </c>
      <c r="D138" s="137">
        <v>3700000</v>
      </c>
      <c r="E138" s="20" t="s">
        <v>589</v>
      </c>
      <c r="F138" s="20" t="s">
        <v>522</v>
      </c>
      <c r="G138" s="8" t="str">
        <f t="shared" si="4"/>
        <v>AUSTIN THOMPSON</v>
      </c>
      <c r="H138" s="20" t="str">
        <f t="shared" si="5"/>
        <v>4011</v>
      </c>
    </row>
    <row r="139" spans="1:8" x14ac:dyDescent="0.25">
      <c r="A139" s="8">
        <v>43074.638807870368</v>
      </c>
      <c r="B139" s="20" t="s">
        <v>364</v>
      </c>
      <c r="C139" s="20" t="s">
        <v>826</v>
      </c>
      <c r="D139" s="137">
        <v>2230000</v>
      </c>
      <c r="E139" s="20" t="s">
        <v>529</v>
      </c>
      <c r="F139" s="20" t="s">
        <v>352</v>
      </c>
      <c r="G139" s="8" t="str">
        <f t="shared" si="4"/>
        <v>SMITH MICHAEL</v>
      </c>
      <c r="H139" s="20" t="str">
        <f t="shared" si="5"/>
        <v>4035</v>
      </c>
    </row>
    <row r="140" spans="1:8" x14ac:dyDescent="0.25">
      <c r="A140" s="8">
        <v>43074.642291666663</v>
      </c>
      <c r="B140" s="20" t="s">
        <v>425</v>
      </c>
      <c r="C140" s="20" t="s">
        <v>827</v>
      </c>
      <c r="D140" s="137">
        <v>3790000</v>
      </c>
      <c r="E140" s="20" t="s">
        <v>583</v>
      </c>
      <c r="F140" s="20" t="s">
        <v>584</v>
      </c>
      <c r="G140" s="8" t="str">
        <f t="shared" si="4"/>
        <v>NICHOLAS PLOYSA</v>
      </c>
      <c r="H140" s="20" t="str">
        <f t="shared" si="5"/>
        <v>4044</v>
      </c>
    </row>
    <row r="141" spans="1:8" x14ac:dyDescent="0.25">
      <c r="A141" s="8">
        <v>43074.644178240742</v>
      </c>
      <c r="B141" s="20" t="s">
        <v>676</v>
      </c>
      <c r="C141" s="20" t="s">
        <v>828</v>
      </c>
      <c r="D141" s="137">
        <v>3840000</v>
      </c>
      <c r="E141" s="20" t="s">
        <v>585</v>
      </c>
      <c r="F141" s="20" t="s">
        <v>586</v>
      </c>
      <c r="G141" s="8" t="str">
        <f t="shared" si="4"/>
        <v>LONG FULLER</v>
      </c>
      <c r="H141" s="20" t="str">
        <f t="shared" si="5"/>
        <v>4003</v>
      </c>
    </row>
    <row r="142" spans="1:8" x14ac:dyDescent="0.25">
      <c r="A142" s="8">
        <v>43074.647731481484</v>
      </c>
      <c r="B142" s="20" t="s">
        <v>366</v>
      </c>
      <c r="C142" s="20" t="s">
        <v>829</v>
      </c>
      <c r="D142" s="137">
        <v>3700000</v>
      </c>
      <c r="E142" s="20" t="s">
        <v>589</v>
      </c>
      <c r="F142" s="20" t="s">
        <v>522</v>
      </c>
      <c r="G142" s="8" t="str">
        <f t="shared" si="4"/>
        <v>AUSTIN THOMPSON</v>
      </c>
      <c r="H142" s="20" t="str">
        <f t="shared" si="5"/>
        <v>4012</v>
      </c>
    </row>
    <row r="143" spans="1:8" x14ac:dyDescent="0.25">
      <c r="A143" s="8">
        <v>43074.651226851849</v>
      </c>
      <c r="B143" s="20" t="s">
        <v>674</v>
      </c>
      <c r="C143" s="20" t="s">
        <v>830</v>
      </c>
      <c r="D143" s="137">
        <v>1770000</v>
      </c>
      <c r="E143" s="20" t="s">
        <v>790</v>
      </c>
      <c r="F143" s="20" t="s">
        <v>791</v>
      </c>
      <c r="G143" s="8" t="str">
        <f t="shared" si="4"/>
        <v>BRUDER RICHARD</v>
      </c>
      <c r="H143" s="20" t="str">
        <f t="shared" si="5"/>
        <v>4059</v>
      </c>
    </row>
    <row r="144" spans="1:8" x14ac:dyDescent="0.25">
      <c r="A144" s="8">
        <v>43074.653680555559</v>
      </c>
      <c r="B144" s="20" t="s">
        <v>722</v>
      </c>
      <c r="C144" s="20" t="s">
        <v>831</v>
      </c>
      <c r="D144" s="137">
        <v>2630000</v>
      </c>
      <c r="E144" s="20" t="s">
        <v>527</v>
      </c>
      <c r="F144" s="20" t="s">
        <v>528</v>
      </c>
      <c r="G144" s="8" t="str">
        <f t="shared" si="4"/>
        <v>SAFIEF AEIMEN</v>
      </c>
      <c r="H144" s="20" t="str">
        <f t="shared" si="5"/>
        <v>4014</v>
      </c>
    </row>
    <row r="145" spans="1:8" x14ac:dyDescent="0.25">
      <c r="A145" s="8">
        <v>43074.662974537037</v>
      </c>
      <c r="B145" s="20" t="s">
        <v>351</v>
      </c>
      <c r="C145" s="20" t="s">
        <v>832</v>
      </c>
      <c r="D145" s="137">
        <v>880000</v>
      </c>
      <c r="E145" s="20" t="s">
        <v>414</v>
      </c>
      <c r="F145" s="20" t="s">
        <v>352</v>
      </c>
      <c r="G145" s="8" t="str">
        <f t="shared" si="4"/>
        <v>STEWART MICHAEL</v>
      </c>
      <c r="H145" s="20" t="str">
        <f t="shared" si="5"/>
        <v>4055</v>
      </c>
    </row>
    <row r="146" spans="1:8" x14ac:dyDescent="0.25">
      <c r="A146" s="8">
        <v>43074.662974537037</v>
      </c>
      <c r="B146" s="20" t="s">
        <v>465</v>
      </c>
      <c r="C146" s="20" t="s">
        <v>833</v>
      </c>
      <c r="D146" s="137">
        <v>1300000</v>
      </c>
      <c r="E146" s="20" t="s">
        <v>587</v>
      </c>
      <c r="F146" s="20" t="s">
        <v>588</v>
      </c>
      <c r="G146" s="8" t="str">
        <f t="shared" si="4"/>
        <v>LEVIN SCOTT</v>
      </c>
      <c r="H146" s="20" t="str">
        <f t="shared" si="5"/>
        <v>4005</v>
      </c>
    </row>
    <row r="147" spans="1:8" x14ac:dyDescent="0.25">
      <c r="A147" s="8">
        <v>43074.663761574076</v>
      </c>
      <c r="B147" s="20" t="s">
        <v>500</v>
      </c>
      <c r="C147" s="20" t="s">
        <v>834</v>
      </c>
      <c r="D147" s="137">
        <v>920000</v>
      </c>
      <c r="E147" s="20" t="s">
        <v>526</v>
      </c>
      <c r="F147" s="20" t="s">
        <v>352</v>
      </c>
      <c r="G147" s="8" t="str">
        <f t="shared" si="4"/>
        <v>DAVIS MICHAEL</v>
      </c>
      <c r="H147" s="20" t="str">
        <f t="shared" si="5"/>
        <v>4054</v>
      </c>
    </row>
    <row r="148" spans="1:8" x14ac:dyDescent="0.25">
      <c r="A148" s="8">
        <v>43074.664004629631</v>
      </c>
      <c r="B148" s="20" t="s">
        <v>367</v>
      </c>
      <c r="C148" s="20" t="s">
        <v>835</v>
      </c>
      <c r="D148" s="137">
        <v>3700000</v>
      </c>
      <c r="E148" s="20" t="s">
        <v>589</v>
      </c>
      <c r="F148" s="20" t="s">
        <v>522</v>
      </c>
      <c r="G148" s="8" t="str">
        <f t="shared" si="4"/>
        <v>AUSTIN THOMPSON</v>
      </c>
      <c r="H148" s="20" t="str">
        <f t="shared" si="5"/>
        <v>4011</v>
      </c>
    </row>
    <row r="149" spans="1:8" x14ac:dyDescent="0.25">
      <c r="A149" s="8">
        <v>43074.666574074072</v>
      </c>
      <c r="B149" s="20" t="s">
        <v>696</v>
      </c>
      <c r="C149" s="20" t="s">
        <v>836</v>
      </c>
      <c r="D149" s="137">
        <v>3840000</v>
      </c>
      <c r="E149" s="20" t="s">
        <v>585</v>
      </c>
      <c r="F149" s="20" t="s">
        <v>586</v>
      </c>
      <c r="G149" s="8" t="str">
        <f t="shared" si="4"/>
        <v>LONG FULLER</v>
      </c>
      <c r="H149" s="20" t="str">
        <f t="shared" si="5"/>
        <v>4004</v>
      </c>
    </row>
    <row r="150" spans="1:8" x14ac:dyDescent="0.25">
      <c r="A150" s="8">
        <v>43074.672731481478</v>
      </c>
      <c r="B150" s="20" t="s">
        <v>363</v>
      </c>
      <c r="C150" s="20" t="s">
        <v>837</v>
      </c>
      <c r="D150" s="137">
        <v>2230000</v>
      </c>
      <c r="E150" s="20" t="s">
        <v>529</v>
      </c>
      <c r="F150" s="20" t="s">
        <v>352</v>
      </c>
      <c r="G150" s="8" t="str">
        <f t="shared" si="4"/>
        <v>SMITH MICHAEL</v>
      </c>
      <c r="H150" s="20" t="str">
        <f t="shared" si="5"/>
        <v>4036</v>
      </c>
    </row>
    <row r="151" spans="1:8" x14ac:dyDescent="0.25">
      <c r="A151" s="8">
        <v>43074.682187500002</v>
      </c>
      <c r="B151" s="20" t="s">
        <v>426</v>
      </c>
      <c r="C151" s="20" t="s">
        <v>838</v>
      </c>
      <c r="D151" s="137">
        <v>3790000</v>
      </c>
      <c r="E151" s="20" t="s">
        <v>583</v>
      </c>
      <c r="F151" s="20" t="s">
        <v>584</v>
      </c>
      <c r="G151" s="8" t="str">
        <f t="shared" si="4"/>
        <v>NICHOLAS PLOYSA</v>
      </c>
      <c r="H151" s="20" t="str">
        <f t="shared" si="5"/>
        <v>4043</v>
      </c>
    </row>
    <row r="152" spans="1:8" x14ac:dyDescent="0.25">
      <c r="A152" s="8">
        <v>43074.684120370373</v>
      </c>
      <c r="B152" s="20" t="s">
        <v>680</v>
      </c>
      <c r="C152" s="20" t="s">
        <v>839</v>
      </c>
      <c r="D152" s="137">
        <v>2630000</v>
      </c>
      <c r="E152" s="20" t="s">
        <v>527</v>
      </c>
      <c r="F152" s="20" t="s">
        <v>528</v>
      </c>
      <c r="G152" s="8" t="str">
        <f t="shared" si="4"/>
        <v>SAFIEF AEIMEN</v>
      </c>
      <c r="H152" s="20" t="str">
        <f t="shared" si="5"/>
        <v>4013</v>
      </c>
    </row>
    <row r="153" spans="1:8" x14ac:dyDescent="0.25">
      <c r="A153" s="8">
        <v>43074.684652777774</v>
      </c>
      <c r="B153" s="20" t="s">
        <v>710</v>
      </c>
      <c r="C153" s="20" t="s">
        <v>840</v>
      </c>
      <c r="D153" s="137">
        <v>1770000</v>
      </c>
      <c r="E153" s="20" t="s">
        <v>790</v>
      </c>
      <c r="F153" s="20" t="s">
        <v>791</v>
      </c>
      <c r="G153" s="8" t="str">
        <f t="shared" si="4"/>
        <v>BRUDER RICHARD</v>
      </c>
      <c r="H153" s="20" t="str">
        <f t="shared" si="5"/>
        <v>4060</v>
      </c>
    </row>
    <row r="154" spans="1:8" x14ac:dyDescent="0.25">
      <c r="A154" s="8">
        <v>43074.685717592591</v>
      </c>
      <c r="B154" s="20" t="s">
        <v>676</v>
      </c>
      <c r="C154" s="20" t="s">
        <v>841</v>
      </c>
      <c r="D154" s="137">
        <v>3840000</v>
      </c>
      <c r="E154" s="20" t="s">
        <v>585</v>
      </c>
      <c r="F154" s="20" t="s">
        <v>586</v>
      </c>
      <c r="G154" s="8" t="str">
        <f t="shared" si="4"/>
        <v>LONG FULLER</v>
      </c>
      <c r="H154" s="20" t="str">
        <f t="shared" si="5"/>
        <v>4003</v>
      </c>
    </row>
    <row r="155" spans="1:8" x14ac:dyDescent="0.25">
      <c r="A155" s="8">
        <v>43074.687974537039</v>
      </c>
      <c r="B155" s="20" t="s">
        <v>366</v>
      </c>
      <c r="C155" s="20" t="s">
        <v>842</v>
      </c>
      <c r="D155" s="137">
        <v>3700000</v>
      </c>
      <c r="E155" s="20" t="s">
        <v>589</v>
      </c>
      <c r="F155" s="20" t="s">
        <v>522</v>
      </c>
      <c r="G155" s="8" t="str">
        <f t="shared" si="4"/>
        <v>AUSTIN THOMPSON</v>
      </c>
      <c r="H155" s="20" t="str">
        <f t="shared" si="5"/>
        <v>4012</v>
      </c>
    </row>
    <row r="156" spans="1:8" x14ac:dyDescent="0.25">
      <c r="A156" s="8">
        <v>43074.694074074076</v>
      </c>
      <c r="B156" s="20" t="s">
        <v>413</v>
      </c>
      <c r="C156" s="20" t="s">
        <v>843</v>
      </c>
      <c r="D156" s="137">
        <v>880000</v>
      </c>
      <c r="E156" s="20" t="s">
        <v>414</v>
      </c>
      <c r="F156" s="20" t="s">
        <v>352</v>
      </c>
      <c r="G156" s="8" t="str">
        <f t="shared" si="4"/>
        <v>STEWART MICHAEL</v>
      </c>
      <c r="H156" s="20" t="str">
        <f t="shared" si="5"/>
        <v>4056</v>
      </c>
    </row>
    <row r="157" spans="1:8" x14ac:dyDescent="0.25">
      <c r="A157" s="8">
        <v>43074.702523148146</v>
      </c>
      <c r="B157" s="20" t="s">
        <v>702</v>
      </c>
      <c r="C157" s="20" t="s">
        <v>844</v>
      </c>
      <c r="D157" s="137">
        <v>1780000</v>
      </c>
      <c r="E157" s="20" t="s">
        <v>845</v>
      </c>
      <c r="F157" s="20" t="s">
        <v>846</v>
      </c>
      <c r="G157" s="8" t="str">
        <f t="shared" si="4"/>
        <v>DE LA ROSA ALEX</v>
      </c>
      <c r="H157" s="20" t="str">
        <f t="shared" si="5"/>
        <v>4016</v>
      </c>
    </row>
    <row r="158" spans="1:8" x14ac:dyDescent="0.25">
      <c r="A158" s="8">
        <v>43074.703368055554</v>
      </c>
      <c r="B158" s="20" t="s">
        <v>499</v>
      </c>
      <c r="C158" s="20" t="s">
        <v>847</v>
      </c>
      <c r="D158" s="137">
        <v>920000</v>
      </c>
      <c r="E158" s="20" t="s">
        <v>526</v>
      </c>
      <c r="F158" s="20" t="s">
        <v>352</v>
      </c>
      <c r="G158" s="8" t="str">
        <f t="shared" si="4"/>
        <v>DAVIS MICHAEL</v>
      </c>
      <c r="H158" s="20" t="str">
        <f t="shared" si="5"/>
        <v>4053</v>
      </c>
    </row>
    <row r="159" spans="1:8" x14ac:dyDescent="0.25">
      <c r="A159" s="8">
        <v>43074.70579861111</v>
      </c>
      <c r="B159" s="20" t="s">
        <v>467</v>
      </c>
      <c r="C159" s="20" t="s">
        <v>848</v>
      </c>
      <c r="D159" s="137">
        <v>1300000</v>
      </c>
      <c r="E159" s="20" t="s">
        <v>587</v>
      </c>
      <c r="F159" s="20" t="s">
        <v>588</v>
      </c>
      <c r="G159" s="8" t="str">
        <f t="shared" si="4"/>
        <v>LEVIN SCOTT</v>
      </c>
      <c r="H159" s="20" t="str">
        <f t="shared" si="5"/>
        <v>4006</v>
      </c>
    </row>
    <row r="160" spans="1:8" x14ac:dyDescent="0.25">
      <c r="A160" s="8">
        <v>43074.706354166665</v>
      </c>
      <c r="B160" s="20" t="s">
        <v>367</v>
      </c>
      <c r="C160" s="20" t="s">
        <v>842</v>
      </c>
      <c r="D160" s="137">
        <v>3700000</v>
      </c>
      <c r="E160" s="20" t="s">
        <v>589</v>
      </c>
      <c r="F160" s="20" t="s">
        <v>522</v>
      </c>
      <c r="G160" s="8" t="str">
        <f t="shared" si="4"/>
        <v>AUSTIN THOMPSON</v>
      </c>
      <c r="H160" s="20" t="str">
        <f t="shared" si="5"/>
        <v>4011</v>
      </c>
    </row>
    <row r="161" spans="1:8" x14ac:dyDescent="0.25">
      <c r="A161" s="8">
        <v>43074.706967592596</v>
      </c>
      <c r="B161" s="20" t="s">
        <v>367</v>
      </c>
      <c r="C161" s="20" t="s">
        <v>849</v>
      </c>
      <c r="D161" s="137">
        <v>3700000</v>
      </c>
      <c r="E161" s="20" t="s">
        <v>589</v>
      </c>
      <c r="F161" s="20" t="s">
        <v>522</v>
      </c>
      <c r="G161" s="8" t="str">
        <f t="shared" si="4"/>
        <v>AUSTIN THOMPSON</v>
      </c>
      <c r="H161" s="20" t="str">
        <f t="shared" si="5"/>
        <v>4011</v>
      </c>
    </row>
    <row r="162" spans="1:8" x14ac:dyDescent="0.25">
      <c r="A162" s="8">
        <v>43074.707627314812</v>
      </c>
      <c r="B162" s="20" t="s">
        <v>850</v>
      </c>
      <c r="C162" s="20" t="s">
        <v>851</v>
      </c>
      <c r="D162" s="137">
        <v>1810000</v>
      </c>
      <c r="E162" s="20" t="s">
        <v>852</v>
      </c>
      <c r="F162" s="20" t="s">
        <v>381</v>
      </c>
      <c r="G162" s="8" t="str">
        <f t="shared" si="4"/>
        <v>NEWELL JAMES</v>
      </c>
      <c r="H162" s="20" t="str">
        <f t="shared" si="5"/>
        <v>4024</v>
      </c>
    </row>
    <row r="163" spans="1:8" x14ac:dyDescent="0.25">
      <c r="A163" s="8">
        <v>43074.710312499999</v>
      </c>
      <c r="B163" s="20" t="s">
        <v>364</v>
      </c>
      <c r="C163" s="20" t="s">
        <v>853</v>
      </c>
      <c r="D163" s="137">
        <v>2230000</v>
      </c>
      <c r="E163" s="20" t="s">
        <v>529</v>
      </c>
      <c r="F163" s="20" t="s">
        <v>352</v>
      </c>
      <c r="G163" s="8" t="str">
        <f t="shared" si="4"/>
        <v>SMITH MICHAEL</v>
      </c>
      <c r="H163" s="20" t="str">
        <f t="shared" si="5"/>
        <v>4035</v>
      </c>
    </row>
    <row r="164" spans="1:8" x14ac:dyDescent="0.25">
      <c r="A164" s="8">
        <v>43074.711319444446</v>
      </c>
      <c r="B164" s="20" t="s">
        <v>696</v>
      </c>
      <c r="C164" s="20" t="s">
        <v>854</v>
      </c>
      <c r="D164" s="137">
        <v>3840000</v>
      </c>
      <c r="E164" s="20" t="s">
        <v>585</v>
      </c>
      <c r="F164" s="20" t="s">
        <v>586</v>
      </c>
      <c r="G164" s="8" t="str">
        <f t="shared" si="4"/>
        <v>LONG FULLER</v>
      </c>
      <c r="H164" s="20" t="str">
        <f t="shared" si="5"/>
        <v>4004</v>
      </c>
    </row>
    <row r="165" spans="1:8" x14ac:dyDescent="0.25">
      <c r="A165" s="8">
        <v>43074.715983796297</v>
      </c>
      <c r="B165" s="20" t="s">
        <v>425</v>
      </c>
      <c r="C165" s="20" t="s">
        <v>855</v>
      </c>
      <c r="D165" s="137">
        <v>3790000</v>
      </c>
      <c r="E165" s="20" t="s">
        <v>583</v>
      </c>
      <c r="F165" s="20" t="s">
        <v>584</v>
      </c>
      <c r="G165" s="8" t="str">
        <f t="shared" si="4"/>
        <v>NICHOLAS PLOYSA</v>
      </c>
      <c r="H165" s="20" t="str">
        <f t="shared" si="5"/>
        <v>4044</v>
      </c>
    </row>
    <row r="166" spans="1:8" x14ac:dyDescent="0.25">
      <c r="A166" s="8">
        <v>43074.724722222221</v>
      </c>
      <c r="B166" s="20" t="s">
        <v>674</v>
      </c>
      <c r="C166" s="20" t="s">
        <v>856</v>
      </c>
      <c r="D166" s="137">
        <v>1770000</v>
      </c>
      <c r="E166" s="20" t="s">
        <v>790</v>
      </c>
      <c r="F166" s="20" t="s">
        <v>791</v>
      </c>
      <c r="G166" s="8" t="str">
        <f t="shared" si="4"/>
        <v>BRUDER RICHARD</v>
      </c>
      <c r="H166" s="20" t="str">
        <f t="shared" si="5"/>
        <v>4059</v>
      </c>
    </row>
    <row r="167" spans="1:8" x14ac:dyDescent="0.25">
      <c r="A167" s="8">
        <v>43074.72583333333</v>
      </c>
      <c r="B167" s="20" t="s">
        <v>722</v>
      </c>
      <c r="C167" s="20" t="s">
        <v>857</v>
      </c>
      <c r="D167" s="137">
        <v>2630000</v>
      </c>
      <c r="E167" s="20" t="s">
        <v>527</v>
      </c>
      <c r="F167" s="20" t="s">
        <v>528</v>
      </c>
      <c r="G167" s="8" t="str">
        <f t="shared" si="4"/>
        <v>SAFIEF AEIMEN</v>
      </c>
      <c r="H167" s="20" t="str">
        <f t="shared" si="5"/>
        <v>4014</v>
      </c>
    </row>
    <row r="168" spans="1:8" x14ac:dyDescent="0.25">
      <c r="A168" s="8">
        <v>43074.726712962962</v>
      </c>
      <c r="B168" s="20" t="s">
        <v>676</v>
      </c>
      <c r="C168" s="20" t="s">
        <v>858</v>
      </c>
      <c r="D168" s="137">
        <v>3840000</v>
      </c>
      <c r="E168" s="20" t="s">
        <v>585</v>
      </c>
      <c r="F168" s="20" t="s">
        <v>586</v>
      </c>
      <c r="G168" s="8" t="str">
        <f t="shared" si="4"/>
        <v>LONG FULLER</v>
      </c>
      <c r="H168" s="20" t="str">
        <f t="shared" si="5"/>
        <v>4003</v>
      </c>
    </row>
    <row r="169" spans="1:8" x14ac:dyDescent="0.25">
      <c r="A169" s="8">
        <v>43074.731307870374</v>
      </c>
      <c r="B169" s="20" t="s">
        <v>366</v>
      </c>
      <c r="C169" s="20" t="s">
        <v>692</v>
      </c>
      <c r="D169" s="137">
        <v>3700000</v>
      </c>
      <c r="E169" s="20" t="s">
        <v>589</v>
      </c>
      <c r="F169" s="20" t="s">
        <v>522</v>
      </c>
      <c r="G169" s="8" t="str">
        <f t="shared" si="4"/>
        <v>AUSTIN THOMPSON</v>
      </c>
      <c r="H169" s="20" t="str">
        <f t="shared" si="5"/>
        <v>4012</v>
      </c>
    </row>
    <row r="170" spans="1:8" x14ac:dyDescent="0.25">
      <c r="A170" s="8">
        <v>43074.732534722221</v>
      </c>
      <c r="B170" s="20" t="s">
        <v>351</v>
      </c>
      <c r="C170" s="20" t="s">
        <v>859</v>
      </c>
      <c r="D170" s="137">
        <v>880000</v>
      </c>
      <c r="E170" s="20" t="s">
        <v>414</v>
      </c>
      <c r="F170" s="20" t="s">
        <v>352</v>
      </c>
      <c r="G170" s="8" t="str">
        <f t="shared" si="4"/>
        <v>STEWART MICHAEL</v>
      </c>
      <c r="H170" s="20" t="str">
        <f t="shared" si="5"/>
        <v>4055</v>
      </c>
    </row>
    <row r="171" spans="1:8" x14ac:dyDescent="0.25">
      <c r="A171" s="8">
        <v>43074.737696759257</v>
      </c>
      <c r="B171" s="20" t="s">
        <v>500</v>
      </c>
      <c r="C171" s="20" t="s">
        <v>860</v>
      </c>
      <c r="D171" s="137">
        <v>3810000</v>
      </c>
      <c r="E171" s="20" t="s">
        <v>429</v>
      </c>
      <c r="F171" s="20" t="s">
        <v>430</v>
      </c>
      <c r="G171" s="8" t="str">
        <f t="shared" si="4"/>
        <v>LORI SANTOS</v>
      </c>
      <c r="H171" s="20" t="str">
        <f t="shared" si="5"/>
        <v>4054</v>
      </c>
    </row>
    <row r="172" spans="1:8" x14ac:dyDescent="0.25">
      <c r="A172" s="8">
        <v>43074.738194444442</v>
      </c>
      <c r="B172" s="20" t="s">
        <v>465</v>
      </c>
      <c r="C172" s="20" t="s">
        <v>861</v>
      </c>
      <c r="D172" s="137">
        <v>1300000</v>
      </c>
      <c r="E172" s="20" t="s">
        <v>587</v>
      </c>
      <c r="F172" s="20" t="s">
        <v>588</v>
      </c>
      <c r="G172" s="8" t="str">
        <f t="shared" si="4"/>
        <v>LEVIN SCOTT</v>
      </c>
      <c r="H172" s="20" t="str">
        <f t="shared" si="5"/>
        <v>4005</v>
      </c>
    </row>
    <row r="173" spans="1:8" x14ac:dyDescent="0.25">
      <c r="A173" s="8">
        <v>43074.739027777781</v>
      </c>
      <c r="B173" s="20" t="s">
        <v>572</v>
      </c>
      <c r="C173" s="20" t="s">
        <v>703</v>
      </c>
      <c r="D173" s="137">
        <v>2040000</v>
      </c>
      <c r="E173" s="20" t="s">
        <v>382</v>
      </c>
      <c r="F173" s="20" t="s">
        <v>383</v>
      </c>
      <c r="G173" s="8" t="str">
        <f t="shared" si="4"/>
        <v>MOSES BRADLEY</v>
      </c>
      <c r="H173" s="20" t="str">
        <f t="shared" si="5"/>
        <v>4019</v>
      </c>
    </row>
    <row r="174" spans="1:8" x14ac:dyDescent="0.25">
      <c r="A174" s="8">
        <v>43074.744930555556</v>
      </c>
      <c r="B174" s="20" t="s">
        <v>363</v>
      </c>
      <c r="C174" s="20" t="s">
        <v>862</v>
      </c>
      <c r="D174" s="137">
        <v>2230000</v>
      </c>
      <c r="E174" s="20" t="s">
        <v>529</v>
      </c>
      <c r="F174" s="20" t="s">
        <v>352</v>
      </c>
      <c r="G174" s="8" t="str">
        <f t="shared" si="4"/>
        <v>SMITH MICHAEL</v>
      </c>
      <c r="H174" s="20" t="str">
        <f t="shared" si="5"/>
        <v>4036</v>
      </c>
    </row>
    <row r="175" spans="1:8" x14ac:dyDescent="0.25">
      <c r="A175" s="8">
        <v>43074.74827546296</v>
      </c>
      <c r="B175" s="20" t="s">
        <v>367</v>
      </c>
      <c r="C175" s="20" t="s">
        <v>863</v>
      </c>
      <c r="D175" s="137">
        <v>3700000</v>
      </c>
      <c r="E175" s="20" t="s">
        <v>589</v>
      </c>
      <c r="F175" s="20" t="s">
        <v>522</v>
      </c>
      <c r="G175" s="8" t="str">
        <f t="shared" si="4"/>
        <v>AUSTIN THOMPSON</v>
      </c>
      <c r="H175" s="20" t="str">
        <f t="shared" si="5"/>
        <v>4011</v>
      </c>
    </row>
    <row r="176" spans="1:8" x14ac:dyDescent="0.25">
      <c r="A176" s="8">
        <v>43074.752835648149</v>
      </c>
      <c r="B176" s="20" t="s">
        <v>426</v>
      </c>
      <c r="C176" s="20" t="s">
        <v>864</v>
      </c>
      <c r="D176" s="137">
        <v>3790000</v>
      </c>
      <c r="E176" s="20" t="s">
        <v>583</v>
      </c>
      <c r="F176" s="20" t="s">
        <v>584</v>
      </c>
      <c r="G176" s="8" t="str">
        <f t="shared" si="4"/>
        <v>NICHOLAS PLOYSA</v>
      </c>
      <c r="H176" s="20" t="str">
        <f t="shared" si="5"/>
        <v>4043</v>
      </c>
    </row>
    <row r="177" spans="1:8" x14ac:dyDescent="0.25">
      <c r="A177" s="8">
        <v>43074.753738425927</v>
      </c>
      <c r="B177" s="20" t="s">
        <v>696</v>
      </c>
      <c r="C177" s="20" t="s">
        <v>865</v>
      </c>
      <c r="D177" s="137">
        <v>3840000</v>
      </c>
      <c r="E177" s="20" t="s">
        <v>585</v>
      </c>
      <c r="F177" s="20" t="s">
        <v>586</v>
      </c>
      <c r="G177" s="8" t="str">
        <f t="shared" si="4"/>
        <v>LONG FULLER</v>
      </c>
      <c r="H177" s="20" t="str">
        <f t="shared" si="5"/>
        <v>4004</v>
      </c>
    </row>
    <row r="178" spans="1:8" x14ac:dyDescent="0.25">
      <c r="A178" s="8">
        <v>43074.756550925929</v>
      </c>
      <c r="B178" s="20" t="s">
        <v>710</v>
      </c>
      <c r="C178" s="20" t="s">
        <v>866</v>
      </c>
      <c r="D178" s="137">
        <v>3490000</v>
      </c>
      <c r="E178" s="20" t="s">
        <v>867</v>
      </c>
      <c r="F178" s="20" t="s">
        <v>868</v>
      </c>
      <c r="G178" s="8" t="str">
        <f t="shared" si="4"/>
        <v>WEST BRYAN</v>
      </c>
      <c r="H178" s="20" t="str">
        <f t="shared" si="5"/>
        <v>4060</v>
      </c>
    </row>
    <row r="179" spans="1:8" x14ac:dyDescent="0.25">
      <c r="A179" s="8">
        <v>43074.759687500002</v>
      </c>
      <c r="B179" s="20" t="s">
        <v>680</v>
      </c>
      <c r="C179" s="20" t="s">
        <v>869</v>
      </c>
      <c r="D179" s="137">
        <v>2630000</v>
      </c>
      <c r="E179" s="20" t="s">
        <v>527</v>
      </c>
      <c r="F179" s="20" t="s">
        <v>528</v>
      </c>
      <c r="G179" s="8" t="str">
        <f t="shared" si="4"/>
        <v>SAFIEF AEIMEN</v>
      </c>
      <c r="H179" s="20" t="str">
        <f t="shared" si="5"/>
        <v>4013</v>
      </c>
    </row>
    <row r="180" spans="1:8" x14ac:dyDescent="0.25">
      <c r="A180" s="8">
        <v>43074.768263888887</v>
      </c>
      <c r="B180" s="20" t="s">
        <v>413</v>
      </c>
      <c r="C180" s="20" t="s">
        <v>870</v>
      </c>
      <c r="D180" s="137">
        <v>3310000</v>
      </c>
      <c r="E180" s="20" t="s">
        <v>456</v>
      </c>
      <c r="F180" s="20" t="s">
        <v>457</v>
      </c>
      <c r="G180" s="8" t="str">
        <f t="shared" si="4"/>
        <v>ANDERS STEVEN</v>
      </c>
      <c r="H180" s="20" t="str">
        <f t="shared" si="5"/>
        <v>4056</v>
      </c>
    </row>
    <row r="181" spans="1:8" x14ac:dyDescent="0.25">
      <c r="A181" s="8">
        <v>43074.769918981481</v>
      </c>
      <c r="B181" s="20" t="s">
        <v>676</v>
      </c>
      <c r="C181" s="20" t="s">
        <v>871</v>
      </c>
      <c r="D181" s="137">
        <v>3840000</v>
      </c>
      <c r="E181" s="20" t="s">
        <v>585</v>
      </c>
      <c r="F181" s="20" t="s">
        <v>586</v>
      </c>
      <c r="G181" s="8" t="str">
        <f t="shared" si="4"/>
        <v>LONG FULLER</v>
      </c>
      <c r="H181" s="20" t="str">
        <f t="shared" si="5"/>
        <v>4003</v>
      </c>
    </row>
    <row r="182" spans="1:8" x14ac:dyDescent="0.25">
      <c r="A182" s="8">
        <v>43074.772453703707</v>
      </c>
      <c r="B182" s="20" t="s">
        <v>366</v>
      </c>
      <c r="C182" s="20" t="s">
        <v>872</v>
      </c>
      <c r="D182" s="137">
        <v>3700000</v>
      </c>
      <c r="E182" s="20" t="s">
        <v>589</v>
      </c>
      <c r="F182" s="20" t="s">
        <v>522</v>
      </c>
      <c r="G182" s="8" t="str">
        <f t="shared" si="4"/>
        <v>AUSTIN THOMPSON</v>
      </c>
      <c r="H182" s="20" t="str">
        <f t="shared" si="5"/>
        <v>4012</v>
      </c>
    </row>
    <row r="183" spans="1:8" x14ac:dyDescent="0.25">
      <c r="A183" s="8">
        <v>43074.776365740741</v>
      </c>
      <c r="B183" s="20" t="s">
        <v>467</v>
      </c>
      <c r="C183" s="20" t="s">
        <v>873</v>
      </c>
      <c r="D183" s="137">
        <v>1300000</v>
      </c>
      <c r="E183" s="20" t="s">
        <v>587</v>
      </c>
      <c r="F183" s="20" t="s">
        <v>588</v>
      </c>
      <c r="G183" s="8" t="str">
        <f t="shared" si="4"/>
        <v>LEVIN SCOTT</v>
      </c>
      <c r="H183" s="20" t="str">
        <f t="shared" si="5"/>
        <v>4006</v>
      </c>
    </row>
    <row r="184" spans="1:8" x14ac:dyDescent="0.25">
      <c r="A184" s="8">
        <v>43074.777905092589</v>
      </c>
      <c r="B184" s="20" t="s">
        <v>499</v>
      </c>
      <c r="C184" s="20" t="s">
        <v>874</v>
      </c>
      <c r="D184" s="137">
        <v>890000</v>
      </c>
      <c r="E184" s="20" t="s">
        <v>344</v>
      </c>
      <c r="F184" s="20" t="s">
        <v>345</v>
      </c>
      <c r="G184" s="8" t="str">
        <f t="shared" si="4"/>
        <v>LOZA FIDEL</v>
      </c>
      <c r="H184" s="20" t="str">
        <f t="shared" si="5"/>
        <v>4053</v>
      </c>
    </row>
    <row r="185" spans="1:8" x14ac:dyDescent="0.25">
      <c r="A185" s="8">
        <v>43074.781261574077</v>
      </c>
      <c r="B185" s="20" t="s">
        <v>364</v>
      </c>
      <c r="C185" s="20" t="s">
        <v>875</v>
      </c>
      <c r="D185" s="137">
        <v>2230000</v>
      </c>
      <c r="E185" s="20" t="s">
        <v>529</v>
      </c>
      <c r="F185" s="20" t="s">
        <v>352</v>
      </c>
      <c r="G185" s="8" t="str">
        <f t="shared" si="4"/>
        <v>SMITH MICHAEL</v>
      </c>
      <c r="H185" s="20" t="str">
        <f t="shared" si="5"/>
        <v>4035</v>
      </c>
    </row>
    <row r="186" spans="1:8" x14ac:dyDescent="0.25">
      <c r="A186" s="8">
        <v>43074.787048611113</v>
      </c>
      <c r="B186" s="20" t="s">
        <v>425</v>
      </c>
      <c r="C186" s="20" t="s">
        <v>693</v>
      </c>
      <c r="D186" s="137">
        <v>3220000</v>
      </c>
      <c r="E186" s="20" t="s">
        <v>370</v>
      </c>
      <c r="F186" s="20" t="s">
        <v>371</v>
      </c>
      <c r="G186" s="8" t="str">
        <f t="shared" si="4"/>
        <v>RESPASS AARON</v>
      </c>
      <c r="H186" s="20" t="str">
        <f t="shared" si="5"/>
        <v>4044</v>
      </c>
    </row>
    <row r="187" spans="1:8" x14ac:dyDescent="0.25">
      <c r="A187" s="8">
        <v>43074.789398148147</v>
      </c>
      <c r="B187" s="20" t="s">
        <v>367</v>
      </c>
      <c r="C187" s="20" t="s">
        <v>876</v>
      </c>
      <c r="D187" s="137">
        <v>3700000</v>
      </c>
      <c r="E187" s="20" t="s">
        <v>589</v>
      </c>
      <c r="F187" s="20" t="s">
        <v>522</v>
      </c>
      <c r="G187" s="8" t="str">
        <f t="shared" si="4"/>
        <v>AUSTIN THOMPSON</v>
      </c>
      <c r="H187" s="20" t="str">
        <f t="shared" si="5"/>
        <v>4011</v>
      </c>
    </row>
    <row r="188" spans="1:8" x14ac:dyDescent="0.25">
      <c r="A188" s="8">
        <v>43074.790833333333</v>
      </c>
      <c r="B188" s="20" t="s">
        <v>674</v>
      </c>
      <c r="C188" s="20" t="s">
        <v>877</v>
      </c>
      <c r="D188" s="137">
        <v>3490000</v>
      </c>
      <c r="E188" s="20" t="s">
        <v>867</v>
      </c>
      <c r="F188" s="20" t="s">
        <v>868</v>
      </c>
      <c r="G188" s="8" t="str">
        <f t="shared" si="4"/>
        <v>WEST BRYAN</v>
      </c>
      <c r="H188" s="20" t="str">
        <f t="shared" si="5"/>
        <v>4059</v>
      </c>
    </row>
    <row r="189" spans="1:8" x14ac:dyDescent="0.25">
      <c r="A189" s="8">
        <v>43074.792071759257</v>
      </c>
      <c r="B189" s="20" t="s">
        <v>696</v>
      </c>
      <c r="C189" s="20" t="s">
        <v>878</v>
      </c>
      <c r="D189" s="137">
        <v>3840000</v>
      </c>
      <c r="E189" s="20" t="s">
        <v>585</v>
      </c>
      <c r="F189" s="20" t="s">
        <v>586</v>
      </c>
      <c r="G189" s="8" t="str">
        <f t="shared" si="4"/>
        <v>LONG FULLER</v>
      </c>
      <c r="H189" s="20" t="str">
        <f t="shared" si="5"/>
        <v>4004</v>
      </c>
    </row>
    <row r="190" spans="1:8" x14ac:dyDescent="0.25">
      <c r="A190" s="8">
        <v>43074.796956018516</v>
      </c>
      <c r="B190" s="20" t="s">
        <v>722</v>
      </c>
      <c r="C190" s="20" t="s">
        <v>879</v>
      </c>
      <c r="D190" s="137">
        <v>2630000</v>
      </c>
      <c r="E190" s="20" t="s">
        <v>527</v>
      </c>
      <c r="F190" s="20" t="s">
        <v>528</v>
      </c>
      <c r="G190" s="8" t="str">
        <f t="shared" si="4"/>
        <v>SAFIEF AEIMEN</v>
      </c>
      <c r="H190" s="20" t="str">
        <f t="shared" si="5"/>
        <v>4014</v>
      </c>
    </row>
    <row r="191" spans="1:8" x14ac:dyDescent="0.25">
      <c r="A191" s="8">
        <v>43074.799166666664</v>
      </c>
      <c r="B191" s="20" t="s">
        <v>351</v>
      </c>
      <c r="C191" s="20" t="s">
        <v>880</v>
      </c>
      <c r="D191" s="137">
        <v>3310000</v>
      </c>
      <c r="E191" s="20" t="s">
        <v>456</v>
      </c>
      <c r="F191" s="20" t="s">
        <v>457</v>
      </c>
      <c r="G191" s="8" t="str">
        <f t="shared" si="4"/>
        <v>ANDERS STEVEN</v>
      </c>
      <c r="H191" s="20" t="str">
        <f t="shared" si="5"/>
        <v>4055</v>
      </c>
    </row>
    <row r="192" spans="1:8" x14ac:dyDescent="0.25">
      <c r="A192" s="8">
        <v>43074.810763888891</v>
      </c>
      <c r="B192" s="20" t="s">
        <v>500</v>
      </c>
      <c r="C192" s="20" t="s">
        <v>881</v>
      </c>
      <c r="D192" s="137">
        <v>890000</v>
      </c>
      <c r="E192" s="20" t="s">
        <v>344</v>
      </c>
      <c r="F192" s="20" t="s">
        <v>345</v>
      </c>
      <c r="G192" s="8" t="str">
        <f t="shared" si="4"/>
        <v>LOZA FIDEL</v>
      </c>
      <c r="H192" s="20" t="str">
        <f t="shared" si="5"/>
        <v>4054</v>
      </c>
    </row>
    <row r="193" spans="1:8" x14ac:dyDescent="0.25">
      <c r="A193" s="8">
        <v>43074.811736111114</v>
      </c>
      <c r="B193" s="20" t="s">
        <v>676</v>
      </c>
      <c r="C193" s="20" t="s">
        <v>695</v>
      </c>
      <c r="D193" s="137">
        <v>3840000</v>
      </c>
      <c r="E193" s="20" t="s">
        <v>585</v>
      </c>
      <c r="F193" s="20" t="s">
        <v>586</v>
      </c>
      <c r="G193" s="8" t="str">
        <f t="shared" si="4"/>
        <v>LONG FULLER</v>
      </c>
      <c r="H193" s="20" t="str">
        <f t="shared" si="5"/>
        <v>4003</v>
      </c>
    </row>
    <row r="194" spans="1:8" x14ac:dyDescent="0.25">
      <c r="A194" s="8">
        <v>43074.818645833337</v>
      </c>
      <c r="B194" s="20" t="s">
        <v>363</v>
      </c>
      <c r="C194" s="20" t="s">
        <v>694</v>
      </c>
      <c r="D194" s="137">
        <v>2230000</v>
      </c>
      <c r="E194" s="20" t="s">
        <v>529</v>
      </c>
      <c r="F194" s="20" t="s">
        <v>352</v>
      </c>
      <c r="G194" s="8" t="str">
        <f t="shared" si="4"/>
        <v>SMITH MICHAEL</v>
      </c>
      <c r="H194" s="20" t="str">
        <f t="shared" si="5"/>
        <v>4036</v>
      </c>
    </row>
    <row r="195" spans="1:8" x14ac:dyDescent="0.25">
      <c r="A195" s="8">
        <v>43074.8281712963</v>
      </c>
      <c r="B195" s="20" t="s">
        <v>426</v>
      </c>
      <c r="C195" s="20" t="s">
        <v>882</v>
      </c>
      <c r="D195" s="137">
        <v>3220000</v>
      </c>
      <c r="E195" s="20" t="s">
        <v>370</v>
      </c>
      <c r="F195" s="20" t="s">
        <v>371</v>
      </c>
      <c r="G195" s="8" t="str">
        <f t="shared" ref="G195:G258" si="6">E195&amp;" "&amp;F195</f>
        <v>RESPASS AARON</v>
      </c>
      <c r="H195" s="20" t="str">
        <f t="shared" ref="H195:H258" si="7">MID(B195,13,4)</f>
        <v>4043</v>
      </c>
    </row>
    <row r="196" spans="1:8" x14ac:dyDescent="0.25">
      <c r="A196" s="8">
        <v>43074.828680555554</v>
      </c>
      <c r="B196" s="20" t="s">
        <v>710</v>
      </c>
      <c r="C196" s="20" t="s">
        <v>883</v>
      </c>
      <c r="D196" s="137">
        <v>3490000</v>
      </c>
      <c r="E196" s="20" t="s">
        <v>867</v>
      </c>
      <c r="F196" s="20" t="s">
        <v>868</v>
      </c>
      <c r="G196" s="8" t="str">
        <f t="shared" si="6"/>
        <v>WEST BRYAN</v>
      </c>
      <c r="H196" s="20" t="str">
        <f t="shared" si="7"/>
        <v>4060</v>
      </c>
    </row>
    <row r="197" spans="1:8" x14ac:dyDescent="0.25">
      <c r="A197" s="8">
        <v>43074.835138888891</v>
      </c>
      <c r="B197" s="20" t="s">
        <v>696</v>
      </c>
      <c r="C197" s="20" t="s">
        <v>884</v>
      </c>
      <c r="D197" s="137">
        <v>3840000</v>
      </c>
      <c r="E197" s="20" t="s">
        <v>585</v>
      </c>
      <c r="F197" s="20" t="s">
        <v>586</v>
      </c>
      <c r="G197" s="8" t="str">
        <f t="shared" si="6"/>
        <v>LONG FULLER</v>
      </c>
      <c r="H197" s="20" t="str">
        <f t="shared" si="7"/>
        <v>4004</v>
      </c>
    </row>
    <row r="198" spans="1:8" x14ac:dyDescent="0.25">
      <c r="A198" s="8">
        <v>43074.845185185186</v>
      </c>
      <c r="B198" s="20" t="s">
        <v>413</v>
      </c>
      <c r="C198" s="20" t="s">
        <v>885</v>
      </c>
      <c r="D198" s="137">
        <v>3310000</v>
      </c>
      <c r="E198" s="20" t="s">
        <v>456</v>
      </c>
      <c r="F198" s="20" t="s">
        <v>457</v>
      </c>
      <c r="G198" s="8" t="str">
        <f t="shared" si="6"/>
        <v>ANDERS STEVEN</v>
      </c>
      <c r="H198" s="20" t="str">
        <f t="shared" si="7"/>
        <v>4056</v>
      </c>
    </row>
    <row r="199" spans="1:8" x14ac:dyDescent="0.25">
      <c r="A199" s="8">
        <v>43074.848981481482</v>
      </c>
      <c r="B199" s="20" t="s">
        <v>499</v>
      </c>
      <c r="C199" s="20" t="s">
        <v>886</v>
      </c>
      <c r="D199" s="137">
        <v>890000</v>
      </c>
      <c r="E199" s="20" t="s">
        <v>344</v>
      </c>
      <c r="F199" s="20" t="s">
        <v>345</v>
      </c>
      <c r="G199" s="8" t="str">
        <f t="shared" si="6"/>
        <v>LOZA FIDEL</v>
      </c>
      <c r="H199" s="20" t="str">
        <f t="shared" si="7"/>
        <v>4053</v>
      </c>
    </row>
    <row r="200" spans="1:8" x14ac:dyDescent="0.25">
      <c r="A200" s="8">
        <v>43074.851168981484</v>
      </c>
      <c r="B200" s="20" t="s">
        <v>676</v>
      </c>
      <c r="C200" s="20" t="s">
        <v>887</v>
      </c>
      <c r="D200" s="137">
        <v>3840000</v>
      </c>
      <c r="E200" s="20" t="s">
        <v>585</v>
      </c>
      <c r="F200" s="20" t="s">
        <v>586</v>
      </c>
      <c r="G200" s="8" t="str">
        <f t="shared" si="6"/>
        <v>LONG FULLER</v>
      </c>
      <c r="H200" s="20" t="str">
        <f t="shared" si="7"/>
        <v>4003</v>
      </c>
    </row>
    <row r="201" spans="1:8" x14ac:dyDescent="0.25">
      <c r="A201" s="8">
        <v>43074.861122685186</v>
      </c>
      <c r="B201" s="20" t="s">
        <v>674</v>
      </c>
      <c r="C201" s="20" t="s">
        <v>888</v>
      </c>
      <c r="D201" s="137">
        <v>3490000</v>
      </c>
      <c r="E201" s="20" t="s">
        <v>867</v>
      </c>
      <c r="F201" s="20" t="s">
        <v>868</v>
      </c>
      <c r="G201" s="8" t="str">
        <f t="shared" si="6"/>
        <v>WEST BRYAN</v>
      </c>
      <c r="H201" s="20" t="str">
        <f t="shared" si="7"/>
        <v>4059</v>
      </c>
    </row>
    <row r="202" spans="1:8" x14ac:dyDescent="0.25">
      <c r="A202" s="26">
        <v>43074.863969907405</v>
      </c>
      <c r="B202" s="20" t="s">
        <v>425</v>
      </c>
      <c r="C202" s="20" t="s">
        <v>889</v>
      </c>
      <c r="D202" s="137">
        <v>3130000</v>
      </c>
      <c r="E202" s="20" t="s">
        <v>890</v>
      </c>
      <c r="F202" s="20" t="s">
        <v>891</v>
      </c>
      <c r="G202" s="8" t="str">
        <f t="shared" si="6"/>
        <v>ZEWDU DEREJE</v>
      </c>
      <c r="H202" s="20" t="str">
        <f t="shared" si="7"/>
        <v>4044</v>
      </c>
    </row>
    <row r="203" spans="1:8" x14ac:dyDescent="0.25">
      <c r="A203" s="8">
        <v>43074.875011574077</v>
      </c>
      <c r="B203" s="20" t="s">
        <v>696</v>
      </c>
      <c r="C203" s="20" t="s">
        <v>697</v>
      </c>
      <c r="D203" s="137">
        <v>2000000</v>
      </c>
      <c r="E203" s="20" t="s">
        <v>380</v>
      </c>
      <c r="F203" s="20" t="s">
        <v>381</v>
      </c>
      <c r="G203" s="8" t="str">
        <f t="shared" si="6"/>
        <v>STAMBAUGH JAMES</v>
      </c>
      <c r="H203" s="20" t="str">
        <f t="shared" si="7"/>
        <v>4004</v>
      </c>
    </row>
    <row r="204" spans="1:8" x14ac:dyDescent="0.25">
      <c r="A204" s="8">
        <v>43074.882349537038</v>
      </c>
      <c r="B204" s="20" t="s">
        <v>351</v>
      </c>
      <c r="C204" s="20" t="s">
        <v>892</v>
      </c>
      <c r="D204" s="137">
        <v>3310000</v>
      </c>
      <c r="E204" s="20" t="s">
        <v>456</v>
      </c>
      <c r="F204" s="20" t="s">
        <v>457</v>
      </c>
      <c r="G204" s="8" t="str">
        <f t="shared" si="6"/>
        <v>ANDERS STEVEN</v>
      </c>
      <c r="H204" s="20" t="str">
        <f t="shared" si="7"/>
        <v>4055</v>
      </c>
    </row>
    <row r="205" spans="1:8" x14ac:dyDescent="0.25">
      <c r="A205" s="8">
        <v>43074.892094907409</v>
      </c>
      <c r="B205" s="20" t="s">
        <v>676</v>
      </c>
      <c r="C205" s="20" t="s">
        <v>893</v>
      </c>
      <c r="D205" s="137">
        <v>2000000</v>
      </c>
      <c r="E205" s="20" t="s">
        <v>380</v>
      </c>
      <c r="F205" s="20" t="s">
        <v>381</v>
      </c>
      <c r="G205" s="8" t="str">
        <f t="shared" si="6"/>
        <v>STAMBAUGH JAMES</v>
      </c>
      <c r="H205" s="20" t="str">
        <f t="shared" si="7"/>
        <v>4003</v>
      </c>
    </row>
    <row r="206" spans="1:8" x14ac:dyDescent="0.25">
      <c r="A206" s="8">
        <v>43074.894699074073</v>
      </c>
      <c r="B206" s="20" t="s">
        <v>500</v>
      </c>
      <c r="C206" s="20" t="s">
        <v>894</v>
      </c>
      <c r="D206" s="137">
        <v>3810000</v>
      </c>
      <c r="E206" s="20" t="s">
        <v>429</v>
      </c>
      <c r="F206" s="20" t="s">
        <v>430</v>
      </c>
      <c r="G206" s="8" t="str">
        <f t="shared" si="6"/>
        <v>LORI SANTOS</v>
      </c>
      <c r="H206" s="20" t="str">
        <f t="shared" si="7"/>
        <v>4054</v>
      </c>
    </row>
    <row r="207" spans="1:8" x14ac:dyDescent="0.25">
      <c r="A207" s="8">
        <v>43074.905312499999</v>
      </c>
      <c r="B207" s="20" t="s">
        <v>710</v>
      </c>
      <c r="C207" s="20" t="s">
        <v>895</v>
      </c>
      <c r="D207" s="137">
        <v>3490000</v>
      </c>
      <c r="E207" s="20" t="s">
        <v>867</v>
      </c>
      <c r="F207" s="20" t="s">
        <v>868</v>
      </c>
      <c r="G207" s="8" t="str">
        <f t="shared" si="6"/>
        <v>WEST BRYAN</v>
      </c>
      <c r="H207" s="20" t="str">
        <f t="shared" si="7"/>
        <v>4060</v>
      </c>
    </row>
    <row r="208" spans="1:8" x14ac:dyDescent="0.25">
      <c r="A208" s="8">
        <v>43074.908946759257</v>
      </c>
      <c r="B208" s="20" t="s">
        <v>426</v>
      </c>
      <c r="C208" s="20" t="s">
        <v>896</v>
      </c>
      <c r="D208" s="137">
        <v>3130000</v>
      </c>
      <c r="E208" s="20" t="s">
        <v>890</v>
      </c>
      <c r="F208" s="20" t="s">
        <v>891</v>
      </c>
      <c r="G208" s="8" t="str">
        <f t="shared" si="6"/>
        <v>ZEWDU DEREJE</v>
      </c>
      <c r="H208" s="20" t="str">
        <f t="shared" si="7"/>
        <v>4043</v>
      </c>
    </row>
    <row r="209" spans="1:8" x14ac:dyDescent="0.25">
      <c r="A209" s="8">
        <v>43074.915960648148</v>
      </c>
      <c r="B209" s="20" t="s">
        <v>696</v>
      </c>
      <c r="C209" s="20" t="s">
        <v>897</v>
      </c>
      <c r="D209" s="137">
        <v>3700000</v>
      </c>
      <c r="E209" s="20" t="s">
        <v>589</v>
      </c>
      <c r="F209" s="20" t="s">
        <v>522</v>
      </c>
      <c r="G209" s="8" t="str">
        <f t="shared" si="6"/>
        <v>AUSTIN THOMPSON</v>
      </c>
      <c r="H209" s="20" t="str">
        <f t="shared" si="7"/>
        <v>4004</v>
      </c>
    </row>
    <row r="210" spans="1:8" x14ac:dyDescent="0.25">
      <c r="A210" s="8">
        <v>43074.923645833333</v>
      </c>
      <c r="B210" s="20" t="s">
        <v>413</v>
      </c>
      <c r="C210" s="20" t="s">
        <v>898</v>
      </c>
      <c r="D210" s="137">
        <v>3310000</v>
      </c>
      <c r="E210" s="20" t="s">
        <v>456</v>
      </c>
      <c r="F210" s="20" t="s">
        <v>457</v>
      </c>
      <c r="G210" s="8" t="str">
        <f t="shared" si="6"/>
        <v>ANDERS STEVEN</v>
      </c>
      <c r="H210" s="20" t="str">
        <f t="shared" si="7"/>
        <v>4056</v>
      </c>
    </row>
    <row r="211" spans="1:8" x14ac:dyDescent="0.25">
      <c r="A211" s="8">
        <v>43074.934178240743</v>
      </c>
      <c r="B211" s="20" t="s">
        <v>676</v>
      </c>
      <c r="C211" s="20" t="s">
        <v>899</v>
      </c>
      <c r="D211" s="137">
        <v>3700000</v>
      </c>
      <c r="E211" s="20" t="s">
        <v>589</v>
      </c>
      <c r="F211" s="20" t="s">
        <v>522</v>
      </c>
      <c r="G211" s="8" t="str">
        <f t="shared" si="6"/>
        <v>AUSTIN THOMPSON</v>
      </c>
      <c r="H211" s="20" t="str">
        <f t="shared" si="7"/>
        <v>4003</v>
      </c>
    </row>
    <row r="212" spans="1:8" x14ac:dyDescent="0.25">
      <c r="A212" s="8">
        <v>43074.934247685182</v>
      </c>
      <c r="B212" s="20" t="s">
        <v>499</v>
      </c>
      <c r="C212" s="20" t="s">
        <v>900</v>
      </c>
      <c r="D212" s="137">
        <v>3810000</v>
      </c>
      <c r="E212" s="20" t="s">
        <v>429</v>
      </c>
      <c r="F212" s="20" t="s">
        <v>430</v>
      </c>
      <c r="G212" s="8" t="str">
        <f t="shared" si="6"/>
        <v>LORI SANTOS</v>
      </c>
      <c r="H212" s="20" t="str">
        <f t="shared" si="7"/>
        <v>4053</v>
      </c>
    </row>
    <row r="213" spans="1:8" x14ac:dyDescent="0.25">
      <c r="A213" s="8">
        <v>43074.946215277778</v>
      </c>
      <c r="B213" s="20" t="s">
        <v>674</v>
      </c>
      <c r="C213" s="20" t="s">
        <v>901</v>
      </c>
      <c r="D213" s="137">
        <v>3490000</v>
      </c>
      <c r="E213" s="20" t="s">
        <v>867</v>
      </c>
      <c r="F213" s="20" t="s">
        <v>868</v>
      </c>
      <c r="G213" s="8" t="str">
        <f t="shared" si="6"/>
        <v>WEST BRYAN</v>
      </c>
      <c r="H213" s="20" t="str">
        <f t="shared" si="7"/>
        <v>4059</v>
      </c>
    </row>
    <row r="214" spans="1:8" x14ac:dyDescent="0.25">
      <c r="A214" s="8">
        <v>43074.953518518516</v>
      </c>
      <c r="B214" s="20" t="s">
        <v>425</v>
      </c>
      <c r="C214" s="20" t="s">
        <v>902</v>
      </c>
      <c r="D214" s="137">
        <v>3220000</v>
      </c>
      <c r="E214" s="20" t="s">
        <v>370</v>
      </c>
      <c r="F214" s="20" t="s">
        <v>371</v>
      </c>
      <c r="G214" s="8" t="str">
        <f t="shared" si="6"/>
        <v>RESPASS AARON</v>
      </c>
      <c r="H214" s="20" t="str">
        <f t="shared" si="7"/>
        <v>4044</v>
      </c>
    </row>
    <row r="215" spans="1:8" x14ac:dyDescent="0.25">
      <c r="A215" s="8">
        <v>43074.961273148147</v>
      </c>
      <c r="B215" s="20" t="s">
        <v>696</v>
      </c>
      <c r="C215" s="20" t="s">
        <v>698</v>
      </c>
      <c r="D215" s="137">
        <v>3700000</v>
      </c>
      <c r="E215" s="20" t="s">
        <v>589</v>
      </c>
      <c r="F215" s="20" t="s">
        <v>522</v>
      </c>
      <c r="G215" s="8" t="str">
        <f t="shared" si="6"/>
        <v>AUSTIN THOMPSON</v>
      </c>
      <c r="H215" s="20" t="str">
        <f t="shared" si="7"/>
        <v>4004</v>
      </c>
    </row>
    <row r="216" spans="1:8" x14ac:dyDescent="0.25">
      <c r="A216" s="8">
        <v>43074.96398148148</v>
      </c>
      <c r="B216" s="20" t="s">
        <v>500</v>
      </c>
      <c r="C216" s="20" t="s">
        <v>894</v>
      </c>
      <c r="D216" s="137">
        <v>890000</v>
      </c>
      <c r="E216" s="20" t="s">
        <v>344</v>
      </c>
      <c r="F216" s="20" t="s">
        <v>345</v>
      </c>
      <c r="G216" s="8" t="str">
        <f t="shared" si="6"/>
        <v>LOZA FIDEL</v>
      </c>
      <c r="H216" s="20" t="str">
        <f t="shared" si="7"/>
        <v>4054</v>
      </c>
    </row>
    <row r="217" spans="1:8" x14ac:dyDescent="0.25">
      <c r="A217" s="8">
        <v>43074.967129629629</v>
      </c>
      <c r="B217" s="20" t="s">
        <v>351</v>
      </c>
      <c r="C217" s="20" t="s">
        <v>903</v>
      </c>
      <c r="D217" s="137">
        <v>3310000</v>
      </c>
      <c r="E217" s="20" t="s">
        <v>456</v>
      </c>
      <c r="F217" s="20" t="s">
        <v>457</v>
      </c>
      <c r="G217" s="8" t="str">
        <f t="shared" si="6"/>
        <v>ANDERS STEVEN</v>
      </c>
      <c r="H217" s="20" t="str">
        <f t="shared" si="7"/>
        <v>4055</v>
      </c>
    </row>
    <row r="218" spans="1:8" x14ac:dyDescent="0.25">
      <c r="A218" s="8">
        <v>43074.976006944446</v>
      </c>
      <c r="B218" s="20" t="s">
        <v>676</v>
      </c>
      <c r="C218" s="20" t="s">
        <v>904</v>
      </c>
      <c r="D218" s="137">
        <v>3700000</v>
      </c>
      <c r="E218" s="20" t="s">
        <v>589</v>
      </c>
      <c r="F218" s="20" t="s">
        <v>522</v>
      </c>
      <c r="G218" s="8" t="str">
        <f t="shared" si="6"/>
        <v>AUSTIN THOMPSON</v>
      </c>
      <c r="H218" s="20" t="str">
        <f t="shared" si="7"/>
        <v>4003</v>
      </c>
    </row>
    <row r="219" spans="1:8" x14ac:dyDescent="0.25">
      <c r="A219" s="8">
        <v>43074.985532407409</v>
      </c>
      <c r="B219" s="20" t="s">
        <v>710</v>
      </c>
      <c r="C219" s="20" t="s">
        <v>905</v>
      </c>
      <c r="D219" s="137">
        <v>3490000</v>
      </c>
      <c r="E219" s="20" t="s">
        <v>867</v>
      </c>
      <c r="F219" s="20" t="s">
        <v>868</v>
      </c>
      <c r="G219" s="8" t="str">
        <f t="shared" si="6"/>
        <v>WEST BRYAN</v>
      </c>
      <c r="H219" s="20" t="str">
        <f t="shared" si="7"/>
        <v>4060</v>
      </c>
    </row>
    <row r="220" spans="1:8" x14ac:dyDescent="0.25">
      <c r="A220" s="8">
        <v>43074.996192129627</v>
      </c>
      <c r="B220" s="20" t="s">
        <v>426</v>
      </c>
      <c r="C220" s="20" t="s">
        <v>906</v>
      </c>
      <c r="D220" s="137">
        <v>3220000</v>
      </c>
      <c r="E220" s="20" t="s">
        <v>370</v>
      </c>
      <c r="F220" s="20" t="s">
        <v>371</v>
      </c>
      <c r="G220" s="8" t="str">
        <f t="shared" si="6"/>
        <v>RESPASS AARON</v>
      </c>
      <c r="H220" s="20" t="str">
        <f t="shared" si="7"/>
        <v>4043</v>
      </c>
    </row>
    <row r="221" spans="1:8" x14ac:dyDescent="0.25">
      <c r="A221" s="8">
        <v>43075.015740740739</v>
      </c>
      <c r="B221" s="20" t="s">
        <v>499</v>
      </c>
      <c r="C221" s="20" t="s">
        <v>907</v>
      </c>
      <c r="D221" s="137">
        <v>890000</v>
      </c>
      <c r="E221" s="20" t="s">
        <v>344</v>
      </c>
      <c r="F221" s="20" t="s">
        <v>345</v>
      </c>
      <c r="G221" s="8" t="str">
        <f t="shared" si="6"/>
        <v>LOZA FIDEL</v>
      </c>
      <c r="H221" s="20" t="str">
        <f t="shared" si="7"/>
        <v>4053</v>
      </c>
    </row>
    <row r="222" spans="1:8" x14ac:dyDescent="0.25">
      <c r="A222" s="8">
        <v>43075.018912037034</v>
      </c>
      <c r="B222" s="20" t="s">
        <v>413</v>
      </c>
      <c r="C222" s="20" t="s">
        <v>908</v>
      </c>
      <c r="D222" s="137">
        <v>3310000</v>
      </c>
      <c r="E222" s="20" t="s">
        <v>456</v>
      </c>
      <c r="F222" s="20" t="s">
        <v>457</v>
      </c>
      <c r="G222" s="8" t="str">
        <f t="shared" si="6"/>
        <v>ANDERS STEVEN</v>
      </c>
      <c r="H222" s="20" t="str">
        <f t="shared" si="7"/>
        <v>4056</v>
      </c>
    </row>
    <row r="223" spans="1:8" x14ac:dyDescent="0.25">
      <c r="A223" s="8">
        <v>43075.025324074071</v>
      </c>
      <c r="B223" s="20" t="s">
        <v>425</v>
      </c>
      <c r="C223" s="20" t="s">
        <v>909</v>
      </c>
      <c r="D223" s="137">
        <v>3220000</v>
      </c>
      <c r="E223" s="20" t="s">
        <v>370</v>
      </c>
      <c r="F223" s="20" t="s">
        <v>371</v>
      </c>
      <c r="G223" s="8" t="str">
        <f t="shared" si="6"/>
        <v>RESPASS AARON</v>
      </c>
      <c r="H223" s="20" t="str">
        <f t="shared" si="7"/>
        <v>4044</v>
      </c>
    </row>
    <row r="224" spans="1:8" x14ac:dyDescent="0.25">
      <c r="A224" s="8">
        <v>43075.028009259258</v>
      </c>
      <c r="B224" t="s">
        <v>674</v>
      </c>
      <c r="C224" t="s">
        <v>910</v>
      </c>
      <c r="D224" s="137">
        <v>3490000</v>
      </c>
      <c r="E224" t="s">
        <v>867</v>
      </c>
      <c r="F224" s="20" t="s">
        <v>868</v>
      </c>
      <c r="G224" s="8" t="str">
        <f t="shared" si="6"/>
        <v>WEST BRYAN</v>
      </c>
      <c r="H224" s="20" t="str">
        <f t="shared" si="7"/>
        <v>4059</v>
      </c>
    </row>
    <row r="225" spans="1:8" x14ac:dyDescent="0.25">
      <c r="A225" s="8">
        <v>43075.047523148147</v>
      </c>
      <c r="B225" t="s">
        <v>500</v>
      </c>
      <c r="C225" t="s">
        <v>911</v>
      </c>
      <c r="D225" s="137">
        <v>3810000</v>
      </c>
      <c r="E225" t="s">
        <v>429</v>
      </c>
      <c r="F225" s="20" t="s">
        <v>430</v>
      </c>
      <c r="G225" s="8" t="str">
        <f t="shared" si="6"/>
        <v>LORI SANTOS</v>
      </c>
      <c r="H225" s="20" t="str">
        <f t="shared" si="7"/>
        <v>4054</v>
      </c>
    </row>
    <row r="226" spans="1:8" x14ac:dyDescent="0.25">
      <c r="A226" s="8">
        <v>43075.048935185187</v>
      </c>
      <c r="B226" t="s">
        <v>351</v>
      </c>
      <c r="C226" t="s">
        <v>912</v>
      </c>
      <c r="D226" s="137">
        <v>3310000</v>
      </c>
      <c r="E226" t="s">
        <v>456</v>
      </c>
      <c r="F226" s="20" t="s">
        <v>457</v>
      </c>
      <c r="G226" s="8" t="str">
        <f t="shared" si="6"/>
        <v>ANDERS STEVEN</v>
      </c>
      <c r="H226" s="20" t="str">
        <f t="shared" si="7"/>
        <v>4055</v>
      </c>
    </row>
    <row r="227" spans="1:8" x14ac:dyDescent="0.25">
      <c r="A227" s="8">
        <v>43075.069953703707</v>
      </c>
      <c r="B227" t="s">
        <v>710</v>
      </c>
      <c r="C227" t="s">
        <v>913</v>
      </c>
      <c r="D227" s="137">
        <v>3490000</v>
      </c>
      <c r="E227" t="s">
        <v>867</v>
      </c>
      <c r="F227" s="20" t="s">
        <v>868</v>
      </c>
      <c r="G227" s="8" t="str">
        <f t="shared" si="6"/>
        <v>WEST BRYAN</v>
      </c>
      <c r="H227" s="20" t="str">
        <f t="shared" si="7"/>
        <v>4060</v>
      </c>
    </row>
    <row r="228" spans="1:8" x14ac:dyDescent="0.25">
      <c r="A228" s="8">
        <v>43075.089988425927</v>
      </c>
      <c r="B228" t="s">
        <v>413</v>
      </c>
      <c r="C228" t="s">
        <v>914</v>
      </c>
      <c r="D228" s="137">
        <v>3310000</v>
      </c>
      <c r="E228" t="s">
        <v>456</v>
      </c>
      <c r="F228" s="20" t="s">
        <v>457</v>
      </c>
      <c r="G228" s="8" t="str">
        <f t="shared" si="6"/>
        <v>ANDERS STEVEN</v>
      </c>
      <c r="H228" s="20" t="str">
        <f t="shared" si="7"/>
        <v>4056</v>
      </c>
    </row>
    <row r="229" spans="1:8" x14ac:dyDescent="0.25">
      <c r="A229" s="8">
        <v>43073.892754629633</v>
      </c>
      <c r="B229" t="s">
        <v>351</v>
      </c>
      <c r="C229" t="s">
        <v>590</v>
      </c>
      <c r="D229" s="137">
        <v>3700000</v>
      </c>
      <c r="E229" t="s">
        <v>589</v>
      </c>
      <c r="F229" s="20" t="s">
        <v>522</v>
      </c>
      <c r="G229" s="8" t="str">
        <f t="shared" si="6"/>
        <v>AUSTIN THOMPSON</v>
      </c>
      <c r="H229" s="20" t="str">
        <f t="shared" si="7"/>
        <v>4055</v>
      </c>
    </row>
    <row r="230" spans="1:8" x14ac:dyDescent="0.25">
      <c r="A230" s="8">
        <v>43073.907905092594</v>
      </c>
      <c r="B230" t="s">
        <v>576</v>
      </c>
      <c r="C230" t="s">
        <v>591</v>
      </c>
      <c r="D230" s="137">
        <v>3500000</v>
      </c>
      <c r="E230" t="s">
        <v>368</v>
      </c>
      <c r="F230" s="20" t="s">
        <v>369</v>
      </c>
      <c r="G230" s="8" t="str">
        <f t="shared" si="6"/>
        <v>GUNTHIER ERIC</v>
      </c>
      <c r="H230" s="20" t="str">
        <f t="shared" si="7"/>
        <v>4057</v>
      </c>
    </row>
    <row r="231" spans="1:8" x14ac:dyDescent="0.25">
      <c r="A231" s="8">
        <v>43073.911921296298</v>
      </c>
      <c r="B231" t="s">
        <v>356</v>
      </c>
      <c r="C231" t="s">
        <v>592</v>
      </c>
      <c r="D231" s="137">
        <v>3220000</v>
      </c>
      <c r="E231" t="s">
        <v>370</v>
      </c>
      <c r="F231" s="20" t="s">
        <v>371</v>
      </c>
      <c r="G231" s="8" t="str">
        <f t="shared" si="6"/>
        <v>RESPASS AARON</v>
      </c>
      <c r="H231" s="20" t="str">
        <f t="shared" si="7"/>
        <v>4008</v>
      </c>
    </row>
    <row r="232" spans="1:8" x14ac:dyDescent="0.25">
      <c r="A232" s="8">
        <v>43073.918622685182</v>
      </c>
      <c r="B232" t="s">
        <v>413</v>
      </c>
      <c r="C232" t="s">
        <v>590</v>
      </c>
      <c r="D232" s="137">
        <v>3700000</v>
      </c>
      <c r="E232" t="s">
        <v>589</v>
      </c>
      <c r="F232" s="20" t="s">
        <v>522</v>
      </c>
      <c r="G232" s="8" t="str">
        <f t="shared" si="6"/>
        <v>AUSTIN THOMPSON</v>
      </c>
      <c r="H232" s="20" t="str">
        <f t="shared" si="7"/>
        <v>4056</v>
      </c>
    </row>
    <row r="233" spans="1:8" x14ac:dyDescent="0.25">
      <c r="A233" s="8">
        <v>43073.919212962966</v>
      </c>
      <c r="B233" t="s">
        <v>413</v>
      </c>
      <c r="C233" t="s">
        <v>593</v>
      </c>
      <c r="D233" s="137">
        <v>3700000</v>
      </c>
      <c r="E233" t="s">
        <v>589</v>
      </c>
      <c r="F233" s="20" t="s">
        <v>522</v>
      </c>
      <c r="G233" s="8" t="str">
        <f t="shared" si="6"/>
        <v>AUSTIN THOMPSON</v>
      </c>
      <c r="H233" s="20" t="str">
        <f t="shared" si="7"/>
        <v>4056</v>
      </c>
    </row>
    <row r="234" spans="1:8" x14ac:dyDescent="0.25">
      <c r="A234" s="8">
        <v>43073.932106481479</v>
      </c>
      <c r="B234" t="s">
        <v>530</v>
      </c>
      <c r="C234" t="s">
        <v>594</v>
      </c>
      <c r="D234" s="137">
        <v>890000</v>
      </c>
      <c r="E234" t="s">
        <v>344</v>
      </c>
      <c r="F234" s="20" t="s">
        <v>345</v>
      </c>
      <c r="G234" s="8" t="str">
        <f t="shared" si="6"/>
        <v>LOZA FIDEL</v>
      </c>
      <c r="H234" s="20" t="str">
        <f t="shared" si="7"/>
        <v>4063</v>
      </c>
    </row>
    <row r="235" spans="1:8" x14ac:dyDescent="0.25">
      <c r="A235" s="8">
        <v>43073.933379629627</v>
      </c>
      <c r="B235" t="s">
        <v>351</v>
      </c>
      <c r="C235" t="s">
        <v>595</v>
      </c>
      <c r="D235" s="137">
        <v>3700000</v>
      </c>
      <c r="E235" t="s">
        <v>589</v>
      </c>
      <c r="F235" s="20" t="s">
        <v>522</v>
      </c>
      <c r="G235" s="8" t="str">
        <f t="shared" si="6"/>
        <v>AUSTIN THOMPSON</v>
      </c>
      <c r="H235" s="20" t="str">
        <f t="shared" si="7"/>
        <v>4055</v>
      </c>
    </row>
    <row r="236" spans="1:8" x14ac:dyDescent="0.25">
      <c r="A236" s="8">
        <v>43073.934803240743</v>
      </c>
      <c r="B236" t="s">
        <v>521</v>
      </c>
      <c r="C236" t="s">
        <v>596</v>
      </c>
      <c r="D236" s="137">
        <v>3040000</v>
      </c>
      <c r="E236" t="s">
        <v>365</v>
      </c>
      <c r="F236" s="20" t="s">
        <v>421</v>
      </c>
      <c r="G236" s="8" t="str">
        <f t="shared" si="6"/>
        <v>WILLIAMS DONTE</v>
      </c>
      <c r="H236" s="20" t="str">
        <f t="shared" si="7"/>
        <v>4010</v>
      </c>
    </row>
    <row r="237" spans="1:8" x14ac:dyDescent="0.25">
      <c r="A237" s="8">
        <v>43073.942662037036</v>
      </c>
      <c r="B237" t="s">
        <v>455</v>
      </c>
      <c r="C237" t="s">
        <v>597</v>
      </c>
      <c r="D237" s="137">
        <v>3340000</v>
      </c>
      <c r="E237" t="s">
        <v>409</v>
      </c>
      <c r="F237" s="20" t="s">
        <v>410</v>
      </c>
      <c r="G237" s="8" t="str">
        <f t="shared" si="6"/>
        <v>ELBAUM MIKE</v>
      </c>
      <c r="H237" s="20" t="str">
        <f t="shared" si="7"/>
        <v>4058</v>
      </c>
    </row>
    <row r="238" spans="1:8" x14ac:dyDescent="0.25">
      <c r="A238" s="8">
        <v>43073.951284722221</v>
      </c>
      <c r="B238" t="s">
        <v>358</v>
      </c>
      <c r="C238" t="s">
        <v>598</v>
      </c>
      <c r="D238" s="137">
        <v>3220000</v>
      </c>
      <c r="E238" t="s">
        <v>370</v>
      </c>
      <c r="F238" s="20" t="s">
        <v>371</v>
      </c>
      <c r="G238" s="8" t="str">
        <f t="shared" si="6"/>
        <v>RESPASS AARON</v>
      </c>
      <c r="H238" s="20" t="str">
        <f t="shared" si="7"/>
        <v>4007</v>
      </c>
    </row>
    <row r="239" spans="1:8" x14ac:dyDescent="0.25">
      <c r="A239" s="8">
        <v>43073.957233796296</v>
      </c>
      <c r="B239" t="s">
        <v>413</v>
      </c>
      <c r="C239" t="s">
        <v>599</v>
      </c>
      <c r="D239" s="137">
        <v>3700000</v>
      </c>
      <c r="E239" t="s">
        <v>589</v>
      </c>
      <c r="F239" s="20" t="s">
        <v>522</v>
      </c>
      <c r="G239" s="8" t="str">
        <f t="shared" si="6"/>
        <v>AUSTIN THOMPSON</v>
      </c>
      <c r="H239" s="20" t="str">
        <f t="shared" si="7"/>
        <v>4056</v>
      </c>
    </row>
    <row r="240" spans="1:8" x14ac:dyDescent="0.25">
      <c r="A240" s="8">
        <v>43073.965277777781</v>
      </c>
      <c r="B240" t="s">
        <v>580</v>
      </c>
      <c r="C240" t="s">
        <v>600</v>
      </c>
      <c r="D240" s="137">
        <v>3810000</v>
      </c>
      <c r="E240" t="s">
        <v>429</v>
      </c>
      <c r="F240" s="20" t="s">
        <v>430</v>
      </c>
      <c r="G240" s="8" t="str">
        <f t="shared" si="6"/>
        <v>LORI SANTOS</v>
      </c>
      <c r="H240" s="20" t="str">
        <f t="shared" si="7"/>
        <v>4064</v>
      </c>
    </row>
    <row r="241" spans="1:8" x14ac:dyDescent="0.25">
      <c r="A241" s="8">
        <v>43073.972766203704</v>
      </c>
      <c r="B241" t="s">
        <v>520</v>
      </c>
      <c r="C241" t="s">
        <v>601</v>
      </c>
      <c r="D241" s="137">
        <v>3040000</v>
      </c>
      <c r="E241" t="s">
        <v>365</v>
      </c>
      <c r="F241" s="20" t="s">
        <v>421</v>
      </c>
      <c r="G241" s="8" t="str">
        <f t="shared" si="6"/>
        <v>WILLIAMS DONTE</v>
      </c>
      <c r="H241" s="20" t="str">
        <f t="shared" si="7"/>
        <v>4009</v>
      </c>
    </row>
    <row r="242" spans="1:8" x14ac:dyDescent="0.25">
      <c r="A242" s="8">
        <v>43073.976331018515</v>
      </c>
      <c r="B242" t="s">
        <v>351</v>
      </c>
      <c r="C242" t="s">
        <v>602</v>
      </c>
      <c r="D242" s="137">
        <v>3700000</v>
      </c>
      <c r="E242" t="s">
        <v>589</v>
      </c>
      <c r="F242" s="20" t="s">
        <v>522</v>
      </c>
      <c r="G242" s="8" t="str">
        <f t="shared" si="6"/>
        <v>AUSTIN THOMPSON</v>
      </c>
      <c r="H242" s="20" t="str">
        <f t="shared" si="7"/>
        <v>4055</v>
      </c>
    </row>
    <row r="243" spans="1:8" x14ac:dyDescent="0.25">
      <c r="A243" s="8">
        <v>43073.984548611108</v>
      </c>
      <c r="B243" t="s">
        <v>576</v>
      </c>
      <c r="C243" t="s">
        <v>603</v>
      </c>
      <c r="D243" s="137">
        <v>3340000</v>
      </c>
      <c r="E243" t="s">
        <v>409</v>
      </c>
      <c r="F243" s="20" t="s">
        <v>410</v>
      </c>
      <c r="G243" s="8" t="str">
        <f t="shared" si="6"/>
        <v>ELBAUM MIKE</v>
      </c>
      <c r="H243" s="20" t="str">
        <f t="shared" si="7"/>
        <v>4057</v>
      </c>
    </row>
    <row r="244" spans="1:8" x14ac:dyDescent="0.25">
      <c r="A244" s="8">
        <v>43073.995127314818</v>
      </c>
      <c r="B244" t="s">
        <v>356</v>
      </c>
      <c r="C244" t="s">
        <v>604</v>
      </c>
      <c r="D244" s="137">
        <v>3220000</v>
      </c>
      <c r="E244" t="s">
        <v>370</v>
      </c>
      <c r="F244" s="20" t="s">
        <v>371</v>
      </c>
      <c r="G244" s="8" t="str">
        <f t="shared" si="6"/>
        <v>RESPASS AARON</v>
      </c>
      <c r="H244" s="20" t="str">
        <f t="shared" si="7"/>
        <v>4008</v>
      </c>
    </row>
    <row r="245" spans="1:8" x14ac:dyDescent="0.25">
      <c r="A245" s="8">
        <v>43074.011516203704</v>
      </c>
      <c r="B245" t="s">
        <v>521</v>
      </c>
      <c r="C245" t="s">
        <v>605</v>
      </c>
      <c r="D245" s="137">
        <v>3040000</v>
      </c>
      <c r="E245" t="s">
        <v>365</v>
      </c>
      <c r="F245" s="20" t="s">
        <v>421</v>
      </c>
      <c r="G245" s="8" t="str">
        <f t="shared" si="6"/>
        <v>WILLIAMS DONTE</v>
      </c>
      <c r="H245" s="20" t="str">
        <f t="shared" si="7"/>
        <v>4010</v>
      </c>
    </row>
    <row r="246" spans="1:8" x14ac:dyDescent="0.25">
      <c r="A246" s="8">
        <v>43074.016192129631</v>
      </c>
      <c r="B246" t="s">
        <v>530</v>
      </c>
      <c r="C246" t="s">
        <v>606</v>
      </c>
      <c r="D246" s="137">
        <v>3810000</v>
      </c>
      <c r="E246" t="s">
        <v>429</v>
      </c>
      <c r="F246" s="20" t="s">
        <v>430</v>
      </c>
      <c r="G246" s="8" t="str">
        <f t="shared" si="6"/>
        <v>LORI SANTOS</v>
      </c>
      <c r="H246" s="20" t="str">
        <f t="shared" si="7"/>
        <v>4063</v>
      </c>
    </row>
    <row r="247" spans="1:8" x14ac:dyDescent="0.25">
      <c r="A247" s="8">
        <v>43074.025370370371</v>
      </c>
      <c r="B247" t="s">
        <v>455</v>
      </c>
      <c r="C247" t="s">
        <v>607</v>
      </c>
      <c r="D247" s="137">
        <v>3340000</v>
      </c>
      <c r="E247" t="s">
        <v>409</v>
      </c>
      <c r="F247" s="20" t="s">
        <v>410</v>
      </c>
      <c r="G247" s="8" t="str">
        <f t="shared" si="6"/>
        <v>ELBAUM MIKE</v>
      </c>
      <c r="H247" s="20" t="str">
        <f t="shared" si="7"/>
        <v>4058</v>
      </c>
    </row>
    <row r="248" spans="1:8" x14ac:dyDescent="0.25">
      <c r="A248" s="8">
        <v>43074.034837962965</v>
      </c>
      <c r="B248" t="s">
        <v>358</v>
      </c>
      <c r="C248" t="s">
        <v>571</v>
      </c>
      <c r="D248" s="137">
        <v>3220000</v>
      </c>
      <c r="E248" t="s">
        <v>370</v>
      </c>
      <c r="F248" s="20" t="s">
        <v>371</v>
      </c>
      <c r="G248" s="8" t="str">
        <f t="shared" si="6"/>
        <v>RESPASS AARON</v>
      </c>
      <c r="H248" s="20" t="str">
        <f t="shared" si="7"/>
        <v>4007</v>
      </c>
    </row>
    <row r="249" spans="1:8" x14ac:dyDescent="0.25">
      <c r="A249" s="8">
        <v>43074.047951388886</v>
      </c>
      <c r="B249" t="s">
        <v>580</v>
      </c>
      <c r="C249" t="s">
        <v>608</v>
      </c>
      <c r="D249" s="13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4064</v>
      </c>
    </row>
    <row r="250" spans="1:8" x14ac:dyDescent="0.25">
      <c r="A250" s="8">
        <v>43074.054861111108</v>
      </c>
      <c r="B250" t="s">
        <v>520</v>
      </c>
      <c r="C250" t="s">
        <v>609</v>
      </c>
      <c r="D250" s="137">
        <v>3040000</v>
      </c>
      <c r="E250" t="s">
        <v>365</v>
      </c>
      <c r="F250" s="20" t="s">
        <v>421</v>
      </c>
      <c r="G250" s="8" t="str">
        <f t="shared" si="6"/>
        <v>WILLIAMS DONTE</v>
      </c>
      <c r="H250" s="20" t="str">
        <f t="shared" si="7"/>
        <v>4009</v>
      </c>
    </row>
    <row r="251" spans="1:8" x14ac:dyDescent="0.25">
      <c r="A251" s="8">
        <v>43074.067465277774</v>
      </c>
      <c r="B251" t="s">
        <v>356</v>
      </c>
      <c r="C251" t="s">
        <v>610</v>
      </c>
      <c r="D251" s="137">
        <v>3220000</v>
      </c>
      <c r="E251" t="s">
        <v>370</v>
      </c>
      <c r="F251" s="20" t="s">
        <v>371</v>
      </c>
      <c r="G251" s="8" t="str">
        <f t="shared" si="6"/>
        <v>RESPASS AARON</v>
      </c>
      <c r="H251" s="20" t="str">
        <f t="shared" si="7"/>
        <v>4008</v>
      </c>
    </row>
    <row r="252" spans="1:8" x14ac:dyDescent="0.25">
      <c r="A252" s="8">
        <v>43074.088437500002</v>
      </c>
      <c r="B252" t="s">
        <v>521</v>
      </c>
      <c r="C252" t="s">
        <v>611</v>
      </c>
      <c r="D252" s="137">
        <v>3040000</v>
      </c>
      <c r="E252" t="s">
        <v>365</v>
      </c>
      <c r="F252" s="20" t="s">
        <v>421</v>
      </c>
      <c r="G252" s="8" t="str">
        <f t="shared" si="6"/>
        <v>WILLIAMS DONTE</v>
      </c>
      <c r="H252" s="20" t="str">
        <f t="shared" si="7"/>
        <v>4010</v>
      </c>
    </row>
    <row r="253" spans="1:8" x14ac:dyDescent="0.25">
      <c r="A253" s="8">
        <v>43068.933634259258</v>
      </c>
      <c r="B253" t="s">
        <v>463</v>
      </c>
      <c r="C253" t="s">
        <v>468</v>
      </c>
      <c r="D253" s="137">
        <v>2000000</v>
      </c>
      <c r="E253" t="s">
        <v>380</v>
      </c>
      <c r="F253" s="20" t="s">
        <v>381</v>
      </c>
      <c r="G253" s="8" t="str">
        <f t="shared" si="6"/>
        <v>STAMBAUGH JAMES</v>
      </c>
      <c r="H253" s="20" t="str">
        <f t="shared" si="7"/>
        <v>4031</v>
      </c>
    </row>
    <row r="254" spans="1:8" x14ac:dyDescent="0.25">
      <c r="A254" s="8">
        <v>43068.936041666668</v>
      </c>
      <c r="B254" t="s">
        <v>467</v>
      </c>
      <c r="C254" t="s">
        <v>469</v>
      </c>
      <c r="D254" s="137">
        <v>3310000</v>
      </c>
      <c r="E254" t="s">
        <v>456</v>
      </c>
      <c r="F254" s="20" t="s">
        <v>457</v>
      </c>
      <c r="G254" s="8" t="str">
        <f t="shared" si="6"/>
        <v>ANDERS STEVEN</v>
      </c>
      <c r="H254" s="20" t="str">
        <f t="shared" si="7"/>
        <v>4006</v>
      </c>
    </row>
    <row r="255" spans="1:8" x14ac:dyDescent="0.25">
      <c r="A255" s="8">
        <v>43068.945405092592</v>
      </c>
      <c r="B255" t="s">
        <v>374</v>
      </c>
      <c r="C255" t="s">
        <v>470</v>
      </c>
      <c r="D255" s="137">
        <v>3320000</v>
      </c>
      <c r="E255" t="s">
        <v>360</v>
      </c>
      <c r="F255" s="20" t="s">
        <v>361</v>
      </c>
      <c r="G255" s="8" t="str">
        <f t="shared" si="6"/>
        <v>NICHOLSON WESLEY</v>
      </c>
      <c r="H255" s="20" t="str">
        <f t="shared" si="7"/>
        <v>4022</v>
      </c>
    </row>
    <row r="256" spans="1:8" x14ac:dyDescent="0.25">
      <c r="A256" s="8">
        <v>43068.952187499999</v>
      </c>
      <c r="B256" t="s">
        <v>454</v>
      </c>
      <c r="C256" t="s">
        <v>471</v>
      </c>
      <c r="D256" s="137">
        <v>890000</v>
      </c>
      <c r="E256" t="s">
        <v>344</v>
      </c>
      <c r="F256" s="20" t="s">
        <v>345</v>
      </c>
      <c r="G256" s="8" t="str">
        <f t="shared" si="6"/>
        <v>LOZA FIDEL</v>
      </c>
      <c r="H256" s="20" t="str">
        <f t="shared" si="7"/>
        <v>4001</v>
      </c>
    </row>
    <row r="257" spans="1:8" x14ac:dyDescent="0.25">
      <c r="A257" s="8">
        <v>43068.961168981485</v>
      </c>
      <c r="B257" t="s">
        <v>464</v>
      </c>
      <c r="C257" t="s">
        <v>472</v>
      </c>
      <c r="D257" s="137">
        <v>2000000</v>
      </c>
      <c r="E257" t="s">
        <v>380</v>
      </c>
      <c r="F257" s="20" t="s">
        <v>381</v>
      </c>
      <c r="G257" s="8" t="str">
        <f t="shared" si="6"/>
        <v>STAMBAUGH JAMES</v>
      </c>
      <c r="H257" s="20" t="str">
        <f t="shared" si="7"/>
        <v>4032</v>
      </c>
    </row>
    <row r="258" spans="1:8" x14ac:dyDescent="0.25">
      <c r="A258" s="8">
        <v>43068.974456018521</v>
      </c>
      <c r="B258" t="s">
        <v>420</v>
      </c>
      <c r="C258" t="s">
        <v>473</v>
      </c>
      <c r="D258" s="13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4026</v>
      </c>
    </row>
    <row r="259" spans="1:8" x14ac:dyDescent="0.25">
      <c r="A259" s="8">
        <v>43068.975543981483</v>
      </c>
      <c r="B259" t="s">
        <v>463</v>
      </c>
      <c r="C259" t="s">
        <v>474</v>
      </c>
      <c r="D259" s="13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4031</v>
      </c>
    </row>
    <row r="260" spans="1:8" x14ac:dyDescent="0.25">
      <c r="A260" s="8">
        <v>43068.975706018522</v>
      </c>
      <c r="B260" t="s">
        <v>465</v>
      </c>
      <c r="C260" t="s">
        <v>475</v>
      </c>
      <c r="D260" s="137">
        <v>3310000</v>
      </c>
      <c r="E260" t="s">
        <v>456</v>
      </c>
      <c r="F260" s="20" t="s">
        <v>457</v>
      </c>
      <c r="G260" s="8" t="str">
        <f t="shared" si="8"/>
        <v>ANDERS STEVEN</v>
      </c>
      <c r="H260" s="20" t="str">
        <f t="shared" si="9"/>
        <v>4005</v>
      </c>
    </row>
    <row r="261" spans="1:8" x14ac:dyDescent="0.25">
      <c r="A261" s="8">
        <v>43068.986145833333</v>
      </c>
      <c r="B261" t="s">
        <v>451</v>
      </c>
      <c r="C261" t="s">
        <v>476</v>
      </c>
      <c r="D261" s="13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4002</v>
      </c>
    </row>
    <row r="262" spans="1:8" x14ac:dyDescent="0.25">
      <c r="A262" s="8">
        <v>43068.990578703706</v>
      </c>
      <c r="B262" t="s">
        <v>428</v>
      </c>
      <c r="C262" t="s">
        <v>477</v>
      </c>
      <c r="D262" s="137">
        <v>3320000</v>
      </c>
      <c r="E262" t="s">
        <v>360</v>
      </c>
      <c r="F262" s="20" t="s">
        <v>361</v>
      </c>
      <c r="G262" s="8" t="str">
        <f t="shared" si="8"/>
        <v>NICHOLSON WESLEY</v>
      </c>
      <c r="H262" s="20" t="str">
        <f t="shared" si="9"/>
        <v>4021</v>
      </c>
    </row>
    <row r="263" spans="1:8" x14ac:dyDescent="0.25">
      <c r="A263" s="8">
        <v>43069.015138888892</v>
      </c>
      <c r="B263" t="s">
        <v>419</v>
      </c>
      <c r="C263" t="s">
        <v>478</v>
      </c>
      <c r="D263" s="13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4025</v>
      </c>
    </row>
    <row r="264" spans="1:8" x14ac:dyDescent="0.25">
      <c r="A264" s="8">
        <v>43069.019780092596</v>
      </c>
      <c r="B264" t="s">
        <v>467</v>
      </c>
      <c r="C264" t="s">
        <v>479</v>
      </c>
      <c r="D264" s="137">
        <v>3310000</v>
      </c>
      <c r="E264" t="s">
        <v>456</v>
      </c>
      <c r="F264" s="20" t="s">
        <v>457</v>
      </c>
      <c r="G264" s="8" t="str">
        <f t="shared" si="8"/>
        <v>ANDERS STEVEN</v>
      </c>
      <c r="H264" s="20" t="str">
        <f t="shared" si="9"/>
        <v>4006</v>
      </c>
    </row>
    <row r="265" spans="1:8" x14ac:dyDescent="0.25">
      <c r="A265" s="8">
        <v>43069.029178240744</v>
      </c>
      <c r="B265" t="s">
        <v>374</v>
      </c>
      <c r="C265" t="s">
        <v>480</v>
      </c>
      <c r="D265" s="137">
        <v>3320000</v>
      </c>
      <c r="E265" t="s">
        <v>360</v>
      </c>
      <c r="F265" s="20" t="s">
        <v>361</v>
      </c>
      <c r="G265" s="8" t="str">
        <f t="shared" si="8"/>
        <v>NICHOLSON WESLEY</v>
      </c>
      <c r="H265" s="20" t="str">
        <f t="shared" si="9"/>
        <v>4022</v>
      </c>
    </row>
    <row r="266" spans="1:8" x14ac:dyDescent="0.25">
      <c r="A266" s="8">
        <v>43069.038206018522</v>
      </c>
      <c r="B266" t="s">
        <v>454</v>
      </c>
      <c r="C266" t="s">
        <v>481</v>
      </c>
      <c r="D266" s="137">
        <v>890000</v>
      </c>
      <c r="E266" t="s">
        <v>344</v>
      </c>
      <c r="F266" s="20" t="s">
        <v>345</v>
      </c>
      <c r="G266" s="8" t="str">
        <f t="shared" si="8"/>
        <v>LOZA FIDEL</v>
      </c>
      <c r="H266" s="20" t="str">
        <f t="shared" si="9"/>
        <v>4001</v>
      </c>
    </row>
    <row r="267" spans="1:8" x14ac:dyDescent="0.25">
      <c r="A267" s="8">
        <v>43069.046111111114</v>
      </c>
      <c r="B267" t="s">
        <v>420</v>
      </c>
      <c r="C267" t="s">
        <v>482</v>
      </c>
      <c r="D267" s="137">
        <v>3220000</v>
      </c>
      <c r="E267" t="s">
        <v>370</v>
      </c>
      <c r="F267" s="20" t="s">
        <v>371</v>
      </c>
      <c r="G267" s="8" t="str">
        <f t="shared" si="8"/>
        <v>RESPASS AARON</v>
      </c>
      <c r="H267" s="20" t="str">
        <f t="shared" si="9"/>
        <v>4026</v>
      </c>
    </row>
    <row r="268" spans="1:8" x14ac:dyDescent="0.25">
      <c r="A268" s="8">
        <v>43069.050173611111</v>
      </c>
      <c r="B268" t="s">
        <v>465</v>
      </c>
      <c r="C268" t="s">
        <v>466</v>
      </c>
      <c r="D268" s="137">
        <v>3310000</v>
      </c>
      <c r="E268" t="s">
        <v>456</v>
      </c>
      <c r="F268" s="20" t="s">
        <v>457</v>
      </c>
      <c r="G268" s="8" t="str">
        <f t="shared" si="8"/>
        <v>ANDERS STEVEN</v>
      </c>
      <c r="H268" s="20" t="str">
        <f t="shared" si="9"/>
        <v>4005</v>
      </c>
    </row>
    <row r="269" spans="1:8" x14ac:dyDescent="0.25">
      <c r="A269" s="8">
        <v>43069.067777777775</v>
      </c>
      <c r="B269" t="s">
        <v>451</v>
      </c>
      <c r="C269" t="s">
        <v>483</v>
      </c>
      <c r="D269" s="137">
        <v>890000</v>
      </c>
      <c r="E269" t="s">
        <v>344</v>
      </c>
      <c r="F269" s="20" t="s">
        <v>345</v>
      </c>
      <c r="G269" s="8" t="str">
        <f t="shared" si="8"/>
        <v>LOZA FIDEL</v>
      </c>
      <c r="H269" s="20" t="str">
        <f t="shared" si="9"/>
        <v>4002</v>
      </c>
    </row>
    <row r="270" spans="1:8" x14ac:dyDescent="0.25">
      <c r="A270" s="8">
        <v>43069.090451388889</v>
      </c>
      <c r="B270" t="s">
        <v>467</v>
      </c>
      <c r="C270" t="s">
        <v>484</v>
      </c>
      <c r="D270" s="137">
        <v>3310000</v>
      </c>
      <c r="E270" t="s">
        <v>456</v>
      </c>
      <c r="F270" s="20" t="s">
        <v>457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467</v>
      </c>
      <c r="C271" t="s">
        <v>484</v>
      </c>
      <c r="D271" s="137">
        <v>3310000</v>
      </c>
      <c r="E271" t="s">
        <v>456</v>
      </c>
      <c r="F271" s="20" t="s">
        <v>457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431</v>
      </c>
      <c r="D272" s="13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432</v>
      </c>
      <c r="D273" s="13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426</v>
      </c>
      <c r="C274" t="s">
        <v>433</v>
      </c>
      <c r="D274" s="13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413</v>
      </c>
      <c r="C275" t="s">
        <v>434</v>
      </c>
      <c r="D275" s="13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435</v>
      </c>
      <c r="D276" s="13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419</v>
      </c>
      <c r="C277" t="s">
        <v>436</v>
      </c>
      <c r="D277" s="137">
        <v>3040000</v>
      </c>
      <c r="E277" t="s">
        <v>365</v>
      </c>
      <c r="F277" s="20" t="s">
        <v>421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437</v>
      </c>
      <c r="D278" s="13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438</v>
      </c>
      <c r="D279" s="13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425</v>
      </c>
      <c r="C280" t="s">
        <v>439</v>
      </c>
      <c r="D280" s="13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428</v>
      </c>
      <c r="C281" t="s">
        <v>440</v>
      </c>
      <c r="D281" s="13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420</v>
      </c>
      <c r="C282" t="s">
        <v>441</v>
      </c>
      <c r="D282" s="137">
        <v>3040000</v>
      </c>
      <c r="E282" t="s">
        <v>365</v>
      </c>
      <c r="F282" s="20" t="s">
        <v>421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442</v>
      </c>
      <c r="D283" s="13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426</v>
      </c>
      <c r="C284" t="s">
        <v>443</v>
      </c>
      <c r="D284" s="13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427</v>
      </c>
      <c r="D285" s="13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419</v>
      </c>
      <c r="C286" t="s">
        <v>444</v>
      </c>
      <c r="D286" s="137">
        <v>3040000</v>
      </c>
      <c r="E286" t="s">
        <v>365</v>
      </c>
      <c r="F286" s="20" t="s">
        <v>421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425</v>
      </c>
      <c r="C287" t="s">
        <v>445</v>
      </c>
      <c r="D287" s="13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420</v>
      </c>
      <c r="C288" t="s">
        <v>446</v>
      </c>
      <c r="D288" s="137">
        <v>3040000</v>
      </c>
      <c r="E288" t="s">
        <v>365</v>
      </c>
      <c r="F288" s="20" t="s">
        <v>421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3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3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3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3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3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3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3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3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3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3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3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3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3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3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3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3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3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3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3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3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3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3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3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3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6" t="s">
        <v>156</v>
      </c>
      <c r="B1" s="216" t="s">
        <v>159</v>
      </c>
      <c r="C1" s="216" t="s">
        <v>152</v>
      </c>
      <c r="D1" s="135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157</v>
      </c>
      <c r="K1" s="216" t="s">
        <v>155</v>
      </c>
      <c r="L1" s="216" t="s">
        <v>150</v>
      </c>
      <c r="M1" s="216" t="s">
        <v>160</v>
      </c>
      <c r="N1" s="216" t="s">
        <v>334</v>
      </c>
      <c r="O1" s="216" t="s">
        <v>154</v>
      </c>
      <c r="P1" s="216" t="s">
        <v>161</v>
      </c>
      <c r="Q1" s="216" t="s">
        <v>335</v>
      </c>
      <c r="R1" s="216" t="s">
        <v>158</v>
      </c>
      <c r="S1"/>
      <c r="T1"/>
    </row>
    <row r="2" spans="1:20" x14ac:dyDescent="0.25">
      <c r="A2" s="194">
        <v>22.54</v>
      </c>
      <c r="B2" s="194">
        <v>0.04</v>
      </c>
      <c r="C2" s="194">
        <v>10.37</v>
      </c>
      <c r="D2" s="8">
        <v>43074</v>
      </c>
      <c r="E2" s="194">
        <v>0.59</v>
      </c>
      <c r="F2" s="194" t="s">
        <v>408</v>
      </c>
      <c r="G2" s="194">
        <v>325.25</v>
      </c>
      <c r="H2" s="194">
        <v>0</v>
      </c>
      <c r="I2" s="194">
        <v>0</v>
      </c>
      <c r="J2" s="194">
        <v>1023.55</v>
      </c>
      <c r="K2" s="194" t="s">
        <v>407</v>
      </c>
      <c r="L2" s="194">
        <v>22.54</v>
      </c>
      <c r="M2" s="194">
        <v>1512457200</v>
      </c>
      <c r="N2" s="194">
        <v>0</v>
      </c>
      <c r="O2" s="194">
        <v>3.31</v>
      </c>
      <c r="P2" s="194">
        <v>184</v>
      </c>
      <c r="Q2" s="194">
        <v>5.09</v>
      </c>
      <c r="R2" s="194">
        <v>1.97</v>
      </c>
      <c r="S2"/>
      <c r="T2"/>
    </row>
    <row r="3" spans="1:20" x14ac:dyDescent="0.25">
      <c r="A3" s="194">
        <v>22.02</v>
      </c>
      <c r="B3" s="194">
        <v>0.04</v>
      </c>
      <c r="C3" s="194">
        <v>10.210000000000001</v>
      </c>
      <c r="D3" s="8">
        <v>43074.041666666664</v>
      </c>
      <c r="E3" s="194">
        <v>0.6</v>
      </c>
      <c r="F3" s="194" t="s">
        <v>408</v>
      </c>
      <c r="G3" s="194">
        <v>328.01</v>
      </c>
      <c r="H3" s="194">
        <v>0</v>
      </c>
      <c r="I3" s="194">
        <v>0</v>
      </c>
      <c r="J3" s="194">
        <v>1024.1600000000001</v>
      </c>
      <c r="K3" s="194" t="s">
        <v>407</v>
      </c>
      <c r="L3" s="194">
        <v>22.02</v>
      </c>
      <c r="M3" s="194">
        <v>1512460800</v>
      </c>
      <c r="N3" s="194">
        <v>0</v>
      </c>
      <c r="O3" s="194">
        <v>3.31</v>
      </c>
      <c r="P3" s="194">
        <v>174</v>
      </c>
      <c r="Q3" s="194">
        <v>5.71</v>
      </c>
      <c r="R3" s="194">
        <v>1.3</v>
      </c>
      <c r="S3"/>
      <c r="T3"/>
    </row>
    <row r="4" spans="1:20" x14ac:dyDescent="0.25">
      <c r="A4" s="194">
        <v>21.02</v>
      </c>
      <c r="B4" s="194">
        <v>0</v>
      </c>
      <c r="C4" s="194">
        <v>9.84</v>
      </c>
      <c r="D4" s="8">
        <v>43074.083333333336</v>
      </c>
      <c r="E4" s="194">
        <v>0.61</v>
      </c>
      <c r="F4" s="194" t="s">
        <v>408</v>
      </c>
      <c r="G4" s="194">
        <v>329.64</v>
      </c>
      <c r="H4" s="194">
        <v>0</v>
      </c>
      <c r="I4" s="194">
        <v>0</v>
      </c>
      <c r="J4" s="194">
        <v>1024.73</v>
      </c>
      <c r="K4" s="194" t="s">
        <v>407</v>
      </c>
      <c r="L4" s="194">
        <v>21.02</v>
      </c>
      <c r="M4" s="194">
        <v>1512464400</v>
      </c>
      <c r="N4" s="194">
        <v>0</v>
      </c>
      <c r="O4" s="194">
        <v>3.31</v>
      </c>
      <c r="P4" s="194">
        <v>205</v>
      </c>
      <c r="Q4" s="194">
        <v>4.6100000000000003</v>
      </c>
      <c r="R4" s="194">
        <v>1.06</v>
      </c>
      <c r="S4"/>
      <c r="T4"/>
    </row>
    <row r="5" spans="1:20" x14ac:dyDescent="0.25">
      <c r="A5" s="194">
        <v>20.190000000000001</v>
      </c>
      <c r="B5" s="194">
        <v>0</v>
      </c>
      <c r="C5" s="194">
        <v>9.1300000000000008</v>
      </c>
      <c r="D5" s="8">
        <v>43074.125</v>
      </c>
      <c r="E5" s="194">
        <v>0.62</v>
      </c>
      <c r="F5" s="194" t="s">
        <v>408</v>
      </c>
      <c r="G5" s="194">
        <v>329.84</v>
      </c>
      <c r="H5" s="194">
        <v>0</v>
      </c>
      <c r="I5" s="194">
        <v>0</v>
      </c>
      <c r="J5" s="194">
        <v>1025.07</v>
      </c>
      <c r="K5" s="194" t="s">
        <v>407</v>
      </c>
      <c r="L5" s="194">
        <v>20.190000000000001</v>
      </c>
      <c r="M5" s="194">
        <v>1512468000</v>
      </c>
      <c r="N5" s="194">
        <v>0</v>
      </c>
      <c r="O5" s="194">
        <v>2.92</v>
      </c>
      <c r="P5" s="194">
        <v>202</v>
      </c>
      <c r="Q5" s="194">
        <v>4.3499999999999996</v>
      </c>
      <c r="R5" s="194">
        <v>1.35</v>
      </c>
      <c r="S5"/>
      <c r="T5"/>
    </row>
    <row r="6" spans="1:20" x14ac:dyDescent="0.25">
      <c r="A6" s="194">
        <v>18.97</v>
      </c>
      <c r="B6" s="194">
        <v>0</v>
      </c>
      <c r="C6" s="194">
        <v>8.44</v>
      </c>
      <c r="D6" s="8">
        <v>43074.166666666664</v>
      </c>
      <c r="E6" s="194">
        <v>0.63</v>
      </c>
      <c r="F6" s="194" t="s">
        <v>408</v>
      </c>
      <c r="G6" s="194">
        <v>329.11</v>
      </c>
      <c r="H6" s="194">
        <v>0</v>
      </c>
      <c r="I6" s="194">
        <v>0</v>
      </c>
      <c r="J6" s="194">
        <v>1025.3399999999999</v>
      </c>
      <c r="K6" s="194" t="s">
        <v>407</v>
      </c>
      <c r="L6" s="194">
        <v>18.97</v>
      </c>
      <c r="M6" s="194">
        <v>1512471600</v>
      </c>
      <c r="N6" s="194">
        <v>0</v>
      </c>
      <c r="O6" s="194">
        <v>3.52</v>
      </c>
      <c r="P6" s="194">
        <v>204</v>
      </c>
      <c r="Q6" s="194">
        <v>3.87</v>
      </c>
      <c r="R6" s="194">
        <v>1.1499999999999999</v>
      </c>
      <c r="S6"/>
      <c r="T6"/>
    </row>
    <row r="7" spans="1:20" x14ac:dyDescent="0.25">
      <c r="A7" s="194">
        <v>18.25</v>
      </c>
      <c r="B7" s="194">
        <v>0</v>
      </c>
      <c r="C7" s="194">
        <v>8.1999999999999993</v>
      </c>
      <c r="D7" s="8">
        <v>43074.208333333336</v>
      </c>
      <c r="E7" s="194">
        <v>0.64</v>
      </c>
      <c r="F7" s="194" t="s">
        <v>408</v>
      </c>
      <c r="G7" s="194">
        <v>332.55</v>
      </c>
      <c r="H7" s="194">
        <v>0</v>
      </c>
      <c r="I7" s="194">
        <v>0</v>
      </c>
      <c r="J7" s="194">
        <v>1026.2</v>
      </c>
      <c r="K7" s="194" t="s">
        <v>407</v>
      </c>
      <c r="L7" s="194">
        <v>18.25</v>
      </c>
      <c r="M7" s="194">
        <v>1512475200</v>
      </c>
      <c r="N7" s="194">
        <v>0</v>
      </c>
      <c r="O7" s="194">
        <v>3.14</v>
      </c>
      <c r="P7" s="194">
        <v>199</v>
      </c>
      <c r="Q7" s="194">
        <v>3.44</v>
      </c>
      <c r="R7" s="194">
        <v>0.74</v>
      </c>
      <c r="S7"/>
      <c r="T7"/>
    </row>
    <row r="8" spans="1:20" x14ac:dyDescent="0.25">
      <c r="A8" s="194">
        <v>18.62</v>
      </c>
      <c r="B8" s="194">
        <v>0</v>
      </c>
      <c r="C8" s="194">
        <v>7.6</v>
      </c>
      <c r="D8" s="8">
        <v>43074.25</v>
      </c>
      <c r="E8" s="194">
        <v>0.61</v>
      </c>
      <c r="F8" s="194" t="s">
        <v>408</v>
      </c>
      <c r="G8" s="194">
        <v>331.73</v>
      </c>
      <c r="H8" s="194">
        <v>0</v>
      </c>
      <c r="I8" s="194">
        <v>0</v>
      </c>
      <c r="J8" s="194">
        <v>1027.33</v>
      </c>
      <c r="K8" s="194" t="s">
        <v>407</v>
      </c>
      <c r="L8" s="194">
        <v>18.62</v>
      </c>
      <c r="M8" s="194">
        <v>1512478800</v>
      </c>
      <c r="N8" s="194">
        <v>0</v>
      </c>
      <c r="O8" s="194">
        <v>3.04</v>
      </c>
      <c r="P8" s="194">
        <v>192</v>
      </c>
      <c r="Q8" s="194">
        <v>3.69</v>
      </c>
      <c r="R8" s="194">
        <v>1.05</v>
      </c>
      <c r="S8"/>
      <c r="T8"/>
    </row>
    <row r="9" spans="1:20" x14ac:dyDescent="0.25">
      <c r="A9" s="194">
        <v>18.48</v>
      </c>
      <c r="B9" s="194">
        <v>0.02</v>
      </c>
      <c r="C9" s="194">
        <v>6.99</v>
      </c>
      <c r="D9" s="8">
        <v>43074.291666666664</v>
      </c>
      <c r="E9" s="194">
        <v>0.6</v>
      </c>
      <c r="F9" s="194" t="s">
        <v>408</v>
      </c>
      <c r="G9" s="194">
        <v>330.01</v>
      </c>
      <c r="H9" s="194">
        <v>0</v>
      </c>
      <c r="I9" s="194">
        <v>0</v>
      </c>
      <c r="J9" s="194">
        <v>1028.77</v>
      </c>
      <c r="K9" s="194" t="s">
        <v>407</v>
      </c>
      <c r="L9" s="194">
        <v>18.48</v>
      </c>
      <c r="M9" s="194">
        <v>1512482400</v>
      </c>
      <c r="N9" s="194">
        <v>0</v>
      </c>
      <c r="O9" s="194">
        <v>3.1</v>
      </c>
      <c r="P9" s="194">
        <v>190</v>
      </c>
      <c r="Q9" s="194">
        <v>3.1</v>
      </c>
      <c r="R9" s="194">
        <v>0.97</v>
      </c>
      <c r="S9"/>
      <c r="T9"/>
    </row>
    <row r="10" spans="1:20" x14ac:dyDescent="0.25">
      <c r="A10" s="194">
        <v>21.37</v>
      </c>
      <c r="B10" s="194">
        <v>0.05</v>
      </c>
      <c r="C10" s="194">
        <v>7.76</v>
      </c>
      <c r="D10" s="8">
        <v>43074.333333333336</v>
      </c>
      <c r="E10" s="194">
        <v>0.55000000000000004</v>
      </c>
      <c r="F10" s="194" t="s">
        <v>422</v>
      </c>
      <c r="G10" s="194">
        <v>328.48</v>
      </c>
      <c r="H10" s="194">
        <v>0</v>
      </c>
      <c r="I10" s="194">
        <v>0</v>
      </c>
      <c r="J10" s="194">
        <v>1028.46</v>
      </c>
      <c r="K10" s="194" t="s">
        <v>407</v>
      </c>
      <c r="L10" s="194">
        <v>21.37</v>
      </c>
      <c r="M10" s="194">
        <v>1512486000</v>
      </c>
      <c r="N10" s="194">
        <v>0</v>
      </c>
      <c r="O10" s="194">
        <v>3.28</v>
      </c>
      <c r="P10" s="194">
        <v>180</v>
      </c>
      <c r="Q10" s="194">
        <v>3.71</v>
      </c>
      <c r="R10" s="194">
        <v>0.9</v>
      </c>
      <c r="S10"/>
      <c r="T10"/>
    </row>
    <row r="11" spans="1:20" x14ac:dyDescent="0.25">
      <c r="A11" s="194">
        <v>28.06</v>
      </c>
      <c r="B11" s="194">
        <v>0.05</v>
      </c>
      <c r="C11" s="194">
        <v>9.02</v>
      </c>
      <c r="D11" s="8">
        <v>43074.375</v>
      </c>
      <c r="E11" s="194">
        <v>0.44</v>
      </c>
      <c r="F11" s="194" t="s">
        <v>422</v>
      </c>
      <c r="G11" s="194">
        <v>327.04000000000002</v>
      </c>
      <c r="H11" s="194">
        <v>0</v>
      </c>
      <c r="I11" s="194">
        <v>0</v>
      </c>
      <c r="J11" s="194">
        <v>1027.44</v>
      </c>
      <c r="K11" s="194" t="s">
        <v>407</v>
      </c>
      <c r="L11" s="194">
        <v>28.06</v>
      </c>
      <c r="M11" s="194">
        <v>1512489600</v>
      </c>
      <c r="N11" s="194">
        <v>1</v>
      </c>
      <c r="O11" s="194">
        <v>4.82</v>
      </c>
      <c r="P11" s="194">
        <v>188</v>
      </c>
      <c r="Q11" s="194">
        <v>5.09</v>
      </c>
      <c r="R11" s="194">
        <v>1.89</v>
      </c>
      <c r="S11"/>
      <c r="T11"/>
    </row>
    <row r="12" spans="1:20" x14ac:dyDescent="0.25">
      <c r="A12" s="194">
        <v>33.01</v>
      </c>
      <c r="B12" s="194">
        <v>0.02</v>
      </c>
      <c r="C12" s="194">
        <v>7.25</v>
      </c>
      <c r="D12" s="8">
        <v>43074.416666666664</v>
      </c>
      <c r="E12" s="194">
        <v>0.28999999999999998</v>
      </c>
      <c r="F12" s="194" t="s">
        <v>422</v>
      </c>
      <c r="G12" s="194">
        <v>325.7</v>
      </c>
      <c r="H12" s="194">
        <v>0</v>
      </c>
      <c r="I12" s="194">
        <v>0</v>
      </c>
      <c r="J12" s="194">
        <v>1025.47</v>
      </c>
      <c r="K12" s="194" t="s">
        <v>407</v>
      </c>
      <c r="L12" s="194">
        <v>36.15</v>
      </c>
      <c r="M12" s="194">
        <v>1512493200</v>
      </c>
      <c r="N12" s="194">
        <v>1</v>
      </c>
      <c r="O12" s="194">
        <v>4.68</v>
      </c>
      <c r="P12" s="194">
        <v>179</v>
      </c>
      <c r="Q12" s="194">
        <v>8.6</v>
      </c>
      <c r="R12" s="194">
        <v>3.86</v>
      </c>
      <c r="S12"/>
      <c r="T12"/>
    </row>
    <row r="13" spans="1:20" x14ac:dyDescent="0.25">
      <c r="A13" s="194">
        <v>39.56</v>
      </c>
      <c r="B13" s="194">
        <v>0.02</v>
      </c>
      <c r="C13" s="194">
        <v>4.24</v>
      </c>
      <c r="D13" s="8">
        <v>43074.458333333336</v>
      </c>
      <c r="E13" s="194">
        <v>0.21</v>
      </c>
      <c r="F13" s="194" t="s">
        <v>422</v>
      </c>
      <c r="G13" s="194">
        <v>320.87</v>
      </c>
      <c r="H13" s="194">
        <v>0</v>
      </c>
      <c r="I13" s="194">
        <v>0</v>
      </c>
      <c r="J13" s="194">
        <v>1023.56</v>
      </c>
      <c r="K13" s="194" t="s">
        <v>407</v>
      </c>
      <c r="L13" s="194">
        <v>41.66</v>
      </c>
      <c r="M13" s="194">
        <v>1512496800</v>
      </c>
      <c r="N13" s="194">
        <v>2</v>
      </c>
      <c r="O13" s="194">
        <v>4.68</v>
      </c>
      <c r="P13" s="194">
        <v>166</v>
      </c>
      <c r="Q13" s="194">
        <v>9.4</v>
      </c>
      <c r="R13" s="194">
        <v>3.64</v>
      </c>
      <c r="S13"/>
      <c r="T13"/>
    </row>
    <row r="14" spans="1:20" x14ac:dyDescent="0.25">
      <c r="A14" s="194">
        <v>46.43</v>
      </c>
      <c r="B14" s="194">
        <v>0.04</v>
      </c>
      <c r="C14" s="194">
        <v>2.95</v>
      </c>
      <c r="D14" s="8">
        <v>43074.5</v>
      </c>
      <c r="E14" s="194">
        <v>0.16</v>
      </c>
      <c r="F14" s="194" t="s">
        <v>422</v>
      </c>
      <c r="G14" s="194">
        <v>319.31</v>
      </c>
      <c r="H14" s="194">
        <v>0</v>
      </c>
      <c r="I14" s="194">
        <v>0</v>
      </c>
      <c r="J14" s="194">
        <v>1021.91</v>
      </c>
      <c r="K14" s="194" t="s">
        <v>407</v>
      </c>
      <c r="L14" s="194">
        <v>46.43</v>
      </c>
      <c r="M14" s="194">
        <v>1512500400</v>
      </c>
      <c r="N14" s="194">
        <v>2</v>
      </c>
      <c r="O14" s="194">
        <v>4.82</v>
      </c>
      <c r="P14" s="194">
        <v>167</v>
      </c>
      <c r="Q14" s="194">
        <v>7.9</v>
      </c>
      <c r="R14" s="194">
        <v>2.4900000000000002</v>
      </c>
      <c r="S14"/>
      <c r="T14"/>
    </row>
    <row r="15" spans="1:20" x14ac:dyDescent="0.25">
      <c r="A15" s="194">
        <v>49.6</v>
      </c>
      <c r="B15" s="194">
        <v>0.02</v>
      </c>
      <c r="C15" s="194">
        <v>3.96</v>
      </c>
      <c r="D15" s="8">
        <v>43074.541666666664</v>
      </c>
      <c r="E15" s="194">
        <v>0.15</v>
      </c>
      <c r="F15" s="194" t="s">
        <v>422</v>
      </c>
      <c r="G15" s="194">
        <v>318.27</v>
      </c>
      <c r="H15" s="194">
        <v>0</v>
      </c>
      <c r="I15" s="194">
        <v>0</v>
      </c>
      <c r="J15" s="194">
        <v>1021.33</v>
      </c>
      <c r="K15" s="194" t="s">
        <v>407</v>
      </c>
      <c r="L15" s="194">
        <v>49.6</v>
      </c>
      <c r="M15" s="194">
        <v>1512504000</v>
      </c>
      <c r="N15" s="194">
        <v>2</v>
      </c>
      <c r="O15" s="194">
        <v>4.82</v>
      </c>
      <c r="P15" s="194">
        <v>134</v>
      </c>
      <c r="Q15" s="194">
        <v>4.76</v>
      </c>
      <c r="R15" s="194">
        <v>0.49</v>
      </c>
      <c r="S15"/>
      <c r="T15"/>
    </row>
    <row r="16" spans="1:20" x14ac:dyDescent="0.25">
      <c r="A16" s="194">
        <v>50.24</v>
      </c>
      <c r="B16" s="194">
        <v>0.05</v>
      </c>
      <c r="C16" s="194">
        <v>5.55</v>
      </c>
      <c r="D16" s="8">
        <v>43074.583333333336</v>
      </c>
      <c r="E16" s="194">
        <v>0.16</v>
      </c>
      <c r="F16" s="194" t="s">
        <v>422</v>
      </c>
      <c r="G16" s="194">
        <v>317.23</v>
      </c>
      <c r="H16" s="194">
        <v>0</v>
      </c>
      <c r="I16" s="194">
        <v>0</v>
      </c>
      <c r="J16" s="194">
        <v>1020.98</v>
      </c>
      <c r="K16" s="194" t="s">
        <v>407</v>
      </c>
      <c r="L16" s="194">
        <v>50.24</v>
      </c>
      <c r="M16" s="194">
        <v>1512507600</v>
      </c>
      <c r="N16" s="194">
        <v>1</v>
      </c>
      <c r="O16" s="194">
        <v>4.82</v>
      </c>
      <c r="P16" s="194">
        <v>23</v>
      </c>
      <c r="Q16" s="194">
        <v>6.34</v>
      </c>
      <c r="R16" s="194">
        <v>1.59</v>
      </c>
      <c r="S16"/>
      <c r="T16"/>
    </row>
    <row r="17" spans="1:20" x14ac:dyDescent="0.25">
      <c r="A17" s="194">
        <v>49.59</v>
      </c>
      <c r="B17" s="194">
        <v>0.05</v>
      </c>
      <c r="C17" s="194">
        <v>6.94</v>
      </c>
      <c r="D17" s="8">
        <v>43074.625</v>
      </c>
      <c r="E17" s="194">
        <v>0.17</v>
      </c>
      <c r="F17" s="194" t="s">
        <v>422</v>
      </c>
      <c r="G17" s="194">
        <v>315.86</v>
      </c>
      <c r="H17" s="194">
        <v>0</v>
      </c>
      <c r="I17" s="194">
        <v>0</v>
      </c>
      <c r="J17" s="194">
        <v>1021.17</v>
      </c>
      <c r="K17" s="194" t="s">
        <v>407</v>
      </c>
      <c r="L17" s="194">
        <v>49.59</v>
      </c>
      <c r="M17" s="194">
        <v>1512511200</v>
      </c>
      <c r="N17" s="194">
        <v>1</v>
      </c>
      <c r="O17" s="194">
        <v>4.16</v>
      </c>
      <c r="P17" s="194">
        <v>4</v>
      </c>
      <c r="Q17" s="194">
        <v>7.25</v>
      </c>
      <c r="R17" s="194">
        <v>2.4700000000000002</v>
      </c>
      <c r="S17"/>
      <c r="T17"/>
    </row>
    <row r="18" spans="1:20" x14ac:dyDescent="0.25">
      <c r="A18" s="194">
        <v>47.2</v>
      </c>
      <c r="B18" s="194">
        <v>0.03</v>
      </c>
      <c r="C18" s="194">
        <v>9.31</v>
      </c>
      <c r="D18" s="8">
        <v>43074.666666666664</v>
      </c>
      <c r="E18" s="194">
        <v>0.21</v>
      </c>
      <c r="F18" s="194" t="s">
        <v>422</v>
      </c>
      <c r="G18" s="194">
        <v>314.5</v>
      </c>
      <c r="H18" s="194">
        <v>0</v>
      </c>
      <c r="I18" s="194">
        <v>0</v>
      </c>
      <c r="J18" s="194">
        <v>1021.76</v>
      </c>
      <c r="K18" s="194" t="s">
        <v>407</v>
      </c>
      <c r="L18" s="194">
        <v>47.2</v>
      </c>
      <c r="M18" s="194">
        <v>1512514800</v>
      </c>
      <c r="N18" s="194">
        <v>0</v>
      </c>
      <c r="O18" s="194">
        <v>4.16</v>
      </c>
      <c r="P18" s="194">
        <v>0</v>
      </c>
      <c r="Q18" s="194">
        <v>7.99</v>
      </c>
      <c r="R18" s="194">
        <v>2.63</v>
      </c>
      <c r="S18"/>
      <c r="T18"/>
    </row>
    <row r="19" spans="1:20" x14ac:dyDescent="0.25">
      <c r="A19" s="194">
        <v>42.13</v>
      </c>
      <c r="B19" s="194">
        <v>0.03</v>
      </c>
      <c r="C19" s="194">
        <v>9.44</v>
      </c>
      <c r="D19" s="8">
        <v>43074.708333333336</v>
      </c>
      <c r="E19" s="194">
        <v>0.26</v>
      </c>
      <c r="F19" s="194" t="s">
        <v>408</v>
      </c>
      <c r="G19" s="194">
        <v>312.70999999999998</v>
      </c>
      <c r="H19" s="194">
        <v>0</v>
      </c>
      <c r="I19" s="194">
        <v>0</v>
      </c>
      <c r="J19" s="194">
        <v>1023.39</v>
      </c>
      <c r="K19" s="194" t="s">
        <v>407</v>
      </c>
      <c r="L19" s="194">
        <v>42.13</v>
      </c>
      <c r="M19" s="194">
        <v>1512518400</v>
      </c>
      <c r="N19" s="194">
        <v>0</v>
      </c>
      <c r="O19" s="194">
        <v>4.22</v>
      </c>
      <c r="P19" s="194">
        <v>353</v>
      </c>
      <c r="Q19" s="194">
        <v>5.4</v>
      </c>
      <c r="R19" s="194">
        <v>1.8</v>
      </c>
      <c r="S19"/>
      <c r="T19"/>
    </row>
    <row r="20" spans="1:20" x14ac:dyDescent="0.25">
      <c r="A20" s="194">
        <v>37.85</v>
      </c>
      <c r="B20" s="194">
        <v>0.03</v>
      </c>
      <c r="C20" s="194">
        <v>9.07</v>
      </c>
      <c r="D20" s="8">
        <v>43074.75</v>
      </c>
      <c r="E20" s="194">
        <v>0.3</v>
      </c>
      <c r="F20" s="194" t="s">
        <v>408</v>
      </c>
      <c r="G20" s="194">
        <v>311.33</v>
      </c>
      <c r="H20" s="194">
        <v>0</v>
      </c>
      <c r="I20" s="194">
        <v>0</v>
      </c>
      <c r="J20" s="194">
        <v>1025.02</v>
      </c>
      <c r="K20" s="194" t="s">
        <v>407</v>
      </c>
      <c r="L20" s="194">
        <v>37.85</v>
      </c>
      <c r="M20" s="194">
        <v>1512522000</v>
      </c>
      <c r="N20" s="194">
        <v>0</v>
      </c>
      <c r="O20" s="194">
        <v>4.16</v>
      </c>
      <c r="P20" s="194">
        <v>9</v>
      </c>
      <c r="Q20" s="194">
        <v>4.63</v>
      </c>
      <c r="R20" s="194">
        <v>1.05</v>
      </c>
      <c r="S20"/>
      <c r="T20"/>
    </row>
    <row r="21" spans="1:20" x14ac:dyDescent="0.25">
      <c r="A21" s="194">
        <v>35.340000000000003</v>
      </c>
      <c r="B21" s="194">
        <v>0.02</v>
      </c>
      <c r="C21" s="194">
        <v>7.69</v>
      </c>
      <c r="D21" s="8">
        <v>43074.791666666664</v>
      </c>
      <c r="E21" s="194">
        <v>0.31</v>
      </c>
      <c r="F21" s="194" t="s">
        <v>408</v>
      </c>
      <c r="G21" s="194">
        <v>309.94</v>
      </c>
      <c r="H21" s="194">
        <v>0</v>
      </c>
      <c r="I21" s="194">
        <v>0</v>
      </c>
      <c r="J21" s="194">
        <v>1026.4000000000001</v>
      </c>
      <c r="K21" s="194" t="s">
        <v>407</v>
      </c>
      <c r="L21" s="194">
        <v>35.340000000000003</v>
      </c>
      <c r="M21" s="194">
        <v>1512525600</v>
      </c>
      <c r="N21" s="194">
        <v>0</v>
      </c>
      <c r="O21" s="194">
        <v>3.35</v>
      </c>
      <c r="P21" s="194">
        <v>97</v>
      </c>
      <c r="Q21" s="194">
        <v>3.37</v>
      </c>
      <c r="R21" s="194">
        <v>0.56000000000000005</v>
      </c>
      <c r="S21"/>
      <c r="T21"/>
    </row>
    <row r="22" spans="1:20" x14ac:dyDescent="0.25">
      <c r="A22" s="194">
        <v>32.22</v>
      </c>
      <c r="B22" s="194">
        <v>0.04</v>
      </c>
      <c r="C22" s="194">
        <v>7.78</v>
      </c>
      <c r="D22" s="8">
        <v>43074.833333333336</v>
      </c>
      <c r="E22" s="194">
        <v>0.35</v>
      </c>
      <c r="F22" s="194" t="s">
        <v>408</v>
      </c>
      <c r="G22" s="194">
        <v>308.98</v>
      </c>
      <c r="H22" s="194">
        <v>0</v>
      </c>
      <c r="I22" s="194">
        <v>0</v>
      </c>
      <c r="J22" s="194">
        <v>1027.99</v>
      </c>
      <c r="K22" s="194" t="s">
        <v>407</v>
      </c>
      <c r="L22" s="194">
        <v>32.22</v>
      </c>
      <c r="M22" s="194">
        <v>1512529200</v>
      </c>
      <c r="N22" s="194">
        <v>0</v>
      </c>
      <c r="O22" s="194">
        <v>3.98</v>
      </c>
      <c r="P22" s="194">
        <v>115</v>
      </c>
      <c r="Q22" s="194">
        <v>4.26</v>
      </c>
      <c r="R22" s="194">
        <v>1.39</v>
      </c>
      <c r="S22"/>
      <c r="T22"/>
    </row>
    <row r="23" spans="1:20" x14ac:dyDescent="0.25">
      <c r="A23" s="194">
        <v>31.41</v>
      </c>
      <c r="B23" s="194">
        <v>0</v>
      </c>
      <c r="C23" s="194">
        <v>7.86</v>
      </c>
      <c r="D23" s="8">
        <v>43074.875</v>
      </c>
      <c r="E23" s="194">
        <v>0.36</v>
      </c>
      <c r="F23" s="194" t="s">
        <v>408</v>
      </c>
      <c r="G23" s="194">
        <v>308.77</v>
      </c>
      <c r="H23" s="194">
        <v>0</v>
      </c>
      <c r="I23" s="194">
        <v>0</v>
      </c>
      <c r="J23" s="194">
        <v>1027.5899999999999</v>
      </c>
      <c r="K23" s="194" t="s">
        <v>407</v>
      </c>
      <c r="L23" s="194">
        <v>31.41</v>
      </c>
      <c r="M23" s="194">
        <v>1512532800</v>
      </c>
      <c r="N23" s="194">
        <v>0</v>
      </c>
      <c r="O23" s="194">
        <v>3.97</v>
      </c>
      <c r="P23" s="194">
        <v>131</v>
      </c>
      <c r="Q23" s="194">
        <v>6.14</v>
      </c>
      <c r="R23" s="194">
        <v>2.4700000000000002</v>
      </c>
      <c r="S23"/>
      <c r="T23"/>
    </row>
    <row r="24" spans="1:20" x14ac:dyDescent="0.25">
      <c r="A24" s="194">
        <v>30.76</v>
      </c>
      <c r="B24" s="194">
        <v>0.02</v>
      </c>
      <c r="C24" s="194">
        <v>8.66</v>
      </c>
      <c r="D24" s="8">
        <v>43074.916666666664</v>
      </c>
      <c r="E24" s="194">
        <v>0.39</v>
      </c>
      <c r="F24" s="194" t="s">
        <v>408</v>
      </c>
      <c r="G24" s="194">
        <v>309.19</v>
      </c>
      <c r="H24" s="194">
        <v>0</v>
      </c>
      <c r="I24" s="194">
        <v>0</v>
      </c>
      <c r="J24" s="194">
        <v>1027.17</v>
      </c>
      <c r="K24" s="194" t="s">
        <v>407</v>
      </c>
      <c r="L24" s="194">
        <v>30.76</v>
      </c>
      <c r="M24" s="194">
        <v>1512536400</v>
      </c>
      <c r="N24" s="194">
        <v>0</v>
      </c>
      <c r="O24" s="194">
        <v>2.82</v>
      </c>
      <c r="P24" s="194">
        <v>149</v>
      </c>
      <c r="Q24" s="194">
        <v>5.72</v>
      </c>
      <c r="R24" s="194">
        <v>2.39</v>
      </c>
      <c r="S24"/>
      <c r="T24"/>
    </row>
    <row r="25" spans="1:20" x14ac:dyDescent="0.25">
      <c r="A25" s="194">
        <v>29.53</v>
      </c>
      <c r="B25" s="194">
        <v>0.01</v>
      </c>
      <c r="C25" s="194">
        <v>8.99</v>
      </c>
      <c r="D25" s="8">
        <v>43074.958333333336</v>
      </c>
      <c r="E25" s="194">
        <v>0.41</v>
      </c>
      <c r="F25" s="194" t="s">
        <v>408</v>
      </c>
      <c r="G25" s="194">
        <v>309.39999999999998</v>
      </c>
      <c r="H25" s="194">
        <v>0</v>
      </c>
      <c r="I25" s="194">
        <v>0</v>
      </c>
      <c r="J25" s="194">
        <v>1026.8499999999999</v>
      </c>
      <c r="K25" s="194" t="s">
        <v>407</v>
      </c>
      <c r="L25" s="194">
        <v>29.53</v>
      </c>
      <c r="M25" s="194">
        <v>1512540000</v>
      </c>
      <c r="N25" s="194">
        <v>0</v>
      </c>
      <c r="O25" s="194">
        <v>3.52</v>
      </c>
      <c r="P25" s="194">
        <v>136</v>
      </c>
      <c r="Q25" s="194">
        <v>4.82</v>
      </c>
      <c r="R25" s="194">
        <v>1.93</v>
      </c>
      <c r="S25"/>
      <c r="T25"/>
    </row>
    <row r="26" spans="1:20" x14ac:dyDescent="0.25">
      <c r="A26" s="194">
        <v>28.41</v>
      </c>
      <c r="B26" s="194">
        <v>0.01</v>
      </c>
      <c r="C26" s="194">
        <v>9.5299999999999994</v>
      </c>
      <c r="D26" s="8">
        <v>43075</v>
      </c>
      <c r="E26" s="194">
        <v>0.44</v>
      </c>
      <c r="F26" s="194" t="s">
        <v>408</v>
      </c>
      <c r="G26" s="194">
        <v>309.49</v>
      </c>
      <c r="H26" s="194">
        <v>0</v>
      </c>
      <c r="I26" s="194">
        <v>0</v>
      </c>
      <c r="J26" s="194">
        <v>1027.69</v>
      </c>
      <c r="K26" s="194" t="s">
        <v>407</v>
      </c>
      <c r="L26" s="194">
        <v>28.41</v>
      </c>
      <c r="M26" s="194">
        <v>1512543600</v>
      </c>
      <c r="N26" s="194">
        <v>0</v>
      </c>
      <c r="O26" s="194">
        <v>3.52</v>
      </c>
      <c r="P26" s="194">
        <v>141</v>
      </c>
      <c r="Q26" s="194">
        <v>5.48</v>
      </c>
      <c r="R26" s="194">
        <v>1.98</v>
      </c>
      <c r="S26"/>
      <c r="T26"/>
    </row>
    <row r="27" spans="1:20" x14ac:dyDescent="0.25">
      <c r="A27" s="194">
        <v>27.34</v>
      </c>
      <c r="B27" s="194">
        <v>0.03</v>
      </c>
      <c r="C27" s="194">
        <v>10.08</v>
      </c>
      <c r="D27" s="8">
        <v>43075.041666666664</v>
      </c>
      <c r="E27" s="194">
        <v>0.48</v>
      </c>
      <c r="F27" s="194" t="s">
        <v>408</v>
      </c>
      <c r="G27" s="194">
        <v>309.48</v>
      </c>
      <c r="H27" s="194">
        <v>0</v>
      </c>
      <c r="I27" s="194">
        <v>0</v>
      </c>
      <c r="J27" s="194">
        <v>1027.95</v>
      </c>
      <c r="K27" s="194" t="s">
        <v>407</v>
      </c>
      <c r="L27" s="194">
        <v>27.34</v>
      </c>
      <c r="M27" s="194">
        <v>1512547200</v>
      </c>
      <c r="N27" s="194">
        <v>0</v>
      </c>
      <c r="O27" s="194">
        <v>3.34</v>
      </c>
      <c r="P27" s="194">
        <v>157</v>
      </c>
      <c r="Q27" s="194">
        <v>4.5599999999999996</v>
      </c>
      <c r="R27" s="194">
        <v>1.7</v>
      </c>
      <c r="S27"/>
      <c r="T27"/>
    </row>
    <row r="28" spans="1:20" x14ac:dyDescent="0.25">
      <c r="A28" s="194">
        <v>25.92</v>
      </c>
      <c r="B28" s="194">
        <v>0</v>
      </c>
      <c r="C28" s="194">
        <v>10.11</v>
      </c>
      <c r="D28" s="8">
        <v>43075.083333333336</v>
      </c>
      <c r="E28" s="194">
        <v>0.51</v>
      </c>
      <c r="F28" s="194" t="s">
        <v>408</v>
      </c>
      <c r="G28" s="194">
        <v>309.27</v>
      </c>
      <c r="H28" s="194">
        <v>0</v>
      </c>
      <c r="I28" s="194">
        <v>0</v>
      </c>
      <c r="J28" s="194">
        <v>1029.72</v>
      </c>
      <c r="K28" s="194" t="s">
        <v>407</v>
      </c>
      <c r="L28" s="194">
        <v>25.92</v>
      </c>
      <c r="M28" s="194">
        <v>1512550800</v>
      </c>
      <c r="N28" s="194">
        <v>0</v>
      </c>
      <c r="O28" s="194">
        <v>3.01</v>
      </c>
      <c r="P28" s="194">
        <v>178</v>
      </c>
      <c r="Q28" s="194">
        <v>3.17</v>
      </c>
      <c r="R28" s="194">
        <v>1.44</v>
      </c>
      <c r="S28"/>
      <c r="T28"/>
    </row>
    <row r="29" spans="1:20" x14ac:dyDescent="0.25">
      <c r="A29" s="194">
        <v>19.75</v>
      </c>
      <c r="B29" s="194">
        <v>0.05</v>
      </c>
      <c r="C29" s="194">
        <v>10.18</v>
      </c>
      <c r="D29" s="8">
        <v>43075.125</v>
      </c>
      <c r="E29" s="194">
        <v>0.52</v>
      </c>
      <c r="F29" s="194" t="s">
        <v>408</v>
      </c>
      <c r="G29" s="194">
        <v>308.83999999999997</v>
      </c>
      <c r="H29" s="194">
        <v>0</v>
      </c>
      <c r="I29" s="194">
        <v>0</v>
      </c>
      <c r="J29" s="194">
        <v>1030.92</v>
      </c>
      <c r="K29" s="194" t="s">
        <v>407</v>
      </c>
      <c r="L29" s="194">
        <v>25.15</v>
      </c>
      <c r="M29" s="194">
        <v>1512554400</v>
      </c>
      <c r="N29" s="194">
        <v>0</v>
      </c>
      <c r="O29" s="194">
        <v>4.88</v>
      </c>
      <c r="P29" s="194">
        <v>213</v>
      </c>
      <c r="Q29" s="194">
        <v>2.92</v>
      </c>
      <c r="R29" s="194">
        <v>4.34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D15" sqref="D1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43074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2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1059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1060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1061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1062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671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1063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1064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1065</v>
      </c>
      <c r="J25" s="139" t="s">
        <v>144</v>
      </c>
      <c r="M25" s="153" t="b">
        <v>1</v>
      </c>
    </row>
    <row r="26" spans="3:24" x14ac:dyDescent="0.25">
      <c r="C26" t="s">
        <v>1066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%USERPROFILE%\Documents\GitHub\eaglep3-reporting\EC\2017-12-05-refined-times.txt</v>
      </c>
    </row>
    <row r="27" spans="3:24" x14ac:dyDescent="0.25">
      <c r="C27" t="s">
        <v>1067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%USERPROFILE%\Documents\GitHub\eaglep3-reporting\EC\2017-12-05-Enforcements.txt</v>
      </c>
    </row>
    <row r="28" spans="3:24" x14ac:dyDescent="0.25">
      <c r="C28" t="s">
        <v>1068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%USERPROFILE%\Documents\GitHub\eaglep3-reporting\EC\2017-12-05-Runs-refined.txt</v>
      </c>
    </row>
    <row r="29" spans="3:24" x14ac:dyDescent="0.25">
      <c r="C29" t="s">
        <v>1069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%USERPROFILE%\Documents\GitHub\eaglep3-reporting\EC\2017-12-05-Trips.txt</v>
      </c>
    </row>
    <row r="30" spans="3:24" x14ac:dyDescent="0.25">
      <c r="C30" t="s">
        <v>1070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%USERPROFILE%\Documents\GitHub\eaglep3-reporting\EC\2017-12-05-Weather.txt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6" bestFit="1" customWidth="1"/>
    <col min="9" max="10" width="9.140625" style="186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6" t="s">
        <v>112</v>
      </c>
      <c r="I1" s="184" t="s">
        <v>353</v>
      </c>
      <c r="J1" s="166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3" t="s">
        <v>124</v>
      </c>
      <c r="C4" s="93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3" t="s">
        <v>126</v>
      </c>
      <c r="C5" s="93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3" t="s">
        <v>128</v>
      </c>
      <c r="C6" s="93" t="s">
        <v>129</v>
      </c>
      <c r="H6" s="185" t="s">
        <v>140</v>
      </c>
      <c r="I6" s="185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7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2017-12-06T14:51:06Z</dcterms:modified>
</cp:coreProperties>
</file>